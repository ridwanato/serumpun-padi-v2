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15" windowWidth="15120" windowHeight="7755" activeTab="8"/>
  </bookViews>
  <sheets>
    <sheet name="padi sawah" sheetId="1" r:id="rId1"/>
    <sheet name="puso" sheetId="2" r:id="rId2"/>
    <sheet name="padi ladang" sheetId="3" r:id="rId3"/>
    <sheet name="jagung" sheetId="4" r:id="rId4"/>
    <sheet name="kedelai" sheetId="9" r:id="rId5"/>
    <sheet name="kc tanah" sheetId="5" r:id="rId6"/>
    <sheet name="ubi kayu" sheetId="6" r:id="rId7"/>
    <sheet name="ubi jalar" sheetId="7" r:id="rId8"/>
    <sheet name="kc ijo" sheetId="8" r:id="rId9"/>
    <sheet name="rekap" sheetId="10" r:id="rId10"/>
    <sheet name="okt-mar" sheetId="11" r:id="rId11"/>
    <sheet name="okt-marbps" sheetId="12" r:id="rId12"/>
    <sheet name="lap bulanan" sheetId="13" r:id="rId13"/>
    <sheet name="Sheet1" sheetId="14" r:id="rId14"/>
  </sheets>
  <calcPr calcId="144525"/>
</workbook>
</file>

<file path=xl/calcChain.xml><?xml version="1.0" encoding="utf-8"?>
<calcChain xmlns="http://schemas.openxmlformats.org/spreadsheetml/2006/main">
  <c r="R83" i="5" l="1"/>
  <c r="Q116" i="5"/>
  <c r="O44" i="9" l="1"/>
  <c r="Q46" i="9"/>
  <c r="F60" i="10" l="1"/>
  <c r="F62" i="10"/>
  <c r="F63" i="10"/>
  <c r="F57" i="10"/>
  <c r="D59" i="10"/>
  <c r="D43" i="10" l="1"/>
  <c r="E541" i="11" l="1"/>
  <c r="E542" i="11"/>
  <c r="E543" i="11"/>
  <c r="E544" i="11"/>
  <c r="E545" i="11"/>
  <c r="E546" i="11"/>
  <c r="E547" i="11"/>
  <c r="E540" i="11"/>
  <c r="E525" i="11"/>
  <c r="E526" i="11"/>
  <c r="E527" i="11"/>
  <c r="E528" i="11"/>
  <c r="E529" i="11"/>
  <c r="E530" i="11"/>
  <c r="E531" i="11"/>
  <c r="E524" i="11"/>
  <c r="E509" i="11"/>
  <c r="E510" i="11"/>
  <c r="E511" i="11"/>
  <c r="E512" i="11"/>
  <c r="E513" i="11"/>
  <c r="E514" i="11"/>
  <c r="E515" i="11"/>
  <c r="E508" i="11"/>
  <c r="E493" i="11"/>
  <c r="E494" i="11"/>
  <c r="E495" i="11"/>
  <c r="E496" i="11"/>
  <c r="E497" i="11"/>
  <c r="E498" i="11"/>
  <c r="E499" i="11"/>
  <c r="E492" i="11"/>
  <c r="E477" i="11"/>
  <c r="E478" i="11"/>
  <c r="E479" i="11"/>
  <c r="E480" i="11"/>
  <c r="E481" i="11"/>
  <c r="E482" i="11"/>
  <c r="E483" i="11"/>
  <c r="E476" i="11"/>
  <c r="E461" i="11"/>
  <c r="E462" i="11"/>
  <c r="E463" i="11"/>
  <c r="E464" i="11"/>
  <c r="E465" i="11"/>
  <c r="E466" i="11"/>
  <c r="E467" i="11"/>
  <c r="E460" i="11"/>
  <c r="E445" i="11"/>
  <c r="E446" i="11"/>
  <c r="E447" i="11"/>
  <c r="E448" i="11"/>
  <c r="E449" i="11"/>
  <c r="E450" i="11"/>
  <c r="E451" i="11"/>
  <c r="E444" i="11"/>
  <c r="E430" i="11"/>
  <c r="E431" i="11"/>
  <c r="E432" i="11"/>
  <c r="E433" i="11"/>
  <c r="E434" i="11"/>
  <c r="E435" i="11"/>
  <c r="E429" i="11"/>
  <c r="E428" i="11"/>
  <c r="N116" i="4"/>
  <c r="N116" i="5" l="1"/>
  <c r="N116" i="1" l="1"/>
  <c r="S93" i="12" l="1"/>
  <c r="S94" i="12"/>
  <c r="S95" i="12"/>
  <c r="S96" i="12"/>
  <c r="S97" i="12"/>
  <c r="S98" i="12"/>
  <c r="S99" i="12"/>
  <c r="S92" i="12"/>
  <c r="S100" i="12" s="1"/>
  <c r="S311" i="11"/>
  <c r="S312" i="11"/>
  <c r="S313" i="11"/>
  <c r="S314" i="11"/>
  <c r="S315" i="11"/>
  <c r="S316" i="11"/>
  <c r="S317" i="11"/>
  <c r="S310" i="11"/>
  <c r="S318" i="11" s="1"/>
  <c r="S295" i="11"/>
  <c r="S296" i="11"/>
  <c r="S297" i="11"/>
  <c r="S298" i="11"/>
  <c r="S299" i="11"/>
  <c r="S300" i="11"/>
  <c r="S301" i="11"/>
  <c r="S294" i="11"/>
  <c r="S302" i="11" s="1"/>
  <c r="S77" i="12"/>
  <c r="S78" i="12"/>
  <c r="S79" i="12"/>
  <c r="S80" i="12"/>
  <c r="S81" i="12"/>
  <c r="S82" i="12"/>
  <c r="S83" i="12"/>
  <c r="S76" i="12"/>
  <c r="S84" i="12" s="1"/>
  <c r="O12" i="1" l="1"/>
  <c r="Q10" i="9" l="1"/>
  <c r="Q11" i="9"/>
  <c r="Q12" i="9"/>
  <c r="Q13" i="9"/>
  <c r="Q14" i="9"/>
  <c r="Q15" i="9"/>
  <c r="Q16" i="9"/>
  <c r="Q9" i="9"/>
  <c r="Q10" i="4"/>
  <c r="Q11" i="4"/>
  <c r="Q12" i="4"/>
  <c r="Q13" i="4"/>
  <c r="Q14" i="4"/>
  <c r="Q15" i="4"/>
  <c r="Q16" i="4"/>
  <c r="Q9" i="4"/>
  <c r="Q10" i="1"/>
  <c r="Q11" i="1"/>
  <c r="Q12" i="1"/>
  <c r="Q13" i="1"/>
  <c r="Q14" i="1"/>
  <c r="Q15" i="1"/>
  <c r="Q16" i="1"/>
  <c r="Q9" i="1"/>
  <c r="C541" i="11" l="1"/>
  <c r="D541" i="11"/>
  <c r="C542" i="11"/>
  <c r="I542" i="11" s="1"/>
  <c r="D542" i="11"/>
  <c r="C543" i="11"/>
  <c r="D543" i="11"/>
  <c r="C544" i="11"/>
  <c r="D544" i="11"/>
  <c r="C545" i="11"/>
  <c r="D545" i="11"/>
  <c r="C546" i="11"/>
  <c r="D546" i="11"/>
  <c r="C547" i="11"/>
  <c r="I547" i="11" s="1"/>
  <c r="D547" i="11"/>
  <c r="D540" i="11"/>
  <c r="C540" i="11"/>
  <c r="C525" i="11"/>
  <c r="D525" i="11"/>
  <c r="C526" i="11"/>
  <c r="D526" i="11"/>
  <c r="C527" i="11"/>
  <c r="D527" i="11"/>
  <c r="C528" i="11"/>
  <c r="D528" i="11"/>
  <c r="C529" i="11"/>
  <c r="D529" i="11"/>
  <c r="C530" i="11"/>
  <c r="D530" i="11"/>
  <c r="C531" i="11"/>
  <c r="D531" i="11"/>
  <c r="D524" i="11"/>
  <c r="C524" i="11"/>
  <c r="C509" i="11"/>
  <c r="D509" i="11"/>
  <c r="C510" i="11"/>
  <c r="D510" i="11"/>
  <c r="C511" i="11"/>
  <c r="D511" i="11"/>
  <c r="C512" i="11"/>
  <c r="D512" i="11"/>
  <c r="C513" i="11"/>
  <c r="D513" i="11"/>
  <c r="C514" i="11"/>
  <c r="D514" i="11"/>
  <c r="C515" i="11"/>
  <c r="D515" i="11"/>
  <c r="D508" i="11"/>
  <c r="D516" i="11" s="1"/>
  <c r="C508" i="11"/>
  <c r="C493" i="11"/>
  <c r="D493" i="11"/>
  <c r="C494" i="11"/>
  <c r="D494" i="11"/>
  <c r="C495" i="11"/>
  <c r="D495" i="11"/>
  <c r="C496" i="11"/>
  <c r="D496" i="11"/>
  <c r="C497" i="11"/>
  <c r="D497" i="11"/>
  <c r="C498" i="11"/>
  <c r="I498" i="11" s="1"/>
  <c r="D498" i="11"/>
  <c r="C499" i="11"/>
  <c r="D499" i="11"/>
  <c r="D492" i="11"/>
  <c r="C492" i="11"/>
  <c r="C477" i="11"/>
  <c r="D477" i="11"/>
  <c r="C478" i="11"/>
  <c r="I478" i="11" s="1"/>
  <c r="D478" i="11"/>
  <c r="C479" i="11"/>
  <c r="D479" i="11"/>
  <c r="C480" i="11"/>
  <c r="I480" i="11" s="1"/>
  <c r="D480" i="11"/>
  <c r="C481" i="11"/>
  <c r="D481" i="11"/>
  <c r="C482" i="11"/>
  <c r="I482" i="11" s="1"/>
  <c r="D482" i="11"/>
  <c r="C483" i="11"/>
  <c r="D483" i="11"/>
  <c r="D476" i="11"/>
  <c r="C476" i="11"/>
  <c r="C461" i="11"/>
  <c r="D461" i="11"/>
  <c r="C462" i="11"/>
  <c r="D462" i="11"/>
  <c r="C463" i="11"/>
  <c r="D463" i="11"/>
  <c r="C464" i="11"/>
  <c r="D464" i="11"/>
  <c r="C465" i="11"/>
  <c r="D465" i="11"/>
  <c r="C466" i="11"/>
  <c r="D466" i="11"/>
  <c r="C467" i="11"/>
  <c r="D467" i="11"/>
  <c r="D460" i="11"/>
  <c r="C460" i="11"/>
  <c r="C445" i="11"/>
  <c r="D445" i="11"/>
  <c r="C446" i="11"/>
  <c r="I446" i="11" s="1"/>
  <c r="D446" i="11"/>
  <c r="C447" i="11"/>
  <c r="D447" i="11"/>
  <c r="C448" i="11"/>
  <c r="I448" i="11" s="1"/>
  <c r="D448" i="11"/>
  <c r="C449" i="11"/>
  <c r="I449" i="11" s="1"/>
  <c r="D449" i="11"/>
  <c r="C450" i="11"/>
  <c r="I450" i="11" s="1"/>
  <c r="D450" i="11"/>
  <c r="C451" i="11"/>
  <c r="D451" i="11"/>
  <c r="D444" i="11"/>
  <c r="I444" i="11" s="1"/>
  <c r="C444" i="11"/>
  <c r="O548" i="11"/>
  <c r="N548" i="11"/>
  <c r="M548" i="11"/>
  <c r="L548" i="11"/>
  <c r="K548" i="11"/>
  <c r="J548" i="11"/>
  <c r="H548" i="11"/>
  <c r="G548" i="11"/>
  <c r="F548" i="11"/>
  <c r="E548" i="11"/>
  <c r="P547" i="11"/>
  <c r="P546" i="11"/>
  <c r="P545" i="11"/>
  <c r="P544" i="11"/>
  <c r="P543" i="11"/>
  <c r="I543" i="11"/>
  <c r="P542" i="11"/>
  <c r="P541" i="11"/>
  <c r="I541" i="11"/>
  <c r="Q541" i="11" s="1"/>
  <c r="P540" i="11"/>
  <c r="O532" i="11"/>
  <c r="N532" i="11"/>
  <c r="M532" i="11"/>
  <c r="L532" i="11"/>
  <c r="K532" i="11"/>
  <c r="J532" i="11"/>
  <c r="H532" i="11"/>
  <c r="G532" i="11"/>
  <c r="F532" i="11"/>
  <c r="E532" i="11"/>
  <c r="P531" i="11"/>
  <c r="P530" i="11"/>
  <c r="P529" i="11"/>
  <c r="P528" i="11"/>
  <c r="P527" i="11"/>
  <c r="P526" i="11"/>
  <c r="P525" i="11"/>
  <c r="P532" i="11" s="1"/>
  <c r="P524" i="11"/>
  <c r="O516" i="11"/>
  <c r="N516" i="11"/>
  <c r="M516" i="11"/>
  <c r="L516" i="11"/>
  <c r="K516" i="11"/>
  <c r="J516" i="11"/>
  <c r="H516" i="11"/>
  <c r="G516" i="11"/>
  <c r="F516" i="11"/>
  <c r="E516" i="11"/>
  <c r="P515" i="11"/>
  <c r="P514" i="11"/>
  <c r="P513" i="11"/>
  <c r="P512" i="11"/>
  <c r="P511" i="11"/>
  <c r="P510" i="11"/>
  <c r="P509" i="11"/>
  <c r="P508" i="11"/>
  <c r="O500" i="11"/>
  <c r="N500" i="11"/>
  <c r="M500" i="11"/>
  <c r="L500" i="11"/>
  <c r="K500" i="11"/>
  <c r="J500" i="11"/>
  <c r="H500" i="11"/>
  <c r="G500" i="11"/>
  <c r="F500" i="11"/>
  <c r="E500" i="11"/>
  <c r="P499" i="11"/>
  <c r="I499" i="11"/>
  <c r="P498" i="11"/>
  <c r="P497" i="11"/>
  <c r="I497" i="11"/>
  <c r="Q497" i="11" s="1"/>
  <c r="P496" i="11"/>
  <c r="P495" i="11"/>
  <c r="I495" i="11"/>
  <c r="P494" i="11"/>
  <c r="P493" i="11"/>
  <c r="I493" i="11"/>
  <c r="Q493" i="11" s="1"/>
  <c r="P492" i="11"/>
  <c r="I492" i="11"/>
  <c r="O484" i="11"/>
  <c r="N484" i="11"/>
  <c r="M484" i="11"/>
  <c r="L484" i="11"/>
  <c r="K484" i="11"/>
  <c r="J484" i="11"/>
  <c r="H484" i="11"/>
  <c r="G484" i="11"/>
  <c r="F484" i="11"/>
  <c r="E484" i="11"/>
  <c r="P483" i="11"/>
  <c r="I483" i="11"/>
  <c r="Q483" i="11" s="1"/>
  <c r="P482" i="11"/>
  <c r="P481" i="11"/>
  <c r="I481" i="11"/>
  <c r="P480" i="11"/>
  <c r="P479" i="11"/>
  <c r="I479" i="11"/>
  <c r="Q479" i="11" s="1"/>
  <c r="P478" i="11"/>
  <c r="P477" i="11"/>
  <c r="I477" i="11"/>
  <c r="P476" i="11"/>
  <c r="P484" i="11" s="1"/>
  <c r="I476" i="11"/>
  <c r="O468" i="11"/>
  <c r="N468" i="11"/>
  <c r="M468" i="11"/>
  <c r="L468" i="11"/>
  <c r="K468" i="11"/>
  <c r="J468" i="11"/>
  <c r="H468" i="11"/>
  <c r="G468" i="11"/>
  <c r="F468" i="11"/>
  <c r="E468" i="11"/>
  <c r="P467" i="11"/>
  <c r="I467" i="11"/>
  <c r="P466" i="11"/>
  <c r="I466" i="11"/>
  <c r="P465" i="11"/>
  <c r="I465" i="11"/>
  <c r="P464" i="11"/>
  <c r="I464" i="11"/>
  <c r="P463" i="11"/>
  <c r="I463" i="11"/>
  <c r="P462" i="11"/>
  <c r="I462" i="11"/>
  <c r="P461" i="11"/>
  <c r="I461" i="11"/>
  <c r="P460" i="11"/>
  <c r="P468" i="11" s="1"/>
  <c r="I460" i="11"/>
  <c r="O452" i="11"/>
  <c r="N452" i="11"/>
  <c r="M452" i="11"/>
  <c r="L452" i="11"/>
  <c r="K452" i="11"/>
  <c r="J452" i="11"/>
  <c r="H452" i="11"/>
  <c r="G452" i="11"/>
  <c r="F452" i="11"/>
  <c r="E452" i="11"/>
  <c r="P451" i="11"/>
  <c r="I451" i="11"/>
  <c r="P450" i="11"/>
  <c r="P449" i="11"/>
  <c r="P448" i="11"/>
  <c r="P447" i="11"/>
  <c r="I447" i="11"/>
  <c r="Q447" i="11" s="1"/>
  <c r="P446" i="11"/>
  <c r="P445" i="11"/>
  <c r="I445" i="11"/>
  <c r="P444" i="11"/>
  <c r="P452" i="11" s="1"/>
  <c r="D429" i="11"/>
  <c r="D430" i="11"/>
  <c r="D431" i="11"/>
  <c r="D432" i="11"/>
  <c r="D433" i="11"/>
  <c r="D434" i="11"/>
  <c r="D435" i="11"/>
  <c r="D428" i="11"/>
  <c r="Q445" i="11" l="1"/>
  <c r="Q451" i="11"/>
  <c r="Q461" i="11"/>
  <c r="Q462" i="11"/>
  <c r="Q463" i="11"/>
  <c r="Q464" i="11"/>
  <c r="Q465" i="11"/>
  <c r="Q466" i="11"/>
  <c r="Q467" i="11"/>
  <c r="Q477" i="11"/>
  <c r="Q481" i="11"/>
  <c r="P500" i="11"/>
  <c r="Q495" i="11"/>
  <c r="Q499" i="11"/>
  <c r="P516" i="11"/>
  <c r="P548" i="11"/>
  <c r="Q543" i="11"/>
  <c r="I524" i="11"/>
  <c r="I531" i="11"/>
  <c r="Q531" i="11" s="1"/>
  <c r="I529" i="11"/>
  <c r="Q529" i="11" s="1"/>
  <c r="I527" i="11"/>
  <c r="Q527" i="11" s="1"/>
  <c r="I525" i="11"/>
  <c r="Q525" i="11" s="1"/>
  <c r="Q450" i="11"/>
  <c r="Q449" i="11"/>
  <c r="Q448" i="11"/>
  <c r="Q446" i="11"/>
  <c r="Q482" i="11"/>
  <c r="Q480" i="11"/>
  <c r="Q478" i="11"/>
  <c r="Q498" i="11"/>
  <c r="Q547" i="11"/>
  <c r="Q542" i="11"/>
  <c r="I496" i="11"/>
  <c r="Q496" i="11" s="1"/>
  <c r="I494" i="11"/>
  <c r="Q494" i="11" s="1"/>
  <c r="D500" i="11"/>
  <c r="C468" i="11"/>
  <c r="D532" i="11"/>
  <c r="I530" i="11"/>
  <c r="Q530" i="11" s="1"/>
  <c r="I528" i="11"/>
  <c r="Q528" i="11" s="1"/>
  <c r="I526" i="11"/>
  <c r="Q526" i="11" s="1"/>
  <c r="I540" i="11"/>
  <c r="I548" i="11" s="1"/>
  <c r="I545" i="11"/>
  <c r="Q545" i="11" s="1"/>
  <c r="I546" i="11"/>
  <c r="Q546" i="11" s="1"/>
  <c r="I544" i="11"/>
  <c r="Q544" i="11" s="1"/>
  <c r="D548" i="11"/>
  <c r="I508" i="11"/>
  <c r="I515" i="11"/>
  <c r="Q515" i="11" s="1"/>
  <c r="I513" i="11"/>
  <c r="Q513" i="11" s="1"/>
  <c r="I511" i="11"/>
  <c r="Q511" i="11" s="1"/>
  <c r="I509" i="11"/>
  <c r="Q509" i="11" s="1"/>
  <c r="I514" i="11"/>
  <c r="Q514" i="11" s="1"/>
  <c r="I512" i="11"/>
  <c r="Q512" i="11" s="1"/>
  <c r="I510" i="11"/>
  <c r="Q510" i="11" s="1"/>
  <c r="C484" i="11"/>
  <c r="C452" i="11"/>
  <c r="Q540" i="11"/>
  <c r="Q548" i="11" s="1"/>
  <c r="C548" i="11"/>
  <c r="I532" i="11"/>
  <c r="Q524" i="11"/>
  <c r="C532" i="11"/>
  <c r="Q508" i="11"/>
  <c r="C516" i="11"/>
  <c r="Q492" i="11"/>
  <c r="C500" i="11"/>
  <c r="I484" i="11"/>
  <c r="Q476" i="11"/>
  <c r="Q484" i="11" s="1"/>
  <c r="D484" i="11"/>
  <c r="I468" i="11"/>
  <c r="Q460" i="11"/>
  <c r="Q468" i="11" s="1"/>
  <c r="D468" i="11"/>
  <c r="I452" i="11"/>
  <c r="Q444" i="11"/>
  <c r="Q452" i="11" s="1"/>
  <c r="D452" i="11"/>
  <c r="O347" i="11"/>
  <c r="O348" i="11"/>
  <c r="O349" i="11"/>
  <c r="O350" i="11"/>
  <c r="O351" i="11"/>
  <c r="O352" i="11"/>
  <c r="O353" i="11"/>
  <c r="O331" i="11"/>
  <c r="O332" i="11"/>
  <c r="O333" i="11"/>
  <c r="O334" i="11"/>
  <c r="O335" i="11"/>
  <c r="O336" i="11"/>
  <c r="O337" i="11"/>
  <c r="O346" i="11"/>
  <c r="O330" i="11"/>
  <c r="O311" i="11"/>
  <c r="O312" i="11"/>
  <c r="O313" i="11"/>
  <c r="O314" i="11"/>
  <c r="O315" i="11"/>
  <c r="O316" i="11"/>
  <c r="O317" i="11"/>
  <c r="O310" i="11"/>
  <c r="Q500" i="11" l="1"/>
  <c r="Q516" i="11"/>
  <c r="Q532" i="11"/>
  <c r="I500" i="11"/>
  <c r="I516" i="11"/>
  <c r="C429" i="11"/>
  <c r="C430" i="11"/>
  <c r="I430" i="11" s="1"/>
  <c r="C431" i="11"/>
  <c r="I431" i="11" s="1"/>
  <c r="C432" i="11"/>
  <c r="I432" i="11" s="1"/>
  <c r="C433" i="11"/>
  <c r="C434" i="11"/>
  <c r="I434" i="11" s="1"/>
  <c r="C435" i="11"/>
  <c r="C428" i="11"/>
  <c r="C436" i="11" s="1"/>
  <c r="M436" i="11"/>
  <c r="L436" i="11"/>
  <c r="K436" i="11"/>
  <c r="J436" i="11"/>
  <c r="H436" i="11"/>
  <c r="G436" i="11"/>
  <c r="F436" i="11"/>
  <c r="E436" i="11"/>
  <c r="D436" i="11"/>
  <c r="P435" i="11"/>
  <c r="I435" i="11"/>
  <c r="P434" i="11"/>
  <c r="P433" i="11"/>
  <c r="I433" i="11"/>
  <c r="Q433" i="11" s="1"/>
  <c r="P432" i="11"/>
  <c r="P431" i="11"/>
  <c r="P430" i="11"/>
  <c r="P429" i="11"/>
  <c r="I429" i="11"/>
  <c r="O436" i="11"/>
  <c r="N436" i="11"/>
  <c r="Q429" i="11" l="1"/>
  <c r="Q435" i="11"/>
  <c r="Q431" i="11"/>
  <c r="I428" i="11"/>
  <c r="I436" i="11" s="1"/>
  <c r="Q430" i="11"/>
  <c r="Q434" i="11"/>
  <c r="Q432" i="11"/>
  <c r="P428" i="11"/>
  <c r="P436" i="11" s="1"/>
  <c r="O60" i="11"/>
  <c r="O61" i="11"/>
  <c r="O62" i="11"/>
  <c r="O63" i="11"/>
  <c r="O64" i="11"/>
  <c r="O65" i="11"/>
  <c r="O66" i="11"/>
  <c r="O44" i="11"/>
  <c r="O45" i="11"/>
  <c r="O46" i="11"/>
  <c r="O47" i="11"/>
  <c r="O48" i="11"/>
  <c r="O49" i="11"/>
  <c r="O50" i="11"/>
  <c r="O59" i="11"/>
  <c r="O43" i="11"/>
  <c r="O24" i="11"/>
  <c r="O25" i="11"/>
  <c r="O26" i="11"/>
  <c r="O27" i="11"/>
  <c r="O28" i="11"/>
  <c r="O29" i="11"/>
  <c r="O30" i="11"/>
  <c r="O23" i="11"/>
  <c r="O8" i="11"/>
  <c r="O9" i="11"/>
  <c r="O10" i="11"/>
  <c r="O11" i="11"/>
  <c r="O12" i="11"/>
  <c r="O13" i="11"/>
  <c r="O14" i="11"/>
  <c r="O7" i="11"/>
  <c r="Q428" i="11" l="1"/>
  <c r="Q436" i="11" s="1"/>
  <c r="O419" i="11"/>
  <c r="N419" i="11"/>
  <c r="M419" i="11"/>
  <c r="L419" i="11"/>
  <c r="K419" i="11"/>
  <c r="J419" i="11"/>
  <c r="E419" i="11"/>
  <c r="D419" i="11"/>
  <c r="C419" i="11"/>
  <c r="P418" i="11"/>
  <c r="I418" i="11"/>
  <c r="P417" i="11"/>
  <c r="I417" i="11"/>
  <c r="P416" i="11"/>
  <c r="I416" i="11"/>
  <c r="P415" i="11"/>
  <c r="I415" i="11"/>
  <c r="P414" i="11"/>
  <c r="I414" i="11"/>
  <c r="P413" i="11"/>
  <c r="I413" i="11"/>
  <c r="P412" i="11"/>
  <c r="I412" i="11"/>
  <c r="P411" i="11"/>
  <c r="P419" i="11" s="1"/>
  <c r="I411" i="11"/>
  <c r="O403" i="11"/>
  <c r="N403" i="11"/>
  <c r="M403" i="11"/>
  <c r="L403" i="11"/>
  <c r="K403" i="11"/>
  <c r="J403" i="11"/>
  <c r="E403" i="11"/>
  <c r="D403" i="11"/>
  <c r="C403" i="11"/>
  <c r="P402" i="11"/>
  <c r="I402" i="11"/>
  <c r="Q402" i="11" s="1"/>
  <c r="P401" i="11"/>
  <c r="I401" i="11"/>
  <c r="P400" i="11"/>
  <c r="I400" i="11"/>
  <c r="Q400" i="11" s="1"/>
  <c r="P399" i="11"/>
  <c r="I399" i="11"/>
  <c r="Q399" i="11" s="1"/>
  <c r="P398" i="11"/>
  <c r="I398" i="11"/>
  <c r="Q398" i="11" s="1"/>
  <c r="P397" i="11"/>
  <c r="I397" i="11"/>
  <c r="P396" i="11"/>
  <c r="I396" i="11"/>
  <c r="Q396" i="11" s="1"/>
  <c r="P395" i="11"/>
  <c r="P403" i="11" s="1"/>
  <c r="I395" i="11"/>
  <c r="Q395" i="11" s="1"/>
  <c r="O387" i="11"/>
  <c r="N387" i="11"/>
  <c r="M387" i="11"/>
  <c r="L387" i="11"/>
  <c r="K387" i="11"/>
  <c r="J387" i="11"/>
  <c r="E387" i="11"/>
  <c r="D387" i="11"/>
  <c r="C387" i="11"/>
  <c r="P386" i="11"/>
  <c r="I386" i="11"/>
  <c r="P385" i="11"/>
  <c r="I385" i="11"/>
  <c r="P384" i="11"/>
  <c r="I384" i="11"/>
  <c r="P383" i="11"/>
  <c r="I383" i="11"/>
  <c r="P382" i="11"/>
  <c r="I382" i="11"/>
  <c r="P381" i="11"/>
  <c r="I381" i="11"/>
  <c r="P380" i="11"/>
  <c r="I380" i="11"/>
  <c r="P379" i="11"/>
  <c r="I379" i="11"/>
  <c r="O371" i="11"/>
  <c r="N371" i="11"/>
  <c r="M371" i="11"/>
  <c r="L371" i="11"/>
  <c r="K371" i="11"/>
  <c r="J371" i="11"/>
  <c r="E371" i="11"/>
  <c r="D371" i="11"/>
  <c r="C371" i="11"/>
  <c r="P370" i="11"/>
  <c r="I370" i="11"/>
  <c r="Q370" i="11" s="1"/>
  <c r="P369" i="11"/>
  <c r="I369" i="11"/>
  <c r="P368" i="11"/>
  <c r="I368" i="11"/>
  <c r="Q368" i="11" s="1"/>
  <c r="P367" i="11"/>
  <c r="I367" i="11"/>
  <c r="P366" i="11"/>
  <c r="I366" i="11"/>
  <c r="Q366" i="11" s="1"/>
  <c r="P365" i="11"/>
  <c r="I365" i="11"/>
  <c r="P364" i="11"/>
  <c r="I364" i="11"/>
  <c r="Q364" i="11" s="1"/>
  <c r="P363" i="11"/>
  <c r="P371" i="11" s="1"/>
  <c r="I363" i="11"/>
  <c r="Q381" i="11" l="1"/>
  <c r="Q383" i="11"/>
  <c r="Q385" i="11"/>
  <c r="Q412" i="11"/>
  <c r="Q414" i="11"/>
  <c r="Q416" i="11"/>
  <c r="Q418" i="11"/>
  <c r="Q411" i="11"/>
  <c r="Q415" i="11"/>
  <c r="Q413" i="11"/>
  <c r="Q417" i="11"/>
  <c r="Q397" i="11"/>
  <c r="Q401" i="11"/>
  <c r="P387" i="11"/>
  <c r="Q382" i="11"/>
  <c r="Q386" i="11"/>
  <c r="Q380" i="11"/>
  <c r="I387" i="11"/>
  <c r="Q384" i="11"/>
  <c r="I419" i="11"/>
  <c r="Q403" i="11"/>
  <c r="I403" i="11"/>
  <c r="Q379" i="11"/>
  <c r="Q387" i="11" s="1"/>
  <c r="Q365" i="11"/>
  <c r="Q369" i="11"/>
  <c r="I371" i="11"/>
  <c r="Q367" i="11"/>
  <c r="Q363" i="11"/>
  <c r="O230" i="11"/>
  <c r="O229" i="11"/>
  <c r="O228" i="11"/>
  <c r="O227" i="11"/>
  <c r="O226" i="11"/>
  <c r="O225" i="11"/>
  <c r="O224" i="11"/>
  <c r="O223" i="11"/>
  <c r="Q419" i="11" l="1"/>
  <c r="Q371" i="11"/>
  <c r="Q76" i="8"/>
  <c r="Q77" i="8"/>
  <c r="Q78" i="8"/>
  <c r="Q79" i="8"/>
  <c r="Q80" i="8"/>
  <c r="Q81" i="8"/>
  <c r="Q82" i="8"/>
  <c r="Q75" i="8"/>
  <c r="Q43" i="8"/>
  <c r="Q44" i="8"/>
  <c r="Q45" i="8"/>
  <c r="Q46" i="8"/>
  <c r="Q47" i="8"/>
  <c r="Q48" i="8"/>
  <c r="Q49" i="8"/>
  <c r="Q42" i="8"/>
  <c r="Q10" i="8"/>
  <c r="Q11" i="8"/>
  <c r="Q12" i="8"/>
  <c r="Q13" i="8"/>
  <c r="Q14" i="8"/>
  <c r="Q15" i="8"/>
  <c r="Q16" i="8"/>
  <c r="Q9" i="8"/>
  <c r="Q76" i="7"/>
  <c r="Q77" i="7"/>
  <c r="Q78" i="7"/>
  <c r="Q79" i="7"/>
  <c r="Q80" i="7"/>
  <c r="Q81" i="7"/>
  <c r="Q82" i="7"/>
  <c r="Q75" i="7"/>
  <c r="Q43" i="7"/>
  <c r="Q44" i="7"/>
  <c r="Q45" i="7"/>
  <c r="Q46" i="7"/>
  <c r="Q47" i="7"/>
  <c r="Q48" i="7"/>
  <c r="Q49" i="7"/>
  <c r="Q42" i="7"/>
  <c r="Q10" i="7"/>
  <c r="Q11" i="7"/>
  <c r="Q12" i="7"/>
  <c r="Q13" i="7"/>
  <c r="Q14" i="7"/>
  <c r="Q15" i="7"/>
  <c r="Q16" i="7"/>
  <c r="Q9" i="7"/>
  <c r="Q76" i="6"/>
  <c r="Q77" i="6"/>
  <c r="Q78" i="6"/>
  <c r="Q79" i="6"/>
  <c r="Q80" i="6"/>
  <c r="Q81" i="6"/>
  <c r="Q82" i="6"/>
  <c r="Q75" i="6"/>
  <c r="Q43" i="6"/>
  <c r="Q44" i="6"/>
  <c r="Q45" i="6"/>
  <c r="Q46" i="6"/>
  <c r="Q47" i="6"/>
  <c r="Q48" i="6"/>
  <c r="Q49" i="6"/>
  <c r="Q42" i="6"/>
  <c r="Q10" i="6"/>
  <c r="Q11" i="6"/>
  <c r="Q12" i="6"/>
  <c r="Q13" i="6"/>
  <c r="Q14" i="6"/>
  <c r="Q15" i="6"/>
  <c r="Q16" i="6"/>
  <c r="Q9" i="6"/>
  <c r="Q76" i="5"/>
  <c r="Q77" i="5"/>
  <c r="Q78" i="5"/>
  <c r="Q79" i="5"/>
  <c r="Q80" i="5"/>
  <c r="Q81" i="5"/>
  <c r="Q82" i="5"/>
  <c r="Q75" i="5"/>
  <c r="Q43" i="5"/>
  <c r="Q44" i="5"/>
  <c r="Q45" i="5"/>
  <c r="Q46" i="5"/>
  <c r="Q47" i="5"/>
  <c r="Q48" i="5"/>
  <c r="Q49" i="5"/>
  <c r="Q42" i="5"/>
  <c r="Q10" i="5"/>
  <c r="Q11" i="5"/>
  <c r="Q12" i="5"/>
  <c r="Q13" i="5"/>
  <c r="Q14" i="5"/>
  <c r="Q15" i="5"/>
  <c r="Q16" i="5"/>
  <c r="Q9" i="5"/>
  <c r="S240" i="11" l="1"/>
  <c r="S247" i="11" s="1"/>
  <c r="S241" i="11"/>
  <c r="S242" i="11"/>
  <c r="S243" i="11"/>
  <c r="S244" i="11"/>
  <c r="S245" i="11"/>
  <c r="N275" i="11" l="1"/>
  <c r="N276" i="11"/>
  <c r="N277" i="11"/>
  <c r="N278" i="11"/>
  <c r="N279" i="11"/>
  <c r="N280" i="11"/>
  <c r="N281" i="11"/>
  <c r="N274" i="11"/>
  <c r="N259" i="11"/>
  <c r="N260" i="11"/>
  <c r="N261" i="11"/>
  <c r="N262" i="11"/>
  <c r="N263" i="11"/>
  <c r="N264" i="11"/>
  <c r="N265" i="11"/>
  <c r="N258" i="11"/>
  <c r="N240" i="11"/>
  <c r="P240" i="11" s="1"/>
  <c r="N241" i="11"/>
  <c r="T241" i="11" s="1"/>
  <c r="N242" i="11"/>
  <c r="T242" i="11" s="1"/>
  <c r="N243" i="11"/>
  <c r="T243" i="11" s="1"/>
  <c r="N244" i="11"/>
  <c r="T244" i="11" s="1"/>
  <c r="N245" i="11"/>
  <c r="T245" i="11" s="1"/>
  <c r="N246" i="11"/>
  <c r="T246" i="11" s="1"/>
  <c r="N239" i="11"/>
  <c r="T239" i="11" s="1"/>
  <c r="N224" i="11"/>
  <c r="N225" i="11"/>
  <c r="N226" i="11"/>
  <c r="N227" i="11"/>
  <c r="N228" i="11"/>
  <c r="N229" i="11"/>
  <c r="N230" i="11"/>
  <c r="N223" i="11"/>
  <c r="N60" i="11"/>
  <c r="N61" i="11"/>
  <c r="N62" i="11"/>
  <c r="N63" i="11"/>
  <c r="N64" i="11"/>
  <c r="N65" i="11"/>
  <c r="N66" i="11"/>
  <c r="N59" i="11"/>
  <c r="N44" i="11"/>
  <c r="N188" i="11" s="1"/>
  <c r="N45" i="11"/>
  <c r="N189" i="11" s="1"/>
  <c r="N46" i="11"/>
  <c r="N190" i="11" s="1"/>
  <c r="N47" i="11"/>
  <c r="N191" i="11" s="1"/>
  <c r="N48" i="11"/>
  <c r="N192" i="11" s="1"/>
  <c r="N49" i="11"/>
  <c r="N193" i="11" s="1"/>
  <c r="N50" i="11"/>
  <c r="N194" i="11" s="1"/>
  <c r="N43" i="11"/>
  <c r="N187" i="11" s="1"/>
  <c r="N24" i="11"/>
  <c r="N168" i="11" s="1"/>
  <c r="N25" i="11"/>
  <c r="N169" i="11" s="1"/>
  <c r="N26" i="11"/>
  <c r="N170" i="11" s="1"/>
  <c r="N27" i="11"/>
  <c r="N171" i="11" s="1"/>
  <c r="N28" i="11"/>
  <c r="N172" i="11" s="1"/>
  <c r="N29" i="11"/>
  <c r="N173" i="11" s="1"/>
  <c r="N30" i="11"/>
  <c r="N174" i="11" s="1"/>
  <c r="N23" i="11"/>
  <c r="N167" i="11" s="1"/>
  <c r="N8" i="11"/>
  <c r="N8" i="12" s="1"/>
  <c r="N9" i="11"/>
  <c r="N9" i="12" s="1"/>
  <c r="N10" i="11"/>
  <c r="N10" i="12" s="1"/>
  <c r="N11" i="11"/>
  <c r="N11" i="12" s="1"/>
  <c r="N12" i="11"/>
  <c r="N12" i="12" s="1"/>
  <c r="N13" i="11"/>
  <c r="N13" i="12" s="1"/>
  <c r="N14" i="11"/>
  <c r="N14" i="12" s="1"/>
  <c r="N7" i="11"/>
  <c r="N7" i="12" s="1"/>
  <c r="N151" i="11" l="1"/>
  <c r="N155" i="11"/>
  <c r="N158" i="11"/>
  <c r="N154" i="11"/>
  <c r="N157" i="11"/>
  <c r="N153" i="11"/>
  <c r="N156" i="11"/>
  <c r="N152" i="11"/>
  <c r="T10" i="1"/>
  <c r="T11" i="1"/>
  <c r="T12" i="1"/>
  <c r="T13" i="1"/>
  <c r="T14" i="1"/>
  <c r="T15" i="1"/>
  <c r="T16" i="1"/>
  <c r="T9" i="1"/>
  <c r="S10" i="1"/>
  <c r="S11" i="1"/>
  <c r="S12" i="1"/>
  <c r="S13" i="1"/>
  <c r="S14" i="1"/>
  <c r="S15" i="1"/>
  <c r="S16" i="1"/>
  <c r="S9" i="1"/>
  <c r="O72" i="14" l="1"/>
  <c r="N72" i="14"/>
  <c r="M72" i="14"/>
  <c r="L72" i="14"/>
  <c r="K72" i="14"/>
  <c r="J72" i="14"/>
  <c r="H72" i="14"/>
  <c r="G72" i="14"/>
  <c r="F72" i="14"/>
  <c r="E72" i="14"/>
  <c r="D72" i="14"/>
  <c r="C72" i="14"/>
  <c r="P71" i="14"/>
  <c r="Q71" i="14" s="1"/>
  <c r="I71" i="14"/>
  <c r="P70" i="14"/>
  <c r="I70" i="14"/>
  <c r="P69" i="14"/>
  <c r="I69" i="14"/>
  <c r="Q68" i="14"/>
  <c r="I68" i="14"/>
  <c r="P67" i="14"/>
  <c r="I67" i="14"/>
  <c r="P66" i="14"/>
  <c r="I66" i="14"/>
  <c r="P65" i="14"/>
  <c r="I65" i="14"/>
  <c r="Q65" i="14" s="1"/>
  <c r="P64" i="14"/>
  <c r="I64" i="14"/>
  <c r="P72" i="14" l="1"/>
  <c r="Q66" i="14"/>
  <c r="I72" i="14"/>
  <c r="Q69" i="14"/>
  <c r="Q70" i="14"/>
  <c r="Q64" i="14"/>
  <c r="Q67" i="14"/>
  <c r="Q72" i="14" l="1"/>
  <c r="M8" i="12"/>
  <c r="L9" i="14" s="1"/>
  <c r="M9" i="12"/>
  <c r="L10" i="14" s="1"/>
  <c r="M10" i="12"/>
  <c r="L11" i="14" s="1"/>
  <c r="M11" i="12"/>
  <c r="L12" i="14" s="1"/>
  <c r="M12" i="12"/>
  <c r="L13" i="14" s="1"/>
  <c r="M13" i="12"/>
  <c r="M14" i="12"/>
  <c r="L15" i="14" s="1"/>
  <c r="M7" i="12"/>
  <c r="L8" i="14" s="1"/>
  <c r="F9" i="14"/>
  <c r="F10" i="14"/>
  <c r="F11" i="14"/>
  <c r="F12" i="14"/>
  <c r="F13" i="14"/>
  <c r="F14" i="14"/>
  <c r="F15" i="14"/>
  <c r="F8" i="14"/>
  <c r="D16" i="14"/>
  <c r="O54" i="14"/>
  <c r="N54" i="14"/>
  <c r="M54" i="14"/>
  <c r="L54" i="14"/>
  <c r="K54" i="14"/>
  <c r="J54" i="14"/>
  <c r="H54" i="14"/>
  <c r="G54" i="14"/>
  <c r="F54" i="14"/>
  <c r="E54" i="14"/>
  <c r="D54" i="14"/>
  <c r="C54" i="14"/>
  <c r="P53" i="14"/>
  <c r="Q53" i="14" s="1"/>
  <c r="I53" i="14"/>
  <c r="P52" i="14"/>
  <c r="I52" i="14"/>
  <c r="P51" i="14"/>
  <c r="I51" i="14"/>
  <c r="P50" i="14"/>
  <c r="Q50" i="14" s="1"/>
  <c r="I50" i="14"/>
  <c r="P49" i="14"/>
  <c r="Q49" i="14" s="1"/>
  <c r="I49" i="14"/>
  <c r="P48" i="14"/>
  <c r="I48" i="14"/>
  <c r="P47" i="14"/>
  <c r="I47" i="14"/>
  <c r="P46" i="14"/>
  <c r="P54" i="14" s="1"/>
  <c r="I46" i="14"/>
  <c r="Q48" i="14" l="1"/>
  <c r="Q52" i="14"/>
  <c r="F16" i="14"/>
  <c r="L16" i="14"/>
  <c r="Q46" i="14"/>
  <c r="Q54" i="14" s="1"/>
  <c r="Q51" i="14"/>
  <c r="Q47" i="14"/>
  <c r="I54" i="14"/>
  <c r="P14" i="11"/>
  <c r="L188" i="11" l="1"/>
  <c r="L189" i="11"/>
  <c r="L190" i="11"/>
  <c r="L191" i="11"/>
  <c r="L192" i="11"/>
  <c r="L208" i="11" s="1"/>
  <c r="L193" i="11"/>
  <c r="L194" i="11"/>
  <c r="L210" i="11" s="1"/>
  <c r="L187" i="11"/>
  <c r="L203" i="11" s="1"/>
  <c r="L168" i="11"/>
  <c r="L169" i="11"/>
  <c r="L170" i="11"/>
  <c r="L171" i="11"/>
  <c r="L172" i="11"/>
  <c r="L173" i="11"/>
  <c r="L174" i="11"/>
  <c r="L167" i="11"/>
  <c r="L152" i="11"/>
  <c r="L153" i="11"/>
  <c r="L154" i="11"/>
  <c r="L155" i="11"/>
  <c r="L156" i="11"/>
  <c r="L157" i="11"/>
  <c r="L158" i="11"/>
  <c r="L151" i="11"/>
  <c r="L59" i="11"/>
  <c r="H83" i="5"/>
  <c r="Q44" i="4"/>
  <c r="D38" i="10" s="1"/>
  <c r="Q45" i="4"/>
  <c r="D39" i="10" s="1"/>
  <c r="Q46" i="4"/>
  <c r="D40" i="10" s="1"/>
  <c r="Q47" i="4"/>
  <c r="D41" i="10" s="1"/>
  <c r="Q48" i="4"/>
  <c r="D42" i="10" s="1"/>
  <c r="Q50" i="4" l="1"/>
  <c r="L13" i="12"/>
  <c r="J14" i="14" s="1"/>
  <c r="K24" i="12" l="1"/>
  <c r="S24" i="12" s="1"/>
  <c r="K25" i="12"/>
  <c r="S25" i="12" s="1"/>
  <c r="K26" i="12"/>
  <c r="S26" i="12" s="1"/>
  <c r="K27" i="12"/>
  <c r="S27" i="12" s="1"/>
  <c r="K28" i="12"/>
  <c r="S28" i="12" s="1"/>
  <c r="K29" i="12"/>
  <c r="S29" i="12" s="1"/>
  <c r="K30" i="12"/>
  <c r="S30" i="12" s="1"/>
  <c r="K23" i="12"/>
  <c r="S23" i="12" s="1"/>
  <c r="L8" i="12"/>
  <c r="J9" i="14" s="1"/>
  <c r="L9" i="12"/>
  <c r="J10" i="14" s="1"/>
  <c r="L10" i="12"/>
  <c r="J11" i="14" s="1"/>
  <c r="L11" i="12"/>
  <c r="J12" i="14" s="1"/>
  <c r="L12" i="12"/>
  <c r="J13" i="14" s="1"/>
  <c r="L14" i="12"/>
  <c r="J15" i="14" s="1"/>
  <c r="L7" i="12"/>
  <c r="J8" i="14" s="1"/>
  <c r="K8" i="12"/>
  <c r="K9" i="12"/>
  <c r="K10" i="12"/>
  <c r="K11" i="12"/>
  <c r="K12" i="12"/>
  <c r="K13" i="12"/>
  <c r="U13" i="12" s="1"/>
  <c r="K14" i="12"/>
  <c r="U14" i="12" s="1"/>
  <c r="K7" i="12"/>
  <c r="U7" i="12" s="1"/>
  <c r="H12" i="14" l="1"/>
  <c r="U11" i="12"/>
  <c r="H13" i="14"/>
  <c r="U12" i="12"/>
  <c r="H11" i="14"/>
  <c r="U10" i="12"/>
  <c r="H9" i="14"/>
  <c r="U8" i="12"/>
  <c r="U15" i="12" s="1"/>
  <c r="S31" i="12"/>
  <c r="H10" i="14"/>
  <c r="U9" i="12"/>
  <c r="H8" i="14"/>
  <c r="S7" i="12"/>
  <c r="T7" i="12" s="1"/>
  <c r="S14" i="12"/>
  <c r="H15" i="14"/>
  <c r="J16" i="14"/>
  <c r="S13" i="12"/>
  <c r="H14" i="14"/>
  <c r="S12" i="12"/>
  <c r="S8" i="12"/>
  <c r="S11" i="12"/>
  <c r="S9" i="12"/>
  <c r="S10" i="12"/>
  <c r="K15" i="12"/>
  <c r="S15" i="12" l="1"/>
  <c r="H16" i="14"/>
  <c r="G116" i="9"/>
  <c r="I7" i="11" l="1"/>
  <c r="P26" i="14" l="1"/>
  <c r="P27" i="14"/>
  <c r="P28" i="14"/>
  <c r="P29" i="14"/>
  <c r="P30" i="14"/>
  <c r="P31" i="14"/>
  <c r="P32" i="14"/>
  <c r="P25" i="14"/>
  <c r="N26" i="14"/>
  <c r="N27" i="14"/>
  <c r="N28" i="14"/>
  <c r="N29" i="14"/>
  <c r="N30" i="14"/>
  <c r="N31" i="14"/>
  <c r="N32" i="14"/>
  <c r="N25" i="14"/>
  <c r="L26" i="14"/>
  <c r="L27" i="14"/>
  <c r="L28" i="14"/>
  <c r="L29" i="14"/>
  <c r="L30" i="14"/>
  <c r="L31" i="14"/>
  <c r="L32" i="14"/>
  <c r="L25" i="14"/>
  <c r="J26" i="14"/>
  <c r="J27" i="14"/>
  <c r="J28" i="14"/>
  <c r="J29" i="14"/>
  <c r="J30" i="14"/>
  <c r="J31" i="14"/>
  <c r="J32" i="14"/>
  <c r="J25" i="14"/>
  <c r="H26" i="14"/>
  <c r="H27" i="14"/>
  <c r="H28" i="14"/>
  <c r="H29" i="14"/>
  <c r="H30" i="14"/>
  <c r="H31" i="14"/>
  <c r="H32" i="14"/>
  <c r="H25" i="14"/>
  <c r="F26" i="14"/>
  <c r="F27" i="14"/>
  <c r="F28" i="14"/>
  <c r="F29" i="14"/>
  <c r="F30" i="14"/>
  <c r="F31" i="14"/>
  <c r="F32" i="14"/>
  <c r="F25" i="14"/>
  <c r="O26" i="14"/>
  <c r="O28" i="14"/>
  <c r="O30" i="14"/>
  <c r="O31" i="14"/>
  <c r="O32" i="14"/>
  <c r="O25" i="14"/>
  <c r="M26" i="14"/>
  <c r="M27" i="14"/>
  <c r="M28" i="14"/>
  <c r="M29" i="14"/>
  <c r="M30" i="14"/>
  <c r="M31" i="14"/>
  <c r="M32" i="14"/>
  <c r="M25" i="14"/>
  <c r="K26" i="14"/>
  <c r="K27" i="14"/>
  <c r="K28" i="14"/>
  <c r="K29" i="14"/>
  <c r="K30" i="14"/>
  <c r="K31" i="14"/>
  <c r="K32" i="14"/>
  <c r="K25" i="14"/>
  <c r="I26" i="14"/>
  <c r="I27" i="14"/>
  <c r="I28" i="14"/>
  <c r="I29" i="14"/>
  <c r="I30" i="14"/>
  <c r="I31" i="14"/>
  <c r="I32" i="14"/>
  <c r="G26" i="14"/>
  <c r="G27" i="14"/>
  <c r="G28" i="14"/>
  <c r="G29" i="14"/>
  <c r="G30" i="14"/>
  <c r="G31" i="14"/>
  <c r="G32" i="14"/>
  <c r="I25" i="14"/>
  <c r="G25" i="14"/>
  <c r="E26" i="14"/>
  <c r="E27" i="14"/>
  <c r="E28" i="14"/>
  <c r="E29" i="14"/>
  <c r="E30" i="14"/>
  <c r="E31" i="14"/>
  <c r="E32" i="14"/>
  <c r="E25" i="14"/>
  <c r="N9" i="14"/>
  <c r="N10" i="14"/>
  <c r="N11" i="14"/>
  <c r="N12" i="14"/>
  <c r="N13" i="14"/>
  <c r="N14" i="14"/>
  <c r="N15" i="14"/>
  <c r="P9" i="14"/>
  <c r="P10" i="14"/>
  <c r="P11" i="14"/>
  <c r="P12" i="14"/>
  <c r="P13" i="14"/>
  <c r="P14" i="14"/>
  <c r="P15" i="14"/>
  <c r="P8" i="14"/>
  <c r="N8" i="14"/>
  <c r="O9" i="14"/>
  <c r="O10" i="14"/>
  <c r="O11" i="14"/>
  <c r="O12" i="14"/>
  <c r="O13" i="14"/>
  <c r="O14" i="14"/>
  <c r="O15" i="14"/>
  <c r="M9" i="14"/>
  <c r="M10" i="14"/>
  <c r="M11" i="14"/>
  <c r="M12" i="14"/>
  <c r="M13" i="14"/>
  <c r="M14" i="14"/>
  <c r="M15" i="14"/>
  <c r="K9" i="14"/>
  <c r="K10" i="14"/>
  <c r="K11" i="14"/>
  <c r="K12" i="14"/>
  <c r="K13" i="14"/>
  <c r="K14" i="14"/>
  <c r="K15" i="14"/>
  <c r="I9" i="14"/>
  <c r="I10" i="14"/>
  <c r="I11" i="14"/>
  <c r="I12" i="14"/>
  <c r="I13" i="14"/>
  <c r="I14" i="14"/>
  <c r="I15" i="14"/>
  <c r="G9" i="14"/>
  <c r="G10" i="14"/>
  <c r="G11" i="14"/>
  <c r="G12" i="14"/>
  <c r="G13" i="14"/>
  <c r="G14" i="14"/>
  <c r="G15" i="14"/>
  <c r="O8" i="14"/>
  <c r="M8" i="14"/>
  <c r="K8" i="14"/>
  <c r="I8" i="14"/>
  <c r="G8" i="14"/>
  <c r="E9" i="14"/>
  <c r="E10" i="14"/>
  <c r="E11" i="14"/>
  <c r="E12" i="14"/>
  <c r="E13" i="14"/>
  <c r="E14" i="14"/>
  <c r="E15" i="14"/>
  <c r="E8" i="14"/>
  <c r="Q30" i="14" l="1"/>
  <c r="Q26" i="14"/>
  <c r="R13" i="14"/>
  <c r="T13" i="14" s="1"/>
  <c r="Q32" i="14"/>
  <c r="Q28" i="14"/>
  <c r="Q25" i="14"/>
  <c r="R10" i="14"/>
  <c r="T10" i="14" s="1"/>
  <c r="Q14" i="14"/>
  <c r="R26" i="14"/>
  <c r="Q10" i="14"/>
  <c r="Q13" i="14"/>
  <c r="Q15" i="14"/>
  <c r="Q11" i="14"/>
  <c r="I16" i="14"/>
  <c r="O33" i="14"/>
  <c r="R25" i="14"/>
  <c r="R30" i="14"/>
  <c r="Q9" i="14"/>
  <c r="R15" i="14"/>
  <c r="T15" i="14" s="1"/>
  <c r="R11" i="14"/>
  <c r="T11" i="14" s="1"/>
  <c r="Q12" i="14"/>
  <c r="R9" i="14"/>
  <c r="T9" i="14" s="1"/>
  <c r="R28" i="14"/>
  <c r="M16" i="14"/>
  <c r="N16" i="14"/>
  <c r="R31" i="14"/>
  <c r="R32" i="14"/>
  <c r="K16" i="14"/>
  <c r="E16" i="14"/>
  <c r="G16" i="14"/>
  <c r="O16" i="14"/>
  <c r="Q8" i="14"/>
  <c r="P16" i="14"/>
  <c r="R27" i="14"/>
  <c r="R29" i="14"/>
  <c r="Q29" i="14"/>
  <c r="Q31" i="14"/>
  <c r="Q27" i="14"/>
  <c r="R12" i="14"/>
  <c r="T12" i="14" s="1"/>
  <c r="R14" i="14"/>
  <c r="T14" i="14" s="1"/>
  <c r="R8" i="14"/>
  <c r="T8" i="14" s="1"/>
  <c r="O69" i="13"/>
  <c r="P33" i="14" s="1"/>
  <c r="N69" i="13"/>
  <c r="N33" i="14" s="1"/>
  <c r="M69" i="13"/>
  <c r="L33" i="14" s="1"/>
  <c r="L69" i="13"/>
  <c r="J33" i="14" s="1"/>
  <c r="K69" i="13"/>
  <c r="H33" i="14" s="1"/>
  <c r="J69" i="13"/>
  <c r="F33" i="14" s="1"/>
  <c r="H69" i="13"/>
  <c r="G69" i="13"/>
  <c r="F69" i="13"/>
  <c r="E69" i="13"/>
  <c r="D69" i="13"/>
  <c r="C69" i="13"/>
  <c r="P68" i="13"/>
  <c r="I68" i="13"/>
  <c r="P67" i="13"/>
  <c r="Q67" i="13" s="1"/>
  <c r="I67" i="13"/>
  <c r="D31" i="14" s="1"/>
  <c r="P66" i="13"/>
  <c r="I66" i="13"/>
  <c r="D30" i="14" s="1"/>
  <c r="P65" i="13"/>
  <c r="I65" i="13"/>
  <c r="D29" i="14" s="1"/>
  <c r="P64" i="13"/>
  <c r="I64" i="13"/>
  <c r="P63" i="13"/>
  <c r="I63" i="13"/>
  <c r="D27" i="14" s="1"/>
  <c r="P62" i="13"/>
  <c r="I62" i="13"/>
  <c r="D26" i="14" s="1"/>
  <c r="P61" i="13"/>
  <c r="I61" i="13"/>
  <c r="D25" i="14" s="1"/>
  <c r="O52" i="13"/>
  <c r="N52" i="13"/>
  <c r="M33" i="14" s="1"/>
  <c r="M52" i="13"/>
  <c r="K33" i="14" s="1"/>
  <c r="L52" i="13"/>
  <c r="I33" i="14" s="1"/>
  <c r="K52" i="13"/>
  <c r="G33" i="14" s="1"/>
  <c r="J52" i="13"/>
  <c r="E33" i="14" s="1"/>
  <c r="H52" i="13"/>
  <c r="G52" i="13"/>
  <c r="F52" i="13"/>
  <c r="E52" i="13"/>
  <c r="D52" i="13"/>
  <c r="C52" i="13"/>
  <c r="P51" i="13"/>
  <c r="I51" i="13"/>
  <c r="C32" i="14" s="1"/>
  <c r="S32" i="14" s="1"/>
  <c r="P50" i="13"/>
  <c r="I50" i="13"/>
  <c r="C31" i="14" s="1"/>
  <c r="S31" i="14" s="1"/>
  <c r="P49" i="13"/>
  <c r="I49" i="13"/>
  <c r="C30" i="14" s="1"/>
  <c r="S30" i="14" s="1"/>
  <c r="I48" i="13"/>
  <c r="P47" i="13"/>
  <c r="I47" i="13"/>
  <c r="C28" i="14" s="1"/>
  <c r="S28" i="14" s="1"/>
  <c r="P46" i="13"/>
  <c r="I46" i="13"/>
  <c r="P45" i="13"/>
  <c r="I45" i="13"/>
  <c r="C26" i="14" s="1"/>
  <c r="S26" i="14" s="1"/>
  <c r="P44" i="13"/>
  <c r="I44" i="13"/>
  <c r="C25" i="14" s="1"/>
  <c r="S25" i="14" s="1"/>
  <c r="O33" i="13"/>
  <c r="N33" i="13"/>
  <c r="M33" i="13"/>
  <c r="L33" i="13"/>
  <c r="K33" i="13"/>
  <c r="J33" i="13"/>
  <c r="H33" i="13"/>
  <c r="G33" i="13"/>
  <c r="F33" i="13"/>
  <c r="E33" i="13"/>
  <c r="D33" i="13"/>
  <c r="C33" i="13"/>
  <c r="P32" i="13"/>
  <c r="I32" i="13"/>
  <c r="Q32" i="13" s="1"/>
  <c r="P31" i="13"/>
  <c r="I31" i="13"/>
  <c r="Q31" i="13" s="1"/>
  <c r="P30" i="13"/>
  <c r="I30" i="13"/>
  <c r="P29" i="13"/>
  <c r="I29" i="13"/>
  <c r="Q29" i="13" s="1"/>
  <c r="P28" i="13"/>
  <c r="I28" i="13"/>
  <c r="P27" i="13"/>
  <c r="I27" i="13"/>
  <c r="Q27" i="13" s="1"/>
  <c r="P26" i="13"/>
  <c r="I26" i="13"/>
  <c r="P25" i="13"/>
  <c r="I25" i="13"/>
  <c r="O16" i="13"/>
  <c r="N16" i="13"/>
  <c r="M16" i="13"/>
  <c r="L16" i="13"/>
  <c r="K16" i="13"/>
  <c r="J16" i="13"/>
  <c r="H16" i="13"/>
  <c r="G16" i="13"/>
  <c r="F16" i="13"/>
  <c r="E16" i="13"/>
  <c r="D16" i="13"/>
  <c r="C16" i="13"/>
  <c r="P15" i="13"/>
  <c r="I15" i="13"/>
  <c r="C15" i="14" s="1"/>
  <c r="P14" i="13"/>
  <c r="I14" i="13"/>
  <c r="C14" i="14" s="1"/>
  <c r="P13" i="13"/>
  <c r="I13" i="13"/>
  <c r="C13" i="14" s="1"/>
  <c r="P12" i="13"/>
  <c r="I12" i="13"/>
  <c r="C12" i="14" s="1"/>
  <c r="P11" i="13"/>
  <c r="I11" i="13"/>
  <c r="C11" i="14" s="1"/>
  <c r="P10" i="13"/>
  <c r="I10" i="13"/>
  <c r="C10" i="14" s="1"/>
  <c r="P9" i="13"/>
  <c r="I9" i="13"/>
  <c r="C9" i="14" s="1"/>
  <c r="P8" i="13"/>
  <c r="I8" i="13"/>
  <c r="C8" i="14" s="1"/>
  <c r="Q64" i="13" l="1"/>
  <c r="D28" i="14"/>
  <c r="T28" i="14" s="1"/>
  <c r="U28" i="14" s="1"/>
  <c r="Q68" i="13"/>
  <c r="D32" i="14"/>
  <c r="T29" i="14"/>
  <c r="T32" i="14"/>
  <c r="U32" i="14" s="1"/>
  <c r="S12" i="14"/>
  <c r="U12" i="14" s="1"/>
  <c r="T30" i="14"/>
  <c r="U30" i="14" s="1"/>
  <c r="S11" i="14"/>
  <c r="S13" i="14"/>
  <c r="U13" i="14" s="1"/>
  <c r="T26" i="14"/>
  <c r="U26" i="14"/>
  <c r="Q46" i="13"/>
  <c r="C27" i="14"/>
  <c r="S27" i="14" s="1"/>
  <c r="U27" i="14" s="1"/>
  <c r="Q48" i="13"/>
  <c r="C29" i="14"/>
  <c r="S29" i="14" s="1"/>
  <c r="U29" i="14" s="1"/>
  <c r="U14" i="14"/>
  <c r="T27" i="14"/>
  <c r="T31" i="14"/>
  <c r="U31" i="14" s="1"/>
  <c r="U11" i="14"/>
  <c r="S9" i="14"/>
  <c r="U9" i="14" s="1"/>
  <c r="T25" i="14"/>
  <c r="U25" i="14" s="1"/>
  <c r="S15" i="14"/>
  <c r="U15" i="14" s="1"/>
  <c r="S10" i="14"/>
  <c r="U10" i="14" s="1"/>
  <c r="S14" i="14"/>
  <c r="S33" i="14"/>
  <c r="Q16" i="14"/>
  <c r="S16" i="14" s="1"/>
  <c r="S8" i="14"/>
  <c r="U8" i="14" s="1"/>
  <c r="R33" i="14"/>
  <c r="T33" i="14" s="1"/>
  <c r="Q33" i="14"/>
  <c r="R16" i="14"/>
  <c r="T16" i="14" s="1"/>
  <c r="Q45" i="13"/>
  <c r="Q47" i="13"/>
  <c r="Q62" i="13"/>
  <c r="Q50" i="13"/>
  <c r="Q63" i="13"/>
  <c r="Q65" i="13"/>
  <c r="I69" i="13"/>
  <c r="D33" i="14" s="1"/>
  <c r="P52" i="13"/>
  <c r="Q66" i="13"/>
  <c r="P69" i="13"/>
  <c r="Q28" i="13"/>
  <c r="Q51" i="13"/>
  <c r="Q61" i="13"/>
  <c r="Q26" i="13"/>
  <c r="Q49" i="13"/>
  <c r="I52" i="13"/>
  <c r="C33" i="14" s="1"/>
  <c r="Q44" i="13"/>
  <c r="I33" i="13"/>
  <c r="Q30" i="13"/>
  <c r="Q9" i="13"/>
  <c r="Q11" i="13"/>
  <c r="Q13" i="13"/>
  <c r="Q15" i="13"/>
  <c r="Q12" i="13"/>
  <c r="P33" i="13"/>
  <c r="P16" i="13"/>
  <c r="Q10" i="13"/>
  <c r="Q14" i="13"/>
  <c r="Q25" i="13"/>
  <c r="Q8" i="13"/>
  <c r="I16" i="13"/>
  <c r="C16" i="14" s="1"/>
  <c r="G116" i="4"/>
  <c r="U16" i="14" l="1"/>
  <c r="U33" i="14"/>
  <c r="Q69" i="13"/>
  <c r="Q33" i="13"/>
  <c r="Q52" i="13"/>
  <c r="Q16" i="13"/>
  <c r="O118" i="12" l="1"/>
  <c r="N118" i="12"/>
  <c r="M118" i="12"/>
  <c r="L118" i="12"/>
  <c r="K118" i="12"/>
  <c r="J118" i="12"/>
  <c r="H118" i="12"/>
  <c r="G118" i="12"/>
  <c r="F118" i="12"/>
  <c r="E118" i="12"/>
  <c r="D118" i="12"/>
  <c r="C118" i="12"/>
  <c r="P117" i="12"/>
  <c r="I117" i="12"/>
  <c r="P116" i="12"/>
  <c r="I116" i="12"/>
  <c r="P115" i="12"/>
  <c r="Q115" i="12" s="1"/>
  <c r="I115" i="12"/>
  <c r="P114" i="12"/>
  <c r="I114" i="12"/>
  <c r="P113" i="12"/>
  <c r="I113" i="12"/>
  <c r="P112" i="12"/>
  <c r="I112" i="12"/>
  <c r="P111" i="12"/>
  <c r="Q111" i="12" s="1"/>
  <c r="I111" i="12"/>
  <c r="P110" i="12"/>
  <c r="I110" i="12"/>
  <c r="F100" i="12"/>
  <c r="G100" i="12"/>
  <c r="H100" i="12"/>
  <c r="Q112" i="12" l="1"/>
  <c r="Q114" i="12"/>
  <c r="Q116" i="12"/>
  <c r="Q117" i="12"/>
  <c r="I118" i="12"/>
  <c r="P118" i="12"/>
  <c r="Q113" i="12"/>
  <c r="Q110" i="12"/>
  <c r="Q118" i="12" l="1"/>
  <c r="O100" i="12"/>
  <c r="N100" i="12"/>
  <c r="M100" i="12"/>
  <c r="L100" i="12"/>
  <c r="K100" i="12"/>
  <c r="J100" i="12"/>
  <c r="E100" i="12"/>
  <c r="D100" i="12"/>
  <c r="C100" i="12"/>
  <c r="P99" i="12"/>
  <c r="I99" i="12"/>
  <c r="P98" i="12"/>
  <c r="I98" i="12"/>
  <c r="P97" i="12"/>
  <c r="I97" i="12"/>
  <c r="P96" i="12"/>
  <c r="I96" i="12"/>
  <c r="P95" i="12"/>
  <c r="I95" i="12"/>
  <c r="P94" i="12"/>
  <c r="I94" i="12"/>
  <c r="P93" i="12"/>
  <c r="I93" i="12"/>
  <c r="P92" i="12"/>
  <c r="I92" i="12"/>
  <c r="Q96" i="12" l="1"/>
  <c r="Q98" i="12"/>
  <c r="Q95" i="12"/>
  <c r="P100" i="12"/>
  <c r="Q94" i="12"/>
  <c r="Q99" i="12"/>
  <c r="I100" i="12"/>
  <c r="Q97" i="12"/>
  <c r="Q93" i="12"/>
  <c r="Q92" i="12"/>
  <c r="Q100" i="12" l="1"/>
  <c r="O84" i="12"/>
  <c r="N84" i="12"/>
  <c r="M84" i="12"/>
  <c r="L84" i="12"/>
  <c r="K84" i="12"/>
  <c r="J84" i="12"/>
  <c r="E84" i="12"/>
  <c r="D84" i="12"/>
  <c r="C84" i="12"/>
  <c r="P83" i="12"/>
  <c r="I83" i="12"/>
  <c r="P82" i="12"/>
  <c r="I82" i="12"/>
  <c r="P81" i="12"/>
  <c r="I81" i="12"/>
  <c r="P80" i="12"/>
  <c r="I80" i="12"/>
  <c r="P79" i="12"/>
  <c r="I79" i="12"/>
  <c r="P78" i="12"/>
  <c r="I78" i="12"/>
  <c r="P77" i="12"/>
  <c r="I77" i="12"/>
  <c r="P76" i="12"/>
  <c r="Q76" i="12" s="1"/>
  <c r="I76" i="12"/>
  <c r="Q78" i="12" l="1"/>
  <c r="Q81" i="12"/>
  <c r="Q82" i="12"/>
  <c r="Q77" i="12"/>
  <c r="Q79" i="12"/>
  <c r="Q80" i="12"/>
  <c r="I84" i="12"/>
  <c r="Q83" i="12"/>
  <c r="P84" i="12"/>
  <c r="O66" i="12"/>
  <c r="N66" i="12"/>
  <c r="M66" i="12"/>
  <c r="L66" i="12"/>
  <c r="K66" i="12"/>
  <c r="J66" i="12"/>
  <c r="H66" i="12"/>
  <c r="G66" i="12"/>
  <c r="F66" i="12"/>
  <c r="E66" i="12"/>
  <c r="D66" i="12"/>
  <c r="C66" i="12"/>
  <c r="P65" i="12"/>
  <c r="I65" i="12"/>
  <c r="P64" i="12"/>
  <c r="I64" i="12"/>
  <c r="P63" i="12"/>
  <c r="I63" i="12"/>
  <c r="P62" i="12"/>
  <c r="I62" i="12"/>
  <c r="P61" i="12"/>
  <c r="I61" i="12"/>
  <c r="Q61" i="12" s="1"/>
  <c r="P60" i="12"/>
  <c r="I60" i="12"/>
  <c r="P59" i="12"/>
  <c r="I59" i="12"/>
  <c r="Q59" i="12" s="1"/>
  <c r="P58" i="12"/>
  <c r="I58" i="12"/>
  <c r="Q84" i="12" l="1"/>
  <c r="I66" i="12"/>
  <c r="Q62" i="12"/>
  <c r="Q65" i="12"/>
  <c r="Q63" i="12"/>
  <c r="P66" i="12"/>
  <c r="Q60" i="12"/>
  <c r="Q64" i="12"/>
  <c r="Q58" i="12"/>
  <c r="Q66" i="12" l="1"/>
  <c r="O50" i="12"/>
  <c r="N50" i="12"/>
  <c r="M50" i="12"/>
  <c r="L50" i="12"/>
  <c r="K50" i="12"/>
  <c r="J50" i="12"/>
  <c r="H50" i="12"/>
  <c r="G50" i="12"/>
  <c r="F50" i="12"/>
  <c r="E50" i="12"/>
  <c r="D50" i="12"/>
  <c r="C50" i="12"/>
  <c r="P49" i="12"/>
  <c r="I49" i="12"/>
  <c r="P48" i="12"/>
  <c r="I48" i="12"/>
  <c r="P47" i="12"/>
  <c r="I47" i="12"/>
  <c r="P46" i="12"/>
  <c r="I46" i="12"/>
  <c r="P45" i="12"/>
  <c r="I45" i="12"/>
  <c r="P44" i="12"/>
  <c r="I44" i="12"/>
  <c r="P43" i="12"/>
  <c r="I43" i="12"/>
  <c r="P42" i="12"/>
  <c r="I42" i="12"/>
  <c r="H31" i="12"/>
  <c r="D31" i="12"/>
  <c r="E31" i="12"/>
  <c r="F31" i="12"/>
  <c r="G31" i="12"/>
  <c r="C31" i="12"/>
  <c r="Q45" i="12" l="1"/>
  <c r="Q47" i="12"/>
  <c r="Q49" i="12"/>
  <c r="Q43" i="12"/>
  <c r="Q46" i="12"/>
  <c r="P50" i="12"/>
  <c r="Q44" i="12"/>
  <c r="Q48" i="12"/>
  <c r="Q42" i="12"/>
  <c r="I50" i="12"/>
  <c r="Q50" i="12" l="1"/>
  <c r="O31" i="12"/>
  <c r="N31" i="12"/>
  <c r="M31" i="12"/>
  <c r="L31" i="12"/>
  <c r="K31" i="12"/>
  <c r="J31" i="12"/>
  <c r="P30" i="12"/>
  <c r="I30" i="12"/>
  <c r="P29" i="12"/>
  <c r="I29" i="12"/>
  <c r="P28" i="12"/>
  <c r="I28" i="12"/>
  <c r="P27" i="12"/>
  <c r="I27" i="12"/>
  <c r="Q27" i="12" s="1"/>
  <c r="P26" i="12"/>
  <c r="I26" i="12"/>
  <c r="P25" i="12"/>
  <c r="I25" i="12"/>
  <c r="P24" i="12"/>
  <c r="I24" i="12"/>
  <c r="P23" i="12"/>
  <c r="I23" i="12"/>
  <c r="Q23" i="12" s="1"/>
  <c r="J15" i="12"/>
  <c r="G15" i="12"/>
  <c r="H15" i="12"/>
  <c r="F15" i="12"/>
  <c r="E15" i="12"/>
  <c r="O15" i="12"/>
  <c r="N15" i="12"/>
  <c r="L15" i="12"/>
  <c r="D15" i="12"/>
  <c r="C15" i="12"/>
  <c r="P14" i="12"/>
  <c r="I14" i="12"/>
  <c r="P13" i="12"/>
  <c r="I13" i="12"/>
  <c r="P12" i="12"/>
  <c r="I12" i="12"/>
  <c r="P11" i="12"/>
  <c r="I11" i="12"/>
  <c r="P10" i="12"/>
  <c r="I10" i="12"/>
  <c r="P9" i="12"/>
  <c r="I9" i="12"/>
  <c r="P8" i="12"/>
  <c r="I8" i="12"/>
  <c r="I7" i="12"/>
  <c r="Q10" i="12" l="1"/>
  <c r="Q14" i="12"/>
  <c r="Q9" i="12"/>
  <c r="Q12" i="12"/>
  <c r="Q28" i="12"/>
  <c r="Q30" i="12"/>
  <c r="Q26" i="12"/>
  <c r="P31" i="12"/>
  <c r="Q24" i="12"/>
  <c r="Q29" i="12"/>
  <c r="Q25" i="12"/>
  <c r="I31" i="12"/>
  <c r="Q8" i="12"/>
  <c r="Q13" i="12"/>
  <c r="Q11" i="12"/>
  <c r="I15" i="12"/>
  <c r="Q31" i="12" l="1"/>
  <c r="Q76" i="9" l="1"/>
  <c r="Q77" i="9"/>
  <c r="Q78" i="9"/>
  <c r="Q79" i="9"/>
  <c r="Q80" i="9"/>
  <c r="Q81" i="9"/>
  <c r="Q82" i="9"/>
  <c r="Q75" i="9"/>
  <c r="Q43" i="9"/>
  <c r="Q44" i="9"/>
  <c r="Q45" i="9"/>
  <c r="Q47" i="9"/>
  <c r="Q48" i="9"/>
  <c r="Q49" i="9"/>
  <c r="Q42" i="9"/>
  <c r="Q76" i="1" l="1"/>
  <c r="Q77" i="1"/>
  <c r="Q78" i="1"/>
  <c r="Q79" i="1"/>
  <c r="Q80" i="1"/>
  <c r="Q81" i="1"/>
  <c r="Q82" i="1"/>
  <c r="Q75" i="1"/>
  <c r="Q43" i="1"/>
  <c r="Q44" i="1"/>
  <c r="Q45" i="1"/>
  <c r="Q46" i="1"/>
  <c r="Q47" i="1"/>
  <c r="Q48" i="1"/>
  <c r="Q49" i="1"/>
  <c r="Q42" i="1"/>
  <c r="I317" i="11"/>
  <c r="I312" i="11"/>
  <c r="I311" i="11"/>
  <c r="H318" i="11"/>
  <c r="F318" i="11"/>
  <c r="G318" i="11"/>
  <c r="D302" i="11"/>
  <c r="O354" i="11"/>
  <c r="N354" i="11"/>
  <c r="M354" i="11"/>
  <c r="L354" i="11"/>
  <c r="K354" i="11"/>
  <c r="O338" i="11"/>
  <c r="N338" i="11"/>
  <c r="M338" i="11"/>
  <c r="L338" i="11"/>
  <c r="K338" i="11"/>
  <c r="J338" i="11"/>
  <c r="H338" i="11"/>
  <c r="G338" i="11"/>
  <c r="F338" i="11"/>
  <c r="F354" i="11" s="1"/>
  <c r="E338" i="11"/>
  <c r="D338" i="11"/>
  <c r="C338" i="11"/>
  <c r="P337" i="11"/>
  <c r="I337" i="11"/>
  <c r="I353" i="11" s="1"/>
  <c r="P336" i="11"/>
  <c r="I336" i="11"/>
  <c r="P335" i="11"/>
  <c r="I335" i="11"/>
  <c r="P334" i="11"/>
  <c r="I334" i="11"/>
  <c r="P333" i="11"/>
  <c r="I333" i="11"/>
  <c r="P332" i="11"/>
  <c r="I332" i="11"/>
  <c r="I348" i="11" s="1"/>
  <c r="P331" i="11"/>
  <c r="I331" i="11"/>
  <c r="P330" i="11"/>
  <c r="I330" i="11"/>
  <c r="I338" i="11" s="1"/>
  <c r="O318" i="11"/>
  <c r="N318" i="11"/>
  <c r="M318" i="11"/>
  <c r="L318" i="11"/>
  <c r="K318" i="11"/>
  <c r="J318" i="11"/>
  <c r="E318" i="11"/>
  <c r="E354" i="11" s="1"/>
  <c r="D318" i="11"/>
  <c r="C318" i="11"/>
  <c r="P317" i="11"/>
  <c r="P316" i="11"/>
  <c r="I316" i="11"/>
  <c r="P315" i="11"/>
  <c r="I315" i="11"/>
  <c r="P314" i="11"/>
  <c r="I314" i="11"/>
  <c r="P313" i="11"/>
  <c r="I313" i="11"/>
  <c r="P312" i="11"/>
  <c r="P311" i="11"/>
  <c r="P310" i="11"/>
  <c r="I310" i="11"/>
  <c r="O302" i="11"/>
  <c r="N302" i="11"/>
  <c r="M302" i="11"/>
  <c r="L302" i="11"/>
  <c r="K302" i="11"/>
  <c r="J302" i="11"/>
  <c r="E302" i="11"/>
  <c r="C302" i="11"/>
  <c r="P301" i="11"/>
  <c r="I301" i="11"/>
  <c r="P300" i="11"/>
  <c r="I300" i="11"/>
  <c r="P299" i="11"/>
  <c r="I299" i="11"/>
  <c r="P298" i="11"/>
  <c r="I298" i="11"/>
  <c r="P297" i="11"/>
  <c r="I297" i="11"/>
  <c r="P296" i="11"/>
  <c r="I296" i="11"/>
  <c r="P295" i="11"/>
  <c r="I295" i="11"/>
  <c r="P294" i="11"/>
  <c r="I294" i="11"/>
  <c r="I302" i="11" s="1"/>
  <c r="D247" i="11"/>
  <c r="E247" i="11"/>
  <c r="C247" i="11"/>
  <c r="I223" i="11"/>
  <c r="O282" i="11"/>
  <c r="M282" i="11"/>
  <c r="L282" i="11"/>
  <c r="K282" i="11"/>
  <c r="O266" i="11"/>
  <c r="N266" i="11"/>
  <c r="M266" i="11"/>
  <c r="L266" i="11"/>
  <c r="K266" i="11"/>
  <c r="J266" i="11"/>
  <c r="H266" i="11"/>
  <c r="G266" i="11"/>
  <c r="F266" i="11"/>
  <c r="E266" i="11"/>
  <c r="D266" i="11"/>
  <c r="C266" i="11"/>
  <c r="P265" i="11"/>
  <c r="I265" i="11"/>
  <c r="P264" i="11"/>
  <c r="I264" i="11"/>
  <c r="P263" i="11"/>
  <c r="I263" i="11"/>
  <c r="P262" i="11"/>
  <c r="I262" i="11"/>
  <c r="P261" i="11"/>
  <c r="I261" i="11"/>
  <c r="P260" i="11"/>
  <c r="I260" i="11"/>
  <c r="P259" i="11"/>
  <c r="I259" i="11"/>
  <c r="P258" i="11"/>
  <c r="I258" i="11"/>
  <c r="O247" i="11"/>
  <c r="M247" i="11"/>
  <c r="K247" i="11"/>
  <c r="J247" i="11"/>
  <c r="P246" i="11"/>
  <c r="I246" i="11"/>
  <c r="P245" i="11"/>
  <c r="I245" i="11"/>
  <c r="P244" i="11"/>
  <c r="I244" i="11"/>
  <c r="P243" i="11"/>
  <c r="I243" i="11"/>
  <c r="P242" i="11"/>
  <c r="I242" i="11"/>
  <c r="P241" i="11"/>
  <c r="I241" i="11"/>
  <c r="I240" i="11"/>
  <c r="P239" i="11"/>
  <c r="I239" i="11"/>
  <c r="O231" i="11"/>
  <c r="N231" i="11"/>
  <c r="M231" i="11"/>
  <c r="L231" i="11"/>
  <c r="K231" i="11"/>
  <c r="J231" i="11"/>
  <c r="E231" i="11"/>
  <c r="D231" i="11"/>
  <c r="C231" i="11"/>
  <c r="P230" i="11"/>
  <c r="I230" i="11"/>
  <c r="P229" i="11"/>
  <c r="I229" i="11"/>
  <c r="P228" i="11"/>
  <c r="I228" i="11"/>
  <c r="P227" i="11"/>
  <c r="I227" i="11"/>
  <c r="P226" i="11"/>
  <c r="I226" i="11"/>
  <c r="P225" i="11"/>
  <c r="I225" i="11"/>
  <c r="P224" i="11"/>
  <c r="I224" i="11"/>
  <c r="P223" i="11"/>
  <c r="J205" i="11"/>
  <c r="H205" i="11"/>
  <c r="O211" i="11"/>
  <c r="O195" i="11"/>
  <c r="N195" i="11"/>
  <c r="M195" i="11"/>
  <c r="L195" i="11"/>
  <c r="K195" i="11"/>
  <c r="J195" i="11"/>
  <c r="H195" i="11"/>
  <c r="G195" i="11"/>
  <c r="F195" i="11"/>
  <c r="E195" i="11"/>
  <c r="D195" i="11"/>
  <c r="C195" i="11"/>
  <c r="P194" i="11"/>
  <c r="I194" i="11"/>
  <c r="P193" i="11"/>
  <c r="I193" i="11"/>
  <c r="P192" i="11"/>
  <c r="I192" i="11"/>
  <c r="P191" i="11"/>
  <c r="I191" i="11"/>
  <c r="P190" i="11"/>
  <c r="I190" i="11"/>
  <c r="P189" i="11"/>
  <c r="I189" i="11"/>
  <c r="P188" i="11"/>
  <c r="I188" i="11"/>
  <c r="P187" i="11"/>
  <c r="I187" i="11"/>
  <c r="I195" i="11" s="1"/>
  <c r="O175" i="11"/>
  <c r="N175" i="11"/>
  <c r="M175" i="11"/>
  <c r="L175" i="11"/>
  <c r="K175" i="11"/>
  <c r="J175" i="11"/>
  <c r="P174" i="11"/>
  <c r="I174" i="11"/>
  <c r="P173" i="11"/>
  <c r="I173" i="11"/>
  <c r="P172" i="11"/>
  <c r="I172" i="11"/>
  <c r="P171" i="11"/>
  <c r="I171" i="11"/>
  <c r="P170" i="11"/>
  <c r="I170" i="11"/>
  <c r="P169" i="11"/>
  <c r="I169" i="11"/>
  <c r="P168" i="11"/>
  <c r="I168" i="11"/>
  <c r="P167" i="11"/>
  <c r="I167" i="11"/>
  <c r="O159" i="11"/>
  <c r="N159" i="11"/>
  <c r="M159" i="11"/>
  <c r="L159" i="11"/>
  <c r="K159" i="11"/>
  <c r="J159" i="11"/>
  <c r="H159" i="11"/>
  <c r="G159" i="11"/>
  <c r="F159" i="11"/>
  <c r="E159" i="11"/>
  <c r="D159" i="11"/>
  <c r="C159" i="11"/>
  <c r="P158" i="11"/>
  <c r="I158" i="11"/>
  <c r="P157" i="11"/>
  <c r="I157" i="11"/>
  <c r="P156" i="11"/>
  <c r="I156" i="11"/>
  <c r="P155" i="11"/>
  <c r="I155" i="11"/>
  <c r="P154" i="11"/>
  <c r="I154" i="11"/>
  <c r="P153" i="11"/>
  <c r="I153" i="11"/>
  <c r="P152" i="11"/>
  <c r="I152" i="11"/>
  <c r="P151" i="11"/>
  <c r="I151" i="11"/>
  <c r="P138" i="11"/>
  <c r="P137" i="11"/>
  <c r="P136" i="11"/>
  <c r="P135" i="11"/>
  <c r="P134" i="11"/>
  <c r="P133" i="11"/>
  <c r="P132" i="11"/>
  <c r="P131" i="11"/>
  <c r="I138" i="11"/>
  <c r="I137" i="11"/>
  <c r="I136" i="11"/>
  <c r="I135" i="11"/>
  <c r="I134" i="11"/>
  <c r="I133" i="11"/>
  <c r="I132" i="11"/>
  <c r="I131" i="11"/>
  <c r="I117" i="11"/>
  <c r="P122" i="11"/>
  <c r="P121" i="11"/>
  <c r="P120" i="11"/>
  <c r="P119" i="11"/>
  <c r="P118" i="11"/>
  <c r="P117" i="11"/>
  <c r="P116" i="11"/>
  <c r="P115" i="11"/>
  <c r="I122" i="11"/>
  <c r="Q122" i="11" s="1"/>
  <c r="I121" i="11"/>
  <c r="I120" i="11"/>
  <c r="Q120" i="11" s="1"/>
  <c r="I119" i="11"/>
  <c r="I118" i="11"/>
  <c r="Q118" i="11" s="1"/>
  <c r="I116" i="11"/>
  <c r="I115" i="11"/>
  <c r="P102" i="11"/>
  <c r="P101" i="11"/>
  <c r="P100" i="11"/>
  <c r="P99" i="11"/>
  <c r="P98" i="11"/>
  <c r="P97" i="11"/>
  <c r="P96" i="11"/>
  <c r="P95" i="11"/>
  <c r="I97" i="11"/>
  <c r="I102" i="11"/>
  <c r="Q102" i="11" s="1"/>
  <c r="I101" i="11"/>
  <c r="I100" i="11"/>
  <c r="I99" i="11"/>
  <c r="I98" i="11"/>
  <c r="Q98" i="11" s="1"/>
  <c r="I96" i="11"/>
  <c r="Q96" i="11" s="1"/>
  <c r="I95" i="11"/>
  <c r="P80" i="11"/>
  <c r="P81" i="11"/>
  <c r="P82" i="11"/>
  <c r="P83" i="11"/>
  <c r="P84" i="11"/>
  <c r="P85" i="11"/>
  <c r="P86" i="11"/>
  <c r="P79" i="11"/>
  <c r="I80" i="11"/>
  <c r="Q80" i="11" s="1"/>
  <c r="I81" i="11"/>
  <c r="Q81" i="11" s="1"/>
  <c r="C24" i="10" s="1"/>
  <c r="I82" i="11"/>
  <c r="Q82" i="11" s="1"/>
  <c r="I83" i="11"/>
  <c r="Q83" i="11" s="1"/>
  <c r="I84" i="11"/>
  <c r="Q84" i="11" s="1"/>
  <c r="I85" i="11"/>
  <c r="Q85" i="11" s="1"/>
  <c r="I86" i="11"/>
  <c r="Q86" i="11" s="1"/>
  <c r="I79" i="11"/>
  <c r="J31" i="11"/>
  <c r="P8" i="11"/>
  <c r="P9" i="11"/>
  <c r="P10" i="11"/>
  <c r="P11" i="11"/>
  <c r="P12" i="11"/>
  <c r="P13" i="11"/>
  <c r="P7" i="11"/>
  <c r="I8" i="11"/>
  <c r="I9" i="11"/>
  <c r="I10" i="11"/>
  <c r="I11" i="11"/>
  <c r="I12" i="11"/>
  <c r="I13" i="11"/>
  <c r="I14" i="11"/>
  <c r="J15" i="11"/>
  <c r="P44" i="11"/>
  <c r="P45" i="11"/>
  <c r="P46" i="11"/>
  <c r="P47" i="11"/>
  <c r="P48" i="11"/>
  <c r="P49" i="11"/>
  <c r="P50" i="11"/>
  <c r="P43" i="11"/>
  <c r="I44" i="11"/>
  <c r="I45" i="11"/>
  <c r="I46" i="11"/>
  <c r="I47" i="11"/>
  <c r="I48" i="11"/>
  <c r="I49" i="11"/>
  <c r="I50" i="11"/>
  <c r="I43" i="11"/>
  <c r="P24" i="11"/>
  <c r="P25" i="11"/>
  <c r="P26" i="11"/>
  <c r="P27" i="11"/>
  <c r="P28" i="11"/>
  <c r="P29" i="11"/>
  <c r="P30" i="11"/>
  <c r="P23" i="11"/>
  <c r="I24" i="11"/>
  <c r="I25" i="11"/>
  <c r="I61" i="11" s="1"/>
  <c r="I26" i="11"/>
  <c r="I27" i="11"/>
  <c r="I28" i="11"/>
  <c r="I29" i="11"/>
  <c r="I65" i="11" s="1"/>
  <c r="I30" i="11"/>
  <c r="I23" i="11"/>
  <c r="Q23" i="11" s="1"/>
  <c r="I63" i="11" l="1"/>
  <c r="L211" i="11"/>
  <c r="T247" i="11"/>
  <c r="K211" i="11"/>
  <c r="M211" i="11"/>
  <c r="D354" i="11"/>
  <c r="Q11" i="11"/>
  <c r="C12" i="10" s="1"/>
  <c r="Q260" i="11"/>
  <c r="Q9" i="11"/>
  <c r="C10" i="10" s="1"/>
  <c r="Q12" i="11"/>
  <c r="C13" i="10" s="1"/>
  <c r="Q240" i="11"/>
  <c r="Q242" i="11"/>
  <c r="Q244" i="11"/>
  <c r="P175" i="11"/>
  <c r="P204" i="11"/>
  <c r="P206" i="11"/>
  <c r="P210" i="11"/>
  <c r="Q115" i="11"/>
  <c r="Q116" i="11"/>
  <c r="Q8" i="11"/>
  <c r="C9" i="10" s="1"/>
  <c r="P15" i="11"/>
  <c r="Q13" i="11"/>
  <c r="C14" i="10" s="1"/>
  <c r="Q241" i="11"/>
  <c r="Q243" i="11"/>
  <c r="Q245" i="11"/>
  <c r="P159" i="11"/>
  <c r="Q262" i="11"/>
  <c r="Q311" i="11"/>
  <c r="P302" i="11"/>
  <c r="Q246" i="11"/>
  <c r="Q100" i="11"/>
  <c r="Q28" i="11"/>
  <c r="I60" i="11"/>
  <c r="Q26" i="11"/>
  <c r="I62" i="11"/>
  <c r="I15" i="11"/>
  <c r="P103" i="11"/>
  <c r="I266" i="11"/>
  <c r="P338" i="11"/>
  <c r="I64" i="11"/>
  <c r="Q30" i="11"/>
  <c r="I66" i="11"/>
  <c r="Q7" i="11"/>
  <c r="C8" i="10" s="1"/>
  <c r="P87" i="11"/>
  <c r="P205" i="11"/>
  <c r="Q49" i="11"/>
  <c r="Q45" i="11"/>
  <c r="Q14" i="11"/>
  <c r="C15" i="10" s="1"/>
  <c r="Q10" i="11"/>
  <c r="C11" i="10" s="1"/>
  <c r="Q121" i="11"/>
  <c r="I231" i="11"/>
  <c r="Q296" i="11"/>
  <c r="C59" i="10" s="1"/>
  <c r="Q298" i="11"/>
  <c r="C61" i="10" s="1"/>
  <c r="Q300" i="11"/>
  <c r="C63" i="10" s="1"/>
  <c r="I318" i="11"/>
  <c r="Q24" i="11"/>
  <c r="J282" i="11"/>
  <c r="I59" i="11"/>
  <c r="P51" i="11"/>
  <c r="Q47" i="11"/>
  <c r="Q119" i="11"/>
  <c r="Q295" i="11"/>
  <c r="C58" i="10" s="1"/>
  <c r="Q297" i="11"/>
  <c r="C60" i="10" s="1"/>
  <c r="Q299" i="11"/>
  <c r="C62" i="10" s="1"/>
  <c r="I354" i="11"/>
  <c r="Q43" i="11"/>
  <c r="Q59" i="11" s="1"/>
  <c r="P62" i="11"/>
  <c r="I31" i="11"/>
  <c r="P65" i="11"/>
  <c r="P60" i="11"/>
  <c r="Q134" i="11"/>
  <c r="Q138" i="11"/>
  <c r="P203" i="11"/>
  <c r="P207" i="11"/>
  <c r="P209" i="11"/>
  <c r="P231" i="11"/>
  <c r="I247" i="11"/>
  <c r="P31" i="11"/>
  <c r="Q27" i="11"/>
  <c r="I51" i="11"/>
  <c r="I67" i="11" s="1"/>
  <c r="Q48" i="11"/>
  <c r="Q44" i="11"/>
  <c r="P63" i="11"/>
  <c r="P59" i="11"/>
  <c r="Q99" i="11"/>
  <c r="Q97" i="11"/>
  <c r="P123" i="11"/>
  <c r="Q117" i="11"/>
  <c r="I139" i="11"/>
  <c r="Q131" i="11"/>
  <c r="Q135" i="11"/>
  <c r="I159" i="11"/>
  <c r="Q153" i="11"/>
  <c r="Q155" i="11"/>
  <c r="Q157" i="11"/>
  <c r="I175" i="11"/>
  <c r="Q171" i="11"/>
  <c r="Q173" i="11"/>
  <c r="I204" i="11"/>
  <c r="I206" i="11"/>
  <c r="I208" i="11"/>
  <c r="I210" i="11"/>
  <c r="P247" i="11"/>
  <c r="Q314" i="11"/>
  <c r="Q316" i="11"/>
  <c r="Q334" i="11"/>
  <c r="Q336" i="11"/>
  <c r="Q132" i="11"/>
  <c r="Q136" i="11"/>
  <c r="Q29" i="11"/>
  <c r="Q65" i="11" s="1"/>
  <c r="Q25" i="11"/>
  <c r="Q61" i="11" s="1"/>
  <c r="Q50" i="11"/>
  <c r="Q46" i="11"/>
  <c r="P66" i="11"/>
  <c r="P61" i="11"/>
  <c r="I87" i="11"/>
  <c r="Q101" i="11"/>
  <c r="Q137" i="11"/>
  <c r="Q152" i="11"/>
  <c r="Q154" i="11"/>
  <c r="Q156" i="11"/>
  <c r="Q158" i="11"/>
  <c r="Q168" i="11"/>
  <c r="Q170" i="11"/>
  <c r="Q172" i="11"/>
  <c r="Q174" i="11"/>
  <c r="Q189" i="11"/>
  <c r="Q191" i="11"/>
  <c r="I209" i="11"/>
  <c r="Q227" i="11"/>
  <c r="C40" i="10" s="1"/>
  <c r="Q229" i="11"/>
  <c r="C42" i="10" s="1"/>
  <c r="P318" i="11"/>
  <c r="Q313" i="11"/>
  <c r="Q315" i="11"/>
  <c r="Q331" i="11"/>
  <c r="Q333" i="11"/>
  <c r="Q335" i="11"/>
  <c r="Q337" i="11"/>
  <c r="Q332" i="11"/>
  <c r="Q317" i="11"/>
  <c r="Q312" i="11"/>
  <c r="Q301" i="11"/>
  <c r="C64" i="10" s="1"/>
  <c r="Q294" i="11"/>
  <c r="C57" i="10" s="1"/>
  <c r="Q310" i="11"/>
  <c r="Q330" i="11"/>
  <c r="Q230" i="11"/>
  <c r="C43" i="10" s="1"/>
  <c r="Q228" i="11"/>
  <c r="C41" i="10" s="1"/>
  <c r="Q226" i="11"/>
  <c r="C39" i="10" s="1"/>
  <c r="Q225" i="11"/>
  <c r="C38" i="10" s="1"/>
  <c r="Q224" i="11"/>
  <c r="C37" i="10" s="1"/>
  <c r="Q239" i="11"/>
  <c r="Q259" i="11"/>
  <c r="Q261" i="11"/>
  <c r="Q263" i="11"/>
  <c r="Q265" i="11"/>
  <c r="P266" i="11"/>
  <c r="Q223" i="11"/>
  <c r="C36" i="10" s="1"/>
  <c r="C44" i="10" s="1"/>
  <c r="Q258" i="11"/>
  <c r="Q264" i="11"/>
  <c r="Q169" i="11"/>
  <c r="I211" i="11"/>
  <c r="Q167" i="11"/>
  <c r="Q188" i="11"/>
  <c r="Q190" i="11"/>
  <c r="Q192" i="11"/>
  <c r="Q194" i="11"/>
  <c r="P195" i="11"/>
  <c r="I203" i="11"/>
  <c r="I205" i="11"/>
  <c r="I207" i="11"/>
  <c r="Q151" i="11"/>
  <c r="Q187" i="11"/>
  <c r="Q193" i="11"/>
  <c r="I103" i="11"/>
  <c r="Q95" i="11"/>
  <c r="Q79" i="11"/>
  <c r="Q87" i="11" s="1"/>
  <c r="P139" i="11"/>
  <c r="I123" i="11"/>
  <c r="Q276" i="11" l="1"/>
  <c r="Q281" i="11"/>
  <c r="P211" i="11"/>
  <c r="Q247" i="11"/>
  <c r="Q206" i="11"/>
  <c r="Q15" i="11"/>
  <c r="P67" i="11"/>
  <c r="Q64" i="11"/>
  <c r="Q60" i="11"/>
  <c r="Q123" i="11"/>
  <c r="Q208" i="11"/>
  <c r="Q63" i="11"/>
  <c r="Q31" i="11"/>
  <c r="P282" i="11"/>
  <c r="Q348" i="11"/>
  <c r="Q62" i="11"/>
  <c r="Q204" i="11"/>
  <c r="Q207" i="11"/>
  <c r="Q66" i="11"/>
  <c r="Q133" i="11"/>
  <c r="Q139" i="11" s="1"/>
  <c r="Q210" i="11"/>
  <c r="Q175" i="11"/>
  <c r="Q353" i="11"/>
  <c r="Q51" i="11"/>
  <c r="Q209" i="11"/>
  <c r="Q302" i="11"/>
  <c r="Q205" i="11"/>
  <c r="Q103" i="11"/>
  <c r="Q159" i="11"/>
  <c r="Q338" i="11"/>
  <c r="Q318" i="11"/>
  <c r="Q231" i="11"/>
  <c r="Q266" i="11"/>
  <c r="Q195" i="11"/>
  <c r="Q203" i="11"/>
  <c r="Q282" i="11" l="1"/>
  <c r="Q354" i="11"/>
  <c r="Q67" i="11"/>
  <c r="Q211" i="11"/>
  <c r="O139" i="11"/>
  <c r="N139" i="11"/>
  <c r="M139" i="11"/>
  <c r="L139" i="11"/>
  <c r="K139" i="11"/>
  <c r="E139" i="11"/>
  <c r="D139" i="11"/>
  <c r="C139" i="11"/>
  <c r="O103" i="11"/>
  <c r="N103" i="11"/>
  <c r="M103" i="11"/>
  <c r="L103" i="11"/>
  <c r="K103" i="11"/>
  <c r="J103" i="11"/>
  <c r="H103" i="11"/>
  <c r="G103" i="11"/>
  <c r="F103" i="11"/>
  <c r="E103" i="11"/>
  <c r="D103" i="11"/>
  <c r="C103" i="11"/>
  <c r="O31" i="11"/>
  <c r="N31" i="11"/>
  <c r="M31" i="11"/>
  <c r="L31" i="11"/>
  <c r="K31" i="11"/>
  <c r="F50" i="3"/>
  <c r="AH8" i="11" l="1"/>
  <c r="AH9" i="11"/>
  <c r="AH10" i="11"/>
  <c r="AH11" i="11"/>
  <c r="AH12" i="11"/>
  <c r="AH13" i="11"/>
  <c r="AH14" i="11"/>
  <c r="AH7" i="11"/>
  <c r="AG31" i="11"/>
  <c r="AF31" i="11"/>
  <c r="AE31" i="11"/>
  <c r="AD31" i="11"/>
  <c r="AC31" i="11"/>
  <c r="AB31" i="11"/>
  <c r="AA31" i="11"/>
  <c r="Z31" i="11"/>
  <c r="Y31" i="11"/>
  <c r="X31" i="11"/>
  <c r="W31" i="11"/>
  <c r="V31" i="11"/>
  <c r="AH30" i="11"/>
  <c r="AH29" i="11"/>
  <c r="AH28" i="11"/>
  <c r="AH27" i="11"/>
  <c r="AH26" i="11"/>
  <c r="AH25" i="11"/>
  <c r="AH24" i="11"/>
  <c r="AH23" i="11"/>
  <c r="AG15" i="11"/>
  <c r="AF15" i="11"/>
  <c r="AE15" i="11"/>
  <c r="AD15" i="11"/>
  <c r="AC15" i="11"/>
  <c r="AB15" i="11"/>
  <c r="AA15" i="11"/>
  <c r="Z15" i="11"/>
  <c r="Y15" i="11"/>
  <c r="X15" i="11"/>
  <c r="W15" i="11"/>
  <c r="V15" i="11"/>
  <c r="AH31" i="11" l="1"/>
  <c r="AH15" i="11"/>
  <c r="O123" i="11" l="1"/>
  <c r="N123" i="11"/>
  <c r="M123" i="11"/>
  <c r="L123" i="11"/>
  <c r="K123" i="11"/>
  <c r="J123" i="11"/>
  <c r="H123" i="11"/>
  <c r="G123" i="11"/>
  <c r="F123" i="11"/>
  <c r="E123" i="11"/>
  <c r="D123" i="11"/>
  <c r="C123" i="11"/>
  <c r="O51" i="11"/>
  <c r="O67" i="11" s="1"/>
  <c r="N51" i="11"/>
  <c r="N67" i="11" s="1"/>
  <c r="M51" i="11"/>
  <c r="M67" i="11" s="1"/>
  <c r="L51" i="11"/>
  <c r="L67" i="11" s="1"/>
  <c r="K51" i="11"/>
  <c r="K67" i="11" s="1"/>
  <c r="J51" i="11"/>
  <c r="H51" i="11"/>
  <c r="G51" i="11"/>
  <c r="F51" i="11"/>
  <c r="E51" i="11"/>
  <c r="D51" i="11"/>
  <c r="C51" i="11"/>
  <c r="E116" i="8" l="1"/>
  <c r="D116" i="8"/>
  <c r="E116" i="4"/>
  <c r="O87" i="11" l="1"/>
  <c r="N87" i="11"/>
  <c r="M87" i="11"/>
  <c r="L87" i="11"/>
  <c r="K87" i="11"/>
  <c r="J87" i="11"/>
  <c r="H87" i="11"/>
  <c r="G87" i="11"/>
  <c r="F87" i="11"/>
  <c r="E87" i="11"/>
  <c r="D87" i="11"/>
  <c r="C87" i="11"/>
  <c r="H15" i="11"/>
  <c r="G15" i="11"/>
  <c r="F15" i="11"/>
  <c r="O15" i="11"/>
  <c r="N15" i="11"/>
  <c r="M15" i="11"/>
  <c r="L15" i="11"/>
  <c r="K15" i="11"/>
  <c r="E15" i="11"/>
  <c r="D15" i="11"/>
  <c r="C15" i="11"/>
  <c r="C116" i="9" l="1"/>
  <c r="O109" i="3" l="1"/>
  <c r="O111" i="3"/>
  <c r="O112" i="3"/>
  <c r="O113" i="3"/>
  <c r="O114" i="3"/>
  <c r="O115" i="3"/>
  <c r="O108" i="3"/>
  <c r="P50" i="9" l="1"/>
  <c r="O49" i="9"/>
  <c r="D64" i="10" s="1"/>
  <c r="E50" i="4" l="1"/>
  <c r="F50" i="4"/>
  <c r="G50" i="4"/>
  <c r="I50" i="4"/>
  <c r="K50" i="4"/>
  <c r="L50" i="4"/>
  <c r="O49" i="4"/>
  <c r="O42" i="4"/>
  <c r="O46" i="9" l="1"/>
  <c r="D61" i="10" s="1"/>
  <c r="O43" i="9"/>
  <c r="D58" i="10" s="1"/>
  <c r="O42" i="9"/>
  <c r="D57" i="10" s="1"/>
  <c r="N31" i="2" l="1"/>
  <c r="M31" i="2"/>
  <c r="L31" i="2"/>
  <c r="K31" i="2"/>
  <c r="J31" i="2"/>
  <c r="I31" i="2"/>
  <c r="H31" i="2"/>
  <c r="G31" i="2"/>
  <c r="F31" i="2"/>
  <c r="E31" i="2"/>
  <c r="D31" i="2"/>
  <c r="C31" i="2"/>
  <c r="O30" i="2"/>
  <c r="O29" i="2"/>
  <c r="O28" i="2"/>
  <c r="O27" i="2"/>
  <c r="O26" i="2"/>
  <c r="O25" i="2"/>
  <c r="O24" i="2"/>
  <c r="O23" i="2"/>
  <c r="O31" i="2" l="1"/>
  <c r="O75" i="8" l="1"/>
  <c r="O76" i="8"/>
  <c r="O77" i="8"/>
  <c r="O78" i="8"/>
  <c r="O79" i="8"/>
  <c r="O80" i="8"/>
  <c r="O81" i="8"/>
  <c r="O82" i="8"/>
  <c r="E130" i="10"/>
  <c r="D130" i="10"/>
  <c r="C130" i="10"/>
  <c r="E116" i="10"/>
  <c r="D116" i="10"/>
  <c r="C116" i="10"/>
  <c r="E93" i="10"/>
  <c r="D93" i="10"/>
  <c r="C93" i="10"/>
  <c r="O75" i="5"/>
  <c r="O76" i="5"/>
  <c r="O77" i="5"/>
  <c r="O78" i="5"/>
  <c r="O79" i="5"/>
  <c r="O80" i="5"/>
  <c r="O81" i="5"/>
  <c r="O82" i="5"/>
  <c r="E79" i="10"/>
  <c r="D79" i="10"/>
  <c r="F79" i="10" s="1"/>
  <c r="C79" i="10"/>
  <c r="C65" i="10"/>
  <c r="C30" i="10"/>
  <c r="C16" i="10"/>
  <c r="F130" i="10" l="1"/>
  <c r="F116" i="10"/>
  <c r="F93" i="10"/>
  <c r="H116" i="4"/>
  <c r="D17" i="5" l="1"/>
  <c r="N83" i="9" l="1"/>
  <c r="M83" i="9"/>
  <c r="L83" i="9"/>
  <c r="K83" i="9"/>
  <c r="J83" i="9"/>
  <c r="I83" i="9"/>
  <c r="H83" i="9"/>
  <c r="G83" i="9"/>
  <c r="F83" i="9"/>
  <c r="E83" i="9"/>
  <c r="D83" i="9"/>
  <c r="C83" i="9"/>
  <c r="O82" i="9"/>
  <c r="E64" i="10" s="1"/>
  <c r="O81" i="9"/>
  <c r="E63" i="10" s="1"/>
  <c r="O80" i="9"/>
  <c r="E62" i="10" s="1"/>
  <c r="O79" i="9"/>
  <c r="E61" i="10" s="1"/>
  <c r="O78" i="9"/>
  <c r="E60" i="10" s="1"/>
  <c r="O77" i="9"/>
  <c r="E59" i="10" s="1"/>
  <c r="O76" i="9"/>
  <c r="E58" i="10" s="1"/>
  <c r="O75" i="9"/>
  <c r="E57" i="10" s="1"/>
  <c r="N50" i="9"/>
  <c r="M50" i="9"/>
  <c r="L50" i="9"/>
  <c r="K50" i="9"/>
  <c r="J50" i="9"/>
  <c r="I50" i="9"/>
  <c r="H50" i="9"/>
  <c r="G50" i="9"/>
  <c r="F50" i="9"/>
  <c r="E50" i="9"/>
  <c r="D50" i="9"/>
  <c r="O48" i="9"/>
  <c r="D63" i="10" s="1"/>
  <c r="O47" i="9"/>
  <c r="D62" i="10" s="1"/>
  <c r="O45" i="9"/>
  <c r="D60" i="10" s="1"/>
  <c r="N17" i="9"/>
  <c r="M17" i="9"/>
  <c r="L17" i="9"/>
  <c r="K17" i="9"/>
  <c r="J17" i="9"/>
  <c r="I17" i="9"/>
  <c r="H17" i="9"/>
  <c r="G17" i="9"/>
  <c r="F17" i="9"/>
  <c r="E17" i="9"/>
  <c r="D17" i="9"/>
  <c r="C17" i="9"/>
  <c r="O16" i="9"/>
  <c r="O15" i="9"/>
  <c r="O14" i="9"/>
  <c r="O13" i="9"/>
  <c r="O12" i="9"/>
  <c r="O11" i="9"/>
  <c r="O10" i="9"/>
  <c r="O9" i="9"/>
  <c r="N83" i="8"/>
  <c r="M83" i="8"/>
  <c r="L83" i="8"/>
  <c r="K83" i="8"/>
  <c r="J83" i="8"/>
  <c r="I83" i="8"/>
  <c r="H83" i="8"/>
  <c r="G83" i="8"/>
  <c r="F83" i="8"/>
  <c r="E83" i="8"/>
  <c r="D83" i="8"/>
  <c r="C83" i="8"/>
  <c r="N50" i="8"/>
  <c r="M50" i="8"/>
  <c r="L50" i="8"/>
  <c r="K50" i="8"/>
  <c r="J50" i="8"/>
  <c r="I50" i="8"/>
  <c r="H50" i="8"/>
  <c r="G50" i="8"/>
  <c r="F50" i="8"/>
  <c r="E50" i="8"/>
  <c r="D50" i="8"/>
  <c r="C50" i="8"/>
  <c r="O49" i="8"/>
  <c r="O48" i="8"/>
  <c r="O47" i="8"/>
  <c r="O46" i="8"/>
  <c r="O45" i="8"/>
  <c r="O44" i="8"/>
  <c r="O43" i="8"/>
  <c r="O42" i="8"/>
  <c r="O108" i="8" s="1"/>
  <c r="N17" i="8"/>
  <c r="M17" i="8"/>
  <c r="L17" i="8"/>
  <c r="K17" i="8"/>
  <c r="J17" i="8"/>
  <c r="I17" i="8"/>
  <c r="H17" i="8"/>
  <c r="G17" i="8"/>
  <c r="F17" i="8"/>
  <c r="E17" i="8"/>
  <c r="D17" i="8"/>
  <c r="C17" i="8"/>
  <c r="O16" i="8"/>
  <c r="O15" i="8"/>
  <c r="O14" i="8"/>
  <c r="O13" i="8"/>
  <c r="O12" i="8"/>
  <c r="O11" i="8"/>
  <c r="O10" i="8"/>
  <c r="O9" i="8"/>
  <c r="N83" i="7"/>
  <c r="M83" i="7"/>
  <c r="L83" i="7"/>
  <c r="K83" i="7"/>
  <c r="J83" i="7"/>
  <c r="I83" i="7"/>
  <c r="H83" i="7"/>
  <c r="G83" i="7"/>
  <c r="F83" i="7"/>
  <c r="E83" i="7"/>
  <c r="D83" i="7"/>
  <c r="C83" i="7"/>
  <c r="O82" i="7"/>
  <c r="O81" i="7"/>
  <c r="O80" i="7"/>
  <c r="O79" i="7"/>
  <c r="O78" i="7"/>
  <c r="O77" i="7"/>
  <c r="O76" i="7"/>
  <c r="O75" i="7"/>
  <c r="N50" i="7"/>
  <c r="M50" i="7"/>
  <c r="L50" i="7"/>
  <c r="K50" i="7"/>
  <c r="J50" i="7"/>
  <c r="I50" i="7"/>
  <c r="H50" i="7"/>
  <c r="G50" i="7"/>
  <c r="F50" i="7"/>
  <c r="E50" i="7"/>
  <c r="D50" i="7"/>
  <c r="C50" i="7"/>
  <c r="O49" i="7"/>
  <c r="O48" i="7"/>
  <c r="O47" i="7"/>
  <c r="O46" i="7"/>
  <c r="O45" i="7"/>
  <c r="O44" i="7"/>
  <c r="O43" i="7"/>
  <c r="O42" i="7"/>
  <c r="N17" i="7"/>
  <c r="M17" i="7"/>
  <c r="L17" i="7"/>
  <c r="K17" i="7"/>
  <c r="J17" i="7"/>
  <c r="I17" i="7"/>
  <c r="H17" i="7"/>
  <c r="G17" i="7"/>
  <c r="F17" i="7"/>
  <c r="E17" i="7"/>
  <c r="D17" i="7"/>
  <c r="C17" i="7"/>
  <c r="O16" i="7"/>
  <c r="O15" i="7"/>
  <c r="O14" i="7"/>
  <c r="O13" i="7"/>
  <c r="O12" i="7"/>
  <c r="O11" i="7"/>
  <c r="O10" i="7"/>
  <c r="O9" i="7"/>
  <c r="N83" i="6"/>
  <c r="M83" i="6"/>
  <c r="L83" i="6"/>
  <c r="K83" i="6"/>
  <c r="J83" i="6"/>
  <c r="I83" i="6"/>
  <c r="H83" i="6"/>
  <c r="G83" i="6"/>
  <c r="F83" i="6"/>
  <c r="E83" i="6"/>
  <c r="D83" i="6"/>
  <c r="C83" i="6"/>
  <c r="O82" i="6"/>
  <c r="O81" i="6"/>
  <c r="O80" i="6"/>
  <c r="O79" i="6"/>
  <c r="O78" i="6"/>
  <c r="O77" i="6"/>
  <c r="O76" i="6"/>
  <c r="O75" i="6"/>
  <c r="N50" i="6"/>
  <c r="M50" i="6"/>
  <c r="L50" i="6"/>
  <c r="K50" i="6"/>
  <c r="J50" i="6"/>
  <c r="I50" i="6"/>
  <c r="H50" i="6"/>
  <c r="G50" i="6"/>
  <c r="F50" i="6"/>
  <c r="E50" i="6"/>
  <c r="D50" i="6"/>
  <c r="C50" i="6"/>
  <c r="O49" i="6"/>
  <c r="O48" i="6"/>
  <c r="O47" i="6"/>
  <c r="O46" i="6"/>
  <c r="O45" i="6"/>
  <c r="O44" i="6"/>
  <c r="O43" i="6"/>
  <c r="O42" i="6"/>
  <c r="N17" i="6"/>
  <c r="M17" i="6"/>
  <c r="L17" i="6"/>
  <c r="K17" i="6"/>
  <c r="J17" i="6"/>
  <c r="I17" i="6"/>
  <c r="H17" i="6"/>
  <c r="G17" i="6"/>
  <c r="F17" i="6"/>
  <c r="E17" i="6"/>
  <c r="D17" i="6"/>
  <c r="C17" i="6"/>
  <c r="O16" i="6"/>
  <c r="O15" i="6"/>
  <c r="O14" i="6"/>
  <c r="O13" i="6"/>
  <c r="O12" i="6"/>
  <c r="O11" i="6"/>
  <c r="O10" i="6"/>
  <c r="O9" i="6"/>
  <c r="N83" i="5"/>
  <c r="M83" i="5"/>
  <c r="L83" i="5"/>
  <c r="K83" i="5"/>
  <c r="J83" i="5"/>
  <c r="I83" i="5"/>
  <c r="I84" i="5" s="1"/>
  <c r="G83" i="5"/>
  <c r="F83" i="5"/>
  <c r="F84" i="5" s="1"/>
  <c r="E83" i="5"/>
  <c r="D83" i="5"/>
  <c r="C83" i="5"/>
  <c r="C84" i="5" s="1"/>
  <c r="N50" i="5"/>
  <c r="M50" i="5"/>
  <c r="L50" i="5"/>
  <c r="K50" i="5"/>
  <c r="J50" i="5"/>
  <c r="I50" i="5"/>
  <c r="H50" i="5"/>
  <c r="G50" i="5"/>
  <c r="F50" i="5"/>
  <c r="E50" i="5"/>
  <c r="D50" i="5"/>
  <c r="C50" i="5"/>
  <c r="O49" i="5"/>
  <c r="O48" i="5"/>
  <c r="O47" i="5"/>
  <c r="O46" i="5"/>
  <c r="O45" i="5"/>
  <c r="O44" i="5"/>
  <c r="O43" i="5"/>
  <c r="O42" i="5"/>
  <c r="N17" i="5"/>
  <c r="M17" i="5"/>
  <c r="L17" i="5"/>
  <c r="K17" i="5"/>
  <c r="J17" i="5"/>
  <c r="I17" i="5"/>
  <c r="H17" i="5"/>
  <c r="G17" i="5"/>
  <c r="F17" i="5"/>
  <c r="E17" i="5"/>
  <c r="C17" i="5"/>
  <c r="O16" i="5"/>
  <c r="O15" i="5"/>
  <c r="O14" i="5"/>
  <c r="O13" i="5"/>
  <c r="O12" i="5"/>
  <c r="O11" i="5"/>
  <c r="O10" i="5"/>
  <c r="O9" i="5"/>
  <c r="N83" i="4"/>
  <c r="M83" i="4"/>
  <c r="L83" i="4"/>
  <c r="K83" i="4"/>
  <c r="J83" i="4"/>
  <c r="J116" i="4" s="1"/>
  <c r="I83" i="4"/>
  <c r="H83" i="4"/>
  <c r="G83" i="4"/>
  <c r="F83" i="4"/>
  <c r="F116" i="4" s="1"/>
  <c r="E83" i="4"/>
  <c r="D83" i="4"/>
  <c r="C83" i="4"/>
  <c r="O82" i="4"/>
  <c r="E43" i="10" s="1"/>
  <c r="O81" i="4"/>
  <c r="E42" i="10" s="1"/>
  <c r="O80" i="4"/>
  <c r="E41" i="10" s="1"/>
  <c r="O79" i="4"/>
  <c r="E40" i="10" s="1"/>
  <c r="O78" i="4"/>
  <c r="E39" i="10" s="1"/>
  <c r="O77" i="4"/>
  <c r="E38" i="10" s="1"/>
  <c r="O76" i="4"/>
  <c r="E37" i="10" s="1"/>
  <c r="O75" i="4"/>
  <c r="E36" i="10" s="1"/>
  <c r="N50" i="4"/>
  <c r="M50" i="4"/>
  <c r="O48" i="4"/>
  <c r="O47" i="4"/>
  <c r="O46" i="4"/>
  <c r="O45" i="4"/>
  <c r="O44" i="4"/>
  <c r="O43" i="4"/>
  <c r="N17" i="4"/>
  <c r="M17" i="4"/>
  <c r="L17" i="4"/>
  <c r="K17" i="4"/>
  <c r="J17" i="4"/>
  <c r="I17" i="4"/>
  <c r="H17" i="4"/>
  <c r="G17" i="4"/>
  <c r="F17" i="4"/>
  <c r="E17" i="4"/>
  <c r="D17" i="4"/>
  <c r="C17" i="4"/>
  <c r="O16" i="4"/>
  <c r="O15" i="4"/>
  <c r="O14" i="4"/>
  <c r="O13" i="4"/>
  <c r="O12" i="4"/>
  <c r="O11" i="4"/>
  <c r="O10" i="4"/>
  <c r="O9" i="4"/>
  <c r="N116" i="3"/>
  <c r="M116" i="3"/>
  <c r="L116" i="3"/>
  <c r="K116" i="3"/>
  <c r="J116" i="3"/>
  <c r="I116" i="3"/>
  <c r="H116" i="3"/>
  <c r="G116" i="3"/>
  <c r="F116" i="3"/>
  <c r="E116" i="3"/>
  <c r="D116" i="3"/>
  <c r="C116" i="3"/>
  <c r="N83" i="3"/>
  <c r="M83" i="3"/>
  <c r="L83" i="3"/>
  <c r="K83" i="3"/>
  <c r="J83" i="3"/>
  <c r="I83" i="3"/>
  <c r="H83" i="3"/>
  <c r="G83" i="3"/>
  <c r="F83" i="3"/>
  <c r="E83" i="3"/>
  <c r="D83" i="3"/>
  <c r="C83" i="3"/>
  <c r="O82" i="3"/>
  <c r="O81" i="3"/>
  <c r="O80" i="3"/>
  <c r="O79" i="3"/>
  <c r="O78" i="3"/>
  <c r="O77" i="3"/>
  <c r="E24" i="10" s="1"/>
  <c r="E30" i="10" s="1"/>
  <c r="O76" i="3"/>
  <c r="O75" i="3"/>
  <c r="N50" i="3"/>
  <c r="M50" i="3"/>
  <c r="L50" i="3"/>
  <c r="K50" i="3"/>
  <c r="J50" i="3"/>
  <c r="I50" i="3"/>
  <c r="H50" i="3"/>
  <c r="G50" i="3"/>
  <c r="E50" i="3"/>
  <c r="D50" i="3"/>
  <c r="C50" i="3"/>
  <c r="O49" i="3"/>
  <c r="O48" i="3"/>
  <c r="O47" i="3"/>
  <c r="O46" i="3"/>
  <c r="O45" i="3"/>
  <c r="O44" i="3"/>
  <c r="D24" i="10" s="1"/>
  <c r="D30" i="10" s="1"/>
  <c r="O43" i="3"/>
  <c r="O42" i="3"/>
  <c r="N17" i="3"/>
  <c r="M17" i="3"/>
  <c r="L17" i="3"/>
  <c r="K17" i="3"/>
  <c r="J17" i="3"/>
  <c r="I17" i="3"/>
  <c r="H17" i="3"/>
  <c r="G17" i="3"/>
  <c r="F17" i="3"/>
  <c r="E17" i="3"/>
  <c r="D17" i="3"/>
  <c r="C17" i="3"/>
  <c r="O16" i="3"/>
  <c r="O15" i="3"/>
  <c r="O14" i="3"/>
  <c r="O13" i="3"/>
  <c r="O12" i="3"/>
  <c r="O11" i="3"/>
  <c r="O10" i="3"/>
  <c r="O9" i="3"/>
  <c r="N15" i="2"/>
  <c r="M15" i="2"/>
  <c r="L15" i="2"/>
  <c r="K15" i="2"/>
  <c r="J15" i="2"/>
  <c r="I15" i="2"/>
  <c r="H15" i="2"/>
  <c r="G15" i="2"/>
  <c r="F15" i="2"/>
  <c r="E15" i="2"/>
  <c r="D15" i="2"/>
  <c r="C15" i="2"/>
  <c r="O14" i="2"/>
  <c r="O13" i="2"/>
  <c r="O12" i="2"/>
  <c r="O11" i="2"/>
  <c r="O10" i="2"/>
  <c r="O9" i="2"/>
  <c r="O8" i="2"/>
  <c r="O7" i="2"/>
  <c r="N83" i="1"/>
  <c r="M83" i="1"/>
  <c r="L83" i="1"/>
  <c r="L84" i="1" s="1"/>
  <c r="K83" i="1"/>
  <c r="J83" i="1"/>
  <c r="I83" i="1"/>
  <c r="I84" i="1" s="1"/>
  <c r="H83" i="1"/>
  <c r="G83" i="1"/>
  <c r="F83" i="1"/>
  <c r="F84" i="1" s="1"/>
  <c r="E83" i="1"/>
  <c r="D83" i="1"/>
  <c r="C83" i="1"/>
  <c r="O82" i="1"/>
  <c r="E15" i="10" s="1"/>
  <c r="O81" i="1"/>
  <c r="E14" i="10" s="1"/>
  <c r="O80" i="1"/>
  <c r="E13" i="10" s="1"/>
  <c r="O79" i="1"/>
  <c r="E12" i="10" s="1"/>
  <c r="O78" i="1"/>
  <c r="E11" i="10" s="1"/>
  <c r="O77" i="1"/>
  <c r="E10" i="10" s="1"/>
  <c r="O76" i="1"/>
  <c r="E9" i="10" s="1"/>
  <c r="O75" i="1"/>
  <c r="E8" i="10" s="1"/>
  <c r="E16" i="10" s="1"/>
  <c r="N50" i="1"/>
  <c r="M50" i="1"/>
  <c r="L50" i="1"/>
  <c r="K50" i="1"/>
  <c r="J50" i="1"/>
  <c r="I50" i="1"/>
  <c r="H50" i="1"/>
  <c r="G50" i="1"/>
  <c r="F50" i="1"/>
  <c r="E50" i="1"/>
  <c r="E116" i="1" s="1"/>
  <c r="D50" i="1"/>
  <c r="D116" i="1" s="1"/>
  <c r="C50" i="1"/>
  <c r="O49" i="1"/>
  <c r="D15" i="10" s="1"/>
  <c r="O48" i="1"/>
  <c r="D14" i="10" s="1"/>
  <c r="O47" i="1"/>
  <c r="D13" i="10" s="1"/>
  <c r="O46" i="1"/>
  <c r="D12" i="10" s="1"/>
  <c r="O45" i="1"/>
  <c r="D11" i="10" s="1"/>
  <c r="O44" i="1"/>
  <c r="D10" i="10" s="1"/>
  <c r="O43" i="1"/>
  <c r="D9" i="10" s="1"/>
  <c r="O42" i="1"/>
  <c r="D8" i="10" s="1"/>
  <c r="D16" i="10" s="1"/>
  <c r="N17" i="1"/>
  <c r="M17" i="1"/>
  <c r="L17" i="1"/>
  <c r="K17" i="1"/>
  <c r="J17" i="1"/>
  <c r="I17" i="1"/>
  <c r="H17" i="1"/>
  <c r="G17" i="1"/>
  <c r="F17" i="1"/>
  <c r="E17" i="1"/>
  <c r="D17" i="1"/>
  <c r="C17" i="1"/>
  <c r="J19" i="1" s="1"/>
  <c r="O16" i="1"/>
  <c r="O15" i="1"/>
  <c r="O14" i="1"/>
  <c r="O13" i="1"/>
  <c r="O11" i="1"/>
  <c r="O10" i="1"/>
  <c r="O9" i="1"/>
  <c r="N19" i="1" l="1"/>
  <c r="Q17" i="1"/>
  <c r="F30" i="10"/>
  <c r="E44" i="10"/>
  <c r="F44" i="10" s="1"/>
  <c r="J19" i="5"/>
  <c r="Q83" i="5"/>
  <c r="Q17" i="7"/>
  <c r="Q50" i="7"/>
  <c r="Q83" i="7"/>
  <c r="Q50" i="8"/>
  <c r="Q83" i="8"/>
  <c r="D65" i="10"/>
  <c r="E65" i="10"/>
  <c r="K19" i="1"/>
  <c r="K20" i="1"/>
  <c r="F16" i="10"/>
  <c r="I85" i="1"/>
  <c r="C84" i="1"/>
  <c r="J85" i="1"/>
  <c r="G116" i="1"/>
  <c r="Q17" i="5"/>
  <c r="Q50" i="5"/>
  <c r="L84" i="5"/>
  <c r="Q17" i="8"/>
  <c r="Q17" i="6"/>
  <c r="Q50" i="6"/>
  <c r="Q83" i="6"/>
  <c r="O110" i="3"/>
  <c r="F116" i="5"/>
  <c r="O111" i="6"/>
  <c r="O110" i="4"/>
  <c r="F38" i="10" s="1"/>
  <c r="H116" i="1"/>
  <c r="O17" i="1"/>
  <c r="I116" i="5"/>
  <c r="I116" i="7"/>
  <c r="O112" i="4"/>
  <c r="F40" i="10" s="1"/>
  <c r="K116" i="5"/>
  <c r="K116" i="6"/>
  <c r="I116" i="8"/>
  <c r="J116" i="5"/>
  <c r="J116" i="8"/>
  <c r="H116" i="5"/>
  <c r="L116" i="6"/>
  <c r="L116" i="7"/>
  <c r="N116" i="9"/>
  <c r="O111" i="4"/>
  <c r="F39" i="10" s="1"/>
  <c r="J86" i="1"/>
  <c r="N86" i="1"/>
  <c r="N116" i="6"/>
  <c r="O115" i="7"/>
  <c r="O112" i="7"/>
  <c r="J116" i="1"/>
  <c r="O111" i="7"/>
  <c r="O109" i="1"/>
  <c r="F9" i="10" s="1"/>
  <c r="O83" i="3"/>
  <c r="O113" i="1"/>
  <c r="F13" i="10" s="1"/>
  <c r="O115" i="4"/>
  <c r="F43" i="10" s="1"/>
  <c r="O50" i="8"/>
  <c r="O17" i="6"/>
  <c r="O83" i="6"/>
  <c r="O50" i="6"/>
  <c r="O112" i="6"/>
  <c r="O108" i="6"/>
  <c r="O113" i="6"/>
  <c r="O15" i="2"/>
  <c r="O115" i="1"/>
  <c r="F15" i="10" s="1"/>
  <c r="O111" i="1"/>
  <c r="F11" i="10" s="1"/>
  <c r="O50" i="9"/>
  <c r="O112" i="9"/>
  <c r="F61" i="10" s="1"/>
  <c r="O110" i="9"/>
  <c r="F59" i="10" s="1"/>
  <c r="O115" i="9"/>
  <c r="F64" i="10" s="1"/>
  <c r="O17" i="9"/>
  <c r="O110" i="8"/>
  <c r="O111" i="8"/>
  <c r="O115" i="8"/>
  <c r="O112" i="8"/>
  <c r="O17" i="8"/>
  <c r="O114" i="7"/>
  <c r="O50" i="7"/>
  <c r="O108" i="7"/>
  <c r="O17" i="7"/>
  <c r="O50" i="5"/>
  <c r="O108" i="5"/>
  <c r="O112" i="5"/>
  <c r="O109" i="5"/>
  <c r="O113" i="5"/>
  <c r="D116" i="5"/>
  <c r="O110" i="5"/>
  <c r="O114" i="5"/>
  <c r="E116" i="5"/>
  <c r="O111" i="5"/>
  <c r="O115" i="5"/>
  <c r="O17" i="5"/>
  <c r="O50" i="4"/>
  <c r="O17" i="4"/>
  <c r="O50" i="3"/>
  <c r="O17" i="3"/>
  <c r="O50" i="1"/>
  <c r="O110" i="1"/>
  <c r="F10" i="10" s="1"/>
  <c r="O114" i="1"/>
  <c r="F14" i="10" s="1"/>
  <c r="I116" i="1"/>
  <c r="M116" i="1"/>
  <c r="F116" i="1"/>
  <c r="O108" i="1"/>
  <c r="F8" i="10" s="1"/>
  <c r="O112" i="1"/>
  <c r="F12" i="10" s="1"/>
  <c r="K116" i="1"/>
  <c r="O83" i="9"/>
  <c r="O83" i="8"/>
  <c r="O83" i="7"/>
  <c r="O83" i="5"/>
  <c r="O83" i="4"/>
  <c r="O116" i="4" s="1"/>
  <c r="O83" i="1"/>
  <c r="O116" i="3" l="1"/>
  <c r="F24" i="10"/>
  <c r="R85" i="5"/>
  <c r="O116" i="9"/>
  <c r="F65" i="10" s="1"/>
  <c r="O116" i="8"/>
  <c r="O116" i="6"/>
  <c r="O116" i="5"/>
  <c r="O116" i="1"/>
  <c r="O116" i="7"/>
  <c r="M15" i="12"/>
  <c r="P7" i="12"/>
  <c r="P15" i="12" s="1"/>
  <c r="Q7" i="12" l="1"/>
  <c r="Q15" i="12" s="1"/>
</calcChain>
</file>

<file path=xl/sharedStrings.xml><?xml version="1.0" encoding="utf-8"?>
<sst xmlns="http://schemas.openxmlformats.org/spreadsheetml/2006/main" count="2837" uniqueCount="207">
  <si>
    <t>DATA LUAS TANAM PADI (SAWAH) PER BULAN</t>
  </si>
  <si>
    <t>(Ha)</t>
  </si>
  <si>
    <t>No</t>
  </si>
  <si>
    <t>Kecamatan</t>
  </si>
  <si>
    <t>Bulan</t>
  </si>
  <si>
    <t>Jumlah</t>
  </si>
  <si>
    <t>Jan</t>
  </si>
  <si>
    <t>Feb</t>
  </si>
  <si>
    <t>Maret</t>
  </si>
  <si>
    <t>Apr</t>
  </si>
  <si>
    <t>Mei</t>
  </si>
  <si>
    <t>Juni</t>
  </si>
  <si>
    <t>Juli</t>
  </si>
  <si>
    <t>Agst</t>
  </si>
  <si>
    <t>Sept</t>
  </si>
  <si>
    <t>Okt</t>
  </si>
  <si>
    <t>Nov</t>
  </si>
  <si>
    <t>Des</t>
  </si>
  <si>
    <t>CIWANDAN</t>
  </si>
  <si>
    <t>CITANGKIL</t>
  </si>
  <si>
    <t>PULOMERAK</t>
  </si>
  <si>
    <t>PURWAKARTA</t>
  </si>
  <si>
    <t>GROGOL</t>
  </si>
  <si>
    <t>CILEGON</t>
  </si>
  <si>
    <t>JOMBANG</t>
  </si>
  <si>
    <t>CIBEBER</t>
  </si>
  <si>
    <t>JUMLAH</t>
  </si>
  <si>
    <t>DATA LUAS PANEN PADI (SAWAH) PER BULAN</t>
  </si>
  <si>
    <t>DATA PRODUKSI PADI (SAWAH) PER BULAN</t>
  </si>
  <si>
    <t>(Ton)</t>
  </si>
  <si>
    <t>DATA PRODUKTIVITAS PADI (SAWAH) PER BULAN</t>
  </si>
  <si>
    <t>(Ku/Ha)</t>
  </si>
  <si>
    <t>DATA LUAS PUSO PADI (SAWAH) PER BULAN</t>
  </si>
  <si>
    <t>DATA LUAS TANAM PADI (DARAT) PER BULAN</t>
  </si>
  <si>
    <t>DATA LUAS PANEN PADI (DARAT) PER BULAN</t>
  </si>
  <si>
    <t>DATA PRODUKSI PADI (DARAT) PER BULAN</t>
  </si>
  <si>
    <t>DATA PRODUKTIVITAS PADI (DARAT) PER BULAN</t>
  </si>
  <si>
    <t>DATA LUAS TANAM JAGUNG PER BULAN</t>
  </si>
  <si>
    <t>DATA LUAS PANEN JAGUNG PER BULAN</t>
  </si>
  <si>
    <t>DATA PRODUKSI JAGUNG PER BULAN</t>
  </si>
  <si>
    <t>DATA PRODUKTIVITAS JAGUNG PER BULAN</t>
  </si>
  <si>
    <t>DATA LUAS TANAM KACANG TANAH PER BULAN</t>
  </si>
  <si>
    <t>DATA LUAS PANEN KACANG TANAH PER BULAN</t>
  </si>
  <si>
    <t>DATA PRODUKSI KACANG TANAH PER BULAN</t>
  </si>
  <si>
    <t>DATA PRODUKTIVITAS KACANG TANAH PER BULAN</t>
  </si>
  <si>
    <t>DATA LUAS TANAM UBI KAYU PER BULAN</t>
  </si>
  <si>
    <t>DATA LUAS PANEN UBI KAYU PER BULAN</t>
  </si>
  <si>
    <t>DATA PRODUKSI UBI KAYU PER BULAN</t>
  </si>
  <si>
    <t>DATA PRODUKTIVITAS UBI KAYU PER BULAN</t>
  </si>
  <si>
    <t>DATA LUAS TANAM UBI JALAR PER BULAN</t>
  </si>
  <si>
    <t>DATA LUAS PANEN UBI JALAR PER BULAN</t>
  </si>
  <si>
    <t>DATA PRODUKSI UBI JALAR PER BULAN</t>
  </si>
  <si>
    <t>DATA PRODUKTIVITAS UBI JALAR PER BULAN</t>
  </si>
  <si>
    <t>DATA LUAS TANAM KACANG HIJAU PER BULAN</t>
  </si>
  <si>
    <t>DATA LUAS PANEN KACANG HIJAU PER BULAN</t>
  </si>
  <si>
    <t>DATA PRODUKSI KACANG HIJAU PER BULAN</t>
  </si>
  <si>
    <t>DATA PRODUKTIVITAS KACANG HIJAU PER BULAN</t>
  </si>
  <si>
    <t>DATA LUAS TANAM KEDELAI PER BULAN</t>
  </si>
  <si>
    <t>DATA LUAS PANEN KEDELAI PER BULAN</t>
  </si>
  <si>
    <t>DATA PRODUKSI KEDELAI PER BULAN</t>
  </si>
  <si>
    <t>DATA PRODUKTIVITAS KEDELAI PER BULAN</t>
  </si>
  <si>
    <t>Ket : * : Panen Muda</t>
  </si>
  <si>
    <t>PRODUKTIVITAS</t>
  </si>
  <si>
    <t>TANAM</t>
  </si>
  <si>
    <t>PANEN</t>
  </si>
  <si>
    <t>PRODUKSI</t>
  </si>
  <si>
    <t>1. PADI SAWAH</t>
  </si>
  <si>
    <t>2. PADI LADANG</t>
  </si>
  <si>
    <t>3. JAGUNG</t>
  </si>
  <si>
    <t>4. KEDELAI</t>
  </si>
  <si>
    <t>5. KACANG TANAH</t>
  </si>
  <si>
    <t>6. UBI KAYU</t>
  </si>
  <si>
    <t>7. UBI JALAR</t>
  </si>
  <si>
    <t>8. KACANG HIJAU</t>
  </si>
  <si>
    <t>DATA LUAS PUSO KEDELAI PER BULAN</t>
  </si>
  <si>
    <t>KOTA CILEGON TAHUN 2015</t>
  </si>
  <si>
    <t>1*</t>
  </si>
  <si>
    <t>5*</t>
  </si>
  <si>
    <t>Peb</t>
  </si>
  <si>
    <t>Mar</t>
  </si>
  <si>
    <t>April</t>
  </si>
  <si>
    <t>Agust</t>
  </si>
  <si>
    <t>Sep</t>
  </si>
  <si>
    <t>KOTA CILEGON</t>
  </si>
  <si>
    <t>2014 S/D 2015</t>
  </si>
  <si>
    <t>REALISASI TANAM PADI SAWAH OKTOBER 2014 S/D MARET 2015</t>
  </si>
  <si>
    <t>REALISASI TANAM PADI LADANG OKTOBER 2014 S/D MARET 2015</t>
  </si>
  <si>
    <t>Catatan : Cibeber panen muda 5 Ha</t>
  </si>
  <si>
    <t>REALISASI PRODUKSI PADI SAWAH OKTOBER 2013 S/D MARET 2014</t>
  </si>
  <si>
    <t>REALISASI PRODUKSI PADI LADANG OKTOBER 2013 S/D MARET 2014</t>
  </si>
  <si>
    <t>REALISASI PANEN PADI LADANG OKTOBER 2014 S/D MARET 2015</t>
  </si>
  <si>
    <t>Okt-Mar</t>
  </si>
  <si>
    <t>Apr-Sep</t>
  </si>
  <si>
    <t>REALISASI TANAM PADI TOTAL (SAWAH &amp; LADANG) OKTOBER 2014 S/D MARET 2015</t>
  </si>
  <si>
    <t>REALISASI PANEN PADI TOTAL (SAWAH &amp; LADANG) OKTOBER 2014 S/D MARET 2015</t>
  </si>
  <si>
    <t>REALISASI PRODUKSI PADI TOTAL (SAWAH &amp; LADANG) OKTOBER 2014 S/D MARET 2015</t>
  </si>
  <si>
    <t>REALISASI PRODUKTIVITAS PADI TOTAL (SAWAH &amp; LADANG) OKTOBER 2014 S/D MARET 2015</t>
  </si>
  <si>
    <t>REALISASI TANAM JAGUNG OKTOBER 2014 S/D MARET 2015</t>
  </si>
  <si>
    <t>REALISASI PANEN JAGUNG OKTOBER 2014 S/D MARET 2015</t>
  </si>
  <si>
    <t>Ket : *) dipanen muda tidak ada angka produksi</t>
  </si>
  <si>
    <t>CIWANDAN*</t>
  </si>
  <si>
    <t>CITANGKIL**</t>
  </si>
  <si>
    <t>*) Kecamatan Ciwandan tidak ada panen (puso 10 Ha, gagal tumbuh)</t>
  </si>
  <si>
    <t>Ket :</t>
  </si>
  <si>
    <t>**) Kecamatan Citangkil puso 22 Ha, gagal tumbuh</t>
  </si>
  <si>
    <t xml:space="preserve">KOTA CILEGON 2015 </t>
  </si>
  <si>
    <t>REALISASI PANEN JAGUNG MUDA OKTOBER 2014 S/D MARET 2015</t>
  </si>
  <si>
    <t>SASARAN  INDIKATIF LUAS TANAM  PADI SAWAH MT. 2014/2015 DAN MT. 2015</t>
  </si>
  <si>
    <t>NO</t>
  </si>
  <si>
    <t>KECAMATAN</t>
  </si>
  <si>
    <t>MT. 2014/2015</t>
  </si>
  <si>
    <t>Oktober- Maret</t>
  </si>
  <si>
    <t>MT. 2015</t>
  </si>
  <si>
    <t>April - Sept.</t>
  </si>
  <si>
    <t>Oktober- Septem.</t>
  </si>
  <si>
    <t>Ags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</si>
  <si>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</si>
  <si>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</si>
  <si>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</si>
  <si>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</si>
  <si>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</si>
  <si>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</si>
  <si>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</si>
  <si>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</si>
  <si>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</si>
  <si>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</si>
  <si>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</si>
  <si>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</si>
  <si>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</si>
  <si>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</si>
  <si>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</si>
  <si>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</si>
  <si>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</si>
  <si>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PULO MERAK</t>
  </si>
  <si>
    <t>GEROGOL</t>
  </si>
  <si>
    <t>SASARAN  INDIKATIF LUAS TANAM  PADI  LADANG MT. 2014/2015 DAN MT. 2015</t>
  </si>
  <si>
    <t>TARGET OKT-MAR</t>
  </si>
  <si>
    <t>REALISASI OKT-MAR</t>
  </si>
  <si>
    <t>TARGET</t>
  </si>
  <si>
    <t>REALISASI</t>
  </si>
  <si>
    <t>APRIL</t>
  </si>
  <si>
    <t>MEI</t>
  </si>
  <si>
    <t>JUNI</t>
  </si>
  <si>
    <t>JULI</t>
  </si>
  <si>
    <t>AGUST</t>
  </si>
  <si>
    <t>SEPT</t>
  </si>
  <si>
    <t>(18)</t>
  </si>
  <si>
    <t>JUMLAH APR-SEPT</t>
  </si>
  <si>
    <t>(19)</t>
  </si>
  <si>
    <t>(20)</t>
  </si>
  <si>
    <t>TOTAL</t>
  </si>
  <si>
    <t>A. PADI SAWAH</t>
  </si>
  <si>
    <t>B. PADI LADANG</t>
  </si>
  <si>
    <t>REALISASI TANAM PADI SAWAH OKTOBER 2014 S/D MARET 2015 DAN APRIL S/D SEPTEMBER 2015</t>
  </si>
  <si>
    <t>REALISASI PANEN PADI SAWAH OKTOBER 2014 S/D MARET 2015 DAN APRIL S/D SEPTEMBER 2015</t>
  </si>
  <si>
    <t>REALISASI PRODUKSI PADI SAWAH OKTOBER 2014 S/D MARET 2015 DAN APRIL S/D SEPTEMBER 2015</t>
  </si>
  <si>
    <t>REALISASI PRODUKTIVITAS PADI SAWAH OKTOBER 2014 S/D MARET 2015 DAN APRIL S/D SEPTEMBER 2015</t>
  </si>
  <si>
    <t>REALISASI TANAM PADI LADANG OKTOBER 2014 S/D MARET 2015 DAN APRIL S/D SEPTEMBER 2015</t>
  </si>
  <si>
    <t>REALISASI PANEN PADI LADANG OKTOBER 2014 S/D MARET 2015 DAN APRIL S/D SEPTEMBER 2015</t>
  </si>
  <si>
    <t>REALISASI PRODUKSI PADI LADANG OKTOBER 2014 S/D MARET 2015 DAN APRIL S/D SEPTEMBER 2015</t>
  </si>
  <si>
    <t>REALISASI PRODUKTIVITAS PADI LADANG OKTOBER 2014 S/D MARET 2015 DAN APRIL S/D SEPTEMBER 2015</t>
  </si>
  <si>
    <t>REALISASI TANAM JAGUNG OKTOBER 2014 S/D MARET 2015 DAN APRIL S/D SEPTEMBER 2015</t>
  </si>
  <si>
    <t>REALISASI PANEN JAGUNG OKTOBER 2014 S/D MARET 2015 DAN APRIL S/D SEPTEMBER 2015</t>
  </si>
  <si>
    <t>REALISASI PRODUKTIVITAS JAGUNG OKTOBER 2014 S/D MARET 2015 DAN APRIL S/D SEPTEMBER 2015</t>
  </si>
  <si>
    <t>REALISASI PRODUKSI JAGUNG OKTOBER 2014 S/D MARET 2015 DAN APRIL S/D SEPTEMBER 2015</t>
  </si>
  <si>
    <t>REALISASI TANAM KEDELAI OKTOBER 2014 S/D MARET 2015 DAN APRIL S/D SEPTEMBER 2015</t>
  </si>
  <si>
    <t>REALISASI PANEN KEDELAI OKTOBER 2014 S/D MARET 2015 DAN APRIL S/D SEPTEMBER 2015</t>
  </si>
  <si>
    <t>REALISASI PRODUKSI KEDELAI OKTOBER 2014 S/D MARET 2015 DAN APRIL S/D SEPTEMBER 2015</t>
  </si>
  <si>
    <t>REALISASI PRODUKTIVITAS KEDELAI OKTOBER 2014 S/D MARET 2015 DAN APRIL S/D SEPTEMBER 2015</t>
  </si>
  <si>
    <t>Tabel A5</t>
  </si>
  <si>
    <t>JULI*)</t>
  </si>
  <si>
    <t>Ket : *) data bulan Juli belum rekonsilliasi dengan data BPS</t>
  </si>
  <si>
    <t>Tabel A6</t>
  </si>
  <si>
    <t>SISA TANAM</t>
  </si>
  <si>
    <t>(21)</t>
  </si>
  <si>
    <t>JAN-APR</t>
  </si>
  <si>
    <t>MEI-AGST</t>
  </si>
  <si>
    <t>OKT MAR</t>
  </si>
  <si>
    <t>APR SEP</t>
  </si>
  <si>
    <t>APR-SEP</t>
  </si>
  <si>
    <t>REALISASI TANAM KACANG TANAH OKTOBER 2014 S/D MARET 2015 DAN APRIL S/D SEPTEMBER 2015</t>
  </si>
  <si>
    <t>REALISASI TANAM UBI KAYU OKTOBER 2014 S/D MARET 2015 DAN APRIL S/D SEPTEMBER 2015</t>
  </si>
  <si>
    <t>REALISASI TANAM UBI JALAR OKTOBER 2014 S/D MARET 2015 DAN APRIL S/D SEPTEMBER 2015</t>
  </si>
  <si>
    <t>REALISASI TANAM KACANG HIJAU OKTOBER 2014 S/D MARET 2015 DAN APRIL S/D SEPTEMBER 2015</t>
  </si>
  <si>
    <t>REALISASI TANAM PADI SAWAH OKTOBER 2015 S/D MARET 2016 DAN APRIL S/D SEPTEMBER 2016</t>
  </si>
  <si>
    <t>Kota Cilegon</t>
  </si>
  <si>
    <t>H. ANDI AFFANDI, S.Sos</t>
  </si>
  <si>
    <t>NIP. 19681006 198803 1 001</t>
  </si>
  <si>
    <t xml:space="preserve">Kepala Dinas Pertanian dan Kelautan </t>
  </si>
  <si>
    <t>REALISASI TANAM PADI LADANG OKTOBER 2015 S/D MARET 2016 DAN APRIL S/D SEPTEMBER 2016</t>
  </si>
  <si>
    <t>REALISASI TANAM KEDELAI OKTOBER 2015 S/D MARET 2016 DAN APRIL S/D SEPTEMBER 2016</t>
  </si>
  <si>
    <t>REALISASI TANAM JAGUNG OKTOBER 2015 S/D MARET 2016 DAN APRIL S/D SEPTEMBER 2016</t>
  </si>
  <si>
    <t>REALISASI TANAM KACANG TANAH OKTOBER 2015 S/D MARET 2016 DAN APRIL S/D SEPTEMBER 2016</t>
  </si>
  <si>
    <t>REALISASI TANAM UBI KAYU OKTOBER 2015 S/D MARET 2016 DAN APRIL S/D SEPTEMBER 2016</t>
  </si>
  <si>
    <t>REALISASI TANAM UBI JALAR OKTOBER 2015 S/D MARET 2016 DAN APRIL S/D SEPTEMBER 2016</t>
  </si>
  <si>
    <t>REALISASI TANAM KACANG HIJAU OKTOBER 2015 S/D MARET 2016 DAN APRIL S/D SEPTEMBER 2016</t>
  </si>
  <si>
    <t>ok-nop</t>
  </si>
  <si>
    <t>Jan-Agust</t>
  </si>
  <si>
    <t>Jan-Agus</t>
  </si>
  <si>
    <t>jan-agust</t>
  </si>
  <si>
    <t>*</t>
  </si>
  <si>
    <t>2*</t>
  </si>
  <si>
    <t>Ket : * panen muda (tidak ada produksi)</t>
  </si>
  <si>
    <t>(Ton GKG)</t>
  </si>
  <si>
    <t>(Ton Biji Kering)</t>
  </si>
  <si>
    <t>REALISASI TANAM, PANEN, PRODUKSI DAN PRODUKTIVITAS PADI DAN JAGUNG</t>
  </si>
  <si>
    <t>Cilegon,          Desember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</si>
</sst>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(* #,##0_);_(* \(#,##0\);_(* &quot;-&quot;_);_(@_)"/>
    <numFmt numFmtId="43" formatCode="_(* #,##0.00_);_(* \(#,##0.00\);_(* &quot;-&quot;??_);_(@_)"/>
    <numFmt numFmtId="164" formatCode="_(* #,##0.00_);_(* \(#,##0.00\);_(* &quot;-&quot;_);_(@_)"/>
  </numFmts>
  <fonts count="21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4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2"/>
      <name val="Calibri"/>
      <family val="2"/>
      <scheme val="minor"/>
    </font>
    <font>
      <b/>
      <sz val="14"/>
      <color indexed="8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Arial Narrow"/>
      <family val="2"/>
    </font>
    <font>
      <b/>
      <sz val="12"/>
      <color indexed="8"/>
      <name val="Agency FB"/>
      <family val="2"/>
    </font>
    <font>
      <sz val="9"/>
      <color indexed="8"/>
      <name val="Times New Roman"/>
      <family val="1"/>
    </font>
    <font>
      <sz val="11"/>
      <color indexed="8"/>
      <name val="Arial Narrow"/>
      <family val="2"/>
    </font>
    <font>
      <b/>
      <sz val="10"/>
      <name val="Trebuchet MS"/>
      <family val="2"/>
    </font>
    <font>
      <sz val="10"/>
      <name val="Trebuchet MS"/>
      <family val="2"/>
    </font>
    <font>
      <b/>
      <i/>
      <sz val="10"/>
      <name val="Trebuchet MS"/>
      <family val="2"/>
    </font>
    <font>
      <i/>
      <sz val="10"/>
      <name val="Trebuchet MS"/>
      <family val="2"/>
    </font>
    <font>
      <b/>
      <sz val="11"/>
      <color theme="1"/>
      <name val="Calibri"/>
      <family val="2"/>
      <charset val="1"/>
      <scheme val="minor"/>
    </font>
    <font>
      <b/>
      <u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</fills>
  <borders count="1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 style="hair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05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4" fillId="2" borderId="3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left" vertical="center"/>
    </xf>
    <xf numFmtId="41" fontId="3" fillId="2" borderId="7" xfId="1" applyFont="1" applyFill="1" applyBorder="1" applyAlignment="1">
      <alignment horizontal="center" vertical="center"/>
    </xf>
    <xf numFmtId="41" fontId="3" fillId="2" borderId="6" xfId="1" applyFont="1" applyFill="1" applyBorder="1" applyAlignment="1">
      <alignment horizontal="center" vertical="center"/>
    </xf>
    <xf numFmtId="41" fontId="4" fillId="2" borderId="6" xfId="1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left" vertical="center"/>
    </xf>
    <xf numFmtId="41" fontId="4" fillId="2" borderId="7" xfId="1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41" fontId="3" fillId="0" borderId="7" xfId="1" applyFont="1" applyBorder="1" applyAlignment="1">
      <alignment horizontal="center" vertical="center"/>
    </xf>
    <xf numFmtId="41" fontId="3" fillId="0" borderId="8" xfId="1" applyFont="1" applyBorder="1" applyAlignment="1">
      <alignment horizontal="center" vertical="center"/>
    </xf>
    <xf numFmtId="41" fontId="4" fillId="0" borderId="7" xfId="1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center" vertical="center"/>
    </xf>
    <xf numFmtId="41" fontId="4" fillId="0" borderId="9" xfId="1" applyFont="1" applyBorder="1" applyAlignment="1">
      <alignment horizontal="center" vertical="center"/>
    </xf>
    <xf numFmtId="41" fontId="4" fillId="0" borderId="12" xfId="1" applyFont="1" applyBorder="1" applyAlignment="1">
      <alignment horizontal="center" vertical="center"/>
    </xf>
    <xf numFmtId="0" fontId="0" fillId="0" borderId="0" xfId="0" applyFont="1" applyAlignment="1">
      <alignment horizontal="center"/>
    </xf>
    <xf numFmtId="0" fontId="0" fillId="0" borderId="0" xfId="0" applyFont="1"/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 vertical="center"/>
    </xf>
    <xf numFmtId="41" fontId="3" fillId="0" borderId="6" xfId="1" applyFont="1" applyBorder="1" applyAlignment="1">
      <alignment horizontal="center" vertical="center"/>
    </xf>
    <xf numFmtId="41" fontId="4" fillId="0" borderId="6" xfId="1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164" fontId="5" fillId="0" borderId="6" xfId="1" applyNumberFormat="1" applyFont="1" applyBorder="1" applyAlignment="1">
      <alignment horizontal="center" vertical="center"/>
    </xf>
    <xf numFmtId="164" fontId="3" fillId="0" borderId="6" xfId="1" applyNumberFormat="1" applyFont="1" applyBorder="1" applyAlignment="1">
      <alignment horizontal="center" vertical="center"/>
    </xf>
    <xf numFmtId="164" fontId="4" fillId="0" borderId="6" xfId="1" applyNumberFormat="1" applyFont="1" applyBorder="1" applyAlignment="1">
      <alignment horizontal="center" vertical="center"/>
    </xf>
    <xf numFmtId="164" fontId="3" fillId="0" borderId="7" xfId="1" applyNumberFormat="1" applyFont="1" applyBorder="1" applyAlignment="1">
      <alignment horizontal="center" vertical="center"/>
    </xf>
    <xf numFmtId="164" fontId="4" fillId="0" borderId="7" xfId="1" applyNumberFormat="1" applyFont="1" applyBorder="1" applyAlignment="1">
      <alignment horizontal="center" vertical="center"/>
    </xf>
    <xf numFmtId="164" fontId="3" fillId="0" borderId="8" xfId="1" applyNumberFormat="1" applyFont="1" applyBorder="1" applyAlignment="1">
      <alignment horizontal="center" vertical="center"/>
    </xf>
    <xf numFmtId="164" fontId="4" fillId="0" borderId="9" xfId="1" applyNumberFormat="1" applyFont="1" applyBorder="1" applyAlignment="1">
      <alignment horizontal="center" vertical="center"/>
    </xf>
    <xf numFmtId="164" fontId="4" fillId="0" borderId="12" xfId="1" applyNumberFormat="1" applyFont="1" applyBorder="1" applyAlignment="1">
      <alignment horizontal="center" vertical="center"/>
    </xf>
    <xf numFmtId="2" fontId="0" fillId="0" borderId="0" xfId="0" applyNumberFormat="1" applyFont="1" applyAlignment="1">
      <alignment horizontal="center"/>
    </xf>
    <xf numFmtId="41" fontId="3" fillId="0" borderId="9" xfId="1" applyFont="1" applyBorder="1" applyAlignment="1">
      <alignment horizontal="center" vertical="center"/>
    </xf>
    <xf numFmtId="0" fontId="0" fillId="0" borderId="0" xfId="0" applyAlignment="1">
      <alignment horizontal="center"/>
    </xf>
    <xf numFmtId="41" fontId="4" fillId="0" borderId="13" xfId="1" applyFont="1" applyBorder="1" applyAlignment="1">
      <alignment horizontal="center" vertical="center"/>
    </xf>
    <xf numFmtId="41" fontId="4" fillId="0" borderId="14" xfId="1" applyFont="1" applyBorder="1" applyAlignment="1">
      <alignment horizontal="center" vertical="center"/>
    </xf>
    <xf numFmtId="164" fontId="4" fillId="0" borderId="13" xfId="1" applyNumberFormat="1" applyFont="1" applyBorder="1" applyAlignment="1">
      <alignment horizontal="center" vertical="center"/>
    </xf>
    <xf numFmtId="164" fontId="4" fillId="0" borderId="4" xfId="1" applyNumberFormat="1" applyFont="1" applyBorder="1" applyAlignment="1">
      <alignment horizontal="center" vertical="center"/>
    </xf>
    <xf numFmtId="41" fontId="3" fillId="0" borderId="6" xfId="1" applyFont="1" applyFill="1" applyBorder="1" applyAlignment="1">
      <alignment horizontal="center" vertical="center"/>
    </xf>
    <xf numFmtId="41" fontId="3" fillId="0" borderId="7" xfId="1" applyFont="1" applyFill="1" applyBorder="1" applyAlignment="1">
      <alignment horizontal="center" vertical="center"/>
    </xf>
    <xf numFmtId="41" fontId="7" fillId="0" borderId="7" xfId="1" applyFont="1" applyFill="1" applyBorder="1" applyAlignment="1">
      <alignment horizontal="center" vertical="center"/>
    </xf>
    <xf numFmtId="41" fontId="3" fillId="0" borderId="9" xfId="1" applyFont="1" applyFill="1" applyBorder="1" applyAlignment="1">
      <alignment horizontal="center" vertical="center"/>
    </xf>
    <xf numFmtId="164" fontId="7" fillId="0" borderId="6" xfId="1" applyNumberFormat="1" applyFont="1" applyFill="1" applyBorder="1" applyAlignment="1">
      <alignment horizontal="center" vertical="center"/>
    </xf>
    <xf numFmtId="164" fontId="3" fillId="0" borderId="9" xfId="1" applyNumberFormat="1" applyFont="1" applyFill="1" applyBorder="1" applyAlignment="1">
      <alignment horizontal="center" vertical="center"/>
    </xf>
    <xf numFmtId="164" fontId="8" fillId="0" borderId="12" xfId="1" applyNumberFormat="1" applyFont="1" applyFill="1" applyBorder="1" applyAlignment="1">
      <alignment horizontal="center" vertical="center"/>
    </xf>
    <xf numFmtId="41" fontId="4" fillId="0" borderId="8" xfId="1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41" fontId="3" fillId="0" borderId="15" xfId="1" applyFont="1" applyBorder="1" applyAlignment="1">
      <alignment horizontal="center" vertical="center"/>
    </xf>
    <xf numFmtId="41" fontId="4" fillId="0" borderId="15" xfId="1" applyFont="1" applyBorder="1" applyAlignment="1">
      <alignment horizontal="center" vertical="center"/>
    </xf>
    <xf numFmtId="164" fontId="3" fillId="0" borderId="15" xfId="1" applyNumberFormat="1" applyFont="1" applyBorder="1" applyAlignment="1">
      <alignment horizontal="center" vertical="center"/>
    </xf>
    <xf numFmtId="164" fontId="4" fillId="0" borderId="14" xfId="1" applyNumberFormat="1" applyFont="1" applyBorder="1" applyAlignment="1">
      <alignment horizontal="center" vertical="center"/>
    </xf>
    <xf numFmtId="41" fontId="7" fillId="2" borderId="6" xfId="1" applyFont="1" applyFill="1" applyBorder="1" applyAlignment="1">
      <alignment horizontal="center" vertical="center"/>
    </xf>
    <xf numFmtId="41" fontId="7" fillId="2" borderId="7" xfId="1" applyFont="1" applyFill="1" applyBorder="1" applyAlignment="1">
      <alignment horizontal="center" vertical="center"/>
    </xf>
    <xf numFmtId="41" fontId="7" fillId="0" borderId="7" xfId="1" applyFont="1" applyBorder="1" applyAlignment="1">
      <alignment horizontal="center" vertical="center"/>
    </xf>
    <xf numFmtId="41" fontId="7" fillId="0" borderId="9" xfId="1" applyFont="1" applyBorder="1" applyAlignment="1">
      <alignment horizontal="center" vertical="center"/>
    </xf>
    <xf numFmtId="41" fontId="7" fillId="0" borderId="6" xfId="1" applyFont="1" applyBorder="1" applyAlignment="1">
      <alignment horizontal="center" vertical="center"/>
    </xf>
    <xf numFmtId="164" fontId="7" fillId="0" borderId="6" xfId="1" applyNumberFormat="1" applyFont="1" applyBorder="1" applyAlignment="1">
      <alignment horizontal="center" vertical="center"/>
    </xf>
    <xf numFmtId="164" fontId="7" fillId="2" borderId="6" xfId="1" applyNumberFormat="1" applyFont="1" applyFill="1" applyBorder="1" applyAlignment="1">
      <alignment horizontal="center" vertical="center"/>
    </xf>
    <xf numFmtId="164" fontId="7" fillId="0" borderId="7" xfId="1" applyNumberFormat="1" applyFont="1" applyBorder="1" applyAlignment="1">
      <alignment horizontal="center" vertical="center"/>
    </xf>
    <xf numFmtId="164" fontId="7" fillId="0" borderId="9" xfId="1" applyNumberFormat="1" applyFont="1" applyBorder="1" applyAlignment="1">
      <alignment horizontal="center" vertical="center"/>
    </xf>
    <xf numFmtId="41" fontId="7" fillId="0" borderId="6" xfId="1" applyFont="1" applyFill="1" applyBorder="1" applyAlignment="1">
      <alignment horizontal="center" vertical="center"/>
    </xf>
    <xf numFmtId="41" fontId="7" fillId="0" borderId="6" xfId="1" applyNumberFormat="1" applyFont="1" applyFill="1" applyBorder="1" applyAlignment="1">
      <alignment horizontal="center" vertical="center"/>
    </xf>
    <xf numFmtId="164" fontId="3" fillId="2" borderId="6" xfId="1" applyNumberFormat="1" applyFont="1" applyFill="1" applyBorder="1" applyAlignment="1">
      <alignment horizontal="center" vertical="center"/>
    </xf>
    <xf numFmtId="41" fontId="3" fillId="0" borderId="7" xfId="1" applyNumberFormat="1" applyFont="1" applyBorder="1" applyAlignment="1">
      <alignment horizontal="center" vertical="center"/>
    </xf>
    <xf numFmtId="41" fontId="4" fillId="0" borderId="12" xfId="1" applyNumberFormat="1" applyFont="1" applyBorder="1" applyAlignment="1">
      <alignment horizontal="center" vertical="center"/>
    </xf>
    <xf numFmtId="43" fontId="0" fillId="0" borderId="0" xfId="0" applyNumberFormat="1"/>
    <xf numFmtId="43" fontId="0" fillId="0" borderId="0" xfId="0" applyNumberFormat="1" applyFont="1"/>
    <xf numFmtId="41" fontId="3" fillId="0" borderId="6" xfId="1" applyFont="1" applyBorder="1" applyAlignment="1">
      <alignment horizontal="right" vertical="center"/>
    </xf>
    <xf numFmtId="41" fontId="7" fillId="0" borderId="6" xfId="1" applyFont="1" applyBorder="1" applyAlignment="1">
      <alignment horizontal="right" vertical="center"/>
    </xf>
    <xf numFmtId="0" fontId="9" fillId="0" borderId="0" xfId="0" applyFont="1"/>
    <xf numFmtId="0" fontId="4" fillId="2" borderId="5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41" fontId="0" fillId="0" borderId="3" xfId="1" applyFont="1" applyBorder="1"/>
    <xf numFmtId="41" fontId="0" fillId="0" borderId="7" xfId="1" applyFont="1" applyBorder="1"/>
    <xf numFmtId="41" fontId="0" fillId="0" borderId="9" xfId="1" applyFont="1" applyBorder="1"/>
    <xf numFmtId="41" fontId="9" fillId="0" borderId="28" xfId="1" applyFont="1" applyBorder="1"/>
    <xf numFmtId="164" fontId="0" fillId="0" borderId="20" xfId="1" applyNumberFormat="1" applyFont="1" applyBorder="1"/>
    <xf numFmtId="164" fontId="0" fillId="0" borderId="30" xfId="1" applyNumberFormat="1" applyFont="1" applyBorder="1"/>
    <xf numFmtId="164" fontId="0" fillId="0" borderId="31" xfId="1" applyNumberFormat="1" applyFont="1" applyBorder="1"/>
    <xf numFmtId="164" fontId="9" fillId="0" borderId="29" xfId="1" applyNumberFormat="1" applyFont="1" applyBorder="1"/>
    <xf numFmtId="41" fontId="0" fillId="0" borderId="3" xfId="1" applyFont="1" applyBorder="1" applyAlignment="1">
      <alignment horizontal="right"/>
    </xf>
    <xf numFmtId="164" fontId="0" fillId="0" borderId="3" xfId="1" applyNumberFormat="1" applyFont="1" applyBorder="1" applyAlignment="1">
      <alignment horizontal="right"/>
    </xf>
    <xf numFmtId="164" fontId="0" fillId="0" borderId="7" xfId="1" applyNumberFormat="1" applyFont="1" applyBorder="1"/>
    <xf numFmtId="164" fontId="0" fillId="0" borderId="9" xfId="1" applyNumberFormat="1" applyFont="1" applyBorder="1"/>
    <xf numFmtId="0" fontId="4" fillId="0" borderId="0" xfId="0" applyFont="1" applyBorder="1" applyAlignment="1">
      <alignment horizontal="center" vertical="center"/>
    </xf>
    <xf numFmtId="41" fontId="9" fillId="0" borderId="0" xfId="1" applyFont="1" applyBorder="1"/>
    <xf numFmtId="164" fontId="9" fillId="0" borderId="0" xfId="1" applyNumberFormat="1" applyFont="1" applyBorder="1"/>
    <xf numFmtId="0" fontId="3" fillId="0" borderId="0" xfId="0" applyFont="1" applyBorder="1" applyAlignment="1">
      <alignment horizontal="left" vertical="center"/>
    </xf>
    <xf numFmtId="41" fontId="3" fillId="0" borderId="8" xfId="1" applyFont="1" applyBorder="1" applyAlignment="1">
      <alignment horizontal="right" vertical="center"/>
    </xf>
    <xf numFmtId="0" fontId="4" fillId="2" borderId="3" xfId="0" applyFont="1" applyFill="1" applyBorder="1" applyAlignment="1">
      <alignment horizontal="center" vertical="center"/>
    </xf>
    <xf numFmtId="164" fontId="0" fillId="0" borderId="0" xfId="0" applyNumberFormat="1" applyFont="1"/>
    <xf numFmtId="41" fontId="0" fillId="0" borderId="0" xfId="0" applyNumberFormat="1" applyFont="1"/>
    <xf numFmtId="0" fontId="4" fillId="0" borderId="0" xfId="0" applyFont="1" applyFill="1" applyBorder="1" applyAlignment="1">
      <alignment horizontal="center" vertical="center"/>
    </xf>
    <xf numFmtId="41" fontId="0" fillId="0" borderId="0" xfId="0" applyNumberFormat="1"/>
    <xf numFmtId="0" fontId="0" fillId="0" borderId="32" xfId="0" applyBorder="1"/>
    <xf numFmtId="41" fontId="7" fillId="0" borderId="9" xfId="1" applyFont="1" applyBorder="1" applyAlignment="1">
      <alignment horizontal="right" vertical="center"/>
    </xf>
    <xf numFmtId="41" fontId="4" fillId="0" borderId="3" xfId="1" applyFont="1" applyFill="1" applyBorder="1" applyAlignment="1">
      <alignment horizontal="center" vertical="center"/>
    </xf>
    <xf numFmtId="41" fontId="0" fillId="0" borderId="0" xfId="1" applyFont="1"/>
    <xf numFmtId="164" fontId="4" fillId="0" borderId="3" xfId="1" applyNumberFormat="1" applyFont="1" applyBorder="1" applyAlignment="1">
      <alignment horizontal="center" vertical="center"/>
    </xf>
    <xf numFmtId="43" fontId="4" fillId="0" borderId="12" xfId="1" applyNumberFormat="1" applyFont="1" applyBorder="1" applyAlignment="1">
      <alignment horizontal="center" vertical="center"/>
    </xf>
    <xf numFmtId="0" fontId="4" fillId="2" borderId="33" xfId="0" applyFont="1" applyFill="1" applyBorder="1" applyAlignment="1">
      <alignment horizontal="center" vertical="center"/>
    </xf>
    <xf numFmtId="0" fontId="4" fillId="2" borderId="34" xfId="0" applyFont="1" applyFill="1" applyBorder="1" applyAlignment="1">
      <alignment horizontal="center"/>
    </xf>
    <xf numFmtId="41" fontId="3" fillId="2" borderId="35" xfId="1" applyFont="1" applyFill="1" applyBorder="1" applyAlignment="1">
      <alignment horizontal="center" vertical="center"/>
    </xf>
    <xf numFmtId="41" fontId="3" fillId="2" borderId="36" xfId="1" applyFont="1" applyFill="1" applyBorder="1" applyAlignment="1">
      <alignment horizontal="center" vertical="center"/>
    </xf>
    <xf numFmtId="41" fontId="3" fillId="0" borderId="36" xfId="1" applyFont="1" applyBorder="1" applyAlignment="1">
      <alignment horizontal="center" vertical="center"/>
    </xf>
    <xf numFmtId="41" fontId="3" fillId="0" borderId="37" xfId="1" applyFont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/>
    </xf>
    <xf numFmtId="41" fontId="3" fillId="2" borderId="38" xfId="1" applyFont="1" applyFill="1" applyBorder="1" applyAlignment="1">
      <alignment horizontal="center" vertical="center"/>
    </xf>
    <xf numFmtId="41" fontId="3" fillId="0" borderId="30" xfId="1" applyFont="1" applyBorder="1" applyAlignment="1">
      <alignment horizontal="center" vertical="center"/>
    </xf>
    <xf numFmtId="41" fontId="3" fillId="0" borderId="39" xfId="1" applyFont="1" applyBorder="1" applyAlignment="1">
      <alignment horizontal="center" vertical="center"/>
    </xf>
    <xf numFmtId="0" fontId="4" fillId="2" borderId="21" xfId="0" applyFont="1" applyFill="1" applyBorder="1" applyAlignment="1">
      <alignment horizontal="center"/>
    </xf>
    <xf numFmtId="41" fontId="4" fillId="2" borderId="38" xfId="1" applyFont="1" applyFill="1" applyBorder="1" applyAlignment="1">
      <alignment horizontal="center" vertical="center"/>
    </xf>
    <xf numFmtId="41" fontId="4" fillId="2" borderId="30" xfId="1" applyFont="1" applyFill="1" applyBorder="1" applyAlignment="1">
      <alignment horizontal="center" vertical="center"/>
    </xf>
    <xf numFmtId="41" fontId="4" fillId="0" borderId="30" xfId="1" applyFont="1" applyBorder="1" applyAlignment="1">
      <alignment horizontal="center" vertical="center"/>
    </xf>
    <xf numFmtId="41" fontId="4" fillId="0" borderId="31" xfId="1" applyFont="1" applyBorder="1" applyAlignment="1">
      <alignment horizontal="center" vertical="center"/>
    </xf>
    <xf numFmtId="41" fontId="4" fillId="0" borderId="27" xfId="1" applyFont="1" applyBorder="1" applyAlignment="1">
      <alignment horizontal="center" vertical="center"/>
    </xf>
    <xf numFmtId="41" fontId="4" fillId="0" borderId="47" xfId="1" applyFont="1" applyBorder="1" applyAlignment="1">
      <alignment horizontal="center" vertical="center"/>
    </xf>
    <xf numFmtId="41" fontId="4" fillId="0" borderId="46" xfId="1" applyFont="1" applyBorder="1" applyAlignment="1">
      <alignment horizontal="center" vertical="center"/>
    </xf>
    <xf numFmtId="41" fontId="3" fillId="0" borderId="38" xfId="1" applyFont="1" applyBorder="1" applyAlignment="1">
      <alignment horizontal="center" vertical="center"/>
    </xf>
    <xf numFmtId="0" fontId="0" fillId="0" borderId="0" xfId="0" applyFont="1" applyAlignment="1">
      <alignment horizontal="left"/>
    </xf>
    <xf numFmtId="0" fontId="4" fillId="2" borderId="3" xfId="0" applyFont="1" applyFill="1" applyBorder="1" applyAlignment="1">
      <alignment horizontal="center" vertical="center"/>
    </xf>
    <xf numFmtId="41" fontId="7" fillId="0" borderId="8" xfId="1" applyFont="1" applyBorder="1" applyAlignment="1">
      <alignment horizontal="center" vertical="center"/>
    </xf>
    <xf numFmtId="41" fontId="8" fillId="0" borderId="12" xfId="1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41" fontId="3" fillId="0" borderId="31" xfId="1" applyFont="1" applyBorder="1" applyAlignment="1">
      <alignment horizontal="center" vertical="center"/>
    </xf>
    <xf numFmtId="41" fontId="5" fillId="2" borderId="6" xfId="1" applyFont="1" applyFill="1" applyBorder="1" applyAlignment="1">
      <alignment horizontal="center" vertical="center"/>
    </xf>
    <xf numFmtId="41" fontId="5" fillId="0" borderId="7" xfId="1" applyFont="1" applyBorder="1" applyAlignment="1">
      <alignment horizontal="center" vertical="center"/>
    </xf>
    <xf numFmtId="41" fontId="4" fillId="2" borderId="48" xfId="1" applyFont="1" applyFill="1" applyBorder="1" applyAlignment="1">
      <alignment horizontal="center" vertical="center"/>
    </xf>
    <xf numFmtId="41" fontId="4" fillId="2" borderId="49" xfId="1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/>
    </xf>
    <xf numFmtId="43" fontId="5" fillId="0" borderId="6" xfId="2" applyFont="1" applyBorder="1" applyAlignment="1">
      <alignment horizontal="center" vertical="center"/>
    </xf>
    <xf numFmtId="43" fontId="3" fillId="0" borderId="6" xfId="2" applyFont="1" applyBorder="1" applyAlignment="1">
      <alignment horizontal="center" vertical="center"/>
    </xf>
    <xf numFmtId="43" fontId="5" fillId="0" borderId="7" xfId="2" applyFont="1" applyBorder="1" applyAlignment="1">
      <alignment horizontal="center" vertical="center"/>
    </xf>
    <xf numFmtId="43" fontId="3" fillId="0" borderId="7" xfId="2" applyFont="1" applyBorder="1" applyAlignment="1">
      <alignment horizontal="center" vertical="center"/>
    </xf>
    <xf numFmtId="43" fontId="3" fillId="0" borderId="8" xfId="2" applyFont="1" applyBorder="1" applyAlignment="1">
      <alignment horizontal="center" vertical="center"/>
    </xf>
    <xf numFmtId="164" fontId="3" fillId="0" borderId="30" xfId="1" applyNumberFormat="1" applyFont="1" applyBorder="1" applyAlignment="1">
      <alignment horizontal="center" vertical="center"/>
    </xf>
    <xf numFmtId="164" fontId="3" fillId="0" borderId="39" xfId="1" applyNumberFormat="1" applyFont="1" applyBorder="1" applyAlignment="1">
      <alignment horizontal="center" vertical="center"/>
    </xf>
    <xf numFmtId="164" fontId="4" fillId="0" borderId="27" xfId="1" applyNumberFormat="1" applyFont="1" applyBorder="1" applyAlignment="1">
      <alignment horizontal="center" vertical="center"/>
    </xf>
    <xf numFmtId="164" fontId="4" fillId="0" borderId="47" xfId="1" applyNumberFormat="1" applyFont="1" applyBorder="1" applyAlignment="1">
      <alignment horizontal="center" vertical="center"/>
    </xf>
    <xf numFmtId="0" fontId="4" fillId="2" borderId="32" xfId="0" applyFont="1" applyFill="1" applyBorder="1" applyAlignment="1">
      <alignment horizontal="center" vertical="center"/>
    </xf>
    <xf numFmtId="0" fontId="4" fillId="2" borderId="50" xfId="0" applyFont="1" applyFill="1" applyBorder="1" applyAlignment="1">
      <alignment horizontal="center"/>
    </xf>
    <xf numFmtId="41" fontId="3" fillId="2" borderId="51" xfId="1" applyFont="1" applyFill="1" applyBorder="1" applyAlignment="1">
      <alignment horizontal="center" vertical="center"/>
    </xf>
    <xf numFmtId="41" fontId="3" fillId="2" borderId="52" xfId="1" applyFont="1" applyFill="1" applyBorder="1" applyAlignment="1">
      <alignment horizontal="center" vertical="center"/>
    </xf>
    <xf numFmtId="41" fontId="3" fillId="0" borderId="52" xfId="1" applyFont="1" applyBorder="1" applyAlignment="1">
      <alignment horizontal="center" vertical="center"/>
    </xf>
    <xf numFmtId="41" fontId="3" fillId="0" borderId="53" xfId="1" applyFont="1" applyBorder="1" applyAlignment="1">
      <alignment horizontal="center" vertical="center"/>
    </xf>
    <xf numFmtId="41" fontId="4" fillId="0" borderId="54" xfId="1" applyFont="1" applyBorder="1" applyAlignment="1">
      <alignment horizontal="center" vertical="center"/>
    </xf>
    <xf numFmtId="0" fontId="4" fillId="2" borderId="55" xfId="0" applyFont="1" applyFill="1" applyBorder="1" applyAlignment="1">
      <alignment horizontal="center"/>
    </xf>
    <xf numFmtId="41" fontId="4" fillId="0" borderId="57" xfId="1" applyFont="1" applyBorder="1" applyAlignment="1">
      <alignment horizontal="center" vertical="center"/>
    </xf>
    <xf numFmtId="41" fontId="4" fillId="2" borderId="60" xfId="1" applyFont="1" applyFill="1" applyBorder="1" applyAlignment="1">
      <alignment horizontal="center" vertical="center"/>
    </xf>
    <xf numFmtId="41" fontId="4" fillId="2" borderId="56" xfId="1" applyFont="1" applyFill="1" applyBorder="1" applyAlignment="1">
      <alignment horizontal="center" vertical="center"/>
    </xf>
    <xf numFmtId="41" fontId="4" fillId="2" borderId="61" xfId="1" applyFont="1" applyFill="1" applyBorder="1" applyAlignment="1">
      <alignment horizontal="center" vertical="center"/>
    </xf>
    <xf numFmtId="41" fontId="4" fillId="2" borderId="62" xfId="1" applyFont="1" applyFill="1" applyBorder="1" applyAlignment="1">
      <alignment horizontal="center" vertical="center"/>
    </xf>
    <xf numFmtId="41" fontId="4" fillId="2" borderId="63" xfId="1" applyFont="1" applyFill="1" applyBorder="1" applyAlignment="1">
      <alignment horizontal="center" vertical="center"/>
    </xf>
    <xf numFmtId="41" fontId="4" fillId="2" borderId="64" xfId="1" applyFont="1" applyFill="1" applyBorder="1" applyAlignment="1">
      <alignment horizontal="center" vertical="center"/>
    </xf>
    <xf numFmtId="41" fontId="4" fillId="0" borderId="65" xfId="1" applyFont="1" applyBorder="1" applyAlignment="1">
      <alignment horizontal="center" vertical="center"/>
    </xf>
    <xf numFmtId="0" fontId="4" fillId="2" borderId="68" xfId="0" applyFont="1" applyFill="1" applyBorder="1" applyAlignment="1">
      <alignment horizontal="center"/>
    </xf>
    <xf numFmtId="41" fontId="4" fillId="0" borderId="56" xfId="1" applyFont="1" applyBorder="1" applyAlignment="1">
      <alignment horizontal="center" vertical="center"/>
    </xf>
    <xf numFmtId="41" fontId="7" fillId="2" borderId="35" xfId="1" applyFont="1" applyFill="1" applyBorder="1" applyAlignment="1">
      <alignment horizontal="center" vertical="center"/>
    </xf>
    <xf numFmtId="41" fontId="7" fillId="2" borderId="36" xfId="1" applyFont="1" applyFill="1" applyBorder="1" applyAlignment="1">
      <alignment horizontal="center" vertical="center"/>
    </xf>
    <xf numFmtId="41" fontId="7" fillId="0" borderId="36" xfId="1" applyFont="1" applyBorder="1" applyAlignment="1">
      <alignment horizontal="center" vertical="center"/>
    </xf>
    <xf numFmtId="41" fontId="7" fillId="0" borderId="37" xfId="1" applyFont="1" applyBorder="1" applyAlignment="1">
      <alignment horizontal="center" vertical="center"/>
    </xf>
    <xf numFmtId="41" fontId="8" fillId="0" borderId="69" xfId="1" applyFont="1" applyBorder="1" applyAlignment="1">
      <alignment horizontal="center" vertical="center"/>
    </xf>
    <xf numFmtId="164" fontId="4" fillId="2" borderId="48" xfId="1" applyNumberFormat="1" applyFont="1" applyFill="1" applyBorder="1" applyAlignment="1">
      <alignment horizontal="center" vertical="center"/>
    </xf>
    <xf numFmtId="164" fontId="3" fillId="2" borderId="51" xfId="1" applyNumberFormat="1" applyFont="1" applyFill="1" applyBorder="1" applyAlignment="1">
      <alignment horizontal="center" vertical="center"/>
    </xf>
    <xf numFmtId="164" fontId="3" fillId="0" borderId="52" xfId="1" applyNumberFormat="1" applyFont="1" applyBorder="1" applyAlignment="1">
      <alignment horizontal="center" vertical="center"/>
    </xf>
    <xf numFmtId="164" fontId="3" fillId="0" borderId="53" xfId="1" applyNumberFormat="1" applyFont="1" applyBorder="1" applyAlignment="1">
      <alignment horizontal="center" vertical="center"/>
    </xf>
    <xf numFmtId="164" fontId="4" fillId="0" borderId="54" xfId="1" applyNumberFormat="1" applyFont="1" applyBorder="1" applyAlignment="1">
      <alignment horizontal="center" vertical="center"/>
    </xf>
    <xf numFmtId="164" fontId="4" fillId="2" borderId="70" xfId="1" applyNumberFormat="1" applyFont="1" applyFill="1" applyBorder="1" applyAlignment="1">
      <alignment horizontal="center" vertical="center"/>
    </xf>
    <xf numFmtId="164" fontId="4" fillId="2" borderId="57" xfId="1" applyNumberFormat="1" applyFont="1" applyFill="1" applyBorder="1" applyAlignment="1">
      <alignment horizontal="center" vertical="center"/>
    </xf>
    <xf numFmtId="164" fontId="4" fillId="2" borderId="60" xfId="1" applyNumberFormat="1" applyFont="1" applyFill="1" applyBorder="1" applyAlignment="1">
      <alignment horizontal="center" vertical="center"/>
    </xf>
    <xf numFmtId="164" fontId="4" fillId="2" borderId="61" xfId="1" applyNumberFormat="1" applyFont="1" applyFill="1" applyBorder="1" applyAlignment="1">
      <alignment horizontal="center" vertical="center"/>
    </xf>
    <xf numFmtId="164" fontId="4" fillId="2" borderId="20" xfId="1" applyNumberFormat="1" applyFont="1" applyFill="1" applyBorder="1" applyAlignment="1">
      <alignment horizontal="center" vertical="center"/>
    </xf>
    <xf numFmtId="164" fontId="4" fillId="2" borderId="56" xfId="1" applyNumberFormat="1" applyFont="1" applyFill="1" applyBorder="1" applyAlignment="1">
      <alignment horizontal="center" vertical="center"/>
    </xf>
    <xf numFmtId="164" fontId="4" fillId="2" borderId="30" xfId="1" applyNumberFormat="1" applyFont="1" applyFill="1" applyBorder="1" applyAlignment="1">
      <alignment horizontal="center" vertical="center"/>
    </xf>
    <xf numFmtId="164" fontId="3" fillId="2" borderId="35" xfId="1" applyNumberFormat="1" applyFont="1" applyFill="1" applyBorder="1" applyAlignment="1">
      <alignment horizontal="center" vertical="center"/>
    </xf>
    <xf numFmtId="164" fontId="3" fillId="2" borderId="36" xfId="1" applyNumberFormat="1" applyFont="1" applyFill="1" applyBorder="1" applyAlignment="1">
      <alignment horizontal="center" vertical="center"/>
    </xf>
    <xf numFmtId="164" fontId="3" fillId="0" borderId="36" xfId="1" applyNumberFormat="1" applyFont="1" applyBorder="1" applyAlignment="1">
      <alignment horizontal="center" vertical="center"/>
    </xf>
    <xf numFmtId="164" fontId="3" fillId="0" borderId="37" xfId="1" applyNumberFormat="1" applyFont="1" applyBorder="1" applyAlignment="1">
      <alignment horizontal="center" vertical="center"/>
    </xf>
    <xf numFmtId="164" fontId="4" fillId="0" borderId="46" xfId="1" applyNumberFormat="1" applyFont="1" applyBorder="1" applyAlignment="1">
      <alignment horizontal="center" vertical="center"/>
    </xf>
    <xf numFmtId="41" fontId="3" fillId="0" borderId="51" xfId="1" applyFont="1" applyBorder="1" applyAlignment="1">
      <alignment horizontal="center" vertical="center"/>
    </xf>
    <xf numFmtId="41" fontId="4" fillId="0" borderId="60" xfId="1" applyFont="1" applyBorder="1" applyAlignment="1">
      <alignment horizontal="center" vertical="center"/>
    </xf>
    <xf numFmtId="41" fontId="4" fillId="0" borderId="61" xfId="1" applyFont="1" applyBorder="1" applyAlignment="1">
      <alignment horizontal="center" vertical="center"/>
    </xf>
    <xf numFmtId="164" fontId="3" fillId="0" borderId="38" xfId="1" applyNumberFormat="1" applyFont="1" applyBorder="1" applyAlignment="1">
      <alignment horizontal="center" vertical="center"/>
    </xf>
    <xf numFmtId="164" fontId="4" fillId="0" borderId="56" xfId="1" applyNumberFormat="1" applyFont="1" applyBorder="1" applyAlignment="1">
      <alignment horizontal="center" vertical="center"/>
    </xf>
    <xf numFmtId="164" fontId="4" fillId="0" borderId="61" xfId="1" applyNumberFormat="1" applyFont="1" applyBorder="1" applyAlignment="1">
      <alignment horizontal="center" vertical="center"/>
    </xf>
    <xf numFmtId="164" fontId="4" fillId="0" borderId="57" xfId="1" applyNumberFormat="1" applyFont="1" applyBorder="1" applyAlignment="1">
      <alignment horizontal="center" vertical="center"/>
    </xf>
    <xf numFmtId="164" fontId="4" fillId="2" borderId="63" xfId="1" applyNumberFormat="1" applyFont="1" applyFill="1" applyBorder="1" applyAlignment="1">
      <alignment horizontal="center" vertical="center"/>
    </xf>
    <xf numFmtId="164" fontId="4" fillId="2" borderId="64" xfId="1" applyNumberFormat="1" applyFont="1" applyFill="1" applyBorder="1" applyAlignment="1">
      <alignment horizontal="center" vertical="center"/>
    </xf>
    <xf numFmtId="164" fontId="4" fillId="0" borderId="65" xfId="1" applyNumberFormat="1" applyFont="1" applyBorder="1" applyAlignment="1">
      <alignment horizontal="center" vertical="center"/>
    </xf>
    <xf numFmtId="43" fontId="4" fillId="0" borderId="27" xfId="2" applyFont="1" applyBorder="1" applyAlignment="1">
      <alignment horizontal="center" vertical="center"/>
    </xf>
    <xf numFmtId="43" fontId="4" fillId="0" borderId="27" xfId="2" applyNumberFormat="1" applyFont="1" applyBorder="1" applyAlignment="1">
      <alignment horizontal="center" vertical="center"/>
    </xf>
    <xf numFmtId="41" fontId="4" fillId="0" borderId="27" xfId="1" applyFont="1" applyBorder="1" applyAlignment="1">
      <alignment horizontal="right" vertical="center"/>
    </xf>
    <xf numFmtId="0" fontId="4" fillId="2" borderId="3" xfId="0" applyFont="1" applyFill="1" applyBorder="1" applyAlignment="1">
      <alignment horizontal="center" vertical="center"/>
    </xf>
    <xf numFmtId="3" fontId="11" fillId="0" borderId="0" xfId="0" applyNumberFormat="1" applyFont="1" applyFill="1" applyBorder="1" applyAlignment="1" applyProtection="1"/>
    <xf numFmtId="41" fontId="7" fillId="0" borderId="0" xfId="1" applyFont="1" applyFill="1" applyBorder="1" applyAlignment="1" applyProtection="1"/>
    <xf numFmtId="41" fontId="7" fillId="0" borderId="7" xfId="1" applyFont="1" applyFill="1" applyBorder="1" applyAlignment="1" applyProtection="1"/>
    <xf numFmtId="41" fontId="7" fillId="0" borderId="72" xfId="1" applyFont="1" applyFill="1" applyBorder="1" applyAlignment="1" applyProtection="1"/>
    <xf numFmtId="3" fontId="12" fillId="0" borderId="0" xfId="0" applyNumberFormat="1" applyFont="1" applyFill="1" applyBorder="1" applyAlignment="1" applyProtection="1">
      <alignment vertical="center"/>
    </xf>
    <xf numFmtId="0" fontId="14" fillId="0" borderId="0" xfId="0" applyNumberFormat="1" applyFont="1" applyFill="1" applyBorder="1" applyAlignment="1" applyProtection="1"/>
    <xf numFmtId="0" fontId="12" fillId="0" borderId="0" xfId="0" applyNumberFormat="1" applyFont="1" applyFill="1" applyBorder="1" applyAlignment="1" applyProtection="1">
      <alignment horizontal="center" vertical="center"/>
    </xf>
    <xf numFmtId="49" fontId="13" fillId="0" borderId="0" xfId="0" applyNumberFormat="1" applyFont="1" applyFill="1" applyBorder="1" applyAlignment="1" applyProtection="1">
      <alignment horizontal="center"/>
    </xf>
    <xf numFmtId="0" fontId="12" fillId="0" borderId="0" xfId="0" applyNumberFormat="1" applyFont="1" applyFill="1" applyBorder="1" applyAlignment="1" applyProtection="1">
      <alignment vertical="center"/>
    </xf>
    <xf numFmtId="0" fontId="0" fillId="0" borderId="0" xfId="0" applyFont="1" applyAlignment="1"/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left" indent="1"/>
    </xf>
    <xf numFmtId="0" fontId="16" fillId="0" borderId="33" xfId="0" applyFont="1" applyBorder="1" applyAlignment="1">
      <alignment horizontal="center"/>
    </xf>
    <xf numFmtId="0" fontId="16" fillId="0" borderId="3" xfId="0" applyFont="1" applyBorder="1" applyAlignment="1">
      <alignment horizontal="center"/>
    </xf>
    <xf numFmtId="0" fontId="16" fillId="0" borderId="32" xfId="0" applyFont="1" applyBorder="1" applyAlignment="1">
      <alignment horizontal="center"/>
    </xf>
    <xf numFmtId="0" fontId="16" fillId="0" borderId="79" xfId="0" applyFont="1" applyFill="1" applyBorder="1" applyAlignment="1">
      <alignment horizontal="center"/>
    </xf>
    <xf numFmtId="0" fontId="16" fillId="0" borderId="1" xfId="0" applyFont="1" applyFill="1" applyBorder="1" applyAlignment="1">
      <alignment horizontal="center"/>
    </xf>
    <xf numFmtId="0" fontId="16" fillId="0" borderId="80" xfId="0" applyFont="1" applyFill="1" applyBorder="1" applyAlignment="1">
      <alignment horizontal="center"/>
    </xf>
    <xf numFmtId="0" fontId="16" fillId="0" borderId="83" xfId="0" applyFont="1" applyBorder="1" applyAlignment="1">
      <alignment horizontal="center"/>
    </xf>
    <xf numFmtId="0" fontId="16" fillId="0" borderId="82" xfId="0" applyFont="1" applyBorder="1" applyAlignment="1">
      <alignment horizontal="center"/>
    </xf>
    <xf numFmtId="0" fontId="16" fillId="0" borderId="84" xfId="0" applyFont="1" applyBorder="1" applyAlignment="1">
      <alignment horizontal="center"/>
    </xf>
    <xf numFmtId="0" fontId="16" fillId="0" borderId="83" xfId="0" applyFont="1" applyBorder="1"/>
    <xf numFmtId="0" fontId="16" fillId="0" borderId="82" xfId="0" applyFont="1" applyBorder="1"/>
    <xf numFmtId="0" fontId="16" fillId="0" borderId="84" xfId="0" applyFont="1" applyBorder="1"/>
    <xf numFmtId="0" fontId="15" fillId="3" borderId="86" xfId="0" quotePrefix="1" applyFont="1" applyFill="1" applyBorder="1" applyAlignment="1">
      <alignment horizontal="center" vertical="center" wrapText="1"/>
    </xf>
    <xf numFmtId="0" fontId="15" fillId="3" borderId="3" xfId="0" quotePrefix="1" applyFont="1" applyFill="1" applyBorder="1" applyAlignment="1">
      <alignment horizontal="center" vertical="center" wrapText="1"/>
    </xf>
    <xf numFmtId="0" fontId="15" fillId="4" borderId="91" xfId="0" quotePrefix="1" applyFont="1" applyFill="1" applyBorder="1" applyAlignment="1">
      <alignment horizontal="center"/>
    </xf>
    <xf numFmtId="0" fontId="16" fillId="0" borderId="92" xfId="0" applyFont="1" applyBorder="1" applyAlignment="1">
      <alignment horizontal="center" vertical="center"/>
    </xf>
    <xf numFmtId="0" fontId="16" fillId="0" borderId="13" xfId="0" applyFont="1" applyBorder="1" applyAlignment="1">
      <alignment vertical="center"/>
    </xf>
    <xf numFmtId="41" fontId="16" fillId="0" borderId="3" xfId="1" applyFont="1" applyFill="1" applyBorder="1" applyAlignment="1">
      <alignment horizontal="center" vertical="center"/>
    </xf>
    <xf numFmtId="41" fontId="16" fillId="0" borderId="3" xfId="1" applyFont="1" applyFill="1" applyBorder="1" applyAlignment="1">
      <alignment horizontal="right" vertical="center"/>
    </xf>
    <xf numFmtId="41" fontId="16" fillId="0" borderId="32" xfId="1" applyFont="1" applyFill="1" applyBorder="1" applyAlignment="1">
      <alignment horizontal="right" vertical="center"/>
    </xf>
    <xf numFmtId="41" fontId="16" fillId="0" borderId="33" xfId="1" applyFont="1" applyFill="1" applyBorder="1" applyAlignment="1">
      <alignment horizontal="right" vertical="center"/>
    </xf>
    <xf numFmtId="41" fontId="15" fillId="0" borderId="93" xfId="1" applyFont="1" applyBorder="1" applyAlignment="1">
      <alignment vertical="center"/>
    </xf>
    <xf numFmtId="41" fontId="17" fillId="4" borderId="60" xfId="1" applyFont="1" applyFill="1" applyBorder="1" applyAlignment="1">
      <alignment vertical="center"/>
    </xf>
    <xf numFmtId="0" fontId="16" fillId="0" borderId="71" xfId="0" applyFont="1" applyBorder="1" applyAlignment="1">
      <alignment horizontal="center" vertical="center"/>
    </xf>
    <xf numFmtId="0" fontId="16" fillId="0" borderId="7" xfId="0" applyFont="1" applyBorder="1" applyAlignment="1">
      <alignment vertical="center"/>
    </xf>
    <xf numFmtId="41" fontId="16" fillId="0" borderId="7" xfId="1" applyFont="1" applyFill="1" applyBorder="1" applyAlignment="1">
      <alignment horizontal="center" vertical="center"/>
    </xf>
    <xf numFmtId="41" fontId="16" fillId="0" borderId="7" xfId="1" applyFont="1" applyFill="1" applyBorder="1" applyAlignment="1">
      <alignment horizontal="right" vertical="center"/>
    </xf>
    <xf numFmtId="41" fontId="16" fillId="0" borderId="52" xfId="1" applyFont="1" applyFill="1" applyBorder="1" applyAlignment="1">
      <alignment horizontal="right" vertical="center"/>
    </xf>
    <xf numFmtId="41" fontId="15" fillId="0" borderId="56" xfId="1" applyFont="1" applyFill="1" applyBorder="1" applyAlignment="1">
      <alignment horizontal="right" vertical="center"/>
    </xf>
    <xf numFmtId="41" fontId="16" fillId="0" borderId="36" xfId="1" applyFont="1" applyFill="1" applyBorder="1" applyAlignment="1">
      <alignment horizontal="right" vertical="center"/>
    </xf>
    <xf numFmtId="41" fontId="15" fillId="4" borderId="56" xfId="1" applyFont="1" applyFill="1" applyBorder="1" applyAlignment="1">
      <alignment horizontal="right" vertical="center"/>
    </xf>
    <xf numFmtId="41" fontId="16" fillId="5" borderId="7" xfId="1" applyFont="1" applyFill="1" applyBorder="1" applyAlignment="1">
      <alignment horizontal="center" vertical="center"/>
    </xf>
    <xf numFmtId="41" fontId="16" fillId="5" borderId="7" xfId="1" applyFont="1" applyFill="1" applyBorder="1" applyAlignment="1">
      <alignment horizontal="right" vertical="center"/>
    </xf>
    <xf numFmtId="41" fontId="16" fillId="5" borderId="52" xfId="1" applyFont="1" applyFill="1" applyBorder="1" applyAlignment="1">
      <alignment horizontal="right" vertical="center"/>
    </xf>
    <xf numFmtId="41" fontId="16" fillId="5" borderId="36" xfId="1" applyFont="1" applyFill="1" applyBorder="1" applyAlignment="1">
      <alignment horizontal="right" vertical="center"/>
    </xf>
    <xf numFmtId="41" fontId="16" fillId="0" borderId="4" xfId="1" applyFont="1" applyFill="1" applyBorder="1" applyAlignment="1">
      <alignment horizontal="right" vertical="center"/>
    </xf>
    <xf numFmtId="41" fontId="16" fillId="0" borderId="94" xfId="1" applyFont="1" applyFill="1" applyBorder="1" applyAlignment="1">
      <alignment horizontal="right" vertical="center"/>
    </xf>
    <xf numFmtId="41" fontId="15" fillId="0" borderId="59" xfId="1" applyFont="1" applyFill="1" applyBorder="1" applyAlignment="1">
      <alignment horizontal="right" vertical="center"/>
    </xf>
    <xf numFmtId="41" fontId="16" fillId="0" borderId="95" xfId="1" applyFont="1" applyFill="1" applyBorder="1" applyAlignment="1">
      <alignment horizontal="right" vertical="center"/>
    </xf>
    <xf numFmtId="41" fontId="15" fillId="4" borderId="59" xfId="1" applyFont="1" applyFill="1" applyBorder="1" applyAlignment="1">
      <alignment horizontal="right" vertical="center"/>
    </xf>
    <xf numFmtId="0" fontId="15" fillId="0" borderId="96" xfId="0" applyFont="1" applyBorder="1" applyAlignment="1">
      <alignment horizontal="center" vertical="center"/>
    </xf>
    <xf numFmtId="0" fontId="15" fillId="0" borderId="97" xfId="0" applyFont="1" applyBorder="1" applyAlignment="1">
      <alignment vertical="center"/>
    </xf>
    <xf numFmtId="41" fontId="15" fillId="0" borderId="87" xfId="1" applyFont="1" applyBorder="1" applyAlignment="1">
      <alignment vertical="center"/>
    </xf>
    <xf numFmtId="41" fontId="15" fillId="0" borderId="88" xfId="1" applyFont="1" applyBorder="1" applyAlignment="1">
      <alignment vertical="center"/>
    </xf>
    <xf numFmtId="41" fontId="15" fillId="0" borderId="89" xfId="1" applyFont="1" applyBorder="1" applyAlignment="1">
      <alignment vertical="center"/>
    </xf>
    <xf numFmtId="41" fontId="15" fillId="0" borderId="90" xfId="1" applyFont="1" applyBorder="1" applyAlignment="1">
      <alignment vertical="center"/>
    </xf>
    <xf numFmtId="41" fontId="15" fillId="4" borderId="89" xfId="1" applyFont="1" applyFill="1" applyBorder="1" applyAlignment="1">
      <alignment vertical="center"/>
    </xf>
    <xf numFmtId="0" fontId="3" fillId="2" borderId="92" xfId="0" applyFont="1" applyFill="1" applyBorder="1" applyAlignment="1">
      <alignment horizontal="center" vertical="center"/>
    </xf>
    <xf numFmtId="41" fontId="4" fillId="2" borderId="98" xfId="1" applyFont="1" applyFill="1" applyBorder="1" applyAlignment="1">
      <alignment horizontal="center" vertical="center"/>
    </xf>
    <xf numFmtId="0" fontId="3" fillId="2" borderId="71" xfId="0" applyFont="1" applyFill="1" applyBorder="1" applyAlignment="1">
      <alignment horizontal="center" vertical="center"/>
    </xf>
    <xf numFmtId="41" fontId="4" fillId="2" borderId="99" xfId="1" applyFont="1" applyFill="1" applyBorder="1" applyAlignment="1">
      <alignment horizontal="center" vertical="center"/>
    </xf>
    <xf numFmtId="0" fontId="3" fillId="0" borderId="71" xfId="0" applyFont="1" applyBorder="1" applyAlignment="1">
      <alignment horizontal="center" vertical="center"/>
    </xf>
    <xf numFmtId="0" fontId="3" fillId="0" borderId="100" xfId="0" applyFont="1" applyBorder="1" applyAlignment="1">
      <alignment horizontal="center" vertical="center"/>
    </xf>
    <xf numFmtId="41" fontId="4" fillId="2" borderId="101" xfId="1" applyFont="1" applyFill="1" applyBorder="1" applyAlignment="1">
      <alignment horizontal="center" vertical="center"/>
    </xf>
    <xf numFmtId="41" fontId="4" fillId="0" borderId="87" xfId="1" applyFont="1" applyBorder="1" applyAlignment="1">
      <alignment horizontal="center" vertical="center"/>
    </xf>
    <xf numFmtId="41" fontId="4" fillId="0" borderId="88" xfId="1" applyFont="1" applyBorder="1" applyAlignment="1">
      <alignment horizontal="center" vertical="center"/>
    </xf>
    <xf numFmtId="41" fontId="4" fillId="0" borderId="89" xfId="1" applyFont="1" applyBorder="1" applyAlignment="1">
      <alignment horizontal="center" vertical="center"/>
    </xf>
    <xf numFmtId="41" fontId="8" fillId="0" borderId="86" xfId="1" applyFont="1" applyBorder="1" applyAlignment="1">
      <alignment horizontal="center" vertical="center"/>
    </xf>
    <xf numFmtId="41" fontId="4" fillId="0" borderId="91" xfId="1" applyFont="1" applyBorder="1" applyAlignment="1">
      <alignment horizontal="center" vertical="center"/>
    </xf>
    <xf numFmtId="0" fontId="15" fillId="6" borderId="91" xfId="0" quotePrefix="1" applyFont="1" applyFill="1" applyBorder="1" applyAlignment="1">
      <alignment horizontal="center"/>
    </xf>
    <xf numFmtId="0" fontId="15" fillId="6" borderId="86" xfId="0" quotePrefix="1" applyFont="1" applyFill="1" applyBorder="1" applyAlignment="1">
      <alignment horizontal="center" vertical="center" wrapText="1"/>
    </xf>
    <xf numFmtId="0" fontId="15" fillId="6" borderId="3" xfId="0" quotePrefix="1" applyFont="1" applyFill="1" applyBorder="1" applyAlignment="1">
      <alignment horizontal="center" vertical="center" wrapText="1"/>
    </xf>
    <xf numFmtId="0" fontId="15" fillId="6" borderId="87" xfId="0" quotePrefix="1" applyFont="1" applyFill="1" applyBorder="1" applyAlignment="1">
      <alignment horizontal="center"/>
    </xf>
    <xf numFmtId="0" fontId="15" fillId="6" borderId="88" xfId="0" quotePrefix="1" applyFont="1" applyFill="1" applyBorder="1" applyAlignment="1">
      <alignment horizontal="center"/>
    </xf>
    <xf numFmtId="0" fontId="15" fillId="6" borderId="89" xfId="0" quotePrefix="1" applyFont="1" applyFill="1" applyBorder="1" applyAlignment="1">
      <alignment horizontal="center"/>
    </xf>
    <xf numFmtId="0" fontId="15" fillId="6" borderId="90" xfId="0" quotePrefix="1" applyFont="1" applyFill="1" applyBorder="1" applyAlignment="1">
      <alignment horizontal="center"/>
    </xf>
    <xf numFmtId="0" fontId="3" fillId="2" borderId="14" xfId="0" applyFont="1" applyFill="1" applyBorder="1" applyAlignment="1">
      <alignment horizontal="left" vertical="center"/>
    </xf>
    <xf numFmtId="0" fontId="15" fillId="6" borderId="87" xfId="0" quotePrefix="1" applyFont="1" applyFill="1" applyBorder="1" applyAlignment="1">
      <alignment horizontal="center" vertical="center" wrapText="1"/>
    </xf>
    <xf numFmtId="0" fontId="15" fillId="3" borderId="33" xfId="0" quotePrefix="1" applyFont="1" applyFill="1" applyBorder="1" applyAlignment="1">
      <alignment horizontal="center"/>
    </xf>
    <xf numFmtId="0" fontId="15" fillId="3" borderId="3" xfId="0" quotePrefix="1" applyFont="1" applyFill="1" applyBorder="1" applyAlignment="1">
      <alignment horizontal="center"/>
    </xf>
    <xf numFmtId="0" fontId="15" fillId="3" borderId="32" xfId="0" quotePrefix="1" applyFont="1" applyFill="1" applyBorder="1" applyAlignment="1">
      <alignment horizontal="center"/>
    </xf>
    <xf numFmtId="0" fontId="15" fillId="3" borderId="85" xfId="0" quotePrefix="1" applyFont="1" applyFill="1" applyBorder="1" applyAlignment="1">
      <alignment horizontal="center"/>
    </xf>
    <xf numFmtId="41" fontId="18" fillId="0" borderId="6" xfId="1" applyFont="1" applyBorder="1" applyAlignment="1">
      <alignment horizontal="center" vertical="center"/>
    </xf>
    <xf numFmtId="41" fontId="18" fillId="0" borderId="51" xfId="1" applyFont="1" applyBorder="1" applyAlignment="1">
      <alignment horizontal="center" vertical="center"/>
    </xf>
    <xf numFmtId="41" fontId="17" fillId="0" borderId="102" xfId="1" applyFont="1" applyBorder="1" applyAlignment="1">
      <alignment horizontal="center" vertical="center"/>
    </xf>
    <xf numFmtId="41" fontId="18" fillId="0" borderId="35" xfId="1" applyFont="1" applyBorder="1" applyAlignment="1">
      <alignment horizontal="center" vertical="center"/>
    </xf>
    <xf numFmtId="41" fontId="18" fillId="0" borderId="103" xfId="1" applyFont="1" applyBorder="1" applyAlignment="1">
      <alignment horizontal="center" vertical="center"/>
    </xf>
    <xf numFmtId="41" fontId="17" fillId="0" borderId="104" xfId="1" applyFont="1" applyBorder="1" applyAlignment="1">
      <alignment horizontal="center" vertical="center"/>
    </xf>
    <xf numFmtId="41" fontId="17" fillId="4" borderId="60" xfId="1" applyFont="1" applyFill="1" applyBorder="1" applyAlignment="1">
      <alignment horizontal="center" vertical="center"/>
    </xf>
    <xf numFmtId="41" fontId="18" fillId="0" borderId="8" xfId="1" applyFont="1" applyBorder="1" applyAlignment="1">
      <alignment horizontal="center" vertical="center"/>
    </xf>
    <xf numFmtId="41" fontId="18" fillId="0" borderId="53" xfId="1" applyFont="1" applyBorder="1" applyAlignment="1">
      <alignment horizontal="center" vertical="center"/>
    </xf>
    <xf numFmtId="41" fontId="17" fillId="0" borderId="105" xfId="1" applyFont="1" applyBorder="1" applyAlignment="1">
      <alignment horizontal="center" vertical="center"/>
    </xf>
    <xf numFmtId="41" fontId="18" fillId="0" borderId="37" xfId="1" applyFont="1" applyBorder="1" applyAlignment="1">
      <alignment horizontal="center" vertical="center"/>
    </xf>
    <xf numFmtId="41" fontId="17" fillId="4" borderId="105" xfId="1" applyFont="1" applyFill="1" applyBorder="1" applyAlignment="1">
      <alignment horizontal="center" vertical="center"/>
    </xf>
    <xf numFmtId="41" fontId="16" fillId="5" borderId="52" xfId="1" applyFont="1" applyFill="1" applyBorder="1" applyAlignment="1">
      <alignment horizontal="center" vertical="center"/>
    </xf>
    <xf numFmtId="41" fontId="16" fillId="5" borderId="56" xfId="1" applyFont="1" applyFill="1" applyBorder="1" applyAlignment="1">
      <alignment horizontal="center" vertical="center"/>
    </xf>
    <xf numFmtId="41" fontId="16" fillId="5" borderId="36" xfId="1" applyFont="1" applyFill="1" applyBorder="1" applyAlignment="1">
      <alignment horizontal="center" vertical="center"/>
    </xf>
    <xf numFmtId="41" fontId="15" fillId="4" borderId="56" xfId="1" applyFont="1" applyFill="1" applyBorder="1" applyAlignment="1">
      <alignment horizontal="center" vertical="center"/>
    </xf>
    <xf numFmtId="41" fontId="18" fillId="0" borderId="7" xfId="1" applyFont="1" applyBorder="1" applyAlignment="1">
      <alignment horizontal="center" vertical="center"/>
    </xf>
    <xf numFmtId="41" fontId="18" fillId="0" borderId="52" xfId="1" applyFont="1" applyBorder="1" applyAlignment="1">
      <alignment horizontal="center" vertical="center"/>
    </xf>
    <xf numFmtId="41" fontId="17" fillId="0" borderId="56" xfId="1" applyFont="1" applyBorder="1" applyAlignment="1">
      <alignment horizontal="center" vertical="center"/>
    </xf>
    <xf numFmtId="41" fontId="18" fillId="0" borderId="36" xfId="1" applyFont="1" applyBorder="1" applyAlignment="1">
      <alignment horizontal="center" vertical="center"/>
    </xf>
    <xf numFmtId="41" fontId="17" fillId="4" borderId="56" xfId="1" applyFont="1" applyFill="1" applyBorder="1" applyAlignment="1">
      <alignment horizontal="center" vertical="center"/>
    </xf>
    <xf numFmtId="41" fontId="18" fillId="0" borderId="14" xfId="1" applyFont="1" applyBorder="1" applyAlignment="1">
      <alignment horizontal="center" vertical="center"/>
    </xf>
    <xf numFmtId="41" fontId="18" fillId="0" borderId="106" xfId="1" applyFont="1" applyBorder="1" applyAlignment="1">
      <alignment horizontal="center" vertical="center"/>
    </xf>
    <xf numFmtId="41" fontId="17" fillId="0" borderId="61" xfId="1" applyFont="1" applyBorder="1" applyAlignment="1">
      <alignment horizontal="center" vertical="center"/>
    </xf>
    <xf numFmtId="41" fontId="18" fillId="0" borderId="107" xfId="1" applyFont="1" applyBorder="1" applyAlignment="1">
      <alignment horizontal="center" vertical="center"/>
    </xf>
    <xf numFmtId="41" fontId="17" fillId="4" borderId="61" xfId="1" applyFont="1" applyFill="1" applyBorder="1" applyAlignment="1">
      <alignment horizontal="center" vertical="center"/>
    </xf>
    <xf numFmtId="41" fontId="15" fillId="0" borderId="87" xfId="1" applyFont="1" applyBorder="1" applyAlignment="1">
      <alignment horizontal="right" vertical="center"/>
    </xf>
    <xf numFmtId="41" fontId="4" fillId="0" borderId="90" xfId="1" applyFont="1" applyBorder="1" applyAlignment="1">
      <alignment horizontal="center" vertical="center"/>
    </xf>
    <xf numFmtId="41" fontId="15" fillId="0" borderId="60" xfId="1" applyFont="1" applyBorder="1" applyAlignment="1">
      <alignment vertical="center"/>
    </xf>
    <xf numFmtId="0" fontId="19" fillId="0" borderId="3" xfId="0" applyFont="1" applyBorder="1" applyAlignment="1">
      <alignment horizontal="center" wrapText="1"/>
    </xf>
    <xf numFmtId="0" fontId="19" fillId="0" borderId="3" xfId="0" applyFont="1" applyBorder="1" applyAlignment="1">
      <alignment horizontal="center" vertical="center"/>
    </xf>
    <xf numFmtId="0" fontId="15" fillId="6" borderId="109" xfId="0" quotePrefix="1" applyFont="1" applyFill="1" applyBorder="1" applyAlignment="1">
      <alignment horizontal="center" vertical="center" wrapText="1"/>
    </xf>
    <xf numFmtId="0" fontId="16" fillId="0" borderId="23" xfId="0" applyFont="1" applyBorder="1" applyAlignment="1">
      <alignment horizontal="center" vertical="center"/>
    </xf>
    <xf numFmtId="41" fontId="0" fillId="0" borderId="3" xfId="0" applyNumberFormat="1" applyBorder="1"/>
    <xf numFmtId="0" fontId="16" fillId="0" borderId="24" xfId="0" applyFont="1" applyBorder="1" applyAlignment="1">
      <alignment horizontal="center" vertical="center"/>
    </xf>
    <xf numFmtId="41" fontId="19" fillId="0" borderId="28" xfId="0" applyNumberFormat="1" applyFont="1" applyBorder="1"/>
    <xf numFmtId="0" fontId="16" fillId="0" borderId="110" xfId="0" applyFont="1" applyBorder="1" applyAlignment="1">
      <alignment horizontal="center" vertical="center"/>
    </xf>
    <xf numFmtId="0" fontId="16" fillId="0" borderId="9" xfId="0" applyFont="1" applyBorder="1" applyAlignment="1">
      <alignment vertical="center"/>
    </xf>
    <xf numFmtId="41" fontId="0" fillId="0" borderId="82" xfId="0" applyNumberFormat="1" applyBorder="1"/>
    <xf numFmtId="41" fontId="0" fillId="0" borderId="7" xfId="0" applyNumberFormat="1" applyBorder="1"/>
    <xf numFmtId="0" fontId="19" fillId="0" borderId="1" xfId="0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/>
    </xf>
    <xf numFmtId="0" fontId="15" fillId="6" borderId="97" xfId="0" quotePrefix="1" applyFont="1" applyFill="1" applyBorder="1" applyAlignment="1">
      <alignment horizontal="center"/>
    </xf>
    <xf numFmtId="41" fontId="0" fillId="0" borderId="0" xfId="0" applyNumberFormat="1" applyBorder="1"/>
    <xf numFmtId="41" fontId="0" fillId="0" borderId="27" xfId="0" applyNumberFormat="1" applyBorder="1"/>
    <xf numFmtId="41" fontId="0" fillId="0" borderId="112" xfId="0" applyNumberFormat="1" applyBorder="1"/>
    <xf numFmtId="41" fontId="9" fillId="0" borderId="27" xfId="0" applyNumberFormat="1" applyFont="1" applyBorder="1"/>
    <xf numFmtId="41" fontId="9" fillId="0" borderId="54" xfId="0" applyNumberFormat="1" applyFont="1" applyBorder="1"/>
    <xf numFmtId="0" fontId="19" fillId="0" borderId="77" xfId="0" applyFont="1" applyBorder="1" applyAlignment="1">
      <alignment horizontal="center" vertical="center"/>
    </xf>
    <xf numFmtId="0" fontId="15" fillId="6" borderId="86" xfId="0" quotePrefix="1" applyFont="1" applyFill="1" applyBorder="1" applyAlignment="1">
      <alignment horizontal="center"/>
    </xf>
    <xf numFmtId="41" fontId="0" fillId="0" borderId="77" xfId="0" applyNumberFormat="1" applyBorder="1"/>
    <xf numFmtId="41" fontId="0" fillId="0" borderId="71" xfId="0" applyNumberFormat="1" applyBorder="1"/>
    <xf numFmtId="41" fontId="9" fillId="0" borderId="69" xfId="0" applyNumberFormat="1" applyFont="1" applyBorder="1"/>
    <xf numFmtId="1" fontId="0" fillId="0" borderId="0" xfId="0" applyNumberFormat="1"/>
    <xf numFmtId="1" fontId="11" fillId="0" borderId="0" xfId="0" applyNumberFormat="1" applyFont="1" applyFill="1" applyBorder="1" applyAlignment="1" applyProtection="1"/>
    <xf numFmtId="41" fontId="7" fillId="2" borderId="112" xfId="1" applyFont="1" applyFill="1" applyBorder="1" applyAlignment="1">
      <alignment horizontal="center" vertical="center"/>
    </xf>
    <xf numFmtId="41" fontId="7" fillId="0" borderId="112" xfId="1" applyFont="1" applyBorder="1" applyAlignment="1">
      <alignment horizontal="center" vertical="center"/>
    </xf>
    <xf numFmtId="41" fontId="7" fillId="0" borderId="115" xfId="1" applyFont="1" applyFill="1" applyBorder="1" applyAlignment="1" applyProtection="1"/>
    <xf numFmtId="41" fontId="4" fillId="0" borderId="116" xfId="1" applyFont="1" applyBorder="1" applyAlignment="1">
      <alignment horizontal="center" vertical="center"/>
    </xf>
    <xf numFmtId="41" fontId="0" fillId="0" borderId="82" xfId="1" applyFont="1" applyBorder="1"/>
    <xf numFmtId="41" fontId="3" fillId="2" borderId="13" xfId="1" applyFont="1" applyFill="1" applyBorder="1" applyAlignment="1">
      <alignment horizontal="center" vertical="center"/>
    </xf>
    <xf numFmtId="41" fontId="3" fillId="2" borderId="14" xfId="1" applyFont="1" applyFill="1" applyBorder="1" applyAlignment="1">
      <alignment horizontal="center" vertical="center"/>
    </xf>
    <xf numFmtId="41" fontId="7" fillId="2" borderId="0" xfId="1" applyFont="1" applyFill="1" applyBorder="1" applyAlignment="1">
      <alignment horizontal="center" vertical="center"/>
    </xf>
    <xf numFmtId="41" fontId="7" fillId="0" borderId="7" xfId="1" applyFont="1" applyBorder="1" applyAlignment="1">
      <alignment horizontal="right" vertical="center"/>
    </xf>
    <xf numFmtId="164" fontId="3" fillId="2" borderId="7" xfId="1" applyNumberFormat="1" applyFont="1" applyFill="1" applyBorder="1" applyAlignment="1">
      <alignment horizontal="center" vertical="center"/>
    </xf>
    <xf numFmtId="164" fontId="3" fillId="2" borderId="13" xfId="1" applyNumberFormat="1" applyFont="1" applyFill="1" applyBorder="1" applyAlignment="1">
      <alignment horizontal="center" vertical="center"/>
    </xf>
    <xf numFmtId="164" fontId="3" fillId="2" borderId="14" xfId="1" applyNumberFormat="1" applyFont="1" applyFill="1" applyBorder="1" applyAlignment="1">
      <alignment horizontal="center" vertical="center"/>
    </xf>
    <xf numFmtId="41" fontId="3" fillId="2" borderId="7" xfId="1" applyFont="1" applyFill="1" applyBorder="1" applyAlignment="1">
      <alignment horizontal="right" vertical="center"/>
    </xf>
    <xf numFmtId="0" fontId="15" fillId="3" borderId="87" xfId="0" quotePrefix="1" applyFont="1" applyFill="1" applyBorder="1" applyAlignment="1">
      <alignment horizontal="center"/>
    </xf>
    <xf numFmtId="0" fontId="15" fillId="3" borderId="88" xfId="0" quotePrefix="1" applyFont="1" applyFill="1" applyBorder="1" applyAlignment="1">
      <alignment horizontal="center"/>
    </xf>
    <xf numFmtId="0" fontId="15" fillId="3" borderId="89" xfId="0" quotePrefix="1" applyFont="1" applyFill="1" applyBorder="1" applyAlignment="1">
      <alignment horizontal="center"/>
    </xf>
    <xf numFmtId="0" fontId="15" fillId="3" borderId="90" xfId="0" quotePrefix="1" applyFont="1" applyFill="1" applyBorder="1" applyAlignment="1">
      <alignment horizontal="center"/>
    </xf>
    <xf numFmtId="41" fontId="15" fillId="4" borderId="60" xfId="1" applyFont="1" applyFill="1" applyBorder="1" applyAlignment="1">
      <alignment vertical="center"/>
    </xf>
    <xf numFmtId="41" fontId="7" fillId="2" borderId="13" xfId="1" applyFont="1" applyFill="1" applyBorder="1" applyAlignment="1">
      <alignment horizontal="center" vertical="center"/>
    </xf>
    <xf numFmtId="41" fontId="7" fillId="2" borderId="3" xfId="1" applyFont="1" applyFill="1" applyBorder="1" applyAlignment="1">
      <alignment horizontal="center" vertical="center"/>
    </xf>
    <xf numFmtId="41" fontId="0" fillId="0" borderId="9" xfId="0" applyNumberFormat="1" applyBorder="1"/>
    <xf numFmtId="0" fontId="15" fillId="0" borderId="0" xfId="0" applyFont="1" applyBorder="1" applyAlignment="1">
      <alignment horizontal="center"/>
    </xf>
    <xf numFmtId="41" fontId="19" fillId="0" borderId="0" xfId="0" applyNumberFormat="1" applyFont="1" applyBorder="1"/>
    <xf numFmtId="41" fontId="9" fillId="0" borderId="0" xfId="0" applyNumberFormat="1" applyFont="1" applyBorder="1"/>
    <xf numFmtId="0" fontId="15" fillId="0" borderId="0" xfId="0" applyFont="1" applyBorder="1" applyAlignment="1">
      <alignment horizontal="left"/>
    </xf>
    <xf numFmtId="0" fontId="16" fillId="0" borderId="52" xfId="0" applyFont="1" applyBorder="1" applyAlignment="1">
      <alignment vertical="center"/>
    </xf>
    <xf numFmtId="0" fontId="16" fillId="0" borderId="117" xfId="0" applyFont="1" applyBorder="1" applyAlignment="1">
      <alignment vertical="center"/>
    </xf>
    <xf numFmtId="41" fontId="0" fillId="0" borderId="13" xfId="0" applyNumberFormat="1" applyBorder="1"/>
    <xf numFmtId="0" fontId="19" fillId="0" borderId="32" xfId="0" applyFont="1" applyBorder="1" applyAlignment="1">
      <alignment horizontal="center" vertical="center"/>
    </xf>
    <xf numFmtId="41" fontId="0" fillId="0" borderId="32" xfId="0" applyNumberFormat="1" applyBorder="1"/>
    <xf numFmtId="41" fontId="0" fillId="0" borderId="52" xfId="0" applyNumberFormat="1" applyBorder="1"/>
    <xf numFmtId="0" fontId="15" fillId="6" borderId="124" xfId="0" quotePrefix="1" applyFont="1" applyFill="1" applyBorder="1" applyAlignment="1">
      <alignment horizontal="center"/>
    </xf>
    <xf numFmtId="0" fontId="15" fillId="6" borderId="123" xfId="0" quotePrefix="1" applyFont="1" applyFill="1" applyBorder="1" applyAlignment="1">
      <alignment horizontal="center"/>
    </xf>
    <xf numFmtId="41" fontId="19" fillId="0" borderId="121" xfId="0" applyNumberFormat="1" applyFont="1" applyBorder="1"/>
    <xf numFmtId="41" fontId="19" fillId="0" borderId="125" xfId="0" applyNumberFormat="1" applyFont="1" applyBorder="1"/>
    <xf numFmtId="41" fontId="19" fillId="0" borderId="126" xfId="0" applyNumberFormat="1" applyFont="1" applyBorder="1"/>
    <xf numFmtId="41" fontId="19" fillId="0" borderId="122" xfId="0" applyNumberFormat="1" applyFont="1" applyBorder="1"/>
    <xf numFmtId="41" fontId="19" fillId="0" borderId="128" xfId="0" applyNumberFormat="1" applyFont="1" applyBorder="1"/>
    <xf numFmtId="41" fontId="19" fillId="0" borderId="63" xfId="0" applyNumberFormat="1" applyFont="1" applyBorder="1"/>
    <xf numFmtId="41" fontId="19" fillId="0" borderId="130" xfId="0" applyNumberFormat="1" applyFont="1" applyBorder="1"/>
    <xf numFmtId="41" fontId="19" fillId="0" borderId="131" xfId="0" applyNumberFormat="1" applyFont="1" applyBorder="1"/>
    <xf numFmtId="0" fontId="19" fillId="0" borderId="133" xfId="0" applyFont="1" applyBorder="1" applyAlignment="1">
      <alignment horizontal="center" vertical="center"/>
    </xf>
    <xf numFmtId="41" fontId="0" fillId="0" borderId="133" xfId="0" applyNumberFormat="1" applyBorder="1"/>
    <xf numFmtId="41" fontId="0" fillId="0" borderId="72" xfId="0" applyNumberFormat="1" applyBorder="1"/>
    <xf numFmtId="41" fontId="9" fillId="0" borderId="134" xfId="0" applyNumberFormat="1" applyFont="1" applyBorder="1"/>
    <xf numFmtId="0" fontId="9" fillId="0" borderId="0" xfId="0" applyFont="1" applyAlignment="1">
      <alignment horizontal="center"/>
    </xf>
    <xf numFmtId="41" fontId="3" fillId="0" borderId="8" xfId="1" applyNumberFormat="1" applyFont="1" applyBorder="1" applyAlignment="1">
      <alignment horizontal="center" vertical="center"/>
    </xf>
    <xf numFmtId="41" fontId="7" fillId="0" borderId="14" xfId="1" applyFont="1" applyFill="1" applyBorder="1" applyAlignment="1">
      <alignment horizontal="center" vertical="center"/>
    </xf>
    <xf numFmtId="41" fontId="3" fillId="0" borderId="7" xfId="1" applyFont="1" applyBorder="1" applyAlignment="1">
      <alignment horizontal="right" vertical="center"/>
    </xf>
    <xf numFmtId="41" fontId="0" fillId="0" borderId="0" xfId="0" applyNumberFormat="1" applyFont="1" applyAlignment="1">
      <alignment horizontal="center"/>
    </xf>
    <xf numFmtId="0" fontId="4" fillId="2" borderId="3" xfId="0" applyFont="1" applyFill="1" applyBorder="1" applyAlignment="1">
      <alignment horizontal="center" vertical="center"/>
    </xf>
    <xf numFmtId="41" fontId="3" fillId="2" borderId="117" xfId="1" applyFont="1" applyFill="1" applyBorder="1" applyAlignment="1">
      <alignment horizontal="center" vertical="center"/>
    </xf>
    <xf numFmtId="41" fontId="3" fillId="2" borderId="106" xfId="1" applyFont="1" applyFill="1" applyBorder="1" applyAlignment="1">
      <alignment horizontal="center" vertical="center"/>
    </xf>
    <xf numFmtId="41" fontId="3" fillId="2" borderId="72" xfId="1" applyFont="1" applyFill="1" applyBorder="1" applyAlignment="1">
      <alignment horizontal="center" vertical="center"/>
    </xf>
    <xf numFmtId="164" fontId="3" fillId="2" borderId="117" xfId="1" applyNumberFormat="1" applyFont="1" applyFill="1" applyBorder="1" applyAlignment="1">
      <alignment horizontal="center" vertical="center"/>
    </xf>
    <xf numFmtId="164" fontId="3" fillId="2" borderId="106" xfId="1" applyNumberFormat="1" applyFont="1" applyFill="1" applyBorder="1" applyAlignment="1">
      <alignment horizontal="center" vertical="center"/>
    </xf>
    <xf numFmtId="164" fontId="3" fillId="2" borderId="72" xfId="1" applyNumberFormat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41" fontId="7" fillId="2" borderId="14" xfId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164" fontId="3" fillId="0" borderId="48" xfId="1" applyNumberFormat="1" applyFont="1" applyBorder="1" applyAlignment="1">
      <alignment horizontal="center" vertical="center"/>
    </xf>
    <xf numFmtId="164" fontId="3" fillId="0" borderId="31" xfId="1" applyNumberFormat="1" applyFont="1" applyBorder="1" applyAlignment="1">
      <alignment horizontal="center" vertical="center"/>
    </xf>
    <xf numFmtId="41" fontId="0" fillId="0" borderId="7" xfId="1" applyFont="1" applyBorder="1" applyAlignment="1">
      <alignment horizontal="right"/>
    </xf>
    <xf numFmtId="41" fontId="0" fillId="0" borderId="9" xfId="1" applyFont="1" applyBorder="1" applyAlignment="1">
      <alignment horizontal="right"/>
    </xf>
    <xf numFmtId="2" fontId="0" fillId="0" borderId="0" xfId="0" applyNumberFormat="1"/>
    <xf numFmtId="41" fontId="0" fillId="0" borderId="13" xfId="1" applyFont="1" applyBorder="1"/>
    <xf numFmtId="41" fontId="0" fillId="0" borderId="13" xfId="1" applyFont="1" applyBorder="1" applyAlignment="1">
      <alignment horizontal="right"/>
    </xf>
    <xf numFmtId="164" fontId="0" fillId="0" borderId="48" xfId="1" applyNumberFormat="1" applyFont="1" applyBorder="1" applyAlignment="1">
      <alignment horizontal="right"/>
    </xf>
    <xf numFmtId="164" fontId="0" fillId="0" borderId="30" xfId="1" applyNumberFormat="1" applyFont="1" applyBorder="1" applyAlignment="1">
      <alignment horizontal="right"/>
    </xf>
    <xf numFmtId="164" fontId="0" fillId="0" borderId="31" xfId="1" applyNumberFormat="1" applyFont="1" applyBorder="1" applyAlignment="1">
      <alignment horizontal="right"/>
    </xf>
    <xf numFmtId="164" fontId="9" fillId="0" borderId="29" xfId="1" applyNumberFormat="1" applyFont="1" applyBorder="1" applyAlignment="1">
      <alignment horizontal="right"/>
    </xf>
    <xf numFmtId="0" fontId="2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0" fillId="0" borderId="0" xfId="0" applyFont="1" applyAlignment="1">
      <alignment horizontal="left"/>
    </xf>
    <xf numFmtId="0" fontId="4" fillId="0" borderId="2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58" xfId="0" applyFont="1" applyBorder="1" applyAlignment="1">
      <alignment horizontal="center" vertical="center"/>
    </xf>
    <xf numFmtId="0" fontId="4" fillId="0" borderId="59" xfId="0" applyFont="1" applyBorder="1" applyAlignment="1">
      <alignment horizontal="center" vertical="center"/>
    </xf>
    <xf numFmtId="0" fontId="4" fillId="0" borderId="66" xfId="0" applyFont="1" applyBorder="1" applyAlignment="1">
      <alignment horizontal="center" vertical="center"/>
    </xf>
    <xf numFmtId="0" fontId="4" fillId="0" borderId="67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15" fillId="0" borderId="60" xfId="0" applyFont="1" applyFill="1" applyBorder="1" applyAlignment="1">
      <alignment horizontal="center" vertical="center" wrapText="1"/>
    </xf>
    <xf numFmtId="0" fontId="15" fillId="0" borderId="78" xfId="0" applyFont="1" applyFill="1" applyBorder="1" applyAlignment="1">
      <alignment horizontal="center" vertical="center" wrapText="1"/>
    </xf>
    <xf numFmtId="0" fontId="15" fillId="0" borderId="85" xfId="0" applyFont="1" applyFill="1" applyBorder="1" applyAlignment="1">
      <alignment horizontal="center" vertical="center" wrapText="1"/>
    </xf>
    <xf numFmtId="0" fontId="4" fillId="0" borderId="96" xfId="0" applyFont="1" applyBorder="1" applyAlignment="1">
      <alignment horizontal="center" vertical="center"/>
    </xf>
    <xf numFmtId="0" fontId="4" fillId="0" borderId="90" xfId="0" applyFont="1" applyBorder="1" applyAlignment="1">
      <alignment horizontal="center" vertical="center"/>
    </xf>
    <xf numFmtId="0" fontId="16" fillId="0" borderId="73" xfId="0" applyFont="1" applyBorder="1" applyAlignment="1">
      <alignment horizontal="center" vertical="center" wrapText="1"/>
    </xf>
    <xf numFmtId="0" fontId="16" fillId="0" borderId="77" xfId="0" applyFont="1" applyBorder="1" applyAlignment="1">
      <alignment horizontal="center" vertical="center" wrapText="1"/>
    </xf>
    <xf numFmtId="0" fontId="16" fillId="0" borderId="81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6" fillId="0" borderId="82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/>
    </xf>
    <xf numFmtId="0" fontId="15" fillId="0" borderId="74" xfId="0" applyFont="1" applyBorder="1" applyAlignment="1">
      <alignment horizontal="center"/>
    </xf>
    <xf numFmtId="0" fontId="15" fillId="0" borderId="75" xfId="0" applyFont="1" applyBorder="1" applyAlignment="1">
      <alignment horizontal="center"/>
    </xf>
    <xf numFmtId="0" fontId="15" fillId="0" borderId="60" xfId="0" applyFont="1" applyBorder="1" applyAlignment="1">
      <alignment horizontal="center" vertical="center" wrapText="1"/>
    </xf>
    <xf numFmtId="0" fontId="15" fillId="0" borderId="78" xfId="0" applyFont="1" applyBorder="1" applyAlignment="1">
      <alignment horizontal="center" vertical="center" wrapText="1"/>
    </xf>
    <xf numFmtId="0" fontId="15" fillId="0" borderId="85" xfId="0" applyFont="1" applyBorder="1" applyAlignment="1">
      <alignment horizontal="center" vertical="center" wrapText="1"/>
    </xf>
    <xf numFmtId="0" fontId="15" fillId="0" borderId="76" xfId="0" applyFont="1" applyBorder="1" applyAlignment="1">
      <alignment horizontal="center"/>
    </xf>
    <xf numFmtId="0" fontId="15" fillId="4" borderId="60" xfId="0" applyFont="1" applyFill="1" applyBorder="1" applyAlignment="1">
      <alignment horizontal="center" vertical="center" wrapText="1"/>
    </xf>
    <xf numFmtId="0" fontId="15" fillId="4" borderId="78" xfId="0" applyFont="1" applyFill="1" applyBorder="1" applyAlignment="1">
      <alignment horizontal="center" vertical="center" wrapText="1"/>
    </xf>
    <xf numFmtId="0" fontId="15" fillId="4" borderId="85" xfId="0" applyFont="1" applyFill="1" applyBorder="1" applyAlignment="1">
      <alignment horizontal="center" vertical="center" wrapText="1"/>
    </xf>
    <xf numFmtId="0" fontId="15" fillId="3" borderId="0" xfId="0" applyFont="1" applyFill="1" applyAlignment="1">
      <alignment horizontal="center"/>
    </xf>
    <xf numFmtId="0" fontId="9" fillId="0" borderId="120" xfId="0" applyFont="1" applyBorder="1" applyAlignment="1">
      <alignment horizontal="center" vertical="center" wrapText="1"/>
    </xf>
    <xf numFmtId="0" fontId="9" fillId="0" borderId="121" xfId="0" applyFont="1" applyBorder="1" applyAlignment="1">
      <alignment horizontal="center" vertical="center" wrapText="1"/>
    </xf>
    <xf numFmtId="0" fontId="9" fillId="0" borderId="127" xfId="0" applyFont="1" applyBorder="1" applyAlignment="1">
      <alignment horizontal="center" vertical="center" wrapText="1"/>
    </xf>
    <xf numFmtId="0" fontId="9" fillId="0" borderId="66" xfId="0" applyFont="1" applyBorder="1" applyAlignment="1">
      <alignment horizontal="center" vertical="center" wrapText="1"/>
    </xf>
    <xf numFmtId="0" fontId="9" fillId="0" borderId="128" xfId="0" applyFont="1" applyBorder="1" applyAlignment="1">
      <alignment horizontal="center" vertical="center" wrapText="1"/>
    </xf>
    <xf numFmtId="0" fontId="9" fillId="0" borderId="129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/>
    </xf>
    <xf numFmtId="0" fontId="19" fillId="0" borderId="40" xfId="0" applyFont="1" applyBorder="1" applyAlignment="1">
      <alignment horizontal="center"/>
    </xf>
    <xf numFmtId="0" fontId="19" fillId="0" borderId="41" xfId="0" applyFont="1" applyBorder="1" applyAlignment="1">
      <alignment horizontal="center"/>
    </xf>
    <xf numFmtId="0" fontId="9" fillId="0" borderId="111" xfId="0" applyFont="1" applyBorder="1" applyAlignment="1">
      <alignment horizontal="center"/>
    </xf>
    <xf numFmtId="0" fontId="9" fillId="0" borderId="113" xfId="0" applyFont="1" applyBorder="1" applyAlignment="1">
      <alignment horizontal="center" vertical="center"/>
    </xf>
    <xf numFmtId="0" fontId="9" fillId="0" borderId="118" xfId="0" applyFont="1" applyBorder="1" applyAlignment="1">
      <alignment horizontal="center" vertical="center"/>
    </xf>
    <xf numFmtId="0" fontId="9" fillId="0" borderId="114" xfId="0" applyFont="1" applyBorder="1" applyAlignment="1">
      <alignment horizontal="center" vertical="center"/>
    </xf>
    <xf numFmtId="0" fontId="9" fillId="0" borderId="119" xfId="0" applyFont="1" applyBorder="1" applyAlignment="1">
      <alignment horizontal="center" vertical="center"/>
    </xf>
    <xf numFmtId="0" fontId="15" fillId="0" borderId="45" xfId="0" applyFont="1" applyBorder="1" applyAlignment="1">
      <alignment horizontal="center"/>
    </xf>
    <xf numFmtId="0" fontId="15" fillId="0" borderId="46" xfId="0" applyFont="1" applyBorder="1" applyAlignment="1">
      <alignment horizontal="center"/>
    </xf>
    <xf numFmtId="0" fontId="15" fillId="0" borderId="16" xfId="0" applyFont="1" applyBorder="1" applyAlignment="1">
      <alignment horizontal="center" vertical="center" wrapText="1"/>
    </xf>
    <xf numFmtId="0" fontId="15" fillId="0" borderId="19" xfId="0" applyFont="1" applyBorder="1" applyAlignment="1">
      <alignment horizontal="center" vertical="center" wrapText="1"/>
    </xf>
    <xf numFmtId="0" fontId="15" fillId="0" borderId="108" xfId="0" applyFont="1" applyBorder="1" applyAlignment="1">
      <alignment horizontal="center" vertical="center" wrapText="1"/>
    </xf>
    <xf numFmtId="0" fontId="15" fillId="0" borderId="17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0" borderId="82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wrapText="1"/>
    </xf>
    <xf numFmtId="0" fontId="19" fillId="0" borderId="3" xfId="0" applyFont="1" applyBorder="1" applyAlignment="1">
      <alignment horizontal="center" wrapText="1"/>
    </xf>
    <xf numFmtId="0" fontId="9" fillId="0" borderId="104" xfId="0" applyFont="1" applyBorder="1" applyAlignment="1">
      <alignment horizontal="center" vertical="center"/>
    </xf>
    <xf numFmtId="0" fontId="9" fillId="0" borderId="98" xfId="0" applyFont="1" applyBorder="1" applyAlignment="1">
      <alignment horizontal="center" vertical="center"/>
    </xf>
    <xf numFmtId="0" fontId="9" fillId="0" borderId="132" xfId="0" applyFont="1" applyBorder="1" applyAlignment="1">
      <alignment horizontal="center" vertical="center"/>
    </xf>
  </cellXfs>
  <cellStyles count="3">
    <cellStyle name="Comma" xfId="2" builtinId="3"/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26"/>
  <sheetViews>
    <sheetView zoomScale="90" zoomScaleNormal="90" workbookViewId="0">
      <selection activeCell="A2" sqref="A2:O2"/>
    </sheetView>
  </sheetViews>
  <sheetFormatPr defaultRowHeight="15" x14ac:dyDescent="0.25"/>
  <cols>
    <col min="1" max="1" width="4" customWidth="1"/>
    <col min="2" max="2" width="14.42578125" customWidth="1"/>
    <col min="3" max="15" width="8.5703125" customWidth="1"/>
  </cols>
  <sheetData>
    <row r="1" spans="1:20" ht="15" customHeight="1" x14ac:dyDescent="0.25"/>
    <row r="2" spans="1:20" ht="18.75" x14ac:dyDescent="0.3">
      <c r="A2" s="424" t="s">
        <v>0</v>
      </c>
      <c r="B2" s="424"/>
      <c r="C2" s="424"/>
      <c r="D2" s="424"/>
      <c r="E2" s="424"/>
      <c r="F2" s="424"/>
      <c r="G2" s="424"/>
      <c r="H2" s="424"/>
      <c r="I2" s="424"/>
      <c r="J2" s="424"/>
      <c r="K2" s="424"/>
      <c r="L2" s="424"/>
      <c r="M2" s="424"/>
      <c r="N2" s="424"/>
      <c r="O2" s="424"/>
    </row>
    <row r="3" spans="1:20" ht="18.75" x14ac:dyDescent="0.3">
      <c r="A3" s="424" t="s">
        <v>75</v>
      </c>
      <c r="B3" s="424"/>
      <c r="C3" s="424"/>
      <c r="D3" s="424"/>
      <c r="E3" s="424"/>
      <c r="F3" s="424"/>
      <c r="G3" s="424"/>
      <c r="H3" s="424"/>
      <c r="I3" s="424"/>
      <c r="J3" s="424"/>
      <c r="K3" s="424"/>
      <c r="L3" s="424"/>
      <c r="M3" s="424"/>
      <c r="N3" s="424"/>
      <c r="O3" s="424"/>
    </row>
    <row r="4" spans="1:20" ht="18.75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20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3" t="s">
        <v>1</v>
      </c>
    </row>
    <row r="6" spans="1:20" x14ac:dyDescent="0.25">
      <c r="A6" s="425" t="s">
        <v>2</v>
      </c>
      <c r="B6" s="425" t="s">
        <v>3</v>
      </c>
      <c r="C6" s="427" t="s">
        <v>4</v>
      </c>
      <c r="D6" s="427"/>
      <c r="E6" s="427"/>
      <c r="F6" s="427"/>
      <c r="G6" s="427"/>
      <c r="H6" s="427"/>
      <c r="I6" s="427"/>
      <c r="J6" s="427"/>
      <c r="K6" s="427"/>
      <c r="L6" s="427"/>
      <c r="M6" s="427"/>
      <c r="N6" s="427"/>
      <c r="O6" s="425" t="s">
        <v>5</v>
      </c>
    </row>
    <row r="7" spans="1:20" x14ac:dyDescent="0.25">
      <c r="A7" s="426"/>
      <c r="B7" s="426"/>
      <c r="C7" s="4" t="s">
        <v>6</v>
      </c>
      <c r="D7" s="4" t="s">
        <v>7</v>
      </c>
      <c r="E7" s="4" t="s">
        <v>8</v>
      </c>
      <c r="F7" s="147" t="s">
        <v>9</v>
      </c>
      <c r="G7" s="4" t="s">
        <v>10</v>
      </c>
      <c r="H7" s="4" t="s">
        <v>11</v>
      </c>
      <c r="I7" s="4" t="s">
        <v>12</v>
      </c>
      <c r="J7" s="4" t="s">
        <v>13</v>
      </c>
      <c r="K7" s="4" t="s">
        <v>14</v>
      </c>
      <c r="L7" s="4" t="s">
        <v>15</v>
      </c>
      <c r="M7" s="4" t="s">
        <v>16</v>
      </c>
      <c r="N7" s="4" t="s">
        <v>17</v>
      </c>
      <c r="O7" s="428"/>
      <c r="S7" t="s">
        <v>175</v>
      </c>
      <c r="T7" t="s">
        <v>176</v>
      </c>
    </row>
    <row r="8" spans="1:20" ht="15.75" thickBot="1" x14ac:dyDescent="0.3">
      <c r="A8" s="5">
        <v>1</v>
      </c>
      <c r="B8" s="5">
        <v>2</v>
      </c>
      <c r="C8" s="5">
        <v>3</v>
      </c>
      <c r="D8" s="5">
        <v>4</v>
      </c>
      <c r="E8" s="5">
        <v>5</v>
      </c>
      <c r="F8" s="148">
        <v>6</v>
      </c>
      <c r="G8" s="5">
        <v>7</v>
      </c>
      <c r="H8" s="5">
        <v>8</v>
      </c>
      <c r="I8" s="5">
        <v>9</v>
      </c>
      <c r="J8" s="5">
        <v>10</v>
      </c>
      <c r="K8" s="5">
        <v>11</v>
      </c>
      <c r="L8" s="5">
        <v>12</v>
      </c>
      <c r="M8" s="5">
        <v>13</v>
      </c>
      <c r="N8" s="5">
        <v>14</v>
      </c>
      <c r="O8" s="5">
        <v>15</v>
      </c>
      <c r="Q8" t="s">
        <v>196</v>
      </c>
    </row>
    <row r="9" spans="1:20" ht="18.75" customHeight="1" thickTop="1" x14ac:dyDescent="0.25">
      <c r="A9" s="6">
        <v>1</v>
      </c>
      <c r="B9" s="7" t="s">
        <v>18</v>
      </c>
      <c r="C9" s="59">
        <v>204</v>
      </c>
      <c r="D9" s="8">
        <v>0</v>
      </c>
      <c r="E9" s="59">
        <v>0</v>
      </c>
      <c r="F9" s="59">
        <v>2</v>
      </c>
      <c r="G9" s="59">
        <v>18</v>
      </c>
      <c r="H9" s="9">
        <v>8</v>
      </c>
      <c r="I9" s="9">
        <v>0</v>
      </c>
      <c r="J9" s="9">
        <v>1</v>
      </c>
      <c r="K9" s="9">
        <v>0</v>
      </c>
      <c r="L9" s="59">
        <v>0</v>
      </c>
      <c r="M9" s="9">
        <v>0</v>
      </c>
      <c r="N9" s="9">
        <v>0</v>
      </c>
      <c r="O9" s="10">
        <f>SUM(C9:N9)</f>
        <v>233</v>
      </c>
      <c r="Q9" s="110">
        <f>SUM(L9:M9)</f>
        <v>0</v>
      </c>
      <c r="S9" s="110">
        <f>SUM(C9:F9)</f>
        <v>206</v>
      </c>
      <c r="T9" s="110">
        <f>SUM(G9:J9)</f>
        <v>27</v>
      </c>
    </row>
    <row r="10" spans="1:20" ht="18.75" customHeight="1" x14ac:dyDescent="0.25">
      <c r="A10" s="11">
        <v>2</v>
      </c>
      <c r="B10" s="12" t="s">
        <v>19</v>
      </c>
      <c r="C10" s="60">
        <v>114</v>
      </c>
      <c r="D10" s="8">
        <v>0</v>
      </c>
      <c r="E10" s="60">
        <v>15</v>
      </c>
      <c r="F10" s="60">
        <v>29</v>
      </c>
      <c r="G10" s="60">
        <v>7</v>
      </c>
      <c r="H10" s="8">
        <v>65</v>
      </c>
      <c r="I10" s="8">
        <v>1</v>
      </c>
      <c r="J10" s="8">
        <v>4</v>
      </c>
      <c r="K10" s="8">
        <v>4</v>
      </c>
      <c r="L10" s="61">
        <v>4</v>
      </c>
      <c r="M10" s="47">
        <v>2</v>
      </c>
      <c r="N10" s="8">
        <v>29</v>
      </c>
      <c r="O10" s="13">
        <f t="shared" ref="O10:O16" si="0">SUM(C10:N10)</f>
        <v>274</v>
      </c>
      <c r="Q10" s="110">
        <f t="shared" ref="Q10:Q17" si="1">SUM(L10:M10)</f>
        <v>6</v>
      </c>
      <c r="S10" s="110">
        <f t="shared" ref="S10:S16" si="2">SUM(C10:F10)</f>
        <v>158</v>
      </c>
      <c r="T10" s="110">
        <f t="shared" ref="T10:T16" si="3">SUM(G10:J10)</f>
        <v>77</v>
      </c>
    </row>
    <row r="11" spans="1:20" ht="18.75" customHeight="1" x14ac:dyDescent="0.25">
      <c r="A11" s="11">
        <v>3</v>
      </c>
      <c r="B11" s="7" t="s">
        <v>20</v>
      </c>
      <c r="C11" s="60">
        <v>38</v>
      </c>
      <c r="D11" s="8">
        <v>0</v>
      </c>
      <c r="E11" s="60">
        <v>0</v>
      </c>
      <c r="F11" s="60">
        <v>5</v>
      </c>
      <c r="G11" s="60">
        <v>10</v>
      </c>
      <c r="H11" s="8">
        <v>0</v>
      </c>
      <c r="I11" s="8">
        <v>0</v>
      </c>
      <c r="J11" s="8">
        <v>0</v>
      </c>
      <c r="K11" s="8">
        <v>0</v>
      </c>
      <c r="L11" s="61">
        <v>0</v>
      </c>
      <c r="M11" s="8">
        <v>0</v>
      </c>
      <c r="N11" s="8">
        <v>0</v>
      </c>
      <c r="O11" s="13">
        <f t="shared" si="0"/>
        <v>53</v>
      </c>
      <c r="Q11" s="110">
        <f t="shared" si="1"/>
        <v>0</v>
      </c>
      <c r="S11" s="110">
        <f t="shared" si="2"/>
        <v>43</v>
      </c>
      <c r="T11" s="110">
        <f t="shared" si="3"/>
        <v>10</v>
      </c>
    </row>
    <row r="12" spans="1:20" ht="18.75" customHeight="1" x14ac:dyDescent="0.25">
      <c r="A12" s="14">
        <v>4</v>
      </c>
      <c r="B12" s="15" t="s">
        <v>21</v>
      </c>
      <c r="C12" s="61">
        <v>16</v>
      </c>
      <c r="D12" s="16">
        <v>0</v>
      </c>
      <c r="E12" s="61">
        <v>0</v>
      </c>
      <c r="F12" s="61">
        <v>0</v>
      </c>
      <c r="G12" s="139">
        <v>7</v>
      </c>
      <c r="H12" s="16">
        <v>7</v>
      </c>
      <c r="I12" s="16">
        <v>0</v>
      </c>
      <c r="J12" s="16">
        <v>2</v>
      </c>
      <c r="K12" s="16">
        <v>0</v>
      </c>
      <c r="L12" s="61">
        <v>1</v>
      </c>
      <c r="M12" s="16">
        <v>2</v>
      </c>
      <c r="N12" s="16">
        <v>16</v>
      </c>
      <c r="O12" s="18">
        <f>SUM(C12:N12)</f>
        <v>51</v>
      </c>
      <c r="Q12" s="110">
        <f t="shared" si="1"/>
        <v>3</v>
      </c>
      <c r="S12" s="110">
        <f t="shared" si="2"/>
        <v>16</v>
      </c>
      <c r="T12" s="110">
        <f t="shared" si="3"/>
        <v>16</v>
      </c>
    </row>
    <row r="13" spans="1:20" ht="18.75" customHeight="1" x14ac:dyDescent="0.25">
      <c r="A13" s="14">
        <v>5</v>
      </c>
      <c r="B13" s="19" t="s">
        <v>22</v>
      </c>
      <c r="C13" s="61">
        <v>225</v>
      </c>
      <c r="D13" s="16">
        <v>0</v>
      </c>
      <c r="E13" s="61">
        <v>0</v>
      </c>
      <c r="F13" s="61">
        <v>0</v>
      </c>
      <c r="G13" s="61">
        <v>10</v>
      </c>
      <c r="H13" s="16">
        <v>10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8">
        <f t="shared" si="0"/>
        <v>245</v>
      </c>
      <c r="Q13" s="110">
        <f t="shared" si="1"/>
        <v>0</v>
      </c>
      <c r="S13" s="110">
        <f t="shared" si="2"/>
        <v>225</v>
      </c>
      <c r="T13" s="110">
        <f t="shared" si="3"/>
        <v>20</v>
      </c>
    </row>
    <row r="14" spans="1:20" ht="18.75" customHeight="1" x14ac:dyDescent="0.25">
      <c r="A14" s="14">
        <v>6</v>
      </c>
      <c r="B14" s="19" t="s">
        <v>23</v>
      </c>
      <c r="C14" s="61">
        <v>0</v>
      </c>
      <c r="D14" s="16">
        <v>0</v>
      </c>
      <c r="E14" s="61">
        <v>0</v>
      </c>
      <c r="F14" s="61">
        <v>6</v>
      </c>
      <c r="G14" s="61">
        <v>15</v>
      </c>
      <c r="H14" s="16">
        <v>10</v>
      </c>
      <c r="I14" s="16">
        <v>0</v>
      </c>
      <c r="J14" s="16">
        <v>7</v>
      </c>
      <c r="K14" s="16">
        <v>0</v>
      </c>
      <c r="L14" s="16">
        <v>0</v>
      </c>
      <c r="M14" s="16">
        <v>5</v>
      </c>
      <c r="N14" s="16">
        <v>7</v>
      </c>
      <c r="O14" s="18">
        <f t="shared" si="0"/>
        <v>50</v>
      </c>
      <c r="Q14" s="110">
        <f t="shared" si="1"/>
        <v>5</v>
      </c>
      <c r="S14" s="110">
        <f t="shared" si="2"/>
        <v>6</v>
      </c>
      <c r="T14" s="110">
        <f t="shared" si="3"/>
        <v>32</v>
      </c>
    </row>
    <row r="15" spans="1:20" ht="18.75" customHeight="1" x14ac:dyDescent="0.25">
      <c r="A15" s="14">
        <v>7</v>
      </c>
      <c r="B15" s="19" t="s">
        <v>24</v>
      </c>
      <c r="C15" s="61">
        <v>133</v>
      </c>
      <c r="D15" s="16">
        <v>0</v>
      </c>
      <c r="E15" s="61">
        <v>0</v>
      </c>
      <c r="F15" s="61">
        <v>0</v>
      </c>
      <c r="G15" s="61">
        <v>8</v>
      </c>
      <c r="H15" s="16">
        <v>183</v>
      </c>
      <c r="I15" s="16">
        <v>110</v>
      </c>
      <c r="J15" s="16">
        <v>6</v>
      </c>
      <c r="K15" s="16">
        <v>0</v>
      </c>
      <c r="L15" s="16">
        <v>0</v>
      </c>
      <c r="M15" s="16">
        <v>5</v>
      </c>
      <c r="N15" s="16">
        <v>179</v>
      </c>
      <c r="O15" s="18">
        <f t="shared" si="0"/>
        <v>624</v>
      </c>
      <c r="Q15" s="110">
        <f t="shared" si="1"/>
        <v>5</v>
      </c>
      <c r="S15" s="110">
        <f t="shared" si="2"/>
        <v>133</v>
      </c>
      <c r="T15" s="110">
        <f t="shared" si="3"/>
        <v>307</v>
      </c>
    </row>
    <row r="16" spans="1:20" ht="18.75" customHeight="1" thickBot="1" x14ac:dyDescent="0.3">
      <c r="A16" s="20">
        <v>8</v>
      </c>
      <c r="B16" s="15" t="s">
        <v>25</v>
      </c>
      <c r="C16" s="62">
        <v>201</v>
      </c>
      <c r="D16" s="17">
        <v>0</v>
      </c>
      <c r="E16" s="139">
        <v>0</v>
      </c>
      <c r="F16" s="139">
        <v>36</v>
      </c>
      <c r="G16" s="139">
        <v>116</v>
      </c>
      <c r="H16" s="17">
        <v>11</v>
      </c>
      <c r="I16" s="17">
        <v>1</v>
      </c>
      <c r="J16" s="17">
        <v>0</v>
      </c>
      <c r="K16" s="17">
        <v>24</v>
      </c>
      <c r="L16" s="17">
        <v>1</v>
      </c>
      <c r="M16" s="17">
        <v>1</v>
      </c>
      <c r="N16" s="17">
        <v>42</v>
      </c>
      <c r="O16" s="21">
        <f t="shared" si="0"/>
        <v>433</v>
      </c>
      <c r="Q16" s="110">
        <f t="shared" si="1"/>
        <v>2</v>
      </c>
      <c r="S16" s="110">
        <f t="shared" si="2"/>
        <v>237</v>
      </c>
      <c r="T16" s="110">
        <f t="shared" si="3"/>
        <v>128</v>
      </c>
    </row>
    <row r="17" spans="1:17" ht="18.75" customHeight="1" thickTop="1" x14ac:dyDescent="0.25">
      <c r="A17" s="429" t="s">
        <v>26</v>
      </c>
      <c r="B17" s="430"/>
      <c r="C17" s="22">
        <f t="shared" ref="C17:N17" si="4">SUM(C9:C16)</f>
        <v>931</v>
      </c>
      <c r="D17" s="22">
        <f t="shared" si="4"/>
        <v>0</v>
      </c>
      <c r="E17" s="140">
        <f t="shared" si="4"/>
        <v>15</v>
      </c>
      <c r="F17" s="140">
        <f t="shared" si="4"/>
        <v>78</v>
      </c>
      <c r="G17" s="140">
        <f t="shared" si="4"/>
        <v>191</v>
      </c>
      <c r="H17" s="22">
        <f t="shared" si="4"/>
        <v>294</v>
      </c>
      <c r="I17" s="22">
        <f t="shared" si="4"/>
        <v>112</v>
      </c>
      <c r="J17" s="22">
        <f t="shared" si="4"/>
        <v>20</v>
      </c>
      <c r="K17" s="22">
        <f t="shared" si="4"/>
        <v>28</v>
      </c>
      <c r="L17" s="22">
        <f t="shared" si="4"/>
        <v>6</v>
      </c>
      <c r="M17" s="22">
        <f t="shared" si="4"/>
        <v>15</v>
      </c>
      <c r="N17" s="22">
        <f t="shared" si="4"/>
        <v>273</v>
      </c>
      <c r="O17" s="22">
        <f>SUM(O9:O16)</f>
        <v>1963</v>
      </c>
      <c r="Q17" s="110">
        <f t="shared" si="1"/>
        <v>21</v>
      </c>
    </row>
    <row r="18" spans="1:17" x14ac:dyDescent="0.2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</row>
    <row r="19" spans="1:17" x14ac:dyDescent="0.25">
      <c r="A19" s="221"/>
      <c r="B19" s="221"/>
      <c r="C19" s="23"/>
      <c r="D19" s="23"/>
      <c r="E19" s="23"/>
      <c r="F19" s="23"/>
      <c r="G19" s="23"/>
      <c r="H19" s="23"/>
      <c r="I19" s="23"/>
      <c r="J19" s="401">
        <f>SUM(C17:J17)</f>
        <v>1641</v>
      </c>
      <c r="K19" s="401">
        <f>SUM(F17:K17)</f>
        <v>723</v>
      </c>
      <c r="L19" s="23"/>
      <c r="M19" s="23"/>
      <c r="N19" s="401">
        <f>SUM(L17:N17)</f>
        <v>294</v>
      </c>
      <c r="O19" s="23"/>
    </row>
    <row r="20" spans="1:17" x14ac:dyDescent="0.25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401">
        <f>SUM(K17:M17)</f>
        <v>49</v>
      </c>
      <c r="L20" s="23"/>
      <c r="M20" s="23"/>
      <c r="N20" s="23"/>
      <c r="O20" s="23"/>
    </row>
    <row r="21" spans="1:17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</row>
    <row r="22" spans="1:17" x14ac:dyDescent="0.2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</row>
    <row r="23" spans="1:17" x14ac:dyDescent="0.2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</row>
    <row r="24" spans="1:17" x14ac:dyDescent="0.2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</row>
    <row r="25" spans="1:17" x14ac:dyDescent="0.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</row>
    <row r="26" spans="1:17" x14ac:dyDescent="0.2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</row>
    <row r="27" spans="1:17" x14ac:dyDescent="0.2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</row>
    <row r="28" spans="1:17" x14ac:dyDescent="0.2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</row>
    <row r="29" spans="1:17" x14ac:dyDescent="0.2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</row>
    <row r="30" spans="1:17" x14ac:dyDescent="0.2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</row>
    <row r="31" spans="1:17" x14ac:dyDescent="0.25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</row>
    <row r="32" spans="1:17" x14ac:dyDescent="0.25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</row>
    <row r="33" spans="1:17" x14ac:dyDescent="0.25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</row>
    <row r="34" spans="1:17" x14ac:dyDescent="0.25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</row>
    <row r="35" spans="1:17" ht="18.75" x14ac:dyDescent="0.3">
      <c r="A35" s="424" t="s">
        <v>27</v>
      </c>
      <c r="B35" s="424"/>
      <c r="C35" s="424"/>
      <c r="D35" s="424"/>
      <c r="E35" s="424"/>
      <c r="F35" s="424"/>
      <c r="G35" s="424"/>
      <c r="H35" s="424"/>
      <c r="I35" s="424"/>
      <c r="J35" s="424"/>
      <c r="K35" s="424"/>
      <c r="L35" s="424"/>
      <c r="M35" s="424"/>
      <c r="N35" s="424"/>
      <c r="O35" s="424"/>
    </row>
    <row r="36" spans="1:17" ht="18.75" x14ac:dyDescent="0.3">
      <c r="A36" s="424" t="s">
        <v>75</v>
      </c>
      <c r="B36" s="424"/>
      <c r="C36" s="424"/>
      <c r="D36" s="424"/>
      <c r="E36" s="424"/>
      <c r="F36" s="424"/>
      <c r="G36" s="424"/>
      <c r="H36" s="424"/>
      <c r="I36" s="424"/>
      <c r="J36" s="424"/>
      <c r="K36" s="424"/>
      <c r="L36" s="424"/>
      <c r="M36" s="424"/>
      <c r="N36" s="424"/>
      <c r="O36" s="424"/>
    </row>
    <row r="37" spans="1:17" ht="18.75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7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3" t="s">
        <v>1</v>
      </c>
    </row>
    <row r="39" spans="1:17" x14ac:dyDescent="0.25">
      <c r="A39" s="425" t="s">
        <v>2</v>
      </c>
      <c r="B39" s="425" t="s">
        <v>3</v>
      </c>
      <c r="C39" s="427" t="s">
        <v>4</v>
      </c>
      <c r="D39" s="427"/>
      <c r="E39" s="427"/>
      <c r="F39" s="427"/>
      <c r="G39" s="427"/>
      <c r="H39" s="427"/>
      <c r="I39" s="427"/>
      <c r="J39" s="427"/>
      <c r="K39" s="427"/>
      <c r="L39" s="427"/>
      <c r="M39" s="427"/>
      <c r="N39" s="427"/>
      <c r="O39" s="425" t="s">
        <v>5</v>
      </c>
    </row>
    <row r="40" spans="1:17" x14ac:dyDescent="0.25">
      <c r="A40" s="426"/>
      <c r="B40" s="426"/>
      <c r="C40" s="25" t="s">
        <v>6</v>
      </c>
      <c r="D40" s="25" t="s">
        <v>7</v>
      </c>
      <c r="E40" s="25" t="s">
        <v>8</v>
      </c>
      <c r="F40" s="25" t="s">
        <v>9</v>
      </c>
      <c r="G40" s="25" t="s">
        <v>10</v>
      </c>
      <c r="H40" s="25" t="s">
        <v>11</v>
      </c>
      <c r="I40" s="25" t="s">
        <v>12</v>
      </c>
      <c r="J40" s="25" t="s">
        <v>13</v>
      </c>
      <c r="K40" s="25" t="s">
        <v>14</v>
      </c>
      <c r="L40" s="25" t="s">
        <v>15</v>
      </c>
      <c r="M40" s="25" t="s">
        <v>16</v>
      </c>
      <c r="N40" s="25" t="s">
        <v>17</v>
      </c>
      <c r="O40" s="428"/>
    </row>
    <row r="41" spans="1:17" ht="15.75" thickBot="1" x14ac:dyDescent="0.3">
      <c r="A41" s="26">
        <v>1</v>
      </c>
      <c r="B41" s="26">
        <v>2</v>
      </c>
      <c r="C41" s="26">
        <v>3</v>
      </c>
      <c r="D41" s="26">
        <v>4</v>
      </c>
      <c r="E41" s="26">
        <v>5</v>
      </c>
      <c r="F41" s="26">
        <v>6</v>
      </c>
      <c r="G41" s="26">
        <v>7</v>
      </c>
      <c r="H41" s="26">
        <v>8</v>
      </c>
      <c r="I41" s="26">
        <v>9</v>
      </c>
      <c r="J41" s="26">
        <v>10</v>
      </c>
      <c r="K41" s="26">
        <v>11</v>
      </c>
      <c r="L41" s="26">
        <v>12</v>
      </c>
      <c r="M41" s="26">
        <v>13</v>
      </c>
      <c r="N41" s="26">
        <v>14</v>
      </c>
      <c r="O41" s="26">
        <v>15</v>
      </c>
    </row>
    <row r="42" spans="1:17" ht="18.75" customHeight="1" thickTop="1" x14ac:dyDescent="0.25">
      <c r="A42" s="27">
        <v>1</v>
      </c>
      <c r="B42" s="7" t="s">
        <v>18</v>
      </c>
      <c r="C42" s="63">
        <v>0</v>
      </c>
      <c r="D42" s="63">
        <v>0</v>
      </c>
      <c r="E42" s="28">
        <v>0</v>
      </c>
      <c r="F42" s="28">
        <v>204</v>
      </c>
      <c r="G42" s="28">
        <v>0</v>
      </c>
      <c r="H42" s="28">
        <v>2</v>
      </c>
      <c r="I42" s="28">
        <v>0</v>
      </c>
      <c r="J42" s="28">
        <v>20</v>
      </c>
      <c r="K42" s="28">
        <v>6</v>
      </c>
      <c r="L42" s="59">
        <v>0</v>
      </c>
      <c r="M42" s="28">
        <v>1</v>
      </c>
      <c r="N42" s="28">
        <v>0</v>
      </c>
      <c r="O42" s="29">
        <f>SUM(C42:N42)</f>
        <v>233</v>
      </c>
      <c r="Q42" s="110">
        <f>SUM(C42:E42)</f>
        <v>0</v>
      </c>
    </row>
    <row r="43" spans="1:17" ht="18.75" customHeight="1" x14ac:dyDescent="0.25">
      <c r="A43" s="14">
        <v>2</v>
      </c>
      <c r="B43" s="12" t="s">
        <v>19</v>
      </c>
      <c r="C43" s="61">
        <v>0</v>
      </c>
      <c r="D43" s="16">
        <v>25</v>
      </c>
      <c r="E43" s="16">
        <v>64</v>
      </c>
      <c r="F43" s="16">
        <v>75</v>
      </c>
      <c r="G43" s="16">
        <v>90</v>
      </c>
      <c r="H43" s="16">
        <v>0</v>
      </c>
      <c r="I43" s="16">
        <v>32</v>
      </c>
      <c r="J43" s="16">
        <v>81</v>
      </c>
      <c r="K43" s="16">
        <v>12</v>
      </c>
      <c r="L43" s="61">
        <v>0</v>
      </c>
      <c r="M43" s="16">
        <v>0</v>
      </c>
      <c r="N43" s="16">
        <v>8</v>
      </c>
      <c r="O43" s="18">
        <f t="shared" ref="O43:O49" si="5">SUM(C43:N43)</f>
        <v>387</v>
      </c>
      <c r="Q43" s="110">
        <f t="shared" ref="Q43:Q49" si="6">SUM(C43:E43)</f>
        <v>89</v>
      </c>
    </row>
    <row r="44" spans="1:17" ht="18.75" customHeight="1" x14ac:dyDescent="0.25">
      <c r="A44" s="14">
        <v>3</v>
      </c>
      <c r="B44" s="7" t="s">
        <v>20</v>
      </c>
      <c r="C44" s="61">
        <v>0</v>
      </c>
      <c r="D44" s="16">
        <v>0</v>
      </c>
      <c r="E44" s="16">
        <v>10</v>
      </c>
      <c r="F44" s="16">
        <v>38</v>
      </c>
      <c r="G44" s="16">
        <v>0</v>
      </c>
      <c r="H44" s="16">
        <v>0</v>
      </c>
      <c r="I44" s="16">
        <v>5</v>
      </c>
      <c r="J44" s="16">
        <v>10</v>
      </c>
      <c r="K44" s="16">
        <v>0</v>
      </c>
      <c r="L44" s="61">
        <v>0</v>
      </c>
      <c r="M44" s="16">
        <v>0</v>
      </c>
      <c r="N44" s="16">
        <v>0</v>
      </c>
      <c r="O44" s="18">
        <f t="shared" si="5"/>
        <v>63</v>
      </c>
      <c r="Q44" s="110">
        <f t="shared" si="6"/>
        <v>10</v>
      </c>
    </row>
    <row r="45" spans="1:17" ht="18.75" customHeight="1" x14ac:dyDescent="0.25">
      <c r="A45" s="14">
        <v>4</v>
      </c>
      <c r="B45" s="15" t="s">
        <v>21</v>
      </c>
      <c r="C45" s="61">
        <v>0</v>
      </c>
      <c r="D45" s="16">
        <v>3</v>
      </c>
      <c r="E45" s="16">
        <v>165</v>
      </c>
      <c r="F45" s="16">
        <v>16</v>
      </c>
      <c r="G45" s="17">
        <v>0</v>
      </c>
      <c r="H45" s="16">
        <v>0</v>
      </c>
      <c r="I45" s="16">
        <v>0</v>
      </c>
      <c r="J45" s="16">
        <v>7</v>
      </c>
      <c r="K45" s="16">
        <v>7</v>
      </c>
      <c r="L45" s="61">
        <v>0</v>
      </c>
      <c r="M45" s="16">
        <v>2</v>
      </c>
      <c r="N45" s="16">
        <v>0</v>
      </c>
      <c r="O45" s="18">
        <f t="shared" si="5"/>
        <v>200</v>
      </c>
      <c r="Q45" s="110">
        <f t="shared" si="6"/>
        <v>168</v>
      </c>
    </row>
    <row r="46" spans="1:17" ht="18.75" customHeight="1" x14ac:dyDescent="0.25">
      <c r="A46" s="14">
        <v>5</v>
      </c>
      <c r="B46" s="19" t="s">
        <v>22</v>
      </c>
      <c r="C46" s="61">
        <v>0</v>
      </c>
      <c r="D46" s="16">
        <v>0</v>
      </c>
      <c r="E46" s="16">
        <v>25</v>
      </c>
      <c r="F46" s="16">
        <v>225</v>
      </c>
      <c r="G46" s="16">
        <v>0</v>
      </c>
      <c r="H46" s="16">
        <v>0</v>
      </c>
      <c r="I46" s="16">
        <v>0</v>
      </c>
      <c r="J46" s="16">
        <v>10</v>
      </c>
      <c r="K46" s="16">
        <v>10</v>
      </c>
      <c r="L46" s="16">
        <v>0</v>
      </c>
      <c r="M46" s="16">
        <v>0</v>
      </c>
      <c r="N46" s="16">
        <v>0</v>
      </c>
      <c r="O46" s="18">
        <f t="shared" si="5"/>
        <v>270</v>
      </c>
      <c r="Q46" s="110">
        <f t="shared" si="6"/>
        <v>25</v>
      </c>
    </row>
    <row r="47" spans="1:17" ht="18.75" customHeight="1" x14ac:dyDescent="0.25">
      <c r="A47" s="14">
        <v>6</v>
      </c>
      <c r="B47" s="19" t="s">
        <v>23</v>
      </c>
      <c r="C47" s="61">
        <v>0</v>
      </c>
      <c r="D47" s="16">
        <v>0</v>
      </c>
      <c r="E47" s="16">
        <v>44</v>
      </c>
      <c r="F47" s="16">
        <v>0</v>
      </c>
      <c r="G47" s="16">
        <v>0</v>
      </c>
      <c r="H47" s="16">
        <v>6</v>
      </c>
      <c r="I47" s="16">
        <v>0</v>
      </c>
      <c r="J47" s="16">
        <v>10</v>
      </c>
      <c r="K47" s="16">
        <v>14</v>
      </c>
      <c r="L47" s="16">
        <v>0</v>
      </c>
      <c r="M47" s="16">
        <v>7</v>
      </c>
      <c r="N47" s="16">
        <v>0</v>
      </c>
      <c r="O47" s="18">
        <f t="shared" si="5"/>
        <v>81</v>
      </c>
      <c r="Q47" s="110">
        <f t="shared" si="6"/>
        <v>44</v>
      </c>
    </row>
    <row r="48" spans="1:17" ht="18.75" customHeight="1" x14ac:dyDescent="0.25">
      <c r="A48" s="14">
        <v>7</v>
      </c>
      <c r="B48" s="19" t="s">
        <v>24</v>
      </c>
      <c r="C48" s="61">
        <v>1</v>
      </c>
      <c r="D48" s="16">
        <v>1</v>
      </c>
      <c r="E48" s="16">
        <v>92</v>
      </c>
      <c r="F48" s="16">
        <v>162</v>
      </c>
      <c r="G48" s="16">
        <v>23</v>
      </c>
      <c r="H48" s="16">
        <v>0</v>
      </c>
      <c r="I48" s="16">
        <v>2</v>
      </c>
      <c r="J48" s="16">
        <v>30</v>
      </c>
      <c r="K48" s="16">
        <v>183</v>
      </c>
      <c r="L48" s="16">
        <v>92</v>
      </c>
      <c r="M48" s="16">
        <v>0</v>
      </c>
      <c r="N48" s="16">
        <v>0</v>
      </c>
      <c r="O48" s="18">
        <f t="shared" si="5"/>
        <v>586</v>
      </c>
      <c r="Q48" s="110">
        <f t="shared" si="6"/>
        <v>94</v>
      </c>
    </row>
    <row r="49" spans="1:17" ht="18.75" customHeight="1" thickBot="1" x14ac:dyDescent="0.3">
      <c r="A49" s="20">
        <v>8</v>
      </c>
      <c r="B49" s="15" t="s">
        <v>25</v>
      </c>
      <c r="C49" s="62">
        <v>0</v>
      </c>
      <c r="D49" s="17">
        <v>30</v>
      </c>
      <c r="E49" s="17">
        <v>206</v>
      </c>
      <c r="F49" s="17">
        <v>68</v>
      </c>
      <c r="G49" s="17">
        <v>0</v>
      </c>
      <c r="H49" s="17">
        <v>4</v>
      </c>
      <c r="I49" s="17">
        <v>40</v>
      </c>
      <c r="J49" s="17">
        <v>107</v>
      </c>
      <c r="K49" s="17">
        <v>11</v>
      </c>
      <c r="L49" s="17">
        <v>0</v>
      </c>
      <c r="M49" s="17">
        <v>0</v>
      </c>
      <c r="N49" s="17">
        <v>0</v>
      </c>
      <c r="O49" s="21">
        <f t="shared" si="5"/>
        <v>466</v>
      </c>
      <c r="Q49" s="110">
        <f t="shared" si="6"/>
        <v>236</v>
      </c>
    </row>
    <row r="50" spans="1:17" ht="18.75" customHeight="1" thickTop="1" x14ac:dyDescent="0.25">
      <c r="A50" s="429" t="s">
        <v>26</v>
      </c>
      <c r="B50" s="430"/>
      <c r="C50" s="22">
        <f t="shared" ref="C50:O50" si="7">SUM(C42:C49)</f>
        <v>1</v>
      </c>
      <c r="D50" s="22">
        <f t="shared" si="7"/>
        <v>59</v>
      </c>
      <c r="E50" s="22">
        <f t="shared" si="7"/>
        <v>606</v>
      </c>
      <c r="F50" s="22">
        <f t="shared" si="7"/>
        <v>788</v>
      </c>
      <c r="G50" s="22">
        <f t="shared" si="7"/>
        <v>113</v>
      </c>
      <c r="H50" s="22">
        <f t="shared" si="7"/>
        <v>12</v>
      </c>
      <c r="I50" s="22">
        <f t="shared" si="7"/>
        <v>79</v>
      </c>
      <c r="J50" s="22">
        <f t="shared" si="7"/>
        <v>275</v>
      </c>
      <c r="K50" s="22">
        <f t="shared" si="7"/>
        <v>243</v>
      </c>
      <c r="L50" s="22">
        <f t="shared" si="7"/>
        <v>92</v>
      </c>
      <c r="M50" s="22">
        <f t="shared" si="7"/>
        <v>10</v>
      </c>
      <c r="N50" s="22">
        <f t="shared" si="7"/>
        <v>8</v>
      </c>
      <c r="O50" s="22">
        <f t="shared" si="7"/>
        <v>2286</v>
      </c>
    </row>
    <row r="51" spans="1:17" x14ac:dyDescent="0.25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</row>
    <row r="52" spans="1:17" x14ac:dyDescent="0.25">
      <c r="A52" s="24"/>
      <c r="B52" s="24"/>
      <c r="C52" s="24"/>
      <c r="D52" s="24"/>
      <c r="E52" s="24"/>
      <c r="F52" s="24"/>
      <c r="G52" s="24"/>
      <c r="H52" s="24"/>
      <c r="I52" s="24"/>
      <c r="J52" s="108"/>
      <c r="K52" s="24"/>
      <c r="L52" s="24"/>
      <c r="M52" s="24"/>
      <c r="N52" s="24"/>
      <c r="O52" s="24"/>
    </row>
    <row r="53" spans="1:17" x14ac:dyDescent="0.25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</row>
    <row r="54" spans="1:17" x14ac:dyDescent="0.25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</row>
    <row r="55" spans="1:17" x14ac:dyDescent="0.2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</row>
    <row r="56" spans="1:17" x14ac:dyDescent="0.25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</row>
    <row r="57" spans="1:17" x14ac:dyDescent="0.25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</row>
    <row r="58" spans="1:17" x14ac:dyDescent="0.25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</row>
    <row r="59" spans="1:17" x14ac:dyDescent="0.25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</row>
    <row r="60" spans="1:17" x14ac:dyDescent="0.25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</row>
    <row r="61" spans="1:17" x14ac:dyDescent="0.2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</row>
    <row r="62" spans="1:17" x14ac:dyDescent="0.2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</row>
    <row r="63" spans="1:17" x14ac:dyDescent="0.2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</row>
    <row r="64" spans="1:17" x14ac:dyDescent="0.2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</row>
    <row r="65" spans="1:17" x14ac:dyDescent="0.2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</row>
    <row r="66" spans="1:17" x14ac:dyDescent="0.25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</row>
    <row r="67" spans="1:17" x14ac:dyDescent="0.25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</row>
    <row r="68" spans="1:17" ht="18.75" x14ac:dyDescent="0.3">
      <c r="A68" s="424" t="s">
        <v>28</v>
      </c>
      <c r="B68" s="424"/>
      <c r="C68" s="424"/>
      <c r="D68" s="424"/>
      <c r="E68" s="424"/>
      <c r="F68" s="424"/>
      <c r="G68" s="424"/>
      <c r="H68" s="424"/>
      <c r="I68" s="424"/>
      <c r="J68" s="424"/>
      <c r="K68" s="424"/>
      <c r="L68" s="424"/>
      <c r="M68" s="424"/>
      <c r="N68" s="424"/>
      <c r="O68" s="424"/>
    </row>
    <row r="69" spans="1:17" ht="18.75" x14ac:dyDescent="0.3">
      <c r="A69" s="424" t="s">
        <v>75</v>
      </c>
      <c r="B69" s="424"/>
      <c r="C69" s="424"/>
      <c r="D69" s="424"/>
      <c r="E69" s="424"/>
      <c r="F69" s="424"/>
      <c r="G69" s="424"/>
      <c r="H69" s="424"/>
      <c r="I69" s="424"/>
      <c r="J69" s="424"/>
      <c r="K69" s="424"/>
      <c r="L69" s="424"/>
      <c r="M69" s="424"/>
      <c r="N69" s="424"/>
      <c r="O69" s="424"/>
    </row>
    <row r="70" spans="1:17" ht="18.75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7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3" t="s">
        <v>29</v>
      </c>
    </row>
    <row r="72" spans="1:17" x14ac:dyDescent="0.25">
      <c r="A72" s="431" t="s">
        <v>2</v>
      </c>
      <c r="B72" s="431" t="s">
        <v>3</v>
      </c>
      <c r="C72" s="433" t="s">
        <v>4</v>
      </c>
      <c r="D72" s="433"/>
      <c r="E72" s="433"/>
      <c r="F72" s="433"/>
      <c r="G72" s="433"/>
      <c r="H72" s="433"/>
      <c r="I72" s="433"/>
      <c r="J72" s="433"/>
      <c r="K72" s="433"/>
      <c r="L72" s="433"/>
      <c r="M72" s="433"/>
      <c r="N72" s="433"/>
      <c r="O72" s="431" t="s">
        <v>5</v>
      </c>
    </row>
    <row r="73" spans="1:17" x14ac:dyDescent="0.25">
      <c r="A73" s="432"/>
      <c r="B73" s="432"/>
      <c r="C73" s="4" t="s">
        <v>6</v>
      </c>
      <c r="D73" s="4" t="s">
        <v>7</v>
      </c>
      <c r="E73" s="4" t="s">
        <v>8</v>
      </c>
      <c r="F73" s="4" t="s">
        <v>9</v>
      </c>
      <c r="G73" s="4" t="s">
        <v>10</v>
      </c>
      <c r="H73" s="4" t="s">
        <v>11</v>
      </c>
      <c r="I73" s="4" t="s">
        <v>12</v>
      </c>
      <c r="J73" s="4" t="s">
        <v>13</v>
      </c>
      <c r="K73" s="4" t="s">
        <v>14</v>
      </c>
      <c r="L73" s="4" t="s">
        <v>15</v>
      </c>
      <c r="M73" s="4" t="s">
        <v>16</v>
      </c>
      <c r="N73" s="4" t="s">
        <v>17</v>
      </c>
      <c r="O73" s="434"/>
    </row>
    <row r="74" spans="1:17" ht="15.75" thickBot="1" x14ac:dyDescent="0.3">
      <c r="A74" s="5">
        <v>1</v>
      </c>
      <c r="B74" s="5">
        <v>2</v>
      </c>
      <c r="C74" s="5">
        <v>3</v>
      </c>
      <c r="D74" s="5">
        <v>4</v>
      </c>
      <c r="E74" s="5">
        <v>5</v>
      </c>
      <c r="F74" s="5">
        <v>6</v>
      </c>
      <c r="G74" s="5">
        <v>7</v>
      </c>
      <c r="H74" s="5">
        <v>8</v>
      </c>
      <c r="I74" s="5">
        <v>9</v>
      </c>
      <c r="J74" s="5">
        <v>10</v>
      </c>
      <c r="K74" s="5">
        <v>11</v>
      </c>
      <c r="L74" s="5">
        <v>12</v>
      </c>
      <c r="M74" s="5">
        <v>13</v>
      </c>
      <c r="N74" s="5">
        <v>14</v>
      </c>
      <c r="O74" s="5">
        <v>15</v>
      </c>
    </row>
    <row r="75" spans="1:17" ht="18.75" customHeight="1" thickTop="1" x14ac:dyDescent="0.25">
      <c r="A75" s="6">
        <v>1</v>
      </c>
      <c r="B75" s="7" t="s">
        <v>18</v>
      </c>
      <c r="C75" s="63">
        <v>0</v>
      </c>
      <c r="D75" s="63">
        <v>0</v>
      </c>
      <c r="E75" s="9">
        <v>0</v>
      </c>
      <c r="F75" s="9">
        <v>1327</v>
      </c>
      <c r="G75" s="28">
        <v>0</v>
      </c>
      <c r="H75" s="28">
        <v>10</v>
      </c>
      <c r="I75" s="28">
        <v>0</v>
      </c>
      <c r="J75" s="28">
        <v>90</v>
      </c>
      <c r="K75" s="28">
        <v>35</v>
      </c>
      <c r="L75" s="59">
        <v>0</v>
      </c>
      <c r="M75" s="28">
        <v>4</v>
      </c>
      <c r="N75" s="28">
        <v>0</v>
      </c>
      <c r="O75" s="10">
        <f>SUM(C75:N75)</f>
        <v>1466</v>
      </c>
      <c r="Q75" s="110">
        <f>SUM(C75:E75)</f>
        <v>0</v>
      </c>
    </row>
    <row r="76" spans="1:17" ht="18.75" customHeight="1" x14ac:dyDescent="0.25">
      <c r="A76" s="14">
        <v>2</v>
      </c>
      <c r="B76" s="12" t="s">
        <v>19</v>
      </c>
      <c r="C76" s="61">
        <v>0</v>
      </c>
      <c r="D76" s="16">
        <v>173</v>
      </c>
      <c r="E76" s="16">
        <v>523</v>
      </c>
      <c r="F76" s="16">
        <v>455</v>
      </c>
      <c r="G76" s="16">
        <v>805</v>
      </c>
      <c r="H76" s="16">
        <v>0</v>
      </c>
      <c r="I76" s="16">
        <v>245</v>
      </c>
      <c r="J76" s="16">
        <v>639</v>
      </c>
      <c r="K76" s="16">
        <v>102</v>
      </c>
      <c r="L76" s="61">
        <v>0</v>
      </c>
      <c r="M76" s="16">
        <v>0</v>
      </c>
      <c r="N76" s="16">
        <v>71</v>
      </c>
      <c r="O76" s="18">
        <f t="shared" ref="O76:O82" si="8">SUM(C76:N76)</f>
        <v>3013</v>
      </c>
      <c r="Q76" s="110">
        <f t="shared" ref="Q76:Q82" si="9">SUM(C76:E76)</f>
        <v>696</v>
      </c>
    </row>
    <row r="77" spans="1:17" ht="18.75" customHeight="1" x14ac:dyDescent="0.25">
      <c r="A77" s="14">
        <v>3</v>
      </c>
      <c r="B77" s="7" t="s">
        <v>20</v>
      </c>
      <c r="C77" s="61">
        <v>0</v>
      </c>
      <c r="D77" s="16">
        <v>0</v>
      </c>
      <c r="E77" s="16">
        <v>52</v>
      </c>
      <c r="F77" s="16">
        <v>231</v>
      </c>
      <c r="G77" s="16">
        <v>0</v>
      </c>
      <c r="H77" s="16">
        <v>0</v>
      </c>
      <c r="I77" s="16">
        <v>28</v>
      </c>
      <c r="J77" s="16">
        <v>30</v>
      </c>
      <c r="K77" s="16">
        <v>0</v>
      </c>
      <c r="L77" s="61">
        <v>0</v>
      </c>
      <c r="M77" s="16">
        <v>0</v>
      </c>
      <c r="N77" s="16">
        <v>0</v>
      </c>
      <c r="O77" s="18">
        <f t="shared" si="8"/>
        <v>341</v>
      </c>
      <c r="Q77" s="110">
        <f t="shared" si="9"/>
        <v>52</v>
      </c>
    </row>
    <row r="78" spans="1:17" ht="18.75" customHeight="1" x14ac:dyDescent="0.25">
      <c r="A78" s="14">
        <v>4</v>
      </c>
      <c r="B78" s="15" t="s">
        <v>21</v>
      </c>
      <c r="C78" s="61">
        <v>0</v>
      </c>
      <c r="D78" s="16">
        <v>16</v>
      </c>
      <c r="E78" s="16">
        <v>943</v>
      </c>
      <c r="F78" s="17">
        <v>104</v>
      </c>
      <c r="G78" s="17">
        <v>0</v>
      </c>
      <c r="H78" s="16">
        <v>0</v>
      </c>
      <c r="I78" s="16">
        <v>0</v>
      </c>
      <c r="J78" s="16">
        <v>37</v>
      </c>
      <c r="K78" s="16">
        <v>35</v>
      </c>
      <c r="L78" s="61">
        <v>0</v>
      </c>
      <c r="M78" s="16">
        <v>10</v>
      </c>
      <c r="N78" s="16">
        <v>0</v>
      </c>
      <c r="O78" s="18">
        <f t="shared" si="8"/>
        <v>1145</v>
      </c>
      <c r="Q78" s="110">
        <f t="shared" si="9"/>
        <v>959</v>
      </c>
    </row>
    <row r="79" spans="1:17" ht="18.75" customHeight="1" x14ac:dyDescent="0.25">
      <c r="A79" s="14">
        <v>5</v>
      </c>
      <c r="B79" s="19" t="s">
        <v>22</v>
      </c>
      <c r="C79" s="61">
        <v>0</v>
      </c>
      <c r="D79" s="16">
        <v>0</v>
      </c>
      <c r="E79" s="16">
        <v>144</v>
      </c>
      <c r="F79" s="16">
        <v>1406</v>
      </c>
      <c r="G79" s="16">
        <v>0</v>
      </c>
      <c r="H79" s="16">
        <v>0</v>
      </c>
      <c r="I79" s="16">
        <v>0</v>
      </c>
      <c r="J79" s="16"/>
      <c r="K79" s="16">
        <v>59</v>
      </c>
      <c r="L79" s="16">
        <v>0</v>
      </c>
      <c r="M79" s="16">
        <v>0</v>
      </c>
      <c r="N79" s="16">
        <v>0</v>
      </c>
      <c r="O79" s="18">
        <f t="shared" si="8"/>
        <v>1609</v>
      </c>
      <c r="Q79" s="110">
        <f t="shared" si="9"/>
        <v>144</v>
      </c>
    </row>
    <row r="80" spans="1:17" ht="18.75" customHeight="1" x14ac:dyDescent="0.25">
      <c r="A80" s="14">
        <v>6</v>
      </c>
      <c r="B80" s="19" t="s">
        <v>23</v>
      </c>
      <c r="C80" s="61">
        <v>0</v>
      </c>
      <c r="D80" s="16">
        <v>0</v>
      </c>
      <c r="E80" s="16">
        <v>325</v>
      </c>
      <c r="F80" s="16">
        <v>0</v>
      </c>
      <c r="G80" s="16">
        <v>0</v>
      </c>
      <c r="H80" s="16">
        <v>42</v>
      </c>
      <c r="I80" s="16">
        <v>0</v>
      </c>
      <c r="J80" s="16">
        <v>70</v>
      </c>
      <c r="K80" s="16">
        <v>94</v>
      </c>
      <c r="L80" s="16">
        <v>0</v>
      </c>
      <c r="M80" s="16">
        <v>53</v>
      </c>
      <c r="N80" s="16">
        <v>0</v>
      </c>
      <c r="O80" s="18">
        <f t="shared" si="8"/>
        <v>584</v>
      </c>
      <c r="Q80" s="110">
        <f t="shared" si="9"/>
        <v>325</v>
      </c>
    </row>
    <row r="81" spans="1:17" ht="18.75" customHeight="1" x14ac:dyDescent="0.25">
      <c r="A81" s="14">
        <v>7</v>
      </c>
      <c r="B81" s="19" t="s">
        <v>24</v>
      </c>
      <c r="C81" s="61">
        <v>5</v>
      </c>
      <c r="D81" s="16">
        <v>6</v>
      </c>
      <c r="E81" s="16">
        <v>479</v>
      </c>
      <c r="F81" s="16">
        <v>1000</v>
      </c>
      <c r="G81" s="16">
        <v>129</v>
      </c>
      <c r="H81" s="16">
        <v>0</v>
      </c>
      <c r="I81" s="16">
        <v>9</v>
      </c>
      <c r="J81" s="16">
        <v>206</v>
      </c>
      <c r="K81" s="16">
        <v>1114</v>
      </c>
      <c r="L81" s="16">
        <v>490</v>
      </c>
      <c r="M81" s="16">
        <v>0</v>
      </c>
      <c r="N81" s="16">
        <v>0</v>
      </c>
      <c r="O81" s="18">
        <f t="shared" si="8"/>
        <v>3438</v>
      </c>
      <c r="Q81" s="110">
        <f t="shared" si="9"/>
        <v>490</v>
      </c>
    </row>
    <row r="82" spans="1:17" ht="18.75" customHeight="1" thickBot="1" x14ac:dyDescent="0.3">
      <c r="A82" s="20">
        <v>8</v>
      </c>
      <c r="B82" s="15" t="s">
        <v>25</v>
      </c>
      <c r="C82" s="62">
        <v>0</v>
      </c>
      <c r="D82" s="17">
        <v>174</v>
      </c>
      <c r="E82" s="17">
        <v>1590</v>
      </c>
      <c r="F82" s="17">
        <v>443</v>
      </c>
      <c r="G82" s="17">
        <v>0</v>
      </c>
      <c r="H82" s="17">
        <v>27</v>
      </c>
      <c r="I82" s="17">
        <v>248</v>
      </c>
      <c r="J82" s="17">
        <v>590</v>
      </c>
      <c r="K82" s="17">
        <v>66</v>
      </c>
      <c r="L82" s="17">
        <v>0</v>
      </c>
      <c r="M82" s="17">
        <v>0</v>
      </c>
      <c r="N82" s="17">
        <v>0</v>
      </c>
      <c r="O82" s="21">
        <f t="shared" si="8"/>
        <v>3138</v>
      </c>
      <c r="Q82" s="110">
        <f t="shared" si="9"/>
        <v>1764</v>
      </c>
    </row>
    <row r="83" spans="1:17" ht="18.75" customHeight="1" thickTop="1" x14ac:dyDescent="0.25">
      <c r="A83" s="429" t="s">
        <v>26</v>
      </c>
      <c r="B83" s="430"/>
      <c r="C83" s="22">
        <f t="shared" ref="C83:O83" si="10">SUM(C75:C82)</f>
        <v>5</v>
      </c>
      <c r="D83" s="22">
        <f t="shared" si="10"/>
        <v>369</v>
      </c>
      <c r="E83" s="22">
        <f t="shared" si="10"/>
        <v>4056</v>
      </c>
      <c r="F83" s="22">
        <f t="shared" si="10"/>
        <v>4966</v>
      </c>
      <c r="G83" s="22">
        <f t="shared" si="10"/>
        <v>934</v>
      </c>
      <c r="H83" s="22">
        <f t="shared" si="10"/>
        <v>79</v>
      </c>
      <c r="I83" s="22">
        <f t="shared" si="10"/>
        <v>530</v>
      </c>
      <c r="J83" s="22">
        <f t="shared" si="10"/>
        <v>1662</v>
      </c>
      <c r="K83" s="22">
        <f t="shared" si="10"/>
        <v>1505</v>
      </c>
      <c r="L83" s="22">
        <f t="shared" si="10"/>
        <v>490</v>
      </c>
      <c r="M83" s="22">
        <f t="shared" si="10"/>
        <v>67</v>
      </c>
      <c r="N83" s="22">
        <f t="shared" si="10"/>
        <v>71</v>
      </c>
      <c r="O83" s="22">
        <f t="shared" si="10"/>
        <v>14734</v>
      </c>
    </row>
    <row r="84" spans="1:17" x14ac:dyDescent="0.25">
      <c r="A84" s="23"/>
      <c r="B84" s="23"/>
      <c r="C84" s="401">
        <f>SUM(C83:E83)</f>
        <v>4430</v>
      </c>
      <c r="D84" s="30"/>
      <c r="E84" s="23"/>
      <c r="F84" s="401">
        <f>SUM(F83:H83)</f>
        <v>5979</v>
      </c>
      <c r="G84" s="23"/>
      <c r="H84" s="23"/>
      <c r="I84" s="401">
        <f>SUM(I83:K83)</f>
        <v>3697</v>
      </c>
      <c r="J84" s="23"/>
      <c r="K84" s="23"/>
      <c r="L84" s="401">
        <f>SUM(L83:N83)</f>
        <v>628</v>
      </c>
      <c r="M84" s="23"/>
      <c r="N84" s="23"/>
      <c r="O84" s="23"/>
    </row>
    <row r="85" spans="1:17" x14ac:dyDescent="0.25">
      <c r="A85" s="24"/>
      <c r="B85" s="24"/>
      <c r="C85" s="24"/>
      <c r="E85" s="24"/>
      <c r="F85" s="24"/>
      <c r="G85" s="24"/>
      <c r="H85" s="24"/>
      <c r="I85" s="108">
        <f>SUM(C83:I83)</f>
        <v>10939</v>
      </c>
      <c r="J85" s="108">
        <f>SUM(G83:J83)</f>
        <v>3205</v>
      </c>
      <c r="K85" s="24"/>
      <c r="L85" s="24"/>
      <c r="M85" s="24"/>
      <c r="N85" s="24"/>
      <c r="O85" s="24"/>
    </row>
    <row r="86" spans="1:17" x14ac:dyDescent="0.25">
      <c r="A86" s="24"/>
      <c r="B86" s="24"/>
      <c r="C86" s="24"/>
      <c r="D86" s="24"/>
      <c r="E86" s="24"/>
      <c r="F86" s="24"/>
      <c r="G86" s="24"/>
      <c r="H86" s="24"/>
      <c r="I86" s="24"/>
      <c r="J86" s="108">
        <f>SUM(G83:J83)</f>
        <v>3205</v>
      </c>
      <c r="K86" s="24"/>
      <c r="L86" s="24"/>
      <c r="M86" s="24"/>
      <c r="N86" s="108">
        <f>SUM(K83:N83)</f>
        <v>2133</v>
      </c>
      <c r="O86" s="24"/>
    </row>
    <row r="87" spans="1:17" x14ac:dyDescent="0.25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</row>
    <row r="88" spans="1:17" x14ac:dyDescent="0.25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</row>
    <row r="89" spans="1:17" x14ac:dyDescent="0.25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</row>
    <row r="90" spans="1:17" x14ac:dyDescent="0.25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</row>
    <row r="91" spans="1:17" x14ac:dyDescent="0.25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</row>
    <row r="92" spans="1:17" x14ac:dyDescent="0.25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</row>
    <row r="93" spans="1:17" x14ac:dyDescent="0.25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</row>
    <row r="94" spans="1:17" x14ac:dyDescent="0.25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</row>
    <row r="95" spans="1:17" x14ac:dyDescent="0.2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</row>
    <row r="96" spans="1:17" x14ac:dyDescent="0.25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</row>
    <row r="97" spans="1:15" x14ac:dyDescent="0.25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</row>
    <row r="98" spans="1:15" x14ac:dyDescent="0.25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</row>
    <row r="99" spans="1:15" x14ac:dyDescent="0.25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</row>
    <row r="100" spans="1:15" x14ac:dyDescent="0.25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</row>
    <row r="101" spans="1:15" ht="18.75" x14ac:dyDescent="0.3">
      <c r="A101" s="424" t="s">
        <v>30</v>
      </c>
      <c r="B101" s="424"/>
      <c r="C101" s="424"/>
      <c r="D101" s="424"/>
      <c r="E101" s="424"/>
      <c r="F101" s="424"/>
      <c r="G101" s="424"/>
      <c r="H101" s="424"/>
      <c r="I101" s="424"/>
      <c r="J101" s="424"/>
      <c r="K101" s="424"/>
      <c r="L101" s="424"/>
      <c r="M101" s="424"/>
      <c r="N101" s="424"/>
      <c r="O101" s="424"/>
    </row>
    <row r="102" spans="1:15" ht="18.75" x14ac:dyDescent="0.3">
      <c r="A102" s="424" t="s">
        <v>75</v>
      </c>
      <c r="B102" s="424"/>
      <c r="C102" s="424"/>
      <c r="D102" s="424"/>
      <c r="E102" s="424"/>
      <c r="F102" s="424"/>
      <c r="G102" s="424"/>
      <c r="H102" s="424"/>
      <c r="I102" s="424"/>
      <c r="J102" s="424"/>
      <c r="K102" s="424"/>
      <c r="L102" s="424"/>
      <c r="M102" s="424"/>
      <c r="N102" s="424"/>
      <c r="O102" s="424"/>
    </row>
    <row r="103" spans="1:15" ht="18.75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3" t="s">
        <v>31</v>
      </c>
    </row>
    <row r="105" spans="1:15" x14ac:dyDescent="0.25">
      <c r="A105" s="425" t="s">
        <v>2</v>
      </c>
      <c r="B105" s="425" t="s">
        <v>3</v>
      </c>
      <c r="C105" s="427" t="s">
        <v>4</v>
      </c>
      <c r="D105" s="427"/>
      <c r="E105" s="427"/>
      <c r="F105" s="427"/>
      <c r="G105" s="427"/>
      <c r="H105" s="427"/>
      <c r="I105" s="427"/>
      <c r="J105" s="427"/>
      <c r="K105" s="427"/>
      <c r="L105" s="427"/>
      <c r="M105" s="427"/>
      <c r="N105" s="427"/>
      <c r="O105" s="425" t="s">
        <v>5</v>
      </c>
    </row>
    <row r="106" spans="1:15" x14ac:dyDescent="0.25">
      <c r="A106" s="426"/>
      <c r="B106" s="426"/>
      <c r="C106" s="25" t="s">
        <v>6</v>
      </c>
      <c r="D106" s="25" t="s">
        <v>7</v>
      </c>
      <c r="E106" s="25" t="s">
        <v>8</v>
      </c>
      <c r="F106" s="25" t="s">
        <v>9</v>
      </c>
      <c r="G106" s="25" t="s">
        <v>10</v>
      </c>
      <c r="H106" s="25" t="s">
        <v>11</v>
      </c>
      <c r="I106" s="25" t="s">
        <v>12</v>
      </c>
      <c r="J106" s="25" t="s">
        <v>13</v>
      </c>
      <c r="K106" s="25" t="s">
        <v>14</v>
      </c>
      <c r="L106" s="25" t="s">
        <v>15</v>
      </c>
      <c r="M106" s="25" t="s">
        <v>16</v>
      </c>
      <c r="N106" s="25" t="s">
        <v>17</v>
      </c>
      <c r="O106" s="428"/>
    </row>
    <row r="107" spans="1:15" ht="15.75" thickBot="1" x14ac:dyDescent="0.3">
      <c r="A107" s="26">
        <v>1</v>
      </c>
      <c r="B107" s="26">
        <v>2</v>
      </c>
      <c r="C107" s="26">
        <v>3</v>
      </c>
      <c r="D107" s="26">
        <v>4</v>
      </c>
      <c r="E107" s="26">
        <v>5</v>
      </c>
      <c r="F107" s="26">
        <v>6</v>
      </c>
      <c r="G107" s="26">
        <v>7</v>
      </c>
      <c r="H107" s="26">
        <v>8</v>
      </c>
      <c r="I107" s="26">
        <v>9</v>
      </c>
      <c r="J107" s="26">
        <v>10</v>
      </c>
      <c r="K107" s="26">
        <v>11</v>
      </c>
      <c r="L107" s="26">
        <v>12</v>
      </c>
      <c r="M107" s="26">
        <v>13</v>
      </c>
      <c r="N107" s="26">
        <v>14</v>
      </c>
      <c r="O107" s="26">
        <v>15</v>
      </c>
    </row>
    <row r="108" spans="1:15" ht="18.75" customHeight="1" thickTop="1" x14ac:dyDescent="0.25">
      <c r="A108" s="27">
        <v>1</v>
      </c>
      <c r="B108" s="7" t="s">
        <v>18</v>
      </c>
      <c r="C108" s="63">
        <v>0</v>
      </c>
      <c r="D108" s="64">
        <v>0</v>
      </c>
      <c r="E108" s="70">
        <v>0</v>
      </c>
      <c r="F108" s="32">
        <v>65.08</v>
      </c>
      <c r="G108" s="32">
        <v>0</v>
      </c>
      <c r="H108" s="32">
        <v>52.02</v>
      </c>
      <c r="I108" s="32">
        <v>0</v>
      </c>
      <c r="J108" s="32">
        <v>45.25</v>
      </c>
      <c r="K108" s="32">
        <v>58</v>
      </c>
      <c r="L108" s="65">
        <v>0</v>
      </c>
      <c r="M108" s="32">
        <v>45.02</v>
      </c>
      <c r="N108" s="28">
        <v>0</v>
      </c>
      <c r="O108" s="33">
        <f t="shared" ref="O108:O115" si="11">O75/O42*10</f>
        <v>62.918454935622314</v>
      </c>
    </row>
    <row r="109" spans="1:15" ht="18.75" customHeight="1" x14ac:dyDescent="0.25">
      <c r="A109" s="14">
        <v>2</v>
      </c>
      <c r="B109" s="12" t="s">
        <v>19</v>
      </c>
      <c r="C109" s="61">
        <v>0</v>
      </c>
      <c r="D109" s="34">
        <v>69.14</v>
      </c>
      <c r="E109" s="34">
        <v>81.67</v>
      </c>
      <c r="F109" s="34">
        <v>60.63</v>
      </c>
      <c r="G109" s="34">
        <v>89.44</v>
      </c>
      <c r="H109" s="34">
        <v>0</v>
      </c>
      <c r="I109" s="34">
        <v>92.16</v>
      </c>
      <c r="J109" s="34">
        <v>78.89</v>
      </c>
      <c r="K109" s="34">
        <v>84.5</v>
      </c>
      <c r="L109" s="66">
        <v>0</v>
      </c>
      <c r="M109" s="34">
        <v>0</v>
      </c>
      <c r="N109" s="34">
        <v>88.8</v>
      </c>
      <c r="O109" s="35">
        <f t="shared" si="11"/>
        <v>77.855297157622743</v>
      </c>
    </row>
    <row r="110" spans="1:15" ht="18.75" customHeight="1" x14ac:dyDescent="0.25">
      <c r="A110" s="14">
        <v>3</v>
      </c>
      <c r="B110" s="7" t="s">
        <v>20</v>
      </c>
      <c r="C110" s="61">
        <v>0</v>
      </c>
      <c r="D110" s="34">
        <v>0</v>
      </c>
      <c r="E110" s="34">
        <v>50.74</v>
      </c>
      <c r="F110" s="34">
        <v>60.81</v>
      </c>
      <c r="G110" s="34">
        <v>0</v>
      </c>
      <c r="H110" s="34">
        <v>0</v>
      </c>
      <c r="I110" s="34">
        <v>57</v>
      </c>
      <c r="J110" s="34">
        <v>26.5</v>
      </c>
      <c r="K110" s="34">
        <v>0</v>
      </c>
      <c r="L110" s="66">
        <v>0</v>
      </c>
      <c r="M110" s="34">
        <v>0</v>
      </c>
      <c r="N110" s="16">
        <v>0</v>
      </c>
      <c r="O110" s="35">
        <f t="shared" si="11"/>
        <v>54.126984126984127</v>
      </c>
    </row>
    <row r="111" spans="1:15" ht="18.75" customHeight="1" x14ac:dyDescent="0.25">
      <c r="A111" s="14">
        <v>4</v>
      </c>
      <c r="B111" s="15" t="s">
        <v>21</v>
      </c>
      <c r="C111" s="61">
        <v>0</v>
      </c>
      <c r="D111" s="34">
        <v>53.22</v>
      </c>
      <c r="E111" s="34">
        <v>57.15</v>
      </c>
      <c r="F111" s="34">
        <v>65.010000000000005</v>
      </c>
      <c r="G111" s="36">
        <v>0</v>
      </c>
      <c r="H111" s="34">
        <v>0</v>
      </c>
      <c r="I111" s="34">
        <v>0</v>
      </c>
      <c r="J111" s="34">
        <v>52.36</v>
      </c>
      <c r="K111" s="34">
        <v>49.86</v>
      </c>
      <c r="L111" s="66">
        <v>0</v>
      </c>
      <c r="M111" s="34">
        <v>52.44</v>
      </c>
      <c r="N111" s="34">
        <v>0</v>
      </c>
      <c r="O111" s="35">
        <f t="shared" si="11"/>
        <v>57.25</v>
      </c>
    </row>
    <row r="112" spans="1:15" ht="18.75" customHeight="1" x14ac:dyDescent="0.25">
      <c r="A112" s="14">
        <v>5</v>
      </c>
      <c r="B112" s="19" t="s">
        <v>22</v>
      </c>
      <c r="C112" s="61">
        <v>0</v>
      </c>
      <c r="D112" s="34">
        <v>0</v>
      </c>
      <c r="E112" s="34">
        <v>57.6</v>
      </c>
      <c r="F112" s="34">
        <v>62.5</v>
      </c>
      <c r="G112" s="34">
        <v>0</v>
      </c>
      <c r="H112" s="34">
        <v>0</v>
      </c>
      <c r="I112" s="34">
        <v>0</v>
      </c>
      <c r="J112" s="34">
        <v>58.72</v>
      </c>
      <c r="K112" s="34">
        <v>58.95</v>
      </c>
      <c r="L112" s="34">
        <v>0</v>
      </c>
      <c r="M112" s="34">
        <v>0</v>
      </c>
      <c r="N112" s="16">
        <v>0</v>
      </c>
      <c r="O112" s="35">
        <f t="shared" si="11"/>
        <v>59.592592592592595</v>
      </c>
    </row>
    <row r="113" spans="1:15" ht="18.75" customHeight="1" x14ac:dyDescent="0.25">
      <c r="A113" s="14">
        <v>6</v>
      </c>
      <c r="B113" s="19" t="s">
        <v>23</v>
      </c>
      <c r="C113" s="61">
        <v>0</v>
      </c>
      <c r="D113" s="34">
        <v>0</v>
      </c>
      <c r="E113" s="34">
        <v>73.959999999999994</v>
      </c>
      <c r="F113" s="34">
        <v>0</v>
      </c>
      <c r="G113" s="34">
        <v>0</v>
      </c>
      <c r="H113" s="34">
        <v>70.45</v>
      </c>
      <c r="I113" s="34">
        <v>0</v>
      </c>
      <c r="J113" s="34">
        <v>70.25</v>
      </c>
      <c r="K113" s="34">
        <v>67.12</v>
      </c>
      <c r="L113" s="34">
        <v>0</v>
      </c>
      <c r="M113" s="34">
        <v>75</v>
      </c>
      <c r="N113" s="16">
        <v>0</v>
      </c>
      <c r="O113" s="35">
        <f t="shared" si="11"/>
        <v>72.098765432098759</v>
      </c>
    </row>
    <row r="114" spans="1:15" ht="18.75" customHeight="1" x14ac:dyDescent="0.25">
      <c r="A114" s="14">
        <v>7</v>
      </c>
      <c r="B114" s="19" t="s">
        <v>24</v>
      </c>
      <c r="C114" s="66">
        <v>52.5</v>
      </c>
      <c r="D114" s="34">
        <v>58.48</v>
      </c>
      <c r="E114" s="34">
        <v>52.05</v>
      </c>
      <c r="F114" s="34">
        <v>61.75</v>
      </c>
      <c r="G114" s="34">
        <v>56.15</v>
      </c>
      <c r="H114" s="34">
        <v>0</v>
      </c>
      <c r="I114" s="34">
        <v>45.11</v>
      </c>
      <c r="J114" s="34">
        <v>68.8</v>
      </c>
      <c r="K114" s="34">
        <v>60.89</v>
      </c>
      <c r="L114" s="34">
        <v>53.32</v>
      </c>
      <c r="M114" s="34">
        <v>0</v>
      </c>
      <c r="N114" s="34">
        <v>0</v>
      </c>
      <c r="O114" s="35">
        <f t="shared" si="11"/>
        <v>58.668941979522188</v>
      </c>
    </row>
    <row r="115" spans="1:15" ht="18.75" customHeight="1" thickBot="1" x14ac:dyDescent="0.3">
      <c r="A115" s="20">
        <v>8</v>
      </c>
      <c r="B115" s="15" t="s">
        <v>25</v>
      </c>
      <c r="C115" s="62">
        <v>0</v>
      </c>
      <c r="D115" s="36">
        <v>58.05</v>
      </c>
      <c r="E115" s="36">
        <v>77.2</v>
      </c>
      <c r="F115" s="36">
        <v>65.2</v>
      </c>
      <c r="G115" s="36">
        <v>0</v>
      </c>
      <c r="H115" s="36">
        <v>68.8</v>
      </c>
      <c r="I115" s="34">
        <v>61.92</v>
      </c>
      <c r="J115" s="36">
        <v>55.15</v>
      </c>
      <c r="K115" s="36">
        <v>60</v>
      </c>
      <c r="L115" s="36">
        <v>0</v>
      </c>
      <c r="M115" s="36">
        <v>0</v>
      </c>
      <c r="N115" s="17">
        <v>0</v>
      </c>
      <c r="O115" s="37">
        <f t="shared" si="11"/>
        <v>67.33905579399142</v>
      </c>
    </row>
    <row r="116" spans="1:15" ht="18.75" customHeight="1" thickTop="1" x14ac:dyDescent="0.25">
      <c r="A116" s="429" t="s">
        <v>26</v>
      </c>
      <c r="B116" s="430"/>
      <c r="C116" s="38">
        <v>52.5</v>
      </c>
      <c r="D116" s="38">
        <f>D83/D50*10</f>
        <v>62.542372881355931</v>
      </c>
      <c r="E116" s="38">
        <f>E83/E50*10</f>
        <v>66.930693069306926</v>
      </c>
      <c r="F116" s="38">
        <f t="shared" ref="F116:O116" si="12">F83/F50*10</f>
        <v>63.020304568527919</v>
      </c>
      <c r="G116" s="38">
        <f>G83/G50*10</f>
        <v>82.654867256637175</v>
      </c>
      <c r="H116" s="38">
        <f t="shared" si="12"/>
        <v>65.833333333333329</v>
      </c>
      <c r="I116" s="38">
        <f t="shared" si="12"/>
        <v>67.088607594936718</v>
      </c>
      <c r="J116" s="38">
        <f t="shared" si="12"/>
        <v>60.436363636363637</v>
      </c>
      <c r="K116" s="38">
        <f t="shared" si="12"/>
        <v>61.934156378600818</v>
      </c>
      <c r="L116" s="38">
        <v>53.32</v>
      </c>
      <c r="M116" s="38">
        <f t="shared" si="12"/>
        <v>67</v>
      </c>
      <c r="N116" s="38">
        <f>SUM(N108:N115)</f>
        <v>88.8</v>
      </c>
      <c r="O116" s="38">
        <f t="shared" si="12"/>
        <v>64.453193350831143</v>
      </c>
    </row>
    <row r="117" spans="1:15" x14ac:dyDescent="0.25">
      <c r="A117" s="23"/>
      <c r="B117" s="23"/>
      <c r="C117" s="23"/>
      <c r="D117" s="23"/>
      <c r="E117" s="23"/>
      <c r="F117" s="23"/>
      <c r="G117" s="23"/>
      <c r="H117" s="39"/>
      <c r="I117" s="23"/>
      <c r="J117" s="23"/>
      <c r="K117" s="23"/>
      <c r="L117" s="23"/>
      <c r="M117" s="23"/>
      <c r="N117" s="23"/>
      <c r="O117" s="23"/>
    </row>
    <row r="118" spans="1:15" x14ac:dyDescent="0.25">
      <c r="F118" s="73"/>
      <c r="J118" s="73"/>
      <c r="N118" s="73"/>
    </row>
    <row r="119" spans="1:15" x14ac:dyDescent="0.25">
      <c r="M119" s="41" t="s">
        <v>206</v>
      </c>
    </row>
    <row r="120" spans="1:15" x14ac:dyDescent="0.25">
      <c r="M120" s="41" t="s">
        <v>188</v>
      </c>
    </row>
    <row r="121" spans="1:15" x14ac:dyDescent="0.25">
      <c r="M121" s="41" t="s">
        <v>185</v>
      </c>
    </row>
    <row r="122" spans="1:15" x14ac:dyDescent="0.25">
      <c r="M122" s="41"/>
    </row>
    <row r="123" spans="1:15" x14ac:dyDescent="0.25">
      <c r="M123" s="41"/>
    </row>
    <row r="124" spans="1:15" x14ac:dyDescent="0.25">
      <c r="M124" s="41"/>
    </row>
    <row r="125" spans="1:15" x14ac:dyDescent="0.25">
      <c r="M125" s="423" t="s">
        <v>186</v>
      </c>
    </row>
    <row r="126" spans="1:15" x14ac:dyDescent="0.25">
      <c r="M126" s="41" t="s">
        <v>187</v>
      </c>
    </row>
  </sheetData>
  <mergeCells count="28">
    <mergeCell ref="A116:B116"/>
    <mergeCell ref="A83:B83"/>
    <mergeCell ref="A101:O101"/>
    <mergeCell ref="A102:O102"/>
    <mergeCell ref="A105:A106"/>
    <mergeCell ref="B105:B106"/>
    <mergeCell ref="C105:N105"/>
    <mergeCell ref="O105:O106"/>
    <mergeCell ref="A50:B50"/>
    <mergeCell ref="A68:O68"/>
    <mergeCell ref="A69:O69"/>
    <mergeCell ref="A72:A73"/>
    <mergeCell ref="B72:B73"/>
    <mergeCell ref="C72:N72"/>
    <mergeCell ref="O72:O73"/>
    <mergeCell ref="A17:B17"/>
    <mergeCell ref="A35:O35"/>
    <mergeCell ref="A36:O36"/>
    <mergeCell ref="A39:A40"/>
    <mergeCell ref="B39:B40"/>
    <mergeCell ref="C39:N39"/>
    <mergeCell ref="O39:O40"/>
    <mergeCell ref="A2:O2"/>
    <mergeCell ref="A3:O3"/>
    <mergeCell ref="A6:A7"/>
    <mergeCell ref="B6:B7"/>
    <mergeCell ref="C6:N6"/>
    <mergeCell ref="O6:O7"/>
  </mergeCells>
  <pageMargins left="1.5748031496062993" right="0.39370078740157483" top="0.94488188976377963" bottom="0.74803149606299213" header="0.31496062992125984" footer="0.31496062992125984"/>
  <pageSetup paperSize="9" scale="90" orientation="landscape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"/>
  <sheetViews>
    <sheetView topLeftCell="A11" zoomScale="90" zoomScaleNormal="90" workbookViewId="0">
      <selection activeCell="A17" sqref="A17:O31"/>
    </sheetView>
  </sheetViews>
  <sheetFormatPr defaultRowHeight="15" x14ac:dyDescent="0.25"/>
  <cols>
    <col min="1" max="1" width="4" customWidth="1"/>
    <col min="2" max="2" width="17.42578125" customWidth="1"/>
    <col min="3" max="15" width="8.5703125" customWidth="1"/>
  </cols>
  <sheetData>
    <row r="1" spans="1:15" ht="18.75" x14ac:dyDescent="0.3">
      <c r="A1" s="424" t="s">
        <v>32</v>
      </c>
      <c r="B1" s="424"/>
      <c r="C1" s="424"/>
      <c r="D1" s="424"/>
      <c r="E1" s="424"/>
      <c r="F1" s="424"/>
      <c r="G1" s="424"/>
      <c r="H1" s="424"/>
      <c r="I1" s="424"/>
      <c r="J1" s="424"/>
      <c r="K1" s="424"/>
      <c r="L1" s="424"/>
      <c r="M1" s="424"/>
      <c r="N1" s="424"/>
      <c r="O1" s="424"/>
    </row>
    <row r="2" spans="1:15" ht="18.75" x14ac:dyDescent="0.3">
      <c r="A2" s="424" t="s">
        <v>75</v>
      </c>
      <c r="B2" s="424"/>
      <c r="C2" s="424"/>
      <c r="D2" s="424"/>
      <c r="E2" s="424"/>
      <c r="F2" s="424"/>
      <c r="G2" s="424"/>
      <c r="H2" s="424"/>
      <c r="I2" s="424"/>
      <c r="J2" s="424"/>
      <c r="K2" s="424"/>
      <c r="L2" s="424"/>
      <c r="M2" s="424"/>
      <c r="N2" s="424"/>
      <c r="O2" s="424"/>
    </row>
    <row r="3" spans="1:15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3" t="s">
        <v>1</v>
      </c>
    </row>
    <row r="4" spans="1:15" x14ac:dyDescent="0.25">
      <c r="A4" s="425" t="s">
        <v>2</v>
      </c>
      <c r="B4" s="425" t="s">
        <v>3</v>
      </c>
      <c r="C4" s="427" t="s">
        <v>4</v>
      </c>
      <c r="D4" s="427"/>
      <c r="E4" s="427"/>
      <c r="F4" s="427"/>
      <c r="G4" s="427"/>
      <c r="H4" s="427"/>
      <c r="I4" s="427"/>
      <c r="J4" s="427"/>
      <c r="K4" s="427"/>
      <c r="L4" s="427"/>
      <c r="M4" s="427"/>
      <c r="N4" s="427"/>
      <c r="O4" s="425" t="s">
        <v>5</v>
      </c>
    </row>
    <row r="5" spans="1:15" x14ac:dyDescent="0.25">
      <c r="A5" s="426"/>
      <c r="B5" s="426"/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  <c r="K5" s="4" t="s">
        <v>14</v>
      </c>
      <c r="L5" s="4" t="s">
        <v>15</v>
      </c>
      <c r="M5" s="4" t="s">
        <v>16</v>
      </c>
      <c r="N5" s="4" t="s">
        <v>17</v>
      </c>
      <c r="O5" s="428"/>
    </row>
    <row r="6" spans="1:15" ht="15.75" thickBot="1" x14ac:dyDescent="0.3">
      <c r="A6" s="5">
        <v>1</v>
      </c>
      <c r="B6" s="5">
        <v>2</v>
      </c>
      <c r="C6" s="5">
        <v>3</v>
      </c>
      <c r="D6" s="5">
        <v>4</v>
      </c>
      <c r="E6" s="5">
        <v>5</v>
      </c>
      <c r="F6" s="5">
        <v>6</v>
      </c>
      <c r="G6" s="5">
        <v>7</v>
      </c>
      <c r="H6" s="5">
        <v>8</v>
      </c>
      <c r="I6" s="5">
        <v>9</v>
      </c>
      <c r="J6" s="5">
        <v>10</v>
      </c>
      <c r="K6" s="5">
        <v>11</v>
      </c>
      <c r="L6" s="5">
        <v>12</v>
      </c>
      <c r="M6" s="5">
        <v>13</v>
      </c>
      <c r="N6" s="5">
        <v>14</v>
      </c>
      <c r="O6" s="5">
        <v>15</v>
      </c>
    </row>
    <row r="7" spans="1:15" ht="18.75" customHeight="1" thickTop="1" x14ac:dyDescent="0.25">
      <c r="A7" s="6">
        <v>1</v>
      </c>
      <c r="B7" s="7" t="s">
        <v>18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f>SUM(C7:N7)</f>
        <v>0</v>
      </c>
    </row>
    <row r="8" spans="1:15" ht="18.75" customHeight="1" x14ac:dyDescent="0.25">
      <c r="A8" s="11">
        <v>2</v>
      </c>
      <c r="B8" s="12" t="s">
        <v>19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2</v>
      </c>
      <c r="K8" s="8">
        <v>0</v>
      </c>
      <c r="L8" s="8">
        <v>0</v>
      </c>
      <c r="M8" s="8">
        <v>0</v>
      </c>
      <c r="N8" s="8">
        <v>0</v>
      </c>
      <c r="O8" s="8">
        <f t="shared" ref="O8:O14" si="0">SUM(C8:N8)</f>
        <v>2</v>
      </c>
    </row>
    <row r="9" spans="1:15" ht="18.75" customHeight="1" x14ac:dyDescent="0.25">
      <c r="A9" s="11">
        <v>3</v>
      </c>
      <c r="B9" s="7" t="s">
        <v>20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f t="shared" si="0"/>
        <v>0</v>
      </c>
    </row>
    <row r="10" spans="1:15" ht="18.75" customHeight="1" x14ac:dyDescent="0.25">
      <c r="A10" s="14">
        <v>4</v>
      </c>
      <c r="B10" s="15" t="s">
        <v>21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6">
        <f t="shared" si="0"/>
        <v>0</v>
      </c>
    </row>
    <row r="11" spans="1:15" ht="18.75" customHeight="1" x14ac:dyDescent="0.25">
      <c r="A11" s="14">
        <v>5</v>
      </c>
      <c r="B11" s="19" t="s">
        <v>22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f t="shared" si="0"/>
        <v>0</v>
      </c>
    </row>
    <row r="12" spans="1:15" ht="18.75" customHeight="1" x14ac:dyDescent="0.25">
      <c r="A12" s="14">
        <v>6</v>
      </c>
      <c r="B12" s="19" t="s">
        <v>23</v>
      </c>
      <c r="C12" s="16">
        <v>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1</v>
      </c>
      <c r="K12" s="16">
        <v>0</v>
      </c>
      <c r="L12" s="16">
        <v>0</v>
      </c>
      <c r="M12" s="16">
        <v>0</v>
      </c>
      <c r="N12" s="16">
        <v>0</v>
      </c>
      <c r="O12" s="16">
        <f t="shared" si="0"/>
        <v>1</v>
      </c>
    </row>
    <row r="13" spans="1:15" ht="18.75" customHeight="1" x14ac:dyDescent="0.25">
      <c r="A13" s="14">
        <v>7</v>
      </c>
      <c r="B13" s="19" t="s">
        <v>24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f t="shared" si="0"/>
        <v>0</v>
      </c>
    </row>
    <row r="14" spans="1:15" ht="18.75" customHeight="1" thickBot="1" x14ac:dyDescent="0.3">
      <c r="A14" s="20">
        <v>8</v>
      </c>
      <c r="B14" s="15" t="s">
        <v>25</v>
      </c>
      <c r="C14" s="17">
        <v>0</v>
      </c>
      <c r="D14" s="17">
        <v>0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2</v>
      </c>
      <c r="K14" s="17">
        <v>0</v>
      </c>
      <c r="L14" s="17">
        <v>0</v>
      </c>
      <c r="M14" s="17">
        <v>0</v>
      </c>
      <c r="N14" s="17">
        <v>0</v>
      </c>
      <c r="O14" s="40">
        <f t="shared" si="0"/>
        <v>2</v>
      </c>
    </row>
    <row r="15" spans="1:15" ht="18.75" customHeight="1" thickTop="1" x14ac:dyDescent="0.25">
      <c r="A15" s="429" t="s">
        <v>26</v>
      </c>
      <c r="B15" s="430"/>
      <c r="C15" s="22">
        <f t="shared" ref="C15:O15" si="1">SUM(C7:C14)</f>
        <v>0</v>
      </c>
      <c r="D15" s="22">
        <f t="shared" si="1"/>
        <v>0</v>
      </c>
      <c r="E15" s="22">
        <f t="shared" si="1"/>
        <v>0</v>
      </c>
      <c r="F15" s="22">
        <f t="shared" si="1"/>
        <v>0</v>
      </c>
      <c r="G15" s="22">
        <f t="shared" si="1"/>
        <v>0</v>
      </c>
      <c r="H15" s="22">
        <f t="shared" si="1"/>
        <v>0</v>
      </c>
      <c r="I15" s="22">
        <f t="shared" si="1"/>
        <v>0</v>
      </c>
      <c r="J15" s="22">
        <f t="shared" si="1"/>
        <v>5</v>
      </c>
      <c r="K15" s="22">
        <f t="shared" si="1"/>
        <v>0</v>
      </c>
      <c r="L15" s="22">
        <f t="shared" si="1"/>
        <v>0</v>
      </c>
      <c r="M15" s="22">
        <f t="shared" si="1"/>
        <v>0</v>
      </c>
      <c r="N15" s="22">
        <f t="shared" si="1"/>
        <v>0</v>
      </c>
      <c r="O15" s="22">
        <f t="shared" si="1"/>
        <v>5</v>
      </c>
    </row>
    <row r="16" spans="1:15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</row>
    <row r="17" spans="1:15" ht="18.75" x14ac:dyDescent="0.3">
      <c r="A17" s="424" t="s">
        <v>74</v>
      </c>
      <c r="B17" s="424"/>
      <c r="C17" s="424"/>
      <c r="D17" s="424"/>
      <c r="E17" s="424"/>
      <c r="F17" s="424"/>
      <c r="G17" s="424"/>
      <c r="H17" s="424"/>
      <c r="I17" s="424"/>
      <c r="J17" s="424"/>
      <c r="K17" s="424"/>
      <c r="L17" s="424"/>
      <c r="M17" s="424"/>
      <c r="N17" s="424"/>
      <c r="O17" s="424"/>
    </row>
    <row r="18" spans="1:15" ht="18.75" x14ac:dyDescent="0.3">
      <c r="A18" s="424" t="s">
        <v>75</v>
      </c>
      <c r="B18" s="424"/>
      <c r="C18" s="424"/>
      <c r="D18" s="424"/>
      <c r="E18" s="424"/>
      <c r="F18" s="424"/>
      <c r="G18" s="424"/>
      <c r="H18" s="424"/>
      <c r="I18" s="424"/>
      <c r="J18" s="424"/>
      <c r="K18" s="424"/>
      <c r="L18" s="424"/>
      <c r="M18" s="424"/>
      <c r="N18" s="424"/>
      <c r="O18" s="424"/>
    </row>
    <row r="19" spans="1:15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3" t="s">
        <v>1</v>
      </c>
    </row>
    <row r="20" spans="1:15" x14ac:dyDescent="0.25">
      <c r="A20" s="425" t="s">
        <v>2</v>
      </c>
      <c r="B20" s="425" t="s">
        <v>3</v>
      </c>
      <c r="C20" s="427" t="s">
        <v>4</v>
      </c>
      <c r="D20" s="427"/>
      <c r="E20" s="427"/>
      <c r="F20" s="427"/>
      <c r="G20" s="427"/>
      <c r="H20" s="427"/>
      <c r="I20" s="427"/>
      <c r="J20" s="427"/>
      <c r="K20" s="427"/>
      <c r="L20" s="427"/>
      <c r="M20" s="427"/>
      <c r="N20" s="427"/>
      <c r="O20" s="425" t="s">
        <v>5</v>
      </c>
    </row>
    <row r="21" spans="1:15" x14ac:dyDescent="0.25">
      <c r="A21" s="426"/>
      <c r="B21" s="426"/>
      <c r="C21" s="106" t="s">
        <v>6</v>
      </c>
      <c r="D21" s="106" t="s">
        <v>7</v>
      </c>
      <c r="E21" s="106" t="s">
        <v>8</v>
      </c>
      <c r="F21" s="106" t="s">
        <v>9</v>
      </c>
      <c r="G21" s="106" t="s">
        <v>10</v>
      </c>
      <c r="H21" s="106" t="s">
        <v>11</v>
      </c>
      <c r="I21" s="106" t="s">
        <v>12</v>
      </c>
      <c r="J21" s="106" t="s">
        <v>13</v>
      </c>
      <c r="K21" s="106" t="s">
        <v>14</v>
      </c>
      <c r="L21" s="106" t="s">
        <v>15</v>
      </c>
      <c r="M21" s="106" t="s">
        <v>16</v>
      </c>
      <c r="N21" s="106" t="s">
        <v>17</v>
      </c>
      <c r="O21" s="428"/>
    </row>
    <row r="22" spans="1:15" ht="15.75" thickBot="1" x14ac:dyDescent="0.3">
      <c r="A22" s="5">
        <v>1</v>
      </c>
      <c r="B22" s="5">
        <v>2</v>
      </c>
      <c r="C22" s="5">
        <v>3</v>
      </c>
      <c r="D22" s="5">
        <v>4</v>
      </c>
      <c r="E22" s="5">
        <v>5</v>
      </c>
      <c r="F22" s="5">
        <v>6</v>
      </c>
      <c r="G22" s="5">
        <v>7</v>
      </c>
      <c r="H22" s="5">
        <v>8</v>
      </c>
      <c r="I22" s="5">
        <v>9</v>
      </c>
      <c r="J22" s="5">
        <v>10</v>
      </c>
      <c r="K22" s="5">
        <v>11</v>
      </c>
      <c r="L22" s="5">
        <v>12</v>
      </c>
      <c r="M22" s="5">
        <v>13</v>
      </c>
      <c r="N22" s="5">
        <v>14</v>
      </c>
      <c r="O22" s="5">
        <v>15</v>
      </c>
    </row>
    <row r="23" spans="1:15" ht="18.75" customHeight="1" thickTop="1" x14ac:dyDescent="0.25">
      <c r="A23" s="6">
        <v>1</v>
      </c>
      <c r="B23" s="7" t="s">
        <v>18</v>
      </c>
      <c r="C23" s="9">
        <v>2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f>SUM(C23:N23)</f>
        <v>2</v>
      </c>
    </row>
    <row r="24" spans="1:15" ht="18.75" customHeight="1" x14ac:dyDescent="0.25">
      <c r="A24" s="11">
        <v>2</v>
      </c>
      <c r="B24" s="12" t="s">
        <v>19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f t="shared" ref="O24:O30" si="2">SUM(C24:N24)</f>
        <v>0</v>
      </c>
    </row>
    <row r="25" spans="1:15" ht="18.75" customHeight="1" x14ac:dyDescent="0.25">
      <c r="A25" s="11">
        <v>3</v>
      </c>
      <c r="B25" s="7" t="s">
        <v>20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f t="shared" si="2"/>
        <v>0</v>
      </c>
    </row>
    <row r="26" spans="1:15" ht="18.75" customHeight="1" x14ac:dyDescent="0.25">
      <c r="A26" s="14">
        <v>4</v>
      </c>
      <c r="B26" s="15" t="s">
        <v>21</v>
      </c>
      <c r="C26" s="17">
        <v>0</v>
      </c>
      <c r="D26" s="17">
        <v>0</v>
      </c>
      <c r="E26" s="17">
        <v>0</v>
      </c>
      <c r="F26" s="17">
        <v>0</v>
      </c>
      <c r="G26" s="17">
        <v>0</v>
      </c>
      <c r="H26" s="17">
        <v>0</v>
      </c>
      <c r="I26" s="17">
        <v>0</v>
      </c>
      <c r="J26" s="17">
        <v>0</v>
      </c>
      <c r="K26" s="17">
        <v>0</v>
      </c>
      <c r="L26" s="17">
        <v>0</v>
      </c>
      <c r="M26" s="17">
        <v>0</v>
      </c>
      <c r="N26" s="17">
        <v>0</v>
      </c>
      <c r="O26" s="16">
        <f t="shared" si="2"/>
        <v>0</v>
      </c>
    </row>
    <row r="27" spans="1:15" ht="18.75" customHeight="1" x14ac:dyDescent="0.25">
      <c r="A27" s="14">
        <v>5</v>
      </c>
      <c r="B27" s="19" t="s">
        <v>22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f t="shared" si="2"/>
        <v>0</v>
      </c>
    </row>
    <row r="28" spans="1:15" ht="18.75" customHeight="1" x14ac:dyDescent="0.25">
      <c r="A28" s="14">
        <v>6</v>
      </c>
      <c r="B28" s="19" t="s">
        <v>23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f t="shared" si="2"/>
        <v>0</v>
      </c>
    </row>
    <row r="29" spans="1:15" ht="18.75" customHeight="1" x14ac:dyDescent="0.25">
      <c r="A29" s="14">
        <v>7</v>
      </c>
      <c r="B29" s="19" t="s">
        <v>24</v>
      </c>
      <c r="C29" s="16">
        <v>0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f t="shared" si="2"/>
        <v>0</v>
      </c>
    </row>
    <row r="30" spans="1:15" ht="18.75" customHeight="1" thickBot="1" x14ac:dyDescent="0.3">
      <c r="A30" s="20">
        <v>8</v>
      </c>
      <c r="B30" s="15" t="s">
        <v>25</v>
      </c>
      <c r="C30" s="17">
        <v>0</v>
      </c>
      <c r="D30" s="17">
        <v>0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40">
        <f t="shared" si="2"/>
        <v>0</v>
      </c>
    </row>
    <row r="31" spans="1:15" ht="18.75" customHeight="1" thickTop="1" x14ac:dyDescent="0.25">
      <c r="A31" s="429" t="s">
        <v>26</v>
      </c>
      <c r="B31" s="430"/>
      <c r="C31" s="22">
        <f t="shared" ref="C31:O31" si="3">SUM(C23:C30)</f>
        <v>2</v>
      </c>
      <c r="D31" s="22">
        <f t="shared" si="3"/>
        <v>0</v>
      </c>
      <c r="E31" s="22">
        <f t="shared" si="3"/>
        <v>0</v>
      </c>
      <c r="F31" s="22">
        <f t="shared" si="3"/>
        <v>0</v>
      </c>
      <c r="G31" s="22">
        <f t="shared" si="3"/>
        <v>0</v>
      </c>
      <c r="H31" s="22">
        <f t="shared" si="3"/>
        <v>0</v>
      </c>
      <c r="I31" s="22">
        <f t="shared" si="3"/>
        <v>0</v>
      </c>
      <c r="J31" s="22">
        <f t="shared" si="3"/>
        <v>0</v>
      </c>
      <c r="K31" s="22">
        <f t="shared" si="3"/>
        <v>0</v>
      </c>
      <c r="L31" s="22">
        <f t="shared" si="3"/>
        <v>0</v>
      </c>
      <c r="M31" s="22">
        <f t="shared" si="3"/>
        <v>0</v>
      </c>
      <c r="N31" s="22">
        <f t="shared" si="3"/>
        <v>0</v>
      </c>
      <c r="O31" s="22">
        <f t="shared" si="3"/>
        <v>2</v>
      </c>
    </row>
  </sheetData>
  <mergeCells count="14">
    <mergeCell ref="A31:B31"/>
    <mergeCell ref="A17:O17"/>
    <mergeCell ref="A18:O18"/>
    <mergeCell ref="A20:A21"/>
    <mergeCell ref="B20:B21"/>
    <mergeCell ref="C20:N20"/>
    <mergeCell ref="O20:O21"/>
    <mergeCell ref="A15:B15"/>
    <mergeCell ref="A1:O1"/>
    <mergeCell ref="A2:O2"/>
    <mergeCell ref="A4:A5"/>
    <mergeCell ref="B4:B5"/>
    <mergeCell ref="C4:N4"/>
    <mergeCell ref="O4:O5"/>
  </mergeCells>
  <pageMargins left="1.5748031496062993" right="0.70866141732283472" top="0.94488188976377963" bottom="0.55118110236220474" header="0.31496062992125984" footer="0.31496062992125984"/>
  <pageSetup paperSize="9" scale="90" orientation="landscape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126"/>
  <sheetViews>
    <sheetView zoomScale="90" zoomScaleNormal="90" workbookViewId="0">
      <selection activeCell="A2" sqref="A2:O2"/>
    </sheetView>
  </sheetViews>
  <sheetFormatPr defaultRowHeight="15" x14ac:dyDescent="0.25"/>
  <cols>
    <col min="1" max="1" width="4" customWidth="1"/>
    <col min="2" max="2" width="14.85546875" customWidth="1"/>
    <col min="3" max="15" width="8.5703125" customWidth="1"/>
  </cols>
  <sheetData>
    <row r="2" spans="1:15" ht="18.75" x14ac:dyDescent="0.3">
      <c r="A2" s="424" t="s">
        <v>33</v>
      </c>
      <c r="B2" s="424"/>
      <c r="C2" s="424"/>
      <c r="D2" s="424"/>
      <c r="E2" s="424"/>
      <c r="F2" s="424"/>
      <c r="G2" s="424"/>
      <c r="H2" s="424"/>
      <c r="I2" s="424"/>
      <c r="J2" s="424"/>
      <c r="K2" s="424"/>
      <c r="L2" s="424"/>
      <c r="M2" s="424"/>
      <c r="N2" s="424"/>
      <c r="O2" s="424"/>
    </row>
    <row r="3" spans="1:15" ht="18.75" x14ac:dyDescent="0.3">
      <c r="A3" s="424" t="s">
        <v>75</v>
      </c>
      <c r="B3" s="424"/>
      <c r="C3" s="424"/>
      <c r="D3" s="424"/>
      <c r="E3" s="424"/>
      <c r="F3" s="424"/>
      <c r="G3" s="424"/>
      <c r="H3" s="424"/>
      <c r="I3" s="424"/>
      <c r="J3" s="424"/>
      <c r="K3" s="424"/>
      <c r="L3" s="424"/>
      <c r="M3" s="424"/>
      <c r="N3" s="424"/>
      <c r="O3" s="424"/>
    </row>
    <row r="4" spans="1:15" ht="18.75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3" t="s">
        <v>1</v>
      </c>
    </row>
    <row r="6" spans="1:15" x14ac:dyDescent="0.25">
      <c r="A6" s="425" t="s">
        <v>2</v>
      </c>
      <c r="B6" s="425" t="s">
        <v>3</v>
      </c>
      <c r="C6" s="427" t="s">
        <v>4</v>
      </c>
      <c r="D6" s="427"/>
      <c r="E6" s="427"/>
      <c r="F6" s="427"/>
      <c r="G6" s="427"/>
      <c r="H6" s="427"/>
      <c r="I6" s="427"/>
      <c r="J6" s="427"/>
      <c r="K6" s="427"/>
      <c r="L6" s="427"/>
      <c r="M6" s="427"/>
      <c r="N6" s="427"/>
      <c r="O6" s="425" t="s">
        <v>5</v>
      </c>
    </row>
    <row r="7" spans="1:15" x14ac:dyDescent="0.25">
      <c r="A7" s="426"/>
      <c r="B7" s="426"/>
      <c r="C7" s="25" t="s">
        <v>6</v>
      </c>
      <c r="D7" s="25" t="s">
        <v>7</v>
      </c>
      <c r="E7" s="25" t="s">
        <v>8</v>
      </c>
      <c r="F7" s="25" t="s">
        <v>9</v>
      </c>
      <c r="G7" s="25" t="s">
        <v>10</v>
      </c>
      <c r="H7" s="25" t="s">
        <v>11</v>
      </c>
      <c r="I7" s="25" t="s">
        <v>12</v>
      </c>
      <c r="J7" s="25" t="s">
        <v>13</v>
      </c>
      <c r="K7" s="25" t="s">
        <v>14</v>
      </c>
      <c r="L7" s="25" t="s">
        <v>15</v>
      </c>
      <c r="M7" s="25" t="s">
        <v>16</v>
      </c>
      <c r="N7" s="25" t="s">
        <v>17</v>
      </c>
      <c r="O7" s="428"/>
    </row>
    <row r="8" spans="1:15" ht="15.75" thickBot="1" x14ac:dyDescent="0.3">
      <c r="A8" s="26">
        <v>1</v>
      </c>
      <c r="B8" s="26">
        <v>2</v>
      </c>
      <c r="C8" s="26">
        <v>3</v>
      </c>
      <c r="D8" s="26">
        <v>4</v>
      </c>
      <c r="E8" s="26">
        <v>5</v>
      </c>
      <c r="F8" s="26">
        <v>6</v>
      </c>
      <c r="G8" s="26">
        <v>7</v>
      </c>
      <c r="H8" s="26">
        <v>8</v>
      </c>
      <c r="I8" s="26">
        <v>9</v>
      </c>
      <c r="J8" s="26">
        <v>10</v>
      </c>
      <c r="K8" s="26">
        <v>11</v>
      </c>
      <c r="L8" s="26">
        <v>12</v>
      </c>
      <c r="M8" s="26">
        <v>13</v>
      </c>
      <c r="N8" s="26">
        <v>14</v>
      </c>
      <c r="O8" s="26">
        <v>15</v>
      </c>
    </row>
    <row r="9" spans="1:15" ht="18.75" customHeight="1" thickTop="1" x14ac:dyDescent="0.25">
      <c r="A9" s="27">
        <v>1</v>
      </c>
      <c r="B9" s="7" t="s">
        <v>18</v>
      </c>
      <c r="C9" s="28">
        <v>0</v>
      </c>
      <c r="D9" s="28">
        <v>0</v>
      </c>
      <c r="E9" s="28">
        <v>0</v>
      </c>
      <c r="F9" s="28">
        <v>0</v>
      </c>
      <c r="G9" s="28">
        <v>0</v>
      </c>
      <c r="H9" s="28">
        <v>0</v>
      </c>
      <c r="I9" s="28">
        <v>0</v>
      </c>
      <c r="J9" s="28">
        <v>0</v>
      </c>
      <c r="K9" s="28">
        <v>0</v>
      </c>
      <c r="L9" s="28">
        <v>0</v>
      </c>
      <c r="M9" s="28">
        <v>0</v>
      </c>
      <c r="N9" s="28">
        <v>0</v>
      </c>
      <c r="O9" s="42">
        <f>SUM(C9:N9)</f>
        <v>0</v>
      </c>
    </row>
    <row r="10" spans="1:15" ht="18.75" customHeight="1" x14ac:dyDescent="0.25">
      <c r="A10" s="14">
        <v>2</v>
      </c>
      <c r="B10" s="12" t="s">
        <v>19</v>
      </c>
      <c r="C10" s="16">
        <v>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8">
        <f t="shared" ref="O10:O16" si="0">SUM(C10:N10)</f>
        <v>0</v>
      </c>
    </row>
    <row r="11" spans="1:15" ht="18.75" customHeight="1" x14ac:dyDescent="0.25">
      <c r="A11" s="14">
        <v>3</v>
      </c>
      <c r="B11" s="7" t="s">
        <v>20</v>
      </c>
      <c r="C11" s="16">
        <v>10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5</v>
      </c>
      <c r="O11" s="18">
        <f t="shared" si="0"/>
        <v>15</v>
      </c>
    </row>
    <row r="12" spans="1:15" ht="18.75" customHeight="1" x14ac:dyDescent="0.25">
      <c r="A12" s="14">
        <v>4</v>
      </c>
      <c r="B12" s="15" t="s">
        <v>21</v>
      </c>
      <c r="C12" s="16">
        <v>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8">
        <f t="shared" si="0"/>
        <v>0</v>
      </c>
    </row>
    <row r="13" spans="1:15" ht="18.75" customHeight="1" x14ac:dyDescent="0.25">
      <c r="A13" s="14">
        <v>5</v>
      </c>
      <c r="B13" s="19" t="s">
        <v>22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8">
        <f t="shared" si="0"/>
        <v>0</v>
      </c>
    </row>
    <row r="14" spans="1:15" ht="18.75" customHeight="1" x14ac:dyDescent="0.25">
      <c r="A14" s="14">
        <v>6</v>
      </c>
      <c r="B14" s="19" t="s">
        <v>23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8">
        <f t="shared" si="0"/>
        <v>0</v>
      </c>
    </row>
    <row r="15" spans="1:15" ht="18.75" customHeight="1" x14ac:dyDescent="0.25">
      <c r="A15" s="14">
        <v>7</v>
      </c>
      <c r="B15" s="19" t="s">
        <v>24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8">
        <f t="shared" si="0"/>
        <v>0</v>
      </c>
    </row>
    <row r="16" spans="1:15" ht="18.75" customHeight="1" thickBot="1" x14ac:dyDescent="0.3">
      <c r="A16" s="20">
        <v>8</v>
      </c>
      <c r="B16" s="15" t="s">
        <v>25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43">
        <f t="shared" si="0"/>
        <v>0</v>
      </c>
    </row>
    <row r="17" spans="1:15" ht="18.75" customHeight="1" thickTop="1" x14ac:dyDescent="0.25">
      <c r="A17" s="429" t="s">
        <v>26</v>
      </c>
      <c r="B17" s="430"/>
      <c r="C17" s="22">
        <f t="shared" ref="C17:O17" si="1">SUM(C9:C16)</f>
        <v>10</v>
      </c>
      <c r="D17" s="22">
        <f t="shared" si="1"/>
        <v>0</v>
      </c>
      <c r="E17" s="22">
        <f t="shared" si="1"/>
        <v>0</v>
      </c>
      <c r="F17" s="22">
        <f t="shared" si="1"/>
        <v>0</v>
      </c>
      <c r="G17" s="22">
        <f t="shared" si="1"/>
        <v>0</v>
      </c>
      <c r="H17" s="22">
        <f t="shared" si="1"/>
        <v>0</v>
      </c>
      <c r="I17" s="22">
        <f t="shared" si="1"/>
        <v>0</v>
      </c>
      <c r="J17" s="22">
        <f t="shared" si="1"/>
        <v>0</v>
      </c>
      <c r="K17" s="22">
        <f t="shared" si="1"/>
        <v>0</v>
      </c>
      <c r="L17" s="22">
        <f t="shared" si="1"/>
        <v>0</v>
      </c>
      <c r="M17" s="22">
        <f t="shared" si="1"/>
        <v>0</v>
      </c>
      <c r="N17" s="22">
        <f t="shared" si="1"/>
        <v>5</v>
      </c>
      <c r="O17" s="22">
        <f t="shared" si="1"/>
        <v>15</v>
      </c>
    </row>
    <row r="18" spans="1:15" x14ac:dyDescent="0.2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</row>
    <row r="19" spans="1:15" x14ac:dyDescent="0.25">
      <c r="A19" s="41"/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</row>
    <row r="20" spans="1:15" x14ac:dyDescent="0.25">
      <c r="A20" s="41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</row>
    <row r="21" spans="1:15" x14ac:dyDescent="0.25">
      <c r="A21" s="41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</row>
    <row r="22" spans="1:15" x14ac:dyDescent="0.25">
      <c r="A22" s="41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</row>
    <row r="23" spans="1:15" x14ac:dyDescent="0.25">
      <c r="A23" s="41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</row>
    <row r="24" spans="1:15" x14ac:dyDescent="0.25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</row>
    <row r="25" spans="1:15" x14ac:dyDescent="0.25">
      <c r="A25" s="41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</row>
    <row r="26" spans="1:15" x14ac:dyDescent="0.25">
      <c r="A26" s="41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</row>
    <row r="27" spans="1:15" x14ac:dyDescent="0.25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</row>
    <row r="28" spans="1:15" x14ac:dyDescent="0.25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</row>
    <row r="29" spans="1:15" x14ac:dyDescent="0.25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</row>
    <row r="30" spans="1:15" x14ac:dyDescent="0.25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</row>
    <row r="31" spans="1:15" x14ac:dyDescent="0.25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</row>
    <row r="32" spans="1:15" x14ac:dyDescent="0.25">
      <c r="A32" s="41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</row>
    <row r="33" spans="1:15" x14ac:dyDescent="0.25">
      <c r="A33" s="41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</row>
    <row r="34" spans="1:15" x14ac:dyDescent="0.25">
      <c r="A34" s="41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</row>
    <row r="35" spans="1:15" ht="18.75" x14ac:dyDescent="0.3">
      <c r="A35" s="424" t="s">
        <v>34</v>
      </c>
      <c r="B35" s="424"/>
      <c r="C35" s="424"/>
      <c r="D35" s="424"/>
      <c r="E35" s="424"/>
      <c r="F35" s="424"/>
      <c r="G35" s="424"/>
      <c r="H35" s="424"/>
      <c r="I35" s="424"/>
      <c r="J35" s="424"/>
      <c r="K35" s="424"/>
      <c r="L35" s="424"/>
      <c r="M35" s="424"/>
      <c r="N35" s="424"/>
      <c r="O35" s="424"/>
    </row>
    <row r="36" spans="1:15" ht="18.75" x14ac:dyDescent="0.3">
      <c r="A36" s="424" t="s">
        <v>75</v>
      </c>
      <c r="B36" s="424"/>
      <c r="C36" s="424"/>
      <c r="D36" s="424"/>
      <c r="E36" s="424"/>
      <c r="F36" s="424"/>
      <c r="G36" s="424"/>
      <c r="H36" s="424"/>
      <c r="I36" s="424"/>
      <c r="J36" s="424"/>
      <c r="K36" s="424"/>
      <c r="L36" s="424"/>
      <c r="M36" s="424"/>
      <c r="N36" s="424"/>
      <c r="O36" s="424"/>
    </row>
    <row r="37" spans="1:15" ht="18.75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3" t="s">
        <v>1</v>
      </c>
    </row>
    <row r="39" spans="1:15" x14ac:dyDescent="0.25">
      <c r="A39" s="425" t="s">
        <v>2</v>
      </c>
      <c r="B39" s="425" t="s">
        <v>3</v>
      </c>
      <c r="C39" s="427" t="s">
        <v>4</v>
      </c>
      <c r="D39" s="427"/>
      <c r="E39" s="427"/>
      <c r="F39" s="427"/>
      <c r="G39" s="427"/>
      <c r="H39" s="427"/>
      <c r="I39" s="427"/>
      <c r="J39" s="427"/>
      <c r="K39" s="427"/>
      <c r="L39" s="427"/>
      <c r="M39" s="427"/>
      <c r="N39" s="427"/>
      <c r="O39" s="425" t="s">
        <v>5</v>
      </c>
    </row>
    <row r="40" spans="1:15" x14ac:dyDescent="0.25">
      <c r="A40" s="426"/>
      <c r="B40" s="426"/>
      <c r="C40" s="25" t="s">
        <v>6</v>
      </c>
      <c r="D40" s="25" t="s">
        <v>7</v>
      </c>
      <c r="E40" s="25" t="s">
        <v>8</v>
      </c>
      <c r="F40" s="25" t="s">
        <v>9</v>
      </c>
      <c r="G40" s="25" t="s">
        <v>10</v>
      </c>
      <c r="H40" s="25" t="s">
        <v>11</v>
      </c>
      <c r="I40" s="25" t="s">
        <v>12</v>
      </c>
      <c r="J40" s="25" t="s">
        <v>13</v>
      </c>
      <c r="K40" s="25" t="s">
        <v>14</v>
      </c>
      <c r="L40" s="25" t="s">
        <v>15</v>
      </c>
      <c r="M40" s="25" t="s">
        <v>16</v>
      </c>
      <c r="N40" s="25" t="s">
        <v>17</v>
      </c>
      <c r="O40" s="428"/>
    </row>
    <row r="41" spans="1:15" ht="15.75" thickBot="1" x14ac:dyDescent="0.3">
      <c r="A41" s="26">
        <v>1</v>
      </c>
      <c r="B41" s="26">
        <v>2</v>
      </c>
      <c r="C41" s="26">
        <v>3</v>
      </c>
      <c r="D41" s="26">
        <v>4</v>
      </c>
      <c r="E41" s="26">
        <v>5</v>
      </c>
      <c r="F41" s="26">
        <v>6</v>
      </c>
      <c r="G41" s="26">
        <v>7</v>
      </c>
      <c r="H41" s="26">
        <v>8</v>
      </c>
      <c r="I41" s="26">
        <v>9</v>
      </c>
      <c r="J41" s="26">
        <v>10</v>
      </c>
      <c r="K41" s="26">
        <v>11</v>
      </c>
      <c r="L41" s="26">
        <v>12</v>
      </c>
      <c r="M41" s="26">
        <v>13</v>
      </c>
      <c r="N41" s="26">
        <v>14</v>
      </c>
      <c r="O41" s="26">
        <v>15</v>
      </c>
    </row>
    <row r="42" spans="1:15" ht="18.75" customHeight="1" thickTop="1" x14ac:dyDescent="0.25">
      <c r="A42" s="27">
        <v>1</v>
      </c>
      <c r="B42" s="7" t="s">
        <v>18</v>
      </c>
      <c r="C42" s="28">
        <v>0</v>
      </c>
      <c r="D42" s="28">
        <v>0</v>
      </c>
      <c r="E42" s="28">
        <v>0</v>
      </c>
      <c r="F42" s="28">
        <v>0</v>
      </c>
      <c r="G42" s="28">
        <v>0</v>
      </c>
      <c r="H42" s="28">
        <v>0</v>
      </c>
      <c r="I42" s="28">
        <v>0</v>
      </c>
      <c r="J42" s="28">
        <v>0</v>
      </c>
      <c r="K42" s="28">
        <v>0</v>
      </c>
      <c r="L42" s="28">
        <v>0</v>
      </c>
      <c r="M42" s="28">
        <v>0</v>
      </c>
      <c r="N42" s="28">
        <v>0</v>
      </c>
      <c r="O42" s="42">
        <f>SUM(C42:N42)</f>
        <v>0</v>
      </c>
    </row>
    <row r="43" spans="1:15" ht="18.75" customHeight="1" x14ac:dyDescent="0.25">
      <c r="A43" s="14">
        <v>2</v>
      </c>
      <c r="B43" s="12" t="s">
        <v>19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8">
        <f t="shared" ref="O43:O49" si="2">SUM(C43:N43)</f>
        <v>0</v>
      </c>
    </row>
    <row r="44" spans="1:15" ht="18.75" customHeight="1" x14ac:dyDescent="0.25">
      <c r="A44" s="14">
        <v>3</v>
      </c>
      <c r="B44" s="7" t="s">
        <v>20</v>
      </c>
      <c r="C44" s="16">
        <v>0</v>
      </c>
      <c r="D44" s="16">
        <v>0</v>
      </c>
      <c r="E44" s="16">
        <v>15</v>
      </c>
      <c r="F44" s="16">
        <v>10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8">
        <f t="shared" si="2"/>
        <v>25</v>
      </c>
    </row>
    <row r="45" spans="1:15" ht="18.75" customHeight="1" x14ac:dyDescent="0.25">
      <c r="A45" s="14">
        <v>4</v>
      </c>
      <c r="B45" s="15" t="s">
        <v>21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8">
        <f t="shared" si="2"/>
        <v>0</v>
      </c>
    </row>
    <row r="46" spans="1:15" ht="18.75" customHeight="1" x14ac:dyDescent="0.25">
      <c r="A46" s="14">
        <v>5</v>
      </c>
      <c r="B46" s="19" t="s">
        <v>22</v>
      </c>
      <c r="C46" s="16">
        <v>0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8">
        <f t="shared" si="2"/>
        <v>0</v>
      </c>
    </row>
    <row r="47" spans="1:15" ht="18.75" customHeight="1" x14ac:dyDescent="0.25">
      <c r="A47" s="14">
        <v>6</v>
      </c>
      <c r="B47" s="19" t="s">
        <v>23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8">
        <f t="shared" si="2"/>
        <v>0</v>
      </c>
    </row>
    <row r="48" spans="1:15" ht="18.75" customHeight="1" x14ac:dyDescent="0.25">
      <c r="A48" s="14">
        <v>7</v>
      </c>
      <c r="B48" s="19" t="s">
        <v>24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8">
        <f t="shared" si="2"/>
        <v>0</v>
      </c>
    </row>
    <row r="49" spans="1:15" ht="18.75" customHeight="1" thickBot="1" x14ac:dyDescent="0.3">
      <c r="A49" s="20">
        <v>8</v>
      </c>
      <c r="B49" s="15" t="s">
        <v>25</v>
      </c>
      <c r="C49" s="17">
        <v>0</v>
      </c>
      <c r="D49" s="17">
        <v>0</v>
      </c>
      <c r="E49" s="17">
        <v>0</v>
      </c>
      <c r="F49" s="17">
        <v>0</v>
      </c>
      <c r="G49" s="17">
        <v>0</v>
      </c>
      <c r="H49" s="17">
        <v>0</v>
      </c>
      <c r="I49" s="17">
        <v>0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43">
        <f t="shared" si="2"/>
        <v>0</v>
      </c>
    </row>
    <row r="50" spans="1:15" ht="18.75" customHeight="1" thickTop="1" x14ac:dyDescent="0.25">
      <c r="A50" s="429" t="s">
        <v>26</v>
      </c>
      <c r="B50" s="430"/>
      <c r="C50" s="22">
        <f t="shared" ref="C50:O50" si="3">SUM(C42:C49)</f>
        <v>0</v>
      </c>
      <c r="D50" s="22">
        <f t="shared" si="3"/>
        <v>0</v>
      </c>
      <c r="E50" s="22">
        <f t="shared" si="3"/>
        <v>15</v>
      </c>
      <c r="F50" s="22">
        <f t="shared" si="3"/>
        <v>10</v>
      </c>
      <c r="G50" s="22">
        <f t="shared" si="3"/>
        <v>0</v>
      </c>
      <c r="H50" s="22">
        <f t="shared" si="3"/>
        <v>0</v>
      </c>
      <c r="I50" s="22">
        <f t="shared" si="3"/>
        <v>0</v>
      </c>
      <c r="J50" s="22">
        <f t="shared" si="3"/>
        <v>0</v>
      </c>
      <c r="K50" s="22">
        <f t="shared" si="3"/>
        <v>0</v>
      </c>
      <c r="L50" s="22">
        <f t="shared" si="3"/>
        <v>0</v>
      </c>
      <c r="M50" s="22">
        <f t="shared" si="3"/>
        <v>0</v>
      </c>
      <c r="N50" s="22">
        <f t="shared" si="3"/>
        <v>0</v>
      </c>
      <c r="O50" s="22">
        <f t="shared" si="3"/>
        <v>25</v>
      </c>
    </row>
    <row r="51" spans="1:15" x14ac:dyDescent="0.25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</row>
    <row r="52" spans="1:15" x14ac:dyDescent="0.25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</row>
    <row r="53" spans="1:15" x14ac:dyDescent="0.25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</row>
    <row r="54" spans="1:15" x14ac:dyDescent="0.25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</row>
    <row r="55" spans="1:15" x14ac:dyDescent="0.2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</row>
    <row r="56" spans="1:15" x14ac:dyDescent="0.25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</row>
    <row r="57" spans="1:15" x14ac:dyDescent="0.25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</row>
    <row r="58" spans="1:15" x14ac:dyDescent="0.25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</row>
    <row r="59" spans="1:15" x14ac:dyDescent="0.25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</row>
    <row r="60" spans="1:15" x14ac:dyDescent="0.25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</row>
    <row r="61" spans="1:15" x14ac:dyDescent="0.2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</row>
    <row r="62" spans="1:15" x14ac:dyDescent="0.2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</row>
    <row r="63" spans="1:15" x14ac:dyDescent="0.2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</row>
    <row r="64" spans="1:15" x14ac:dyDescent="0.2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</row>
    <row r="65" spans="1:15" x14ac:dyDescent="0.2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</row>
    <row r="66" spans="1:15" x14ac:dyDescent="0.25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</row>
    <row r="67" spans="1:15" x14ac:dyDescent="0.25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</row>
    <row r="68" spans="1:15" ht="18.75" x14ac:dyDescent="0.3">
      <c r="A68" s="424" t="s">
        <v>35</v>
      </c>
      <c r="B68" s="424"/>
      <c r="C68" s="424"/>
      <c r="D68" s="424"/>
      <c r="E68" s="424"/>
      <c r="F68" s="424"/>
      <c r="G68" s="424"/>
      <c r="H68" s="424"/>
      <c r="I68" s="424"/>
      <c r="J68" s="424"/>
      <c r="K68" s="424"/>
      <c r="L68" s="424"/>
      <c r="M68" s="424"/>
      <c r="N68" s="424"/>
      <c r="O68" s="424"/>
    </row>
    <row r="69" spans="1:15" ht="18.75" x14ac:dyDescent="0.3">
      <c r="A69" s="424" t="s">
        <v>75</v>
      </c>
      <c r="B69" s="424"/>
      <c r="C69" s="424"/>
      <c r="D69" s="424"/>
      <c r="E69" s="424"/>
      <c r="F69" s="424"/>
      <c r="G69" s="424"/>
      <c r="H69" s="424"/>
      <c r="I69" s="424"/>
      <c r="J69" s="424"/>
      <c r="K69" s="424"/>
      <c r="L69" s="424"/>
      <c r="M69" s="424"/>
      <c r="N69" s="424"/>
      <c r="O69" s="424"/>
    </row>
    <row r="70" spans="1:15" ht="18.75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5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3" t="s">
        <v>29</v>
      </c>
    </row>
    <row r="72" spans="1:15" x14ac:dyDescent="0.25">
      <c r="A72" s="425" t="s">
        <v>2</v>
      </c>
      <c r="B72" s="425" t="s">
        <v>3</v>
      </c>
      <c r="C72" s="427" t="s">
        <v>4</v>
      </c>
      <c r="D72" s="427"/>
      <c r="E72" s="427"/>
      <c r="F72" s="427"/>
      <c r="G72" s="427"/>
      <c r="H72" s="427"/>
      <c r="I72" s="427"/>
      <c r="J72" s="427"/>
      <c r="K72" s="427"/>
      <c r="L72" s="427"/>
      <c r="M72" s="427"/>
      <c r="N72" s="427"/>
      <c r="O72" s="425" t="s">
        <v>5</v>
      </c>
    </row>
    <row r="73" spans="1:15" x14ac:dyDescent="0.25">
      <c r="A73" s="426"/>
      <c r="B73" s="426"/>
      <c r="C73" s="25" t="s">
        <v>6</v>
      </c>
      <c r="D73" s="25" t="s">
        <v>7</v>
      </c>
      <c r="E73" s="25" t="s">
        <v>8</v>
      </c>
      <c r="F73" s="25" t="s">
        <v>9</v>
      </c>
      <c r="G73" s="25" t="s">
        <v>10</v>
      </c>
      <c r="H73" s="25" t="s">
        <v>11</v>
      </c>
      <c r="I73" s="25" t="s">
        <v>12</v>
      </c>
      <c r="J73" s="25" t="s">
        <v>13</v>
      </c>
      <c r="K73" s="25" t="s">
        <v>14</v>
      </c>
      <c r="L73" s="25" t="s">
        <v>15</v>
      </c>
      <c r="M73" s="25" t="s">
        <v>16</v>
      </c>
      <c r="N73" s="25" t="s">
        <v>17</v>
      </c>
      <c r="O73" s="428"/>
    </row>
    <row r="74" spans="1:15" ht="15.75" thickBot="1" x14ac:dyDescent="0.3">
      <c r="A74" s="26">
        <v>1</v>
      </c>
      <c r="B74" s="26">
        <v>2</v>
      </c>
      <c r="C74" s="26">
        <v>3</v>
      </c>
      <c r="D74" s="26">
        <v>4</v>
      </c>
      <c r="E74" s="26">
        <v>5</v>
      </c>
      <c r="F74" s="26">
        <v>6</v>
      </c>
      <c r="G74" s="26">
        <v>7</v>
      </c>
      <c r="H74" s="26">
        <v>8</v>
      </c>
      <c r="I74" s="26">
        <v>9</v>
      </c>
      <c r="J74" s="26">
        <v>10</v>
      </c>
      <c r="K74" s="26">
        <v>11</v>
      </c>
      <c r="L74" s="26">
        <v>12</v>
      </c>
      <c r="M74" s="26">
        <v>13</v>
      </c>
      <c r="N74" s="26">
        <v>14</v>
      </c>
      <c r="O74" s="26">
        <v>15</v>
      </c>
    </row>
    <row r="75" spans="1:15" ht="18.75" customHeight="1" thickTop="1" x14ac:dyDescent="0.25">
      <c r="A75" s="27">
        <v>1</v>
      </c>
      <c r="B75" s="7" t="s">
        <v>18</v>
      </c>
      <c r="C75" s="28">
        <v>0</v>
      </c>
      <c r="D75" s="28">
        <v>0</v>
      </c>
      <c r="E75" s="28">
        <v>0</v>
      </c>
      <c r="F75" s="28">
        <v>0</v>
      </c>
      <c r="G75" s="28">
        <v>0</v>
      </c>
      <c r="H75" s="28">
        <v>0</v>
      </c>
      <c r="I75" s="28">
        <v>0</v>
      </c>
      <c r="J75" s="28">
        <v>0</v>
      </c>
      <c r="K75" s="28">
        <v>0</v>
      </c>
      <c r="L75" s="28">
        <v>0</v>
      </c>
      <c r="M75" s="28">
        <v>0</v>
      </c>
      <c r="N75" s="28">
        <v>0</v>
      </c>
      <c r="O75" s="42">
        <f>SUM(C75:N75)</f>
        <v>0</v>
      </c>
    </row>
    <row r="76" spans="1:15" ht="18.75" customHeight="1" x14ac:dyDescent="0.25">
      <c r="A76" s="14">
        <v>2</v>
      </c>
      <c r="B76" s="12" t="s">
        <v>19</v>
      </c>
      <c r="C76" s="16">
        <v>0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8">
        <f t="shared" ref="O76:O82" si="4">SUM(C76:N76)</f>
        <v>0</v>
      </c>
    </row>
    <row r="77" spans="1:15" ht="18.75" customHeight="1" x14ac:dyDescent="0.25">
      <c r="A77" s="14">
        <v>3</v>
      </c>
      <c r="B77" s="7" t="s">
        <v>20</v>
      </c>
      <c r="C77" s="16">
        <v>0</v>
      </c>
      <c r="D77" s="16">
        <v>0</v>
      </c>
      <c r="E77" s="16">
        <v>46</v>
      </c>
      <c r="F77" s="16">
        <v>30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8">
        <f t="shared" si="4"/>
        <v>76</v>
      </c>
    </row>
    <row r="78" spans="1:15" ht="18.75" customHeight="1" x14ac:dyDescent="0.25">
      <c r="A78" s="14">
        <v>4</v>
      </c>
      <c r="B78" s="15" t="s">
        <v>21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8">
        <f t="shared" si="4"/>
        <v>0</v>
      </c>
    </row>
    <row r="79" spans="1:15" ht="18.75" customHeight="1" x14ac:dyDescent="0.25">
      <c r="A79" s="14">
        <v>5</v>
      </c>
      <c r="B79" s="19" t="s">
        <v>22</v>
      </c>
      <c r="C79" s="16">
        <v>0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8">
        <f t="shared" si="4"/>
        <v>0</v>
      </c>
    </row>
    <row r="80" spans="1:15" ht="18.75" customHeight="1" x14ac:dyDescent="0.25">
      <c r="A80" s="14">
        <v>6</v>
      </c>
      <c r="B80" s="19" t="s">
        <v>23</v>
      </c>
      <c r="C80" s="16">
        <v>0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8">
        <f t="shared" si="4"/>
        <v>0</v>
      </c>
    </row>
    <row r="81" spans="1:15" ht="18.75" customHeight="1" x14ac:dyDescent="0.25">
      <c r="A81" s="14">
        <v>7</v>
      </c>
      <c r="B81" s="19" t="s">
        <v>24</v>
      </c>
      <c r="C81" s="16">
        <v>0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8">
        <f t="shared" si="4"/>
        <v>0</v>
      </c>
    </row>
    <row r="82" spans="1:15" ht="18.75" customHeight="1" thickBot="1" x14ac:dyDescent="0.3">
      <c r="A82" s="20">
        <v>8</v>
      </c>
      <c r="B82" s="15" t="s">
        <v>25</v>
      </c>
      <c r="C82" s="17">
        <v>0</v>
      </c>
      <c r="D82" s="17">
        <v>0</v>
      </c>
      <c r="E82" s="17">
        <v>0</v>
      </c>
      <c r="F82" s="17">
        <v>0</v>
      </c>
      <c r="G82" s="17">
        <v>0</v>
      </c>
      <c r="H82" s="17">
        <v>0</v>
      </c>
      <c r="I82" s="17">
        <v>0</v>
      </c>
      <c r="J82" s="17">
        <v>0</v>
      </c>
      <c r="K82" s="17">
        <v>0</v>
      </c>
      <c r="L82" s="17">
        <v>0</v>
      </c>
      <c r="M82" s="17">
        <v>0</v>
      </c>
      <c r="N82" s="17">
        <v>0</v>
      </c>
      <c r="O82" s="43">
        <f t="shared" si="4"/>
        <v>0</v>
      </c>
    </row>
    <row r="83" spans="1:15" ht="18.75" customHeight="1" thickTop="1" x14ac:dyDescent="0.25">
      <c r="A83" s="429" t="s">
        <v>26</v>
      </c>
      <c r="B83" s="430"/>
      <c r="C83" s="22">
        <f t="shared" ref="C83:O83" si="5">SUM(C75:C82)</f>
        <v>0</v>
      </c>
      <c r="D83" s="22">
        <f t="shared" si="5"/>
        <v>0</v>
      </c>
      <c r="E83" s="22">
        <f t="shared" si="5"/>
        <v>46</v>
      </c>
      <c r="F83" s="22">
        <f t="shared" si="5"/>
        <v>30</v>
      </c>
      <c r="G83" s="22">
        <f t="shared" si="5"/>
        <v>0</v>
      </c>
      <c r="H83" s="22">
        <f t="shared" si="5"/>
        <v>0</v>
      </c>
      <c r="I83" s="22">
        <f t="shared" si="5"/>
        <v>0</v>
      </c>
      <c r="J83" s="22">
        <f t="shared" si="5"/>
        <v>0</v>
      </c>
      <c r="K83" s="22">
        <f t="shared" si="5"/>
        <v>0</v>
      </c>
      <c r="L83" s="22">
        <f t="shared" si="5"/>
        <v>0</v>
      </c>
      <c r="M83" s="22">
        <f t="shared" si="5"/>
        <v>0</v>
      </c>
      <c r="N83" s="22">
        <f t="shared" si="5"/>
        <v>0</v>
      </c>
      <c r="O83" s="22">
        <f t="shared" si="5"/>
        <v>76</v>
      </c>
    </row>
    <row r="84" spans="1:15" x14ac:dyDescent="0.25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</row>
    <row r="85" spans="1:15" x14ac:dyDescent="0.2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</row>
    <row r="86" spans="1:15" x14ac:dyDescent="0.25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</row>
    <row r="87" spans="1:15" x14ac:dyDescent="0.25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</row>
    <row r="88" spans="1:15" x14ac:dyDescent="0.25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</row>
    <row r="89" spans="1:15" x14ac:dyDescent="0.25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</row>
    <row r="90" spans="1:15" x14ac:dyDescent="0.25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</row>
    <row r="91" spans="1:15" x14ac:dyDescent="0.25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</row>
    <row r="92" spans="1:15" x14ac:dyDescent="0.25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</row>
    <row r="93" spans="1:15" x14ac:dyDescent="0.25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</row>
    <row r="94" spans="1:15" x14ac:dyDescent="0.25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</row>
    <row r="95" spans="1:15" x14ac:dyDescent="0.2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</row>
    <row r="96" spans="1:15" x14ac:dyDescent="0.25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</row>
    <row r="97" spans="1:15" x14ac:dyDescent="0.25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</row>
    <row r="98" spans="1:15" x14ac:dyDescent="0.25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</row>
    <row r="99" spans="1:15" x14ac:dyDescent="0.25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</row>
    <row r="100" spans="1:15" x14ac:dyDescent="0.25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</row>
    <row r="101" spans="1:15" ht="18.75" x14ac:dyDescent="0.3">
      <c r="A101" s="424" t="s">
        <v>36</v>
      </c>
      <c r="B101" s="424"/>
      <c r="C101" s="424"/>
      <c r="D101" s="424"/>
      <c r="E101" s="424"/>
      <c r="F101" s="424"/>
      <c r="G101" s="424"/>
      <c r="H101" s="424"/>
      <c r="I101" s="424"/>
      <c r="J101" s="424"/>
      <c r="K101" s="424"/>
      <c r="L101" s="424"/>
      <c r="M101" s="424"/>
      <c r="N101" s="424"/>
      <c r="O101" s="424"/>
    </row>
    <row r="102" spans="1:15" ht="18.75" x14ac:dyDescent="0.3">
      <c r="A102" s="424" t="s">
        <v>75</v>
      </c>
      <c r="B102" s="424"/>
      <c r="C102" s="424"/>
      <c r="D102" s="424"/>
      <c r="E102" s="424"/>
      <c r="F102" s="424"/>
      <c r="G102" s="424"/>
      <c r="H102" s="424"/>
      <c r="I102" s="424"/>
      <c r="J102" s="424"/>
      <c r="K102" s="424"/>
      <c r="L102" s="424"/>
      <c r="M102" s="424"/>
      <c r="N102" s="424"/>
      <c r="O102" s="424"/>
    </row>
    <row r="103" spans="1:15" ht="18.75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3" t="s">
        <v>31</v>
      </c>
    </row>
    <row r="105" spans="1:15" x14ac:dyDescent="0.25">
      <c r="A105" s="425" t="s">
        <v>2</v>
      </c>
      <c r="B105" s="425" t="s">
        <v>3</v>
      </c>
      <c r="C105" s="427" t="s">
        <v>4</v>
      </c>
      <c r="D105" s="427"/>
      <c r="E105" s="427"/>
      <c r="F105" s="427"/>
      <c r="G105" s="427"/>
      <c r="H105" s="427"/>
      <c r="I105" s="427"/>
      <c r="J105" s="427"/>
      <c r="K105" s="427"/>
      <c r="L105" s="427"/>
      <c r="M105" s="427"/>
      <c r="N105" s="427"/>
      <c r="O105" s="425" t="s">
        <v>5</v>
      </c>
    </row>
    <row r="106" spans="1:15" x14ac:dyDescent="0.25">
      <c r="A106" s="426"/>
      <c r="B106" s="426"/>
      <c r="C106" s="25" t="s">
        <v>6</v>
      </c>
      <c r="D106" s="25" t="s">
        <v>7</v>
      </c>
      <c r="E106" s="25" t="s">
        <v>8</v>
      </c>
      <c r="F106" s="25" t="s">
        <v>9</v>
      </c>
      <c r="G106" s="25" t="s">
        <v>10</v>
      </c>
      <c r="H106" s="25" t="s">
        <v>11</v>
      </c>
      <c r="I106" s="25" t="s">
        <v>12</v>
      </c>
      <c r="J106" s="25" t="s">
        <v>13</v>
      </c>
      <c r="K106" s="25" t="s">
        <v>14</v>
      </c>
      <c r="L106" s="25" t="s">
        <v>15</v>
      </c>
      <c r="M106" s="25" t="s">
        <v>16</v>
      </c>
      <c r="N106" s="25" t="s">
        <v>17</v>
      </c>
      <c r="O106" s="428"/>
    </row>
    <row r="107" spans="1:15" ht="15.75" thickBot="1" x14ac:dyDescent="0.3">
      <c r="A107" s="26">
        <v>1</v>
      </c>
      <c r="B107" s="26">
        <v>2</v>
      </c>
      <c r="C107" s="26">
        <v>3</v>
      </c>
      <c r="D107" s="26">
        <v>4</v>
      </c>
      <c r="E107" s="26">
        <v>5</v>
      </c>
      <c r="F107" s="26">
        <v>6</v>
      </c>
      <c r="G107" s="26">
        <v>7</v>
      </c>
      <c r="H107" s="26">
        <v>8</v>
      </c>
      <c r="I107" s="26">
        <v>9</v>
      </c>
      <c r="J107" s="26">
        <v>10</v>
      </c>
      <c r="K107" s="26">
        <v>11</v>
      </c>
      <c r="L107" s="26">
        <v>12</v>
      </c>
      <c r="M107" s="26">
        <v>13</v>
      </c>
      <c r="N107" s="26">
        <v>14</v>
      </c>
      <c r="O107" s="26">
        <v>15</v>
      </c>
    </row>
    <row r="108" spans="1:15" ht="18.75" customHeight="1" thickTop="1" x14ac:dyDescent="0.25">
      <c r="A108" s="27">
        <v>1</v>
      </c>
      <c r="B108" s="7" t="s">
        <v>18</v>
      </c>
      <c r="C108" s="28">
        <v>0</v>
      </c>
      <c r="D108" s="28">
        <v>0</v>
      </c>
      <c r="E108" s="32">
        <v>0</v>
      </c>
      <c r="F108" s="28">
        <v>0</v>
      </c>
      <c r="G108" s="28">
        <v>0</v>
      </c>
      <c r="H108" s="28">
        <v>0</v>
      </c>
      <c r="I108" s="28">
        <v>0</v>
      </c>
      <c r="J108" s="28">
        <v>0</v>
      </c>
      <c r="K108" s="28">
        <v>0</v>
      </c>
      <c r="L108" s="28">
        <v>0</v>
      </c>
      <c r="M108" s="28">
        <v>0</v>
      </c>
      <c r="N108" s="28">
        <v>0</v>
      </c>
      <c r="O108" s="44">
        <f>SUM(C108:N108)</f>
        <v>0</v>
      </c>
    </row>
    <row r="109" spans="1:15" ht="18.75" customHeight="1" x14ac:dyDescent="0.25">
      <c r="A109" s="14">
        <v>2</v>
      </c>
      <c r="B109" s="12" t="s">
        <v>19</v>
      </c>
      <c r="C109" s="16">
        <v>0</v>
      </c>
      <c r="D109" s="16">
        <v>0</v>
      </c>
      <c r="E109" s="34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0</v>
      </c>
      <c r="K109" s="16">
        <v>0</v>
      </c>
      <c r="L109" s="16">
        <v>0</v>
      </c>
      <c r="M109" s="16">
        <v>0</v>
      </c>
      <c r="N109" s="16">
        <v>0</v>
      </c>
      <c r="O109" s="35">
        <f t="shared" ref="O109:O115" si="6">SUM(C109:N109)</f>
        <v>0</v>
      </c>
    </row>
    <row r="110" spans="1:15" ht="18.75" customHeight="1" x14ac:dyDescent="0.25">
      <c r="A110" s="14">
        <v>3</v>
      </c>
      <c r="B110" s="7" t="s">
        <v>20</v>
      </c>
      <c r="C110" s="16">
        <v>0</v>
      </c>
      <c r="D110" s="16">
        <v>0</v>
      </c>
      <c r="E110" s="34">
        <v>30.96</v>
      </c>
      <c r="F110" s="34">
        <v>30.15</v>
      </c>
      <c r="G110" s="16">
        <v>0</v>
      </c>
      <c r="H110" s="16">
        <v>0</v>
      </c>
      <c r="I110" s="16">
        <v>0</v>
      </c>
      <c r="J110" s="16">
        <v>0</v>
      </c>
      <c r="K110" s="16">
        <v>0</v>
      </c>
      <c r="L110" s="16">
        <v>0</v>
      </c>
      <c r="M110" s="16">
        <v>0</v>
      </c>
      <c r="N110" s="16">
        <v>0</v>
      </c>
      <c r="O110" s="35">
        <f>O77/O44*10</f>
        <v>30.4</v>
      </c>
    </row>
    <row r="111" spans="1:15" ht="18.75" customHeight="1" x14ac:dyDescent="0.25">
      <c r="A111" s="14">
        <v>4</v>
      </c>
      <c r="B111" s="15" t="s">
        <v>21</v>
      </c>
      <c r="C111" s="16">
        <v>0</v>
      </c>
      <c r="D111" s="16">
        <v>0</v>
      </c>
      <c r="E111" s="34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0</v>
      </c>
      <c r="L111" s="16">
        <v>0</v>
      </c>
      <c r="M111" s="16">
        <v>0</v>
      </c>
      <c r="N111" s="16">
        <v>0</v>
      </c>
      <c r="O111" s="35">
        <f t="shared" si="6"/>
        <v>0</v>
      </c>
    </row>
    <row r="112" spans="1:15" ht="18.75" customHeight="1" x14ac:dyDescent="0.25">
      <c r="A112" s="14">
        <v>5</v>
      </c>
      <c r="B112" s="19" t="s">
        <v>22</v>
      </c>
      <c r="C112" s="16">
        <v>0</v>
      </c>
      <c r="D112" s="16">
        <v>0</v>
      </c>
      <c r="E112" s="34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16">
        <v>0</v>
      </c>
      <c r="M112" s="16">
        <v>0</v>
      </c>
      <c r="N112" s="16">
        <v>0</v>
      </c>
      <c r="O112" s="35">
        <f t="shared" si="6"/>
        <v>0</v>
      </c>
    </row>
    <row r="113" spans="1:15" ht="18.75" customHeight="1" x14ac:dyDescent="0.25">
      <c r="A113" s="14">
        <v>6</v>
      </c>
      <c r="B113" s="19" t="s">
        <v>23</v>
      </c>
      <c r="C113" s="16">
        <v>0</v>
      </c>
      <c r="D113" s="16">
        <v>0</v>
      </c>
      <c r="E113" s="34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0</v>
      </c>
      <c r="K113" s="16">
        <v>0</v>
      </c>
      <c r="L113" s="16">
        <v>0</v>
      </c>
      <c r="M113" s="16">
        <v>0</v>
      </c>
      <c r="N113" s="16">
        <v>0</v>
      </c>
      <c r="O113" s="35">
        <f t="shared" si="6"/>
        <v>0</v>
      </c>
    </row>
    <row r="114" spans="1:15" ht="18.75" customHeight="1" x14ac:dyDescent="0.25">
      <c r="A114" s="14">
        <v>7</v>
      </c>
      <c r="B114" s="19" t="s">
        <v>24</v>
      </c>
      <c r="C114" s="16">
        <v>0</v>
      </c>
      <c r="D114" s="16">
        <v>0</v>
      </c>
      <c r="E114" s="34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0</v>
      </c>
      <c r="L114" s="16">
        <v>0</v>
      </c>
      <c r="M114" s="16">
        <v>0</v>
      </c>
      <c r="N114" s="16">
        <v>0</v>
      </c>
      <c r="O114" s="35">
        <f t="shared" si="6"/>
        <v>0</v>
      </c>
    </row>
    <row r="115" spans="1:15" ht="18.75" customHeight="1" thickBot="1" x14ac:dyDescent="0.3">
      <c r="A115" s="20">
        <v>8</v>
      </c>
      <c r="B115" s="15" t="s">
        <v>25</v>
      </c>
      <c r="C115" s="17">
        <v>0</v>
      </c>
      <c r="D115" s="17">
        <v>0</v>
      </c>
      <c r="E115" s="36">
        <v>0</v>
      </c>
      <c r="F115" s="17">
        <v>0</v>
      </c>
      <c r="G115" s="17">
        <v>0</v>
      </c>
      <c r="H115" s="17">
        <v>0</v>
      </c>
      <c r="I115" s="17">
        <v>0</v>
      </c>
      <c r="J115" s="17">
        <v>0</v>
      </c>
      <c r="K115" s="17">
        <v>0</v>
      </c>
      <c r="L115" s="17">
        <v>0</v>
      </c>
      <c r="M115" s="17">
        <v>0</v>
      </c>
      <c r="N115" s="17">
        <v>0</v>
      </c>
      <c r="O115" s="115">
        <f t="shared" si="6"/>
        <v>0</v>
      </c>
    </row>
    <row r="116" spans="1:15" ht="18.75" customHeight="1" thickTop="1" x14ac:dyDescent="0.25">
      <c r="A116" s="429" t="s">
        <v>26</v>
      </c>
      <c r="B116" s="430"/>
      <c r="C116" s="38">
        <f t="shared" ref="C116:N116" si="7">SUM(C108:C115)</f>
        <v>0</v>
      </c>
      <c r="D116" s="38">
        <f t="shared" si="7"/>
        <v>0</v>
      </c>
      <c r="E116" s="38">
        <f t="shared" si="7"/>
        <v>30.96</v>
      </c>
      <c r="F116" s="38">
        <f t="shared" si="7"/>
        <v>30.15</v>
      </c>
      <c r="G116" s="38">
        <f t="shared" si="7"/>
        <v>0</v>
      </c>
      <c r="H116" s="38">
        <f t="shared" si="7"/>
        <v>0</v>
      </c>
      <c r="I116" s="38">
        <f t="shared" si="7"/>
        <v>0</v>
      </c>
      <c r="J116" s="38">
        <f t="shared" si="7"/>
        <v>0</v>
      </c>
      <c r="K116" s="38">
        <f t="shared" si="7"/>
        <v>0</v>
      </c>
      <c r="L116" s="38">
        <f t="shared" si="7"/>
        <v>0</v>
      </c>
      <c r="M116" s="38">
        <f t="shared" si="7"/>
        <v>0</v>
      </c>
      <c r="N116" s="38">
        <f t="shared" si="7"/>
        <v>0</v>
      </c>
      <c r="O116" s="38">
        <f>SUM(O108:O115)</f>
        <v>30.4</v>
      </c>
    </row>
    <row r="117" spans="1:15" x14ac:dyDescent="0.25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</row>
    <row r="118" spans="1:15" x14ac:dyDescent="0.25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</row>
    <row r="119" spans="1:15" x14ac:dyDescent="0.25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L119" s="24"/>
      <c r="M119" s="41" t="s">
        <v>206</v>
      </c>
      <c r="N119" s="24"/>
      <c r="O119" s="24"/>
    </row>
    <row r="120" spans="1:15" x14ac:dyDescent="0.25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L120" s="24"/>
      <c r="M120" s="41" t="s">
        <v>188</v>
      </c>
      <c r="N120" s="24"/>
      <c r="O120" s="24"/>
    </row>
    <row r="121" spans="1:15" x14ac:dyDescent="0.25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L121" s="24"/>
      <c r="M121" s="41" t="s">
        <v>185</v>
      </c>
      <c r="N121" s="24"/>
      <c r="O121" s="24"/>
    </row>
    <row r="122" spans="1:15" x14ac:dyDescent="0.25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L122" s="24"/>
      <c r="M122" s="41"/>
      <c r="N122" s="24"/>
      <c r="O122" s="24"/>
    </row>
    <row r="123" spans="1:15" x14ac:dyDescent="0.25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L123" s="24"/>
      <c r="M123" s="41"/>
      <c r="N123" s="24"/>
      <c r="O123" s="24"/>
    </row>
    <row r="124" spans="1:15" x14ac:dyDescent="0.25">
      <c r="M124" s="41"/>
    </row>
    <row r="125" spans="1:15" x14ac:dyDescent="0.25">
      <c r="M125" s="423" t="s">
        <v>186</v>
      </c>
    </row>
    <row r="126" spans="1:15" x14ac:dyDescent="0.25">
      <c r="M126" s="41" t="s">
        <v>187</v>
      </c>
    </row>
  </sheetData>
  <mergeCells count="28">
    <mergeCell ref="A116:B116"/>
    <mergeCell ref="A83:B83"/>
    <mergeCell ref="A101:O101"/>
    <mergeCell ref="A102:O102"/>
    <mergeCell ref="A105:A106"/>
    <mergeCell ref="B105:B106"/>
    <mergeCell ref="C105:N105"/>
    <mergeCell ref="O105:O106"/>
    <mergeCell ref="A50:B50"/>
    <mergeCell ref="A68:O68"/>
    <mergeCell ref="A69:O69"/>
    <mergeCell ref="A72:A73"/>
    <mergeCell ref="B72:B73"/>
    <mergeCell ref="C72:N72"/>
    <mergeCell ref="O72:O73"/>
    <mergeCell ref="A17:B17"/>
    <mergeCell ref="A35:O35"/>
    <mergeCell ref="A36:O36"/>
    <mergeCell ref="A39:A40"/>
    <mergeCell ref="B39:B40"/>
    <mergeCell ref="C39:N39"/>
    <mergeCell ref="O39:O40"/>
    <mergeCell ref="A2:O2"/>
    <mergeCell ref="A3:O3"/>
    <mergeCell ref="A6:A7"/>
    <mergeCell ref="B6:B7"/>
    <mergeCell ref="C6:N6"/>
    <mergeCell ref="O6:O7"/>
  </mergeCells>
  <pageMargins left="1.5748031496062993" right="0.70866141732283472" top="0.94488188976377963" bottom="0.74803149606299213" header="0.31496062992125984" footer="0.31496062992125984"/>
  <pageSetup paperSize="9" scale="90" orientation="landscape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126"/>
  <sheetViews>
    <sheetView zoomScale="90" zoomScaleNormal="90" workbookViewId="0">
      <selection activeCell="A2" sqref="A2:O2"/>
    </sheetView>
  </sheetViews>
  <sheetFormatPr defaultRowHeight="15" x14ac:dyDescent="0.25"/>
  <cols>
    <col min="1" max="1" width="4" customWidth="1"/>
    <col min="2" max="2" width="14.7109375" customWidth="1"/>
    <col min="3" max="15" width="8.5703125" customWidth="1"/>
  </cols>
  <sheetData>
    <row r="2" spans="1:17" ht="18.75" x14ac:dyDescent="0.3">
      <c r="A2" s="424" t="s">
        <v>37</v>
      </c>
      <c r="B2" s="424"/>
      <c r="C2" s="424"/>
      <c r="D2" s="424"/>
      <c r="E2" s="424"/>
      <c r="F2" s="424"/>
      <c r="G2" s="424"/>
      <c r="H2" s="424"/>
      <c r="I2" s="424"/>
      <c r="J2" s="424"/>
      <c r="K2" s="424"/>
      <c r="L2" s="424"/>
      <c r="M2" s="424"/>
      <c r="N2" s="424"/>
      <c r="O2" s="424"/>
    </row>
    <row r="3" spans="1:17" ht="18.75" x14ac:dyDescent="0.3">
      <c r="A3" s="424" t="s">
        <v>75</v>
      </c>
      <c r="B3" s="424"/>
      <c r="C3" s="424"/>
      <c r="D3" s="424"/>
      <c r="E3" s="424"/>
      <c r="F3" s="424"/>
      <c r="G3" s="424"/>
      <c r="H3" s="424"/>
      <c r="I3" s="424"/>
      <c r="J3" s="424"/>
      <c r="K3" s="424"/>
      <c r="L3" s="424"/>
      <c r="M3" s="424"/>
      <c r="N3" s="424"/>
      <c r="O3" s="424"/>
    </row>
    <row r="4" spans="1:17" ht="18.75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7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3" t="s">
        <v>1</v>
      </c>
    </row>
    <row r="6" spans="1:17" x14ac:dyDescent="0.25">
      <c r="A6" s="425" t="s">
        <v>2</v>
      </c>
      <c r="B6" s="425" t="s">
        <v>3</v>
      </c>
      <c r="C6" s="427" t="s">
        <v>4</v>
      </c>
      <c r="D6" s="427"/>
      <c r="E6" s="427"/>
      <c r="F6" s="427"/>
      <c r="G6" s="427"/>
      <c r="H6" s="427"/>
      <c r="I6" s="427"/>
      <c r="J6" s="427"/>
      <c r="K6" s="427"/>
      <c r="L6" s="427"/>
      <c r="M6" s="427"/>
      <c r="N6" s="427"/>
      <c r="O6" s="425" t="s">
        <v>5</v>
      </c>
    </row>
    <row r="7" spans="1:17" x14ac:dyDescent="0.25">
      <c r="A7" s="426"/>
      <c r="B7" s="426"/>
      <c r="C7" s="25" t="s">
        <v>6</v>
      </c>
      <c r="D7" s="25" t="s">
        <v>7</v>
      </c>
      <c r="E7" s="25" t="s">
        <v>8</v>
      </c>
      <c r="F7" s="25" t="s">
        <v>9</v>
      </c>
      <c r="G7" s="25" t="s">
        <v>10</v>
      </c>
      <c r="H7" s="25" t="s">
        <v>11</v>
      </c>
      <c r="I7" s="25" t="s">
        <v>12</v>
      </c>
      <c r="J7" s="25" t="s">
        <v>13</v>
      </c>
      <c r="K7" s="25" t="s">
        <v>14</v>
      </c>
      <c r="L7" s="25" t="s">
        <v>15</v>
      </c>
      <c r="M7" s="25" t="s">
        <v>16</v>
      </c>
      <c r="N7" s="25" t="s">
        <v>17</v>
      </c>
      <c r="O7" s="428"/>
    </row>
    <row r="8" spans="1:17" ht="15.75" thickBot="1" x14ac:dyDescent="0.3">
      <c r="A8" s="26">
        <v>1</v>
      </c>
      <c r="B8" s="26">
        <v>2</v>
      </c>
      <c r="C8" s="26">
        <v>3</v>
      </c>
      <c r="D8" s="26">
        <v>4</v>
      </c>
      <c r="E8" s="26">
        <v>5</v>
      </c>
      <c r="F8" s="26">
        <v>6</v>
      </c>
      <c r="G8" s="26">
        <v>7</v>
      </c>
      <c r="H8" s="26">
        <v>8</v>
      </c>
      <c r="I8" s="26">
        <v>9</v>
      </c>
      <c r="J8" s="26">
        <v>10</v>
      </c>
      <c r="K8" s="26">
        <v>11</v>
      </c>
      <c r="L8" s="26">
        <v>12</v>
      </c>
      <c r="M8" s="26">
        <v>13</v>
      </c>
      <c r="N8" s="26">
        <v>14</v>
      </c>
      <c r="O8" s="26">
        <v>15</v>
      </c>
      <c r="Q8" t="s">
        <v>196</v>
      </c>
    </row>
    <row r="9" spans="1:17" ht="18.75" customHeight="1" thickTop="1" x14ac:dyDescent="0.25">
      <c r="A9" s="27">
        <v>1</v>
      </c>
      <c r="B9" s="7" t="s">
        <v>18</v>
      </c>
      <c r="C9" s="63">
        <v>0</v>
      </c>
      <c r="D9" s="28">
        <v>0</v>
      </c>
      <c r="E9" s="28">
        <v>0</v>
      </c>
      <c r="F9" s="28">
        <v>0</v>
      </c>
      <c r="G9" s="28">
        <v>0</v>
      </c>
      <c r="H9" s="28">
        <v>0</v>
      </c>
      <c r="I9" s="28">
        <v>0</v>
      </c>
      <c r="J9" s="28">
        <v>0</v>
      </c>
      <c r="K9" s="28">
        <v>0</v>
      </c>
      <c r="L9" s="28">
        <v>0</v>
      </c>
      <c r="M9" s="28">
        <v>0</v>
      </c>
      <c r="N9" s="28">
        <v>0</v>
      </c>
      <c r="O9" s="29">
        <f>SUM(C9:N9)</f>
        <v>0</v>
      </c>
      <c r="Q9" s="110">
        <f>SUM(L9:M9)</f>
        <v>0</v>
      </c>
    </row>
    <row r="10" spans="1:17" ht="18.75" customHeight="1" x14ac:dyDescent="0.25">
      <c r="A10" s="14">
        <v>2</v>
      </c>
      <c r="B10" s="12" t="s">
        <v>19</v>
      </c>
      <c r="C10" s="61">
        <v>0</v>
      </c>
      <c r="D10" s="16">
        <v>0</v>
      </c>
      <c r="E10" s="16">
        <v>1</v>
      </c>
      <c r="F10" s="16">
        <v>0</v>
      </c>
      <c r="G10" s="16">
        <v>0</v>
      </c>
      <c r="H10" s="16">
        <v>1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1</v>
      </c>
      <c r="O10" s="18">
        <f t="shared" ref="O10:O16" si="0">SUM(C10:N10)</f>
        <v>3</v>
      </c>
      <c r="Q10" s="110">
        <f t="shared" ref="Q10:Q16" si="1">SUM(L10:M10)</f>
        <v>0</v>
      </c>
    </row>
    <row r="11" spans="1:17" ht="18.75" customHeight="1" x14ac:dyDescent="0.25">
      <c r="A11" s="14">
        <v>3</v>
      </c>
      <c r="B11" s="7" t="s">
        <v>20</v>
      </c>
      <c r="C11" s="61">
        <v>2</v>
      </c>
      <c r="D11" s="16">
        <v>3</v>
      </c>
      <c r="E11" s="16">
        <v>0</v>
      </c>
      <c r="F11" s="16">
        <v>0</v>
      </c>
      <c r="G11" s="16">
        <v>2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2</v>
      </c>
      <c r="N11" s="16">
        <v>2</v>
      </c>
      <c r="O11" s="18">
        <f t="shared" si="0"/>
        <v>11</v>
      </c>
      <c r="Q11" s="110">
        <f t="shared" si="1"/>
        <v>2</v>
      </c>
    </row>
    <row r="12" spans="1:17" ht="18.75" customHeight="1" x14ac:dyDescent="0.25">
      <c r="A12" s="14">
        <v>4</v>
      </c>
      <c r="B12" s="15" t="s">
        <v>21</v>
      </c>
      <c r="C12" s="61">
        <v>0</v>
      </c>
      <c r="D12" s="16">
        <v>0</v>
      </c>
      <c r="E12" s="16">
        <v>1</v>
      </c>
      <c r="F12" s="16">
        <v>1</v>
      </c>
      <c r="G12" s="16">
        <v>1</v>
      </c>
      <c r="H12" s="16">
        <v>2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8">
        <f t="shared" si="0"/>
        <v>5</v>
      </c>
      <c r="Q12" s="110">
        <f t="shared" si="1"/>
        <v>0</v>
      </c>
    </row>
    <row r="13" spans="1:17" ht="18.75" customHeight="1" x14ac:dyDescent="0.25">
      <c r="A13" s="14">
        <v>5</v>
      </c>
      <c r="B13" s="19" t="s">
        <v>22</v>
      </c>
      <c r="C13" s="61">
        <v>0</v>
      </c>
      <c r="D13" s="16">
        <v>0</v>
      </c>
      <c r="E13" s="16">
        <v>0</v>
      </c>
      <c r="F13" s="16">
        <v>0</v>
      </c>
      <c r="G13" s="16">
        <v>2</v>
      </c>
      <c r="H13" s="16">
        <v>0</v>
      </c>
      <c r="I13" s="16">
        <v>0</v>
      </c>
      <c r="J13" s="16">
        <v>0</v>
      </c>
      <c r="K13" s="16">
        <v>0</v>
      </c>
      <c r="L13" s="16">
        <v>1</v>
      </c>
      <c r="M13" s="16">
        <v>0</v>
      </c>
      <c r="N13" s="16">
        <v>0</v>
      </c>
      <c r="O13" s="18">
        <f t="shared" si="0"/>
        <v>3</v>
      </c>
      <c r="Q13" s="110">
        <f t="shared" si="1"/>
        <v>1</v>
      </c>
    </row>
    <row r="14" spans="1:17" ht="18.75" customHeight="1" x14ac:dyDescent="0.25">
      <c r="A14" s="14">
        <v>6</v>
      </c>
      <c r="B14" s="19" t="s">
        <v>23</v>
      </c>
      <c r="C14" s="61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8">
        <f t="shared" si="0"/>
        <v>0</v>
      </c>
      <c r="Q14" s="110">
        <f t="shared" si="1"/>
        <v>0</v>
      </c>
    </row>
    <row r="15" spans="1:17" ht="18.75" customHeight="1" x14ac:dyDescent="0.25">
      <c r="A15" s="14">
        <v>7</v>
      </c>
      <c r="B15" s="19" t="s">
        <v>24</v>
      </c>
      <c r="C15" s="61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8">
        <f t="shared" si="0"/>
        <v>0</v>
      </c>
      <c r="Q15" s="110">
        <f t="shared" si="1"/>
        <v>0</v>
      </c>
    </row>
    <row r="16" spans="1:17" ht="18.75" customHeight="1" thickBot="1" x14ac:dyDescent="0.3">
      <c r="A16" s="20">
        <v>8</v>
      </c>
      <c r="B16" s="15" t="s">
        <v>25</v>
      </c>
      <c r="C16" s="62">
        <v>0</v>
      </c>
      <c r="D16" s="17">
        <v>1</v>
      </c>
      <c r="E16" s="17">
        <v>0</v>
      </c>
      <c r="F16" s="17">
        <v>1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3</v>
      </c>
      <c r="O16" s="21">
        <f t="shared" si="0"/>
        <v>5</v>
      </c>
      <c r="Q16" s="110">
        <f t="shared" si="1"/>
        <v>0</v>
      </c>
    </row>
    <row r="17" spans="1:15" ht="18.75" customHeight="1" thickTop="1" x14ac:dyDescent="0.25">
      <c r="A17" s="429" t="s">
        <v>26</v>
      </c>
      <c r="B17" s="430"/>
      <c r="C17" s="22">
        <f t="shared" ref="C17:O17" si="2">SUM(C9:C16)</f>
        <v>2</v>
      </c>
      <c r="D17" s="22">
        <f t="shared" si="2"/>
        <v>4</v>
      </c>
      <c r="E17" s="22">
        <f t="shared" si="2"/>
        <v>2</v>
      </c>
      <c r="F17" s="22">
        <f t="shared" si="2"/>
        <v>2</v>
      </c>
      <c r="G17" s="22">
        <f t="shared" si="2"/>
        <v>5</v>
      </c>
      <c r="H17" s="22">
        <f t="shared" si="2"/>
        <v>3</v>
      </c>
      <c r="I17" s="22">
        <f t="shared" si="2"/>
        <v>0</v>
      </c>
      <c r="J17" s="22">
        <f t="shared" si="2"/>
        <v>0</v>
      </c>
      <c r="K17" s="22">
        <f t="shared" si="2"/>
        <v>0</v>
      </c>
      <c r="L17" s="22">
        <f t="shared" si="2"/>
        <v>1</v>
      </c>
      <c r="M17" s="22">
        <f t="shared" si="2"/>
        <v>2</v>
      </c>
      <c r="N17" s="22">
        <f t="shared" si="2"/>
        <v>6</v>
      </c>
      <c r="O17" s="22">
        <f t="shared" si="2"/>
        <v>27</v>
      </c>
    </row>
    <row r="18" spans="1:15" x14ac:dyDescent="0.2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</row>
    <row r="19" spans="1:15" x14ac:dyDescent="0.25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</row>
    <row r="20" spans="1:15" x14ac:dyDescent="0.25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</row>
    <row r="21" spans="1:15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</row>
    <row r="22" spans="1:15" x14ac:dyDescent="0.2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</row>
    <row r="23" spans="1:15" x14ac:dyDescent="0.2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</row>
    <row r="24" spans="1:15" x14ac:dyDescent="0.2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</row>
    <row r="25" spans="1:15" x14ac:dyDescent="0.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</row>
    <row r="26" spans="1:15" x14ac:dyDescent="0.2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</row>
    <row r="27" spans="1:15" x14ac:dyDescent="0.2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</row>
    <row r="28" spans="1:15" x14ac:dyDescent="0.2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</row>
    <row r="29" spans="1:15" x14ac:dyDescent="0.2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</row>
    <row r="30" spans="1:15" x14ac:dyDescent="0.2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</row>
    <row r="31" spans="1:15" x14ac:dyDescent="0.25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</row>
    <row r="32" spans="1:15" x14ac:dyDescent="0.25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</row>
    <row r="33" spans="1:18" x14ac:dyDescent="0.25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</row>
    <row r="34" spans="1:18" x14ac:dyDescent="0.25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</row>
    <row r="35" spans="1:18" ht="18.75" x14ac:dyDescent="0.3">
      <c r="A35" s="424" t="s">
        <v>38</v>
      </c>
      <c r="B35" s="424"/>
      <c r="C35" s="424"/>
      <c r="D35" s="424"/>
      <c r="E35" s="424"/>
      <c r="F35" s="424"/>
      <c r="G35" s="424"/>
      <c r="H35" s="424"/>
      <c r="I35" s="424"/>
      <c r="J35" s="424"/>
      <c r="K35" s="424"/>
      <c r="L35" s="424"/>
      <c r="M35" s="424"/>
      <c r="N35" s="424"/>
      <c r="O35" s="424"/>
    </row>
    <row r="36" spans="1:18" ht="18.75" x14ac:dyDescent="0.3">
      <c r="A36" s="424" t="s">
        <v>75</v>
      </c>
      <c r="B36" s="424"/>
      <c r="C36" s="424"/>
      <c r="D36" s="424"/>
      <c r="E36" s="424"/>
      <c r="F36" s="424"/>
      <c r="G36" s="424"/>
      <c r="H36" s="424"/>
      <c r="I36" s="424"/>
      <c r="J36" s="424"/>
      <c r="K36" s="424"/>
      <c r="L36" s="424"/>
      <c r="M36" s="424"/>
      <c r="N36" s="424"/>
      <c r="O36" s="424"/>
    </row>
    <row r="37" spans="1:18" ht="18.75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8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3" t="s">
        <v>1</v>
      </c>
    </row>
    <row r="39" spans="1:18" x14ac:dyDescent="0.25">
      <c r="A39" s="425" t="s">
        <v>2</v>
      </c>
      <c r="B39" s="425" t="s">
        <v>3</v>
      </c>
      <c r="C39" s="427" t="s">
        <v>4</v>
      </c>
      <c r="D39" s="427"/>
      <c r="E39" s="427"/>
      <c r="F39" s="427"/>
      <c r="G39" s="427"/>
      <c r="H39" s="427"/>
      <c r="I39" s="427"/>
      <c r="J39" s="427"/>
      <c r="K39" s="427"/>
      <c r="L39" s="427"/>
      <c r="M39" s="427"/>
      <c r="N39" s="427"/>
      <c r="O39" s="425" t="s">
        <v>5</v>
      </c>
    </row>
    <row r="40" spans="1:18" x14ac:dyDescent="0.25">
      <c r="A40" s="426"/>
      <c r="B40" s="426"/>
      <c r="C40" s="25" t="s">
        <v>6</v>
      </c>
      <c r="D40" s="25" t="s">
        <v>7</v>
      </c>
      <c r="E40" s="25" t="s">
        <v>8</v>
      </c>
      <c r="F40" s="25" t="s">
        <v>9</v>
      </c>
      <c r="G40" s="25" t="s">
        <v>10</v>
      </c>
      <c r="H40" s="25" t="s">
        <v>11</v>
      </c>
      <c r="I40" s="25" t="s">
        <v>12</v>
      </c>
      <c r="J40" s="25" t="s">
        <v>13</v>
      </c>
      <c r="K40" s="25" t="s">
        <v>14</v>
      </c>
      <c r="L40" s="25" t="s">
        <v>15</v>
      </c>
      <c r="M40" s="25" t="s">
        <v>16</v>
      </c>
      <c r="N40" s="25" t="s">
        <v>17</v>
      </c>
      <c r="O40" s="428"/>
    </row>
    <row r="41" spans="1:18" ht="15.75" thickBot="1" x14ac:dyDescent="0.3">
      <c r="A41" s="26">
        <v>1</v>
      </c>
      <c r="B41" s="26">
        <v>2</v>
      </c>
      <c r="C41" s="26">
        <v>3</v>
      </c>
      <c r="D41" s="26">
        <v>4</v>
      </c>
      <c r="E41" s="26">
        <v>5</v>
      </c>
      <c r="F41" s="26">
        <v>6</v>
      </c>
      <c r="G41" s="26">
        <v>7</v>
      </c>
      <c r="H41" s="26">
        <v>8</v>
      </c>
      <c r="I41" s="26">
        <v>9</v>
      </c>
      <c r="J41" s="26">
        <v>10</v>
      </c>
      <c r="K41" s="26">
        <v>11</v>
      </c>
      <c r="L41" s="26">
        <v>12</v>
      </c>
      <c r="M41" s="26">
        <v>13</v>
      </c>
      <c r="N41" s="26">
        <v>14</v>
      </c>
      <c r="O41" s="26">
        <v>15</v>
      </c>
    </row>
    <row r="42" spans="1:18" ht="18.75" customHeight="1" thickTop="1" x14ac:dyDescent="0.25">
      <c r="A42" s="27">
        <v>1</v>
      </c>
      <c r="B42" s="7" t="s">
        <v>18</v>
      </c>
      <c r="C42" s="63">
        <v>0</v>
      </c>
      <c r="D42" s="75" t="s">
        <v>77</v>
      </c>
      <c r="E42" s="75">
        <v>0</v>
      </c>
      <c r="F42" s="75">
        <v>0</v>
      </c>
      <c r="G42" s="76">
        <v>0</v>
      </c>
      <c r="H42" s="76">
        <v>0</v>
      </c>
      <c r="I42" s="28">
        <v>0</v>
      </c>
      <c r="J42" s="28">
        <v>0</v>
      </c>
      <c r="K42" s="28">
        <v>0</v>
      </c>
      <c r="L42" s="28">
        <v>0</v>
      </c>
      <c r="M42" s="28">
        <v>0</v>
      </c>
      <c r="N42" s="28">
        <v>0</v>
      </c>
      <c r="O42" s="18">
        <f>SUM(C42:N42)</f>
        <v>0</v>
      </c>
      <c r="P42" s="111"/>
      <c r="Q42" s="110">
        <v>5</v>
      </c>
      <c r="R42" t="s">
        <v>200</v>
      </c>
    </row>
    <row r="43" spans="1:18" ht="18.75" customHeight="1" x14ac:dyDescent="0.25">
      <c r="A43" s="14">
        <v>2</v>
      </c>
      <c r="B43" s="12" t="s">
        <v>19</v>
      </c>
      <c r="C43" s="61">
        <v>0</v>
      </c>
      <c r="D43" s="16">
        <v>0</v>
      </c>
      <c r="E43" s="16">
        <v>0</v>
      </c>
      <c r="F43" s="16">
        <v>0</v>
      </c>
      <c r="G43" s="61">
        <v>0</v>
      </c>
      <c r="H43" s="360" t="s">
        <v>76</v>
      </c>
      <c r="I43" s="16">
        <v>0</v>
      </c>
      <c r="J43" s="400" t="s">
        <v>76</v>
      </c>
      <c r="K43" s="16">
        <v>0</v>
      </c>
      <c r="L43" s="16">
        <v>0</v>
      </c>
      <c r="M43" s="16">
        <v>0</v>
      </c>
      <c r="N43" s="16">
        <v>0</v>
      </c>
      <c r="O43" s="18">
        <f t="shared" ref="O43:O49" si="3">SUM(C43:N43)</f>
        <v>0</v>
      </c>
      <c r="P43" s="111"/>
      <c r="Q43" s="110">
        <v>2</v>
      </c>
      <c r="R43" t="s">
        <v>200</v>
      </c>
    </row>
    <row r="44" spans="1:18" ht="18.75" customHeight="1" x14ac:dyDescent="0.25">
      <c r="A44" s="14">
        <v>3</v>
      </c>
      <c r="B44" s="7" t="s">
        <v>20</v>
      </c>
      <c r="C44" s="61">
        <v>0</v>
      </c>
      <c r="D44" s="16">
        <v>0</v>
      </c>
      <c r="E44" s="16">
        <v>4</v>
      </c>
      <c r="F44" s="16">
        <v>3</v>
      </c>
      <c r="G44" s="61">
        <v>0</v>
      </c>
      <c r="H44" s="61">
        <v>0</v>
      </c>
      <c r="I44" s="16">
        <v>0</v>
      </c>
      <c r="J44" s="16">
        <v>2</v>
      </c>
      <c r="K44" s="16">
        <v>0</v>
      </c>
      <c r="L44" s="16">
        <v>0</v>
      </c>
      <c r="M44" s="16">
        <v>0</v>
      </c>
      <c r="N44" s="16">
        <v>0</v>
      </c>
      <c r="O44" s="18">
        <f t="shared" si="3"/>
        <v>9</v>
      </c>
      <c r="P44" s="111"/>
      <c r="Q44" s="110">
        <f t="shared" ref="Q44:Q48" si="4">SUM(C44:N44)</f>
        <v>9</v>
      </c>
    </row>
    <row r="45" spans="1:18" ht="18.75" customHeight="1" x14ac:dyDescent="0.25">
      <c r="A45" s="14">
        <v>4</v>
      </c>
      <c r="B45" s="15" t="s">
        <v>21</v>
      </c>
      <c r="C45" s="61">
        <v>0</v>
      </c>
      <c r="D45" s="16">
        <v>0</v>
      </c>
      <c r="E45" s="16">
        <v>0</v>
      </c>
      <c r="F45" s="16">
        <v>0</v>
      </c>
      <c r="G45" s="61">
        <v>1</v>
      </c>
      <c r="H45" s="61">
        <v>0</v>
      </c>
      <c r="I45" s="16">
        <v>0</v>
      </c>
      <c r="J45" s="16">
        <v>1</v>
      </c>
      <c r="K45" s="16">
        <v>2</v>
      </c>
      <c r="L45" s="16">
        <v>0</v>
      </c>
      <c r="M45" s="16">
        <v>0</v>
      </c>
      <c r="N45" s="16">
        <v>0</v>
      </c>
      <c r="O45" s="18">
        <f t="shared" si="3"/>
        <v>4</v>
      </c>
      <c r="P45" s="111"/>
      <c r="Q45" s="110">
        <f t="shared" si="4"/>
        <v>4</v>
      </c>
    </row>
    <row r="46" spans="1:18" ht="18.75" customHeight="1" x14ac:dyDescent="0.25">
      <c r="A46" s="14">
        <v>5</v>
      </c>
      <c r="B46" s="19" t="s">
        <v>22</v>
      </c>
      <c r="C46" s="61">
        <v>0</v>
      </c>
      <c r="D46" s="16">
        <v>0</v>
      </c>
      <c r="E46" s="16">
        <v>0</v>
      </c>
      <c r="F46" s="16">
        <v>0</v>
      </c>
      <c r="G46" s="61">
        <v>0</v>
      </c>
      <c r="H46" s="61">
        <v>0</v>
      </c>
      <c r="I46" s="16">
        <v>0</v>
      </c>
      <c r="J46" s="16">
        <v>2</v>
      </c>
      <c r="K46" s="16">
        <v>0</v>
      </c>
      <c r="L46" s="16">
        <v>0</v>
      </c>
      <c r="M46" s="16">
        <v>0</v>
      </c>
      <c r="N46" s="16">
        <v>1</v>
      </c>
      <c r="O46" s="18">
        <f t="shared" si="3"/>
        <v>3</v>
      </c>
      <c r="P46" s="111"/>
      <c r="Q46" s="110">
        <f t="shared" si="4"/>
        <v>3</v>
      </c>
    </row>
    <row r="47" spans="1:18" ht="18.75" customHeight="1" x14ac:dyDescent="0.25">
      <c r="A47" s="14">
        <v>6</v>
      </c>
      <c r="B47" s="19" t="s">
        <v>23</v>
      </c>
      <c r="C47" s="61">
        <v>0</v>
      </c>
      <c r="D47" s="16">
        <v>0</v>
      </c>
      <c r="E47" s="16">
        <v>0</v>
      </c>
      <c r="F47" s="16">
        <v>0</v>
      </c>
      <c r="G47" s="61">
        <v>0</v>
      </c>
      <c r="H47" s="61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8">
        <f t="shared" si="3"/>
        <v>0</v>
      </c>
      <c r="P47" s="111"/>
      <c r="Q47" s="110">
        <f t="shared" si="4"/>
        <v>0</v>
      </c>
    </row>
    <row r="48" spans="1:18" ht="18.75" customHeight="1" x14ac:dyDescent="0.25">
      <c r="A48" s="14">
        <v>7</v>
      </c>
      <c r="B48" s="19" t="s">
        <v>24</v>
      </c>
      <c r="C48" s="61">
        <v>0</v>
      </c>
      <c r="D48" s="16">
        <v>0</v>
      </c>
      <c r="E48" s="16">
        <v>0</v>
      </c>
      <c r="F48" s="16">
        <v>0</v>
      </c>
      <c r="G48" s="61">
        <v>0</v>
      </c>
      <c r="H48" s="61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8">
        <f t="shared" si="3"/>
        <v>0</v>
      </c>
      <c r="P48" s="111"/>
      <c r="Q48" s="110">
        <f t="shared" si="4"/>
        <v>0</v>
      </c>
    </row>
    <row r="49" spans="1:18" ht="18.75" customHeight="1" thickBot="1" x14ac:dyDescent="0.3">
      <c r="A49" s="20">
        <v>8</v>
      </c>
      <c r="B49" s="15" t="s">
        <v>25</v>
      </c>
      <c r="C49" s="112" t="s">
        <v>76</v>
      </c>
      <c r="D49" s="17">
        <v>0</v>
      </c>
      <c r="E49" s="17">
        <v>0</v>
      </c>
      <c r="F49" s="17">
        <v>1</v>
      </c>
      <c r="G49" s="62">
        <v>0</v>
      </c>
      <c r="H49" s="62">
        <v>0</v>
      </c>
      <c r="I49" s="17">
        <v>1</v>
      </c>
      <c r="J49" s="105">
        <v>0</v>
      </c>
      <c r="K49" s="17">
        <v>0</v>
      </c>
      <c r="L49" s="17">
        <v>0</v>
      </c>
      <c r="M49" s="17">
        <v>0</v>
      </c>
      <c r="N49" s="17">
        <v>0</v>
      </c>
      <c r="O49" s="18">
        <f t="shared" si="3"/>
        <v>2</v>
      </c>
      <c r="P49" s="111"/>
      <c r="Q49" s="110">
        <v>3</v>
      </c>
      <c r="R49" t="s">
        <v>200</v>
      </c>
    </row>
    <row r="50" spans="1:18" ht="18.75" customHeight="1" thickTop="1" x14ac:dyDescent="0.25">
      <c r="A50" s="429" t="s">
        <v>26</v>
      </c>
      <c r="B50" s="430"/>
      <c r="C50" s="22">
        <v>1</v>
      </c>
      <c r="D50" s="22">
        <v>5</v>
      </c>
      <c r="E50" s="22">
        <f t="shared" ref="E50:O50" si="5">SUM(E42:E49)</f>
        <v>4</v>
      </c>
      <c r="F50" s="22">
        <f t="shared" si="5"/>
        <v>4</v>
      </c>
      <c r="G50" s="22">
        <f t="shared" si="5"/>
        <v>1</v>
      </c>
      <c r="H50" s="22">
        <v>1</v>
      </c>
      <c r="I50" s="22">
        <f t="shared" si="5"/>
        <v>1</v>
      </c>
      <c r="J50" s="22">
        <v>6</v>
      </c>
      <c r="K50" s="22">
        <f t="shared" si="5"/>
        <v>2</v>
      </c>
      <c r="L50" s="22">
        <f t="shared" si="5"/>
        <v>0</v>
      </c>
      <c r="M50" s="22">
        <f t="shared" si="5"/>
        <v>0</v>
      </c>
      <c r="N50" s="22">
        <f t="shared" si="5"/>
        <v>1</v>
      </c>
      <c r="O50" s="22">
        <f t="shared" si="5"/>
        <v>18</v>
      </c>
      <c r="Q50" s="110">
        <f>SUM(Q42:Q49)</f>
        <v>26</v>
      </c>
    </row>
    <row r="51" spans="1:18" x14ac:dyDescent="0.25"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</row>
    <row r="52" spans="1:18" x14ac:dyDescent="0.25">
      <c r="A52" s="435" t="s">
        <v>61</v>
      </c>
      <c r="B52" s="435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</row>
    <row r="53" spans="1:18" x14ac:dyDescent="0.25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</row>
    <row r="54" spans="1:18" x14ac:dyDescent="0.25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</row>
    <row r="55" spans="1:18" x14ac:dyDescent="0.2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</row>
    <row r="56" spans="1:18" x14ac:dyDescent="0.25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</row>
    <row r="57" spans="1:18" x14ac:dyDescent="0.25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</row>
    <row r="58" spans="1:18" x14ac:dyDescent="0.25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</row>
    <row r="59" spans="1:18" x14ac:dyDescent="0.25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</row>
    <row r="60" spans="1:18" x14ac:dyDescent="0.25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</row>
    <row r="61" spans="1:18" x14ac:dyDescent="0.2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</row>
    <row r="62" spans="1:18" x14ac:dyDescent="0.2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</row>
    <row r="63" spans="1:18" x14ac:dyDescent="0.2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</row>
    <row r="64" spans="1:18" x14ac:dyDescent="0.2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</row>
    <row r="65" spans="1:15" x14ac:dyDescent="0.2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</row>
    <row r="66" spans="1:15" x14ac:dyDescent="0.25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</row>
    <row r="67" spans="1:15" x14ac:dyDescent="0.25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</row>
    <row r="68" spans="1:15" ht="18.75" x14ac:dyDescent="0.3">
      <c r="A68" s="424" t="s">
        <v>39</v>
      </c>
      <c r="B68" s="424"/>
      <c r="C68" s="424"/>
      <c r="D68" s="424"/>
      <c r="E68" s="424"/>
      <c r="F68" s="424"/>
      <c r="G68" s="424"/>
      <c r="H68" s="424"/>
      <c r="I68" s="424"/>
      <c r="J68" s="424"/>
      <c r="K68" s="424"/>
      <c r="L68" s="424"/>
      <c r="M68" s="424"/>
      <c r="N68" s="424"/>
      <c r="O68" s="424"/>
    </row>
    <row r="69" spans="1:15" ht="18.75" x14ac:dyDescent="0.3">
      <c r="A69" s="424" t="s">
        <v>75</v>
      </c>
      <c r="B69" s="424"/>
      <c r="C69" s="424"/>
      <c r="D69" s="424"/>
      <c r="E69" s="424"/>
      <c r="F69" s="424"/>
      <c r="G69" s="424"/>
      <c r="H69" s="424"/>
      <c r="I69" s="424"/>
      <c r="J69" s="424"/>
      <c r="K69" s="424"/>
      <c r="L69" s="424"/>
      <c r="M69" s="424"/>
      <c r="N69" s="424"/>
      <c r="O69" s="424"/>
    </row>
    <row r="70" spans="1:15" ht="18.75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5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3" t="s">
        <v>29</v>
      </c>
    </row>
    <row r="72" spans="1:15" x14ac:dyDescent="0.25">
      <c r="A72" s="425" t="s">
        <v>2</v>
      </c>
      <c r="B72" s="425" t="s">
        <v>3</v>
      </c>
      <c r="C72" s="427" t="s">
        <v>4</v>
      </c>
      <c r="D72" s="427"/>
      <c r="E72" s="427"/>
      <c r="F72" s="427"/>
      <c r="G72" s="427"/>
      <c r="H72" s="427"/>
      <c r="I72" s="427"/>
      <c r="J72" s="427"/>
      <c r="K72" s="427"/>
      <c r="L72" s="427"/>
      <c r="M72" s="427"/>
      <c r="N72" s="427"/>
      <c r="O72" s="425" t="s">
        <v>5</v>
      </c>
    </row>
    <row r="73" spans="1:15" x14ac:dyDescent="0.25">
      <c r="A73" s="426"/>
      <c r="B73" s="426"/>
      <c r="C73" s="25" t="s">
        <v>6</v>
      </c>
      <c r="D73" s="25" t="s">
        <v>7</v>
      </c>
      <c r="E73" s="25" t="s">
        <v>8</v>
      </c>
      <c r="F73" s="25" t="s">
        <v>9</v>
      </c>
      <c r="G73" s="25" t="s">
        <v>10</v>
      </c>
      <c r="H73" s="25" t="s">
        <v>11</v>
      </c>
      <c r="I73" s="25" t="s">
        <v>12</v>
      </c>
      <c r="J73" s="25" t="s">
        <v>13</v>
      </c>
      <c r="K73" s="25" t="s">
        <v>14</v>
      </c>
      <c r="L73" s="25" t="s">
        <v>15</v>
      </c>
      <c r="M73" s="25" t="s">
        <v>16</v>
      </c>
      <c r="N73" s="25" t="s">
        <v>17</v>
      </c>
      <c r="O73" s="428"/>
    </row>
    <row r="74" spans="1:15" ht="15.75" thickBot="1" x14ac:dyDescent="0.3">
      <c r="A74" s="26">
        <v>1</v>
      </c>
      <c r="B74" s="26">
        <v>2</v>
      </c>
      <c r="C74" s="26">
        <v>3</v>
      </c>
      <c r="D74" s="26">
        <v>4</v>
      </c>
      <c r="E74" s="26">
        <v>5</v>
      </c>
      <c r="F74" s="26">
        <v>6</v>
      </c>
      <c r="G74" s="26">
        <v>7</v>
      </c>
      <c r="H74" s="26">
        <v>8</v>
      </c>
      <c r="I74" s="26">
        <v>9</v>
      </c>
      <c r="J74" s="26">
        <v>10</v>
      </c>
      <c r="K74" s="26">
        <v>11</v>
      </c>
      <c r="L74" s="26">
        <v>12</v>
      </c>
      <c r="M74" s="26">
        <v>13</v>
      </c>
      <c r="N74" s="26">
        <v>14</v>
      </c>
      <c r="O74" s="26">
        <v>15</v>
      </c>
    </row>
    <row r="75" spans="1:15" ht="18.75" customHeight="1" thickTop="1" x14ac:dyDescent="0.25">
      <c r="A75" s="27">
        <v>1</v>
      </c>
      <c r="B75" s="7" t="s">
        <v>18</v>
      </c>
      <c r="C75" s="63">
        <v>0</v>
      </c>
      <c r="D75" s="63">
        <v>0</v>
      </c>
      <c r="E75" s="28">
        <v>0</v>
      </c>
      <c r="F75" s="28">
        <v>0</v>
      </c>
      <c r="G75" s="63">
        <v>0</v>
      </c>
      <c r="H75" s="63">
        <v>0</v>
      </c>
      <c r="I75" s="28">
        <v>0</v>
      </c>
      <c r="J75" s="28">
        <v>0</v>
      </c>
      <c r="K75" s="63">
        <v>0</v>
      </c>
      <c r="L75" s="28">
        <v>0</v>
      </c>
      <c r="M75" s="28">
        <v>0</v>
      </c>
      <c r="N75" s="28">
        <v>0</v>
      </c>
      <c r="O75" s="29">
        <f>SUM(C75:N75)</f>
        <v>0</v>
      </c>
    </row>
    <row r="76" spans="1:15" ht="18.75" customHeight="1" x14ac:dyDescent="0.25">
      <c r="A76" s="14">
        <v>2</v>
      </c>
      <c r="B76" s="12" t="s">
        <v>19</v>
      </c>
      <c r="C76" s="61">
        <v>0</v>
      </c>
      <c r="D76" s="61">
        <v>0</v>
      </c>
      <c r="E76" s="61">
        <v>0</v>
      </c>
      <c r="F76" s="16">
        <v>0</v>
      </c>
      <c r="G76" s="61">
        <v>0</v>
      </c>
      <c r="H76" s="61">
        <v>0</v>
      </c>
      <c r="I76" s="16">
        <v>0</v>
      </c>
      <c r="J76" s="16">
        <v>0</v>
      </c>
      <c r="K76" s="61">
        <v>0</v>
      </c>
      <c r="L76" s="16">
        <v>0</v>
      </c>
      <c r="M76" s="16">
        <v>0</v>
      </c>
      <c r="N76" s="16">
        <v>0</v>
      </c>
      <c r="O76" s="18">
        <f t="shared" ref="O76:O82" si="6">SUM(C76:N76)</f>
        <v>0</v>
      </c>
    </row>
    <row r="77" spans="1:15" ht="18.75" customHeight="1" x14ac:dyDescent="0.25">
      <c r="A77" s="14">
        <v>3</v>
      </c>
      <c r="B77" s="7" t="s">
        <v>20</v>
      </c>
      <c r="C77" s="61">
        <v>0</v>
      </c>
      <c r="D77" s="61">
        <v>0</v>
      </c>
      <c r="E77" s="61">
        <v>11</v>
      </c>
      <c r="F77" s="71">
        <v>9</v>
      </c>
      <c r="G77" s="61">
        <v>0</v>
      </c>
      <c r="H77" s="61">
        <v>0</v>
      </c>
      <c r="I77" s="16">
        <v>0</v>
      </c>
      <c r="J77" s="16">
        <v>5</v>
      </c>
      <c r="K77" s="61">
        <v>0</v>
      </c>
      <c r="L77" s="16">
        <v>0</v>
      </c>
      <c r="M77" s="16">
        <v>0</v>
      </c>
      <c r="N77" s="16">
        <v>0</v>
      </c>
      <c r="O77" s="18">
        <f t="shared" si="6"/>
        <v>25</v>
      </c>
    </row>
    <row r="78" spans="1:15" ht="18.75" customHeight="1" x14ac:dyDescent="0.25">
      <c r="A78" s="14">
        <v>4</v>
      </c>
      <c r="B78" s="15" t="s">
        <v>21</v>
      </c>
      <c r="C78" s="61">
        <v>0</v>
      </c>
      <c r="D78" s="61">
        <v>0</v>
      </c>
      <c r="E78" s="61">
        <v>0</v>
      </c>
      <c r="F78" s="16">
        <v>0</v>
      </c>
      <c r="G78" s="61">
        <v>2</v>
      </c>
      <c r="H78" s="61">
        <v>0</v>
      </c>
      <c r="I78" s="16">
        <v>0</v>
      </c>
      <c r="J78" s="16">
        <v>2</v>
      </c>
      <c r="K78" s="61">
        <v>5</v>
      </c>
      <c r="L78" s="16">
        <v>0</v>
      </c>
      <c r="M78" s="16">
        <v>0</v>
      </c>
      <c r="N78" s="16">
        <v>0</v>
      </c>
      <c r="O78" s="18">
        <f t="shared" si="6"/>
        <v>9</v>
      </c>
    </row>
    <row r="79" spans="1:15" ht="18.75" customHeight="1" x14ac:dyDescent="0.25">
      <c r="A79" s="14">
        <v>5</v>
      </c>
      <c r="B79" s="19" t="s">
        <v>22</v>
      </c>
      <c r="C79" s="61">
        <v>0</v>
      </c>
      <c r="D79" s="61">
        <v>0</v>
      </c>
      <c r="E79" s="61">
        <v>0</v>
      </c>
      <c r="F79" s="16">
        <v>0</v>
      </c>
      <c r="G79" s="61">
        <v>0</v>
      </c>
      <c r="H79" s="61">
        <v>0</v>
      </c>
      <c r="I79" s="16">
        <v>0</v>
      </c>
      <c r="J79" s="16">
        <v>5</v>
      </c>
      <c r="K79" s="61">
        <v>0</v>
      </c>
      <c r="L79" s="16">
        <v>0</v>
      </c>
      <c r="M79" s="16">
        <v>0</v>
      </c>
      <c r="N79" s="16">
        <v>2</v>
      </c>
      <c r="O79" s="18">
        <f t="shared" si="6"/>
        <v>7</v>
      </c>
    </row>
    <row r="80" spans="1:15" ht="18.75" customHeight="1" x14ac:dyDescent="0.25">
      <c r="A80" s="14">
        <v>6</v>
      </c>
      <c r="B80" s="19" t="s">
        <v>23</v>
      </c>
      <c r="C80" s="61">
        <v>0</v>
      </c>
      <c r="D80" s="61">
        <v>0</v>
      </c>
      <c r="E80" s="61">
        <v>0</v>
      </c>
      <c r="F80" s="16">
        <v>0</v>
      </c>
      <c r="G80" s="61">
        <v>0</v>
      </c>
      <c r="H80" s="61">
        <v>0</v>
      </c>
      <c r="I80" s="16">
        <v>0</v>
      </c>
      <c r="J80" s="16">
        <v>0</v>
      </c>
      <c r="K80" s="61">
        <v>0</v>
      </c>
      <c r="L80" s="16">
        <v>0</v>
      </c>
      <c r="M80" s="16">
        <v>0</v>
      </c>
      <c r="N80" s="16">
        <v>0</v>
      </c>
      <c r="O80" s="18">
        <f t="shared" si="6"/>
        <v>0</v>
      </c>
    </row>
    <row r="81" spans="1:15" ht="18.75" customHeight="1" x14ac:dyDescent="0.25">
      <c r="A81" s="14">
        <v>7</v>
      </c>
      <c r="B81" s="19" t="s">
        <v>24</v>
      </c>
      <c r="C81" s="61">
        <v>0</v>
      </c>
      <c r="D81" s="61">
        <v>0</v>
      </c>
      <c r="E81" s="61">
        <v>0</v>
      </c>
      <c r="F81" s="16">
        <v>0</v>
      </c>
      <c r="G81" s="61">
        <v>0</v>
      </c>
      <c r="H81" s="61">
        <v>0</v>
      </c>
      <c r="I81" s="16">
        <v>0</v>
      </c>
      <c r="J81" s="16">
        <v>0</v>
      </c>
      <c r="K81" s="61">
        <v>0</v>
      </c>
      <c r="L81" s="16">
        <v>0</v>
      </c>
      <c r="M81" s="16">
        <v>0</v>
      </c>
      <c r="N81" s="16">
        <v>0</v>
      </c>
      <c r="O81" s="18">
        <f t="shared" si="6"/>
        <v>0</v>
      </c>
    </row>
    <row r="82" spans="1:15" ht="18.75" customHeight="1" thickBot="1" x14ac:dyDescent="0.3">
      <c r="A82" s="20">
        <v>8</v>
      </c>
      <c r="B82" s="15" t="s">
        <v>25</v>
      </c>
      <c r="C82" s="62">
        <v>0</v>
      </c>
      <c r="D82" s="62">
        <v>0</v>
      </c>
      <c r="E82" s="62">
        <v>0</v>
      </c>
      <c r="F82" s="17">
        <v>3</v>
      </c>
      <c r="G82" s="62">
        <v>0</v>
      </c>
      <c r="H82" s="62">
        <v>0</v>
      </c>
      <c r="I82" s="17">
        <v>3</v>
      </c>
      <c r="J82" s="17">
        <v>0</v>
      </c>
      <c r="K82" s="62">
        <v>0</v>
      </c>
      <c r="L82" s="17">
        <v>0</v>
      </c>
      <c r="M82" s="17">
        <v>0</v>
      </c>
      <c r="N82" s="17">
        <v>0</v>
      </c>
      <c r="O82" s="21">
        <f t="shared" si="6"/>
        <v>6</v>
      </c>
    </row>
    <row r="83" spans="1:15" ht="18.75" customHeight="1" thickTop="1" x14ac:dyDescent="0.25">
      <c r="A83" s="429" t="s">
        <v>26</v>
      </c>
      <c r="B83" s="430"/>
      <c r="C83" s="22">
        <f t="shared" ref="C83:O83" si="7">SUM(C75:C82)</f>
        <v>0</v>
      </c>
      <c r="D83" s="22">
        <f t="shared" si="7"/>
        <v>0</v>
      </c>
      <c r="E83" s="22">
        <f t="shared" si="7"/>
        <v>11</v>
      </c>
      <c r="F83" s="72">
        <f t="shared" si="7"/>
        <v>12</v>
      </c>
      <c r="G83" s="22">
        <f t="shared" si="7"/>
        <v>2</v>
      </c>
      <c r="H83" s="22">
        <f t="shared" si="7"/>
        <v>0</v>
      </c>
      <c r="I83" s="22">
        <f t="shared" si="7"/>
        <v>3</v>
      </c>
      <c r="J83" s="22">
        <f t="shared" si="7"/>
        <v>12</v>
      </c>
      <c r="K83" s="22">
        <f t="shared" si="7"/>
        <v>5</v>
      </c>
      <c r="L83" s="22">
        <f t="shared" si="7"/>
        <v>0</v>
      </c>
      <c r="M83" s="22">
        <f t="shared" si="7"/>
        <v>0</v>
      </c>
      <c r="N83" s="22">
        <f t="shared" si="7"/>
        <v>2</v>
      </c>
      <c r="O83" s="22">
        <f t="shared" si="7"/>
        <v>47</v>
      </c>
    </row>
    <row r="84" spans="1:15" x14ac:dyDescent="0.25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</row>
    <row r="85" spans="1:15" x14ac:dyDescent="0.2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</row>
    <row r="86" spans="1:15" x14ac:dyDescent="0.25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</row>
    <row r="87" spans="1:15" x14ac:dyDescent="0.25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</row>
    <row r="88" spans="1:15" x14ac:dyDescent="0.25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</row>
    <row r="89" spans="1:15" x14ac:dyDescent="0.25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</row>
    <row r="90" spans="1:15" x14ac:dyDescent="0.25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</row>
    <row r="91" spans="1:15" x14ac:dyDescent="0.25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</row>
    <row r="92" spans="1:15" x14ac:dyDescent="0.25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</row>
    <row r="93" spans="1:15" x14ac:dyDescent="0.25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</row>
    <row r="94" spans="1:15" x14ac:dyDescent="0.25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</row>
    <row r="95" spans="1:15" x14ac:dyDescent="0.2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</row>
    <row r="96" spans="1:15" x14ac:dyDescent="0.25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</row>
    <row r="97" spans="1:15" x14ac:dyDescent="0.25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</row>
    <row r="98" spans="1:15" x14ac:dyDescent="0.25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</row>
    <row r="99" spans="1:15" x14ac:dyDescent="0.25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</row>
    <row r="100" spans="1:15" x14ac:dyDescent="0.25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</row>
    <row r="101" spans="1:15" ht="18.75" x14ac:dyDescent="0.3">
      <c r="A101" s="424" t="s">
        <v>40</v>
      </c>
      <c r="B101" s="424"/>
      <c r="C101" s="424"/>
      <c r="D101" s="424"/>
      <c r="E101" s="424"/>
      <c r="F101" s="424"/>
      <c r="G101" s="424"/>
      <c r="H101" s="424"/>
      <c r="I101" s="424"/>
      <c r="J101" s="424"/>
      <c r="K101" s="424"/>
      <c r="L101" s="424"/>
      <c r="M101" s="424"/>
      <c r="N101" s="424"/>
      <c r="O101" s="424"/>
    </row>
    <row r="102" spans="1:15" ht="18.75" x14ac:dyDescent="0.3">
      <c r="A102" s="424" t="s">
        <v>75</v>
      </c>
      <c r="B102" s="424"/>
      <c r="C102" s="424"/>
      <c r="D102" s="424"/>
      <c r="E102" s="424"/>
      <c r="F102" s="424"/>
      <c r="G102" s="424"/>
      <c r="H102" s="424"/>
      <c r="I102" s="424"/>
      <c r="J102" s="424"/>
      <c r="K102" s="424"/>
      <c r="L102" s="424"/>
      <c r="M102" s="424"/>
      <c r="N102" s="424"/>
      <c r="O102" s="424"/>
    </row>
    <row r="103" spans="1:15" ht="18.75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3" t="s">
        <v>31</v>
      </c>
    </row>
    <row r="105" spans="1:15" x14ac:dyDescent="0.25">
      <c r="A105" s="425" t="s">
        <v>2</v>
      </c>
      <c r="B105" s="425" t="s">
        <v>3</v>
      </c>
      <c r="C105" s="427" t="s">
        <v>4</v>
      </c>
      <c r="D105" s="427"/>
      <c r="E105" s="427"/>
      <c r="F105" s="427"/>
      <c r="G105" s="427"/>
      <c r="H105" s="427"/>
      <c r="I105" s="427"/>
      <c r="J105" s="427"/>
      <c r="K105" s="427"/>
      <c r="L105" s="427"/>
      <c r="M105" s="427"/>
      <c r="N105" s="427"/>
      <c r="O105" s="425" t="s">
        <v>5</v>
      </c>
    </row>
    <row r="106" spans="1:15" x14ac:dyDescent="0.25">
      <c r="A106" s="426"/>
      <c r="B106" s="426"/>
      <c r="C106" s="25" t="s">
        <v>6</v>
      </c>
      <c r="D106" s="25" t="s">
        <v>7</v>
      </c>
      <c r="E106" s="25" t="s">
        <v>8</v>
      </c>
      <c r="F106" s="25" t="s">
        <v>9</v>
      </c>
      <c r="G106" s="25" t="s">
        <v>10</v>
      </c>
      <c r="H106" s="25" t="s">
        <v>11</v>
      </c>
      <c r="I106" s="25" t="s">
        <v>12</v>
      </c>
      <c r="J106" s="25" t="s">
        <v>13</v>
      </c>
      <c r="K106" s="25" t="s">
        <v>14</v>
      </c>
      <c r="L106" s="25" t="s">
        <v>15</v>
      </c>
      <c r="M106" s="25" t="s">
        <v>16</v>
      </c>
      <c r="N106" s="25" t="s">
        <v>17</v>
      </c>
      <c r="O106" s="428"/>
    </row>
    <row r="107" spans="1:15" ht="15.75" thickBot="1" x14ac:dyDescent="0.3">
      <c r="A107" s="26">
        <v>1</v>
      </c>
      <c r="B107" s="26">
        <v>2</v>
      </c>
      <c r="C107" s="26">
        <v>3</v>
      </c>
      <c r="D107" s="26">
        <v>4</v>
      </c>
      <c r="E107" s="26">
        <v>5</v>
      </c>
      <c r="F107" s="26">
        <v>6</v>
      </c>
      <c r="G107" s="26">
        <v>7</v>
      </c>
      <c r="H107" s="26">
        <v>8</v>
      </c>
      <c r="I107" s="26">
        <v>9</v>
      </c>
      <c r="J107" s="26">
        <v>10</v>
      </c>
      <c r="K107" s="26">
        <v>11</v>
      </c>
      <c r="L107" s="26">
        <v>12</v>
      </c>
      <c r="M107" s="26">
        <v>13</v>
      </c>
      <c r="N107" s="26">
        <v>14</v>
      </c>
      <c r="O107" s="26">
        <v>15</v>
      </c>
    </row>
    <row r="108" spans="1:15" ht="18.75" customHeight="1" thickTop="1" x14ac:dyDescent="0.25">
      <c r="A108" s="27">
        <v>1</v>
      </c>
      <c r="B108" s="7" t="s">
        <v>18</v>
      </c>
      <c r="C108" s="28">
        <v>0</v>
      </c>
      <c r="D108" s="63">
        <v>0</v>
      </c>
      <c r="E108" s="32">
        <v>0</v>
      </c>
      <c r="F108" s="31">
        <v>0</v>
      </c>
      <c r="G108" s="63">
        <v>0</v>
      </c>
      <c r="H108" s="63">
        <v>0</v>
      </c>
      <c r="I108" s="28">
        <v>0</v>
      </c>
      <c r="J108" s="32">
        <v>0</v>
      </c>
      <c r="K108" s="63">
        <v>0</v>
      </c>
      <c r="L108" s="28">
        <v>0</v>
      </c>
      <c r="M108" s="28">
        <v>0</v>
      </c>
      <c r="N108" s="28">
        <v>0</v>
      </c>
      <c r="O108" s="33">
        <v>0</v>
      </c>
    </row>
    <row r="109" spans="1:15" ht="18.75" customHeight="1" x14ac:dyDescent="0.25">
      <c r="A109" s="14">
        <v>2</v>
      </c>
      <c r="B109" s="12" t="s">
        <v>19</v>
      </c>
      <c r="C109" s="16">
        <v>0</v>
      </c>
      <c r="D109" s="61">
        <v>0</v>
      </c>
      <c r="E109" s="61">
        <v>0</v>
      </c>
      <c r="F109" s="61">
        <v>0</v>
      </c>
      <c r="G109" s="61">
        <v>0</v>
      </c>
      <c r="H109" s="61">
        <v>0</v>
      </c>
      <c r="I109" s="16">
        <v>0</v>
      </c>
      <c r="J109" s="16">
        <v>0</v>
      </c>
      <c r="K109" s="61">
        <v>0</v>
      </c>
      <c r="L109" s="16">
        <v>0</v>
      </c>
      <c r="M109" s="16">
        <v>0</v>
      </c>
      <c r="N109" s="16">
        <v>0</v>
      </c>
      <c r="O109" s="35">
        <v>0</v>
      </c>
    </row>
    <row r="110" spans="1:15" ht="18.75" customHeight="1" x14ac:dyDescent="0.25">
      <c r="A110" s="14">
        <v>3</v>
      </c>
      <c r="B110" s="7" t="s">
        <v>20</v>
      </c>
      <c r="C110" s="16">
        <v>0</v>
      </c>
      <c r="D110" s="61">
        <v>0</v>
      </c>
      <c r="E110" s="66">
        <v>27.01</v>
      </c>
      <c r="F110" s="34">
        <v>30.55</v>
      </c>
      <c r="G110" s="61">
        <v>0</v>
      </c>
      <c r="H110" s="61">
        <v>0</v>
      </c>
      <c r="I110" s="16">
        <v>0</v>
      </c>
      <c r="J110" s="34">
        <v>25.5</v>
      </c>
      <c r="K110" s="61">
        <v>0</v>
      </c>
      <c r="L110" s="16">
        <v>0</v>
      </c>
      <c r="M110" s="16">
        <v>0</v>
      </c>
      <c r="N110" s="16">
        <v>0</v>
      </c>
      <c r="O110" s="35">
        <f t="shared" ref="O110:O112" si="8">O77/O44*10</f>
        <v>27.777777777777779</v>
      </c>
    </row>
    <row r="111" spans="1:15" ht="18.75" customHeight="1" x14ac:dyDescent="0.25">
      <c r="A111" s="14">
        <v>4</v>
      </c>
      <c r="B111" s="15" t="s">
        <v>21</v>
      </c>
      <c r="C111" s="16">
        <v>0</v>
      </c>
      <c r="D111" s="61">
        <v>0</v>
      </c>
      <c r="E111" s="61">
        <v>0</v>
      </c>
      <c r="F111" s="61">
        <v>0</v>
      </c>
      <c r="G111" s="66">
        <v>23.2</v>
      </c>
      <c r="H111" s="61">
        <v>0</v>
      </c>
      <c r="I111" s="16">
        <v>0</v>
      </c>
      <c r="J111" s="34">
        <v>24.6</v>
      </c>
      <c r="K111" s="66">
        <v>23.66</v>
      </c>
      <c r="L111" s="16">
        <v>0</v>
      </c>
      <c r="M111" s="16">
        <v>0</v>
      </c>
      <c r="N111" s="16">
        <v>0</v>
      </c>
      <c r="O111" s="35">
        <f t="shared" si="8"/>
        <v>22.5</v>
      </c>
    </row>
    <row r="112" spans="1:15" ht="18.75" customHeight="1" x14ac:dyDescent="0.25">
      <c r="A112" s="14">
        <v>5</v>
      </c>
      <c r="B112" s="19" t="s">
        <v>22</v>
      </c>
      <c r="C112" s="16">
        <v>0</v>
      </c>
      <c r="D112" s="61">
        <v>0</v>
      </c>
      <c r="E112" s="61">
        <v>0</v>
      </c>
      <c r="F112" s="61">
        <v>0</v>
      </c>
      <c r="G112" s="61">
        <v>0</v>
      </c>
      <c r="H112" s="61">
        <v>0</v>
      </c>
      <c r="I112" s="16">
        <v>0</v>
      </c>
      <c r="J112" s="34">
        <v>25.04</v>
      </c>
      <c r="K112" s="61">
        <v>0</v>
      </c>
      <c r="L112" s="16">
        <v>0</v>
      </c>
      <c r="M112" s="16">
        <v>0</v>
      </c>
      <c r="N112" s="34">
        <v>22.68</v>
      </c>
      <c r="O112" s="35">
        <f t="shared" si="8"/>
        <v>23.333333333333336</v>
      </c>
    </row>
    <row r="113" spans="1:15" ht="18.75" customHeight="1" x14ac:dyDescent="0.25">
      <c r="A113" s="14">
        <v>6</v>
      </c>
      <c r="B113" s="19" t="s">
        <v>23</v>
      </c>
      <c r="C113" s="16">
        <v>0</v>
      </c>
      <c r="D113" s="61">
        <v>0</v>
      </c>
      <c r="E113" s="61">
        <v>0</v>
      </c>
      <c r="F113" s="61">
        <v>0</v>
      </c>
      <c r="G113" s="61">
        <v>0</v>
      </c>
      <c r="H113" s="61">
        <v>0</v>
      </c>
      <c r="I113" s="16">
        <v>0</v>
      </c>
      <c r="J113" s="16">
        <v>0</v>
      </c>
      <c r="K113" s="61">
        <v>0</v>
      </c>
      <c r="L113" s="16">
        <v>0</v>
      </c>
      <c r="M113" s="16">
        <v>0</v>
      </c>
      <c r="N113" s="16">
        <v>0</v>
      </c>
      <c r="O113" s="35">
        <v>0</v>
      </c>
    </row>
    <row r="114" spans="1:15" ht="18.75" customHeight="1" x14ac:dyDescent="0.25">
      <c r="A114" s="14">
        <v>7</v>
      </c>
      <c r="B114" s="19" t="s">
        <v>24</v>
      </c>
      <c r="C114" s="16">
        <v>0</v>
      </c>
      <c r="D114" s="61">
        <v>0</v>
      </c>
      <c r="E114" s="61">
        <v>0</v>
      </c>
      <c r="F114" s="61">
        <v>0</v>
      </c>
      <c r="G114" s="61">
        <v>0</v>
      </c>
      <c r="H114" s="61">
        <v>0</v>
      </c>
      <c r="I114" s="16">
        <v>0</v>
      </c>
      <c r="J114" s="16">
        <v>0</v>
      </c>
      <c r="K114" s="61">
        <v>0</v>
      </c>
      <c r="L114" s="16">
        <v>0</v>
      </c>
      <c r="M114" s="16">
        <v>0</v>
      </c>
      <c r="N114" s="16">
        <v>0</v>
      </c>
      <c r="O114" s="35">
        <v>0</v>
      </c>
    </row>
    <row r="115" spans="1:15" ht="18.75" customHeight="1" thickBot="1" x14ac:dyDescent="0.3">
      <c r="A115" s="20">
        <v>8</v>
      </c>
      <c r="B115" s="15" t="s">
        <v>25</v>
      </c>
      <c r="C115" s="17">
        <v>0</v>
      </c>
      <c r="D115" s="62">
        <v>0</v>
      </c>
      <c r="E115" s="62">
        <v>0</v>
      </c>
      <c r="F115" s="67">
        <v>30.25</v>
      </c>
      <c r="G115" s="62">
        <v>0</v>
      </c>
      <c r="H115" s="62">
        <v>0</v>
      </c>
      <c r="I115" s="36">
        <v>30.25</v>
      </c>
      <c r="J115" s="36">
        <v>0</v>
      </c>
      <c r="K115" s="62">
        <v>0</v>
      </c>
      <c r="L115" s="17">
        <v>0</v>
      </c>
      <c r="M115" s="17">
        <v>0</v>
      </c>
      <c r="N115" s="36">
        <v>0</v>
      </c>
      <c r="O115" s="37">
        <f>O82/O49*10</f>
        <v>30</v>
      </c>
    </row>
    <row r="116" spans="1:15" ht="18.75" customHeight="1" thickTop="1" x14ac:dyDescent="0.25">
      <c r="A116" s="429" t="s">
        <v>26</v>
      </c>
      <c r="B116" s="430"/>
      <c r="C116" s="38">
        <v>0</v>
      </c>
      <c r="D116" s="38">
        <v>0</v>
      </c>
      <c r="E116" s="38">
        <f>SUM(E108:E115)</f>
        <v>27.01</v>
      </c>
      <c r="F116" s="38">
        <f>F83/F50*10</f>
        <v>30</v>
      </c>
      <c r="G116" s="38">
        <f>SUM(G108:G115)</f>
        <v>23.2</v>
      </c>
      <c r="H116" s="38">
        <f>SUM(H108:H115)/2</f>
        <v>0</v>
      </c>
      <c r="I116" s="38">
        <v>30.25</v>
      </c>
      <c r="J116" s="38">
        <f>J83/J50*10</f>
        <v>20</v>
      </c>
      <c r="K116" s="38">
        <v>23.66</v>
      </c>
      <c r="L116" s="38">
        <v>0</v>
      </c>
      <c r="M116" s="38">
        <v>0</v>
      </c>
      <c r="N116" s="38">
        <f>SUM(N108:N115)</f>
        <v>22.68</v>
      </c>
      <c r="O116" s="45">
        <f>O83/O50*10</f>
        <v>26.111111111111111</v>
      </c>
    </row>
    <row r="117" spans="1:15" x14ac:dyDescent="0.25">
      <c r="A117" s="24"/>
      <c r="B117" s="24"/>
      <c r="C117" s="24"/>
      <c r="D117" s="24"/>
      <c r="E117" s="24"/>
      <c r="F117" s="24"/>
      <c r="G117" s="108"/>
      <c r="H117" s="24"/>
      <c r="I117" s="24"/>
      <c r="J117" s="24"/>
      <c r="K117" s="24"/>
      <c r="L117" s="24"/>
      <c r="M117" s="24"/>
      <c r="N117" s="24"/>
      <c r="O117" s="24"/>
    </row>
    <row r="118" spans="1:15" x14ac:dyDescent="0.25">
      <c r="A118" s="24"/>
      <c r="B118" s="24"/>
      <c r="C118" s="24"/>
      <c r="D118" s="24"/>
      <c r="E118" s="24"/>
      <c r="F118" s="24"/>
      <c r="G118" s="108"/>
      <c r="H118" s="24"/>
      <c r="I118" s="24"/>
      <c r="J118" s="24"/>
      <c r="K118" s="24"/>
      <c r="L118" s="24"/>
      <c r="M118" s="24"/>
      <c r="N118" s="24"/>
      <c r="O118" s="24"/>
    </row>
    <row r="119" spans="1:15" x14ac:dyDescent="0.25">
      <c r="M119" s="41" t="s">
        <v>206</v>
      </c>
    </row>
    <row r="120" spans="1:15" x14ac:dyDescent="0.25">
      <c r="M120" s="41" t="s">
        <v>188</v>
      </c>
    </row>
    <row r="121" spans="1:15" x14ac:dyDescent="0.25">
      <c r="M121" s="41" t="s">
        <v>185</v>
      </c>
    </row>
    <row r="122" spans="1:15" x14ac:dyDescent="0.25">
      <c r="M122" s="41"/>
    </row>
    <row r="123" spans="1:15" x14ac:dyDescent="0.25">
      <c r="M123" s="41"/>
    </row>
    <row r="124" spans="1:15" x14ac:dyDescent="0.25">
      <c r="M124" s="41"/>
    </row>
    <row r="125" spans="1:15" x14ac:dyDescent="0.25">
      <c r="M125" s="423" t="s">
        <v>186</v>
      </c>
    </row>
    <row r="126" spans="1:15" x14ac:dyDescent="0.25">
      <c r="M126" s="41" t="s">
        <v>187</v>
      </c>
    </row>
  </sheetData>
  <mergeCells count="29">
    <mergeCell ref="A116:B116"/>
    <mergeCell ref="A83:B83"/>
    <mergeCell ref="A101:O101"/>
    <mergeCell ref="A102:O102"/>
    <mergeCell ref="A105:A106"/>
    <mergeCell ref="B105:B106"/>
    <mergeCell ref="C105:N105"/>
    <mergeCell ref="O105:O106"/>
    <mergeCell ref="A50:B50"/>
    <mergeCell ref="A68:O68"/>
    <mergeCell ref="A69:O69"/>
    <mergeCell ref="A72:A73"/>
    <mergeCell ref="B72:B73"/>
    <mergeCell ref="C72:N72"/>
    <mergeCell ref="O72:O73"/>
    <mergeCell ref="A52:B52"/>
    <mergeCell ref="A17:B17"/>
    <mergeCell ref="A35:O35"/>
    <mergeCell ref="A36:O36"/>
    <mergeCell ref="A39:A40"/>
    <mergeCell ref="B39:B40"/>
    <mergeCell ref="C39:N39"/>
    <mergeCell ref="O39:O40"/>
    <mergeCell ref="A2:O2"/>
    <mergeCell ref="A3:O3"/>
    <mergeCell ref="A6:A7"/>
    <mergeCell ref="B6:B7"/>
    <mergeCell ref="C6:N6"/>
    <mergeCell ref="O6:O7"/>
  </mergeCells>
  <pageMargins left="1.5748031496062993" right="0.39370078740157483" top="0.94488188976377963" bottom="0.74803149606299213" header="0.31496062992125984" footer="0.31496062992125984"/>
  <pageSetup paperSize="9" scale="90" orientation="landscape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126"/>
  <sheetViews>
    <sheetView zoomScale="90" zoomScaleNormal="90" workbookViewId="0">
      <selection activeCell="A2" sqref="A2:O2"/>
    </sheetView>
  </sheetViews>
  <sheetFormatPr defaultRowHeight="15" x14ac:dyDescent="0.25"/>
  <cols>
    <col min="1" max="1" width="4" customWidth="1"/>
    <col min="2" max="2" width="14.42578125" customWidth="1"/>
    <col min="3" max="15" width="8.5703125" customWidth="1"/>
  </cols>
  <sheetData>
    <row r="2" spans="1:17" ht="18.75" x14ac:dyDescent="0.3">
      <c r="A2" s="424" t="s">
        <v>57</v>
      </c>
      <c r="B2" s="424"/>
      <c r="C2" s="424"/>
      <c r="D2" s="424"/>
      <c r="E2" s="424"/>
      <c r="F2" s="424"/>
      <c r="G2" s="424"/>
      <c r="H2" s="424"/>
      <c r="I2" s="424"/>
      <c r="J2" s="424"/>
      <c r="K2" s="424"/>
      <c r="L2" s="424"/>
      <c r="M2" s="424"/>
      <c r="N2" s="424"/>
      <c r="O2" s="424"/>
    </row>
    <row r="3" spans="1:17" ht="18.75" x14ac:dyDescent="0.3">
      <c r="A3" s="424" t="s">
        <v>75</v>
      </c>
      <c r="B3" s="424"/>
      <c r="C3" s="424"/>
      <c r="D3" s="424"/>
      <c r="E3" s="424"/>
      <c r="F3" s="424"/>
      <c r="G3" s="424"/>
      <c r="H3" s="424"/>
      <c r="I3" s="424"/>
      <c r="J3" s="424"/>
      <c r="K3" s="424"/>
      <c r="L3" s="424"/>
      <c r="M3" s="424"/>
      <c r="N3" s="424"/>
      <c r="O3" s="424"/>
    </row>
    <row r="4" spans="1:17" ht="18.75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7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3" t="s">
        <v>1</v>
      </c>
    </row>
    <row r="6" spans="1:17" x14ac:dyDescent="0.25">
      <c r="A6" s="425" t="s">
        <v>2</v>
      </c>
      <c r="B6" s="425" t="s">
        <v>3</v>
      </c>
      <c r="C6" s="436" t="s">
        <v>4</v>
      </c>
      <c r="D6" s="436"/>
      <c r="E6" s="436"/>
      <c r="F6" s="436"/>
      <c r="G6" s="436"/>
      <c r="H6" s="436"/>
      <c r="I6" s="436"/>
      <c r="J6" s="436"/>
      <c r="K6" s="436"/>
      <c r="L6" s="436"/>
      <c r="M6" s="436"/>
      <c r="N6" s="436"/>
      <c r="O6" s="425" t="s">
        <v>5</v>
      </c>
    </row>
    <row r="7" spans="1:17" x14ac:dyDescent="0.25">
      <c r="A7" s="426"/>
      <c r="B7" s="426"/>
      <c r="C7" s="25" t="s">
        <v>6</v>
      </c>
      <c r="D7" s="25" t="s">
        <v>7</v>
      </c>
      <c r="E7" s="25" t="s">
        <v>8</v>
      </c>
      <c r="F7" s="25" t="s">
        <v>9</v>
      </c>
      <c r="G7" s="25" t="s">
        <v>10</v>
      </c>
      <c r="H7" s="25" t="s">
        <v>11</v>
      </c>
      <c r="I7" s="25" t="s">
        <v>12</v>
      </c>
      <c r="J7" s="25" t="s">
        <v>13</v>
      </c>
      <c r="K7" s="25" t="s">
        <v>14</v>
      </c>
      <c r="L7" s="25" t="s">
        <v>15</v>
      </c>
      <c r="M7" s="25" t="s">
        <v>16</v>
      </c>
      <c r="N7" s="25" t="s">
        <v>17</v>
      </c>
      <c r="O7" s="428"/>
    </row>
    <row r="8" spans="1:17" ht="15.75" thickBot="1" x14ac:dyDescent="0.3">
      <c r="A8" s="26">
        <v>1</v>
      </c>
      <c r="B8" s="26">
        <v>2</v>
      </c>
      <c r="C8" s="26">
        <v>3</v>
      </c>
      <c r="D8" s="26">
        <v>4</v>
      </c>
      <c r="E8" s="26">
        <v>5</v>
      </c>
      <c r="F8" s="26">
        <v>6</v>
      </c>
      <c r="G8" s="26">
        <v>7</v>
      </c>
      <c r="H8" s="26">
        <v>8</v>
      </c>
      <c r="I8" s="26">
        <v>9</v>
      </c>
      <c r="J8" s="26">
        <v>10</v>
      </c>
      <c r="K8" s="26">
        <v>11</v>
      </c>
      <c r="L8" s="26">
        <v>12</v>
      </c>
      <c r="M8" s="26">
        <v>13</v>
      </c>
      <c r="N8" s="26">
        <v>14</v>
      </c>
      <c r="O8" s="26">
        <v>15</v>
      </c>
      <c r="Q8" t="s">
        <v>196</v>
      </c>
    </row>
    <row r="9" spans="1:17" ht="18.75" customHeight="1" thickTop="1" x14ac:dyDescent="0.25">
      <c r="A9" s="27">
        <v>1</v>
      </c>
      <c r="B9" s="7" t="s">
        <v>18</v>
      </c>
      <c r="C9" s="28">
        <v>0</v>
      </c>
      <c r="D9" s="28">
        <v>0</v>
      </c>
      <c r="E9" s="28">
        <v>0</v>
      </c>
      <c r="F9" s="28">
        <v>0</v>
      </c>
      <c r="G9" s="28">
        <v>0</v>
      </c>
      <c r="H9" s="28">
        <v>0</v>
      </c>
      <c r="I9" s="28">
        <v>0</v>
      </c>
      <c r="J9" s="28">
        <v>0</v>
      </c>
      <c r="K9" s="28">
        <v>0</v>
      </c>
      <c r="L9" s="28">
        <v>0</v>
      </c>
      <c r="M9" s="28">
        <v>0</v>
      </c>
      <c r="N9" s="28">
        <v>0</v>
      </c>
      <c r="O9" s="29">
        <f>SUM(C9:N9)</f>
        <v>0</v>
      </c>
      <c r="Q9" s="110">
        <f>SUM(L9:M9)</f>
        <v>0</v>
      </c>
    </row>
    <row r="10" spans="1:17" ht="18.75" customHeight="1" x14ac:dyDescent="0.25">
      <c r="A10" s="14">
        <v>2</v>
      </c>
      <c r="B10" s="12" t="s">
        <v>19</v>
      </c>
      <c r="C10" s="16">
        <v>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1</v>
      </c>
      <c r="M10" s="16">
        <v>5</v>
      </c>
      <c r="N10" s="16">
        <v>5</v>
      </c>
      <c r="O10" s="18">
        <f t="shared" ref="O10:O16" si="0">SUM(C10:N10)</f>
        <v>11</v>
      </c>
      <c r="Q10" s="110">
        <f t="shared" ref="Q10:Q16" si="1">SUM(L10:M10)</f>
        <v>6</v>
      </c>
    </row>
    <row r="11" spans="1:17" ht="18.75" customHeight="1" x14ac:dyDescent="0.25">
      <c r="A11" s="14">
        <v>3</v>
      </c>
      <c r="B11" s="7" t="s">
        <v>20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25</v>
      </c>
      <c r="O11" s="18">
        <f t="shared" si="0"/>
        <v>25</v>
      </c>
      <c r="Q11" s="110">
        <f t="shared" si="1"/>
        <v>0</v>
      </c>
    </row>
    <row r="12" spans="1:17" ht="18.75" customHeight="1" x14ac:dyDescent="0.25">
      <c r="A12" s="14">
        <v>4</v>
      </c>
      <c r="B12" s="15" t="s">
        <v>21</v>
      </c>
      <c r="C12" s="16">
        <v>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8">
        <f t="shared" si="0"/>
        <v>0</v>
      </c>
      <c r="Q12" s="110">
        <f t="shared" si="1"/>
        <v>0</v>
      </c>
    </row>
    <row r="13" spans="1:17" ht="18.75" customHeight="1" x14ac:dyDescent="0.25">
      <c r="A13" s="14">
        <v>5</v>
      </c>
      <c r="B13" s="19" t="s">
        <v>22</v>
      </c>
      <c r="C13" s="16">
        <v>0</v>
      </c>
      <c r="D13" s="16">
        <v>5</v>
      </c>
      <c r="E13" s="16">
        <v>5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2</v>
      </c>
      <c r="L13" s="16">
        <v>2</v>
      </c>
      <c r="M13" s="16">
        <v>2</v>
      </c>
      <c r="N13" s="16">
        <v>4</v>
      </c>
      <c r="O13" s="18">
        <f t="shared" si="0"/>
        <v>20</v>
      </c>
      <c r="Q13" s="110">
        <f t="shared" si="1"/>
        <v>4</v>
      </c>
    </row>
    <row r="14" spans="1:17" ht="18.75" customHeight="1" x14ac:dyDescent="0.25">
      <c r="A14" s="14">
        <v>6</v>
      </c>
      <c r="B14" s="19" t="s">
        <v>23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8">
        <f t="shared" si="0"/>
        <v>0</v>
      </c>
      <c r="Q14" s="110">
        <f t="shared" si="1"/>
        <v>0</v>
      </c>
    </row>
    <row r="15" spans="1:17" ht="18.75" customHeight="1" x14ac:dyDescent="0.25">
      <c r="A15" s="14">
        <v>7</v>
      </c>
      <c r="B15" s="19" t="s">
        <v>24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8">
        <f t="shared" si="0"/>
        <v>0</v>
      </c>
      <c r="Q15" s="110">
        <f t="shared" si="1"/>
        <v>0</v>
      </c>
    </row>
    <row r="16" spans="1:17" ht="18.75" customHeight="1" thickBot="1" x14ac:dyDescent="0.3">
      <c r="A16" s="20">
        <v>8</v>
      </c>
      <c r="B16" s="15" t="s">
        <v>25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2</v>
      </c>
      <c r="O16" s="21">
        <f t="shared" si="0"/>
        <v>2</v>
      </c>
      <c r="Q16" s="110">
        <f t="shared" si="1"/>
        <v>0</v>
      </c>
    </row>
    <row r="17" spans="1:15" ht="18.75" customHeight="1" thickTop="1" x14ac:dyDescent="0.25">
      <c r="A17" s="429" t="s">
        <v>26</v>
      </c>
      <c r="B17" s="430"/>
      <c r="C17" s="22">
        <f t="shared" ref="C17:O17" si="2">SUM(C9:C16)</f>
        <v>0</v>
      </c>
      <c r="D17" s="22">
        <f t="shared" si="2"/>
        <v>5</v>
      </c>
      <c r="E17" s="22">
        <f t="shared" si="2"/>
        <v>5</v>
      </c>
      <c r="F17" s="22">
        <f t="shared" si="2"/>
        <v>0</v>
      </c>
      <c r="G17" s="22">
        <f t="shared" si="2"/>
        <v>0</v>
      </c>
      <c r="H17" s="22">
        <f t="shared" si="2"/>
        <v>0</v>
      </c>
      <c r="I17" s="22">
        <f t="shared" si="2"/>
        <v>0</v>
      </c>
      <c r="J17" s="22">
        <f t="shared" si="2"/>
        <v>0</v>
      </c>
      <c r="K17" s="22">
        <f t="shared" si="2"/>
        <v>2</v>
      </c>
      <c r="L17" s="22">
        <f t="shared" si="2"/>
        <v>3</v>
      </c>
      <c r="M17" s="22">
        <f t="shared" si="2"/>
        <v>7</v>
      </c>
      <c r="N17" s="22">
        <f t="shared" si="2"/>
        <v>36</v>
      </c>
      <c r="O17" s="22">
        <f t="shared" si="2"/>
        <v>58</v>
      </c>
    </row>
    <row r="18" spans="1:15" x14ac:dyDescent="0.2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</row>
    <row r="19" spans="1:15" x14ac:dyDescent="0.25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</row>
    <row r="20" spans="1:15" x14ac:dyDescent="0.25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</row>
    <row r="21" spans="1:15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</row>
    <row r="22" spans="1:15" x14ac:dyDescent="0.2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</row>
    <row r="23" spans="1:15" x14ac:dyDescent="0.2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</row>
    <row r="24" spans="1:15" x14ac:dyDescent="0.2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</row>
    <row r="25" spans="1:15" x14ac:dyDescent="0.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</row>
    <row r="26" spans="1:15" x14ac:dyDescent="0.2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</row>
    <row r="27" spans="1:15" x14ac:dyDescent="0.2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</row>
    <row r="28" spans="1:15" x14ac:dyDescent="0.2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</row>
    <row r="29" spans="1:15" x14ac:dyDescent="0.2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</row>
    <row r="30" spans="1:15" x14ac:dyDescent="0.2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</row>
    <row r="31" spans="1:15" x14ac:dyDescent="0.25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</row>
    <row r="32" spans="1:15" x14ac:dyDescent="0.25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</row>
    <row r="33" spans="1:17" x14ac:dyDescent="0.25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</row>
    <row r="34" spans="1:17" x14ac:dyDescent="0.25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</row>
    <row r="35" spans="1:17" ht="18.75" x14ac:dyDescent="0.3">
      <c r="A35" s="424" t="s">
        <v>58</v>
      </c>
      <c r="B35" s="424"/>
      <c r="C35" s="424"/>
      <c r="D35" s="424"/>
      <c r="E35" s="424"/>
      <c r="F35" s="424"/>
      <c r="G35" s="424"/>
      <c r="H35" s="424"/>
      <c r="I35" s="424"/>
      <c r="J35" s="424"/>
      <c r="K35" s="424"/>
      <c r="L35" s="424"/>
      <c r="M35" s="424"/>
      <c r="N35" s="424"/>
      <c r="O35" s="424"/>
    </row>
    <row r="36" spans="1:17" ht="18.75" x14ac:dyDescent="0.3">
      <c r="A36" s="424" t="s">
        <v>75</v>
      </c>
      <c r="B36" s="424"/>
      <c r="C36" s="424"/>
      <c r="D36" s="424"/>
      <c r="E36" s="424"/>
      <c r="F36" s="424"/>
      <c r="G36" s="424"/>
      <c r="H36" s="424"/>
      <c r="I36" s="424"/>
      <c r="J36" s="424"/>
      <c r="K36" s="424"/>
      <c r="L36" s="424"/>
      <c r="M36" s="424"/>
      <c r="N36" s="424"/>
      <c r="O36" s="424"/>
    </row>
    <row r="37" spans="1:17" ht="18.75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7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3" t="s">
        <v>1</v>
      </c>
    </row>
    <row r="39" spans="1:17" x14ac:dyDescent="0.25">
      <c r="A39" s="425" t="s">
        <v>2</v>
      </c>
      <c r="B39" s="425" t="s">
        <v>3</v>
      </c>
      <c r="C39" s="427" t="s">
        <v>4</v>
      </c>
      <c r="D39" s="427"/>
      <c r="E39" s="427"/>
      <c r="F39" s="427"/>
      <c r="G39" s="427"/>
      <c r="H39" s="427"/>
      <c r="I39" s="427"/>
      <c r="J39" s="427"/>
      <c r="K39" s="427"/>
      <c r="L39" s="427"/>
      <c r="M39" s="427"/>
      <c r="N39" s="427"/>
      <c r="O39" s="425" t="s">
        <v>5</v>
      </c>
    </row>
    <row r="40" spans="1:17" x14ac:dyDescent="0.25">
      <c r="A40" s="426"/>
      <c r="B40" s="426"/>
      <c r="C40" s="25" t="s">
        <v>6</v>
      </c>
      <c r="D40" s="25" t="s">
        <v>7</v>
      </c>
      <c r="E40" s="25" t="s">
        <v>8</v>
      </c>
      <c r="F40" s="25" t="s">
        <v>9</v>
      </c>
      <c r="G40" s="25" t="s">
        <v>10</v>
      </c>
      <c r="H40" s="25" t="s">
        <v>11</v>
      </c>
      <c r="I40" s="25" t="s">
        <v>12</v>
      </c>
      <c r="J40" s="25" t="s">
        <v>13</v>
      </c>
      <c r="K40" s="25" t="s">
        <v>14</v>
      </c>
      <c r="L40" s="25" t="s">
        <v>15</v>
      </c>
      <c r="M40" s="25" t="s">
        <v>16</v>
      </c>
      <c r="N40" s="25" t="s">
        <v>17</v>
      </c>
      <c r="O40" s="428"/>
    </row>
    <row r="41" spans="1:17" ht="15.75" thickBot="1" x14ac:dyDescent="0.3">
      <c r="A41" s="26">
        <v>1</v>
      </c>
      <c r="B41" s="26">
        <v>2</v>
      </c>
      <c r="C41" s="26">
        <v>3</v>
      </c>
      <c r="D41" s="26">
        <v>4</v>
      </c>
      <c r="E41" s="26">
        <v>5</v>
      </c>
      <c r="F41" s="26">
        <v>6</v>
      </c>
      <c r="G41" s="26">
        <v>7</v>
      </c>
      <c r="H41" s="26">
        <v>8</v>
      </c>
      <c r="I41" s="26">
        <v>9</v>
      </c>
      <c r="J41" s="26">
        <v>10</v>
      </c>
      <c r="K41" s="26">
        <v>11</v>
      </c>
      <c r="L41" s="26">
        <v>12</v>
      </c>
      <c r="M41" s="26">
        <v>13</v>
      </c>
      <c r="N41" s="26">
        <v>14</v>
      </c>
      <c r="O41" s="26">
        <v>15</v>
      </c>
    </row>
    <row r="42" spans="1:17" ht="18.75" customHeight="1" thickTop="1" x14ac:dyDescent="0.25">
      <c r="A42" s="27">
        <v>1</v>
      </c>
      <c r="B42" s="7" t="s">
        <v>18</v>
      </c>
      <c r="C42" s="28">
        <v>0</v>
      </c>
      <c r="D42" s="28">
        <v>0</v>
      </c>
      <c r="E42" s="28">
        <v>0</v>
      </c>
      <c r="F42" s="28">
        <v>0</v>
      </c>
      <c r="G42" s="28">
        <v>0</v>
      </c>
      <c r="H42" s="28">
        <v>0</v>
      </c>
      <c r="I42" s="28">
        <v>0</v>
      </c>
      <c r="J42" s="28">
        <v>0</v>
      </c>
      <c r="K42" s="28">
        <v>0</v>
      </c>
      <c r="L42" s="28">
        <v>0</v>
      </c>
      <c r="M42" s="28">
        <v>0</v>
      </c>
      <c r="N42" s="28">
        <v>0</v>
      </c>
      <c r="O42" s="29">
        <f>SUM(C42:N42)</f>
        <v>0</v>
      </c>
      <c r="Q42" s="110">
        <f>SUM(C42:E42)</f>
        <v>0</v>
      </c>
    </row>
    <row r="43" spans="1:17" ht="18.75" customHeight="1" x14ac:dyDescent="0.25">
      <c r="A43" s="14">
        <v>2</v>
      </c>
      <c r="B43" s="12" t="s">
        <v>19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8">
        <f>SUM(C43:N43)</f>
        <v>0</v>
      </c>
      <c r="Q43" s="110">
        <f t="shared" ref="Q43:Q49" si="3">SUM(C43:E43)</f>
        <v>0</v>
      </c>
    </row>
    <row r="44" spans="1:17" ht="18.75" customHeight="1" x14ac:dyDescent="0.25">
      <c r="A44" s="14">
        <v>3</v>
      </c>
      <c r="B44" s="7" t="s">
        <v>20</v>
      </c>
      <c r="C44" s="16">
        <v>10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8">
        <f>SUM(C44:N44)</f>
        <v>10</v>
      </c>
      <c r="Q44" s="110">
        <f t="shared" si="3"/>
        <v>10</v>
      </c>
    </row>
    <row r="45" spans="1:17" ht="18.75" customHeight="1" x14ac:dyDescent="0.25">
      <c r="A45" s="14">
        <v>4</v>
      </c>
      <c r="B45" s="15" t="s">
        <v>21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8">
        <f t="shared" ref="O45:O48" si="4">SUM(C45:N45)</f>
        <v>0</v>
      </c>
      <c r="Q45" s="110">
        <f t="shared" si="3"/>
        <v>0</v>
      </c>
    </row>
    <row r="46" spans="1:17" ht="18.75" customHeight="1" x14ac:dyDescent="0.25">
      <c r="A46" s="14">
        <v>5</v>
      </c>
      <c r="B46" s="19" t="s">
        <v>22</v>
      </c>
      <c r="C46" s="16">
        <v>0</v>
      </c>
      <c r="D46" s="16">
        <v>0</v>
      </c>
      <c r="E46" s="16">
        <v>0</v>
      </c>
      <c r="F46" s="16">
        <v>0</v>
      </c>
      <c r="G46" s="16">
        <v>10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6</v>
      </c>
      <c r="O46" s="18">
        <f>SUM(C46:N46)</f>
        <v>16</v>
      </c>
      <c r="Q46" s="110">
        <f>SUM(C46:E46)</f>
        <v>0</v>
      </c>
    </row>
    <row r="47" spans="1:17" ht="18.75" customHeight="1" x14ac:dyDescent="0.25">
      <c r="A47" s="14">
        <v>6</v>
      </c>
      <c r="B47" s="19" t="s">
        <v>23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8">
        <f t="shared" si="4"/>
        <v>0</v>
      </c>
      <c r="Q47" s="110">
        <f t="shared" si="3"/>
        <v>0</v>
      </c>
    </row>
    <row r="48" spans="1:17" ht="18.75" customHeight="1" x14ac:dyDescent="0.25">
      <c r="A48" s="14">
        <v>7</v>
      </c>
      <c r="B48" s="19" t="s">
        <v>24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8">
        <f t="shared" si="4"/>
        <v>0</v>
      </c>
      <c r="Q48" s="110">
        <f t="shared" si="3"/>
        <v>0</v>
      </c>
    </row>
    <row r="49" spans="1:17" ht="18.75" customHeight="1" thickBot="1" x14ac:dyDescent="0.3">
      <c r="A49" s="20">
        <v>8</v>
      </c>
      <c r="B49" s="15" t="s">
        <v>25</v>
      </c>
      <c r="C49" s="105">
        <v>15</v>
      </c>
      <c r="D49" s="17">
        <v>0</v>
      </c>
      <c r="E49" s="17">
        <v>0</v>
      </c>
      <c r="F49" s="17">
        <v>0</v>
      </c>
      <c r="G49" s="17">
        <v>0</v>
      </c>
      <c r="H49" s="17">
        <v>0</v>
      </c>
      <c r="I49" s="17">
        <v>0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21">
        <f>SUM(C49:N49)</f>
        <v>15</v>
      </c>
      <c r="P49" s="114">
        <v>15</v>
      </c>
      <c r="Q49" s="110">
        <f t="shared" si="3"/>
        <v>15</v>
      </c>
    </row>
    <row r="50" spans="1:17" ht="18.75" customHeight="1" thickTop="1" x14ac:dyDescent="0.25">
      <c r="A50" s="429" t="s">
        <v>26</v>
      </c>
      <c r="B50" s="430"/>
      <c r="C50" s="22">
        <v>25</v>
      </c>
      <c r="D50" s="22">
        <f t="shared" ref="D50:O50" si="5">SUM(D42:D49)</f>
        <v>0</v>
      </c>
      <c r="E50" s="22">
        <f t="shared" si="5"/>
        <v>0</v>
      </c>
      <c r="F50" s="22">
        <f t="shared" si="5"/>
        <v>0</v>
      </c>
      <c r="G50" s="22">
        <f t="shared" si="5"/>
        <v>10</v>
      </c>
      <c r="H50" s="22">
        <f t="shared" si="5"/>
        <v>0</v>
      </c>
      <c r="I50" s="22">
        <f t="shared" si="5"/>
        <v>0</v>
      </c>
      <c r="J50" s="22">
        <f t="shared" si="5"/>
        <v>0</v>
      </c>
      <c r="K50" s="22">
        <f t="shared" si="5"/>
        <v>0</v>
      </c>
      <c r="L50" s="22">
        <f t="shared" si="5"/>
        <v>0</v>
      </c>
      <c r="M50" s="22">
        <f t="shared" si="5"/>
        <v>0</v>
      </c>
      <c r="N50" s="22">
        <f t="shared" si="5"/>
        <v>6</v>
      </c>
      <c r="O50" s="22">
        <f t="shared" si="5"/>
        <v>41</v>
      </c>
      <c r="P50" s="113">
        <f>SUM(P42:P49)</f>
        <v>15</v>
      </c>
    </row>
    <row r="51" spans="1:17" x14ac:dyDescent="0.25">
      <c r="A51" s="137" t="s">
        <v>87</v>
      </c>
      <c r="B51" s="137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</row>
    <row r="52" spans="1:17" x14ac:dyDescent="0.25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</row>
    <row r="53" spans="1:17" x14ac:dyDescent="0.25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</row>
    <row r="54" spans="1:17" x14ac:dyDescent="0.25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</row>
    <row r="55" spans="1:17" x14ac:dyDescent="0.2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</row>
    <row r="56" spans="1:17" x14ac:dyDescent="0.25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</row>
    <row r="57" spans="1:17" x14ac:dyDescent="0.25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</row>
    <row r="58" spans="1:17" x14ac:dyDescent="0.25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</row>
    <row r="59" spans="1:17" x14ac:dyDescent="0.25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</row>
    <row r="60" spans="1:17" x14ac:dyDescent="0.25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</row>
    <row r="61" spans="1:17" x14ac:dyDescent="0.2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</row>
    <row r="62" spans="1:17" x14ac:dyDescent="0.2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</row>
    <row r="63" spans="1:17" x14ac:dyDescent="0.2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</row>
    <row r="64" spans="1:17" x14ac:dyDescent="0.2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</row>
    <row r="65" spans="1:17" x14ac:dyDescent="0.2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</row>
    <row r="66" spans="1:17" x14ac:dyDescent="0.25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</row>
    <row r="67" spans="1:17" x14ac:dyDescent="0.25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</row>
    <row r="68" spans="1:17" ht="18.75" x14ac:dyDescent="0.3">
      <c r="A68" s="424" t="s">
        <v>59</v>
      </c>
      <c r="B68" s="424"/>
      <c r="C68" s="424"/>
      <c r="D68" s="424"/>
      <c r="E68" s="424"/>
      <c r="F68" s="424"/>
      <c r="G68" s="424"/>
      <c r="H68" s="424"/>
      <c r="I68" s="424"/>
      <c r="J68" s="424"/>
      <c r="K68" s="424"/>
      <c r="L68" s="424"/>
      <c r="M68" s="424"/>
      <c r="N68" s="424"/>
      <c r="O68" s="424"/>
    </row>
    <row r="69" spans="1:17" ht="18.75" x14ac:dyDescent="0.3">
      <c r="A69" s="424" t="s">
        <v>75</v>
      </c>
      <c r="B69" s="424"/>
      <c r="C69" s="424"/>
      <c r="D69" s="424"/>
      <c r="E69" s="424"/>
      <c r="F69" s="424"/>
      <c r="G69" s="424"/>
      <c r="H69" s="424"/>
      <c r="I69" s="424"/>
      <c r="J69" s="424"/>
      <c r="K69" s="424"/>
      <c r="L69" s="424"/>
      <c r="M69" s="424"/>
      <c r="N69" s="424"/>
      <c r="O69" s="424"/>
    </row>
    <row r="70" spans="1:17" ht="18.75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7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3" t="s">
        <v>29</v>
      </c>
    </row>
    <row r="72" spans="1:17" x14ac:dyDescent="0.25">
      <c r="A72" s="425" t="s">
        <v>2</v>
      </c>
      <c r="B72" s="425" t="s">
        <v>3</v>
      </c>
      <c r="C72" s="427" t="s">
        <v>4</v>
      </c>
      <c r="D72" s="427"/>
      <c r="E72" s="427"/>
      <c r="F72" s="427"/>
      <c r="G72" s="427"/>
      <c r="H72" s="427"/>
      <c r="I72" s="427"/>
      <c r="J72" s="427"/>
      <c r="K72" s="427"/>
      <c r="L72" s="427"/>
      <c r="M72" s="427"/>
      <c r="N72" s="427"/>
      <c r="O72" s="425" t="s">
        <v>5</v>
      </c>
    </row>
    <row r="73" spans="1:17" x14ac:dyDescent="0.25">
      <c r="A73" s="426"/>
      <c r="B73" s="426"/>
      <c r="C73" s="25" t="s">
        <v>6</v>
      </c>
      <c r="D73" s="25" t="s">
        <v>7</v>
      </c>
      <c r="E73" s="25" t="s">
        <v>8</v>
      </c>
      <c r="F73" s="25" t="s">
        <v>9</v>
      </c>
      <c r="G73" s="25" t="s">
        <v>10</v>
      </c>
      <c r="H73" s="25" t="s">
        <v>11</v>
      </c>
      <c r="I73" s="25" t="s">
        <v>12</v>
      </c>
      <c r="J73" s="25" t="s">
        <v>13</v>
      </c>
      <c r="K73" s="25" t="s">
        <v>14</v>
      </c>
      <c r="L73" s="25" t="s">
        <v>15</v>
      </c>
      <c r="M73" s="25" t="s">
        <v>16</v>
      </c>
      <c r="N73" s="25" t="s">
        <v>17</v>
      </c>
      <c r="O73" s="428"/>
      <c r="Q73" s="109"/>
    </row>
    <row r="74" spans="1:17" ht="15.75" thickBot="1" x14ac:dyDescent="0.3">
      <c r="A74" s="26">
        <v>1</v>
      </c>
      <c r="B74" s="26">
        <v>2</v>
      </c>
      <c r="C74" s="26">
        <v>3</v>
      </c>
      <c r="D74" s="26">
        <v>4</v>
      </c>
      <c r="E74" s="26">
        <v>5</v>
      </c>
      <c r="F74" s="26">
        <v>6</v>
      </c>
      <c r="G74" s="26">
        <v>7</v>
      </c>
      <c r="H74" s="26">
        <v>8</v>
      </c>
      <c r="I74" s="26">
        <v>9</v>
      </c>
      <c r="J74" s="26">
        <v>10</v>
      </c>
      <c r="K74" s="26">
        <v>11</v>
      </c>
      <c r="L74" s="26">
        <v>12</v>
      </c>
      <c r="M74" s="26">
        <v>13</v>
      </c>
      <c r="N74" s="26">
        <v>14</v>
      </c>
      <c r="O74" s="26">
        <v>15</v>
      </c>
    </row>
    <row r="75" spans="1:17" ht="18.75" customHeight="1" thickTop="1" x14ac:dyDescent="0.25">
      <c r="A75" s="27">
        <v>1</v>
      </c>
      <c r="B75" s="7" t="s">
        <v>18</v>
      </c>
      <c r="C75" s="28">
        <v>0</v>
      </c>
      <c r="D75" s="28">
        <v>0</v>
      </c>
      <c r="E75" s="28">
        <v>0</v>
      </c>
      <c r="F75" s="28">
        <v>0</v>
      </c>
      <c r="G75" s="28">
        <v>0</v>
      </c>
      <c r="H75" s="28">
        <v>0</v>
      </c>
      <c r="I75" s="28">
        <v>0</v>
      </c>
      <c r="J75" s="28">
        <v>0</v>
      </c>
      <c r="K75" s="28">
        <v>0</v>
      </c>
      <c r="L75" s="28">
        <v>0</v>
      </c>
      <c r="M75" s="28">
        <v>0</v>
      </c>
      <c r="N75" s="28">
        <v>0</v>
      </c>
      <c r="O75" s="29">
        <f>SUM(C75:N75)</f>
        <v>0</v>
      </c>
      <c r="Q75" s="110">
        <f>SUM(C75:E75)</f>
        <v>0</v>
      </c>
    </row>
    <row r="76" spans="1:17" ht="18.75" customHeight="1" x14ac:dyDescent="0.25">
      <c r="A76" s="14">
        <v>2</v>
      </c>
      <c r="B76" s="12" t="s">
        <v>19</v>
      </c>
      <c r="C76" s="16">
        <v>0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8">
        <f t="shared" ref="O76:O82" si="6">SUM(C76:N76)</f>
        <v>0</v>
      </c>
      <c r="Q76" s="110">
        <f t="shared" ref="Q76:Q82" si="7">SUM(C76:E76)</f>
        <v>0</v>
      </c>
    </row>
    <row r="77" spans="1:17" ht="18.75" customHeight="1" x14ac:dyDescent="0.25">
      <c r="A77" s="14">
        <v>3</v>
      </c>
      <c r="B77" s="7" t="s">
        <v>20</v>
      </c>
      <c r="C77" s="16">
        <v>9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8">
        <f t="shared" si="6"/>
        <v>9</v>
      </c>
      <c r="Q77" s="110">
        <f t="shared" si="7"/>
        <v>9</v>
      </c>
    </row>
    <row r="78" spans="1:17" ht="18.75" customHeight="1" x14ac:dyDescent="0.25">
      <c r="A78" s="14">
        <v>4</v>
      </c>
      <c r="B78" s="15" t="s">
        <v>21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8">
        <f t="shared" si="6"/>
        <v>0</v>
      </c>
      <c r="Q78" s="110">
        <f t="shared" si="7"/>
        <v>0</v>
      </c>
    </row>
    <row r="79" spans="1:17" ht="18.75" customHeight="1" x14ac:dyDescent="0.25">
      <c r="A79" s="14">
        <v>5</v>
      </c>
      <c r="B79" s="19" t="s">
        <v>22</v>
      </c>
      <c r="C79" s="16">
        <v>0</v>
      </c>
      <c r="D79" s="16">
        <v>0</v>
      </c>
      <c r="E79" s="16">
        <v>0</v>
      </c>
      <c r="F79" s="16">
        <v>0</v>
      </c>
      <c r="G79" s="16">
        <v>10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6</v>
      </c>
      <c r="O79" s="18">
        <f t="shared" si="6"/>
        <v>16</v>
      </c>
      <c r="Q79" s="110">
        <f t="shared" si="7"/>
        <v>0</v>
      </c>
    </row>
    <row r="80" spans="1:17" ht="18.75" customHeight="1" x14ac:dyDescent="0.25">
      <c r="A80" s="14">
        <v>6</v>
      </c>
      <c r="B80" s="19" t="s">
        <v>23</v>
      </c>
      <c r="C80" s="16">
        <v>0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8">
        <f t="shared" si="6"/>
        <v>0</v>
      </c>
      <c r="Q80" s="110">
        <f t="shared" si="7"/>
        <v>0</v>
      </c>
    </row>
    <row r="81" spans="1:17" ht="18.75" customHeight="1" x14ac:dyDescent="0.25">
      <c r="A81" s="14">
        <v>7</v>
      </c>
      <c r="B81" s="19" t="s">
        <v>24</v>
      </c>
      <c r="C81" s="16">
        <v>0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8">
        <f t="shared" si="6"/>
        <v>0</v>
      </c>
      <c r="Q81" s="110">
        <f t="shared" si="7"/>
        <v>0</v>
      </c>
    </row>
    <row r="82" spans="1:17" ht="18.75" customHeight="1" thickBot="1" x14ac:dyDescent="0.3">
      <c r="A82" s="20">
        <v>8</v>
      </c>
      <c r="B82" s="15" t="s">
        <v>25</v>
      </c>
      <c r="C82" s="17">
        <v>13</v>
      </c>
      <c r="D82" s="17">
        <v>0</v>
      </c>
      <c r="E82" s="17">
        <v>0</v>
      </c>
      <c r="F82" s="17">
        <v>0</v>
      </c>
      <c r="G82" s="17">
        <v>0</v>
      </c>
      <c r="H82" s="17">
        <v>0</v>
      </c>
      <c r="I82" s="17">
        <v>0</v>
      </c>
      <c r="J82" s="17">
        <v>0</v>
      </c>
      <c r="K82" s="17">
        <v>0</v>
      </c>
      <c r="L82" s="17">
        <v>0</v>
      </c>
      <c r="M82" s="17">
        <v>0</v>
      </c>
      <c r="N82" s="17">
        <v>0</v>
      </c>
      <c r="O82" s="21">
        <f t="shared" si="6"/>
        <v>13</v>
      </c>
      <c r="Q82" s="110">
        <f t="shared" si="7"/>
        <v>13</v>
      </c>
    </row>
    <row r="83" spans="1:17" ht="18.75" customHeight="1" thickTop="1" x14ac:dyDescent="0.25">
      <c r="A83" s="429" t="s">
        <v>26</v>
      </c>
      <c r="B83" s="430"/>
      <c r="C83" s="22">
        <f t="shared" ref="C83:O83" si="8">SUM(C75:C82)</f>
        <v>22</v>
      </c>
      <c r="D83" s="22">
        <f t="shared" si="8"/>
        <v>0</v>
      </c>
      <c r="E83" s="22">
        <f t="shared" si="8"/>
        <v>0</v>
      </c>
      <c r="F83" s="22">
        <f t="shared" si="8"/>
        <v>0</v>
      </c>
      <c r="G83" s="22">
        <f t="shared" si="8"/>
        <v>10</v>
      </c>
      <c r="H83" s="22">
        <f t="shared" si="8"/>
        <v>0</v>
      </c>
      <c r="I83" s="22">
        <f t="shared" si="8"/>
        <v>0</v>
      </c>
      <c r="J83" s="22">
        <f t="shared" si="8"/>
        <v>0</v>
      </c>
      <c r="K83" s="22">
        <f t="shared" si="8"/>
        <v>0</v>
      </c>
      <c r="L83" s="22">
        <f t="shared" si="8"/>
        <v>0</v>
      </c>
      <c r="M83" s="22">
        <f t="shared" si="8"/>
        <v>0</v>
      </c>
      <c r="N83" s="22">
        <f t="shared" si="8"/>
        <v>6</v>
      </c>
      <c r="O83" s="22">
        <f t="shared" si="8"/>
        <v>38</v>
      </c>
    </row>
    <row r="84" spans="1:17" x14ac:dyDescent="0.25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</row>
    <row r="85" spans="1:17" x14ac:dyDescent="0.2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</row>
    <row r="86" spans="1:17" x14ac:dyDescent="0.25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</row>
    <row r="87" spans="1:17" x14ac:dyDescent="0.25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</row>
    <row r="88" spans="1:17" x14ac:dyDescent="0.25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</row>
    <row r="89" spans="1:17" x14ac:dyDescent="0.25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</row>
    <row r="90" spans="1:17" x14ac:dyDescent="0.25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</row>
    <row r="91" spans="1:17" x14ac:dyDescent="0.25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</row>
    <row r="92" spans="1:17" x14ac:dyDescent="0.25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</row>
    <row r="93" spans="1:17" x14ac:dyDescent="0.25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</row>
    <row r="94" spans="1:17" x14ac:dyDescent="0.25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</row>
    <row r="95" spans="1:17" x14ac:dyDescent="0.2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</row>
    <row r="96" spans="1:17" x14ac:dyDescent="0.25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</row>
    <row r="97" spans="1:15" x14ac:dyDescent="0.25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</row>
    <row r="98" spans="1:15" x14ac:dyDescent="0.25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</row>
    <row r="99" spans="1:15" x14ac:dyDescent="0.25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</row>
    <row r="100" spans="1:15" x14ac:dyDescent="0.25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</row>
    <row r="101" spans="1:15" ht="18.75" x14ac:dyDescent="0.3">
      <c r="A101" s="424" t="s">
        <v>60</v>
      </c>
      <c r="B101" s="424"/>
      <c r="C101" s="424"/>
      <c r="D101" s="424"/>
      <c r="E101" s="424"/>
      <c r="F101" s="424"/>
      <c r="G101" s="424"/>
      <c r="H101" s="424"/>
      <c r="I101" s="424"/>
      <c r="J101" s="424"/>
      <c r="K101" s="424"/>
      <c r="L101" s="424"/>
      <c r="M101" s="424"/>
      <c r="N101" s="424"/>
      <c r="O101" s="424"/>
    </row>
    <row r="102" spans="1:15" ht="18.75" x14ac:dyDescent="0.3">
      <c r="A102" s="424" t="s">
        <v>75</v>
      </c>
      <c r="B102" s="424"/>
      <c r="C102" s="424"/>
      <c r="D102" s="424"/>
      <c r="E102" s="424"/>
      <c r="F102" s="424"/>
      <c r="G102" s="424"/>
      <c r="H102" s="424"/>
      <c r="I102" s="424"/>
      <c r="J102" s="424"/>
      <c r="K102" s="424"/>
      <c r="L102" s="424"/>
      <c r="M102" s="424"/>
      <c r="N102" s="424"/>
      <c r="O102" s="424"/>
    </row>
    <row r="103" spans="1:15" ht="18.75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3" t="s">
        <v>31</v>
      </c>
    </row>
    <row r="105" spans="1:15" x14ac:dyDescent="0.25">
      <c r="A105" s="425" t="s">
        <v>2</v>
      </c>
      <c r="B105" s="425" t="s">
        <v>3</v>
      </c>
      <c r="C105" s="427" t="s">
        <v>4</v>
      </c>
      <c r="D105" s="427"/>
      <c r="E105" s="427"/>
      <c r="F105" s="427"/>
      <c r="G105" s="427"/>
      <c r="H105" s="427"/>
      <c r="I105" s="427"/>
      <c r="J105" s="427"/>
      <c r="K105" s="427"/>
      <c r="L105" s="427"/>
      <c r="M105" s="427"/>
      <c r="N105" s="427"/>
      <c r="O105" s="425" t="s">
        <v>5</v>
      </c>
    </row>
    <row r="106" spans="1:15" x14ac:dyDescent="0.25">
      <c r="A106" s="426"/>
      <c r="B106" s="426"/>
      <c r="C106" s="25" t="s">
        <v>6</v>
      </c>
      <c r="D106" s="25" t="s">
        <v>7</v>
      </c>
      <c r="E106" s="25" t="s">
        <v>8</v>
      </c>
      <c r="F106" s="25" t="s">
        <v>9</v>
      </c>
      <c r="G106" s="25" t="s">
        <v>10</v>
      </c>
      <c r="H106" s="25" t="s">
        <v>11</v>
      </c>
      <c r="I106" s="25" t="s">
        <v>12</v>
      </c>
      <c r="J106" s="25" t="s">
        <v>13</v>
      </c>
      <c r="K106" s="25" t="s">
        <v>14</v>
      </c>
      <c r="L106" s="25" t="s">
        <v>15</v>
      </c>
      <c r="M106" s="25" t="s">
        <v>16</v>
      </c>
      <c r="N106" s="25" t="s">
        <v>17</v>
      </c>
      <c r="O106" s="428"/>
    </row>
    <row r="107" spans="1:15" ht="15.75" thickBot="1" x14ac:dyDescent="0.3">
      <c r="A107" s="26">
        <v>1</v>
      </c>
      <c r="B107" s="26">
        <v>2</v>
      </c>
      <c r="C107" s="26">
        <v>3</v>
      </c>
      <c r="D107" s="26">
        <v>4</v>
      </c>
      <c r="E107" s="26">
        <v>5</v>
      </c>
      <c r="F107" s="26">
        <v>6</v>
      </c>
      <c r="G107" s="26">
        <v>7</v>
      </c>
      <c r="H107" s="26">
        <v>8</v>
      </c>
      <c r="I107" s="26">
        <v>9</v>
      </c>
      <c r="J107" s="26">
        <v>10</v>
      </c>
      <c r="K107" s="26">
        <v>11</v>
      </c>
      <c r="L107" s="26">
        <v>12</v>
      </c>
      <c r="M107" s="26">
        <v>13</v>
      </c>
      <c r="N107" s="26">
        <v>14</v>
      </c>
      <c r="O107" s="26">
        <v>15</v>
      </c>
    </row>
    <row r="108" spans="1:15" ht="18.75" customHeight="1" thickTop="1" x14ac:dyDescent="0.25">
      <c r="A108" s="27">
        <v>1</v>
      </c>
      <c r="B108" s="7" t="s">
        <v>18</v>
      </c>
      <c r="C108" s="32">
        <v>0</v>
      </c>
      <c r="D108" s="28">
        <v>0</v>
      </c>
      <c r="E108" s="28">
        <v>0</v>
      </c>
      <c r="F108" s="28">
        <v>0</v>
      </c>
      <c r="G108" s="28">
        <v>0</v>
      </c>
      <c r="H108" s="28">
        <v>0</v>
      </c>
      <c r="I108" s="28">
        <v>0</v>
      </c>
      <c r="J108" s="28">
        <v>0</v>
      </c>
      <c r="K108" s="28">
        <v>0</v>
      </c>
      <c r="L108" s="28">
        <v>0</v>
      </c>
      <c r="M108" s="28">
        <v>0</v>
      </c>
      <c r="N108" s="28">
        <v>0</v>
      </c>
      <c r="O108" s="33">
        <v>0</v>
      </c>
    </row>
    <row r="109" spans="1:15" ht="18.75" customHeight="1" x14ac:dyDescent="0.25">
      <c r="A109" s="14">
        <v>2</v>
      </c>
      <c r="B109" s="12" t="s">
        <v>19</v>
      </c>
      <c r="C109" s="34">
        <v>0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0</v>
      </c>
      <c r="K109" s="16">
        <v>0</v>
      </c>
      <c r="L109" s="16">
        <v>0</v>
      </c>
      <c r="M109" s="16">
        <v>0</v>
      </c>
      <c r="N109" s="16">
        <v>0</v>
      </c>
      <c r="O109" s="35">
        <v>0</v>
      </c>
    </row>
    <row r="110" spans="1:15" ht="18.75" customHeight="1" x14ac:dyDescent="0.25">
      <c r="A110" s="14">
        <v>3</v>
      </c>
      <c r="B110" s="7" t="s">
        <v>20</v>
      </c>
      <c r="C110" s="34">
        <v>9.11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0</v>
      </c>
      <c r="K110" s="16">
        <v>0</v>
      </c>
      <c r="L110" s="16">
        <v>0</v>
      </c>
      <c r="M110" s="16">
        <v>0</v>
      </c>
      <c r="N110" s="16">
        <v>0</v>
      </c>
      <c r="O110" s="35">
        <f>O77/O44*10</f>
        <v>9</v>
      </c>
    </row>
    <row r="111" spans="1:15" ht="18.75" customHeight="1" x14ac:dyDescent="0.25">
      <c r="A111" s="14">
        <v>4</v>
      </c>
      <c r="B111" s="15" t="s">
        <v>21</v>
      </c>
      <c r="C111" s="34">
        <v>0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0</v>
      </c>
      <c r="L111" s="16">
        <v>0</v>
      </c>
      <c r="M111" s="16">
        <v>0</v>
      </c>
      <c r="N111" s="16">
        <v>0</v>
      </c>
      <c r="O111" s="35">
        <v>0</v>
      </c>
    </row>
    <row r="112" spans="1:15" ht="18.75" customHeight="1" x14ac:dyDescent="0.25">
      <c r="A112" s="14">
        <v>5</v>
      </c>
      <c r="B112" s="19" t="s">
        <v>22</v>
      </c>
      <c r="C112" s="34">
        <v>0</v>
      </c>
      <c r="D112" s="16">
        <v>0</v>
      </c>
      <c r="E112" s="16">
        <v>0</v>
      </c>
      <c r="F112" s="16">
        <v>0</v>
      </c>
      <c r="G112" s="34">
        <v>10</v>
      </c>
      <c r="H112" s="16">
        <v>0</v>
      </c>
      <c r="I112" s="16">
        <v>0</v>
      </c>
      <c r="J112" s="16">
        <v>0</v>
      </c>
      <c r="K112" s="16">
        <v>0</v>
      </c>
      <c r="L112" s="16">
        <v>0</v>
      </c>
      <c r="M112" s="16">
        <v>0</v>
      </c>
      <c r="N112" s="34">
        <v>10</v>
      </c>
      <c r="O112" s="35">
        <f>O79/O46*10</f>
        <v>10</v>
      </c>
    </row>
    <row r="113" spans="1:16" ht="18.75" customHeight="1" x14ac:dyDescent="0.25">
      <c r="A113" s="14">
        <v>6</v>
      </c>
      <c r="B113" s="19" t="s">
        <v>23</v>
      </c>
      <c r="C113" s="34">
        <v>0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0</v>
      </c>
      <c r="K113" s="16">
        <v>0</v>
      </c>
      <c r="L113" s="16">
        <v>0</v>
      </c>
      <c r="M113" s="16">
        <v>0</v>
      </c>
      <c r="N113" s="16">
        <v>0</v>
      </c>
      <c r="O113" s="35">
        <v>0</v>
      </c>
    </row>
    <row r="114" spans="1:16" ht="18.75" customHeight="1" x14ac:dyDescent="0.25">
      <c r="A114" s="14">
        <v>7</v>
      </c>
      <c r="B114" s="19" t="s">
        <v>24</v>
      </c>
      <c r="C114" s="34">
        <v>0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0</v>
      </c>
      <c r="L114" s="16">
        <v>0</v>
      </c>
      <c r="M114" s="16">
        <v>0</v>
      </c>
      <c r="N114" s="16">
        <v>0</v>
      </c>
      <c r="O114" s="35">
        <v>0</v>
      </c>
    </row>
    <row r="115" spans="1:16" ht="18.75" customHeight="1" thickBot="1" x14ac:dyDescent="0.3">
      <c r="A115" s="20">
        <v>8</v>
      </c>
      <c r="B115" s="15" t="s">
        <v>25</v>
      </c>
      <c r="C115" s="36">
        <v>9</v>
      </c>
      <c r="D115" s="17">
        <v>0</v>
      </c>
      <c r="E115" s="17">
        <v>0</v>
      </c>
      <c r="F115" s="17">
        <v>0</v>
      </c>
      <c r="G115" s="17">
        <v>0</v>
      </c>
      <c r="H115" s="17">
        <v>0</v>
      </c>
      <c r="I115" s="17">
        <v>0</v>
      </c>
      <c r="J115" s="17">
        <v>0</v>
      </c>
      <c r="K115" s="17">
        <v>0</v>
      </c>
      <c r="L115" s="17">
        <v>0</v>
      </c>
      <c r="M115" s="17">
        <v>0</v>
      </c>
      <c r="N115" s="36">
        <v>0</v>
      </c>
      <c r="O115" s="35">
        <f>O82/O49*10</f>
        <v>8.6666666666666679</v>
      </c>
    </row>
    <row r="116" spans="1:16" ht="18.75" customHeight="1" thickTop="1" x14ac:dyDescent="0.25">
      <c r="A116" s="429" t="s">
        <v>26</v>
      </c>
      <c r="B116" s="430"/>
      <c r="C116" s="116">
        <f>SUM(C108:C115)/2</f>
        <v>9.0549999999999997</v>
      </c>
      <c r="D116" s="38">
        <v>0</v>
      </c>
      <c r="E116" s="38">
        <v>0</v>
      </c>
      <c r="F116" s="38">
        <v>0</v>
      </c>
      <c r="G116" s="38">
        <f>SUM(G108:G115)</f>
        <v>10</v>
      </c>
      <c r="H116" s="38">
        <v>0</v>
      </c>
      <c r="I116" s="38">
        <v>0</v>
      </c>
      <c r="J116" s="38">
        <v>0</v>
      </c>
      <c r="K116" s="38">
        <v>0</v>
      </c>
      <c r="L116" s="38">
        <v>0</v>
      </c>
      <c r="M116" s="38">
        <v>0</v>
      </c>
      <c r="N116" s="38">
        <f t="shared" ref="N116" si="9">N83/N50*10</f>
        <v>10</v>
      </c>
      <c r="O116" s="38">
        <f>O83/O50*10</f>
        <v>9.2682926829268304</v>
      </c>
      <c r="P116" s="73"/>
    </row>
    <row r="117" spans="1:16" x14ac:dyDescent="0.25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</row>
    <row r="119" spans="1:16" x14ac:dyDescent="0.25">
      <c r="M119" s="41" t="s">
        <v>206</v>
      </c>
    </row>
    <row r="120" spans="1:16" x14ac:dyDescent="0.25">
      <c r="M120" s="41" t="s">
        <v>188</v>
      </c>
    </row>
    <row r="121" spans="1:16" x14ac:dyDescent="0.25">
      <c r="M121" s="41" t="s">
        <v>185</v>
      </c>
    </row>
    <row r="122" spans="1:16" x14ac:dyDescent="0.25">
      <c r="M122" s="41"/>
    </row>
    <row r="123" spans="1:16" x14ac:dyDescent="0.25">
      <c r="M123" s="41"/>
    </row>
    <row r="124" spans="1:16" x14ac:dyDescent="0.25">
      <c r="M124" s="41"/>
    </row>
    <row r="125" spans="1:16" x14ac:dyDescent="0.25">
      <c r="M125" s="423" t="s">
        <v>186</v>
      </c>
    </row>
    <row r="126" spans="1:16" x14ac:dyDescent="0.25">
      <c r="M126" s="41" t="s">
        <v>187</v>
      </c>
    </row>
  </sheetData>
  <mergeCells count="28">
    <mergeCell ref="A116:B116"/>
    <mergeCell ref="A83:B83"/>
    <mergeCell ref="A101:O101"/>
    <mergeCell ref="A102:O102"/>
    <mergeCell ref="A105:A106"/>
    <mergeCell ref="B105:B106"/>
    <mergeCell ref="C105:N105"/>
    <mergeCell ref="O105:O106"/>
    <mergeCell ref="A50:B50"/>
    <mergeCell ref="A68:O68"/>
    <mergeCell ref="A69:O69"/>
    <mergeCell ref="A72:A73"/>
    <mergeCell ref="B72:B73"/>
    <mergeCell ref="C72:N72"/>
    <mergeCell ref="O72:O73"/>
    <mergeCell ref="A17:B17"/>
    <mergeCell ref="A35:O35"/>
    <mergeCell ref="A36:O36"/>
    <mergeCell ref="A39:A40"/>
    <mergeCell ref="B39:B40"/>
    <mergeCell ref="C39:N39"/>
    <mergeCell ref="O39:O40"/>
    <mergeCell ref="A2:O2"/>
    <mergeCell ref="A3:O3"/>
    <mergeCell ref="A6:A7"/>
    <mergeCell ref="B6:B7"/>
    <mergeCell ref="C6:N6"/>
    <mergeCell ref="O6:O7"/>
  </mergeCells>
  <pageMargins left="1.5748031496062993" right="0.39370078740157483" top="0.94488188976377963" bottom="0.74803149606299213" header="0.31496062992125984" footer="0.31496062992125984"/>
  <pageSetup paperSize="9" scale="90" orientation="landscape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126"/>
  <sheetViews>
    <sheetView zoomScale="90" zoomScaleNormal="90" workbookViewId="0">
      <selection activeCell="A2" sqref="A2:O2"/>
    </sheetView>
  </sheetViews>
  <sheetFormatPr defaultRowHeight="15" x14ac:dyDescent="0.25"/>
  <cols>
    <col min="1" max="1" width="4" customWidth="1"/>
    <col min="2" max="2" width="14.28515625" customWidth="1"/>
    <col min="3" max="15" width="8.5703125" customWidth="1"/>
  </cols>
  <sheetData>
    <row r="2" spans="1:17" ht="18.75" x14ac:dyDescent="0.3">
      <c r="A2" s="437" t="s">
        <v>41</v>
      </c>
      <c r="B2" s="437"/>
      <c r="C2" s="437"/>
      <c r="D2" s="437"/>
      <c r="E2" s="437"/>
      <c r="F2" s="437"/>
      <c r="G2" s="437"/>
      <c r="H2" s="437"/>
      <c r="I2" s="437"/>
      <c r="J2" s="437"/>
      <c r="K2" s="437"/>
      <c r="L2" s="437"/>
      <c r="M2" s="437"/>
      <c r="N2" s="437"/>
      <c r="O2" s="437"/>
    </row>
    <row r="3" spans="1:17" ht="18.75" x14ac:dyDescent="0.3">
      <c r="A3" s="424" t="s">
        <v>75</v>
      </c>
      <c r="B3" s="424"/>
      <c r="C3" s="424"/>
      <c r="D3" s="424"/>
      <c r="E3" s="424"/>
      <c r="F3" s="424"/>
      <c r="G3" s="424"/>
      <c r="H3" s="424"/>
      <c r="I3" s="424"/>
      <c r="J3" s="424"/>
      <c r="K3" s="424"/>
      <c r="L3" s="424"/>
      <c r="M3" s="424"/>
      <c r="N3" s="424"/>
      <c r="O3" s="424"/>
    </row>
    <row r="4" spans="1:17" ht="18.75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7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3" t="s">
        <v>1</v>
      </c>
    </row>
    <row r="6" spans="1:17" x14ac:dyDescent="0.25">
      <c r="A6" s="425" t="s">
        <v>2</v>
      </c>
      <c r="B6" s="425" t="s">
        <v>3</v>
      </c>
      <c r="C6" s="427" t="s">
        <v>4</v>
      </c>
      <c r="D6" s="427"/>
      <c r="E6" s="427"/>
      <c r="F6" s="427"/>
      <c r="G6" s="427"/>
      <c r="H6" s="427"/>
      <c r="I6" s="427"/>
      <c r="J6" s="427"/>
      <c r="K6" s="427"/>
      <c r="L6" s="427"/>
      <c r="M6" s="427"/>
      <c r="N6" s="427"/>
      <c r="O6" s="425" t="s">
        <v>5</v>
      </c>
    </row>
    <row r="7" spans="1:17" x14ac:dyDescent="0.25">
      <c r="A7" s="426"/>
      <c r="B7" s="426"/>
      <c r="C7" s="25" t="s">
        <v>6</v>
      </c>
      <c r="D7" s="25" t="s">
        <v>7</v>
      </c>
      <c r="E7" s="25" t="s">
        <v>8</v>
      </c>
      <c r="F7" s="25" t="s">
        <v>9</v>
      </c>
      <c r="G7" s="25" t="s">
        <v>10</v>
      </c>
      <c r="H7" s="25" t="s">
        <v>11</v>
      </c>
      <c r="I7" s="25" t="s">
        <v>12</v>
      </c>
      <c r="J7" s="25" t="s">
        <v>13</v>
      </c>
      <c r="K7" s="25" t="s">
        <v>14</v>
      </c>
      <c r="L7" s="25" t="s">
        <v>15</v>
      </c>
      <c r="M7" s="25" t="s">
        <v>16</v>
      </c>
      <c r="N7" s="25" t="s">
        <v>17</v>
      </c>
      <c r="O7" s="428"/>
    </row>
    <row r="8" spans="1:17" ht="15.75" thickBot="1" x14ac:dyDescent="0.3">
      <c r="A8" s="26">
        <v>1</v>
      </c>
      <c r="B8" s="26">
        <v>2</v>
      </c>
      <c r="C8" s="26">
        <v>3</v>
      </c>
      <c r="D8" s="26">
        <v>4</v>
      </c>
      <c r="E8" s="26">
        <v>5</v>
      </c>
      <c r="F8" s="26">
        <v>6</v>
      </c>
      <c r="G8" s="26">
        <v>7</v>
      </c>
      <c r="H8" s="26">
        <v>8</v>
      </c>
      <c r="I8" s="26">
        <v>9</v>
      </c>
      <c r="J8" s="26">
        <v>10</v>
      </c>
      <c r="K8" s="26">
        <v>11</v>
      </c>
      <c r="L8" s="26">
        <v>12</v>
      </c>
      <c r="M8" s="26">
        <v>13</v>
      </c>
      <c r="N8" s="26">
        <v>14</v>
      </c>
      <c r="O8" s="26">
        <v>15</v>
      </c>
    </row>
    <row r="9" spans="1:17" ht="18.75" customHeight="1" thickTop="1" x14ac:dyDescent="0.25">
      <c r="A9" s="27">
        <v>1</v>
      </c>
      <c r="B9" s="7" t="s">
        <v>18</v>
      </c>
      <c r="C9" s="28">
        <v>35</v>
      </c>
      <c r="D9" s="28">
        <v>0</v>
      </c>
      <c r="E9" s="28">
        <v>82</v>
      </c>
      <c r="F9" s="28">
        <v>0</v>
      </c>
      <c r="G9" s="28">
        <v>0</v>
      </c>
      <c r="H9" s="28">
        <v>0</v>
      </c>
      <c r="I9" s="28">
        <v>0</v>
      </c>
      <c r="J9" s="28">
        <v>0</v>
      </c>
      <c r="K9" s="28">
        <v>0</v>
      </c>
      <c r="L9" s="46">
        <v>0</v>
      </c>
      <c r="M9" s="28">
        <v>0</v>
      </c>
      <c r="N9" s="28">
        <v>185</v>
      </c>
      <c r="O9" s="29">
        <f>SUM(C9:N9)</f>
        <v>302</v>
      </c>
      <c r="Q9" s="110">
        <f>SUM(F9:K9)</f>
        <v>0</v>
      </c>
    </row>
    <row r="10" spans="1:17" ht="18.75" customHeight="1" x14ac:dyDescent="0.25">
      <c r="A10" s="14">
        <v>2</v>
      </c>
      <c r="B10" s="12" t="s">
        <v>19</v>
      </c>
      <c r="C10" s="16">
        <v>131</v>
      </c>
      <c r="D10" s="16">
        <v>0</v>
      </c>
      <c r="E10" s="16">
        <v>1</v>
      </c>
      <c r="F10" s="16">
        <v>15</v>
      </c>
      <c r="G10" s="16">
        <v>10</v>
      </c>
      <c r="H10" s="16">
        <v>0</v>
      </c>
      <c r="I10" s="16">
        <v>0</v>
      </c>
      <c r="J10" s="16">
        <v>0</v>
      </c>
      <c r="K10" s="16">
        <v>0</v>
      </c>
      <c r="L10" s="47">
        <v>1</v>
      </c>
      <c r="M10" s="16">
        <v>3</v>
      </c>
      <c r="N10" s="16">
        <v>57</v>
      </c>
      <c r="O10" s="18">
        <f t="shared" ref="O10:O16" si="0">SUM(C10:N10)</f>
        <v>218</v>
      </c>
      <c r="Q10" s="110">
        <f t="shared" ref="Q10:Q17" si="1">SUM(F10:K10)</f>
        <v>25</v>
      </c>
    </row>
    <row r="11" spans="1:17" ht="18.75" customHeight="1" x14ac:dyDescent="0.25">
      <c r="A11" s="14">
        <v>3</v>
      </c>
      <c r="B11" s="7" t="s">
        <v>20</v>
      </c>
      <c r="C11" s="16">
        <v>0</v>
      </c>
      <c r="D11" s="16">
        <v>0</v>
      </c>
      <c r="E11" s="16">
        <v>257</v>
      </c>
      <c r="F11" s="16">
        <v>57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275</v>
      </c>
      <c r="O11" s="18">
        <f t="shared" si="0"/>
        <v>589</v>
      </c>
      <c r="Q11" s="110">
        <f t="shared" si="1"/>
        <v>57</v>
      </c>
    </row>
    <row r="12" spans="1:17" ht="18.75" customHeight="1" x14ac:dyDescent="0.25">
      <c r="A12" s="14">
        <v>4</v>
      </c>
      <c r="B12" s="15" t="s">
        <v>21</v>
      </c>
      <c r="C12" s="16">
        <v>0</v>
      </c>
      <c r="D12" s="16">
        <v>0</v>
      </c>
      <c r="E12" s="16">
        <v>23</v>
      </c>
      <c r="F12" s="16">
        <v>16</v>
      </c>
      <c r="G12" s="16">
        <v>3</v>
      </c>
      <c r="H12" s="16">
        <v>12</v>
      </c>
      <c r="I12" s="16">
        <v>0</v>
      </c>
      <c r="J12" s="16">
        <v>0</v>
      </c>
      <c r="K12" s="16">
        <v>3</v>
      </c>
      <c r="L12" s="16">
        <v>0</v>
      </c>
      <c r="M12" s="16">
        <v>5</v>
      </c>
      <c r="N12" s="16">
        <v>141</v>
      </c>
      <c r="O12" s="18">
        <f t="shared" si="0"/>
        <v>203</v>
      </c>
      <c r="Q12" s="110">
        <f t="shared" si="1"/>
        <v>34</v>
      </c>
    </row>
    <row r="13" spans="1:17" ht="18.75" customHeight="1" x14ac:dyDescent="0.25">
      <c r="A13" s="14">
        <v>5</v>
      </c>
      <c r="B13" s="19" t="s">
        <v>22</v>
      </c>
      <c r="C13" s="16">
        <v>0</v>
      </c>
      <c r="D13" s="16">
        <v>0</v>
      </c>
      <c r="E13" s="16">
        <v>175</v>
      </c>
      <c r="F13" s="16">
        <v>68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102</v>
      </c>
      <c r="O13" s="18">
        <f t="shared" si="0"/>
        <v>345</v>
      </c>
      <c r="Q13" s="110">
        <f t="shared" si="1"/>
        <v>68</v>
      </c>
    </row>
    <row r="14" spans="1:17" ht="18.75" customHeight="1" x14ac:dyDescent="0.25">
      <c r="A14" s="14">
        <v>6</v>
      </c>
      <c r="B14" s="19" t="s">
        <v>23</v>
      </c>
      <c r="C14" s="16">
        <v>0</v>
      </c>
      <c r="D14" s="16">
        <v>0</v>
      </c>
      <c r="E14" s="16">
        <v>38</v>
      </c>
      <c r="F14" s="16">
        <v>30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15</v>
      </c>
      <c r="N14" s="16">
        <v>50</v>
      </c>
      <c r="O14" s="18">
        <f t="shared" si="0"/>
        <v>133</v>
      </c>
      <c r="Q14" s="110">
        <f t="shared" si="1"/>
        <v>30</v>
      </c>
    </row>
    <row r="15" spans="1:17" ht="18.75" customHeight="1" x14ac:dyDescent="0.25">
      <c r="A15" s="14">
        <v>7</v>
      </c>
      <c r="B15" s="19" t="s">
        <v>24</v>
      </c>
      <c r="C15" s="16">
        <v>1</v>
      </c>
      <c r="D15" s="16">
        <v>0</v>
      </c>
      <c r="E15" s="16">
        <v>0</v>
      </c>
      <c r="F15" s="16">
        <v>0</v>
      </c>
      <c r="G15" s="16">
        <v>0</v>
      </c>
      <c r="H15" s="16">
        <v>1</v>
      </c>
      <c r="I15" s="16">
        <v>1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8">
        <f t="shared" si="0"/>
        <v>3</v>
      </c>
      <c r="Q15" s="110">
        <f t="shared" si="1"/>
        <v>2</v>
      </c>
    </row>
    <row r="16" spans="1:17" ht="18.75" customHeight="1" thickBot="1" x14ac:dyDescent="0.3">
      <c r="A16" s="20">
        <v>8</v>
      </c>
      <c r="B16" s="15" t="s">
        <v>25</v>
      </c>
      <c r="C16" s="17">
        <v>0</v>
      </c>
      <c r="D16" s="17">
        <v>0</v>
      </c>
      <c r="E16" s="17">
        <v>112</v>
      </c>
      <c r="F16" s="17">
        <v>275</v>
      </c>
      <c r="G16" s="17">
        <v>0</v>
      </c>
      <c r="H16" s="17">
        <v>0</v>
      </c>
      <c r="I16" s="17">
        <v>0</v>
      </c>
      <c r="J16" s="17">
        <v>75</v>
      </c>
      <c r="K16" s="17">
        <v>0</v>
      </c>
      <c r="L16" s="17">
        <v>0</v>
      </c>
      <c r="M16" s="17">
        <v>0</v>
      </c>
      <c r="N16" s="17">
        <v>332</v>
      </c>
      <c r="O16" s="21">
        <f t="shared" si="0"/>
        <v>794</v>
      </c>
      <c r="Q16" s="110">
        <f t="shared" si="1"/>
        <v>350</v>
      </c>
    </row>
    <row r="17" spans="1:17" ht="18.75" customHeight="1" thickTop="1" x14ac:dyDescent="0.25">
      <c r="A17" s="429" t="s">
        <v>26</v>
      </c>
      <c r="B17" s="430"/>
      <c r="C17" s="22">
        <f t="shared" ref="C17:O17" si="2">SUM(C9:C16)</f>
        <v>167</v>
      </c>
      <c r="D17" s="22">
        <f t="shared" si="2"/>
        <v>0</v>
      </c>
      <c r="E17" s="22">
        <f t="shared" si="2"/>
        <v>688</v>
      </c>
      <c r="F17" s="22">
        <f t="shared" si="2"/>
        <v>461</v>
      </c>
      <c r="G17" s="22">
        <f t="shared" si="2"/>
        <v>13</v>
      </c>
      <c r="H17" s="22">
        <f t="shared" si="2"/>
        <v>13</v>
      </c>
      <c r="I17" s="22">
        <f t="shared" si="2"/>
        <v>1</v>
      </c>
      <c r="J17" s="22">
        <f t="shared" si="2"/>
        <v>75</v>
      </c>
      <c r="K17" s="22">
        <f t="shared" si="2"/>
        <v>3</v>
      </c>
      <c r="L17" s="22">
        <f t="shared" si="2"/>
        <v>1</v>
      </c>
      <c r="M17" s="22">
        <f t="shared" si="2"/>
        <v>23</v>
      </c>
      <c r="N17" s="22">
        <f t="shared" si="2"/>
        <v>1142</v>
      </c>
      <c r="O17" s="22">
        <f t="shared" si="2"/>
        <v>2587</v>
      </c>
      <c r="Q17" s="110">
        <f t="shared" si="1"/>
        <v>566</v>
      </c>
    </row>
    <row r="18" spans="1:17" x14ac:dyDescent="0.2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</row>
    <row r="19" spans="1:17" x14ac:dyDescent="0.25">
      <c r="A19" s="23"/>
      <c r="B19" s="23"/>
      <c r="C19" s="23"/>
      <c r="D19" s="23"/>
      <c r="E19" s="23"/>
      <c r="F19" s="23"/>
      <c r="G19" s="23"/>
      <c r="H19" s="23"/>
      <c r="I19" s="23"/>
      <c r="J19" s="401">
        <f>SUM(C17:J17)</f>
        <v>1418</v>
      </c>
      <c r="K19" s="23"/>
      <c r="L19" s="23"/>
      <c r="M19" s="23"/>
      <c r="N19" s="23"/>
      <c r="O19" s="23"/>
    </row>
    <row r="20" spans="1:17" x14ac:dyDescent="0.25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</row>
    <row r="21" spans="1:17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</row>
    <row r="22" spans="1:17" x14ac:dyDescent="0.2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</row>
    <row r="23" spans="1:17" x14ac:dyDescent="0.2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</row>
    <row r="24" spans="1:17" x14ac:dyDescent="0.2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</row>
    <row r="25" spans="1:17" x14ac:dyDescent="0.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</row>
    <row r="26" spans="1:17" x14ac:dyDescent="0.2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</row>
    <row r="27" spans="1:17" x14ac:dyDescent="0.2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</row>
    <row r="28" spans="1:17" x14ac:dyDescent="0.2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</row>
    <row r="29" spans="1:17" x14ac:dyDescent="0.2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</row>
    <row r="30" spans="1:17" x14ac:dyDescent="0.2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</row>
    <row r="31" spans="1:17" x14ac:dyDescent="0.25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</row>
    <row r="32" spans="1:17" x14ac:dyDescent="0.25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</row>
    <row r="33" spans="1:17" x14ac:dyDescent="0.25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</row>
    <row r="34" spans="1:17" x14ac:dyDescent="0.25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</row>
    <row r="35" spans="1:17" ht="18.75" x14ac:dyDescent="0.3">
      <c r="A35" s="424" t="s">
        <v>42</v>
      </c>
      <c r="B35" s="424"/>
      <c r="C35" s="424"/>
      <c r="D35" s="424"/>
      <c r="E35" s="424"/>
      <c r="F35" s="424"/>
      <c r="G35" s="424"/>
      <c r="H35" s="424"/>
      <c r="I35" s="424"/>
      <c r="J35" s="424"/>
      <c r="K35" s="424"/>
      <c r="L35" s="424"/>
      <c r="M35" s="424"/>
      <c r="N35" s="424"/>
      <c r="O35" s="424"/>
    </row>
    <row r="36" spans="1:17" ht="18.75" x14ac:dyDescent="0.3">
      <c r="A36" s="424" t="s">
        <v>75</v>
      </c>
      <c r="B36" s="424"/>
      <c r="C36" s="424"/>
      <c r="D36" s="424"/>
      <c r="E36" s="424"/>
      <c r="F36" s="424"/>
      <c r="G36" s="424"/>
      <c r="H36" s="424"/>
      <c r="I36" s="424"/>
      <c r="J36" s="424"/>
      <c r="K36" s="424"/>
      <c r="L36" s="424"/>
      <c r="M36" s="424"/>
      <c r="N36" s="424"/>
      <c r="O36" s="424"/>
    </row>
    <row r="37" spans="1:17" ht="18.75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7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3" t="s">
        <v>1</v>
      </c>
    </row>
    <row r="39" spans="1:17" x14ac:dyDescent="0.25">
      <c r="A39" s="425" t="s">
        <v>2</v>
      </c>
      <c r="B39" s="425" t="s">
        <v>3</v>
      </c>
      <c r="C39" s="427" t="s">
        <v>4</v>
      </c>
      <c r="D39" s="427"/>
      <c r="E39" s="427"/>
      <c r="F39" s="427"/>
      <c r="G39" s="427"/>
      <c r="H39" s="427"/>
      <c r="I39" s="427"/>
      <c r="J39" s="427"/>
      <c r="K39" s="427"/>
      <c r="L39" s="427"/>
      <c r="M39" s="427"/>
      <c r="N39" s="427"/>
      <c r="O39" s="425" t="s">
        <v>5</v>
      </c>
    </row>
    <row r="40" spans="1:17" x14ac:dyDescent="0.25">
      <c r="A40" s="426"/>
      <c r="B40" s="426"/>
      <c r="C40" s="25" t="s">
        <v>6</v>
      </c>
      <c r="D40" s="25" t="s">
        <v>7</v>
      </c>
      <c r="E40" s="25" t="s">
        <v>8</v>
      </c>
      <c r="F40" s="25" t="s">
        <v>9</v>
      </c>
      <c r="G40" s="25" t="s">
        <v>10</v>
      </c>
      <c r="H40" s="25" t="s">
        <v>11</v>
      </c>
      <c r="I40" s="25" t="s">
        <v>12</v>
      </c>
      <c r="J40" s="25" t="s">
        <v>13</v>
      </c>
      <c r="K40" s="25" t="s">
        <v>14</v>
      </c>
      <c r="L40" s="25" t="s">
        <v>15</v>
      </c>
      <c r="M40" s="25" t="s">
        <v>16</v>
      </c>
      <c r="N40" s="25" t="s">
        <v>17</v>
      </c>
      <c r="O40" s="428"/>
    </row>
    <row r="41" spans="1:17" ht="15.75" thickBot="1" x14ac:dyDescent="0.3">
      <c r="A41" s="26">
        <v>1</v>
      </c>
      <c r="B41" s="26">
        <v>2</v>
      </c>
      <c r="C41" s="26">
        <v>3</v>
      </c>
      <c r="D41" s="26">
        <v>4</v>
      </c>
      <c r="E41" s="26">
        <v>5</v>
      </c>
      <c r="F41" s="26">
        <v>6</v>
      </c>
      <c r="G41" s="26">
        <v>7</v>
      </c>
      <c r="H41" s="26">
        <v>8</v>
      </c>
      <c r="I41" s="26">
        <v>9</v>
      </c>
      <c r="J41" s="26">
        <v>10</v>
      </c>
      <c r="K41" s="26">
        <v>11</v>
      </c>
      <c r="L41" s="26">
        <v>12</v>
      </c>
      <c r="M41" s="26">
        <v>13</v>
      </c>
      <c r="N41" s="26">
        <v>14</v>
      </c>
      <c r="O41" s="26">
        <v>15</v>
      </c>
    </row>
    <row r="42" spans="1:17" ht="18.75" customHeight="1" thickTop="1" x14ac:dyDescent="0.25">
      <c r="A42" s="27">
        <v>1</v>
      </c>
      <c r="B42" s="7" t="s">
        <v>18</v>
      </c>
      <c r="C42" s="46">
        <v>0</v>
      </c>
      <c r="D42" s="28">
        <v>37</v>
      </c>
      <c r="E42" s="28">
        <v>137</v>
      </c>
      <c r="F42" s="28">
        <v>0</v>
      </c>
      <c r="G42" s="28">
        <v>0</v>
      </c>
      <c r="H42" s="28">
        <v>82</v>
      </c>
      <c r="I42" s="28">
        <v>0</v>
      </c>
      <c r="J42" s="28">
        <v>0</v>
      </c>
      <c r="K42" s="28">
        <v>0</v>
      </c>
      <c r="L42" s="46">
        <v>0</v>
      </c>
      <c r="M42" s="46">
        <v>0</v>
      </c>
      <c r="N42" s="46">
        <v>0</v>
      </c>
      <c r="O42" s="29">
        <f>SUM(C42:N42)</f>
        <v>256</v>
      </c>
      <c r="Q42" s="110">
        <f>SUM(F42:K42)</f>
        <v>82</v>
      </c>
    </row>
    <row r="43" spans="1:17" ht="18.75" customHeight="1" x14ac:dyDescent="0.25">
      <c r="A43" s="14">
        <v>2</v>
      </c>
      <c r="B43" s="12" t="s">
        <v>19</v>
      </c>
      <c r="C43" s="47">
        <v>0</v>
      </c>
      <c r="D43" s="16">
        <v>3</v>
      </c>
      <c r="E43" s="16">
        <v>133</v>
      </c>
      <c r="F43" s="16">
        <v>51</v>
      </c>
      <c r="G43" s="16">
        <v>0</v>
      </c>
      <c r="H43" s="16">
        <v>1</v>
      </c>
      <c r="I43" s="16">
        <v>5</v>
      </c>
      <c r="J43" s="16">
        <v>19</v>
      </c>
      <c r="K43" s="16">
        <v>0</v>
      </c>
      <c r="L43" s="47">
        <v>0</v>
      </c>
      <c r="M43" s="47">
        <v>0</v>
      </c>
      <c r="N43" s="47">
        <v>0</v>
      </c>
      <c r="O43" s="18">
        <f t="shared" ref="O43:O49" si="3">SUM(C43:N43)</f>
        <v>212</v>
      </c>
      <c r="Q43" s="110">
        <f t="shared" ref="Q43:Q50" si="4">SUM(F43:K43)</f>
        <v>76</v>
      </c>
    </row>
    <row r="44" spans="1:17" ht="18.75" customHeight="1" x14ac:dyDescent="0.25">
      <c r="A44" s="14">
        <v>3</v>
      </c>
      <c r="B44" s="7" t="s">
        <v>20</v>
      </c>
      <c r="C44" s="16">
        <v>0</v>
      </c>
      <c r="D44" s="16">
        <v>85</v>
      </c>
      <c r="E44" s="16">
        <v>180</v>
      </c>
      <c r="F44" s="16">
        <v>0</v>
      </c>
      <c r="G44" s="16">
        <v>0</v>
      </c>
      <c r="H44" s="16">
        <v>257</v>
      </c>
      <c r="I44" s="16">
        <v>57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8">
        <f t="shared" si="3"/>
        <v>579</v>
      </c>
      <c r="Q44" s="110">
        <f t="shared" si="4"/>
        <v>314</v>
      </c>
    </row>
    <row r="45" spans="1:17" ht="18.75" customHeight="1" x14ac:dyDescent="0.25">
      <c r="A45" s="14">
        <v>4</v>
      </c>
      <c r="B45" s="15" t="s">
        <v>21</v>
      </c>
      <c r="C45" s="16">
        <v>0</v>
      </c>
      <c r="D45" s="16">
        <v>5</v>
      </c>
      <c r="E45" s="16">
        <v>234</v>
      </c>
      <c r="F45" s="16">
        <v>0</v>
      </c>
      <c r="G45" s="16">
        <v>0</v>
      </c>
      <c r="H45" s="16">
        <v>23</v>
      </c>
      <c r="I45" s="16">
        <v>16</v>
      </c>
      <c r="J45" s="16">
        <v>3</v>
      </c>
      <c r="K45" s="16">
        <v>12</v>
      </c>
      <c r="L45" s="16">
        <v>0</v>
      </c>
      <c r="M45" s="16">
        <v>0</v>
      </c>
      <c r="N45" s="16">
        <v>3</v>
      </c>
      <c r="O45" s="18">
        <f t="shared" si="3"/>
        <v>296</v>
      </c>
      <c r="Q45" s="110">
        <f t="shared" si="4"/>
        <v>54</v>
      </c>
    </row>
    <row r="46" spans="1:17" ht="18.75" customHeight="1" x14ac:dyDescent="0.25">
      <c r="A46" s="14">
        <v>5</v>
      </c>
      <c r="B46" s="19" t="s">
        <v>22</v>
      </c>
      <c r="C46" s="16">
        <v>0</v>
      </c>
      <c r="D46" s="16">
        <v>0</v>
      </c>
      <c r="E46" s="16">
        <v>260</v>
      </c>
      <c r="F46" s="16">
        <v>0</v>
      </c>
      <c r="G46" s="16">
        <v>0</v>
      </c>
      <c r="H46" s="16">
        <v>175</v>
      </c>
      <c r="I46" s="16">
        <v>0</v>
      </c>
      <c r="J46" s="16">
        <v>68</v>
      </c>
      <c r="K46" s="16">
        <v>0</v>
      </c>
      <c r="L46" s="16">
        <v>0</v>
      </c>
      <c r="M46" s="16">
        <v>0</v>
      </c>
      <c r="N46" s="16">
        <v>0</v>
      </c>
      <c r="O46" s="18">
        <f t="shared" si="3"/>
        <v>503</v>
      </c>
      <c r="Q46" s="110">
        <f t="shared" si="4"/>
        <v>243</v>
      </c>
    </row>
    <row r="47" spans="1:17" ht="18.75" customHeight="1" x14ac:dyDescent="0.25">
      <c r="A47" s="14">
        <v>6</v>
      </c>
      <c r="B47" s="19" t="s">
        <v>23</v>
      </c>
      <c r="C47" s="16">
        <v>0</v>
      </c>
      <c r="D47" s="16">
        <v>35</v>
      </c>
      <c r="E47" s="16">
        <v>41</v>
      </c>
      <c r="F47" s="16">
        <v>0</v>
      </c>
      <c r="G47" s="16">
        <v>0</v>
      </c>
      <c r="H47" s="16">
        <v>68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8">
        <f t="shared" si="3"/>
        <v>144</v>
      </c>
      <c r="Q47" s="110">
        <f t="shared" si="4"/>
        <v>68</v>
      </c>
    </row>
    <row r="48" spans="1:17" ht="18.75" customHeight="1" x14ac:dyDescent="0.25">
      <c r="A48" s="14">
        <v>7</v>
      </c>
      <c r="B48" s="19" t="s">
        <v>24</v>
      </c>
      <c r="C48" s="16">
        <v>0</v>
      </c>
      <c r="D48" s="16">
        <v>1</v>
      </c>
      <c r="E48" s="16">
        <v>1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1</v>
      </c>
      <c r="L48" s="16">
        <v>1</v>
      </c>
      <c r="M48" s="16">
        <v>0</v>
      </c>
      <c r="N48" s="16">
        <v>0</v>
      </c>
      <c r="O48" s="18">
        <f t="shared" si="3"/>
        <v>4</v>
      </c>
      <c r="Q48" s="110">
        <f t="shared" si="4"/>
        <v>1</v>
      </c>
    </row>
    <row r="49" spans="1:17" ht="18.75" customHeight="1" thickBot="1" x14ac:dyDescent="0.3">
      <c r="A49" s="20">
        <v>8</v>
      </c>
      <c r="B49" s="15" t="s">
        <v>25</v>
      </c>
      <c r="C49" s="17">
        <v>0</v>
      </c>
      <c r="D49" s="17">
        <v>47</v>
      </c>
      <c r="E49" s="17">
        <v>187</v>
      </c>
      <c r="F49" s="17">
        <v>0</v>
      </c>
      <c r="G49" s="17">
        <v>0</v>
      </c>
      <c r="H49" s="17">
        <v>0</v>
      </c>
      <c r="I49" s="17">
        <v>112</v>
      </c>
      <c r="J49" s="17">
        <v>275</v>
      </c>
      <c r="K49" s="17">
        <v>0</v>
      </c>
      <c r="L49" s="17">
        <v>0</v>
      </c>
      <c r="M49" s="17">
        <v>75</v>
      </c>
      <c r="N49" s="49">
        <v>0</v>
      </c>
      <c r="O49" s="21">
        <f t="shared" si="3"/>
        <v>696</v>
      </c>
      <c r="Q49" s="110">
        <f t="shared" si="4"/>
        <v>387</v>
      </c>
    </row>
    <row r="50" spans="1:17" ht="18.75" customHeight="1" thickTop="1" x14ac:dyDescent="0.25">
      <c r="A50" s="429" t="s">
        <v>26</v>
      </c>
      <c r="B50" s="430"/>
      <c r="C50" s="22">
        <f t="shared" ref="C50:O50" si="5">SUM(C42:C49)</f>
        <v>0</v>
      </c>
      <c r="D50" s="22">
        <f t="shared" si="5"/>
        <v>213</v>
      </c>
      <c r="E50" s="22">
        <f t="shared" si="5"/>
        <v>1173</v>
      </c>
      <c r="F50" s="22">
        <f t="shared" si="5"/>
        <v>51</v>
      </c>
      <c r="G50" s="22">
        <f t="shared" si="5"/>
        <v>0</v>
      </c>
      <c r="H50" s="22">
        <f t="shared" si="5"/>
        <v>606</v>
      </c>
      <c r="I50" s="22">
        <f t="shared" si="5"/>
        <v>190</v>
      </c>
      <c r="J50" s="22">
        <f t="shared" si="5"/>
        <v>365</v>
      </c>
      <c r="K50" s="22">
        <f t="shared" si="5"/>
        <v>13</v>
      </c>
      <c r="L50" s="22">
        <f t="shared" si="5"/>
        <v>1</v>
      </c>
      <c r="M50" s="22">
        <f t="shared" si="5"/>
        <v>75</v>
      </c>
      <c r="N50" s="22">
        <f t="shared" si="5"/>
        <v>3</v>
      </c>
      <c r="O50" s="22">
        <f t="shared" si="5"/>
        <v>2690</v>
      </c>
      <c r="Q50" s="110">
        <f t="shared" si="4"/>
        <v>1225</v>
      </c>
    </row>
    <row r="51" spans="1:17" x14ac:dyDescent="0.25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</row>
    <row r="52" spans="1:17" x14ac:dyDescent="0.25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</row>
    <row r="53" spans="1:17" x14ac:dyDescent="0.25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</row>
    <row r="54" spans="1:17" x14ac:dyDescent="0.25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</row>
    <row r="55" spans="1:17" x14ac:dyDescent="0.2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</row>
    <row r="56" spans="1:17" x14ac:dyDescent="0.25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</row>
    <row r="57" spans="1:17" x14ac:dyDescent="0.25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</row>
    <row r="58" spans="1:17" x14ac:dyDescent="0.25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</row>
    <row r="59" spans="1:17" x14ac:dyDescent="0.25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</row>
    <row r="60" spans="1:17" x14ac:dyDescent="0.25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</row>
    <row r="61" spans="1:17" x14ac:dyDescent="0.2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</row>
    <row r="62" spans="1:17" x14ac:dyDescent="0.2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</row>
    <row r="63" spans="1:17" x14ac:dyDescent="0.2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</row>
    <row r="64" spans="1:17" x14ac:dyDescent="0.2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</row>
    <row r="65" spans="1:17" x14ac:dyDescent="0.2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</row>
    <row r="66" spans="1:17" x14ac:dyDescent="0.25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</row>
    <row r="67" spans="1:17" x14ac:dyDescent="0.25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</row>
    <row r="68" spans="1:17" ht="18.75" x14ac:dyDescent="0.3">
      <c r="A68" s="424" t="s">
        <v>43</v>
      </c>
      <c r="B68" s="424"/>
      <c r="C68" s="424"/>
      <c r="D68" s="424"/>
      <c r="E68" s="424"/>
      <c r="F68" s="424"/>
      <c r="G68" s="424"/>
      <c r="H68" s="424"/>
      <c r="I68" s="424"/>
      <c r="J68" s="424"/>
      <c r="K68" s="424"/>
      <c r="L68" s="424"/>
      <c r="M68" s="424"/>
      <c r="N68" s="424"/>
      <c r="O68" s="424"/>
    </row>
    <row r="69" spans="1:17" ht="18.75" x14ac:dyDescent="0.3">
      <c r="A69" s="424" t="s">
        <v>75</v>
      </c>
      <c r="B69" s="424"/>
      <c r="C69" s="424"/>
      <c r="D69" s="424"/>
      <c r="E69" s="424"/>
      <c r="F69" s="424"/>
      <c r="G69" s="424"/>
      <c r="H69" s="424"/>
      <c r="I69" s="424"/>
      <c r="J69" s="424"/>
      <c r="K69" s="424"/>
      <c r="L69" s="424"/>
      <c r="M69" s="424"/>
      <c r="N69" s="424"/>
      <c r="O69" s="424"/>
    </row>
    <row r="70" spans="1:17" ht="18.75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7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3" t="s">
        <v>29</v>
      </c>
    </row>
    <row r="72" spans="1:17" x14ac:dyDescent="0.25">
      <c r="A72" s="425" t="s">
        <v>2</v>
      </c>
      <c r="B72" s="425" t="s">
        <v>3</v>
      </c>
      <c r="C72" s="427" t="s">
        <v>4</v>
      </c>
      <c r="D72" s="427"/>
      <c r="E72" s="427"/>
      <c r="F72" s="427"/>
      <c r="G72" s="427"/>
      <c r="H72" s="427"/>
      <c r="I72" s="427"/>
      <c r="J72" s="427"/>
      <c r="K72" s="427"/>
      <c r="L72" s="427"/>
      <c r="M72" s="427"/>
      <c r="N72" s="427"/>
      <c r="O72" s="425" t="s">
        <v>5</v>
      </c>
    </row>
    <row r="73" spans="1:17" x14ac:dyDescent="0.25">
      <c r="A73" s="426"/>
      <c r="B73" s="426"/>
      <c r="C73" s="25" t="s">
        <v>6</v>
      </c>
      <c r="D73" s="25" t="s">
        <v>7</v>
      </c>
      <c r="E73" s="25" t="s">
        <v>8</v>
      </c>
      <c r="F73" s="25" t="s">
        <v>9</v>
      </c>
      <c r="G73" s="25" t="s">
        <v>10</v>
      </c>
      <c r="H73" s="25" t="s">
        <v>11</v>
      </c>
      <c r="I73" s="25" t="s">
        <v>12</v>
      </c>
      <c r="J73" s="25" t="s">
        <v>13</v>
      </c>
      <c r="K73" s="25" t="s">
        <v>14</v>
      </c>
      <c r="L73" s="25" t="s">
        <v>15</v>
      </c>
      <c r="M73" s="25" t="s">
        <v>16</v>
      </c>
      <c r="N73" s="25" t="s">
        <v>17</v>
      </c>
      <c r="O73" s="428"/>
    </row>
    <row r="74" spans="1:17" ht="15.75" thickBot="1" x14ac:dyDescent="0.3">
      <c r="A74" s="26">
        <v>1</v>
      </c>
      <c r="B74" s="26">
        <v>2</v>
      </c>
      <c r="C74" s="26">
        <v>3</v>
      </c>
      <c r="D74" s="26">
        <v>4</v>
      </c>
      <c r="E74" s="26">
        <v>5</v>
      </c>
      <c r="F74" s="26">
        <v>6</v>
      </c>
      <c r="G74" s="26">
        <v>7</v>
      </c>
      <c r="H74" s="26">
        <v>8</v>
      </c>
      <c r="I74" s="26">
        <v>9</v>
      </c>
      <c r="J74" s="26">
        <v>10</v>
      </c>
      <c r="K74" s="26">
        <v>11</v>
      </c>
      <c r="L74" s="26">
        <v>12</v>
      </c>
      <c r="M74" s="26">
        <v>13</v>
      </c>
      <c r="N74" s="26">
        <v>14</v>
      </c>
      <c r="O74" s="26">
        <v>15</v>
      </c>
    </row>
    <row r="75" spans="1:17" ht="18.75" customHeight="1" thickTop="1" x14ac:dyDescent="0.25">
      <c r="A75" s="27">
        <v>1</v>
      </c>
      <c r="B75" s="7" t="s">
        <v>18</v>
      </c>
      <c r="C75" s="46">
        <v>0</v>
      </c>
      <c r="D75" s="28">
        <v>44</v>
      </c>
      <c r="E75" s="28">
        <v>139</v>
      </c>
      <c r="F75" s="28">
        <v>0</v>
      </c>
      <c r="G75" s="28">
        <v>0</v>
      </c>
      <c r="H75" s="28">
        <v>68</v>
      </c>
      <c r="I75" s="28">
        <v>0</v>
      </c>
      <c r="J75" s="28">
        <v>0</v>
      </c>
      <c r="K75" s="28">
        <v>0</v>
      </c>
      <c r="L75" s="46">
        <v>0</v>
      </c>
      <c r="M75" s="46">
        <v>0</v>
      </c>
      <c r="N75" s="46">
        <v>0</v>
      </c>
      <c r="O75" s="29">
        <f>SUM(C75:N75)</f>
        <v>251</v>
      </c>
      <c r="Q75" s="110">
        <f>SUM(F75:K75)</f>
        <v>68</v>
      </c>
    </row>
    <row r="76" spans="1:17" ht="18.75" customHeight="1" x14ac:dyDescent="0.25">
      <c r="A76" s="14">
        <v>2</v>
      </c>
      <c r="B76" s="12" t="s">
        <v>19</v>
      </c>
      <c r="C76" s="47">
        <v>0</v>
      </c>
      <c r="D76" s="16">
        <v>5</v>
      </c>
      <c r="E76" s="16">
        <v>202</v>
      </c>
      <c r="F76" s="16">
        <v>83</v>
      </c>
      <c r="G76" s="16">
        <v>0</v>
      </c>
      <c r="H76" s="16">
        <v>1</v>
      </c>
      <c r="I76" s="16">
        <v>4</v>
      </c>
      <c r="J76" s="16">
        <v>16</v>
      </c>
      <c r="K76" s="16">
        <v>0</v>
      </c>
      <c r="L76" s="47">
        <v>0</v>
      </c>
      <c r="M76" s="47">
        <v>0</v>
      </c>
      <c r="N76" s="47">
        <v>0</v>
      </c>
      <c r="O76" s="18">
        <f t="shared" ref="O76:O82" si="6">SUM(C76:N76)</f>
        <v>311</v>
      </c>
      <c r="Q76" s="110">
        <f t="shared" ref="Q76:Q83" si="7">SUM(F76:K76)</f>
        <v>104</v>
      </c>
    </row>
    <row r="77" spans="1:17" ht="18.75" customHeight="1" x14ac:dyDescent="0.25">
      <c r="A77" s="14">
        <v>3</v>
      </c>
      <c r="B77" s="7" t="s">
        <v>20</v>
      </c>
      <c r="C77" s="16">
        <v>0</v>
      </c>
      <c r="D77" s="16">
        <v>142</v>
      </c>
      <c r="E77" s="16">
        <v>252</v>
      </c>
      <c r="F77" s="16">
        <v>0</v>
      </c>
      <c r="G77" s="16">
        <v>0</v>
      </c>
      <c r="H77" s="16">
        <v>176</v>
      </c>
      <c r="I77" s="16">
        <v>39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8">
        <f t="shared" si="6"/>
        <v>609</v>
      </c>
      <c r="Q77" s="110">
        <f t="shared" si="7"/>
        <v>215</v>
      </c>
    </row>
    <row r="78" spans="1:17" ht="18.75" customHeight="1" x14ac:dyDescent="0.25">
      <c r="A78" s="14">
        <v>4</v>
      </c>
      <c r="B78" s="15" t="s">
        <v>21</v>
      </c>
      <c r="C78" s="16">
        <v>0</v>
      </c>
      <c r="D78" s="16">
        <v>8</v>
      </c>
      <c r="E78" s="16">
        <v>289</v>
      </c>
      <c r="F78" s="16">
        <v>0</v>
      </c>
      <c r="G78" s="16">
        <v>0</v>
      </c>
      <c r="H78" s="16">
        <v>19</v>
      </c>
      <c r="I78" s="16">
        <v>13</v>
      </c>
      <c r="J78" s="16">
        <v>2</v>
      </c>
      <c r="K78" s="16">
        <v>10</v>
      </c>
      <c r="L78" s="16">
        <v>0</v>
      </c>
      <c r="M78" s="16">
        <v>0</v>
      </c>
      <c r="N78" s="16">
        <v>4</v>
      </c>
      <c r="O78" s="18">
        <f t="shared" si="6"/>
        <v>345</v>
      </c>
      <c r="Q78" s="110">
        <f t="shared" si="7"/>
        <v>44</v>
      </c>
    </row>
    <row r="79" spans="1:17" ht="18.75" customHeight="1" x14ac:dyDescent="0.25">
      <c r="A79" s="14">
        <v>5</v>
      </c>
      <c r="B79" s="19" t="s">
        <v>22</v>
      </c>
      <c r="C79" s="16">
        <v>0</v>
      </c>
      <c r="D79" s="16">
        <v>0</v>
      </c>
      <c r="E79" s="16">
        <v>266</v>
      </c>
      <c r="F79" s="16">
        <v>0</v>
      </c>
      <c r="G79" s="16">
        <v>0</v>
      </c>
      <c r="H79" s="16">
        <v>175</v>
      </c>
      <c r="I79" s="16">
        <v>0</v>
      </c>
      <c r="J79" s="16">
        <v>58</v>
      </c>
      <c r="K79" s="16">
        <v>0</v>
      </c>
      <c r="L79" s="16">
        <v>0</v>
      </c>
      <c r="M79" s="16">
        <v>0</v>
      </c>
      <c r="N79" s="16">
        <v>0</v>
      </c>
      <c r="O79" s="18">
        <f t="shared" si="6"/>
        <v>499</v>
      </c>
      <c r="Q79" s="110">
        <f t="shared" si="7"/>
        <v>233</v>
      </c>
    </row>
    <row r="80" spans="1:17" ht="18.75" customHeight="1" x14ac:dyDescent="0.25">
      <c r="A80" s="14">
        <v>6</v>
      </c>
      <c r="B80" s="19" t="s">
        <v>23</v>
      </c>
      <c r="C80" s="16">
        <v>0</v>
      </c>
      <c r="D80" s="16">
        <v>45</v>
      </c>
      <c r="E80" s="16">
        <v>52</v>
      </c>
      <c r="F80" s="16">
        <v>0</v>
      </c>
      <c r="G80" s="16">
        <v>0</v>
      </c>
      <c r="H80" s="16">
        <v>61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8">
        <f t="shared" si="6"/>
        <v>158</v>
      </c>
      <c r="Q80" s="110">
        <f t="shared" si="7"/>
        <v>61</v>
      </c>
    </row>
    <row r="81" spans="1:18" ht="18.75" customHeight="1" x14ac:dyDescent="0.25">
      <c r="A81" s="14">
        <v>7</v>
      </c>
      <c r="B81" s="19" t="s">
        <v>24</v>
      </c>
      <c r="C81" s="16">
        <v>0</v>
      </c>
      <c r="D81" s="16">
        <v>2</v>
      </c>
      <c r="E81" s="16">
        <v>1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1</v>
      </c>
      <c r="L81" s="16">
        <v>1</v>
      </c>
      <c r="M81" s="16">
        <v>0</v>
      </c>
      <c r="N81" s="16">
        <v>0</v>
      </c>
      <c r="O81" s="18">
        <f t="shared" si="6"/>
        <v>5</v>
      </c>
      <c r="Q81" s="110">
        <f t="shared" si="7"/>
        <v>1</v>
      </c>
    </row>
    <row r="82" spans="1:18" ht="18.75" customHeight="1" thickBot="1" x14ac:dyDescent="0.3">
      <c r="A82" s="20">
        <v>8</v>
      </c>
      <c r="B82" s="15" t="s">
        <v>25</v>
      </c>
      <c r="C82" s="17">
        <v>0</v>
      </c>
      <c r="D82" s="17">
        <v>79</v>
      </c>
      <c r="E82" s="17">
        <v>150</v>
      </c>
      <c r="F82" s="17">
        <v>0</v>
      </c>
      <c r="G82" s="17">
        <v>0</v>
      </c>
      <c r="H82" s="17">
        <v>0</v>
      </c>
      <c r="I82" s="17">
        <v>82</v>
      </c>
      <c r="J82" s="17">
        <v>223</v>
      </c>
      <c r="K82" s="17">
        <v>0</v>
      </c>
      <c r="L82" s="17">
        <v>0</v>
      </c>
      <c r="M82" s="17">
        <v>56</v>
      </c>
      <c r="N82" s="49">
        <v>0</v>
      </c>
      <c r="O82" s="21">
        <f t="shared" si="6"/>
        <v>590</v>
      </c>
      <c r="Q82" s="110">
        <f t="shared" si="7"/>
        <v>305</v>
      </c>
    </row>
    <row r="83" spans="1:18" ht="18.75" customHeight="1" thickTop="1" x14ac:dyDescent="0.25">
      <c r="A83" s="429" t="s">
        <v>26</v>
      </c>
      <c r="B83" s="430"/>
      <c r="C83" s="22">
        <f t="shared" ref="C83:O83" si="8">SUM(C75:C82)</f>
        <v>0</v>
      </c>
      <c r="D83" s="22">
        <f t="shared" si="8"/>
        <v>325</v>
      </c>
      <c r="E83" s="22">
        <f t="shared" si="8"/>
        <v>1351</v>
      </c>
      <c r="F83" s="22">
        <f t="shared" si="8"/>
        <v>83</v>
      </c>
      <c r="G83" s="22">
        <f t="shared" si="8"/>
        <v>0</v>
      </c>
      <c r="H83" s="22">
        <f>SUM(H75:H82)</f>
        <v>500</v>
      </c>
      <c r="I83" s="22">
        <f t="shared" si="8"/>
        <v>138</v>
      </c>
      <c r="J83" s="22">
        <f t="shared" si="8"/>
        <v>299</v>
      </c>
      <c r="K83" s="22">
        <f t="shared" si="8"/>
        <v>11</v>
      </c>
      <c r="L83" s="22">
        <f t="shared" si="8"/>
        <v>1</v>
      </c>
      <c r="M83" s="22">
        <f t="shared" si="8"/>
        <v>56</v>
      </c>
      <c r="N83" s="22">
        <f t="shared" si="8"/>
        <v>4</v>
      </c>
      <c r="O83" s="22">
        <f t="shared" si="8"/>
        <v>2768</v>
      </c>
      <c r="Q83" s="110">
        <f t="shared" si="7"/>
        <v>1031</v>
      </c>
      <c r="R83" s="110">
        <f>O83/0.32</f>
        <v>8650</v>
      </c>
    </row>
    <row r="84" spans="1:18" x14ac:dyDescent="0.25">
      <c r="A84" s="23"/>
      <c r="B84" s="23"/>
      <c r="C84" s="401">
        <f>SUM(C83:E83)</f>
        <v>1676</v>
      </c>
      <c r="D84" s="23"/>
      <c r="E84" s="23"/>
      <c r="F84" s="401">
        <f>SUM(F83:H83)</f>
        <v>583</v>
      </c>
      <c r="G84" s="23"/>
      <c r="H84" s="23"/>
      <c r="I84" s="401">
        <f>SUM(I83:K83)</f>
        <v>448</v>
      </c>
      <c r="J84" s="23"/>
      <c r="K84" s="23"/>
      <c r="L84" s="401">
        <f>SUM(L83:N83)</f>
        <v>61</v>
      </c>
      <c r="M84" s="23"/>
      <c r="N84" s="23"/>
      <c r="O84" s="23"/>
    </row>
    <row r="85" spans="1:18" x14ac:dyDescent="0.2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R85">
        <f>R83/O50</f>
        <v>3.2156133828996283</v>
      </c>
    </row>
    <row r="86" spans="1:18" x14ac:dyDescent="0.25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</row>
    <row r="87" spans="1:18" x14ac:dyDescent="0.25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</row>
    <row r="88" spans="1:18" x14ac:dyDescent="0.25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</row>
    <row r="89" spans="1:18" x14ac:dyDescent="0.25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</row>
    <row r="90" spans="1:18" x14ac:dyDescent="0.25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</row>
    <row r="91" spans="1:18" x14ac:dyDescent="0.25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</row>
    <row r="92" spans="1:18" x14ac:dyDescent="0.25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</row>
    <row r="93" spans="1:18" x14ac:dyDescent="0.25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</row>
    <row r="94" spans="1:18" x14ac:dyDescent="0.25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</row>
    <row r="95" spans="1:18" x14ac:dyDescent="0.2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</row>
    <row r="96" spans="1:18" x14ac:dyDescent="0.25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</row>
    <row r="97" spans="1:15" x14ac:dyDescent="0.25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</row>
    <row r="98" spans="1:15" x14ac:dyDescent="0.25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</row>
    <row r="99" spans="1:15" x14ac:dyDescent="0.25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</row>
    <row r="100" spans="1:15" x14ac:dyDescent="0.25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</row>
    <row r="101" spans="1:15" ht="18.75" x14ac:dyDescent="0.3">
      <c r="A101" s="424" t="s">
        <v>44</v>
      </c>
      <c r="B101" s="424"/>
      <c r="C101" s="424"/>
      <c r="D101" s="424"/>
      <c r="E101" s="424"/>
      <c r="F101" s="424"/>
      <c r="G101" s="424"/>
      <c r="H101" s="424"/>
      <c r="I101" s="424"/>
      <c r="J101" s="424"/>
      <c r="K101" s="424"/>
      <c r="L101" s="424"/>
      <c r="M101" s="424"/>
      <c r="N101" s="424"/>
      <c r="O101" s="424"/>
    </row>
    <row r="102" spans="1:15" ht="18.75" x14ac:dyDescent="0.3">
      <c r="A102" s="424" t="s">
        <v>75</v>
      </c>
      <c r="B102" s="424"/>
      <c r="C102" s="424"/>
      <c r="D102" s="424"/>
      <c r="E102" s="424"/>
      <c r="F102" s="424"/>
      <c r="G102" s="424"/>
      <c r="H102" s="424"/>
      <c r="I102" s="424"/>
      <c r="J102" s="424"/>
      <c r="K102" s="424"/>
      <c r="L102" s="424"/>
      <c r="M102" s="424"/>
      <c r="N102" s="424"/>
      <c r="O102" s="424"/>
    </row>
    <row r="103" spans="1:15" ht="18.75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3" t="s">
        <v>31</v>
      </c>
    </row>
    <row r="105" spans="1:15" x14ac:dyDescent="0.25">
      <c r="A105" s="425" t="s">
        <v>2</v>
      </c>
      <c r="B105" s="425" t="s">
        <v>3</v>
      </c>
      <c r="C105" s="427" t="s">
        <v>4</v>
      </c>
      <c r="D105" s="427"/>
      <c r="E105" s="427"/>
      <c r="F105" s="427"/>
      <c r="G105" s="427"/>
      <c r="H105" s="427"/>
      <c r="I105" s="427"/>
      <c r="J105" s="427"/>
      <c r="K105" s="427"/>
      <c r="L105" s="427"/>
      <c r="M105" s="427"/>
      <c r="N105" s="427"/>
      <c r="O105" s="425" t="s">
        <v>5</v>
      </c>
    </row>
    <row r="106" spans="1:15" x14ac:dyDescent="0.25">
      <c r="A106" s="426"/>
      <c r="B106" s="426"/>
      <c r="C106" s="25" t="s">
        <v>6</v>
      </c>
      <c r="D106" s="25" t="s">
        <v>7</v>
      </c>
      <c r="E106" s="25" t="s">
        <v>8</v>
      </c>
      <c r="F106" s="25" t="s">
        <v>9</v>
      </c>
      <c r="G106" s="25" t="s">
        <v>10</v>
      </c>
      <c r="H106" s="25" t="s">
        <v>11</v>
      </c>
      <c r="I106" s="25" t="s">
        <v>12</v>
      </c>
      <c r="J106" s="25" t="s">
        <v>13</v>
      </c>
      <c r="K106" s="25" t="s">
        <v>14</v>
      </c>
      <c r="L106" s="25" t="s">
        <v>15</v>
      </c>
      <c r="M106" s="25" t="s">
        <v>16</v>
      </c>
      <c r="N106" s="25" t="s">
        <v>17</v>
      </c>
      <c r="O106" s="428"/>
    </row>
    <row r="107" spans="1:15" ht="15.75" thickBot="1" x14ac:dyDescent="0.3">
      <c r="A107" s="26">
        <v>1</v>
      </c>
      <c r="B107" s="26">
        <v>2</v>
      </c>
      <c r="C107" s="26">
        <v>3</v>
      </c>
      <c r="D107" s="26">
        <v>4</v>
      </c>
      <c r="E107" s="26">
        <v>5</v>
      </c>
      <c r="F107" s="26">
        <v>6</v>
      </c>
      <c r="G107" s="26">
        <v>7</v>
      </c>
      <c r="H107" s="26">
        <v>8</v>
      </c>
      <c r="I107" s="26">
        <v>9</v>
      </c>
      <c r="J107" s="26">
        <v>10</v>
      </c>
      <c r="K107" s="26">
        <v>11</v>
      </c>
      <c r="L107" s="26">
        <v>12</v>
      </c>
      <c r="M107" s="26">
        <v>13</v>
      </c>
      <c r="N107" s="26">
        <v>14</v>
      </c>
      <c r="O107" s="26">
        <v>15</v>
      </c>
    </row>
    <row r="108" spans="1:15" ht="18.75" customHeight="1" thickTop="1" x14ac:dyDescent="0.25">
      <c r="A108" s="27">
        <v>1</v>
      </c>
      <c r="B108" s="7" t="s">
        <v>18</v>
      </c>
      <c r="C108" s="46">
        <v>0</v>
      </c>
      <c r="D108" s="32">
        <v>11.78</v>
      </c>
      <c r="E108" s="32">
        <v>10.15</v>
      </c>
      <c r="F108" s="32">
        <v>0</v>
      </c>
      <c r="G108" s="28">
        <v>0</v>
      </c>
      <c r="H108" s="32">
        <v>8.3000000000000007</v>
      </c>
      <c r="I108" s="32">
        <v>0</v>
      </c>
      <c r="J108" s="32">
        <v>0</v>
      </c>
      <c r="K108" s="32">
        <v>0</v>
      </c>
      <c r="L108" s="32">
        <v>0</v>
      </c>
      <c r="M108" s="46">
        <v>0</v>
      </c>
      <c r="N108" s="46">
        <v>0</v>
      </c>
      <c r="O108" s="33">
        <f t="shared" ref="O108:O116" si="9">O75/O42*10</f>
        <v>9.8046875</v>
      </c>
    </row>
    <row r="109" spans="1:15" ht="18.75" customHeight="1" x14ac:dyDescent="0.25">
      <c r="A109" s="14">
        <v>2</v>
      </c>
      <c r="B109" s="12" t="s">
        <v>19</v>
      </c>
      <c r="C109" s="47">
        <v>0</v>
      </c>
      <c r="D109" s="34">
        <v>16.670000000000002</v>
      </c>
      <c r="E109" s="34">
        <v>15.19</v>
      </c>
      <c r="F109" s="34">
        <v>16.27</v>
      </c>
      <c r="G109" s="16">
        <v>0</v>
      </c>
      <c r="H109" s="34">
        <v>10</v>
      </c>
      <c r="I109" s="34">
        <v>7.68</v>
      </c>
      <c r="J109" s="34">
        <v>8.52</v>
      </c>
      <c r="K109" s="34">
        <v>0</v>
      </c>
      <c r="L109" s="34">
        <v>0</v>
      </c>
      <c r="M109" s="47">
        <v>0</v>
      </c>
      <c r="N109" s="47">
        <v>0</v>
      </c>
      <c r="O109" s="35">
        <f t="shared" si="9"/>
        <v>14.669811320754718</v>
      </c>
    </row>
    <row r="110" spans="1:15" ht="18.75" customHeight="1" x14ac:dyDescent="0.25">
      <c r="A110" s="14">
        <v>3</v>
      </c>
      <c r="B110" s="7" t="s">
        <v>20</v>
      </c>
      <c r="C110" s="16">
        <v>0</v>
      </c>
      <c r="D110" s="34">
        <v>16.71</v>
      </c>
      <c r="E110" s="34">
        <v>14</v>
      </c>
      <c r="F110" s="34">
        <v>0</v>
      </c>
      <c r="G110" s="16">
        <v>0</v>
      </c>
      <c r="H110" s="34">
        <v>0</v>
      </c>
      <c r="I110" s="34">
        <v>6.85</v>
      </c>
      <c r="J110" s="34">
        <v>0</v>
      </c>
      <c r="K110" s="34">
        <v>0</v>
      </c>
      <c r="L110" s="34">
        <v>0</v>
      </c>
      <c r="M110" s="16">
        <v>0</v>
      </c>
      <c r="N110" s="16">
        <v>0</v>
      </c>
      <c r="O110" s="35">
        <f t="shared" si="9"/>
        <v>10.518134715025907</v>
      </c>
    </row>
    <row r="111" spans="1:15" ht="18.75" customHeight="1" x14ac:dyDescent="0.25">
      <c r="A111" s="14">
        <v>4</v>
      </c>
      <c r="B111" s="15" t="s">
        <v>21</v>
      </c>
      <c r="C111" s="16">
        <v>0</v>
      </c>
      <c r="D111" s="34">
        <v>16.05</v>
      </c>
      <c r="E111" s="34">
        <v>12.37</v>
      </c>
      <c r="F111" s="34">
        <v>0</v>
      </c>
      <c r="G111" s="16">
        <v>0</v>
      </c>
      <c r="H111" s="34">
        <v>8.32</v>
      </c>
      <c r="I111" s="34">
        <v>8.2200000000000006</v>
      </c>
      <c r="J111" s="34">
        <v>8.5</v>
      </c>
      <c r="K111" s="34">
        <v>8.7100000000000009</v>
      </c>
      <c r="L111" s="34">
        <v>0</v>
      </c>
      <c r="M111" s="16">
        <v>0</v>
      </c>
      <c r="N111" s="34">
        <v>12</v>
      </c>
      <c r="O111" s="35">
        <f t="shared" si="9"/>
        <v>11.655405405405405</v>
      </c>
    </row>
    <row r="112" spans="1:15" ht="18.75" customHeight="1" x14ac:dyDescent="0.25">
      <c r="A112" s="14">
        <v>5</v>
      </c>
      <c r="B112" s="19" t="s">
        <v>22</v>
      </c>
      <c r="C112" s="16">
        <v>0</v>
      </c>
      <c r="D112" s="34">
        <v>0</v>
      </c>
      <c r="E112" s="34">
        <v>10.24</v>
      </c>
      <c r="F112" s="34">
        <v>0</v>
      </c>
      <c r="G112" s="16">
        <v>0</v>
      </c>
      <c r="H112" s="34"/>
      <c r="I112" s="34">
        <v>0</v>
      </c>
      <c r="J112" s="34">
        <v>8.5</v>
      </c>
      <c r="K112" s="34">
        <v>0</v>
      </c>
      <c r="L112" s="34">
        <v>0</v>
      </c>
      <c r="M112" s="16">
        <v>0</v>
      </c>
      <c r="N112" s="16">
        <v>0</v>
      </c>
      <c r="O112" s="35">
        <f t="shared" si="9"/>
        <v>9.9204771371769382</v>
      </c>
    </row>
    <row r="113" spans="1:17" ht="18.75" customHeight="1" x14ac:dyDescent="0.25">
      <c r="A113" s="14">
        <v>6</v>
      </c>
      <c r="B113" s="19" t="s">
        <v>23</v>
      </c>
      <c r="C113" s="16">
        <v>0</v>
      </c>
      <c r="D113" s="34">
        <v>12.8</v>
      </c>
      <c r="E113" s="34">
        <v>12.8</v>
      </c>
      <c r="F113" s="34">
        <v>0</v>
      </c>
      <c r="G113" s="16">
        <v>0</v>
      </c>
      <c r="H113" s="34">
        <v>8.9600000000000009</v>
      </c>
      <c r="I113" s="34">
        <v>0</v>
      </c>
      <c r="J113" s="34">
        <v>0</v>
      </c>
      <c r="K113" s="34">
        <v>0</v>
      </c>
      <c r="L113" s="34">
        <v>0</v>
      </c>
      <c r="M113" s="16">
        <v>0</v>
      </c>
      <c r="N113" s="16">
        <v>0</v>
      </c>
      <c r="O113" s="35">
        <f t="shared" si="9"/>
        <v>10.972222222222223</v>
      </c>
    </row>
    <row r="114" spans="1:17" ht="18.75" customHeight="1" x14ac:dyDescent="0.25">
      <c r="A114" s="14">
        <v>7</v>
      </c>
      <c r="B114" s="19" t="s">
        <v>24</v>
      </c>
      <c r="C114" s="16">
        <v>0</v>
      </c>
      <c r="D114" s="34">
        <v>16.38</v>
      </c>
      <c r="E114" s="34">
        <v>14</v>
      </c>
      <c r="F114" s="34">
        <v>0</v>
      </c>
      <c r="G114" s="16">
        <v>0</v>
      </c>
      <c r="H114" s="34">
        <v>0</v>
      </c>
      <c r="I114" s="34">
        <v>0</v>
      </c>
      <c r="J114" s="34">
        <v>0</v>
      </c>
      <c r="K114" s="34">
        <v>8.5</v>
      </c>
      <c r="L114" s="34">
        <v>8</v>
      </c>
      <c r="M114" s="16">
        <v>0</v>
      </c>
      <c r="N114" s="16">
        <v>0</v>
      </c>
      <c r="O114" s="35">
        <f t="shared" si="9"/>
        <v>12.5</v>
      </c>
    </row>
    <row r="115" spans="1:17" ht="18.75" customHeight="1" thickBot="1" x14ac:dyDescent="0.3">
      <c r="A115" s="20">
        <v>8</v>
      </c>
      <c r="B115" s="15" t="s">
        <v>25</v>
      </c>
      <c r="C115" s="17">
        <v>0</v>
      </c>
      <c r="D115" s="36">
        <v>16.809999999999999</v>
      </c>
      <c r="E115" s="36">
        <v>8</v>
      </c>
      <c r="F115" s="36">
        <v>0</v>
      </c>
      <c r="G115" s="17">
        <v>0</v>
      </c>
      <c r="H115" s="36">
        <v>0</v>
      </c>
      <c r="I115" s="36">
        <v>7.36</v>
      </c>
      <c r="J115" s="36">
        <v>8.1</v>
      </c>
      <c r="K115" s="36">
        <v>0</v>
      </c>
      <c r="L115" s="36">
        <v>0</v>
      </c>
      <c r="M115" s="36">
        <v>7.5</v>
      </c>
      <c r="N115" s="51">
        <v>0</v>
      </c>
      <c r="O115" s="37">
        <f t="shared" si="9"/>
        <v>8.4770114942528743</v>
      </c>
    </row>
    <row r="116" spans="1:17" ht="18.75" customHeight="1" thickTop="1" x14ac:dyDescent="0.25">
      <c r="A116" s="429" t="s">
        <v>26</v>
      </c>
      <c r="B116" s="430"/>
      <c r="C116" s="52">
        <v>0</v>
      </c>
      <c r="D116" s="52">
        <f>D83/D50*10</f>
        <v>15.258215962441316</v>
      </c>
      <c r="E116" s="52">
        <f>E83/E50*10</f>
        <v>11.517476555839728</v>
      </c>
      <c r="F116" s="52">
        <f t="shared" ref="F116:K116" si="10">F83/F50*10</f>
        <v>16.274509803921568</v>
      </c>
      <c r="G116" s="52">
        <v>0</v>
      </c>
      <c r="H116" s="52">
        <f t="shared" si="10"/>
        <v>8.2508250825082499</v>
      </c>
      <c r="I116" s="52">
        <f t="shared" si="10"/>
        <v>7.2631578947368425</v>
      </c>
      <c r="J116" s="52">
        <f t="shared" si="10"/>
        <v>8.1917808219178081</v>
      </c>
      <c r="K116" s="52">
        <f t="shared" si="10"/>
        <v>8.4615384615384617</v>
      </c>
      <c r="L116" s="52">
        <v>8</v>
      </c>
      <c r="M116" s="52">
        <v>7.5</v>
      </c>
      <c r="N116" s="52">
        <f>SUM(N108:N115)</f>
        <v>12</v>
      </c>
      <c r="O116" s="45">
        <f t="shared" si="9"/>
        <v>10.289962825278812</v>
      </c>
      <c r="Q116" s="73">
        <f>O116/0.32</f>
        <v>32.156133828996282</v>
      </c>
    </row>
    <row r="117" spans="1:17" x14ac:dyDescent="0.25">
      <c r="A117" s="24"/>
      <c r="B117" s="24"/>
      <c r="C117" s="24"/>
      <c r="D117" s="74"/>
      <c r="E117" s="24"/>
      <c r="F117" s="24"/>
      <c r="G117" s="24"/>
      <c r="H117" s="74"/>
      <c r="I117" s="24"/>
      <c r="J117" s="24"/>
      <c r="K117" s="24"/>
      <c r="L117" s="24"/>
      <c r="M117" s="24"/>
      <c r="N117" s="24"/>
      <c r="O117" s="24"/>
    </row>
    <row r="118" spans="1:17" x14ac:dyDescent="0.25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107"/>
      <c r="L118" s="24"/>
      <c r="M118" s="24"/>
      <c r="N118" s="24"/>
      <c r="O118" s="24"/>
    </row>
    <row r="119" spans="1:17" x14ac:dyDescent="0.25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L119" s="24"/>
      <c r="M119" s="41" t="s">
        <v>206</v>
      </c>
      <c r="N119" s="24"/>
      <c r="O119" s="24"/>
    </row>
    <row r="120" spans="1:17" x14ac:dyDescent="0.25">
      <c r="M120" s="41" t="s">
        <v>188</v>
      </c>
    </row>
    <row r="121" spans="1:17" x14ac:dyDescent="0.25">
      <c r="M121" s="41" t="s">
        <v>185</v>
      </c>
    </row>
    <row r="122" spans="1:17" x14ac:dyDescent="0.25">
      <c r="M122" s="41"/>
    </row>
    <row r="123" spans="1:17" x14ac:dyDescent="0.25">
      <c r="M123" s="41"/>
    </row>
    <row r="124" spans="1:17" x14ac:dyDescent="0.25">
      <c r="M124" s="41"/>
    </row>
    <row r="125" spans="1:17" x14ac:dyDescent="0.25">
      <c r="M125" s="423" t="s">
        <v>186</v>
      </c>
    </row>
    <row r="126" spans="1:17" x14ac:dyDescent="0.25">
      <c r="M126" s="41" t="s">
        <v>187</v>
      </c>
    </row>
  </sheetData>
  <mergeCells count="28">
    <mergeCell ref="A116:B116"/>
    <mergeCell ref="A83:B83"/>
    <mergeCell ref="A101:O101"/>
    <mergeCell ref="A102:O102"/>
    <mergeCell ref="A105:A106"/>
    <mergeCell ref="B105:B106"/>
    <mergeCell ref="C105:N105"/>
    <mergeCell ref="O105:O106"/>
    <mergeCell ref="A50:B50"/>
    <mergeCell ref="A68:O68"/>
    <mergeCell ref="A69:O69"/>
    <mergeCell ref="A72:A73"/>
    <mergeCell ref="B72:B73"/>
    <mergeCell ref="C72:N72"/>
    <mergeCell ref="O72:O73"/>
    <mergeCell ref="A17:B17"/>
    <mergeCell ref="A35:O35"/>
    <mergeCell ref="A36:O36"/>
    <mergeCell ref="A39:A40"/>
    <mergeCell ref="B39:B40"/>
    <mergeCell ref="C39:N39"/>
    <mergeCell ref="O39:O40"/>
    <mergeCell ref="A2:O2"/>
    <mergeCell ref="A3:O3"/>
    <mergeCell ref="A6:A7"/>
    <mergeCell ref="B6:B7"/>
    <mergeCell ref="C6:N6"/>
    <mergeCell ref="O6:O7"/>
  </mergeCells>
  <pageMargins left="1.5748031496062993" right="0.39370078740157483" top="0.94488188976377963" bottom="0.74803149606299213" header="0.31496062992125984" footer="0.31496062992125984"/>
  <pageSetup paperSize="9" scale="90" orientation="landscape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126"/>
  <sheetViews>
    <sheetView zoomScale="90" zoomScaleNormal="90" workbookViewId="0">
      <selection activeCell="A2" sqref="A2:O2"/>
    </sheetView>
  </sheetViews>
  <sheetFormatPr defaultRowHeight="15" x14ac:dyDescent="0.25"/>
  <cols>
    <col min="1" max="1" width="4" customWidth="1"/>
    <col min="2" max="2" width="15" customWidth="1"/>
    <col min="3" max="15" width="8.5703125" customWidth="1"/>
  </cols>
  <sheetData>
    <row r="2" spans="1:17" ht="18.75" x14ac:dyDescent="0.3">
      <c r="A2" s="424" t="s">
        <v>45</v>
      </c>
      <c r="B2" s="424"/>
      <c r="C2" s="424"/>
      <c r="D2" s="424"/>
      <c r="E2" s="424"/>
      <c r="F2" s="424"/>
      <c r="G2" s="424"/>
      <c r="H2" s="424"/>
      <c r="I2" s="424"/>
      <c r="J2" s="424"/>
      <c r="K2" s="424"/>
      <c r="L2" s="424"/>
      <c r="M2" s="424"/>
      <c r="N2" s="424"/>
      <c r="O2" s="424"/>
    </row>
    <row r="3" spans="1:17" ht="18.75" x14ac:dyDescent="0.3">
      <c r="A3" s="424" t="s">
        <v>75</v>
      </c>
      <c r="B3" s="424"/>
      <c r="C3" s="424"/>
      <c r="D3" s="424"/>
      <c r="E3" s="424"/>
      <c r="F3" s="424"/>
      <c r="G3" s="424"/>
      <c r="H3" s="424"/>
      <c r="I3" s="424"/>
      <c r="J3" s="424"/>
      <c r="K3" s="424"/>
      <c r="L3" s="424"/>
      <c r="M3" s="424"/>
      <c r="N3" s="424"/>
      <c r="O3" s="424"/>
    </row>
    <row r="4" spans="1:17" ht="18.75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7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3" t="s">
        <v>1</v>
      </c>
    </row>
    <row r="6" spans="1:17" x14ac:dyDescent="0.25">
      <c r="A6" s="425" t="s">
        <v>2</v>
      </c>
      <c r="B6" s="425" t="s">
        <v>3</v>
      </c>
      <c r="C6" s="427" t="s">
        <v>4</v>
      </c>
      <c r="D6" s="427"/>
      <c r="E6" s="427"/>
      <c r="F6" s="427"/>
      <c r="G6" s="427"/>
      <c r="H6" s="427"/>
      <c r="I6" s="427"/>
      <c r="J6" s="427"/>
      <c r="K6" s="427"/>
      <c r="L6" s="427"/>
      <c r="M6" s="427"/>
      <c r="N6" s="427"/>
      <c r="O6" s="425" t="s">
        <v>5</v>
      </c>
    </row>
    <row r="7" spans="1:17" x14ac:dyDescent="0.25">
      <c r="A7" s="426"/>
      <c r="B7" s="426"/>
      <c r="C7" s="25" t="s">
        <v>6</v>
      </c>
      <c r="D7" s="25" t="s">
        <v>7</v>
      </c>
      <c r="E7" s="25" t="s">
        <v>8</v>
      </c>
      <c r="F7" s="25" t="s">
        <v>9</v>
      </c>
      <c r="G7" s="25" t="s">
        <v>10</v>
      </c>
      <c r="H7" s="25" t="s">
        <v>11</v>
      </c>
      <c r="I7" s="25" t="s">
        <v>12</v>
      </c>
      <c r="J7" s="25" t="s">
        <v>13</v>
      </c>
      <c r="K7" s="25" t="s">
        <v>14</v>
      </c>
      <c r="L7" s="25" t="s">
        <v>15</v>
      </c>
      <c r="M7" s="25" t="s">
        <v>16</v>
      </c>
      <c r="N7" s="25" t="s">
        <v>17</v>
      </c>
      <c r="O7" s="428"/>
    </row>
    <row r="8" spans="1:17" ht="15.75" thickBot="1" x14ac:dyDescent="0.3">
      <c r="A8" s="26">
        <v>1</v>
      </c>
      <c r="B8" s="26">
        <v>2</v>
      </c>
      <c r="C8" s="26">
        <v>3</v>
      </c>
      <c r="D8" s="26">
        <v>4</v>
      </c>
      <c r="E8" s="26">
        <v>5</v>
      </c>
      <c r="F8" s="26">
        <v>6</v>
      </c>
      <c r="G8" s="26">
        <v>7</v>
      </c>
      <c r="H8" s="26">
        <v>8</v>
      </c>
      <c r="I8" s="26">
        <v>9</v>
      </c>
      <c r="J8" s="26">
        <v>10</v>
      </c>
      <c r="K8" s="26">
        <v>11</v>
      </c>
      <c r="L8" s="26">
        <v>12</v>
      </c>
      <c r="M8" s="26">
        <v>13</v>
      </c>
      <c r="N8" s="26">
        <v>14</v>
      </c>
      <c r="O8" s="26">
        <v>15</v>
      </c>
      <c r="Q8" t="s">
        <v>179</v>
      </c>
    </row>
    <row r="9" spans="1:17" ht="18.75" customHeight="1" thickTop="1" x14ac:dyDescent="0.25">
      <c r="A9" s="27">
        <v>1</v>
      </c>
      <c r="B9" s="7" t="s">
        <v>18</v>
      </c>
      <c r="C9" s="16">
        <v>1</v>
      </c>
      <c r="D9" s="28">
        <v>0</v>
      </c>
      <c r="E9" s="28">
        <v>0</v>
      </c>
      <c r="F9" s="28">
        <v>0</v>
      </c>
      <c r="G9" s="16">
        <v>0</v>
      </c>
      <c r="H9" s="28">
        <v>0</v>
      </c>
      <c r="I9" s="28">
        <v>0</v>
      </c>
      <c r="J9" s="28">
        <v>0</v>
      </c>
      <c r="K9" s="28">
        <v>0</v>
      </c>
      <c r="L9" s="28">
        <v>0</v>
      </c>
      <c r="M9" s="28">
        <v>0</v>
      </c>
      <c r="N9" s="28">
        <v>1</v>
      </c>
      <c r="O9" s="29">
        <f>SUM(C9:N9)</f>
        <v>2</v>
      </c>
      <c r="Q9" s="110">
        <f>SUM(F9:K9)</f>
        <v>0</v>
      </c>
    </row>
    <row r="10" spans="1:17" ht="18.75" customHeight="1" x14ac:dyDescent="0.25">
      <c r="A10" s="14">
        <v>2</v>
      </c>
      <c r="B10" s="12" t="s">
        <v>19</v>
      </c>
      <c r="C10" s="17">
        <v>0</v>
      </c>
      <c r="D10" s="16">
        <v>0</v>
      </c>
      <c r="E10" s="16">
        <v>0</v>
      </c>
      <c r="F10" s="16">
        <v>0</v>
      </c>
      <c r="G10" s="17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8">
        <f t="shared" ref="O10:O16" si="0">SUM(C10:N10)</f>
        <v>0</v>
      </c>
      <c r="Q10" s="110">
        <f t="shared" ref="Q10:Q17" si="1">SUM(F10:K10)</f>
        <v>0</v>
      </c>
    </row>
    <row r="11" spans="1:17" ht="18.75" customHeight="1" x14ac:dyDescent="0.25">
      <c r="A11" s="14">
        <v>3</v>
      </c>
      <c r="B11" s="7" t="s">
        <v>20</v>
      </c>
      <c r="C11" s="16">
        <v>1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3</v>
      </c>
      <c r="O11" s="18">
        <f t="shared" si="0"/>
        <v>4</v>
      </c>
      <c r="Q11" s="110">
        <f t="shared" si="1"/>
        <v>0</v>
      </c>
    </row>
    <row r="12" spans="1:17" ht="18.75" customHeight="1" x14ac:dyDescent="0.25">
      <c r="A12" s="14">
        <v>4</v>
      </c>
      <c r="B12" s="15" t="s">
        <v>21</v>
      </c>
      <c r="C12" s="17">
        <v>0</v>
      </c>
      <c r="D12" s="16">
        <v>0</v>
      </c>
      <c r="E12" s="16">
        <v>1</v>
      </c>
      <c r="F12" s="16">
        <v>1</v>
      </c>
      <c r="G12" s="17">
        <v>1</v>
      </c>
      <c r="H12" s="16">
        <v>0</v>
      </c>
      <c r="I12" s="16">
        <v>0</v>
      </c>
      <c r="J12" s="16">
        <v>1</v>
      </c>
      <c r="K12" s="16">
        <v>0</v>
      </c>
      <c r="L12" s="16">
        <v>0</v>
      </c>
      <c r="M12" s="16">
        <v>0</v>
      </c>
      <c r="N12" s="16">
        <v>2</v>
      </c>
      <c r="O12" s="18">
        <f t="shared" si="0"/>
        <v>6</v>
      </c>
      <c r="Q12" s="110">
        <f t="shared" si="1"/>
        <v>3</v>
      </c>
    </row>
    <row r="13" spans="1:17" ht="18.75" customHeight="1" x14ac:dyDescent="0.25">
      <c r="A13" s="14">
        <v>5</v>
      </c>
      <c r="B13" s="19" t="s">
        <v>22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1</v>
      </c>
      <c r="O13" s="18">
        <f t="shared" si="0"/>
        <v>1</v>
      </c>
      <c r="Q13" s="110">
        <f t="shared" si="1"/>
        <v>0</v>
      </c>
    </row>
    <row r="14" spans="1:17" ht="18.75" customHeight="1" x14ac:dyDescent="0.25">
      <c r="A14" s="14">
        <v>6</v>
      </c>
      <c r="B14" s="19" t="s">
        <v>23</v>
      </c>
      <c r="C14" s="16">
        <v>2</v>
      </c>
      <c r="D14" s="16">
        <v>0</v>
      </c>
      <c r="E14" s="16">
        <v>0</v>
      </c>
      <c r="F14" s="16">
        <v>0</v>
      </c>
      <c r="G14" s="16">
        <v>2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8">
        <f t="shared" si="0"/>
        <v>4</v>
      </c>
      <c r="Q14" s="110">
        <f t="shared" si="1"/>
        <v>2</v>
      </c>
    </row>
    <row r="15" spans="1:17" ht="18.75" customHeight="1" x14ac:dyDescent="0.25">
      <c r="A15" s="14">
        <v>7</v>
      </c>
      <c r="B15" s="19" t="s">
        <v>24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8">
        <f t="shared" si="0"/>
        <v>0</v>
      </c>
      <c r="Q15" s="110">
        <f t="shared" si="1"/>
        <v>0</v>
      </c>
    </row>
    <row r="16" spans="1:17" ht="18.75" customHeight="1" thickBot="1" x14ac:dyDescent="0.3">
      <c r="A16" s="20">
        <v>8</v>
      </c>
      <c r="B16" s="15" t="s">
        <v>25</v>
      </c>
      <c r="C16" s="17">
        <v>1</v>
      </c>
      <c r="D16" s="17">
        <v>0</v>
      </c>
      <c r="E16" s="17">
        <v>1</v>
      </c>
      <c r="F16" s="17">
        <v>1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2</v>
      </c>
      <c r="O16" s="53">
        <f t="shared" si="0"/>
        <v>5</v>
      </c>
      <c r="Q16" s="110">
        <f t="shared" si="1"/>
        <v>1</v>
      </c>
    </row>
    <row r="17" spans="1:17" ht="18.75" customHeight="1" thickTop="1" x14ac:dyDescent="0.25">
      <c r="A17" s="429" t="s">
        <v>26</v>
      </c>
      <c r="B17" s="430"/>
      <c r="C17" s="22">
        <f t="shared" ref="C17:O17" si="2">SUM(C9:C16)</f>
        <v>5</v>
      </c>
      <c r="D17" s="22">
        <f t="shared" si="2"/>
        <v>0</v>
      </c>
      <c r="E17" s="22">
        <f t="shared" si="2"/>
        <v>2</v>
      </c>
      <c r="F17" s="22">
        <f t="shared" si="2"/>
        <v>2</v>
      </c>
      <c r="G17" s="22">
        <f t="shared" si="2"/>
        <v>3</v>
      </c>
      <c r="H17" s="22">
        <f t="shared" si="2"/>
        <v>0</v>
      </c>
      <c r="I17" s="22">
        <f t="shared" si="2"/>
        <v>0</v>
      </c>
      <c r="J17" s="22">
        <f t="shared" si="2"/>
        <v>1</v>
      </c>
      <c r="K17" s="22">
        <f t="shared" si="2"/>
        <v>0</v>
      </c>
      <c r="L17" s="22">
        <f t="shared" si="2"/>
        <v>0</v>
      </c>
      <c r="M17" s="22">
        <f t="shared" si="2"/>
        <v>0</v>
      </c>
      <c r="N17" s="22">
        <f t="shared" si="2"/>
        <v>9</v>
      </c>
      <c r="O17" s="22">
        <f t="shared" si="2"/>
        <v>22</v>
      </c>
      <c r="Q17" s="110">
        <f t="shared" si="1"/>
        <v>6</v>
      </c>
    </row>
    <row r="18" spans="1:17" x14ac:dyDescent="0.2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</row>
    <row r="19" spans="1:17" x14ac:dyDescent="0.25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</row>
    <row r="20" spans="1:17" x14ac:dyDescent="0.25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</row>
    <row r="21" spans="1:17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</row>
    <row r="22" spans="1:17" x14ac:dyDescent="0.2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</row>
    <row r="23" spans="1:17" x14ac:dyDescent="0.2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</row>
    <row r="24" spans="1:17" x14ac:dyDescent="0.2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</row>
    <row r="25" spans="1:17" x14ac:dyDescent="0.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</row>
    <row r="26" spans="1:17" x14ac:dyDescent="0.2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</row>
    <row r="27" spans="1:17" x14ac:dyDescent="0.2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</row>
    <row r="28" spans="1:17" x14ac:dyDescent="0.2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</row>
    <row r="29" spans="1:17" x14ac:dyDescent="0.2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</row>
    <row r="30" spans="1:17" x14ac:dyDescent="0.2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</row>
    <row r="31" spans="1:17" x14ac:dyDescent="0.25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</row>
    <row r="32" spans="1:17" x14ac:dyDescent="0.25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</row>
    <row r="33" spans="1:17" x14ac:dyDescent="0.25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</row>
    <row r="34" spans="1:17" x14ac:dyDescent="0.25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</row>
    <row r="35" spans="1:17" ht="18.75" x14ac:dyDescent="0.3">
      <c r="A35" s="424" t="s">
        <v>46</v>
      </c>
      <c r="B35" s="424"/>
      <c r="C35" s="424"/>
      <c r="D35" s="424"/>
      <c r="E35" s="424"/>
      <c r="F35" s="424"/>
      <c r="G35" s="424"/>
      <c r="H35" s="424"/>
      <c r="I35" s="424"/>
      <c r="J35" s="424"/>
      <c r="K35" s="424"/>
      <c r="L35" s="424"/>
      <c r="M35" s="424"/>
      <c r="N35" s="424"/>
      <c r="O35" s="424"/>
    </row>
    <row r="36" spans="1:17" ht="18.75" x14ac:dyDescent="0.3">
      <c r="A36" s="424" t="s">
        <v>75</v>
      </c>
      <c r="B36" s="424"/>
      <c r="C36" s="424"/>
      <c r="D36" s="424"/>
      <c r="E36" s="424"/>
      <c r="F36" s="424"/>
      <c r="G36" s="424"/>
      <c r="H36" s="424"/>
      <c r="I36" s="424"/>
      <c r="J36" s="424"/>
      <c r="K36" s="424"/>
      <c r="L36" s="424"/>
      <c r="M36" s="424"/>
      <c r="N36" s="424"/>
      <c r="O36" s="424"/>
    </row>
    <row r="37" spans="1:17" ht="18.75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7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3" t="s">
        <v>1</v>
      </c>
    </row>
    <row r="39" spans="1:17" x14ac:dyDescent="0.25">
      <c r="A39" s="425" t="s">
        <v>2</v>
      </c>
      <c r="B39" s="425" t="s">
        <v>3</v>
      </c>
      <c r="C39" s="427" t="s">
        <v>4</v>
      </c>
      <c r="D39" s="427"/>
      <c r="E39" s="427"/>
      <c r="F39" s="427"/>
      <c r="G39" s="427"/>
      <c r="H39" s="427"/>
      <c r="I39" s="427"/>
      <c r="J39" s="427"/>
      <c r="K39" s="427"/>
      <c r="L39" s="427"/>
      <c r="M39" s="427"/>
      <c r="N39" s="427"/>
      <c r="O39" s="425" t="s">
        <v>5</v>
      </c>
    </row>
    <row r="40" spans="1:17" x14ac:dyDescent="0.25">
      <c r="A40" s="426"/>
      <c r="B40" s="426"/>
      <c r="C40" s="25" t="s">
        <v>6</v>
      </c>
      <c r="D40" s="25" t="s">
        <v>7</v>
      </c>
      <c r="E40" s="25" t="s">
        <v>8</v>
      </c>
      <c r="F40" s="25" t="s">
        <v>9</v>
      </c>
      <c r="G40" s="25" t="s">
        <v>10</v>
      </c>
      <c r="H40" s="25" t="s">
        <v>11</v>
      </c>
      <c r="I40" s="25" t="s">
        <v>12</v>
      </c>
      <c r="J40" s="25" t="s">
        <v>13</v>
      </c>
      <c r="K40" s="25" t="s">
        <v>14</v>
      </c>
      <c r="L40" s="25" t="s">
        <v>15</v>
      </c>
      <c r="M40" s="25" t="s">
        <v>16</v>
      </c>
      <c r="N40" s="25" t="s">
        <v>17</v>
      </c>
      <c r="O40" s="428"/>
    </row>
    <row r="41" spans="1:17" ht="15.75" thickBot="1" x14ac:dyDescent="0.3">
      <c r="A41" s="26">
        <v>1</v>
      </c>
      <c r="B41" s="26">
        <v>2</v>
      </c>
      <c r="C41" s="26">
        <v>3</v>
      </c>
      <c r="D41" s="26">
        <v>4</v>
      </c>
      <c r="E41" s="26">
        <v>5</v>
      </c>
      <c r="F41" s="26">
        <v>6</v>
      </c>
      <c r="G41" s="26">
        <v>7</v>
      </c>
      <c r="H41" s="26">
        <v>8</v>
      </c>
      <c r="I41" s="26">
        <v>9</v>
      </c>
      <c r="J41" s="26">
        <v>10</v>
      </c>
      <c r="K41" s="26">
        <v>11</v>
      </c>
      <c r="L41" s="26">
        <v>12</v>
      </c>
      <c r="M41" s="26">
        <v>13</v>
      </c>
      <c r="N41" s="26">
        <v>14</v>
      </c>
      <c r="O41" s="26">
        <v>15</v>
      </c>
    </row>
    <row r="42" spans="1:17" ht="18.75" customHeight="1" thickTop="1" x14ac:dyDescent="0.25">
      <c r="A42" s="27">
        <v>1</v>
      </c>
      <c r="B42" s="7" t="s">
        <v>18</v>
      </c>
      <c r="C42" s="28">
        <v>0</v>
      </c>
      <c r="D42" s="28">
        <v>0</v>
      </c>
      <c r="E42" s="28">
        <v>0</v>
      </c>
      <c r="F42" s="28">
        <v>0</v>
      </c>
      <c r="G42" s="28">
        <v>0</v>
      </c>
      <c r="H42" s="28">
        <v>3</v>
      </c>
      <c r="I42" s="28">
        <v>1</v>
      </c>
      <c r="J42" s="28">
        <v>0</v>
      </c>
      <c r="K42" s="28">
        <v>0</v>
      </c>
      <c r="L42" s="28">
        <v>0</v>
      </c>
      <c r="M42" s="28">
        <v>0</v>
      </c>
      <c r="N42" s="16">
        <v>0</v>
      </c>
      <c r="O42" s="29">
        <f>SUM(C42:N42)</f>
        <v>4</v>
      </c>
      <c r="Q42" s="110">
        <f>SUM(F42:K42)</f>
        <v>4</v>
      </c>
    </row>
    <row r="43" spans="1:17" ht="18.75" customHeight="1" x14ac:dyDescent="0.25">
      <c r="A43" s="14">
        <v>2</v>
      </c>
      <c r="B43" s="12" t="s">
        <v>19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7">
        <v>0</v>
      </c>
      <c r="O43" s="18">
        <f t="shared" ref="O43:O49" si="3">SUM(C43:N43)</f>
        <v>0</v>
      </c>
      <c r="Q43" s="110">
        <f t="shared" ref="Q43:Q50" si="4">SUM(F43:K43)</f>
        <v>0</v>
      </c>
    </row>
    <row r="44" spans="1:17" ht="18.75" customHeight="1" x14ac:dyDescent="0.25">
      <c r="A44" s="14">
        <v>3</v>
      </c>
      <c r="B44" s="7" t="s">
        <v>20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8">
        <f t="shared" si="3"/>
        <v>0</v>
      </c>
      <c r="Q44" s="110">
        <f t="shared" si="4"/>
        <v>0</v>
      </c>
    </row>
    <row r="45" spans="1:17" ht="18.75" customHeight="1" x14ac:dyDescent="0.25">
      <c r="A45" s="14">
        <v>4</v>
      </c>
      <c r="B45" s="15" t="s">
        <v>21</v>
      </c>
      <c r="C45" s="17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3</v>
      </c>
      <c r="K45" s="16">
        <v>0</v>
      </c>
      <c r="L45" s="16">
        <v>0</v>
      </c>
      <c r="M45" s="16">
        <v>1</v>
      </c>
      <c r="N45" s="17">
        <v>1</v>
      </c>
      <c r="O45" s="18">
        <f t="shared" si="3"/>
        <v>5</v>
      </c>
      <c r="Q45" s="110">
        <f t="shared" si="4"/>
        <v>3</v>
      </c>
    </row>
    <row r="46" spans="1:17" ht="18.75" customHeight="1" x14ac:dyDescent="0.25">
      <c r="A46" s="14">
        <v>5</v>
      </c>
      <c r="B46" s="19" t="s">
        <v>22</v>
      </c>
      <c r="C46" s="16">
        <v>0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2</v>
      </c>
      <c r="O46" s="18">
        <f t="shared" si="3"/>
        <v>2</v>
      </c>
      <c r="Q46" s="110">
        <f t="shared" si="4"/>
        <v>0</v>
      </c>
    </row>
    <row r="47" spans="1:17" ht="18.75" customHeight="1" x14ac:dyDescent="0.25">
      <c r="A47" s="14">
        <v>6</v>
      </c>
      <c r="B47" s="19" t="s">
        <v>23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2</v>
      </c>
      <c r="L47" s="16">
        <v>4</v>
      </c>
      <c r="M47" s="16">
        <v>0</v>
      </c>
      <c r="N47" s="16">
        <v>0</v>
      </c>
      <c r="O47" s="18">
        <f t="shared" si="3"/>
        <v>6</v>
      </c>
      <c r="Q47" s="110">
        <f t="shared" si="4"/>
        <v>2</v>
      </c>
    </row>
    <row r="48" spans="1:17" ht="18.75" customHeight="1" x14ac:dyDescent="0.25">
      <c r="A48" s="14">
        <v>7</v>
      </c>
      <c r="B48" s="19" t="s">
        <v>24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8">
        <f t="shared" si="3"/>
        <v>0</v>
      </c>
      <c r="Q48" s="110">
        <f t="shared" si="4"/>
        <v>0</v>
      </c>
    </row>
    <row r="49" spans="1:17" ht="18.75" customHeight="1" thickBot="1" x14ac:dyDescent="0.3">
      <c r="A49" s="54">
        <v>8</v>
      </c>
      <c r="B49" s="15" t="s">
        <v>25</v>
      </c>
      <c r="C49" s="17">
        <v>0</v>
      </c>
      <c r="D49" s="17">
        <v>0</v>
      </c>
      <c r="E49" s="17">
        <v>0</v>
      </c>
      <c r="F49" s="17">
        <v>0</v>
      </c>
      <c r="G49" s="17">
        <v>0</v>
      </c>
      <c r="H49" s="17">
        <v>0</v>
      </c>
      <c r="I49" s="17">
        <v>0</v>
      </c>
      <c r="J49" s="17">
        <v>0</v>
      </c>
      <c r="K49" s="55">
        <v>0</v>
      </c>
      <c r="L49" s="17">
        <v>0</v>
      </c>
      <c r="M49" s="17">
        <v>0</v>
      </c>
      <c r="N49" s="17">
        <v>0</v>
      </c>
      <c r="O49" s="56">
        <f t="shared" si="3"/>
        <v>0</v>
      </c>
      <c r="Q49" s="110">
        <f t="shared" si="4"/>
        <v>0</v>
      </c>
    </row>
    <row r="50" spans="1:17" ht="18.75" customHeight="1" thickTop="1" x14ac:dyDescent="0.25">
      <c r="A50" s="429" t="s">
        <v>26</v>
      </c>
      <c r="B50" s="430"/>
      <c r="C50" s="22">
        <f t="shared" ref="C50:O50" si="5">SUM(C42:C49)</f>
        <v>0</v>
      </c>
      <c r="D50" s="22">
        <f t="shared" si="5"/>
        <v>0</v>
      </c>
      <c r="E50" s="22">
        <f t="shared" si="5"/>
        <v>0</v>
      </c>
      <c r="F50" s="22">
        <f t="shared" si="5"/>
        <v>0</v>
      </c>
      <c r="G50" s="22">
        <f t="shared" si="5"/>
        <v>0</v>
      </c>
      <c r="H50" s="22">
        <f t="shared" si="5"/>
        <v>3</v>
      </c>
      <c r="I50" s="22">
        <f t="shared" si="5"/>
        <v>1</v>
      </c>
      <c r="J50" s="22">
        <f t="shared" si="5"/>
        <v>3</v>
      </c>
      <c r="K50" s="22">
        <f t="shared" si="5"/>
        <v>2</v>
      </c>
      <c r="L50" s="22">
        <f t="shared" si="5"/>
        <v>4</v>
      </c>
      <c r="M50" s="22">
        <f t="shared" si="5"/>
        <v>1</v>
      </c>
      <c r="N50" s="22">
        <f t="shared" si="5"/>
        <v>3</v>
      </c>
      <c r="O50" s="22">
        <f t="shared" si="5"/>
        <v>17</v>
      </c>
      <c r="Q50" s="110">
        <f t="shared" si="4"/>
        <v>9</v>
      </c>
    </row>
    <row r="51" spans="1:17" x14ac:dyDescent="0.25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</row>
    <row r="52" spans="1:17" x14ac:dyDescent="0.25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</row>
    <row r="53" spans="1:17" x14ac:dyDescent="0.25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</row>
    <row r="54" spans="1:17" x14ac:dyDescent="0.25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</row>
    <row r="55" spans="1:17" x14ac:dyDescent="0.2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</row>
    <row r="56" spans="1:17" x14ac:dyDescent="0.25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</row>
    <row r="57" spans="1:17" x14ac:dyDescent="0.25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</row>
    <row r="58" spans="1:17" x14ac:dyDescent="0.25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</row>
    <row r="59" spans="1:17" x14ac:dyDescent="0.25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</row>
    <row r="60" spans="1:17" x14ac:dyDescent="0.25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</row>
    <row r="61" spans="1:17" x14ac:dyDescent="0.2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</row>
    <row r="62" spans="1:17" x14ac:dyDescent="0.2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</row>
    <row r="63" spans="1:17" x14ac:dyDescent="0.2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</row>
    <row r="64" spans="1:17" x14ac:dyDescent="0.2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</row>
    <row r="65" spans="1:17" x14ac:dyDescent="0.2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</row>
    <row r="66" spans="1:17" x14ac:dyDescent="0.25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</row>
    <row r="67" spans="1:17" x14ac:dyDescent="0.25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</row>
    <row r="68" spans="1:17" ht="18.75" x14ac:dyDescent="0.3">
      <c r="A68" s="424" t="s">
        <v>47</v>
      </c>
      <c r="B68" s="424"/>
      <c r="C68" s="424"/>
      <c r="D68" s="424"/>
      <c r="E68" s="424"/>
      <c r="F68" s="424"/>
      <c r="G68" s="424"/>
      <c r="H68" s="424"/>
      <c r="I68" s="424"/>
      <c r="J68" s="424"/>
      <c r="K68" s="424"/>
      <c r="L68" s="424"/>
      <c r="M68" s="424"/>
      <c r="N68" s="424"/>
      <c r="O68" s="424"/>
    </row>
    <row r="69" spans="1:17" ht="18.75" x14ac:dyDescent="0.3">
      <c r="A69" s="424" t="s">
        <v>75</v>
      </c>
      <c r="B69" s="424"/>
      <c r="C69" s="424"/>
      <c r="D69" s="424"/>
      <c r="E69" s="424"/>
      <c r="F69" s="424"/>
      <c r="G69" s="424"/>
      <c r="H69" s="424"/>
      <c r="I69" s="424"/>
      <c r="J69" s="424"/>
      <c r="K69" s="424"/>
      <c r="L69" s="424"/>
      <c r="M69" s="424"/>
      <c r="N69" s="424"/>
      <c r="O69" s="424"/>
    </row>
    <row r="70" spans="1:17" ht="18.75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7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3" t="s">
        <v>29</v>
      </c>
    </row>
    <row r="72" spans="1:17" x14ac:dyDescent="0.25">
      <c r="A72" s="425" t="s">
        <v>2</v>
      </c>
      <c r="B72" s="425" t="s">
        <v>3</v>
      </c>
      <c r="C72" s="427" t="s">
        <v>4</v>
      </c>
      <c r="D72" s="427"/>
      <c r="E72" s="427"/>
      <c r="F72" s="427"/>
      <c r="G72" s="427"/>
      <c r="H72" s="427"/>
      <c r="I72" s="427"/>
      <c r="J72" s="427"/>
      <c r="K72" s="427"/>
      <c r="L72" s="427"/>
      <c r="M72" s="427"/>
      <c r="N72" s="427"/>
      <c r="O72" s="425" t="s">
        <v>5</v>
      </c>
    </row>
    <row r="73" spans="1:17" x14ac:dyDescent="0.25">
      <c r="A73" s="426"/>
      <c r="B73" s="426"/>
      <c r="C73" s="25" t="s">
        <v>6</v>
      </c>
      <c r="D73" s="25" t="s">
        <v>7</v>
      </c>
      <c r="E73" s="25" t="s">
        <v>8</v>
      </c>
      <c r="F73" s="25" t="s">
        <v>9</v>
      </c>
      <c r="G73" s="25" t="s">
        <v>10</v>
      </c>
      <c r="H73" s="25" t="s">
        <v>11</v>
      </c>
      <c r="I73" s="25" t="s">
        <v>12</v>
      </c>
      <c r="J73" s="25" t="s">
        <v>13</v>
      </c>
      <c r="K73" s="25" t="s">
        <v>14</v>
      </c>
      <c r="L73" s="25" t="s">
        <v>15</v>
      </c>
      <c r="M73" s="25" t="s">
        <v>16</v>
      </c>
      <c r="N73" s="25" t="s">
        <v>17</v>
      </c>
      <c r="O73" s="428"/>
    </row>
    <row r="74" spans="1:17" ht="15.75" thickBot="1" x14ac:dyDescent="0.3">
      <c r="A74" s="26">
        <v>1</v>
      </c>
      <c r="B74" s="26">
        <v>2</v>
      </c>
      <c r="C74" s="26">
        <v>3</v>
      </c>
      <c r="D74" s="26">
        <v>4</v>
      </c>
      <c r="E74" s="26">
        <v>5</v>
      </c>
      <c r="F74" s="26">
        <v>6</v>
      </c>
      <c r="G74" s="26">
        <v>7</v>
      </c>
      <c r="H74" s="26">
        <v>8</v>
      </c>
      <c r="I74" s="26">
        <v>9</v>
      </c>
      <c r="J74" s="26">
        <v>10</v>
      </c>
      <c r="K74" s="26">
        <v>11</v>
      </c>
      <c r="L74" s="26">
        <v>12</v>
      </c>
      <c r="M74" s="26">
        <v>13</v>
      </c>
      <c r="N74" s="26">
        <v>14</v>
      </c>
      <c r="O74" s="26">
        <v>15</v>
      </c>
    </row>
    <row r="75" spans="1:17" ht="18.75" customHeight="1" thickTop="1" x14ac:dyDescent="0.25">
      <c r="A75" s="27">
        <v>1</v>
      </c>
      <c r="B75" s="7" t="s">
        <v>18</v>
      </c>
      <c r="C75" s="28">
        <v>0</v>
      </c>
      <c r="D75" s="28">
        <v>0</v>
      </c>
      <c r="E75" s="28">
        <v>0</v>
      </c>
      <c r="F75" s="28">
        <v>0</v>
      </c>
      <c r="G75" s="28">
        <v>0</v>
      </c>
      <c r="H75" s="28">
        <v>28</v>
      </c>
      <c r="I75" s="28">
        <v>9</v>
      </c>
      <c r="J75" s="28">
        <v>0</v>
      </c>
      <c r="K75" s="28">
        <v>0</v>
      </c>
      <c r="L75" s="28">
        <v>0</v>
      </c>
      <c r="M75" s="28">
        <v>0</v>
      </c>
      <c r="N75" s="16">
        <v>0</v>
      </c>
      <c r="O75" s="29">
        <f>SUM(C75:N75)</f>
        <v>37</v>
      </c>
      <c r="Q75" s="110">
        <f>SUM(F75:K75)</f>
        <v>37</v>
      </c>
    </row>
    <row r="76" spans="1:17" ht="18.75" customHeight="1" x14ac:dyDescent="0.25">
      <c r="A76" s="14">
        <v>2</v>
      </c>
      <c r="B76" s="12" t="s">
        <v>19</v>
      </c>
      <c r="C76" s="16">
        <v>0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7">
        <v>0</v>
      </c>
      <c r="O76" s="18">
        <f t="shared" ref="O76:O82" si="6">SUM(C76:N76)</f>
        <v>0</v>
      </c>
      <c r="Q76" s="110">
        <f t="shared" ref="Q76:Q83" si="7">SUM(F76:K76)</f>
        <v>0</v>
      </c>
    </row>
    <row r="77" spans="1:17" ht="18.75" customHeight="1" x14ac:dyDescent="0.25">
      <c r="A77" s="14">
        <v>3</v>
      </c>
      <c r="B77" s="7" t="s">
        <v>20</v>
      </c>
      <c r="C77" s="16">
        <v>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8">
        <f t="shared" si="6"/>
        <v>0</v>
      </c>
      <c r="Q77" s="110">
        <f t="shared" si="7"/>
        <v>0</v>
      </c>
    </row>
    <row r="78" spans="1:17" ht="18.75" customHeight="1" x14ac:dyDescent="0.25">
      <c r="A78" s="14">
        <v>4</v>
      </c>
      <c r="B78" s="15" t="s">
        <v>21</v>
      </c>
      <c r="C78" s="17">
        <v>0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37</v>
      </c>
      <c r="K78" s="16">
        <v>0</v>
      </c>
      <c r="L78" s="16">
        <v>0</v>
      </c>
      <c r="M78" s="16">
        <v>13</v>
      </c>
      <c r="N78" s="17">
        <v>12</v>
      </c>
      <c r="O78" s="18">
        <f t="shared" si="6"/>
        <v>62</v>
      </c>
      <c r="Q78" s="110">
        <f t="shared" si="7"/>
        <v>37</v>
      </c>
    </row>
    <row r="79" spans="1:17" ht="18.75" customHeight="1" x14ac:dyDescent="0.25">
      <c r="A79" s="14">
        <v>5</v>
      </c>
      <c r="B79" s="19" t="s">
        <v>22</v>
      </c>
      <c r="C79" s="16">
        <v>0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24</v>
      </c>
      <c r="O79" s="18">
        <f t="shared" si="6"/>
        <v>24</v>
      </c>
      <c r="Q79" s="110">
        <f t="shared" si="7"/>
        <v>0</v>
      </c>
    </row>
    <row r="80" spans="1:17" ht="18.75" customHeight="1" x14ac:dyDescent="0.25">
      <c r="A80" s="14">
        <v>6</v>
      </c>
      <c r="B80" s="19" t="s">
        <v>23</v>
      </c>
      <c r="C80" s="16">
        <v>0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36</v>
      </c>
      <c r="L80" s="16">
        <v>72</v>
      </c>
      <c r="M80" s="16">
        <v>0</v>
      </c>
      <c r="N80" s="16">
        <v>0</v>
      </c>
      <c r="O80" s="18">
        <f t="shared" si="6"/>
        <v>108</v>
      </c>
      <c r="Q80" s="110">
        <f t="shared" si="7"/>
        <v>36</v>
      </c>
    </row>
    <row r="81" spans="1:17" ht="18.75" customHeight="1" x14ac:dyDescent="0.25">
      <c r="A81" s="14">
        <v>7</v>
      </c>
      <c r="B81" s="19" t="s">
        <v>24</v>
      </c>
      <c r="C81" s="16">
        <v>0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8">
        <f t="shared" si="6"/>
        <v>0</v>
      </c>
      <c r="Q81" s="110">
        <f t="shared" si="7"/>
        <v>0</v>
      </c>
    </row>
    <row r="82" spans="1:17" ht="18.75" customHeight="1" thickBot="1" x14ac:dyDescent="0.3">
      <c r="A82" s="54">
        <v>8</v>
      </c>
      <c r="B82" s="15" t="s">
        <v>25</v>
      </c>
      <c r="C82" s="17">
        <v>0</v>
      </c>
      <c r="D82" s="17">
        <v>0</v>
      </c>
      <c r="E82" s="17">
        <v>0</v>
      </c>
      <c r="F82" s="17">
        <v>0</v>
      </c>
      <c r="G82" s="17">
        <v>0</v>
      </c>
      <c r="H82" s="17">
        <v>0</v>
      </c>
      <c r="I82" s="17">
        <v>0</v>
      </c>
      <c r="J82" s="55">
        <v>0</v>
      </c>
      <c r="K82" s="55">
        <v>0</v>
      </c>
      <c r="L82" s="17">
        <v>0</v>
      </c>
      <c r="M82" s="17">
        <v>0</v>
      </c>
      <c r="N82" s="17">
        <v>0</v>
      </c>
      <c r="O82" s="56">
        <f t="shared" si="6"/>
        <v>0</v>
      </c>
      <c r="Q82" s="110">
        <f t="shared" si="7"/>
        <v>0</v>
      </c>
    </row>
    <row r="83" spans="1:17" ht="18.75" customHeight="1" thickTop="1" x14ac:dyDescent="0.25">
      <c r="A83" s="429" t="s">
        <v>26</v>
      </c>
      <c r="B83" s="430"/>
      <c r="C83" s="22">
        <f t="shared" ref="C83:O83" si="8">SUM(C75:C82)</f>
        <v>0</v>
      </c>
      <c r="D83" s="22">
        <f t="shared" si="8"/>
        <v>0</v>
      </c>
      <c r="E83" s="22">
        <f t="shared" si="8"/>
        <v>0</v>
      </c>
      <c r="F83" s="22">
        <f t="shared" si="8"/>
        <v>0</v>
      </c>
      <c r="G83" s="22">
        <f t="shared" si="8"/>
        <v>0</v>
      </c>
      <c r="H83" s="22">
        <f t="shared" si="8"/>
        <v>28</v>
      </c>
      <c r="I83" s="22">
        <f t="shared" si="8"/>
        <v>9</v>
      </c>
      <c r="J83" s="22">
        <f t="shared" si="8"/>
        <v>37</v>
      </c>
      <c r="K83" s="22">
        <f t="shared" si="8"/>
        <v>36</v>
      </c>
      <c r="L83" s="22">
        <f t="shared" si="8"/>
        <v>72</v>
      </c>
      <c r="M83" s="22">
        <f t="shared" si="8"/>
        <v>13</v>
      </c>
      <c r="N83" s="22">
        <f t="shared" si="8"/>
        <v>36</v>
      </c>
      <c r="O83" s="22">
        <f t="shared" si="8"/>
        <v>231</v>
      </c>
      <c r="Q83" s="110">
        <f t="shared" si="7"/>
        <v>110</v>
      </c>
    </row>
    <row r="84" spans="1:17" x14ac:dyDescent="0.25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</row>
    <row r="85" spans="1:17" x14ac:dyDescent="0.2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</row>
    <row r="86" spans="1:17" x14ac:dyDescent="0.25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</row>
    <row r="87" spans="1:17" x14ac:dyDescent="0.25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</row>
    <row r="88" spans="1:17" x14ac:dyDescent="0.25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</row>
    <row r="89" spans="1:17" x14ac:dyDescent="0.25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</row>
    <row r="90" spans="1:17" x14ac:dyDescent="0.25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</row>
    <row r="91" spans="1:17" x14ac:dyDescent="0.25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</row>
    <row r="92" spans="1:17" x14ac:dyDescent="0.25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</row>
    <row r="93" spans="1:17" x14ac:dyDescent="0.25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</row>
    <row r="94" spans="1:17" x14ac:dyDescent="0.25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</row>
    <row r="95" spans="1:17" x14ac:dyDescent="0.2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</row>
    <row r="96" spans="1:17" x14ac:dyDescent="0.25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</row>
    <row r="97" spans="1:15" x14ac:dyDescent="0.25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</row>
    <row r="98" spans="1:15" x14ac:dyDescent="0.25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</row>
    <row r="99" spans="1:15" x14ac:dyDescent="0.25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</row>
    <row r="100" spans="1:15" x14ac:dyDescent="0.25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</row>
    <row r="101" spans="1:15" ht="18.75" x14ac:dyDescent="0.3">
      <c r="A101" s="424" t="s">
        <v>48</v>
      </c>
      <c r="B101" s="424"/>
      <c r="C101" s="424"/>
      <c r="D101" s="424"/>
      <c r="E101" s="424"/>
      <c r="F101" s="424"/>
      <c r="G101" s="424"/>
      <c r="H101" s="424"/>
      <c r="I101" s="424"/>
      <c r="J101" s="424"/>
      <c r="K101" s="424"/>
      <c r="L101" s="424"/>
      <c r="M101" s="424"/>
      <c r="N101" s="424"/>
      <c r="O101" s="424"/>
    </row>
    <row r="102" spans="1:15" ht="18.75" x14ac:dyDescent="0.3">
      <c r="A102" s="424" t="s">
        <v>75</v>
      </c>
      <c r="B102" s="424"/>
      <c r="C102" s="424"/>
      <c r="D102" s="424"/>
      <c r="E102" s="424"/>
      <c r="F102" s="424"/>
      <c r="G102" s="424"/>
      <c r="H102" s="424"/>
      <c r="I102" s="424"/>
      <c r="J102" s="424"/>
      <c r="K102" s="424"/>
      <c r="L102" s="424"/>
      <c r="M102" s="424"/>
      <c r="N102" s="424"/>
      <c r="O102" s="424"/>
    </row>
    <row r="103" spans="1:15" ht="18.75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3" t="s">
        <v>31</v>
      </c>
    </row>
    <row r="105" spans="1:15" x14ac:dyDescent="0.25">
      <c r="A105" s="425" t="s">
        <v>2</v>
      </c>
      <c r="B105" s="425" t="s">
        <v>3</v>
      </c>
      <c r="C105" s="427" t="s">
        <v>4</v>
      </c>
      <c r="D105" s="427"/>
      <c r="E105" s="427"/>
      <c r="F105" s="427"/>
      <c r="G105" s="427"/>
      <c r="H105" s="427"/>
      <c r="I105" s="427"/>
      <c r="J105" s="427"/>
      <c r="K105" s="427"/>
      <c r="L105" s="427"/>
      <c r="M105" s="427"/>
      <c r="N105" s="427"/>
      <c r="O105" s="425" t="s">
        <v>5</v>
      </c>
    </row>
    <row r="106" spans="1:15" x14ac:dyDescent="0.25">
      <c r="A106" s="426"/>
      <c r="B106" s="426"/>
      <c r="C106" s="25" t="s">
        <v>6</v>
      </c>
      <c r="D106" s="25" t="s">
        <v>7</v>
      </c>
      <c r="E106" s="25" t="s">
        <v>8</v>
      </c>
      <c r="F106" s="25" t="s">
        <v>9</v>
      </c>
      <c r="G106" s="25" t="s">
        <v>10</v>
      </c>
      <c r="H106" s="25" t="s">
        <v>11</v>
      </c>
      <c r="I106" s="25" t="s">
        <v>12</v>
      </c>
      <c r="J106" s="25" t="s">
        <v>13</v>
      </c>
      <c r="K106" s="25" t="s">
        <v>14</v>
      </c>
      <c r="L106" s="25" t="s">
        <v>15</v>
      </c>
      <c r="M106" s="25" t="s">
        <v>16</v>
      </c>
      <c r="N106" s="25" t="s">
        <v>17</v>
      </c>
      <c r="O106" s="428"/>
    </row>
    <row r="107" spans="1:15" ht="15.75" thickBot="1" x14ac:dyDescent="0.3">
      <c r="A107" s="26">
        <v>1</v>
      </c>
      <c r="B107" s="26">
        <v>2</v>
      </c>
      <c r="C107" s="26">
        <v>3</v>
      </c>
      <c r="D107" s="26">
        <v>4</v>
      </c>
      <c r="E107" s="26">
        <v>5</v>
      </c>
      <c r="F107" s="26">
        <v>6</v>
      </c>
      <c r="G107" s="26">
        <v>7</v>
      </c>
      <c r="H107" s="26">
        <v>8</v>
      </c>
      <c r="I107" s="26">
        <v>9</v>
      </c>
      <c r="J107" s="26">
        <v>10</v>
      </c>
      <c r="K107" s="26">
        <v>11</v>
      </c>
      <c r="L107" s="26">
        <v>12</v>
      </c>
      <c r="M107" s="26">
        <v>13</v>
      </c>
      <c r="N107" s="26">
        <v>14</v>
      </c>
      <c r="O107" s="26">
        <v>15</v>
      </c>
    </row>
    <row r="108" spans="1:15" ht="18" customHeight="1" thickTop="1" x14ac:dyDescent="0.25">
      <c r="A108" s="27">
        <v>1</v>
      </c>
      <c r="B108" s="7" t="s">
        <v>18</v>
      </c>
      <c r="C108" s="28">
        <v>0</v>
      </c>
      <c r="D108" s="28">
        <v>0</v>
      </c>
      <c r="E108" s="28">
        <v>0</v>
      </c>
      <c r="F108" s="28">
        <v>0</v>
      </c>
      <c r="G108" s="28">
        <v>0</v>
      </c>
      <c r="H108" s="32">
        <v>95.05</v>
      </c>
      <c r="I108" s="32">
        <v>90.25</v>
      </c>
      <c r="J108" s="28">
        <v>0</v>
      </c>
      <c r="K108" s="28">
        <v>0</v>
      </c>
      <c r="L108" s="28">
        <v>0</v>
      </c>
      <c r="M108" s="28">
        <v>0</v>
      </c>
      <c r="N108" s="34">
        <v>0</v>
      </c>
      <c r="O108" s="44">
        <f>O75/O42*10</f>
        <v>92.5</v>
      </c>
    </row>
    <row r="109" spans="1:15" ht="18" customHeight="1" x14ac:dyDescent="0.25">
      <c r="A109" s="14">
        <v>2</v>
      </c>
      <c r="B109" s="12" t="s">
        <v>19</v>
      </c>
      <c r="C109" s="16">
        <v>0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0</v>
      </c>
      <c r="K109" s="16">
        <v>0</v>
      </c>
      <c r="L109" s="16">
        <v>0</v>
      </c>
      <c r="M109" s="16">
        <v>0</v>
      </c>
      <c r="N109" s="36">
        <v>0</v>
      </c>
      <c r="O109" s="35">
        <v>0</v>
      </c>
    </row>
    <row r="110" spans="1:15" ht="18" customHeight="1" x14ac:dyDescent="0.25">
      <c r="A110" s="14">
        <v>3</v>
      </c>
      <c r="B110" s="7" t="s">
        <v>20</v>
      </c>
      <c r="C110" s="16">
        <v>0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0</v>
      </c>
      <c r="K110" s="16">
        <v>0</v>
      </c>
      <c r="L110" s="16">
        <v>0</v>
      </c>
      <c r="M110" s="16">
        <v>0</v>
      </c>
      <c r="N110" s="34">
        <v>0</v>
      </c>
      <c r="O110" s="35">
        <v>0</v>
      </c>
    </row>
    <row r="111" spans="1:15" ht="18" customHeight="1" x14ac:dyDescent="0.25">
      <c r="A111" s="14">
        <v>4</v>
      </c>
      <c r="B111" s="15" t="s">
        <v>21</v>
      </c>
      <c r="C111" s="17">
        <v>0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34">
        <v>124.12</v>
      </c>
      <c r="K111" s="16">
        <v>0</v>
      </c>
      <c r="L111" s="16">
        <v>0</v>
      </c>
      <c r="M111" s="34">
        <v>125.66</v>
      </c>
      <c r="N111" s="36">
        <v>124.22</v>
      </c>
      <c r="O111" s="35">
        <f>(O78/O45)*10</f>
        <v>124</v>
      </c>
    </row>
    <row r="112" spans="1:15" ht="18" customHeight="1" x14ac:dyDescent="0.25">
      <c r="A112" s="14">
        <v>5</v>
      </c>
      <c r="B112" s="19" t="s">
        <v>22</v>
      </c>
      <c r="C112" s="16">
        <v>0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16">
        <v>0</v>
      </c>
      <c r="M112" s="16">
        <v>0</v>
      </c>
      <c r="N112" s="34">
        <v>122.3</v>
      </c>
      <c r="O112" s="35">
        <f>(O79/O46)*10</f>
        <v>120</v>
      </c>
    </row>
    <row r="113" spans="1:15" ht="18" customHeight="1" x14ac:dyDescent="0.25">
      <c r="A113" s="14">
        <v>6</v>
      </c>
      <c r="B113" s="19" t="s">
        <v>23</v>
      </c>
      <c r="C113" s="16">
        <v>0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0</v>
      </c>
      <c r="K113" s="34">
        <v>180</v>
      </c>
      <c r="L113" s="34">
        <v>180</v>
      </c>
      <c r="M113" s="16">
        <v>0</v>
      </c>
      <c r="N113" s="34">
        <v>0</v>
      </c>
      <c r="O113" s="35">
        <f>(O80/O47)*10</f>
        <v>180</v>
      </c>
    </row>
    <row r="114" spans="1:15" ht="18" customHeight="1" x14ac:dyDescent="0.25">
      <c r="A114" s="14">
        <v>7</v>
      </c>
      <c r="B114" s="19" t="s">
        <v>24</v>
      </c>
      <c r="C114" s="16">
        <v>0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0</v>
      </c>
      <c r="L114" s="16">
        <v>0</v>
      </c>
      <c r="M114" s="16">
        <v>0</v>
      </c>
      <c r="N114" s="34">
        <v>0</v>
      </c>
      <c r="O114" s="35">
        <v>0</v>
      </c>
    </row>
    <row r="115" spans="1:15" ht="18" customHeight="1" thickBot="1" x14ac:dyDescent="0.3">
      <c r="A115" s="54">
        <v>8</v>
      </c>
      <c r="B115" s="15" t="s">
        <v>25</v>
      </c>
      <c r="C115" s="17">
        <v>0</v>
      </c>
      <c r="D115" s="17">
        <v>0</v>
      </c>
      <c r="E115" s="17">
        <v>0</v>
      </c>
      <c r="F115" s="17">
        <v>0</v>
      </c>
      <c r="G115" s="17">
        <v>0</v>
      </c>
      <c r="H115" s="17">
        <v>0</v>
      </c>
      <c r="I115" s="17">
        <v>0</v>
      </c>
      <c r="J115" s="55">
        <v>0</v>
      </c>
      <c r="K115" s="55">
        <v>0</v>
      </c>
      <c r="L115" s="55">
        <v>0</v>
      </c>
      <c r="M115" s="17">
        <v>0</v>
      </c>
      <c r="N115" s="36">
        <v>0</v>
      </c>
      <c r="O115" s="35">
        <v>0</v>
      </c>
    </row>
    <row r="116" spans="1:15" ht="18" customHeight="1" thickTop="1" x14ac:dyDescent="0.25">
      <c r="A116" s="429" t="s">
        <v>26</v>
      </c>
      <c r="B116" s="430"/>
      <c r="C116" s="38">
        <v>0</v>
      </c>
      <c r="D116" s="38">
        <v>0</v>
      </c>
      <c r="E116" s="38">
        <v>0</v>
      </c>
      <c r="F116" s="38">
        <v>0</v>
      </c>
      <c r="G116" s="38">
        <v>0</v>
      </c>
      <c r="H116" s="38">
        <v>95.05</v>
      </c>
      <c r="I116" s="38">
        <v>90.25</v>
      </c>
      <c r="J116" s="38">
        <v>124.12</v>
      </c>
      <c r="K116" s="38">
        <f>K83/K50*10</f>
        <v>180</v>
      </c>
      <c r="L116" s="38">
        <f>L83/L50*10</f>
        <v>180</v>
      </c>
      <c r="M116" s="38">
        <v>125.66</v>
      </c>
      <c r="N116" s="38">
        <f>N83/N50*10</f>
        <v>120</v>
      </c>
      <c r="O116" s="38">
        <f>O83/O50*10</f>
        <v>135.88235294117646</v>
      </c>
    </row>
    <row r="117" spans="1:15" x14ac:dyDescent="0.25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</row>
    <row r="119" spans="1:15" x14ac:dyDescent="0.25">
      <c r="M119" s="41" t="s">
        <v>206</v>
      </c>
    </row>
    <row r="120" spans="1:15" x14ac:dyDescent="0.25">
      <c r="M120" s="41" t="s">
        <v>188</v>
      </c>
    </row>
    <row r="121" spans="1:15" x14ac:dyDescent="0.25">
      <c r="M121" s="41" t="s">
        <v>185</v>
      </c>
    </row>
    <row r="122" spans="1:15" x14ac:dyDescent="0.25">
      <c r="M122" s="41"/>
    </row>
    <row r="123" spans="1:15" x14ac:dyDescent="0.25">
      <c r="M123" s="41"/>
    </row>
    <row r="124" spans="1:15" x14ac:dyDescent="0.25">
      <c r="M124" s="41"/>
    </row>
    <row r="125" spans="1:15" x14ac:dyDescent="0.25">
      <c r="M125" s="423" t="s">
        <v>186</v>
      </c>
    </row>
    <row r="126" spans="1:15" x14ac:dyDescent="0.25">
      <c r="M126" s="41" t="s">
        <v>187</v>
      </c>
    </row>
  </sheetData>
  <mergeCells count="28">
    <mergeCell ref="A116:B116"/>
    <mergeCell ref="A83:B83"/>
    <mergeCell ref="A101:O101"/>
    <mergeCell ref="A102:O102"/>
    <mergeCell ref="A105:A106"/>
    <mergeCell ref="B105:B106"/>
    <mergeCell ref="C105:N105"/>
    <mergeCell ref="O105:O106"/>
    <mergeCell ref="A50:B50"/>
    <mergeCell ref="A68:O68"/>
    <mergeCell ref="A69:O69"/>
    <mergeCell ref="A72:A73"/>
    <mergeCell ref="B72:B73"/>
    <mergeCell ref="C72:N72"/>
    <mergeCell ref="O72:O73"/>
    <mergeCell ref="A17:B17"/>
    <mergeCell ref="A35:O35"/>
    <mergeCell ref="A36:O36"/>
    <mergeCell ref="A39:A40"/>
    <mergeCell ref="B39:B40"/>
    <mergeCell ref="C39:N39"/>
    <mergeCell ref="O39:O40"/>
    <mergeCell ref="A2:O2"/>
    <mergeCell ref="A3:O3"/>
    <mergeCell ref="A6:A7"/>
    <mergeCell ref="B6:B7"/>
    <mergeCell ref="C6:N6"/>
    <mergeCell ref="O6:O7"/>
  </mergeCells>
  <pageMargins left="1.5748031496062993" right="0.39370078740157483" top="0.94488188976377963" bottom="0.74803149606299213" header="0.31496062992125984" footer="0.31496062992125984"/>
  <pageSetup paperSize="9" scale="90" orientation="landscape" horizont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126"/>
  <sheetViews>
    <sheetView zoomScale="90" zoomScaleNormal="90" workbookViewId="0">
      <selection activeCell="A2" sqref="A2:O2"/>
    </sheetView>
  </sheetViews>
  <sheetFormatPr defaultRowHeight="15" x14ac:dyDescent="0.25"/>
  <cols>
    <col min="1" max="1" width="4.140625" customWidth="1"/>
    <col min="2" max="2" width="14.28515625" customWidth="1"/>
    <col min="3" max="15" width="8.5703125" customWidth="1"/>
  </cols>
  <sheetData>
    <row r="2" spans="1:17" ht="18.75" x14ac:dyDescent="0.3">
      <c r="A2" s="424" t="s">
        <v>49</v>
      </c>
      <c r="B2" s="424"/>
      <c r="C2" s="424"/>
      <c r="D2" s="424"/>
      <c r="E2" s="424"/>
      <c r="F2" s="424"/>
      <c r="G2" s="424"/>
      <c r="H2" s="424"/>
      <c r="I2" s="424"/>
      <c r="J2" s="424"/>
      <c r="K2" s="424"/>
      <c r="L2" s="424"/>
      <c r="M2" s="424"/>
      <c r="N2" s="424"/>
      <c r="O2" s="424"/>
    </row>
    <row r="3" spans="1:17" ht="18.75" x14ac:dyDescent="0.3">
      <c r="A3" s="424" t="s">
        <v>75</v>
      </c>
      <c r="B3" s="424"/>
      <c r="C3" s="424"/>
      <c r="D3" s="424"/>
      <c r="E3" s="424"/>
      <c r="F3" s="424"/>
      <c r="G3" s="424"/>
      <c r="H3" s="424"/>
      <c r="I3" s="424"/>
      <c r="J3" s="424"/>
      <c r="K3" s="424"/>
      <c r="L3" s="424"/>
      <c r="M3" s="424"/>
      <c r="N3" s="424"/>
      <c r="O3" s="424"/>
    </row>
    <row r="4" spans="1:17" ht="18.75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7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3" t="s">
        <v>1</v>
      </c>
    </row>
    <row r="6" spans="1:17" x14ac:dyDescent="0.25">
      <c r="A6" s="425" t="s">
        <v>2</v>
      </c>
      <c r="B6" s="425" t="s">
        <v>3</v>
      </c>
      <c r="C6" s="427" t="s">
        <v>4</v>
      </c>
      <c r="D6" s="427"/>
      <c r="E6" s="427"/>
      <c r="F6" s="427"/>
      <c r="G6" s="427"/>
      <c r="H6" s="427"/>
      <c r="I6" s="427"/>
      <c r="J6" s="427"/>
      <c r="K6" s="427"/>
      <c r="L6" s="427"/>
      <c r="M6" s="427"/>
      <c r="N6" s="427"/>
      <c r="O6" s="425" t="s">
        <v>5</v>
      </c>
    </row>
    <row r="7" spans="1:17" x14ac:dyDescent="0.25">
      <c r="A7" s="426"/>
      <c r="B7" s="426"/>
      <c r="C7" s="25" t="s">
        <v>6</v>
      </c>
      <c r="D7" s="25" t="s">
        <v>7</v>
      </c>
      <c r="E7" s="25" t="s">
        <v>8</v>
      </c>
      <c r="F7" s="25" t="s">
        <v>9</v>
      </c>
      <c r="G7" s="25" t="s">
        <v>10</v>
      </c>
      <c r="H7" s="25" t="s">
        <v>11</v>
      </c>
      <c r="I7" s="25" t="s">
        <v>12</v>
      </c>
      <c r="J7" s="25" t="s">
        <v>13</v>
      </c>
      <c r="K7" s="25" t="s">
        <v>14</v>
      </c>
      <c r="L7" s="25" t="s">
        <v>15</v>
      </c>
      <c r="M7" s="25" t="s">
        <v>16</v>
      </c>
      <c r="N7" s="25" t="s">
        <v>17</v>
      </c>
      <c r="O7" s="428"/>
    </row>
    <row r="8" spans="1:17" ht="15.75" thickBot="1" x14ac:dyDescent="0.3">
      <c r="A8" s="26">
        <v>1</v>
      </c>
      <c r="B8" s="26">
        <v>2</v>
      </c>
      <c r="C8" s="26">
        <v>3</v>
      </c>
      <c r="D8" s="26">
        <v>4</v>
      </c>
      <c r="E8" s="26">
        <v>5</v>
      </c>
      <c r="F8" s="26">
        <v>6</v>
      </c>
      <c r="G8" s="26">
        <v>7</v>
      </c>
      <c r="H8" s="26">
        <v>8</v>
      </c>
      <c r="I8" s="26">
        <v>9</v>
      </c>
      <c r="J8" s="26">
        <v>10</v>
      </c>
      <c r="K8" s="26">
        <v>11</v>
      </c>
      <c r="L8" s="26">
        <v>12</v>
      </c>
      <c r="M8" s="26">
        <v>13</v>
      </c>
      <c r="N8" s="26">
        <v>14</v>
      </c>
      <c r="O8" s="26">
        <v>15</v>
      </c>
      <c r="Q8" t="s">
        <v>179</v>
      </c>
    </row>
    <row r="9" spans="1:17" ht="18.75" customHeight="1" thickTop="1" x14ac:dyDescent="0.25">
      <c r="A9" s="27">
        <v>1</v>
      </c>
      <c r="B9" s="7" t="s">
        <v>18</v>
      </c>
      <c r="C9" s="28">
        <v>0</v>
      </c>
      <c r="D9" s="28">
        <v>0</v>
      </c>
      <c r="E9" s="28">
        <v>0</v>
      </c>
      <c r="F9" s="28">
        <v>0</v>
      </c>
      <c r="G9" s="28">
        <v>0</v>
      </c>
      <c r="H9" s="28">
        <v>0</v>
      </c>
      <c r="I9" s="28">
        <v>0</v>
      </c>
      <c r="J9" s="28">
        <v>0</v>
      </c>
      <c r="K9" s="28">
        <v>0</v>
      </c>
      <c r="L9" s="28">
        <v>0</v>
      </c>
      <c r="M9" s="28">
        <v>0</v>
      </c>
      <c r="N9" s="28">
        <v>0</v>
      </c>
      <c r="O9" s="29">
        <f>SUM(C9:N9)</f>
        <v>0</v>
      </c>
      <c r="Q9" s="110">
        <f>SUM(F9:K9)</f>
        <v>0</v>
      </c>
    </row>
    <row r="10" spans="1:17" ht="18.75" customHeight="1" x14ac:dyDescent="0.25">
      <c r="A10" s="14">
        <v>2</v>
      </c>
      <c r="B10" s="12" t="s">
        <v>19</v>
      </c>
      <c r="C10" s="16">
        <v>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1</v>
      </c>
      <c r="M10" s="16">
        <v>1</v>
      </c>
      <c r="N10" s="16">
        <v>0</v>
      </c>
      <c r="O10" s="18">
        <f t="shared" ref="O10:O16" si="0">SUM(C10:N10)</f>
        <v>2</v>
      </c>
      <c r="Q10" s="110">
        <f t="shared" ref="Q10:Q17" si="1">SUM(F10:K10)</f>
        <v>0</v>
      </c>
    </row>
    <row r="11" spans="1:17" ht="18.75" customHeight="1" x14ac:dyDescent="0.25">
      <c r="A11" s="14">
        <v>3</v>
      </c>
      <c r="B11" s="7" t="s">
        <v>20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8">
        <f t="shared" si="0"/>
        <v>0</v>
      </c>
      <c r="Q11" s="110">
        <f t="shared" si="1"/>
        <v>0</v>
      </c>
    </row>
    <row r="12" spans="1:17" ht="18.75" customHeight="1" x14ac:dyDescent="0.25">
      <c r="A12" s="14">
        <v>4</v>
      </c>
      <c r="B12" s="15" t="s">
        <v>21</v>
      </c>
      <c r="C12" s="16">
        <v>0</v>
      </c>
      <c r="D12" s="16">
        <v>1</v>
      </c>
      <c r="E12" s="16">
        <v>1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1</v>
      </c>
      <c r="M12" s="16">
        <v>1</v>
      </c>
      <c r="N12" s="16">
        <v>0</v>
      </c>
      <c r="O12" s="18">
        <f t="shared" si="0"/>
        <v>4</v>
      </c>
      <c r="Q12" s="110">
        <f t="shared" si="1"/>
        <v>0</v>
      </c>
    </row>
    <row r="13" spans="1:17" ht="18.75" customHeight="1" x14ac:dyDescent="0.25">
      <c r="A13" s="14">
        <v>5</v>
      </c>
      <c r="B13" s="19" t="s">
        <v>22</v>
      </c>
      <c r="C13" s="16">
        <v>0</v>
      </c>
      <c r="D13" s="16">
        <v>1</v>
      </c>
      <c r="E13" s="16">
        <v>1</v>
      </c>
      <c r="F13" s="16">
        <v>1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8">
        <f t="shared" si="0"/>
        <v>3</v>
      </c>
      <c r="Q13" s="110">
        <f t="shared" si="1"/>
        <v>1</v>
      </c>
    </row>
    <row r="14" spans="1:17" ht="18.75" customHeight="1" x14ac:dyDescent="0.25">
      <c r="A14" s="14">
        <v>6</v>
      </c>
      <c r="B14" s="19" t="s">
        <v>23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8">
        <f t="shared" si="0"/>
        <v>0</v>
      </c>
      <c r="Q14" s="110">
        <f t="shared" si="1"/>
        <v>0</v>
      </c>
    </row>
    <row r="15" spans="1:17" ht="18.75" customHeight="1" x14ac:dyDescent="0.25">
      <c r="A15" s="14">
        <v>7</v>
      </c>
      <c r="B15" s="19" t="s">
        <v>24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1</v>
      </c>
      <c r="I15" s="16">
        <v>1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8">
        <f t="shared" si="0"/>
        <v>2</v>
      </c>
      <c r="Q15" s="110">
        <f t="shared" si="1"/>
        <v>2</v>
      </c>
    </row>
    <row r="16" spans="1:17" ht="18.75" customHeight="1" thickBot="1" x14ac:dyDescent="0.3">
      <c r="A16" s="54">
        <v>8</v>
      </c>
      <c r="B16" s="15" t="s">
        <v>25</v>
      </c>
      <c r="C16" s="55">
        <v>1</v>
      </c>
      <c r="D16" s="55">
        <v>0</v>
      </c>
      <c r="E16" s="55">
        <v>0</v>
      </c>
      <c r="F16" s="55">
        <v>1</v>
      </c>
      <c r="G16" s="55">
        <v>0</v>
      </c>
      <c r="H16" s="55">
        <v>0</v>
      </c>
      <c r="I16" s="55">
        <v>0</v>
      </c>
      <c r="J16" s="55">
        <v>1</v>
      </c>
      <c r="K16" s="55">
        <v>0</v>
      </c>
      <c r="L16" s="55">
        <v>0</v>
      </c>
      <c r="M16" s="55">
        <v>0</v>
      </c>
      <c r="N16" s="55">
        <v>1</v>
      </c>
      <c r="O16" s="56">
        <f t="shared" si="0"/>
        <v>4</v>
      </c>
      <c r="Q16" s="110">
        <f t="shared" si="1"/>
        <v>2</v>
      </c>
    </row>
    <row r="17" spans="1:17" ht="18.75" customHeight="1" thickTop="1" x14ac:dyDescent="0.25">
      <c r="A17" s="429" t="s">
        <v>26</v>
      </c>
      <c r="B17" s="430"/>
      <c r="C17" s="22">
        <f t="shared" ref="C17:O17" si="2">SUM(C9:C16)</f>
        <v>1</v>
      </c>
      <c r="D17" s="22">
        <f t="shared" si="2"/>
        <v>2</v>
      </c>
      <c r="E17" s="22">
        <f t="shared" si="2"/>
        <v>2</v>
      </c>
      <c r="F17" s="22">
        <f t="shared" si="2"/>
        <v>2</v>
      </c>
      <c r="G17" s="22">
        <f t="shared" si="2"/>
        <v>0</v>
      </c>
      <c r="H17" s="22">
        <f t="shared" si="2"/>
        <v>1</v>
      </c>
      <c r="I17" s="22">
        <f t="shared" si="2"/>
        <v>1</v>
      </c>
      <c r="J17" s="22">
        <f t="shared" si="2"/>
        <v>1</v>
      </c>
      <c r="K17" s="22">
        <f t="shared" si="2"/>
        <v>0</v>
      </c>
      <c r="L17" s="22">
        <f t="shared" si="2"/>
        <v>2</v>
      </c>
      <c r="M17" s="22">
        <f t="shared" si="2"/>
        <v>2</v>
      </c>
      <c r="N17" s="22">
        <f t="shared" si="2"/>
        <v>1</v>
      </c>
      <c r="O17" s="22">
        <f t="shared" si="2"/>
        <v>15</v>
      </c>
      <c r="Q17" s="110">
        <f t="shared" si="1"/>
        <v>5</v>
      </c>
    </row>
    <row r="18" spans="1:17" x14ac:dyDescent="0.2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</row>
    <row r="19" spans="1:17" x14ac:dyDescent="0.25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</row>
    <row r="20" spans="1:17" x14ac:dyDescent="0.25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</row>
    <row r="21" spans="1:17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</row>
    <row r="22" spans="1:17" x14ac:dyDescent="0.2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</row>
    <row r="23" spans="1:17" x14ac:dyDescent="0.2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</row>
    <row r="24" spans="1:17" x14ac:dyDescent="0.2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</row>
    <row r="25" spans="1:17" x14ac:dyDescent="0.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</row>
    <row r="26" spans="1:17" x14ac:dyDescent="0.2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</row>
    <row r="27" spans="1:17" x14ac:dyDescent="0.2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</row>
    <row r="28" spans="1:17" x14ac:dyDescent="0.2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</row>
    <row r="29" spans="1:17" x14ac:dyDescent="0.2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</row>
    <row r="30" spans="1:17" x14ac:dyDescent="0.2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</row>
    <row r="31" spans="1:17" x14ac:dyDescent="0.25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</row>
    <row r="32" spans="1:17" x14ac:dyDescent="0.25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</row>
    <row r="33" spans="1:17" x14ac:dyDescent="0.25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</row>
    <row r="34" spans="1:17" x14ac:dyDescent="0.25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</row>
    <row r="35" spans="1:17" ht="18.75" x14ac:dyDescent="0.3">
      <c r="A35" s="424" t="s">
        <v>50</v>
      </c>
      <c r="B35" s="424"/>
      <c r="C35" s="424"/>
      <c r="D35" s="424"/>
      <c r="E35" s="424"/>
      <c r="F35" s="424"/>
      <c r="G35" s="424"/>
      <c r="H35" s="424"/>
      <c r="I35" s="424"/>
      <c r="J35" s="424"/>
      <c r="K35" s="424"/>
      <c r="L35" s="424"/>
      <c r="M35" s="424"/>
      <c r="N35" s="424"/>
      <c r="O35" s="424"/>
    </row>
    <row r="36" spans="1:17" ht="18.75" x14ac:dyDescent="0.3">
      <c r="A36" s="424" t="s">
        <v>75</v>
      </c>
      <c r="B36" s="424"/>
      <c r="C36" s="424"/>
      <c r="D36" s="424"/>
      <c r="E36" s="424"/>
      <c r="F36" s="424"/>
      <c r="G36" s="424"/>
      <c r="H36" s="424"/>
      <c r="I36" s="424"/>
      <c r="J36" s="424"/>
      <c r="K36" s="424"/>
      <c r="L36" s="424"/>
      <c r="M36" s="424"/>
      <c r="N36" s="424"/>
      <c r="O36" s="424"/>
    </row>
    <row r="37" spans="1:17" ht="18.75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7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3" t="s">
        <v>1</v>
      </c>
    </row>
    <row r="39" spans="1:17" x14ac:dyDescent="0.25">
      <c r="A39" s="425" t="s">
        <v>2</v>
      </c>
      <c r="B39" s="425" t="s">
        <v>3</v>
      </c>
      <c r="C39" s="427" t="s">
        <v>4</v>
      </c>
      <c r="D39" s="427"/>
      <c r="E39" s="427"/>
      <c r="F39" s="427"/>
      <c r="G39" s="427"/>
      <c r="H39" s="427"/>
      <c r="I39" s="427"/>
      <c r="J39" s="427"/>
      <c r="K39" s="427"/>
      <c r="L39" s="427"/>
      <c r="M39" s="427"/>
      <c r="N39" s="427"/>
      <c r="O39" s="425" t="s">
        <v>5</v>
      </c>
    </row>
    <row r="40" spans="1:17" x14ac:dyDescent="0.25">
      <c r="A40" s="426"/>
      <c r="B40" s="426"/>
      <c r="C40" s="25" t="s">
        <v>6</v>
      </c>
      <c r="D40" s="25" t="s">
        <v>7</v>
      </c>
      <c r="E40" s="25" t="s">
        <v>8</v>
      </c>
      <c r="F40" s="25" t="s">
        <v>9</v>
      </c>
      <c r="G40" s="25" t="s">
        <v>10</v>
      </c>
      <c r="H40" s="25" t="s">
        <v>11</v>
      </c>
      <c r="I40" s="25" t="s">
        <v>12</v>
      </c>
      <c r="J40" s="25" t="s">
        <v>13</v>
      </c>
      <c r="K40" s="25" t="s">
        <v>14</v>
      </c>
      <c r="L40" s="25" t="s">
        <v>15</v>
      </c>
      <c r="M40" s="25" t="s">
        <v>16</v>
      </c>
      <c r="N40" s="25" t="s">
        <v>17</v>
      </c>
      <c r="O40" s="428"/>
    </row>
    <row r="41" spans="1:17" ht="15.75" thickBot="1" x14ac:dyDescent="0.3">
      <c r="A41" s="26">
        <v>1</v>
      </c>
      <c r="B41" s="26">
        <v>2</v>
      </c>
      <c r="C41" s="26">
        <v>3</v>
      </c>
      <c r="D41" s="26">
        <v>4</v>
      </c>
      <c r="E41" s="26">
        <v>5</v>
      </c>
      <c r="F41" s="26">
        <v>6</v>
      </c>
      <c r="G41" s="26">
        <v>7</v>
      </c>
      <c r="H41" s="26">
        <v>8</v>
      </c>
      <c r="I41" s="26">
        <v>9</v>
      </c>
      <c r="J41" s="26">
        <v>10</v>
      </c>
      <c r="K41" s="26">
        <v>11</v>
      </c>
      <c r="L41" s="26">
        <v>12</v>
      </c>
      <c r="M41" s="26">
        <v>13</v>
      </c>
      <c r="N41" s="26">
        <v>14</v>
      </c>
      <c r="O41" s="26">
        <v>15</v>
      </c>
    </row>
    <row r="42" spans="1:17" ht="18.75" customHeight="1" thickTop="1" x14ac:dyDescent="0.25">
      <c r="A42" s="27">
        <v>1</v>
      </c>
      <c r="B42" s="7" t="s">
        <v>18</v>
      </c>
      <c r="C42" s="28">
        <v>0</v>
      </c>
      <c r="D42" s="28">
        <v>0</v>
      </c>
      <c r="E42" s="28">
        <v>0</v>
      </c>
      <c r="F42" s="28">
        <v>5</v>
      </c>
      <c r="G42" s="28">
        <v>0</v>
      </c>
      <c r="H42" s="28">
        <v>0</v>
      </c>
      <c r="I42" s="28">
        <v>0</v>
      </c>
      <c r="J42" s="28">
        <v>0</v>
      </c>
      <c r="K42" s="28">
        <v>0</v>
      </c>
      <c r="L42" s="28">
        <v>0</v>
      </c>
      <c r="M42" s="28">
        <v>0</v>
      </c>
      <c r="N42" s="28">
        <v>0</v>
      </c>
      <c r="O42" s="29">
        <f>SUM(C42:N42)</f>
        <v>5</v>
      </c>
      <c r="Q42" s="110">
        <f>SUM(F42:K42)</f>
        <v>5</v>
      </c>
    </row>
    <row r="43" spans="1:17" ht="18.75" customHeight="1" x14ac:dyDescent="0.25">
      <c r="A43" s="14">
        <v>2</v>
      </c>
      <c r="B43" s="12" t="s">
        <v>19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8">
        <f t="shared" ref="O43:O49" si="3">SUM(C43:N43)</f>
        <v>0</v>
      </c>
      <c r="Q43" s="110">
        <f t="shared" ref="Q43:Q50" si="4">SUM(F43:K43)</f>
        <v>0</v>
      </c>
    </row>
    <row r="44" spans="1:17" ht="18.75" customHeight="1" x14ac:dyDescent="0.25">
      <c r="A44" s="14">
        <v>3</v>
      </c>
      <c r="B44" s="7" t="s">
        <v>20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8">
        <f t="shared" si="3"/>
        <v>0</v>
      </c>
      <c r="Q44" s="110">
        <f t="shared" si="4"/>
        <v>0</v>
      </c>
    </row>
    <row r="45" spans="1:17" ht="18.75" customHeight="1" x14ac:dyDescent="0.25">
      <c r="A45" s="14">
        <v>4</v>
      </c>
      <c r="B45" s="15" t="s">
        <v>21</v>
      </c>
      <c r="C45" s="16">
        <v>0</v>
      </c>
      <c r="D45" s="16">
        <v>0</v>
      </c>
      <c r="E45" s="16">
        <v>0</v>
      </c>
      <c r="F45" s="16">
        <v>0</v>
      </c>
      <c r="G45" s="16">
        <v>1</v>
      </c>
      <c r="H45" s="16">
        <v>0</v>
      </c>
      <c r="I45" s="16">
        <v>1</v>
      </c>
      <c r="J45" s="16">
        <v>1</v>
      </c>
      <c r="K45" s="16">
        <v>0</v>
      </c>
      <c r="L45" s="16">
        <v>0</v>
      </c>
      <c r="M45" s="16">
        <v>0</v>
      </c>
      <c r="N45" s="16">
        <v>0</v>
      </c>
      <c r="O45" s="18">
        <f t="shared" si="3"/>
        <v>3</v>
      </c>
      <c r="Q45" s="110">
        <f t="shared" si="4"/>
        <v>3</v>
      </c>
    </row>
    <row r="46" spans="1:17" ht="18.75" customHeight="1" x14ac:dyDescent="0.25">
      <c r="A46" s="14">
        <v>5</v>
      </c>
      <c r="B46" s="19" t="s">
        <v>22</v>
      </c>
      <c r="C46" s="16">
        <v>0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1</v>
      </c>
      <c r="L46" s="16">
        <v>2</v>
      </c>
      <c r="M46" s="16">
        <v>0</v>
      </c>
      <c r="N46" s="16">
        <v>0</v>
      </c>
      <c r="O46" s="18">
        <f t="shared" si="3"/>
        <v>3</v>
      </c>
      <c r="Q46" s="110">
        <f t="shared" si="4"/>
        <v>1</v>
      </c>
    </row>
    <row r="47" spans="1:17" ht="18.75" customHeight="1" x14ac:dyDescent="0.25">
      <c r="A47" s="14">
        <v>6</v>
      </c>
      <c r="B47" s="19" t="s">
        <v>23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8">
        <f t="shared" si="3"/>
        <v>0</v>
      </c>
      <c r="Q47" s="110">
        <f t="shared" si="4"/>
        <v>0</v>
      </c>
    </row>
    <row r="48" spans="1:17" ht="18.75" customHeight="1" x14ac:dyDescent="0.25">
      <c r="A48" s="14">
        <v>7</v>
      </c>
      <c r="B48" s="19" t="s">
        <v>24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1</v>
      </c>
      <c r="M48" s="16">
        <v>1</v>
      </c>
      <c r="N48" s="16">
        <v>0</v>
      </c>
      <c r="O48" s="18">
        <f t="shared" si="3"/>
        <v>2</v>
      </c>
      <c r="Q48" s="110">
        <f t="shared" si="4"/>
        <v>0</v>
      </c>
    </row>
    <row r="49" spans="1:17" ht="18.75" customHeight="1" thickBot="1" x14ac:dyDescent="0.3">
      <c r="A49" s="54">
        <v>8</v>
      </c>
      <c r="B49" s="15" t="s">
        <v>25</v>
      </c>
      <c r="C49" s="55">
        <v>0</v>
      </c>
      <c r="D49" s="55">
        <v>0</v>
      </c>
      <c r="E49" s="55">
        <v>0</v>
      </c>
      <c r="F49" s="55">
        <v>0</v>
      </c>
      <c r="G49" s="55">
        <v>0</v>
      </c>
      <c r="H49" s="55">
        <v>1</v>
      </c>
      <c r="I49" s="55">
        <v>1</v>
      </c>
      <c r="J49" s="55">
        <v>0</v>
      </c>
      <c r="K49" s="55">
        <v>0</v>
      </c>
      <c r="L49" s="55">
        <v>0</v>
      </c>
      <c r="M49" s="55">
        <v>0</v>
      </c>
      <c r="N49" s="55">
        <v>0</v>
      </c>
      <c r="O49" s="56">
        <f t="shared" si="3"/>
        <v>2</v>
      </c>
      <c r="Q49" s="110">
        <f t="shared" si="4"/>
        <v>2</v>
      </c>
    </row>
    <row r="50" spans="1:17" ht="18.75" customHeight="1" thickTop="1" x14ac:dyDescent="0.25">
      <c r="A50" s="429" t="s">
        <v>26</v>
      </c>
      <c r="B50" s="430"/>
      <c r="C50" s="22">
        <f t="shared" ref="C50:O50" si="5">SUM(C42:C49)</f>
        <v>0</v>
      </c>
      <c r="D50" s="22">
        <f t="shared" si="5"/>
        <v>0</v>
      </c>
      <c r="E50" s="22">
        <f t="shared" si="5"/>
        <v>0</v>
      </c>
      <c r="F50" s="22">
        <f t="shared" si="5"/>
        <v>5</v>
      </c>
      <c r="G50" s="22">
        <f t="shared" si="5"/>
        <v>1</v>
      </c>
      <c r="H50" s="22">
        <f t="shared" si="5"/>
        <v>1</v>
      </c>
      <c r="I50" s="22">
        <f t="shared" si="5"/>
        <v>2</v>
      </c>
      <c r="J50" s="22">
        <f t="shared" si="5"/>
        <v>1</v>
      </c>
      <c r="K50" s="22">
        <f t="shared" si="5"/>
        <v>1</v>
      </c>
      <c r="L50" s="22">
        <f t="shared" si="5"/>
        <v>3</v>
      </c>
      <c r="M50" s="22">
        <f t="shared" si="5"/>
        <v>1</v>
      </c>
      <c r="N50" s="22">
        <f t="shared" si="5"/>
        <v>0</v>
      </c>
      <c r="O50" s="22">
        <f t="shared" si="5"/>
        <v>15</v>
      </c>
      <c r="Q50" s="110">
        <f t="shared" si="4"/>
        <v>11</v>
      </c>
    </row>
    <row r="51" spans="1:17" x14ac:dyDescent="0.25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</row>
    <row r="52" spans="1:17" x14ac:dyDescent="0.25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</row>
    <row r="53" spans="1:17" x14ac:dyDescent="0.25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</row>
    <row r="54" spans="1:17" x14ac:dyDescent="0.25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</row>
    <row r="55" spans="1:17" x14ac:dyDescent="0.2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</row>
    <row r="56" spans="1:17" x14ac:dyDescent="0.25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</row>
    <row r="57" spans="1:17" x14ac:dyDescent="0.25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</row>
    <row r="58" spans="1:17" x14ac:dyDescent="0.25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</row>
    <row r="59" spans="1:17" x14ac:dyDescent="0.25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</row>
    <row r="60" spans="1:17" x14ac:dyDescent="0.25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</row>
    <row r="61" spans="1:17" x14ac:dyDescent="0.2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</row>
    <row r="62" spans="1:17" x14ac:dyDescent="0.2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</row>
    <row r="63" spans="1:17" x14ac:dyDescent="0.2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</row>
    <row r="64" spans="1:17" x14ac:dyDescent="0.2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</row>
    <row r="65" spans="1:17" x14ac:dyDescent="0.2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</row>
    <row r="66" spans="1:17" x14ac:dyDescent="0.25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</row>
    <row r="67" spans="1:17" x14ac:dyDescent="0.25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</row>
    <row r="68" spans="1:17" ht="18.75" x14ac:dyDescent="0.3">
      <c r="A68" s="424" t="s">
        <v>51</v>
      </c>
      <c r="B68" s="424"/>
      <c r="C68" s="424"/>
      <c r="D68" s="424"/>
      <c r="E68" s="424"/>
      <c r="F68" s="424"/>
      <c r="G68" s="424"/>
      <c r="H68" s="424"/>
      <c r="I68" s="424"/>
      <c r="J68" s="424"/>
      <c r="K68" s="424"/>
      <c r="L68" s="424"/>
      <c r="M68" s="424"/>
      <c r="N68" s="424"/>
      <c r="O68" s="424"/>
    </row>
    <row r="69" spans="1:17" ht="18.75" x14ac:dyDescent="0.3">
      <c r="A69" s="424" t="s">
        <v>75</v>
      </c>
      <c r="B69" s="424"/>
      <c r="C69" s="424"/>
      <c r="D69" s="424"/>
      <c r="E69" s="424"/>
      <c r="F69" s="424"/>
      <c r="G69" s="424"/>
      <c r="H69" s="424"/>
      <c r="I69" s="424"/>
      <c r="J69" s="424"/>
      <c r="K69" s="424"/>
      <c r="L69" s="424"/>
      <c r="M69" s="424"/>
      <c r="N69" s="424"/>
      <c r="O69" s="424"/>
    </row>
    <row r="70" spans="1:17" ht="18.75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7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3" t="s">
        <v>29</v>
      </c>
    </row>
    <row r="72" spans="1:17" x14ac:dyDescent="0.25">
      <c r="A72" s="425" t="s">
        <v>2</v>
      </c>
      <c r="B72" s="425" t="s">
        <v>3</v>
      </c>
      <c r="C72" s="427" t="s">
        <v>4</v>
      </c>
      <c r="D72" s="427"/>
      <c r="E72" s="427"/>
      <c r="F72" s="427"/>
      <c r="G72" s="427"/>
      <c r="H72" s="427"/>
      <c r="I72" s="427"/>
      <c r="J72" s="427"/>
      <c r="K72" s="427"/>
      <c r="L72" s="427"/>
      <c r="M72" s="427"/>
      <c r="N72" s="427"/>
      <c r="O72" s="425" t="s">
        <v>5</v>
      </c>
    </row>
    <row r="73" spans="1:17" x14ac:dyDescent="0.25">
      <c r="A73" s="426"/>
      <c r="B73" s="426"/>
      <c r="C73" s="25" t="s">
        <v>6</v>
      </c>
      <c r="D73" s="25" t="s">
        <v>7</v>
      </c>
      <c r="E73" s="25" t="s">
        <v>8</v>
      </c>
      <c r="F73" s="25" t="s">
        <v>9</v>
      </c>
      <c r="G73" s="25" t="s">
        <v>10</v>
      </c>
      <c r="H73" s="25" t="s">
        <v>11</v>
      </c>
      <c r="I73" s="25" t="s">
        <v>12</v>
      </c>
      <c r="J73" s="25" t="s">
        <v>13</v>
      </c>
      <c r="K73" s="25" t="s">
        <v>14</v>
      </c>
      <c r="L73" s="25" t="s">
        <v>15</v>
      </c>
      <c r="M73" s="25" t="s">
        <v>16</v>
      </c>
      <c r="N73" s="25" t="s">
        <v>17</v>
      </c>
      <c r="O73" s="428"/>
    </row>
    <row r="74" spans="1:17" ht="15.75" thickBot="1" x14ac:dyDescent="0.3">
      <c r="A74" s="26">
        <v>1</v>
      </c>
      <c r="B74" s="26">
        <v>2</v>
      </c>
      <c r="C74" s="26">
        <v>3</v>
      </c>
      <c r="D74" s="26">
        <v>4</v>
      </c>
      <c r="E74" s="26">
        <v>5</v>
      </c>
      <c r="F74" s="26">
        <v>6</v>
      </c>
      <c r="G74" s="26">
        <v>7</v>
      </c>
      <c r="H74" s="26">
        <v>8</v>
      </c>
      <c r="I74" s="26">
        <v>9</v>
      </c>
      <c r="J74" s="26">
        <v>10</v>
      </c>
      <c r="K74" s="26">
        <v>11</v>
      </c>
      <c r="L74" s="26">
        <v>12</v>
      </c>
      <c r="M74" s="26">
        <v>13</v>
      </c>
      <c r="N74" s="26">
        <v>14</v>
      </c>
      <c r="O74" s="26">
        <v>15</v>
      </c>
    </row>
    <row r="75" spans="1:17" ht="18.75" customHeight="1" thickTop="1" x14ac:dyDescent="0.25">
      <c r="A75" s="27">
        <v>1</v>
      </c>
      <c r="B75" s="7" t="s">
        <v>18</v>
      </c>
      <c r="C75" s="28">
        <v>0</v>
      </c>
      <c r="D75" s="28">
        <v>0</v>
      </c>
      <c r="E75" s="28">
        <v>0</v>
      </c>
      <c r="F75" s="28">
        <v>42</v>
      </c>
      <c r="G75" s="28">
        <v>0</v>
      </c>
      <c r="H75" s="28">
        <v>0</v>
      </c>
      <c r="I75" s="28">
        <v>0</v>
      </c>
      <c r="J75" s="28">
        <v>0</v>
      </c>
      <c r="K75" s="28">
        <v>0</v>
      </c>
      <c r="L75" s="28">
        <v>0</v>
      </c>
      <c r="M75" s="28">
        <v>0</v>
      </c>
      <c r="N75" s="28">
        <v>0</v>
      </c>
      <c r="O75" s="29">
        <f>SUM(C75:N75)</f>
        <v>42</v>
      </c>
      <c r="Q75" s="110">
        <f>SUM(F75:K75)</f>
        <v>42</v>
      </c>
    </row>
    <row r="76" spans="1:17" ht="18.75" customHeight="1" x14ac:dyDescent="0.25">
      <c r="A76" s="14">
        <v>2</v>
      </c>
      <c r="B76" s="12" t="s">
        <v>19</v>
      </c>
      <c r="C76" s="16">
        <v>0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8">
        <f t="shared" ref="O76:O82" si="6">SUM(C76:N76)</f>
        <v>0</v>
      </c>
      <c r="Q76" s="110">
        <f t="shared" ref="Q76:Q83" si="7">SUM(F76:K76)</f>
        <v>0</v>
      </c>
    </row>
    <row r="77" spans="1:17" ht="18.75" customHeight="1" x14ac:dyDescent="0.25">
      <c r="A77" s="14">
        <v>3</v>
      </c>
      <c r="B77" s="7" t="s">
        <v>20</v>
      </c>
      <c r="C77" s="16">
        <v>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8">
        <f t="shared" si="6"/>
        <v>0</v>
      </c>
      <c r="Q77" s="110">
        <f t="shared" si="7"/>
        <v>0</v>
      </c>
    </row>
    <row r="78" spans="1:17" ht="18.75" customHeight="1" x14ac:dyDescent="0.25">
      <c r="A78" s="14">
        <v>4</v>
      </c>
      <c r="B78" s="15" t="s">
        <v>21</v>
      </c>
      <c r="C78" s="16">
        <v>0</v>
      </c>
      <c r="D78" s="16">
        <v>0</v>
      </c>
      <c r="E78" s="16">
        <v>0</v>
      </c>
      <c r="F78" s="16">
        <v>0</v>
      </c>
      <c r="G78" s="61">
        <v>11</v>
      </c>
      <c r="H78" s="16">
        <v>0</v>
      </c>
      <c r="I78" s="398">
        <v>10</v>
      </c>
      <c r="J78" s="16">
        <v>11</v>
      </c>
      <c r="K78" s="16">
        <v>0</v>
      </c>
      <c r="L78" s="16">
        <v>0</v>
      </c>
      <c r="M78" s="16">
        <v>0</v>
      </c>
      <c r="N78" s="16">
        <v>0</v>
      </c>
      <c r="O78" s="18">
        <f t="shared" si="6"/>
        <v>32</v>
      </c>
      <c r="Q78" s="110">
        <f t="shared" si="7"/>
        <v>32</v>
      </c>
    </row>
    <row r="79" spans="1:17" ht="18.75" customHeight="1" x14ac:dyDescent="0.25">
      <c r="A79" s="14">
        <v>5</v>
      </c>
      <c r="B79" s="19" t="s">
        <v>22</v>
      </c>
      <c r="C79" s="16">
        <v>0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11</v>
      </c>
      <c r="L79" s="16">
        <v>20</v>
      </c>
      <c r="M79" s="16">
        <v>0</v>
      </c>
      <c r="N79" s="16">
        <v>0</v>
      </c>
      <c r="O79" s="18">
        <f t="shared" si="6"/>
        <v>31</v>
      </c>
      <c r="Q79" s="110">
        <f t="shared" si="7"/>
        <v>11</v>
      </c>
    </row>
    <row r="80" spans="1:17" ht="18.75" customHeight="1" x14ac:dyDescent="0.25">
      <c r="A80" s="14">
        <v>6</v>
      </c>
      <c r="B80" s="19" t="s">
        <v>23</v>
      </c>
      <c r="C80" s="16">
        <v>0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8">
        <f t="shared" si="6"/>
        <v>0</v>
      </c>
      <c r="Q80" s="110">
        <f t="shared" si="7"/>
        <v>0</v>
      </c>
    </row>
    <row r="81" spans="1:17" ht="18.75" customHeight="1" x14ac:dyDescent="0.25">
      <c r="A81" s="14">
        <v>7</v>
      </c>
      <c r="B81" s="19" t="s">
        <v>24</v>
      </c>
      <c r="C81" s="16">
        <v>0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10</v>
      </c>
      <c r="M81" s="16">
        <v>9</v>
      </c>
      <c r="N81" s="16">
        <v>0</v>
      </c>
      <c r="O81" s="18">
        <f t="shared" si="6"/>
        <v>19</v>
      </c>
      <c r="Q81" s="110">
        <f t="shared" si="7"/>
        <v>0</v>
      </c>
    </row>
    <row r="82" spans="1:17" ht="18.75" customHeight="1" thickBot="1" x14ac:dyDescent="0.3">
      <c r="A82" s="20">
        <v>8</v>
      </c>
      <c r="B82" s="15" t="s">
        <v>25</v>
      </c>
      <c r="C82" s="55">
        <v>0</v>
      </c>
      <c r="D82" s="55">
        <v>0</v>
      </c>
      <c r="E82" s="55">
        <v>0</v>
      </c>
      <c r="F82" s="55">
        <v>0</v>
      </c>
      <c r="G82" s="55">
        <v>0</v>
      </c>
      <c r="H82" s="55">
        <v>7</v>
      </c>
      <c r="I82" s="55">
        <v>6</v>
      </c>
      <c r="J82" s="55">
        <v>0</v>
      </c>
      <c r="K82" s="55">
        <v>0</v>
      </c>
      <c r="L82" s="55">
        <v>0</v>
      </c>
      <c r="M82" s="55">
        <v>0</v>
      </c>
      <c r="N82" s="55">
        <v>0</v>
      </c>
      <c r="O82" s="53">
        <f t="shared" si="6"/>
        <v>13</v>
      </c>
      <c r="Q82" s="110">
        <f t="shared" si="7"/>
        <v>13</v>
      </c>
    </row>
    <row r="83" spans="1:17" ht="18.75" customHeight="1" thickTop="1" x14ac:dyDescent="0.25">
      <c r="A83" s="429" t="s">
        <v>26</v>
      </c>
      <c r="B83" s="430"/>
      <c r="C83" s="22">
        <f t="shared" ref="C83:O83" si="8">SUM(C75:C82)</f>
        <v>0</v>
      </c>
      <c r="D83" s="22">
        <f t="shared" si="8"/>
        <v>0</v>
      </c>
      <c r="E83" s="22">
        <f t="shared" si="8"/>
        <v>0</v>
      </c>
      <c r="F83" s="22">
        <f t="shared" si="8"/>
        <v>42</v>
      </c>
      <c r="G83" s="22">
        <f t="shared" si="8"/>
        <v>11</v>
      </c>
      <c r="H83" s="22">
        <f t="shared" si="8"/>
        <v>7</v>
      </c>
      <c r="I83" s="22">
        <f t="shared" si="8"/>
        <v>16</v>
      </c>
      <c r="J83" s="22">
        <f t="shared" si="8"/>
        <v>11</v>
      </c>
      <c r="K83" s="22">
        <f t="shared" si="8"/>
        <v>11</v>
      </c>
      <c r="L83" s="22">
        <f t="shared" si="8"/>
        <v>30</v>
      </c>
      <c r="M83" s="22">
        <f t="shared" si="8"/>
        <v>9</v>
      </c>
      <c r="N83" s="22">
        <f t="shared" si="8"/>
        <v>0</v>
      </c>
      <c r="O83" s="22">
        <f t="shared" si="8"/>
        <v>137</v>
      </c>
      <c r="Q83" s="110">
        <f t="shared" si="7"/>
        <v>98</v>
      </c>
    </row>
    <row r="84" spans="1:17" x14ac:dyDescent="0.25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</row>
    <row r="85" spans="1:17" x14ac:dyDescent="0.2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</row>
    <row r="86" spans="1:17" x14ac:dyDescent="0.25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</row>
    <row r="87" spans="1:17" x14ac:dyDescent="0.25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</row>
    <row r="88" spans="1:17" x14ac:dyDescent="0.25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</row>
    <row r="89" spans="1:17" x14ac:dyDescent="0.25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</row>
    <row r="90" spans="1:17" x14ac:dyDescent="0.25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</row>
    <row r="91" spans="1:17" x14ac:dyDescent="0.25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</row>
    <row r="92" spans="1:17" x14ac:dyDescent="0.25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</row>
    <row r="93" spans="1:17" x14ac:dyDescent="0.25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</row>
    <row r="94" spans="1:17" x14ac:dyDescent="0.25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</row>
    <row r="95" spans="1:17" x14ac:dyDescent="0.2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</row>
    <row r="96" spans="1:17" x14ac:dyDescent="0.25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</row>
    <row r="97" spans="1:15" x14ac:dyDescent="0.25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</row>
    <row r="98" spans="1:15" x14ac:dyDescent="0.25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</row>
    <row r="99" spans="1:15" x14ac:dyDescent="0.25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</row>
    <row r="100" spans="1:15" x14ac:dyDescent="0.25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</row>
    <row r="101" spans="1:15" ht="18.75" x14ac:dyDescent="0.3">
      <c r="A101" s="424" t="s">
        <v>52</v>
      </c>
      <c r="B101" s="424"/>
      <c r="C101" s="424"/>
      <c r="D101" s="424"/>
      <c r="E101" s="424"/>
      <c r="F101" s="424"/>
      <c r="G101" s="424"/>
      <c r="H101" s="424"/>
      <c r="I101" s="424"/>
      <c r="J101" s="424"/>
      <c r="K101" s="424"/>
      <c r="L101" s="424"/>
      <c r="M101" s="424"/>
      <c r="N101" s="424"/>
      <c r="O101" s="424"/>
    </row>
    <row r="102" spans="1:15" ht="18.75" x14ac:dyDescent="0.3">
      <c r="A102" s="424" t="s">
        <v>75</v>
      </c>
      <c r="B102" s="424"/>
      <c r="C102" s="424"/>
      <c r="D102" s="424"/>
      <c r="E102" s="424"/>
      <c r="F102" s="424"/>
      <c r="G102" s="424"/>
      <c r="H102" s="424"/>
      <c r="I102" s="424"/>
      <c r="J102" s="424"/>
      <c r="K102" s="424"/>
      <c r="L102" s="424"/>
      <c r="M102" s="424"/>
      <c r="N102" s="424"/>
      <c r="O102" s="424"/>
    </row>
    <row r="103" spans="1:15" ht="18.75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3" t="s">
        <v>31</v>
      </c>
    </row>
    <row r="105" spans="1:15" x14ac:dyDescent="0.25">
      <c r="A105" s="425" t="s">
        <v>2</v>
      </c>
      <c r="B105" s="425" t="s">
        <v>3</v>
      </c>
      <c r="C105" s="427" t="s">
        <v>4</v>
      </c>
      <c r="D105" s="427"/>
      <c r="E105" s="427"/>
      <c r="F105" s="427"/>
      <c r="G105" s="427"/>
      <c r="H105" s="427"/>
      <c r="I105" s="427"/>
      <c r="J105" s="427"/>
      <c r="K105" s="427"/>
      <c r="L105" s="427"/>
      <c r="M105" s="427"/>
      <c r="N105" s="427"/>
      <c r="O105" s="425" t="s">
        <v>5</v>
      </c>
    </row>
    <row r="106" spans="1:15" x14ac:dyDescent="0.25">
      <c r="A106" s="426"/>
      <c r="B106" s="426"/>
      <c r="C106" s="25" t="s">
        <v>6</v>
      </c>
      <c r="D106" s="25" t="s">
        <v>7</v>
      </c>
      <c r="E106" s="25" t="s">
        <v>8</v>
      </c>
      <c r="F106" s="25" t="s">
        <v>9</v>
      </c>
      <c r="G106" s="25" t="s">
        <v>10</v>
      </c>
      <c r="H106" s="25" t="s">
        <v>11</v>
      </c>
      <c r="I106" s="25" t="s">
        <v>12</v>
      </c>
      <c r="J106" s="25" t="s">
        <v>13</v>
      </c>
      <c r="K106" s="25" t="s">
        <v>14</v>
      </c>
      <c r="L106" s="25" t="s">
        <v>15</v>
      </c>
      <c r="M106" s="25" t="s">
        <v>16</v>
      </c>
      <c r="N106" s="25" t="s">
        <v>17</v>
      </c>
      <c r="O106" s="428"/>
    </row>
    <row r="107" spans="1:15" ht="15.75" thickBot="1" x14ac:dyDescent="0.3">
      <c r="A107" s="26">
        <v>1</v>
      </c>
      <c r="B107" s="26">
        <v>2</v>
      </c>
      <c r="C107" s="26">
        <v>3</v>
      </c>
      <c r="D107" s="26">
        <v>4</v>
      </c>
      <c r="E107" s="26">
        <v>5</v>
      </c>
      <c r="F107" s="26">
        <v>6</v>
      </c>
      <c r="G107" s="26">
        <v>7</v>
      </c>
      <c r="H107" s="26">
        <v>8</v>
      </c>
      <c r="I107" s="26">
        <v>9</v>
      </c>
      <c r="J107" s="26">
        <v>10</v>
      </c>
      <c r="K107" s="26">
        <v>11</v>
      </c>
      <c r="L107" s="26">
        <v>12</v>
      </c>
      <c r="M107" s="26">
        <v>13</v>
      </c>
      <c r="N107" s="26">
        <v>14</v>
      </c>
      <c r="O107" s="26">
        <v>15</v>
      </c>
    </row>
    <row r="108" spans="1:15" ht="18.75" customHeight="1" thickTop="1" x14ac:dyDescent="0.25">
      <c r="A108" s="27">
        <v>1</v>
      </c>
      <c r="B108" s="7" t="s">
        <v>18</v>
      </c>
      <c r="C108" s="28">
        <v>0</v>
      </c>
      <c r="D108" s="28">
        <v>0</v>
      </c>
      <c r="E108" s="28">
        <v>0</v>
      </c>
      <c r="F108" s="32">
        <v>85.02</v>
      </c>
      <c r="G108" s="28">
        <v>0</v>
      </c>
      <c r="H108" s="28">
        <v>0</v>
      </c>
      <c r="I108" s="28">
        <v>0</v>
      </c>
      <c r="J108" s="28">
        <v>0</v>
      </c>
      <c r="K108" s="32">
        <v>0</v>
      </c>
      <c r="L108" s="32">
        <v>0</v>
      </c>
      <c r="M108" s="28">
        <v>0</v>
      </c>
      <c r="N108" s="28">
        <v>0</v>
      </c>
      <c r="O108" s="33">
        <f>O75/O42*10</f>
        <v>84</v>
      </c>
    </row>
    <row r="109" spans="1:15" ht="18.75" customHeight="1" x14ac:dyDescent="0.25">
      <c r="A109" s="14">
        <v>2</v>
      </c>
      <c r="B109" s="12" t="s">
        <v>19</v>
      </c>
      <c r="C109" s="16">
        <v>0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0</v>
      </c>
      <c r="K109" s="34">
        <v>0</v>
      </c>
      <c r="L109" s="34">
        <v>0</v>
      </c>
      <c r="M109" s="16">
        <v>0</v>
      </c>
      <c r="N109" s="16">
        <v>0</v>
      </c>
      <c r="O109" s="58">
        <v>0</v>
      </c>
    </row>
    <row r="110" spans="1:15" ht="18.75" customHeight="1" x14ac:dyDescent="0.25">
      <c r="A110" s="14">
        <v>3</v>
      </c>
      <c r="B110" s="7" t="s">
        <v>20</v>
      </c>
      <c r="C110" s="16">
        <v>0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0</v>
      </c>
      <c r="K110" s="34">
        <v>0</v>
      </c>
      <c r="L110" s="34">
        <v>0</v>
      </c>
      <c r="M110" s="16">
        <v>0</v>
      </c>
      <c r="N110" s="16">
        <v>0</v>
      </c>
      <c r="O110" s="58">
        <v>0</v>
      </c>
    </row>
    <row r="111" spans="1:15" ht="18.75" customHeight="1" x14ac:dyDescent="0.25">
      <c r="A111" s="14">
        <v>4</v>
      </c>
      <c r="B111" s="15" t="s">
        <v>21</v>
      </c>
      <c r="C111" s="16">
        <v>0</v>
      </c>
      <c r="D111" s="16">
        <v>0</v>
      </c>
      <c r="E111" s="16">
        <v>0</v>
      </c>
      <c r="F111" s="34">
        <v>0</v>
      </c>
      <c r="G111" s="66">
        <v>114.2</v>
      </c>
      <c r="H111" s="16">
        <v>0</v>
      </c>
      <c r="I111" s="34">
        <v>107.6</v>
      </c>
      <c r="J111" s="34">
        <v>113.22</v>
      </c>
      <c r="K111" s="34">
        <v>0</v>
      </c>
      <c r="L111" s="34">
        <v>0</v>
      </c>
      <c r="M111" s="34">
        <v>0</v>
      </c>
      <c r="N111" s="16">
        <v>0</v>
      </c>
      <c r="O111" s="58">
        <f t="shared" ref="O111:O112" si="9">O78/O45*10</f>
        <v>106.66666666666666</v>
      </c>
    </row>
    <row r="112" spans="1:15" ht="18.75" customHeight="1" x14ac:dyDescent="0.25">
      <c r="A112" s="14">
        <v>5</v>
      </c>
      <c r="B112" s="19" t="s">
        <v>22</v>
      </c>
      <c r="C112" s="16">
        <v>0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34">
        <v>112.3</v>
      </c>
      <c r="L112" s="34">
        <v>100.9</v>
      </c>
      <c r="M112" s="16">
        <v>0</v>
      </c>
      <c r="N112" s="16">
        <v>0</v>
      </c>
      <c r="O112" s="58">
        <f t="shared" si="9"/>
        <v>103.33333333333334</v>
      </c>
    </row>
    <row r="113" spans="1:15" ht="18.75" customHeight="1" x14ac:dyDescent="0.25">
      <c r="A113" s="14">
        <v>6</v>
      </c>
      <c r="B113" s="19" t="s">
        <v>23</v>
      </c>
      <c r="C113" s="16">
        <v>0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0</v>
      </c>
      <c r="K113" s="34">
        <v>0</v>
      </c>
      <c r="L113" s="34">
        <v>0</v>
      </c>
      <c r="M113" s="16">
        <v>0</v>
      </c>
      <c r="N113" s="16">
        <v>0</v>
      </c>
      <c r="O113" s="58">
        <v>0</v>
      </c>
    </row>
    <row r="114" spans="1:15" ht="18.75" customHeight="1" x14ac:dyDescent="0.25">
      <c r="A114" s="14">
        <v>7</v>
      </c>
      <c r="B114" s="19" t="s">
        <v>24</v>
      </c>
      <c r="C114" s="16">
        <v>0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34">
        <v>0</v>
      </c>
      <c r="L114" s="34">
        <v>100.15</v>
      </c>
      <c r="M114" s="34">
        <v>92.05</v>
      </c>
      <c r="N114" s="16">
        <v>0</v>
      </c>
      <c r="O114" s="35">
        <f>O81/O48*10</f>
        <v>95</v>
      </c>
    </row>
    <row r="115" spans="1:15" ht="18.75" customHeight="1" thickBot="1" x14ac:dyDescent="0.3">
      <c r="A115" s="20">
        <v>8</v>
      </c>
      <c r="B115" s="15" t="s">
        <v>25</v>
      </c>
      <c r="C115" s="55">
        <v>0</v>
      </c>
      <c r="D115" s="55">
        <v>0</v>
      </c>
      <c r="E115" s="55">
        <v>0</v>
      </c>
      <c r="F115" s="55">
        <v>0</v>
      </c>
      <c r="G115" s="55">
        <v>0</v>
      </c>
      <c r="H115" s="57">
        <v>75</v>
      </c>
      <c r="I115" s="57">
        <v>60</v>
      </c>
      <c r="J115" s="57">
        <v>0</v>
      </c>
      <c r="K115" s="57">
        <v>0</v>
      </c>
      <c r="L115" s="57">
        <v>0</v>
      </c>
      <c r="M115" s="55">
        <v>0</v>
      </c>
      <c r="N115" s="55">
        <v>0</v>
      </c>
      <c r="O115" s="35">
        <f>O82/O49*10</f>
        <v>65</v>
      </c>
    </row>
    <row r="116" spans="1:15" ht="18.75" customHeight="1" thickTop="1" x14ac:dyDescent="0.25">
      <c r="A116" s="429" t="s">
        <v>26</v>
      </c>
      <c r="B116" s="430"/>
      <c r="C116" s="38">
        <v>0</v>
      </c>
      <c r="D116" s="38">
        <v>0</v>
      </c>
      <c r="E116" s="38">
        <v>0</v>
      </c>
      <c r="F116" s="38">
        <v>85.02</v>
      </c>
      <c r="G116" s="38">
        <v>114.2</v>
      </c>
      <c r="H116" s="38">
        <v>75</v>
      </c>
      <c r="I116" s="38">
        <f t="shared" ref="I116:L116" si="10">I83/I50*10</f>
        <v>80</v>
      </c>
      <c r="J116" s="38">
        <v>113.22</v>
      </c>
      <c r="K116" s="38">
        <v>112.3</v>
      </c>
      <c r="L116" s="38">
        <f t="shared" si="10"/>
        <v>100</v>
      </c>
      <c r="M116" s="38">
        <v>92.05</v>
      </c>
      <c r="N116" s="38">
        <v>0</v>
      </c>
      <c r="O116" s="38">
        <f>O83/O50*10</f>
        <v>91.333333333333329</v>
      </c>
    </row>
    <row r="119" spans="1:15" x14ac:dyDescent="0.25">
      <c r="M119" s="41" t="s">
        <v>206</v>
      </c>
    </row>
    <row r="120" spans="1:15" x14ac:dyDescent="0.25">
      <c r="M120" s="41" t="s">
        <v>188</v>
      </c>
    </row>
    <row r="121" spans="1:15" x14ac:dyDescent="0.25">
      <c r="M121" s="41" t="s">
        <v>185</v>
      </c>
    </row>
    <row r="122" spans="1:15" x14ac:dyDescent="0.25">
      <c r="M122" s="41"/>
    </row>
    <row r="123" spans="1:15" x14ac:dyDescent="0.25">
      <c r="M123" s="41"/>
    </row>
    <row r="124" spans="1:15" x14ac:dyDescent="0.25">
      <c r="M124" s="41"/>
    </row>
    <row r="125" spans="1:15" x14ac:dyDescent="0.25">
      <c r="M125" s="423" t="s">
        <v>186</v>
      </c>
    </row>
    <row r="126" spans="1:15" x14ac:dyDescent="0.25">
      <c r="M126" s="41" t="s">
        <v>187</v>
      </c>
    </row>
  </sheetData>
  <mergeCells count="28">
    <mergeCell ref="A116:B116"/>
    <mergeCell ref="A83:B83"/>
    <mergeCell ref="A101:O101"/>
    <mergeCell ref="A102:O102"/>
    <mergeCell ref="A105:A106"/>
    <mergeCell ref="B105:B106"/>
    <mergeCell ref="C105:N105"/>
    <mergeCell ref="O105:O106"/>
    <mergeCell ref="A50:B50"/>
    <mergeCell ref="A68:O68"/>
    <mergeCell ref="A69:O69"/>
    <mergeCell ref="A72:A73"/>
    <mergeCell ref="B72:B73"/>
    <mergeCell ref="C72:N72"/>
    <mergeCell ref="O72:O73"/>
    <mergeCell ref="A17:B17"/>
    <mergeCell ref="A35:O35"/>
    <mergeCell ref="A36:O36"/>
    <mergeCell ref="A39:A40"/>
    <mergeCell ref="B39:B40"/>
    <mergeCell ref="C39:N39"/>
    <mergeCell ref="O39:O40"/>
    <mergeCell ref="A2:O2"/>
    <mergeCell ref="A3:O3"/>
    <mergeCell ref="A6:A7"/>
    <mergeCell ref="B6:B7"/>
    <mergeCell ref="C6:N6"/>
    <mergeCell ref="O6:O7"/>
  </mergeCells>
  <pageMargins left="1.5748031496062993" right="0.39370078740157483" top="0.94488188976377963" bottom="0.74803149606299213" header="0.31496062992125984" footer="0.31496062992125984"/>
  <pageSetup paperSize="9" scale="90" orientation="landscape" horizont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126"/>
  <sheetViews>
    <sheetView tabSelected="1" zoomScale="90" zoomScaleNormal="90" workbookViewId="0">
      <selection activeCell="A2" sqref="A2:O2"/>
    </sheetView>
  </sheetViews>
  <sheetFormatPr defaultRowHeight="15" x14ac:dyDescent="0.25"/>
  <cols>
    <col min="1" max="1" width="4" customWidth="1"/>
    <col min="2" max="2" width="14.140625" customWidth="1"/>
    <col min="3" max="15" width="8.5703125" customWidth="1"/>
  </cols>
  <sheetData>
    <row r="2" spans="1:17" ht="18.75" x14ac:dyDescent="0.3">
      <c r="A2" s="424" t="s">
        <v>53</v>
      </c>
      <c r="B2" s="424"/>
      <c r="C2" s="424"/>
      <c r="D2" s="424"/>
      <c r="E2" s="424"/>
      <c r="F2" s="424"/>
      <c r="G2" s="424"/>
      <c r="H2" s="424"/>
      <c r="I2" s="424"/>
      <c r="J2" s="424"/>
      <c r="K2" s="424"/>
      <c r="L2" s="424"/>
      <c r="M2" s="424"/>
      <c r="N2" s="424"/>
      <c r="O2" s="424"/>
    </row>
    <row r="3" spans="1:17" ht="18.75" x14ac:dyDescent="0.3">
      <c r="A3" s="424" t="s">
        <v>75</v>
      </c>
      <c r="B3" s="424"/>
      <c r="C3" s="424"/>
      <c r="D3" s="424"/>
      <c r="E3" s="424"/>
      <c r="F3" s="424"/>
      <c r="G3" s="424"/>
      <c r="H3" s="424"/>
      <c r="I3" s="424"/>
      <c r="J3" s="424"/>
      <c r="K3" s="424"/>
      <c r="L3" s="424"/>
      <c r="M3" s="424"/>
      <c r="N3" s="424"/>
      <c r="O3" s="424"/>
    </row>
    <row r="4" spans="1:17" ht="18.75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7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3" t="s">
        <v>1</v>
      </c>
    </row>
    <row r="6" spans="1:17" x14ac:dyDescent="0.25">
      <c r="A6" s="425" t="s">
        <v>2</v>
      </c>
      <c r="B6" s="425" t="s">
        <v>3</v>
      </c>
      <c r="C6" s="436" t="s">
        <v>4</v>
      </c>
      <c r="D6" s="436"/>
      <c r="E6" s="436"/>
      <c r="F6" s="436"/>
      <c r="G6" s="436"/>
      <c r="H6" s="436"/>
      <c r="I6" s="436"/>
      <c r="J6" s="436"/>
      <c r="K6" s="436"/>
      <c r="L6" s="436"/>
      <c r="M6" s="436"/>
      <c r="N6" s="436"/>
      <c r="O6" s="425" t="s">
        <v>5</v>
      </c>
    </row>
    <row r="7" spans="1:17" x14ac:dyDescent="0.25">
      <c r="A7" s="426"/>
      <c r="B7" s="426"/>
      <c r="C7" s="25" t="s">
        <v>6</v>
      </c>
      <c r="D7" s="25" t="s">
        <v>7</v>
      </c>
      <c r="E7" s="25" t="s">
        <v>8</v>
      </c>
      <c r="F7" s="25" t="s">
        <v>9</v>
      </c>
      <c r="G7" s="25" t="s">
        <v>10</v>
      </c>
      <c r="H7" s="25" t="s">
        <v>11</v>
      </c>
      <c r="I7" s="25" t="s">
        <v>12</v>
      </c>
      <c r="J7" s="25" t="s">
        <v>13</v>
      </c>
      <c r="K7" s="25" t="s">
        <v>14</v>
      </c>
      <c r="L7" s="25" t="s">
        <v>15</v>
      </c>
      <c r="M7" s="25" t="s">
        <v>16</v>
      </c>
      <c r="N7" s="25" t="s">
        <v>17</v>
      </c>
      <c r="O7" s="428"/>
    </row>
    <row r="8" spans="1:17" ht="15.75" thickBot="1" x14ac:dyDescent="0.3">
      <c r="A8" s="26">
        <v>1</v>
      </c>
      <c r="B8" s="26">
        <v>2</v>
      </c>
      <c r="C8" s="26">
        <v>3</v>
      </c>
      <c r="D8" s="26">
        <v>4</v>
      </c>
      <c r="E8" s="26">
        <v>5</v>
      </c>
      <c r="F8" s="26">
        <v>6</v>
      </c>
      <c r="G8" s="26">
        <v>7</v>
      </c>
      <c r="H8" s="26">
        <v>8</v>
      </c>
      <c r="I8" s="26">
        <v>9</v>
      </c>
      <c r="J8" s="26">
        <v>10</v>
      </c>
      <c r="K8" s="26">
        <v>11</v>
      </c>
      <c r="L8" s="26">
        <v>12</v>
      </c>
      <c r="M8" s="26">
        <v>13</v>
      </c>
      <c r="N8" s="26">
        <v>14</v>
      </c>
      <c r="O8" s="26">
        <v>15</v>
      </c>
      <c r="Q8" t="s">
        <v>179</v>
      </c>
    </row>
    <row r="9" spans="1:17" ht="18.75" customHeight="1" thickTop="1" x14ac:dyDescent="0.25">
      <c r="A9" s="27">
        <v>1</v>
      </c>
      <c r="B9" s="7" t="s">
        <v>18</v>
      </c>
      <c r="C9" s="28">
        <v>2</v>
      </c>
      <c r="D9" s="28">
        <v>0</v>
      </c>
      <c r="E9" s="28">
        <v>0</v>
      </c>
      <c r="F9" s="68">
        <v>0</v>
      </c>
      <c r="G9" s="28">
        <v>0</v>
      </c>
      <c r="H9" s="68">
        <v>0</v>
      </c>
      <c r="I9" s="68">
        <v>0</v>
      </c>
      <c r="J9" s="68">
        <v>0</v>
      </c>
      <c r="K9" s="68">
        <v>0</v>
      </c>
      <c r="L9" s="68">
        <v>0</v>
      </c>
      <c r="M9" s="68">
        <v>0</v>
      </c>
      <c r="N9" s="68">
        <v>0</v>
      </c>
      <c r="O9" s="29">
        <f>SUM(C9:N9)</f>
        <v>2</v>
      </c>
      <c r="Q9" s="110">
        <f>SUM(F9:K9)</f>
        <v>0</v>
      </c>
    </row>
    <row r="10" spans="1:17" ht="18.75" customHeight="1" x14ac:dyDescent="0.25">
      <c r="A10" s="14">
        <v>2</v>
      </c>
      <c r="B10" s="12" t="s">
        <v>19</v>
      </c>
      <c r="C10" s="16">
        <v>0</v>
      </c>
      <c r="D10" s="16">
        <v>0</v>
      </c>
      <c r="E10" s="16">
        <v>0</v>
      </c>
      <c r="F10" s="48">
        <v>0</v>
      </c>
      <c r="G10" s="16">
        <v>0</v>
      </c>
      <c r="H10" s="48">
        <v>0</v>
      </c>
      <c r="I10" s="48">
        <v>0</v>
      </c>
      <c r="J10" s="48">
        <v>0</v>
      </c>
      <c r="K10" s="48">
        <v>0</v>
      </c>
      <c r="L10" s="48">
        <v>0</v>
      </c>
      <c r="M10" s="48">
        <v>0</v>
      </c>
      <c r="N10" s="48">
        <v>0</v>
      </c>
      <c r="O10" s="18">
        <f t="shared" ref="O10:O16" si="0">SUM(C10:N10)</f>
        <v>0</v>
      </c>
      <c r="Q10" s="110">
        <f t="shared" ref="Q10:Q17" si="1">SUM(F10:K10)</f>
        <v>0</v>
      </c>
    </row>
    <row r="11" spans="1:17" ht="18.75" customHeight="1" x14ac:dyDescent="0.25">
      <c r="A11" s="14">
        <v>3</v>
      </c>
      <c r="B11" s="7" t="s">
        <v>20</v>
      </c>
      <c r="C11" s="16">
        <v>0</v>
      </c>
      <c r="D11" s="16">
        <v>0</v>
      </c>
      <c r="E11" s="16">
        <v>0</v>
      </c>
      <c r="F11" s="16">
        <v>1</v>
      </c>
      <c r="G11" s="16">
        <v>2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8">
        <f t="shared" si="0"/>
        <v>3</v>
      </c>
      <c r="Q11" s="110">
        <f t="shared" si="1"/>
        <v>3</v>
      </c>
    </row>
    <row r="12" spans="1:17" ht="18.75" customHeight="1" x14ac:dyDescent="0.25">
      <c r="A12" s="14">
        <v>4</v>
      </c>
      <c r="B12" s="15" t="s">
        <v>21</v>
      </c>
      <c r="C12" s="16">
        <v>0</v>
      </c>
      <c r="D12" s="16">
        <v>0</v>
      </c>
      <c r="E12" s="16">
        <v>0</v>
      </c>
      <c r="F12" s="16">
        <v>8</v>
      </c>
      <c r="G12" s="16">
        <v>10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8">
        <f t="shared" si="0"/>
        <v>18</v>
      </c>
      <c r="Q12" s="110">
        <f t="shared" si="1"/>
        <v>18</v>
      </c>
    </row>
    <row r="13" spans="1:17" ht="18.75" customHeight="1" x14ac:dyDescent="0.25">
      <c r="A13" s="14">
        <v>5</v>
      </c>
      <c r="B13" s="19" t="s">
        <v>22</v>
      </c>
      <c r="C13" s="16">
        <v>0</v>
      </c>
      <c r="D13" s="16">
        <v>0</v>
      </c>
      <c r="E13" s="16">
        <v>0</v>
      </c>
      <c r="F13" s="16">
        <v>0</v>
      </c>
      <c r="G13" s="16">
        <v>12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8">
        <f t="shared" si="0"/>
        <v>12</v>
      </c>
      <c r="Q13" s="110">
        <f t="shared" si="1"/>
        <v>12</v>
      </c>
    </row>
    <row r="14" spans="1:17" ht="18.75" customHeight="1" x14ac:dyDescent="0.25">
      <c r="A14" s="14">
        <v>6</v>
      </c>
      <c r="B14" s="19" t="s">
        <v>23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8">
        <f t="shared" si="0"/>
        <v>0</v>
      </c>
      <c r="Q14" s="110">
        <f t="shared" si="1"/>
        <v>0</v>
      </c>
    </row>
    <row r="15" spans="1:17" ht="18.75" customHeight="1" x14ac:dyDescent="0.25">
      <c r="A15" s="14">
        <v>7</v>
      </c>
      <c r="B15" s="19" t="s">
        <v>24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8">
        <f t="shared" si="0"/>
        <v>0</v>
      </c>
      <c r="Q15" s="110">
        <f t="shared" si="1"/>
        <v>0</v>
      </c>
    </row>
    <row r="16" spans="1:17" ht="18.75" customHeight="1" thickBot="1" x14ac:dyDescent="0.3">
      <c r="A16" s="20">
        <v>8</v>
      </c>
      <c r="B16" s="15" t="s">
        <v>25</v>
      </c>
      <c r="C16" s="17">
        <v>1</v>
      </c>
      <c r="D16" s="17">
        <v>0</v>
      </c>
      <c r="E16" s="17">
        <v>0</v>
      </c>
      <c r="F16" s="17">
        <v>1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21">
        <f t="shared" si="0"/>
        <v>2</v>
      </c>
      <c r="Q16" s="110">
        <f t="shared" si="1"/>
        <v>1</v>
      </c>
    </row>
    <row r="17" spans="1:17" ht="18.75" customHeight="1" thickTop="1" x14ac:dyDescent="0.25">
      <c r="A17" s="429" t="s">
        <v>26</v>
      </c>
      <c r="B17" s="430"/>
      <c r="C17" s="22">
        <f t="shared" ref="C17:O17" si="2">SUM(C9:C16)</f>
        <v>3</v>
      </c>
      <c r="D17" s="22">
        <f t="shared" si="2"/>
        <v>0</v>
      </c>
      <c r="E17" s="22">
        <f t="shared" si="2"/>
        <v>0</v>
      </c>
      <c r="F17" s="22">
        <f t="shared" si="2"/>
        <v>10</v>
      </c>
      <c r="G17" s="22">
        <f t="shared" si="2"/>
        <v>24</v>
      </c>
      <c r="H17" s="22">
        <f t="shared" si="2"/>
        <v>0</v>
      </c>
      <c r="I17" s="22">
        <f t="shared" si="2"/>
        <v>0</v>
      </c>
      <c r="J17" s="22">
        <f t="shared" si="2"/>
        <v>0</v>
      </c>
      <c r="K17" s="22">
        <f t="shared" si="2"/>
        <v>0</v>
      </c>
      <c r="L17" s="22">
        <f t="shared" si="2"/>
        <v>0</v>
      </c>
      <c r="M17" s="22">
        <f t="shared" si="2"/>
        <v>0</v>
      </c>
      <c r="N17" s="22">
        <f t="shared" si="2"/>
        <v>0</v>
      </c>
      <c r="O17" s="22">
        <f t="shared" si="2"/>
        <v>37</v>
      </c>
      <c r="Q17" s="110">
        <f t="shared" si="1"/>
        <v>34</v>
      </c>
    </row>
    <row r="18" spans="1:17" x14ac:dyDescent="0.2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</row>
    <row r="19" spans="1:17" x14ac:dyDescent="0.25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</row>
    <row r="20" spans="1:17" x14ac:dyDescent="0.25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</row>
    <row r="21" spans="1:17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</row>
    <row r="22" spans="1:17" x14ac:dyDescent="0.2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</row>
    <row r="23" spans="1:17" x14ac:dyDescent="0.2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</row>
    <row r="24" spans="1:17" x14ac:dyDescent="0.2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</row>
    <row r="25" spans="1:17" x14ac:dyDescent="0.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</row>
    <row r="26" spans="1:17" x14ac:dyDescent="0.2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</row>
    <row r="27" spans="1:17" x14ac:dyDescent="0.2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</row>
    <row r="28" spans="1:17" x14ac:dyDescent="0.2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</row>
    <row r="29" spans="1:17" x14ac:dyDescent="0.2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</row>
    <row r="30" spans="1:17" x14ac:dyDescent="0.2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</row>
    <row r="31" spans="1:17" x14ac:dyDescent="0.25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</row>
    <row r="32" spans="1:17" x14ac:dyDescent="0.25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</row>
    <row r="33" spans="1:17" x14ac:dyDescent="0.25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</row>
    <row r="34" spans="1:17" x14ac:dyDescent="0.25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</row>
    <row r="35" spans="1:17" ht="18.75" x14ac:dyDescent="0.3">
      <c r="A35" s="424" t="s">
        <v>54</v>
      </c>
      <c r="B35" s="424"/>
      <c r="C35" s="424"/>
      <c r="D35" s="424"/>
      <c r="E35" s="424"/>
      <c r="F35" s="424"/>
      <c r="G35" s="424"/>
      <c r="H35" s="424"/>
      <c r="I35" s="424"/>
      <c r="J35" s="424"/>
      <c r="K35" s="424"/>
      <c r="L35" s="424"/>
      <c r="M35" s="424"/>
      <c r="N35" s="424"/>
      <c r="O35" s="424"/>
    </row>
    <row r="36" spans="1:17" ht="18.75" x14ac:dyDescent="0.3">
      <c r="A36" s="424" t="s">
        <v>75</v>
      </c>
      <c r="B36" s="424"/>
      <c r="C36" s="424"/>
      <c r="D36" s="424"/>
      <c r="E36" s="424"/>
      <c r="F36" s="424"/>
      <c r="G36" s="424"/>
      <c r="H36" s="424"/>
      <c r="I36" s="424"/>
      <c r="J36" s="424"/>
      <c r="K36" s="424"/>
      <c r="L36" s="424"/>
      <c r="M36" s="424"/>
      <c r="N36" s="424"/>
      <c r="O36" s="424"/>
    </row>
    <row r="37" spans="1:17" ht="18.75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7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3" t="s">
        <v>1</v>
      </c>
    </row>
    <row r="39" spans="1:17" x14ac:dyDescent="0.25">
      <c r="A39" s="425" t="s">
        <v>2</v>
      </c>
      <c r="B39" s="425" t="s">
        <v>3</v>
      </c>
      <c r="C39" s="427" t="s">
        <v>4</v>
      </c>
      <c r="D39" s="427"/>
      <c r="E39" s="427"/>
      <c r="F39" s="427"/>
      <c r="G39" s="427"/>
      <c r="H39" s="427"/>
      <c r="I39" s="427"/>
      <c r="J39" s="427"/>
      <c r="K39" s="427"/>
      <c r="L39" s="427"/>
      <c r="M39" s="427"/>
      <c r="N39" s="427"/>
      <c r="O39" s="425" t="s">
        <v>5</v>
      </c>
    </row>
    <row r="40" spans="1:17" x14ac:dyDescent="0.25">
      <c r="A40" s="426"/>
      <c r="B40" s="426"/>
      <c r="C40" s="25" t="s">
        <v>6</v>
      </c>
      <c r="D40" s="25" t="s">
        <v>7</v>
      </c>
      <c r="E40" s="25" t="s">
        <v>8</v>
      </c>
      <c r="F40" s="25" t="s">
        <v>9</v>
      </c>
      <c r="G40" s="25" t="s">
        <v>10</v>
      </c>
      <c r="H40" s="25" t="s">
        <v>11</v>
      </c>
      <c r="I40" s="25" t="s">
        <v>12</v>
      </c>
      <c r="J40" s="25" t="s">
        <v>13</v>
      </c>
      <c r="K40" s="25" t="s">
        <v>14</v>
      </c>
      <c r="L40" s="25" t="s">
        <v>15</v>
      </c>
      <c r="M40" s="25" t="s">
        <v>16</v>
      </c>
      <c r="N40" s="25" t="s">
        <v>17</v>
      </c>
      <c r="O40" s="428"/>
    </row>
    <row r="41" spans="1:17" ht="15.75" thickBot="1" x14ac:dyDescent="0.3">
      <c r="A41" s="26">
        <v>1</v>
      </c>
      <c r="B41" s="26">
        <v>2</v>
      </c>
      <c r="C41" s="26">
        <v>3</v>
      </c>
      <c r="D41" s="26">
        <v>4</v>
      </c>
      <c r="E41" s="26">
        <v>5</v>
      </c>
      <c r="F41" s="26">
        <v>6</v>
      </c>
      <c r="G41" s="26">
        <v>7</v>
      </c>
      <c r="H41" s="26">
        <v>8</v>
      </c>
      <c r="I41" s="26">
        <v>9</v>
      </c>
      <c r="J41" s="26">
        <v>10</v>
      </c>
      <c r="K41" s="26">
        <v>11</v>
      </c>
      <c r="L41" s="26">
        <v>12</v>
      </c>
      <c r="M41" s="26">
        <v>13</v>
      </c>
      <c r="N41" s="26">
        <v>14</v>
      </c>
      <c r="O41" s="26">
        <v>15</v>
      </c>
    </row>
    <row r="42" spans="1:17" ht="18.75" customHeight="1" thickTop="1" x14ac:dyDescent="0.25">
      <c r="A42" s="27">
        <v>1</v>
      </c>
      <c r="B42" s="7" t="s">
        <v>18</v>
      </c>
      <c r="C42" s="68">
        <v>0</v>
      </c>
      <c r="D42" s="68">
        <v>2</v>
      </c>
      <c r="E42" s="68">
        <v>2</v>
      </c>
      <c r="F42" s="68">
        <v>0</v>
      </c>
      <c r="G42" s="68">
        <v>0</v>
      </c>
      <c r="H42" s="68">
        <v>0</v>
      </c>
      <c r="I42" s="16">
        <v>0</v>
      </c>
      <c r="J42" s="28">
        <v>0</v>
      </c>
      <c r="K42" s="68">
        <v>0</v>
      </c>
      <c r="L42" s="68">
        <v>0</v>
      </c>
      <c r="M42" s="68">
        <v>0</v>
      </c>
      <c r="N42" s="68">
        <v>0</v>
      </c>
      <c r="O42" s="29">
        <f>SUM(C42:N42)</f>
        <v>4</v>
      </c>
      <c r="Q42" s="110">
        <f>SUM(F42:K42)</f>
        <v>0</v>
      </c>
    </row>
    <row r="43" spans="1:17" ht="18.75" customHeight="1" x14ac:dyDescent="0.25">
      <c r="A43" s="14">
        <v>2</v>
      </c>
      <c r="B43" s="12" t="s">
        <v>19</v>
      </c>
      <c r="C43" s="48">
        <v>0</v>
      </c>
      <c r="D43" s="48">
        <v>0</v>
      </c>
      <c r="E43" s="48">
        <v>0</v>
      </c>
      <c r="F43" s="48">
        <v>0</v>
      </c>
      <c r="G43" s="48">
        <v>0</v>
      </c>
      <c r="H43" s="48">
        <v>0</v>
      </c>
      <c r="I43" s="16">
        <v>0</v>
      </c>
      <c r="J43" s="16">
        <v>0</v>
      </c>
      <c r="K43" s="48">
        <v>0</v>
      </c>
      <c r="L43" s="48">
        <v>0</v>
      </c>
      <c r="M43" s="48">
        <v>0</v>
      </c>
      <c r="N43" s="48">
        <v>0</v>
      </c>
      <c r="O43" s="18">
        <f t="shared" ref="O43:O49" si="3">SUM(C43:N43)</f>
        <v>0</v>
      </c>
      <c r="Q43" s="110">
        <f t="shared" ref="Q43:Q50" si="4">SUM(F43:K43)</f>
        <v>0</v>
      </c>
    </row>
    <row r="44" spans="1:17" ht="18.75" customHeight="1" x14ac:dyDescent="0.25">
      <c r="A44" s="14">
        <v>3</v>
      </c>
      <c r="B44" s="7" t="s">
        <v>20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3</v>
      </c>
      <c r="K44" s="16">
        <v>0</v>
      </c>
      <c r="L44" s="16">
        <v>0</v>
      </c>
      <c r="M44" s="16">
        <v>0</v>
      </c>
      <c r="N44" s="16">
        <v>0</v>
      </c>
      <c r="O44" s="18">
        <f t="shared" si="3"/>
        <v>3</v>
      </c>
      <c r="Q44" s="110">
        <f t="shared" si="4"/>
        <v>3</v>
      </c>
    </row>
    <row r="45" spans="1:17" ht="18.75" customHeight="1" x14ac:dyDescent="0.25">
      <c r="A45" s="14">
        <v>4</v>
      </c>
      <c r="B45" s="15" t="s">
        <v>21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18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8">
        <f t="shared" si="3"/>
        <v>18</v>
      </c>
      <c r="Q45" s="110">
        <f t="shared" si="4"/>
        <v>18</v>
      </c>
    </row>
    <row r="46" spans="1:17" ht="18.75" customHeight="1" x14ac:dyDescent="0.25">
      <c r="A46" s="14">
        <v>5</v>
      </c>
      <c r="B46" s="19" t="s">
        <v>22</v>
      </c>
      <c r="C46" s="16">
        <v>0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12</v>
      </c>
      <c r="K46" s="16">
        <v>0</v>
      </c>
      <c r="L46" s="16">
        <v>0</v>
      </c>
      <c r="M46" s="16">
        <v>0</v>
      </c>
      <c r="N46" s="16">
        <v>0</v>
      </c>
      <c r="O46" s="18">
        <f t="shared" si="3"/>
        <v>12</v>
      </c>
      <c r="Q46" s="110">
        <f t="shared" si="4"/>
        <v>12</v>
      </c>
    </row>
    <row r="47" spans="1:17" ht="18.75" customHeight="1" x14ac:dyDescent="0.25">
      <c r="A47" s="14">
        <v>6</v>
      </c>
      <c r="B47" s="19" t="s">
        <v>23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8">
        <f t="shared" si="3"/>
        <v>0</v>
      </c>
      <c r="Q47" s="110">
        <f t="shared" si="4"/>
        <v>0</v>
      </c>
    </row>
    <row r="48" spans="1:17" ht="18.75" customHeight="1" x14ac:dyDescent="0.25">
      <c r="A48" s="14">
        <v>7</v>
      </c>
      <c r="B48" s="19" t="s">
        <v>24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8">
        <f t="shared" si="3"/>
        <v>0</v>
      </c>
      <c r="Q48" s="110">
        <f t="shared" si="4"/>
        <v>0</v>
      </c>
    </row>
    <row r="49" spans="1:17" ht="18.75" customHeight="1" thickBot="1" x14ac:dyDescent="0.3">
      <c r="A49" s="20">
        <v>8</v>
      </c>
      <c r="B49" s="15" t="s">
        <v>25</v>
      </c>
      <c r="C49" s="17">
        <v>0</v>
      </c>
      <c r="D49" s="17">
        <v>0</v>
      </c>
      <c r="E49" s="17">
        <v>0</v>
      </c>
      <c r="F49" s="17">
        <v>1</v>
      </c>
      <c r="G49" s="17">
        <v>0</v>
      </c>
      <c r="H49" s="17">
        <v>0</v>
      </c>
      <c r="I49" s="17">
        <v>1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21">
        <f t="shared" si="3"/>
        <v>2</v>
      </c>
      <c r="Q49" s="110">
        <f t="shared" si="4"/>
        <v>2</v>
      </c>
    </row>
    <row r="50" spans="1:17" ht="18.75" customHeight="1" thickTop="1" x14ac:dyDescent="0.25">
      <c r="A50" s="429" t="s">
        <v>26</v>
      </c>
      <c r="B50" s="430"/>
      <c r="C50" s="22">
        <f t="shared" ref="C50:O50" si="5">SUM(C42:C49)</f>
        <v>0</v>
      </c>
      <c r="D50" s="22">
        <f t="shared" si="5"/>
        <v>2</v>
      </c>
      <c r="E50" s="22">
        <f t="shared" si="5"/>
        <v>2</v>
      </c>
      <c r="F50" s="22">
        <f t="shared" si="5"/>
        <v>1</v>
      </c>
      <c r="G50" s="22">
        <f t="shared" si="5"/>
        <v>0</v>
      </c>
      <c r="H50" s="22">
        <f t="shared" si="5"/>
        <v>0</v>
      </c>
      <c r="I50" s="22">
        <f t="shared" si="5"/>
        <v>19</v>
      </c>
      <c r="J50" s="22">
        <f t="shared" si="5"/>
        <v>15</v>
      </c>
      <c r="K50" s="22">
        <f t="shared" si="5"/>
        <v>0</v>
      </c>
      <c r="L50" s="22">
        <f t="shared" si="5"/>
        <v>0</v>
      </c>
      <c r="M50" s="22">
        <f t="shared" si="5"/>
        <v>0</v>
      </c>
      <c r="N50" s="22">
        <f t="shared" si="5"/>
        <v>0</v>
      </c>
      <c r="O50" s="22">
        <f t="shared" si="5"/>
        <v>39</v>
      </c>
      <c r="Q50" s="110">
        <f t="shared" si="4"/>
        <v>35</v>
      </c>
    </row>
    <row r="51" spans="1:17" x14ac:dyDescent="0.25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</row>
    <row r="52" spans="1:17" x14ac:dyDescent="0.25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</row>
    <row r="53" spans="1:17" x14ac:dyDescent="0.25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</row>
    <row r="54" spans="1:17" x14ac:dyDescent="0.25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</row>
    <row r="55" spans="1:17" x14ac:dyDescent="0.2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</row>
    <row r="56" spans="1:17" x14ac:dyDescent="0.25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</row>
    <row r="57" spans="1:17" x14ac:dyDescent="0.25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</row>
    <row r="58" spans="1:17" x14ac:dyDescent="0.25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</row>
    <row r="59" spans="1:17" x14ac:dyDescent="0.25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</row>
    <row r="60" spans="1:17" x14ac:dyDescent="0.25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</row>
    <row r="61" spans="1:17" x14ac:dyDescent="0.2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</row>
    <row r="62" spans="1:17" x14ac:dyDescent="0.2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</row>
    <row r="63" spans="1:17" x14ac:dyDescent="0.2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</row>
    <row r="64" spans="1:17" x14ac:dyDescent="0.2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</row>
    <row r="65" spans="1:17" x14ac:dyDescent="0.2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</row>
    <row r="66" spans="1:17" x14ac:dyDescent="0.25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</row>
    <row r="67" spans="1:17" x14ac:dyDescent="0.25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</row>
    <row r="68" spans="1:17" ht="18.75" x14ac:dyDescent="0.3">
      <c r="A68" s="424" t="s">
        <v>55</v>
      </c>
      <c r="B68" s="424"/>
      <c r="C68" s="424"/>
      <c r="D68" s="424"/>
      <c r="E68" s="424"/>
      <c r="F68" s="424"/>
      <c r="G68" s="424"/>
      <c r="H68" s="424"/>
      <c r="I68" s="424"/>
      <c r="J68" s="424"/>
      <c r="K68" s="424"/>
      <c r="L68" s="424"/>
      <c r="M68" s="424"/>
      <c r="N68" s="424"/>
      <c r="O68" s="424"/>
    </row>
    <row r="69" spans="1:17" ht="18.75" x14ac:dyDescent="0.3">
      <c r="A69" s="424" t="s">
        <v>75</v>
      </c>
      <c r="B69" s="424"/>
      <c r="C69" s="424"/>
      <c r="D69" s="424"/>
      <c r="E69" s="424"/>
      <c r="F69" s="424"/>
      <c r="G69" s="424"/>
      <c r="H69" s="424"/>
      <c r="I69" s="424"/>
      <c r="J69" s="424"/>
      <c r="K69" s="424"/>
      <c r="L69" s="424"/>
      <c r="M69" s="424"/>
      <c r="N69" s="424"/>
      <c r="O69" s="424"/>
    </row>
    <row r="70" spans="1:17" ht="18.75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7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3" t="s">
        <v>29</v>
      </c>
    </row>
    <row r="72" spans="1:17" x14ac:dyDescent="0.25">
      <c r="A72" s="425" t="s">
        <v>2</v>
      </c>
      <c r="B72" s="425" t="s">
        <v>3</v>
      </c>
      <c r="C72" s="427" t="s">
        <v>4</v>
      </c>
      <c r="D72" s="427"/>
      <c r="E72" s="427"/>
      <c r="F72" s="427"/>
      <c r="G72" s="427"/>
      <c r="H72" s="427"/>
      <c r="I72" s="427"/>
      <c r="J72" s="427"/>
      <c r="K72" s="427"/>
      <c r="L72" s="427"/>
      <c r="M72" s="427"/>
      <c r="N72" s="427"/>
      <c r="O72" s="425" t="s">
        <v>5</v>
      </c>
    </row>
    <row r="73" spans="1:17" x14ac:dyDescent="0.25">
      <c r="A73" s="426"/>
      <c r="B73" s="426"/>
      <c r="C73" s="25" t="s">
        <v>6</v>
      </c>
      <c r="D73" s="25" t="s">
        <v>7</v>
      </c>
      <c r="E73" s="25" t="s">
        <v>8</v>
      </c>
      <c r="F73" s="25" t="s">
        <v>9</v>
      </c>
      <c r="G73" s="25" t="s">
        <v>10</v>
      </c>
      <c r="H73" s="25" t="s">
        <v>11</v>
      </c>
      <c r="I73" s="25" t="s">
        <v>12</v>
      </c>
      <c r="J73" s="25" t="s">
        <v>13</v>
      </c>
      <c r="K73" s="25" t="s">
        <v>14</v>
      </c>
      <c r="L73" s="25" t="s">
        <v>15</v>
      </c>
      <c r="M73" s="25" t="s">
        <v>16</v>
      </c>
      <c r="N73" s="25" t="s">
        <v>17</v>
      </c>
      <c r="O73" s="428"/>
    </row>
    <row r="74" spans="1:17" ht="15.75" thickBot="1" x14ac:dyDescent="0.3">
      <c r="A74" s="26">
        <v>1</v>
      </c>
      <c r="B74" s="26">
        <v>2</v>
      </c>
      <c r="C74" s="26">
        <v>3</v>
      </c>
      <c r="D74" s="26">
        <v>4</v>
      </c>
      <c r="E74" s="26">
        <v>5</v>
      </c>
      <c r="F74" s="26">
        <v>6</v>
      </c>
      <c r="G74" s="26">
        <v>7</v>
      </c>
      <c r="H74" s="26">
        <v>8</v>
      </c>
      <c r="I74" s="26">
        <v>9</v>
      </c>
      <c r="J74" s="26">
        <v>10</v>
      </c>
      <c r="K74" s="26">
        <v>11</v>
      </c>
      <c r="L74" s="26">
        <v>12</v>
      </c>
      <c r="M74" s="26">
        <v>13</v>
      </c>
      <c r="N74" s="26">
        <v>14</v>
      </c>
      <c r="O74" s="26">
        <v>15</v>
      </c>
    </row>
    <row r="75" spans="1:17" ht="18.75" customHeight="1" thickTop="1" x14ac:dyDescent="0.25">
      <c r="A75" s="27">
        <v>1</v>
      </c>
      <c r="B75" s="7" t="s">
        <v>18</v>
      </c>
      <c r="C75" s="68">
        <v>0</v>
      </c>
      <c r="D75" s="69">
        <v>1</v>
      </c>
      <c r="E75" s="69">
        <v>1</v>
      </c>
      <c r="F75" s="68">
        <v>0</v>
      </c>
      <c r="G75" s="68">
        <v>0</v>
      </c>
      <c r="H75" s="68">
        <v>0</v>
      </c>
      <c r="I75" s="16">
        <v>0</v>
      </c>
      <c r="J75" s="28">
        <v>0</v>
      </c>
      <c r="K75" s="68">
        <v>0</v>
      </c>
      <c r="L75" s="68">
        <v>0</v>
      </c>
      <c r="M75" s="68">
        <v>0</v>
      </c>
      <c r="N75" s="68">
        <v>0</v>
      </c>
      <c r="O75" s="29">
        <f>SUM(C75:N75)</f>
        <v>2</v>
      </c>
      <c r="Q75" s="110">
        <f>SUM(F75:K75)</f>
        <v>0</v>
      </c>
    </row>
    <row r="76" spans="1:17" ht="18.75" customHeight="1" x14ac:dyDescent="0.25">
      <c r="A76" s="14">
        <v>2</v>
      </c>
      <c r="B76" s="12" t="s">
        <v>19</v>
      </c>
      <c r="C76" s="48">
        <v>0</v>
      </c>
      <c r="D76" s="48">
        <v>0</v>
      </c>
      <c r="E76" s="48">
        <v>0</v>
      </c>
      <c r="F76" s="48">
        <v>0</v>
      </c>
      <c r="G76" s="48">
        <v>0</v>
      </c>
      <c r="H76" s="48">
        <v>0</v>
      </c>
      <c r="I76" s="16">
        <v>0</v>
      </c>
      <c r="J76" s="16">
        <v>0</v>
      </c>
      <c r="K76" s="48">
        <v>0</v>
      </c>
      <c r="L76" s="48">
        <v>0</v>
      </c>
      <c r="M76" s="48">
        <v>0</v>
      </c>
      <c r="N76" s="48">
        <v>0</v>
      </c>
      <c r="O76" s="18">
        <f t="shared" ref="O76:O82" si="6">SUM(C76:N76)</f>
        <v>0</v>
      </c>
      <c r="Q76" s="110">
        <f t="shared" ref="Q76:Q83" si="7">SUM(F76:K76)</f>
        <v>0</v>
      </c>
    </row>
    <row r="77" spans="1:17" ht="18.75" customHeight="1" x14ac:dyDescent="0.25">
      <c r="A77" s="14">
        <v>3</v>
      </c>
      <c r="B77" s="7" t="s">
        <v>20</v>
      </c>
      <c r="C77" s="16">
        <v>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3</v>
      </c>
      <c r="K77" s="16">
        <v>0</v>
      </c>
      <c r="L77" s="16">
        <v>0</v>
      </c>
      <c r="M77" s="16">
        <v>0</v>
      </c>
      <c r="N77" s="16">
        <v>0</v>
      </c>
      <c r="O77" s="18">
        <f t="shared" si="6"/>
        <v>3</v>
      </c>
      <c r="Q77" s="110">
        <f t="shared" si="7"/>
        <v>3</v>
      </c>
    </row>
    <row r="78" spans="1:17" ht="18.75" customHeight="1" x14ac:dyDescent="0.25">
      <c r="A78" s="14">
        <v>4</v>
      </c>
      <c r="B78" s="15" t="s">
        <v>21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16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8">
        <f t="shared" si="6"/>
        <v>16</v>
      </c>
      <c r="Q78" s="110">
        <f t="shared" si="7"/>
        <v>16</v>
      </c>
    </row>
    <row r="79" spans="1:17" ht="18.75" customHeight="1" x14ac:dyDescent="0.25">
      <c r="A79" s="14">
        <v>5</v>
      </c>
      <c r="B79" s="19" t="s">
        <v>22</v>
      </c>
      <c r="C79" s="16">
        <v>0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10</v>
      </c>
      <c r="K79" s="16">
        <v>0</v>
      </c>
      <c r="L79" s="16">
        <v>0</v>
      </c>
      <c r="M79" s="16">
        <v>0</v>
      </c>
      <c r="N79" s="16">
        <v>0</v>
      </c>
      <c r="O79" s="18">
        <f t="shared" si="6"/>
        <v>10</v>
      </c>
      <c r="Q79" s="110">
        <f t="shared" si="7"/>
        <v>10</v>
      </c>
    </row>
    <row r="80" spans="1:17" ht="18.75" customHeight="1" x14ac:dyDescent="0.25">
      <c r="A80" s="14">
        <v>6</v>
      </c>
      <c r="B80" s="19" t="s">
        <v>23</v>
      </c>
      <c r="C80" s="16">
        <v>0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8">
        <f t="shared" si="6"/>
        <v>0</v>
      </c>
      <c r="Q80" s="110">
        <f t="shared" si="7"/>
        <v>0</v>
      </c>
    </row>
    <row r="81" spans="1:17" ht="18.75" customHeight="1" x14ac:dyDescent="0.25">
      <c r="A81" s="14">
        <v>7</v>
      </c>
      <c r="B81" s="19" t="s">
        <v>24</v>
      </c>
      <c r="C81" s="16">
        <v>0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8">
        <f t="shared" si="6"/>
        <v>0</v>
      </c>
      <c r="Q81" s="110">
        <f t="shared" si="7"/>
        <v>0</v>
      </c>
    </row>
    <row r="82" spans="1:17" ht="18.75" customHeight="1" thickBot="1" x14ac:dyDescent="0.3">
      <c r="A82" s="20">
        <v>8</v>
      </c>
      <c r="B82" s="15" t="s">
        <v>25</v>
      </c>
      <c r="C82" s="17">
        <v>0</v>
      </c>
      <c r="D82" s="17">
        <v>0</v>
      </c>
      <c r="E82" s="17">
        <v>0</v>
      </c>
      <c r="F82" s="17">
        <v>1</v>
      </c>
      <c r="G82" s="17">
        <v>0</v>
      </c>
      <c r="H82" s="17">
        <v>0</v>
      </c>
      <c r="I82" s="17">
        <v>1</v>
      </c>
      <c r="J82" s="17">
        <v>0</v>
      </c>
      <c r="K82" s="17">
        <v>0</v>
      </c>
      <c r="L82" s="17">
        <v>0</v>
      </c>
      <c r="M82" s="17">
        <v>0</v>
      </c>
      <c r="N82" s="17">
        <v>0</v>
      </c>
      <c r="O82" s="21">
        <f t="shared" si="6"/>
        <v>2</v>
      </c>
      <c r="Q82" s="110">
        <f t="shared" si="7"/>
        <v>2</v>
      </c>
    </row>
    <row r="83" spans="1:17" ht="18.75" customHeight="1" thickTop="1" x14ac:dyDescent="0.25">
      <c r="A83" s="429" t="s">
        <v>26</v>
      </c>
      <c r="B83" s="430"/>
      <c r="C83" s="22">
        <f t="shared" ref="C83:O83" si="8">SUM(C75:C82)</f>
        <v>0</v>
      </c>
      <c r="D83" s="22">
        <f t="shared" si="8"/>
        <v>1</v>
      </c>
      <c r="E83" s="22">
        <f t="shared" si="8"/>
        <v>1</v>
      </c>
      <c r="F83" s="22">
        <f t="shared" si="8"/>
        <v>1</v>
      </c>
      <c r="G83" s="22">
        <f t="shared" si="8"/>
        <v>0</v>
      </c>
      <c r="H83" s="22">
        <f t="shared" si="8"/>
        <v>0</v>
      </c>
      <c r="I83" s="22">
        <f t="shared" si="8"/>
        <v>17</v>
      </c>
      <c r="J83" s="22">
        <f t="shared" si="8"/>
        <v>13</v>
      </c>
      <c r="K83" s="22">
        <f t="shared" si="8"/>
        <v>0</v>
      </c>
      <c r="L83" s="22">
        <f t="shared" si="8"/>
        <v>0</v>
      </c>
      <c r="M83" s="22">
        <f t="shared" si="8"/>
        <v>0</v>
      </c>
      <c r="N83" s="22">
        <f t="shared" si="8"/>
        <v>0</v>
      </c>
      <c r="O83" s="22">
        <f t="shared" si="8"/>
        <v>33</v>
      </c>
      <c r="Q83" s="110">
        <f t="shared" si="7"/>
        <v>31</v>
      </c>
    </row>
    <row r="84" spans="1:17" x14ac:dyDescent="0.25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</row>
    <row r="85" spans="1:17" x14ac:dyDescent="0.2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</row>
    <row r="86" spans="1:17" x14ac:dyDescent="0.25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</row>
    <row r="87" spans="1:17" x14ac:dyDescent="0.25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</row>
    <row r="88" spans="1:17" x14ac:dyDescent="0.25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</row>
    <row r="89" spans="1:17" x14ac:dyDescent="0.25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</row>
    <row r="90" spans="1:17" x14ac:dyDescent="0.25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</row>
    <row r="91" spans="1:17" x14ac:dyDescent="0.25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</row>
    <row r="92" spans="1:17" x14ac:dyDescent="0.25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</row>
    <row r="93" spans="1:17" x14ac:dyDescent="0.25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</row>
    <row r="94" spans="1:17" x14ac:dyDescent="0.25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</row>
    <row r="95" spans="1:17" x14ac:dyDescent="0.2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</row>
    <row r="96" spans="1:17" x14ac:dyDescent="0.25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</row>
    <row r="97" spans="1:15" x14ac:dyDescent="0.25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</row>
    <row r="98" spans="1:15" x14ac:dyDescent="0.25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</row>
    <row r="99" spans="1:15" x14ac:dyDescent="0.25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</row>
    <row r="100" spans="1:15" x14ac:dyDescent="0.25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</row>
    <row r="101" spans="1:15" ht="18.75" x14ac:dyDescent="0.3">
      <c r="A101" s="424" t="s">
        <v>56</v>
      </c>
      <c r="B101" s="424"/>
      <c r="C101" s="424"/>
      <c r="D101" s="424"/>
      <c r="E101" s="424"/>
      <c r="F101" s="424"/>
      <c r="G101" s="424"/>
      <c r="H101" s="424"/>
      <c r="I101" s="424"/>
      <c r="J101" s="424"/>
      <c r="K101" s="424"/>
      <c r="L101" s="424"/>
      <c r="M101" s="424"/>
      <c r="N101" s="424"/>
      <c r="O101" s="424"/>
    </row>
    <row r="102" spans="1:15" ht="18.75" x14ac:dyDescent="0.3">
      <c r="A102" s="424" t="s">
        <v>75</v>
      </c>
      <c r="B102" s="424"/>
      <c r="C102" s="424"/>
      <c r="D102" s="424"/>
      <c r="E102" s="424"/>
      <c r="F102" s="424"/>
      <c r="G102" s="424"/>
      <c r="H102" s="424"/>
      <c r="I102" s="424"/>
      <c r="J102" s="424"/>
      <c r="K102" s="424"/>
      <c r="L102" s="424"/>
      <c r="M102" s="424"/>
      <c r="N102" s="424"/>
      <c r="O102" s="424"/>
    </row>
    <row r="103" spans="1:15" ht="18.75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3" t="s">
        <v>31</v>
      </c>
    </row>
    <row r="105" spans="1:15" x14ac:dyDescent="0.25">
      <c r="A105" s="425" t="s">
        <v>2</v>
      </c>
      <c r="B105" s="425" t="s">
        <v>3</v>
      </c>
      <c r="C105" s="427" t="s">
        <v>4</v>
      </c>
      <c r="D105" s="427"/>
      <c r="E105" s="427"/>
      <c r="F105" s="427"/>
      <c r="G105" s="427"/>
      <c r="H105" s="427"/>
      <c r="I105" s="427"/>
      <c r="J105" s="427"/>
      <c r="K105" s="427"/>
      <c r="L105" s="427"/>
      <c r="M105" s="427"/>
      <c r="N105" s="427"/>
      <c r="O105" s="425" t="s">
        <v>5</v>
      </c>
    </row>
    <row r="106" spans="1:15" x14ac:dyDescent="0.25">
      <c r="A106" s="426"/>
      <c r="B106" s="426"/>
      <c r="C106" s="25" t="s">
        <v>6</v>
      </c>
      <c r="D106" s="25" t="s">
        <v>7</v>
      </c>
      <c r="E106" s="25" t="s">
        <v>8</v>
      </c>
      <c r="F106" s="25" t="s">
        <v>9</v>
      </c>
      <c r="G106" s="25" t="s">
        <v>10</v>
      </c>
      <c r="H106" s="25" t="s">
        <v>11</v>
      </c>
      <c r="I106" s="25" t="s">
        <v>12</v>
      </c>
      <c r="J106" s="25" t="s">
        <v>13</v>
      </c>
      <c r="K106" s="25" t="s">
        <v>14</v>
      </c>
      <c r="L106" s="25" t="s">
        <v>15</v>
      </c>
      <c r="M106" s="25" t="s">
        <v>16</v>
      </c>
      <c r="N106" s="25" t="s">
        <v>17</v>
      </c>
      <c r="O106" s="428"/>
    </row>
    <row r="107" spans="1:15" ht="15.75" thickBot="1" x14ac:dyDescent="0.3">
      <c r="A107" s="26">
        <v>1</v>
      </c>
      <c r="B107" s="26">
        <v>2</v>
      </c>
      <c r="C107" s="26">
        <v>3</v>
      </c>
      <c r="D107" s="26">
        <v>4</v>
      </c>
      <c r="E107" s="26">
        <v>5</v>
      </c>
      <c r="F107" s="26">
        <v>6</v>
      </c>
      <c r="G107" s="26">
        <v>7</v>
      </c>
      <c r="H107" s="26">
        <v>8</v>
      </c>
      <c r="I107" s="26">
        <v>9</v>
      </c>
      <c r="J107" s="26">
        <v>10</v>
      </c>
      <c r="K107" s="26">
        <v>11</v>
      </c>
      <c r="L107" s="26">
        <v>12</v>
      </c>
      <c r="M107" s="26">
        <v>13</v>
      </c>
      <c r="N107" s="26">
        <v>14</v>
      </c>
      <c r="O107" s="26">
        <v>15</v>
      </c>
    </row>
    <row r="108" spans="1:15" ht="18.75" customHeight="1" thickTop="1" x14ac:dyDescent="0.25">
      <c r="A108" s="27">
        <v>1</v>
      </c>
      <c r="B108" s="7" t="s">
        <v>18</v>
      </c>
      <c r="C108" s="68">
        <v>0</v>
      </c>
      <c r="D108" s="50">
        <v>5.12</v>
      </c>
      <c r="E108" s="50">
        <v>5.0999999999999996</v>
      </c>
      <c r="F108" s="68">
        <v>0</v>
      </c>
      <c r="G108" s="68">
        <v>0</v>
      </c>
      <c r="H108" s="68">
        <v>0</v>
      </c>
      <c r="I108" s="68">
        <v>0</v>
      </c>
      <c r="J108" s="32">
        <v>0</v>
      </c>
      <c r="K108" s="68">
        <v>0</v>
      </c>
      <c r="L108" s="68">
        <v>0</v>
      </c>
      <c r="M108" s="68">
        <v>0</v>
      </c>
      <c r="N108" s="68">
        <v>0</v>
      </c>
      <c r="O108" s="33">
        <f>O75/O42*10</f>
        <v>5</v>
      </c>
    </row>
    <row r="109" spans="1:15" ht="18.75" customHeight="1" x14ac:dyDescent="0.25">
      <c r="A109" s="14">
        <v>2</v>
      </c>
      <c r="B109" s="12" t="s">
        <v>19</v>
      </c>
      <c r="C109" s="48">
        <v>0</v>
      </c>
      <c r="D109" s="48">
        <v>0</v>
      </c>
      <c r="E109" s="48">
        <v>0</v>
      </c>
      <c r="F109" s="48">
        <v>0</v>
      </c>
      <c r="G109" s="48">
        <v>0</v>
      </c>
      <c r="H109" s="48">
        <v>0</v>
      </c>
      <c r="I109" s="48">
        <v>0</v>
      </c>
      <c r="J109" s="34">
        <v>0</v>
      </c>
      <c r="K109" s="48">
        <v>0</v>
      </c>
      <c r="L109" s="48">
        <v>0</v>
      </c>
      <c r="M109" s="48">
        <v>0</v>
      </c>
      <c r="N109" s="48">
        <v>0</v>
      </c>
      <c r="O109" s="35">
        <v>0</v>
      </c>
    </row>
    <row r="110" spans="1:15" ht="18.75" customHeight="1" x14ac:dyDescent="0.25">
      <c r="A110" s="14">
        <v>3</v>
      </c>
      <c r="B110" s="7" t="s">
        <v>20</v>
      </c>
      <c r="C110" s="16">
        <v>0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34">
        <v>9</v>
      </c>
      <c r="K110" s="16">
        <v>0</v>
      </c>
      <c r="L110" s="16">
        <v>0</v>
      </c>
      <c r="M110" s="16">
        <v>0</v>
      </c>
      <c r="N110" s="16">
        <v>0</v>
      </c>
      <c r="O110" s="35">
        <f>O77/O44*10</f>
        <v>10</v>
      </c>
    </row>
    <row r="111" spans="1:15" ht="18.75" customHeight="1" x14ac:dyDescent="0.25">
      <c r="A111" s="14">
        <v>4</v>
      </c>
      <c r="B111" s="15" t="s">
        <v>21</v>
      </c>
      <c r="C111" s="16">
        <v>0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34">
        <v>8.89</v>
      </c>
      <c r="J111" s="34">
        <v>0</v>
      </c>
      <c r="K111" s="16">
        <v>0</v>
      </c>
      <c r="L111" s="16">
        <v>0</v>
      </c>
      <c r="M111" s="16">
        <v>0</v>
      </c>
      <c r="N111" s="16">
        <v>0</v>
      </c>
      <c r="O111" s="35">
        <f>O78/O45*10</f>
        <v>8.8888888888888893</v>
      </c>
    </row>
    <row r="112" spans="1:15" ht="18.75" customHeight="1" x14ac:dyDescent="0.25">
      <c r="A112" s="14">
        <v>5</v>
      </c>
      <c r="B112" s="19" t="s">
        <v>22</v>
      </c>
      <c r="C112" s="16">
        <v>0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399">
        <v>0</v>
      </c>
      <c r="J112" s="34">
        <v>8.1999999999999993</v>
      </c>
      <c r="K112" s="16">
        <v>0</v>
      </c>
      <c r="L112" s="16">
        <v>0</v>
      </c>
      <c r="M112" s="16">
        <v>0</v>
      </c>
      <c r="N112" s="16">
        <v>0</v>
      </c>
      <c r="O112" s="35">
        <f>O79/O46*10</f>
        <v>8.3333333333333339</v>
      </c>
    </row>
    <row r="113" spans="1:15" ht="18.75" customHeight="1" x14ac:dyDescent="0.25">
      <c r="A113" s="14">
        <v>6</v>
      </c>
      <c r="B113" s="19" t="s">
        <v>23</v>
      </c>
      <c r="C113" s="16">
        <v>0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48">
        <v>0</v>
      </c>
      <c r="J113" s="34">
        <v>0</v>
      </c>
      <c r="K113" s="16">
        <v>0</v>
      </c>
      <c r="L113" s="16">
        <v>0</v>
      </c>
      <c r="M113" s="16">
        <v>0</v>
      </c>
      <c r="N113" s="16">
        <v>0</v>
      </c>
      <c r="O113" s="35">
        <v>0</v>
      </c>
    </row>
    <row r="114" spans="1:15" ht="18.75" customHeight="1" x14ac:dyDescent="0.25">
      <c r="A114" s="14">
        <v>7</v>
      </c>
      <c r="B114" s="19" t="s">
        <v>24</v>
      </c>
      <c r="C114" s="16">
        <v>0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34">
        <v>0</v>
      </c>
      <c r="K114" s="16">
        <v>0</v>
      </c>
      <c r="L114" s="16">
        <v>0</v>
      </c>
      <c r="M114" s="16">
        <v>0</v>
      </c>
      <c r="N114" s="16">
        <v>0</v>
      </c>
      <c r="O114" s="35">
        <v>0</v>
      </c>
    </row>
    <row r="115" spans="1:15" ht="18.75" customHeight="1" thickBot="1" x14ac:dyDescent="0.3">
      <c r="A115" s="20">
        <v>8</v>
      </c>
      <c r="B115" s="15" t="s">
        <v>25</v>
      </c>
      <c r="C115" s="17">
        <v>0</v>
      </c>
      <c r="D115" s="17">
        <v>0</v>
      </c>
      <c r="E115" s="17">
        <v>0</v>
      </c>
      <c r="F115" s="36">
        <v>8.5</v>
      </c>
      <c r="G115" s="17">
        <v>0</v>
      </c>
      <c r="H115" s="17">
        <v>0</v>
      </c>
      <c r="I115" s="36">
        <v>8.5</v>
      </c>
      <c r="J115" s="36">
        <v>0</v>
      </c>
      <c r="K115" s="17">
        <v>0</v>
      </c>
      <c r="L115" s="17">
        <v>0</v>
      </c>
      <c r="M115" s="17">
        <v>0</v>
      </c>
      <c r="N115" s="17">
        <v>0</v>
      </c>
      <c r="O115" s="35">
        <f>O82/O49*10</f>
        <v>10</v>
      </c>
    </row>
    <row r="116" spans="1:15" ht="18.75" customHeight="1" thickTop="1" x14ac:dyDescent="0.25">
      <c r="A116" s="429" t="s">
        <v>26</v>
      </c>
      <c r="B116" s="430"/>
      <c r="C116" s="38">
        <v>0</v>
      </c>
      <c r="D116" s="38">
        <f>SUM(D108:D115)</f>
        <v>5.12</v>
      </c>
      <c r="E116" s="38">
        <f>SUM(E108:E115)</f>
        <v>5.0999999999999996</v>
      </c>
      <c r="F116" s="38">
        <v>8.5</v>
      </c>
      <c r="G116" s="38">
        <v>0</v>
      </c>
      <c r="H116" s="38">
        <v>0</v>
      </c>
      <c r="I116" s="38">
        <f t="shared" ref="I116:J116" si="9">I83/I50*10</f>
        <v>8.9473684210526319</v>
      </c>
      <c r="J116" s="38">
        <f t="shared" si="9"/>
        <v>8.6666666666666679</v>
      </c>
      <c r="K116" s="38">
        <v>0</v>
      </c>
      <c r="L116" s="38">
        <v>0</v>
      </c>
      <c r="M116" s="38">
        <v>0</v>
      </c>
      <c r="N116" s="38">
        <v>0</v>
      </c>
      <c r="O116" s="38">
        <f>O83/O50*10</f>
        <v>8.4615384615384617</v>
      </c>
    </row>
    <row r="117" spans="1:15" x14ac:dyDescent="0.25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</row>
    <row r="118" spans="1:15" x14ac:dyDescent="0.25">
      <c r="E118" s="73"/>
    </row>
    <row r="119" spans="1:15" x14ac:dyDescent="0.25">
      <c r="M119" s="41" t="s">
        <v>206</v>
      </c>
    </row>
    <row r="120" spans="1:15" x14ac:dyDescent="0.25">
      <c r="M120" s="41" t="s">
        <v>188</v>
      </c>
    </row>
    <row r="121" spans="1:15" x14ac:dyDescent="0.25">
      <c r="M121" s="41" t="s">
        <v>185</v>
      </c>
    </row>
    <row r="122" spans="1:15" x14ac:dyDescent="0.25">
      <c r="M122" s="41"/>
    </row>
    <row r="123" spans="1:15" x14ac:dyDescent="0.25">
      <c r="M123" s="41"/>
    </row>
    <row r="124" spans="1:15" x14ac:dyDescent="0.25">
      <c r="M124" s="41"/>
    </row>
    <row r="125" spans="1:15" x14ac:dyDescent="0.25">
      <c r="M125" s="423" t="s">
        <v>186</v>
      </c>
    </row>
    <row r="126" spans="1:15" x14ac:dyDescent="0.25">
      <c r="M126" s="41" t="s">
        <v>187</v>
      </c>
    </row>
  </sheetData>
  <mergeCells count="28">
    <mergeCell ref="A116:B116"/>
    <mergeCell ref="A83:B83"/>
    <mergeCell ref="A101:O101"/>
    <mergeCell ref="A102:O102"/>
    <mergeCell ref="A105:A106"/>
    <mergeCell ref="B105:B106"/>
    <mergeCell ref="C105:N105"/>
    <mergeCell ref="O105:O106"/>
    <mergeCell ref="A50:B50"/>
    <mergeCell ref="A68:O68"/>
    <mergeCell ref="A69:O69"/>
    <mergeCell ref="A72:A73"/>
    <mergeCell ref="B72:B73"/>
    <mergeCell ref="C72:N72"/>
    <mergeCell ref="O72:O73"/>
    <mergeCell ref="A17:B17"/>
    <mergeCell ref="A35:O35"/>
    <mergeCell ref="A36:O36"/>
    <mergeCell ref="A39:A40"/>
    <mergeCell ref="B39:B40"/>
    <mergeCell ref="C39:N39"/>
    <mergeCell ref="O39:O40"/>
    <mergeCell ref="A2:O2"/>
    <mergeCell ref="A3:O3"/>
    <mergeCell ref="A6:A7"/>
    <mergeCell ref="B6:B7"/>
    <mergeCell ref="C6:N6"/>
    <mergeCell ref="O6:O7"/>
  </mergeCells>
  <pageMargins left="1.5748031496062993" right="0.39370078740157483" top="0.94488188976377963" bottom="0.74803149606299213" header="0.31496062992125984" footer="0.31496062992125984"/>
  <pageSetup paperSize="9" scale="90" orientation="landscape" horizontalDpi="4294967293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0"/>
  <sheetViews>
    <sheetView topLeftCell="A36" workbookViewId="0">
      <selection sqref="A1:F45"/>
    </sheetView>
  </sheetViews>
  <sheetFormatPr defaultRowHeight="15" x14ac:dyDescent="0.25"/>
  <cols>
    <col min="1" max="1" width="3.7109375" customWidth="1"/>
    <col min="2" max="2" width="17" customWidth="1"/>
    <col min="3" max="6" width="15.140625" customWidth="1"/>
    <col min="7" max="7" width="4.140625" customWidth="1"/>
  </cols>
  <sheetData>
    <row r="1" spans="1:6" x14ac:dyDescent="0.25">
      <c r="A1" s="77" t="s">
        <v>205</v>
      </c>
    </row>
    <row r="2" spans="1:6" x14ac:dyDescent="0.25">
      <c r="A2" s="77" t="s">
        <v>105</v>
      </c>
    </row>
    <row r="3" spans="1:6" x14ac:dyDescent="0.25">
      <c r="A3" s="77"/>
    </row>
    <row r="4" spans="1:6" ht="15.75" thickBot="1" x14ac:dyDescent="0.3">
      <c r="A4" s="77" t="s">
        <v>66</v>
      </c>
    </row>
    <row r="5" spans="1:6" x14ac:dyDescent="0.25">
      <c r="A5" s="440" t="s">
        <v>2</v>
      </c>
      <c r="B5" s="442" t="s">
        <v>3</v>
      </c>
      <c r="C5" s="79" t="s">
        <v>63</v>
      </c>
      <c r="D5" s="79" t="s">
        <v>64</v>
      </c>
      <c r="E5" s="79" t="s">
        <v>65</v>
      </c>
      <c r="F5" s="80" t="s">
        <v>62</v>
      </c>
    </row>
    <row r="6" spans="1:6" x14ac:dyDescent="0.25">
      <c r="A6" s="441"/>
      <c r="B6" s="426"/>
      <c r="C6" s="81" t="s">
        <v>1</v>
      </c>
      <c r="D6" s="81" t="s">
        <v>1</v>
      </c>
      <c r="E6" s="81" t="s">
        <v>203</v>
      </c>
      <c r="F6" s="82" t="s">
        <v>31</v>
      </c>
    </row>
    <row r="7" spans="1:6" ht="15.75" thickBot="1" x14ac:dyDescent="0.3">
      <c r="A7" s="83">
        <v>1</v>
      </c>
      <c r="B7" s="78">
        <v>2</v>
      </c>
      <c r="C7" s="78">
        <v>3</v>
      </c>
      <c r="D7" s="78">
        <v>4</v>
      </c>
      <c r="E7" s="78">
        <v>5</v>
      </c>
      <c r="F7" s="84">
        <v>6</v>
      </c>
    </row>
    <row r="8" spans="1:6" ht="15.75" thickTop="1" x14ac:dyDescent="0.25">
      <c r="A8" s="85">
        <v>1</v>
      </c>
      <c r="B8" s="7" t="s">
        <v>18</v>
      </c>
      <c r="C8" s="89">
        <f>'okt-mar'!Q7</f>
        <v>233</v>
      </c>
      <c r="D8" s="89">
        <f>'padi sawah'!O42</f>
        <v>233</v>
      </c>
      <c r="E8" s="89">
        <f>'padi sawah'!O75</f>
        <v>1466</v>
      </c>
      <c r="F8" s="93">
        <f>'padi sawah'!O108</f>
        <v>62.918454935622314</v>
      </c>
    </row>
    <row r="9" spans="1:6" x14ac:dyDescent="0.25">
      <c r="A9" s="86">
        <v>2</v>
      </c>
      <c r="B9" s="12" t="s">
        <v>19</v>
      </c>
      <c r="C9" s="90">
        <f>'okt-mar'!Q8</f>
        <v>389</v>
      </c>
      <c r="D9" s="90">
        <f>'padi sawah'!O43</f>
        <v>387</v>
      </c>
      <c r="E9" s="90">
        <f>'padi sawah'!O76</f>
        <v>3013</v>
      </c>
      <c r="F9" s="94">
        <f>'padi sawah'!O109</f>
        <v>77.855297157622743</v>
      </c>
    </row>
    <row r="10" spans="1:6" x14ac:dyDescent="0.25">
      <c r="A10" s="86">
        <v>3</v>
      </c>
      <c r="B10" s="7" t="s">
        <v>20</v>
      </c>
      <c r="C10" s="90">
        <f>'okt-mar'!Q9</f>
        <v>63</v>
      </c>
      <c r="D10" s="90">
        <f>'padi sawah'!O44</f>
        <v>63</v>
      </c>
      <c r="E10" s="90">
        <f>'padi sawah'!O77</f>
        <v>341</v>
      </c>
      <c r="F10" s="94">
        <f>'padi sawah'!O110</f>
        <v>54.126984126984127</v>
      </c>
    </row>
    <row r="11" spans="1:6" x14ac:dyDescent="0.25">
      <c r="A11" s="87">
        <v>4</v>
      </c>
      <c r="B11" s="15" t="s">
        <v>21</v>
      </c>
      <c r="C11" s="90">
        <f>'okt-mar'!Q10</f>
        <v>200</v>
      </c>
      <c r="D11" s="90">
        <f>'padi sawah'!O45</f>
        <v>200</v>
      </c>
      <c r="E11" s="90">
        <f>'padi sawah'!O78</f>
        <v>1145</v>
      </c>
      <c r="F11" s="94">
        <f>'padi sawah'!O111</f>
        <v>57.25</v>
      </c>
    </row>
    <row r="12" spans="1:6" x14ac:dyDescent="0.25">
      <c r="A12" s="87">
        <v>5</v>
      </c>
      <c r="B12" s="19" t="s">
        <v>22</v>
      </c>
      <c r="C12" s="90">
        <f>'okt-mar'!Q11</f>
        <v>270</v>
      </c>
      <c r="D12" s="90">
        <f>'padi sawah'!O46</f>
        <v>270</v>
      </c>
      <c r="E12" s="90">
        <f>'padi sawah'!O79</f>
        <v>1609</v>
      </c>
      <c r="F12" s="94">
        <f>'padi sawah'!O112</f>
        <v>59.592592592592595</v>
      </c>
    </row>
    <row r="13" spans="1:6" x14ac:dyDescent="0.25">
      <c r="A13" s="87">
        <v>6</v>
      </c>
      <c r="B13" s="19" t="s">
        <v>23</v>
      </c>
      <c r="C13" s="90">
        <f>'okt-mar'!Q12</f>
        <v>82</v>
      </c>
      <c r="D13" s="90">
        <f>'padi sawah'!O47</f>
        <v>81</v>
      </c>
      <c r="E13" s="90">
        <f>'padi sawah'!O80</f>
        <v>584</v>
      </c>
      <c r="F13" s="94">
        <f>'padi sawah'!O113</f>
        <v>72.098765432098759</v>
      </c>
    </row>
    <row r="14" spans="1:6" x14ac:dyDescent="0.25">
      <c r="A14" s="87">
        <v>7</v>
      </c>
      <c r="B14" s="19" t="s">
        <v>24</v>
      </c>
      <c r="C14" s="90">
        <f>'okt-mar'!Q13</f>
        <v>586</v>
      </c>
      <c r="D14" s="90">
        <f>'padi sawah'!O48</f>
        <v>586</v>
      </c>
      <c r="E14" s="90">
        <f>'padi sawah'!O81</f>
        <v>3438</v>
      </c>
      <c r="F14" s="94">
        <f>'padi sawah'!O114</f>
        <v>58.668941979522188</v>
      </c>
    </row>
    <row r="15" spans="1:6" ht="15.75" thickBot="1" x14ac:dyDescent="0.3">
      <c r="A15" s="88">
        <v>8</v>
      </c>
      <c r="B15" s="15" t="s">
        <v>25</v>
      </c>
      <c r="C15" s="91">
        <f>'okt-mar'!Q14</f>
        <v>492</v>
      </c>
      <c r="D15" s="91">
        <f>'padi sawah'!O49</f>
        <v>466</v>
      </c>
      <c r="E15" s="91">
        <f>'padi sawah'!O82</f>
        <v>3138</v>
      </c>
      <c r="F15" s="95">
        <f>'padi sawah'!O115</f>
        <v>67.33905579399142</v>
      </c>
    </row>
    <row r="16" spans="1:6" ht="16.5" thickTop="1" thickBot="1" x14ac:dyDescent="0.3">
      <c r="A16" s="438" t="s">
        <v>26</v>
      </c>
      <c r="B16" s="439"/>
      <c r="C16" s="92">
        <f>SUM(C8:C15)</f>
        <v>2315</v>
      </c>
      <c r="D16" s="92">
        <f t="shared" ref="D16:E16" si="0">SUM(D8:D15)</f>
        <v>2286</v>
      </c>
      <c r="E16" s="92">
        <f t="shared" si="0"/>
        <v>14734</v>
      </c>
      <c r="F16" s="96">
        <f>E16/D16*10</f>
        <v>64.453193350831143</v>
      </c>
    </row>
    <row r="18" spans="1:6" ht="15.75" thickBot="1" x14ac:dyDescent="0.3">
      <c r="A18" s="77" t="s">
        <v>67</v>
      </c>
    </row>
    <row r="19" spans="1:6" x14ac:dyDescent="0.25">
      <c r="A19" s="440" t="s">
        <v>2</v>
      </c>
      <c r="B19" s="442" t="s">
        <v>3</v>
      </c>
      <c r="C19" s="79" t="s">
        <v>63</v>
      </c>
      <c r="D19" s="79" t="s">
        <v>64</v>
      </c>
      <c r="E19" s="79" t="s">
        <v>65</v>
      </c>
      <c r="F19" s="80" t="s">
        <v>62</v>
      </c>
    </row>
    <row r="20" spans="1:6" x14ac:dyDescent="0.25">
      <c r="A20" s="441"/>
      <c r="B20" s="426"/>
      <c r="C20" s="81" t="s">
        <v>1</v>
      </c>
      <c r="D20" s="81" t="s">
        <v>1</v>
      </c>
      <c r="E20" s="81" t="s">
        <v>203</v>
      </c>
      <c r="F20" s="82" t="s">
        <v>31</v>
      </c>
    </row>
    <row r="21" spans="1:6" ht="15.75" thickBot="1" x14ac:dyDescent="0.3">
      <c r="A21" s="83">
        <v>1</v>
      </c>
      <c r="B21" s="78">
        <v>2</v>
      </c>
      <c r="C21" s="78">
        <v>3</v>
      </c>
      <c r="D21" s="78">
        <v>4</v>
      </c>
      <c r="E21" s="78">
        <v>5</v>
      </c>
      <c r="F21" s="84">
        <v>6</v>
      </c>
    </row>
    <row r="22" spans="1:6" ht="15.75" thickTop="1" x14ac:dyDescent="0.25">
      <c r="A22" s="85">
        <v>1</v>
      </c>
      <c r="B22" s="7" t="s">
        <v>18</v>
      </c>
      <c r="C22" s="89">
        <v>0</v>
      </c>
      <c r="D22" s="89">
        <v>0</v>
      </c>
      <c r="E22" s="89">
        <v>0</v>
      </c>
      <c r="F22" s="412">
        <v>0</v>
      </c>
    </row>
    <row r="23" spans="1:6" x14ac:dyDescent="0.25">
      <c r="A23" s="86">
        <v>2</v>
      </c>
      <c r="B23" s="12" t="s">
        <v>19</v>
      </c>
      <c r="C23" s="90">
        <v>0</v>
      </c>
      <c r="D23" s="90">
        <v>0</v>
      </c>
      <c r="E23" s="90">
        <v>0</v>
      </c>
      <c r="F23" s="154">
        <v>0</v>
      </c>
    </row>
    <row r="24" spans="1:6" x14ac:dyDescent="0.25">
      <c r="A24" s="86">
        <v>3</v>
      </c>
      <c r="B24" s="7" t="s">
        <v>20</v>
      </c>
      <c r="C24" s="90">
        <f>'okt-mar'!Q81</f>
        <v>25</v>
      </c>
      <c r="D24" s="90">
        <f>'padi ladang'!O44</f>
        <v>25</v>
      </c>
      <c r="E24" s="90">
        <f>'padi ladang'!O77</f>
        <v>76</v>
      </c>
      <c r="F24" s="154">
        <f>'padi ladang'!O110</f>
        <v>30.4</v>
      </c>
    </row>
    <row r="25" spans="1:6" x14ac:dyDescent="0.25">
      <c r="A25" s="87">
        <v>4</v>
      </c>
      <c r="B25" s="15" t="s">
        <v>21</v>
      </c>
      <c r="C25" s="90">
        <v>0</v>
      </c>
      <c r="D25" s="90">
        <v>0</v>
      </c>
      <c r="E25" s="90">
        <v>0</v>
      </c>
      <c r="F25" s="154">
        <v>0</v>
      </c>
    </row>
    <row r="26" spans="1:6" x14ac:dyDescent="0.25">
      <c r="A26" s="87">
        <v>5</v>
      </c>
      <c r="B26" s="19" t="s">
        <v>22</v>
      </c>
      <c r="C26" s="90">
        <v>0</v>
      </c>
      <c r="D26" s="90">
        <v>0</v>
      </c>
      <c r="E26" s="90">
        <v>0</v>
      </c>
      <c r="F26" s="154">
        <v>0</v>
      </c>
    </row>
    <row r="27" spans="1:6" x14ac:dyDescent="0.25">
      <c r="A27" s="87">
        <v>6</v>
      </c>
      <c r="B27" s="19" t="s">
        <v>23</v>
      </c>
      <c r="C27" s="90">
        <v>0</v>
      </c>
      <c r="D27" s="90">
        <v>0</v>
      </c>
      <c r="E27" s="90">
        <v>0</v>
      </c>
      <c r="F27" s="154">
        <v>0</v>
      </c>
    </row>
    <row r="28" spans="1:6" x14ac:dyDescent="0.25">
      <c r="A28" s="87">
        <v>7</v>
      </c>
      <c r="B28" s="19" t="s">
        <v>24</v>
      </c>
      <c r="C28" s="90">
        <v>0</v>
      </c>
      <c r="D28" s="90">
        <v>0</v>
      </c>
      <c r="E28" s="90">
        <v>0</v>
      </c>
      <c r="F28" s="154">
        <v>0</v>
      </c>
    </row>
    <row r="29" spans="1:6" ht="15.75" thickBot="1" x14ac:dyDescent="0.3">
      <c r="A29" s="88">
        <v>8</v>
      </c>
      <c r="B29" s="15" t="s">
        <v>25</v>
      </c>
      <c r="C29" s="91">
        <v>0</v>
      </c>
      <c r="D29" s="91">
        <v>0</v>
      </c>
      <c r="E29" s="91">
        <v>0</v>
      </c>
      <c r="F29" s="413">
        <v>0</v>
      </c>
    </row>
    <row r="30" spans="1:6" ht="16.5" thickTop="1" thickBot="1" x14ac:dyDescent="0.3">
      <c r="A30" s="438" t="s">
        <v>26</v>
      </c>
      <c r="B30" s="439"/>
      <c r="C30" s="92">
        <f>SUM(C22:C29)</f>
        <v>25</v>
      </c>
      <c r="D30" s="92">
        <f t="shared" ref="D30" si="1">SUM(D22:D29)</f>
        <v>25</v>
      </c>
      <c r="E30" s="92">
        <f t="shared" ref="E30" si="2">SUM(E22:E29)</f>
        <v>76</v>
      </c>
      <c r="F30" s="96">
        <f>E30/D30*10</f>
        <v>30.4</v>
      </c>
    </row>
    <row r="32" spans="1:6" ht="15.75" thickBot="1" x14ac:dyDescent="0.3">
      <c r="A32" s="77" t="s">
        <v>68</v>
      </c>
    </row>
    <row r="33" spans="1:9" x14ac:dyDescent="0.25">
      <c r="A33" s="440" t="s">
        <v>2</v>
      </c>
      <c r="B33" s="442" t="s">
        <v>3</v>
      </c>
      <c r="C33" s="79" t="s">
        <v>63</v>
      </c>
      <c r="D33" s="79" t="s">
        <v>64</v>
      </c>
      <c r="E33" s="79" t="s">
        <v>65</v>
      </c>
      <c r="F33" s="80" t="s">
        <v>62</v>
      </c>
    </row>
    <row r="34" spans="1:9" x14ac:dyDescent="0.25">
      <c r="A34" s="441"/>
      <c r="B34" s="426"/>
      <c r="C34" s="81" t="s">
        <v>1</v>
      </c>
      <c r="D34" s="81" t="s">
        <v>1</v>
      </c>
      <c r="E34" s="81" t="s">
        <v>204</v>
      </c>
      <c r="F34" s="82" t="s">
        <v>31</v>
      </c>
    </row>
    <row r="35" spans="1:9" ht="15.75" thickBot="1" x14ac:dyDescent="0.3">
      <c r="A35" s="83">
        <v>1</v>
      </c>
      <c r="B35" s="78">
        <v>2</v>
      </c>
      <c r="C35" s="78">
        <v>3</v>
      </c>
      <c r="D35" s="78">
        <v>4</v>
      </c>
      <c r="E35" s="78">
        <v>5</v>
      </c>
      <c r="F35" s="84">
        <v>6</v>
      </c>
    </row>
    <row r="36" spans="1:9" ht="15.75" thickTop="1" x14ac:dyDescent="0.25">
      <c r="A36" s="85">
        <v>1</v>
      </c>
      <c r="B36" s="7" t="s">
        <v>18</v>
      </c>
      <c r="C36" s="89">
        <f>'okt-mar'!Q223</f>
        <v>5</v>
      </c>
      <c r="D36" s="97" t="s">
        <v>77</v>
      </c>
      <c r="E36" s="89">
        <f>jagung!O75</f>
        <v>0</v>
      </c>
      <c r="F36" s="412">
        <v>0</v>
      </c>
      <c r="I36" t="s">
        <v>200</v>
      </c>
    </row>
    <row r="37" spans="1:9" x14ac:dyDescent="0.25">
      <c r="A37" s="86">
        <v>2</v>
      </c>
      <c r="B37" s="12" t="s">
        <v>19</v>
      </c>
      <c r="C37" s="90">
        <f>'okt-mar'!Q224</f>
        <v>2</v>
      </c>
      <c r="D37" s="414" t="s">
        <v>201</v>
      </c>
      <c r="E37" s="90">
        <f>jagung!O76</f>
        <v>0</v>
      </c>
      <c r="F37" s="154">
        <v>0</v>
      </c>
      <c r="I37" t="s">
        <v>200</v>
      </c>
    </row>
    <row r="38" spans="1:9" x14ac:dyDescent="0.25">
      <c r="A38" s="86">
        <v>3</v>
      </c>
      <c r="B38" s="7" t="s">
        <v>20</v>
      </c>
      <c r="C38" s="90">
        <f>'okt-mar'!Q225</f>
        <v>9</v>
      </c>
      <c r="D38" s="414">
        <f>jagung!Q44</f>
        <v>9</v>
      </c>
      <c r="E38" s="90">
        <f>jagung!O77</f>
        <v>25</v>
      </c>
      <c r="F38" s="154">
        <f>jagung!O110</f>
        <v>27.777777777777779</v>
      </c>
    </row>
    <row r="39" spans="1:9" x14ac:dyDescent="0.25">
      <c r="A39" s="87">
        <v>4</v>
      </c>
      <c r="B39" s="15" t="s">
        <v>21</v>
      </c>
      <c r="C39" s="90">
        <f>'okt-mar'!Q226</f>
        <v>5</v>
      </c>
      <c r="D39" s="414">
        <f>jagung!Q45</f>
        <v>4</v>
      </c>
      <c r="E39" s="90">
        <f>jagung!O78</f>
        <v>9</v>
      </c>
      <c r="F39" s="154">
        <f>jagung!O111</f>
        <v>22.5</v>
      </c>
    </row>
    <row r="40" spans="1:9" x14ac:dyDescent="0.25">
      <c r="A40" s="87">
        <v>5</v>
      </c>
      <c r="B40" s="19" t="s">
        <v>22</v>
      </c>
      <c r="C40" s="90">
        <f>'okt-mar'!Q227</f>
        <v>2</v>
      </c>
      <c r="D40" s="414">
        <f>jagung!Q46</f>
        <v>3</v>
      </c>
      <c r="E40" s="90">
        <f>jagung!O79</f>
        <v>7</v>
      </c>
      <c r="F40" s="154">
        <f>jagung!O112</f>
        <v>23.333333333333336</v>
      </c>
    </row>
    <row r="41" spans="1:9" x14ac:dyDescent="0.25">
      <c r="A41" s="87">
        <v>6</v>
      </c>
      <c r="B41" s="19" t="s">
        <v>23</v>
      </c>
      <c r="C41" s="90">
        <f>'okt-mar'!Q228</f>
        <v>0</v>
      </c>
      <c r="D41" s="414">
        <f>jagung!Q47</f>
        <v>0</v>
      </c>
      <c r="E41" s="90">
        <f>jagung!O80</f>
        <v>0</v>
      </c>
      <c r="F41" s="154">
        <v>0</v>
      </c>
    </row>
    <row r="42" spans="1:9" x14ac:dyDescent="0.25">
      <c r="A42" s="87">
        <v>7</v>
      </c>
      <c r="B42" s="19" t="s">
        <v>24</v>
      </c>
      <c r="C42" s="90">
        <f>'okt-mar'!Q229</f>
        <v>0</v>
      </c>
      <c r="D42" s="414">
        <f>jagung!Q48</f>
        <v>0</v>
      </c>
      <c r="E42" s="90">
        <f>jagung!O81</f>
        <v>0</v>
      </c>
      <c r="F42" s="154">
        <v>0</v>
      </c>
    </row>
    <row r="43" spans="1:9" ht="15.75" thickBot="1" x14ac:dyDescent="0.3">
      <c r="A43" s="88">
        <v>8</v>
      </c>
      <c r="B43" s="15" t="s">
        <v>25</v>
      </c>
      <c r="C43" s="91">
        <f>'okt-mar'!Q230</f>
        <v>3</v>
      </c>
      <c r="D43" s="415">
        <f>jagung!Q49</f>
        <v>3</v>
      </c>
      <c r="E43" s="91">
        <f>jagung!O82</f>
        <v>6</v>
      </c>
      <c r="F43" s="413">
        <f>jagung!O115</f>
        <v>30</v>
      </c>
      <c r="I43" t="s">
        <v>200</v>
      </c>
    </row>
    <row r="44" spans="1:9" ht="16.5" thickTop="1" thickBot="1" x14ac:dyDescent="0.3">
      <c r="A44" s="438" t="s">
        <v>26</v>
      </c>
      <c r="B44" s="439"/>
      <c r="C44" s="92">
        <f>SUM(C36:C43)</f>
        <v>26</v>
      </c>
      <c r="D44" s="92">
        <v>26</v>
      </c>
      <c r="E44" s="92">
        <f t="shared" ref="E44" si="3">SUM(E36:E43)</f>
        <v>47</v>
      </c>
      <c r="F44" s="96">
        <f>E44/18*10</f>
        <v>26.111111111111111</v>
      </c>
      <c r="I44" s="416">
        <v>26.111111111111111</v>
      </c>
    </row>
    <row r="45" spans="1:9" x14ac:dyDescent="0.25">
      <c r="A45" s="104" t="s">
        <v>202</v>
      </c>
      <c r="C45" s="102"/>
      <c r="D45" s="102"/>
      <c r="E45" s="102"/>
      <c r="F45" s="103"/>
    </row>
    <row r="46" spans="1:9" x14ac:dyDescent="0.25">
      <c r="A46" s="101"/>
      <c r="B46" s="101"/>
      <c r="C46" s="102"/>
      <c r="D46" s="102"/>
      <c r="E46" s="102"/>
      <c r="F46" s="103"/>
    </row>
    <row r="47" spans="1:9" x14ac:dyDescent="0.25">
      <c r="A47" s="101"/>
      <c r="B47" s="101"/>
      <c r="C47" s="102"/>
      <c r="D47" s="102"/>
      <c r="E47" s="102"/>
      <c r="F47" s="103"/>
    </row>
    <row r="48" spans="1:9" x14ac:dyDescent="0.25">
      <c r="A48" s="101"/>
      <c r="B48" s="101"/>
      <c r="C48" s="102"/>
      <c r="D48" s="102"/>
      <c r="E48" s="102"/>
      <c r="F48" s="103"/>
    </row>
    <row r="49" spans="1:6" x14ac:dyDescent="0.25">
      <c r="A49" s="101"/>
      <c r="B49" s="101"/>
      <c r="C49" s="102"/>
      <c r="D49" s="102"/>
      <c r="E49" s="102"/>
      <c r="F49" s="103"/>
    </row>
    <row r="50" spans="1:6" x14ac:dyDescent="0.25">
      <c r="A50" s="101"/>
      <c r="B50" s="101"/>
      <c r="C50" s="102"/>
      <c r="D50" s="102"/>
      <c r="E50" s="102"/>
      <c r="F50" s="103"/>
    </row>
    <row r="51" spans="1:6" x14ac:dyDescent="0.25">
      <c r="A51" s="101"/>
      <c r="B51" s="101"/>
      <c r="C51" s="102"/>
      <c r="D51" s="102"/>
      <c r="E51" s="102"/>
      <c r="F51" s="103"/>
    </row>
    <row r="53" spans="1:6" ht="15.75" thickBot="1" x14ac:dyDescent="0.3">
      <c r="A53" s="77" t="s">
        <v>69</v>
      </c>
    </row>
    <row r="54" spans="1:6" x14ac:dyDescent="0.25">
      <c r="A54" s="440" t="s">
        <v>2</v>
      </c>
      <c r="B54" s="442" t="s">
        <v>3</v>
      </c>
      <c r="C54" s="79" t="s">
        <v>63</v>
      </c>
      <c r="D54" s="79" t="s">
        <v>64</v>
      </c>
      <c r="E54" s="79" t="s">
        <v>65</v>
      </c>
      <c r="F54" s="80" t="s">
        <v>62</v>
      </c>
    </row>
    <row r="55" spans="1:6" x14ac:dyDescent="0.25">
      <c r="A55" s="441"/>
      <c r="B55" s="426"/>
      <c r="C55" s="81" t="s">
        <v>1</v>
      </c>
      <c r="D55" s="81" t="s">
        <v>1</v>
      </c>
      <c r="E55" s="81" t="s">
        <v>29</v>
      </c>
      <c r="F55" s="82" t="s">
        <v>31</v>
      </c>
    </row>
    <row r="56" spans="1:6" ht="15.75" thickBot="1" x14ac:dyDescent="0.3">
      <c r="A56" s="83">
        <v>1</v>
      </c>
      <c r="B56" s="78">
        <v>2</v>
      </c>
      <c r="C56" s="78">
        <v>3</v>
      </c>
      <c r="D56" s="78">
        <v>4</v>
      </c>
      <c r="E56" s="78">
        <v>5</v>
      </c>
      <c r="F56" s="84">
        <v>6</v>
      </c>
    </row>
    <row r="57" spans="1:6" ht="15.75" thickTop="1" x14ac:dyDescent="0.25">
      <c r="A57" s="85">
        <v>1</v>
      </c>
      <c r="B57" s="7" t="s">
        <v>18</v>
      </c>
      <c r="C57" s="417">
        <f>'okt-mar'!Q294</f>
        <v>2</v>
      </c>
      <c r="D57" s="418">
        <f>kedelai!O42</f>
        <v>0</v>
      </c>
      <c r="E57" s="418">
        <f>kedelai!O75</f>
        <v>0</v>
      </c>
      <c r="F57" s="419">
        <f>kedelai!O108</f>
        <v>0</v>
      </c>
    </row>
    <row r="58" spans="1:6" x14ac:dyDescent="0.25">
      <c r="A58" s="86">
        <v>2</v>
      </c>
      <c r="B58" s="12" t="s">
        <v>19</v>
      </c>
      <c r="C58" s="90">
        <f>'okt-mar'!Q295</f>
        <v>22</v>
      </c>
      <c r="D58" s="414">
        <f>kedelai!O43</f>
        <v>0</v>
      </c>
      <c r="E58" s="414">
        <f>kedelai!O76</f>
        <v>0</v>
      </c>
      <c r="F58" s="420">
        <v>0</v>
      </c>
    </row>
    <row r="59" spans="1:6" x14ac:dyDescent="0.25">
      <c r="A59" s="86">
        <v>3</v>
      </c>
      <c r="B59" s="7" t="s">
        <v>20</v>
      </c>
      <c r="C59" s="90">
        <f>'okt-mar'!Q296</f>
        <v>10</v>
      </c>
      <c r="D59" s="414">
        <f>kedelai!O44</f>
        <v>10</v>
      </c>
      <c r="E59" s="414">
        <f>kedelai!O77</f>
        <v>9</v>
      </c>
      <c r="F59" s="420">
        <f>kedelai!O110</f>
        <v>9</v>
      </c>
    </row>
    <row r="60" spans="1:6" x14ac:dyDescent="0.25">
      <c r="A60" s="87">
        <v>4</v>
      </c>
      <c r="B60" s="15" t="s">
        <v>21</v>
      </c>
      <c r="C60" s="90">
        <f>'okt-mar'!Q297</f>
        <v>0</v>
      </c>
      <c r="D60" s="414">
        <f>kedelai!O45</f>
        <v>0</v>
      </c>
      <c r="E60" s="414">
        <f>kedelai!O78</f>
        <v>0</v>
      </c>
      <c r="F60" s="420">
        <f>kedelai!O111</f>
        <v>0</v>
      </c>
    </row>
    <row r="61" spans="1:6" x14ac:dyDescent="0.25">
      <c r="A61" s="87">
        <v>5</v>
      </c>
      <c r="B61" s="19" t="s">
        <v>22</v>
      </c>
      <c r="C61" s="90">
        <f>'okt-mar'!Q298</f>
        <v>12</v>
      </c>
      <c r="D61" s="414">
        <f>kedelai!O46</f>
        <v>16</v>
      </c>
      <c r="E61" s="414">
        <f>kedelai!O79</f>
        <v>16</v>
      </c>
      <c r="F61" s="420">
        <f>kedelai!O112</f>
        <v>10</v>
      </c>
    </row>
    <row r="62" spans="1:6" x14ac:dyDescent="0.25">
      <c r="A62" s="87">
        <v>6</v>
      </c>
      <c r="B62" s="19" t="s">
        <v>23</v>
      </c>
      <c r="C62" s="90">
        <f>'okt-mar'!Q299</f>
        <v>0</v>
      </c>
      <c r="D62" s="414">
        <f>kedelai!O47</f>
        <v>0</v>
      </c>
      <c r="E62" s="414">
        <f>kedelai!O80</f>
        <v>0</v>
      </c>
      <c r="F62" s="420">
        <f>kedelai!O113</f>
        <v>0</v>
      </c>
    </row>
    <row r="63" spans="1:6" x14ac:dyDescent="0.25">
      <c r="A63" s="87">
        <v>7</v>
      </c>
      <c r="B63" s="19" t="s">
        <v>24</v>
      </c>
      <c r="C63" s="90">
        <f>'okt-mar'!Q300</f>
        <v>0</v>
      </c>
      <c r="D63" s="414">
        <f>kedelai!O48</f>
        <v>0</v>
      </c>
      <c r="E63" s="414">
        <f>kedelai!O81</f>
        <v>0</v>
      </c>
      <c r="F63" s="420">
        <f>kedelai!O114</f>
        <v>0</v>
      </c>
    </row>
    <row r="64" spans="1:6" ht="15.75" thickBot="1" x14ac:dyDescent="0.3">
      <c r="A64" s="88">
        <v>8</v>
      </c>
      <c r="B64" s="15" t="s">
        <v>25</v>
      </c>
      <c r="C64" s="91">
        <f>'okt-mar'!Q301</f>
        <v>15</v>
      </c>
      <c r="D64" s="415">
        <f>kedelai!O49</f>
        <v>15</v>
      </c>
      <c r="E64" s="415">
        <f>kedelai!O82</f>
        <v>13</v>
      </c>
      <c r="F64" s="421">
        <f>kedelai!O115</f>
        <v>8.6666666666666679</v>
      </c>
    </row>
    <row r="65" spans="1:6" ht="16.5" thickTop="1" thickBot="1" x14ac:dyDescent="0.3">
      <c r="A65" s="438" t="s">
        <v>26</v>
      </c>
      <c r="B65" s="439"/>
      <c r="C65" s="92">
        <f>SUM(C57:C64)</f>
        <v>61</v>
      </c>
      <c r="D65" s="92">
        <f>SUM(D57:D64)</f>
        <v>41</v>
      </c>
      <c r="E65" s="92">
        <f t="shared" ref="E65" si="4">SUM(E57:E64)</f>
        <v>38</v>
      </c>
      <c r="F65" s="422">
        <f>kedelai!O116</f>
        <v>9.2682926829268304</v>
      </c>
    </row>
    <row r="67" spans="1:6" ht="15.75" thickBot="1" x14ac:dyDescent="0.3">
      <c r="A67" s="77" t="s">
        <v>70</v>
      </c>
    </row>
    <row r="68" spans="1:6" x14ac:dyDescent="0.25">
      <c r="A68" s="440" t="s">
        <v>2</v>
      </c>
      <c r="B68" s="442" t="s">
        <v>3</v>
      </c>
      <c r="C68" s="79" t="s">
        <v>63</v>
      </c>
      <c r="D68" s="79" t="s">
        <v>64</v>
      </c>
      <c r="E68" s="79" t="s">
        <v>65</v>
      </c>
      <c r="F68" s="80" t="s">
        <v>62</v>
      </c>
    </row>
    <row r="69" spans="1:6" x14ac:dyDescent="0.25">
      <c r="A69" s="441"/>
      <c r="B69" s="426"/>
      <c r="C69" s="81" t="s">
        <v>1</v>
      </c>
      <c r="D69" s="81" t="s">
        <v>1</v>
      </c>
      <c r="E69" s="81" t="s">
        <v>29</v>
      </c>
      <c r="F69" s="82" t="s">
        <v>31</v>
      </c>
    </row>
    <row r="70" spans="1:6" ht="15.75" thickBot="1" x14ac:dyDescent="0.3">
      <c r="A70" s="83">
        <v>1</v>
      </c>
      <c r="B70" s="78">
        <v>2</v>
      </c>
      <c r="C70" s="78">
        <v>3</v>
      </c>
      <c r="D70" s="78">
        <v>4</v>
      </c>
      <c r="E70" s="78">
        <v>5</v>
      </c>
      <c r="F70" s="84">
        <v>6</v>
      </c>
    </row>
    <row r="71" spans="1:6" ht="15.75" thickTop="1" x14ac:dyDescent="0.25">
      <c r="A71" s="85">
        <v>1</v>
      </c>
      <c r="B71" s="7" t="s">
        <v>18</v>
      </c>
      <c r="C71" s="89">
        <v>87</v>
      </c>
      <c r="D71" s="97">
        <v>85</v>
      </c>
      <c r="E71" s="97">
        <v>194</v>
      </c>
      <c r="F71" s="98">
        <v>22.823529411764703</v>
      </c>
    </row>
    <row r="72" spans="1:6" x14ac:dyDescent="0.25">
      <c r="A72" s="86">
        <v>2</v>
      </c>
      <c r="B72" s="12" t="s">
        <v>19</v>
      </c>
      <c r="C72" s="90">
        <v>224</v>
      </c>
      <c r="D72" s="90">
        <v>259</v>
      </c>
      <c r="E72" s="90">
        <v>667</v>
      </c>
      <c r="F72" s="99">
        <v>25.752895752895753</v>
      </c>
    </row>
    <row r="73" spans="1:6" x14ac:dyDescent="0.25">
      <c r="A73" s="86">
        <v>3</v>
      </c>
      <c r="B73" s="7" t="s">
        <v>20</v>
      </c>
      <c r="C73" s="90">
        <v>275</v>
      </c>
      <c r="D73" s="90">
        <v>700</v>
      </c>
      <c r="E73" s="90">
        <v>2337</v>
      </c>
      <c r="F73" s="99">
        <v>33.385714285714286</v>
      </c>
    </row>
    <row r="74" spans="1:6" x14ac:dyDescent="0.25">
      <c r="A74" s="87">
        <v>4</v>
      </c>
      <c r="B74" s="15" t="s">
        <v>21</v>
      </c>
      <c r="C74" s="90">
        <v>40</v>
      </c>
      <c r="D74" s="90">
        <v>109</v>
      </c>
      <c r="E74" s="90">
        <v>160</v>
      </c>
      <c r="F74" s="99">
        <v>14.678899082568808</v>
      </c>
    </row>
    <row r="75" spans="1:6" x14ac:dyDescent="0.25">
      <c r="A75" s="87">
        <v>5</v>
      </c>
      <c r="B75" s="19" t="s">
        <v>22</v>
      </c>
      <c r="C75" s="90">
        <v>111</v>
      </c>
      <c r="D75" s="90">
        <v>394</v>
      </c>
      <c r="E75" s="90">
        <v>1526</v>
      </c>
      <c r="F75" s="99">
        <v>38.730964467005073</v>
      </c>
    </row>
    <row r="76" spans="1:6" x14ac:dyDescent="0.25">
      <c r="A76" s="87">
        <v>6</v>
      </c>
      <c r="B76" s="19" t="s">
        <v>23</v>
      </c>
      <c r="C76" s="90">
        <v>101</v>
      </c>
      <c r="D76" s="90">
        <v>172</v>
      </c>
      <c r="E76" s="90">
        <v>296</v>
      </c>
      <c r="F76" s="99">
        <v>17.209302325581394</v>
      </c>
    </row>
    <row r="77" spans="1:6" x14ac:dyDescent="0.25">
      <c r="A77" s="87">
        <v>7</v>
      </c>
      <c r="B77" s="19" t="s">
        <v>24</v>
      </c>
      <c r="C77" s="90">
        <v>4</v>
      </c>
      <c r="D77" s="90">
        <v>4</v>
      </c>
      <c r="E77" s="90">
        <v>7</v>
      </c>
      <c r="F77" s="99">
        <v>17.5</v>
      </c>
    </row>
    <row r="78" spans="1:6" ht="15.75" thickBot="1" x14ac:dyDescent="0.3">
      <c r="A78" s="88">
        <v>8</v>
      </c>
      <c r="B78" s="15" t="s">
        <v>25</v>
      </c>
      <c r="C78" s="91">
        <v>367</v>
      </c>
      <c r="D78" s="91">
        <v>475</v>
      </c>
      <c r="E78" s="91">
        <v>1072</v>
      </c>
      <c r="F78" s="100">
        <v>22.568421052631578</v>
      </c>
    </row>
    <row r="79" spans="1:6" ht="16.5" thickTop="1" thickBot="1" x14ac:dyDescent="0.3">
      <c r="A79" s="438" t="s">
        <v>26</v>
      </c>
      <c r="B79" s="439"/>
      <c r="C79" s="92">
        <f>SUM(C71:C78)</f>
        <v>1209</v>
      </c>
      <c r="D79" s="92">
        <f>SUM(D71:D78)</f>
        <v>2198</v>
      </c>
      <c r="E79" s="92">
        <f t="shared" ref="E79" si="5">SUM(E71:E78)</f>
        <v>6259</v>
      </c>
      <c r="F79" s="96">
        <f>E79/D79*10</f>
        <v>28.475887170154689</v>
      </c>
    </row>
    <row r="81" spans="1:6" ht="15.75" thickBot="1" x14ac:dyDescent="0.3">
      <c r="A81" s="77" t="s">
        <v>71</v>
      </c>
    </row>
    <row r="82" spans="1:6" x14ac:dyDescent="0.25">
      <c r="A82" s="440" t="s">
        <v>2</v>
      </c>
      <c r="B82" s="442" t="s">
        <v>3</v>
      </c>
      <c r="C82" s="79" t="s">
        <v>63</v>
      </c>
      <c r="D82" s="79" t="s">
        <v>64</v>
      </c>
      <c r="E82" s="79" t="s">
        <v>65</v>
      </c>
      <c r="F82" s="80" t="s">
        <v>62</v>
      </c>
    </row>
    <row r="83" spans="1:6" x14ac:dyDescent="0.25">
      <c r="A83" s="441"/>
      <c r="B83" s="426"/>
      <c r="C83" s="81" t="s">
        <v>1</v>
      </c>
      <c r="D83" s="81" t="s">
        <v>1</v>
      </c>
      <c r="E83" s="81" t="s">
        <v>29</v>
      </c>
      <c r="F83" s="82" t="s">
        <v>31</v>
      </c>
    </row>
    <row r="84" spans="1:6" ht="15.75" thickBot="1" x14ac:dyDescent="0.3">
      <c r="A84" s="83">
        <v>1</v>
      </c>
      <c r="B84" s="78">
        <v>2</v>
      </c>
      <c r="C84" s="78">
        <v>3</v>
      </c>
      <c r="D84" s="78">
        <v>4</v>
      </c>
      <c r="E84" s="78">
        <v>5</v>
      </c>
      <c r="F84" s="84">
        <v>6</v>
      </c>
    </row>
    <row r="85" spans="1:6" ht="15.75" thickTop="1" x14ac:dyDescent="0.25">
      <c r="A85" s="85">
        <v>1</v>
      </c>
      <c r="B85" s="7" t="s">
        <v>18</v>
      </c>
      <c r="C85" s="89">
        <v>16</v>
      </c>
      <c r="D85" s="97">
        <v>12</v>
      </c>
      <c r="E85" s="97">
        <v>126</v>
      </c>
      <c r="F85" s="98">
        <v>105</v>
      </c>
    </row>
    <row r="86" spans="1:6" x14ac:dyDescent="0.25">
      <c r="A86" s="86">
        <v>2</v>
      </c>
      <c r="B86" s="12" t="s">
        <v>19</v>
      </c>
      <c r="C86" s="90">
        <v>0</v>
      </c>
      <c r="D86" s="90">
        <v>0</v>
      </c>
      <c r="E86" s="90">
        <v>0</v>
      </c>
      <c r="F86" s="99">
        <v>0</v>
      </c>
    </row>
    <row r="87" spans="1:6" x14ac:dyDescent="0.25">
      <c r="A87" s="86">
        <v>3</v>
      </c>
      <c r="B87" s="7" t="s">
        <v>20</v>
      </c>
      <c r="C87" s="90">
        <v>5</v>
      </c>
      <c r="D87" s="90">
        <v>0</v>
      </c>
      <c r="E87" s="90">
        <v>0</v>
      </c>
      <c r="F87" s="99">
        <v>0</v>
      </c>
    </row>
    <row r="88" spans="1:6" x14ac:dyDescent="0.25">
      <c r="A88" s="87">
        <v>4</v>
      </c>
      <c r="B88" s="15" t="s">
        <v>21</v>
      </c>
      <c r="C88" s="90">
        <v>8</v>
      </c>
      <c r="D88" s="90">
        <v>5</v>
      </c>
      <c r="E88" s="90">
        <v>35</v>
      </c>
      <c r="F88" s="99">
        <v>70</v>
      </c>
    </row>
    <row r="89" spans="1:6" x14ac:dyDescent="0.25">
      <c r="A89" s="87">
        <v>5</v>
      </c>
      <c r="B89" s="19" t="s">
        <v>22</v>
      </c>
      <c r="C89" s="90">
        <v>2</v>
      </c>
      <c r="D89" s="90">
        <v>0</v>
      </c>
      <c r="E89" s="90">
        <v>0</v>
      </c>
      <c r="F89" s="99">
        <v>0</v>
      </c>
    </row>
    <row r="90" spans="1:6" x14ac:dyDescent="0.25">
      <c r="A90" s="87">
        <v>6</v>
      </c>
      <c r="B90" s="19" t="s">
        <v>23</v>
      </c>
      <c r="C90" s="90">
        <v>3</v>
      </c>
      <c r="D90" s="90">
        <v>0</v>
      </c>
      <c r="E90" s="90">
        <v>0</v>
      </c>
      <c r="F90" s="99">
        <v>0</v>
      </c>
    </row>
    <row r="91" spans="1:6" x14ac:dyDescent="0.25">
      <c r="A91" s="87">
        <v>7</v>
      </c>
      <c r="B91" s="19" t="s">
        <v>24</v>
      </c>
      <c r="C91" s="90">
        <v>1</v>
      </c>
      <c r="D91" s="90">
        <v>3</v>
      </c>
      <c r="E91" s="90">
        <v>22</v>
      </c>
      <c r="F91" s="99">
        <v>73.333333333333329</v>
      </c>
    </row>
    <row r="92" spans="1:6" ht="15.75" thickBot="1" x14ac:dyDescent="0.3">
      <c r="A92" s="88">
        <v>8</v>
      </c>
      <c r="B92" s="15" t="s">
        <v>25</v>
      </c>
      <c r="C92" s="91">
        <v>0</v>
      </c>
      <c r="D92" s="91">
        <v>0</v>
      </c>
      <c r="E92" s="91">
        <v>0</v>
      </c>
      <c r="F92" s="100">
        <v>0</v>
      </c>
    </row>
    <row r="93" spans="1:6" ht="16.5" thickTop="1" thickBot="1" x14ac:dyDescent="0.3">
      <c r="A93" s="438" t="s">
        <v>26</v>
      </c>
      <c r="B93" s="439"/>
      <c r="C93" s="92">
        <f>SUM(C85:C92)</f>
        <v>35</v>
      </c>
      <c r="D93" s="92">
        <f>SUM(D85:D92)</f>
        <v>20</v>
      </c>
      <c r="E93" s="92">
        <f t="shared" ref="E93" si="6">SUM(E85:E92)</f>
        <v>183</v>
      </c>
      <c r="F93" s="96">
        <f>E93/D93*10</f>
        <v>91.5</v>
      </c>
    </row>
    <row r="104" spans="1:6" ht="15.75" thickBot="1" x14ac:dyDescent="0.3">
      <c r="A104" s="77" t="s">
        <v>72</v>
      </c>
    </row>
    <row r="105" spans="1:6" x14ac:dyDescent="0.25">
      <c r="A105" s="440" t="s">
        <v>2</v>
      </c>
      <c r="B105" s="442" t="s">
        <v>3</v>
      </c>
      <c r="C105" s="79" t="s">
        <v>63</v>
      </c>
      <c r="D105" s="79" t="s">
        <v>64</v>
      </c>
      <c r="E105" s="79" t="s">
        <v>65</v>
      </c>
      <c r="F105" s="80" t="s">
        <v>62</v>
      </c>
    </row>
    <row r="106" spans="1:6" x14ac:dyDescent="0.25">
      <c r="A106" s="441"/>
      <c r="B106" s="426"/>
      <c r="C106" s="81" t="s">
        <v>1</v>
      </c>
      <c r="D106" s="81" t="s">
        <v>1</v>
      </c>
      <c r="E106" s="81" t="s">
        <v>29</v>
      </c>
      <c r="F106" s="82" t="s">
        <v>31</v>
      </c>
    </row>
    <row r="107" spans="1:6" ht="15.75" thickBot="1" x14ac:dyDescent="0.3">
      <c r="A107" s="83">
        <v>1</v>
      </c>
      <c r="B107" s="78">
        <v>2</v>
      </c>
      <c r="C107" s="78">
        <v>3</v>
      </c>
      <c r="D107" s="78">
        <v>4</v>
      </c>
      <c r="E107" s="78">
        <v>5</v>
      </c>
      <c r="F107" s="84">
        <v>6</v>
      </c>
    </row>
    <row r="108" spans="1:6" ht="15.75" thickTop="1" x14ac:dyDescent="0.25">
      <c r="A108" s="85">
        <v>1</v>
      </c>
      <c r="B108" s="7" t="s">
        <v>18</v>
      </c>
      <c r="C108" s="89">
        <v>0</v>
      </c>
      <c r="D108" s="97">
        <v>5</v>
      </c>
      <c r="E108" s="97">
        <v>27</v>
      </c>
      <c r="F108" s="98">
        <v>54</v>
      </c>
    </row>
    <row r="109" spans="1:6" x14ac:dyDescent="0.25">
      <c r="A109" s="86">
        <v>2</v>
      </c>
      <c r="B109" s="12" t="s">
        <v>19</v>
      </c>
      <c r="C109" s="90">
        <v>1</v>
      </c>
      <c r="D109" s="90">
        <v>0</v>
      </c>
      <c r="E109" s="90">
        <v>0</v>
      </c>
      <c r="F109" s="99">
        <v>0</v>
      </c>
    </row>
    <row r="110" spans="1:6" x14ac:dyDescent="0.25">
      <c r="A110" s="86">
        <v>3</v>
      </c>
      <c r="B110" s="7" t="s">
        <v>20</v>
      </c>
      <c r="C110" s="90">
        <v>0</v>
      </c>
      <c r="D110" s="90">
        <v>0</v>
      </c>
      <c r="E110" s="90">
        <v>0</v>
      </c>
      <c r="F110" s="99">
        <v>0</v>
      </c>
    </row>
    <row r="111" spans="1:6" x14ac:dyDescent="0.25">
      <c r="A111" s="87">
        <v>4</v>
      </c>
      <c r="B111" s="15" t="s">
        <v>21</v>
      </c>
      <c r="C111" s="90">
        <v>4</v>
      </c>
      <c r="D111" s="90">
        <v>3</v>
      </c>
      <c r="E111" s="90">
        <v>32</v>
      </c>
      <c r="F111" s="99">
        <v>106.66666666666666</v>
      </c>
    </row>
    <row r="112" spans="1:6" x14ac:dyDescent="0.25">
      <c r="A112" s="87">
        <v>5</v>
      </c>
      <c r="B112" s="19" t="s">
        <v>22</v>
      </c>
      <c r="C112" s="90">
        <v>1</v>
      </c>
      <c r="D112" s="90">
        <v>4</v>
      </c>
      <c r="E112" s="90">
        <v>40</v>
      </c>
      <c r="F112" s="99">
        <v>100</v>
      </c>
    </row>
    <row r="113" spans="1:6" x14ac:dyDescent="0.25">
      <c r="A113" s="87">
        <v>6</v>
      </c>
      <c r="B113" s="19" t="s">
        <v>23</v>
      </c>
      <c r="C113" s="90">
        <v>0</v>
      </c>
      <c r="D113" s="90">
        <v>0</v>
      </c>
      <c r="E113" s="90">
        <v>0</v>
      </c>
      <c r="F113" s="99">
        <v>0</v>
      </c>
    </row>
    <row r="114" spans="1:6" x14ac:dyDescent="0.25">
      <c r="A114" s="87">
        <v>7</v>
      </c>
      <c r="B114" s="19" t="s">
        <v>24</v>
      </c>
      <c r="C114" s="90">
        <v>1</v>
      </c>
      <c r="D114" s="90">
        <v>1</v>
      </c>
      <c r="E114" s="90">
        <v>12</v>
      </c>
      <c r="F114" s="99">
        <v>120</v>
      </c>
    </row>
    <row r="115" spans="1:6" ht="15.75" thickBot="1" x14ac:dyDescent="0.3">
      <c r="A115" s="88">
        <v>8</v>
      </c>
      <c r="B115" s="15" t="s">
        <v>25</v>
      </c>
      <c r="C115" s="91">
        <v>1</v>
      </c>
      <c r="D115" s="91">
        <v>1</v>
      </c>
      <c r="E115" s="91">
        <v>21</v>
      </c>
      <c r="F115" s="100">
        <v>210</v>
      </c>
    </row>
    <row r="116" spans="1:6" ht="16.5" thickTop="1" thickBot="1" x14ac:dyDescent="0.3">
      <c r="A116" s="438" t="s">
        <v>26</v>
      </c>
      <c r="B116" s="439"/>
      <c r="C116" s="92">
        <f>SUM(C108:C115)</f>
        <v>8</v>
      </c>
      <c r="D116" s="92">
        <f>SUM(D108:D115)</f>
        <v>14</v>
      </c>
      <c r="E116" s="92">
        <f t="shared" ref="E116" si="7">SUM(E108:E115)</f>
        <v>132</v>
      </c>
      <c r="F116" s="96">
        <f>E116/D116*10</f>
        <v>94.285714285714292</v>
      </c>
    </row>
    <row r="118" spans="1:6" ht="15.75" thickBot="1" x14ac:dyDescent="0.3">
      <c r="A118" s="77" t="s">
        <v>73</v>
      </c>
    </row>
    <row r="119" spans="1:6" x14ac:dyDescent="0.25">
      <c r="A119" s="440" t="s">
        <v>2</v>
      </c>
      <c r="B119" s="442" t="s">
        <v>3</v>
      </c>
      <c r="C119" s="79" t="s">
        <v>63</v>
      </c>
      <c r="D119" s="79" t="s">
        <v>64</v>
      </c>
      <c r="E119" s="79" t="s">
        <v>65</v>
      </c>
      <c r="F119" s="80" t="s">
        <v>62</v>
      </c>
    </row>
    <row r="120" spans="1:6" x14ac:dyDescent="0.25">
      <c r="A120" s="441"/>
      <c r="B120" s="426"/>
      <c r="C120" s="81" t="s">
        <v>1</v>
      </c>
      <c r="D120" s="81" t="s">
        <v>1</v>
      </c>
      <c r="E120" s="81" t="s">
        <v>29</v>
      </c>
      <c r="F120" s="82" t="s">
        <v>31</v>
      </c>
    </row>
    <row r="121" spans="1:6" ht="15.75" thickBot="1" x14ac:dyDescent="0.3">
      <c r="A121" s="83">
        <v>1</v>
      </c>
      <c r="B121" s="78">
        <v>2</v>
      </c>
      <c r="C121" s="78">
        <v>3</v>
      </c>
      <c r="D121" s="78">
        <v>4</v>
      </c>
      <c r="E121" s="78">
        <v>5</v>
      </c>
      <c r="F121" s="84">
        <v>6</v>
      </c>
    </row>
    <row r="122" spans="1:6" ht="15.75" thickTop="1" x14ac:dyDescent="0.25">
      <c r="A122" s="85">
        <v>1</v>
      </c>
      <c r="B122" s="7" t="s">
        <v>18</v>
      </c>
      <c r="C122" s="89">
        <v>7</v>
      </c>
      <c r="D122" s="97">
        <v>14</v>
      </c>
      <c r="E122" s="97">
        <v>19</v>
      </c>
      <c r="F122" s="98">
        <v>13.571428571428573</v>
      </c>
    </row>
    <row r="123" spans="1:6" x14ac:dyDescent="0.25">
      <c r="A123" s="86">
        <v>2</v>
      </c>
      <c r="B123" s="12" t="s">
        <v>19</v>
      </c>
      <c r="C123" s="90">
        <v>1</v>
      </c>
      <c r="D123" s="90">
        <v>0</v>
      </c>
      <c r="E123" s="90">
        <v>0</v>
      </c>
      <c r="F123" s="99">
        <v>0</v>
      </c>
    </row>
    <row r="124" spans="1:6" x14ac:dyDescent="0.25">
      <c r="A124" s="86">
        <v>3</v>
      </c>
      <c r="B124" s="7" t="s">
        <v>20</v>
      </c>
      <c r="C124" s="90">
        <v>6</v>
      </c>
      <c r="D124" s="90">
        <v>0</v>
      </c>
      <c r="E124" s="90">
        <v>0</v>
      </c>
      <c r="F124" s="99">
        <v>0</v>
      </c>
    </row>
    <row r="125" spans="1:6" x14ac:dyDescent="0.25">
      <c r="A125" s="87">
        <v>4</v>
      </c>
      <c r="B125" s="15" t="s">
        <v>21</v>
      </c>
      <c r="C125" s="90">
        <v>3</v>
      </c>
      <c r="D125" s="90">
        <v>1</v>
      </c>
      <c r="E125" s="90">
        <v>1</v>
      </c>
      <c r="F125" s="99">
        <v>10</v>
      </c>
    </row>
    <row r="126" spans="1:6" x14ac:dyDescent="0.25">
      <c r="A126" s="87">
        <v>5</v>
      </c>
      <c r="B126" s="19" t="s">
        <v>22</v>
      </c>
      <c r="C126" s="90">
        <v>10</v>
      </c>
      <c r="D126" s="90">
        <v>0</v>
      </c>
      <c r="E126" s="90">
        <v>0</v>
      </c>
      <c r="F126" s="99">
        <v>0</v>
      </c>
    </row>
    <row r="127" spans="1:6" x14ac:dyDescent="0.25">
      <c r="A127" s="87">
        <v>6</v>
      </c>
      <c r="B127" s="19" t="s">
        <v>23</v>
      </c>
      <c r="C127" s="90">
        <v>0</v>
      </c>
      <c r="D127" s="90">
        <v>0</v>
      </c>
      <c r="E127" s="90">
        <v>0</v>
      </c>
      <c r="F127" s="99">
        <v>0</v>
      </c>
    </row>
    <row r="128" spans="1:6" x14ac:dyDescent="0.25">
      <c r="A128" s="87">
        <v>7</v>
      </c>
      <c r="B128" s="19" t="s">
        <v>24</v>
      </c>
      <c r="C128" s="90">
        <v>0</v>
      </c>
      <c r="D128" s="90">
        <v>0</v>
      </c>
      <c r="E128" s="90">
        <v>0</v>
      </c>
      <c r="F128" s="99">
        <v>0</v>
      </c>
    </row>
    <row r="129" spans="1:6" ht="15.75" thickBot="1" x14ac:dyDescent="0.3">
      <c r="A129" s="88">
        <v>8</v>
      </c>
      <c r="B129" s="15" t="s">
        <v>25</v>
      </c>
      <c r="C129" s="91">
        <v>2</v>
      </c>
      <c r="D129" s="91">
        <v>3</v>
      </c>
      <c r="E129" s="91">
        <v>3</v>
      </c>
      <c r="F129" s="100">
        <v>10</v>
      </c>
    </row>
    <row r="130" spans="1:6" ht="16.5" thickTop="1" thickBot="1" x14ac:dyDescent="0.3">
      <c r="A130" s="438" t="s">
        <v>26</v>
      </c>
      <c r="B130" s="439"/>
      <c r="C130" s="92">
        <f>SUM(C122:C129)</f>
        <v>29</v>
      </c>
      <c r="D130" s="92">
        <f>SUM(D122:D129)</f>
        <v>18</v>
      </c>
      <c r="E130" s="92">
        <f t="shared" ref="E130" si="8">SUM(E122:E129)</f>
        <v>23</v>
      </c>
      <c r="F130" s="96">
        <f>E130/D130*10</f>
        <v>12.777777777777777</v>
      </c>
    </row>
  </sheetData>
  <mergeCells count="24">
    <mergeCell ref="A130:B130"/>
    <mergeCell ref="A68:A69"/>
    <mergeCell ref="B68:B69"/>
    <mergeCell ref="A79:B79"/>
    <mergeCell ref="A82:A83"/>
    <mergeCell ref="B82:B83"/>
    <mergeCell ref="A93:B93"/>
    <mergeCell ref="A105:A106"/>
    <mergeCell ref="B105:B106"/>
    <mergeCell ref="A116:B116"/>
    <mergeCell ref="A119:A120"/>
    <mergeCell ref="B119:B120"/>
    <mergeCell ref="A65:B65"/>
    <mergeCell ref="A5:A6"/>
    <mergeCell ref="B5:B6"/>
    <mergeCell ref="A16:B16"/>
    <mergeCell ref="A19:A20"/>
    <mergeCell ref="B19:B20"/>
    <mergeCell ref="A30:B30"/>
    <mergeCell ref="A33:A34"/>
    <mergeCell ref="B33:B34"/>
    <mergeCell ref="A44:B44"/>
    <mergeCell ref="A54:A55"/>
    <mergeCell ref="B54:B55"/>
  </mergeCells>
  <pageMargins left="1.04" right="0.51181102362204722" top="0.65" bottom="0.59055118110236227" header="0.31496062992125984" footer="0.31496062992125984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48"/>
  <sheetViews>
    <sheetView topLeftCell="A151" zoomScale="90" zoomScaleNormal="90" workbookViewId="0">
      <selection activeCell="A422" sqref="A422:Q452"/>
    </sheetView>
  </sheetViews>
  <sheetFormatPr defaultRowHeight="15" x14ac:dyDescent="0.25"/>
  <cols>
    <col min="1" max="1" width="4.28515625" customWidth="1"/>
    <col min="2" max="2" width="14.140625" customWidth="1"/>
    <col min="3" max="8" width="7.85546875" customWidth="1"/>
    <col min="9" max="9" width="8.5703125" customWidth="1"/>
    <col min="10" max="15" width="7.85546875" customWidth="1"/>
    <col min="16" max="17" width="8.5703125" customWidth="1"/>
  </cols>
  <sheetData>
    <row r="1" spans="1:34" ht="15.75" x14ac:dyDescent="0.25">
      <c r="A1" s="445" t="s">
        <v>153</v>
      </c>
      <c r="B1" s="445"/>
      <c r="C1" s="445"/>
      <c r="D1" s="445"/>
      <c r="E1" s="445"/>
      <c r="F1" s="445"/>
      <c r="G1" s="445"/>
      <c r="H1" s="445"/>
      <c r="I1" s="445"/>
      <c r="J1" s="445"/>
      <c r="K1" s="445"/>
      <c r="L1" s="445"/>
      <c r="M1" s="445"/>
      <c r="N1" s="445"/>
      <c r="O1" s="445"/>
      <c r="P1" s="445"/>
      <c r="Q1" s="445"/>
      <c r="T1" s="445" t="s">
        <v>88</v>
      </c>
      <c r="U1" s="445"/>
      <c r="V1" s="445"/>
      <c r="W1" s="445"/>
      <c r="X1" s="445"/>
      <c r="Y1" s="445"/>
      <c r="Z1" s="445"/>
      <c r="AA1" s="445"/>
      <c r="AB1" s="445"/>
      <c r="AC1" s="445"/>
      <c r="AD1" s="445"/>
      <c r="AE1" s="445"/>
      <c r="AF1" s="445"/>
      <c r="AG1" s="445"/>
      <c r="AH1" s="445"/>
    </row>
    <row r="2" spans="1:34" ht="15.75" x14ac:dyDescent="0.25">
      <c r="A2" s="445" t="s">
        <v>83</v>
      </c>
      <c r="B2" s="445"/>
      <c r="C2" s="445"/>
      <c r="D2" s="445"/>
      <c r="E2" s="445"/>
      <c r="F2" s="445"/>
      <c r="G2" s="445"/>
      <c r="H2" s="445"/>
      <c r="I2" s="445"/>
      <c r="J2" s="445"/>
      <c r="K2" s="445"/>
      <c r="L2" s="445"/>
      <c r="M2" s="445"/>
      <c r="N2" s="445"/>
      <c r="O2" s="445"/>
      <c r="P2" s="445"/>
      <c r="Q2" s="445"/>
      <c r="T2" s="445" t="s">
        <v>83</v>
      </c>
      <c r="U2" s="445"/>
      <c r="V2" s="445"/>
      <c r="W2" s="445"/>
      <c r="X2" s="445"/>
      <c r="Y2" s="445"/>
      <c r="Z2" s="445"/>
      <c r="AA2" s="445"/>
      <c r="AB2" s="445"/>
      <c r="AC2" s="445"/>
      <c r="AD2" s="445"/>
      <c r="AE2" s="445"/>
      <c r="AF2" s="445"/>
      <c r="AG2" s="445"/>
      <c r="AH2" s="445"/>
    </row>
    <row r="3" spans="1:34" ht="15.75" thickBot="1" x14ac:dyDescent="0.3">
      <c r="Q3" s="77" t="s">
        <v>1</v>
      </c>
      <c r="AH3" s="77" t="s">
        <v>29</v>
      </c>
    </row>
    <row r="4" spans="1:34" x14ac:dyDescent="0.25">
      <c r="A4" s="440" t="s">
        <v>2</v>
      </c>
      <c r="B4" s="442" t="s">
        <v>3</v>
      </c>
      <c r="C4" s="446" t="s">
        <v>84</v>
      </c>
      <c r="D4" s="447"/>
      <c r="E4" s="447"/>
      <c r="F4" s="447"/>
      <c r="G4" s="447"/>
      <c r="H4" s="447"/>
      <c r="I4" s="448" t="s">
        <v>91</v>
      </c>
      <c r="J4" s="447">
        <v>2015</v>
      </c>
      <c r="K4" s="447"/>
      <c r="L4" s="447"/>
      <c r="M4" s="447"/>
      <c r="N4" s="447"/>
      <c r="O4" s="447"/>
      <c r="P4" s="448" t="s">
        <v>92</v>
      </c>
      <c r="Q4" s="450" t="s">
        <v>5</v>
      </c>
      <c r="T4" s="440" t="s">
        <v>2</v>
      </c>
      <c r="U4" s="442" t="s">
        <v>3</v>
      </c>
      <c r="V4" s="446" t="s">
        <v>84</v>
      </c>
      <c r="W4" s="447"/>
      <c r="X4" s="447"/>
      <c r="Y4" s="447"/>
      <c r="Z4" s="447"/>
      <c r="AA4" s="455"/>
      <c r="AB4" s="447">
        <v>2015</v>
      </c>
      <c r="AC4" s="447"/>
      <c r="AD4" s="447"/>
      <c r="AE4" s="447"/>
      <c r="AF4" s="447"/>
      <c r="AG4" s="452"/>
      <c r="AH4" s="453" t="s">
        <v>5</v>
      </c>
    </row>
    <row r="5" spans="1:34" x14ac:dyDescent="0.25">
      <c r="A5" s="441"/>
      <c r="B5" s="426"/>
      <c r="C5" s="141" t="s">
        <v>15</v>
      </c>
      <c r="D5" s="141" t="s">
        <v>16</v>
      </c>
      <c r="E5" s="141" t="s">
        <v>17</v>
      </c>
      <c r="F5" s="141" t="s">
        <v>6</v>
      </c>
      <c r="G5" s="141" t="s">
        <v>78</v>
      </c>
      <c r="H5" s="158" t="s">
        <v>79</v>
      </c>
      <c r="I5" s="449"/>
      <c r="J5" s="117" t="s">
        <v>80</v>
      </c>
      <c r="K5" s="141" t="s">
        <v>10</v>
      </c>
      <c r="L5" s="141" t="s">
        <v>11</v>
      </c>
      <c r="M5" s="141" t="s">
        <v>12</v>
      </c>
      <c r="N5" s="141" t="s">
        <v>81</v>
      </c>
      <c r="O5" s="158" t="s">
        <v>82</v>
      </c>
      <c r="P5" s="449"/>
      <c r="Q5" s="451"/>
      <c r="T5" s="441"/>
      <c r="U5" s="426"/>
      <c r="V5" s="138" t="s">
        <v>15</v>
      </c>
      <c r="W5" s="138" t="s">
        <v>16</v>
      </c>
      <c r="X5" s="138" t="s">
        <v>17</v>
      </c>
      <c r="Y5" s="138" t="s">
        <v>6</v>
      </c>
      <c r="Z5" s="138" t="s">
        <v>78</v>
      </c>
      <c r="AA5" s="123" t="s">
        <v>79</v>
      </c>
      <c r="AB5" s="117" t="s">
        <v>80</v>
      </c>
      <c r="AC5" s="138" t="s">
        <v>10</v>
      </c>
      <c r="AD5" s="138" t="s">
        <v>11</v>
      </c>
      <c r="AE5" s="138" t="s">
        <v>12</v>
      </c>
      <c r="AF5" s="138" t="s">
        <v>81</v>
      </c>
      <c r="AG5" s="138" t="s">
        <v>82</v>
      </c>
      <c r="AH5" s="454"/>
    </row>
    <row r="6" spans="1:34" ht="15.75" thickBot="1" x14ac:dyDescent="0.3">
      <c r="A6" s="128">
        <v>1</v>
      </c>
      <c r="B6" s="5">
        <v>2</v>
      </c>
      <c r="C6" s="5">
        <v>3</v>
      </c>
      <c r="D6" s="5">
        <v>4</v>
      </c>
      <c r="E6" s="5">
        <v>5</v>
      </c>
      <c r="F6" s="5">
        <v>6</v>
      </c>
      <c r="G6" s="5">
        <v>7</v>
      </c>
      <c r="H6" s="159">
        <v>8</v>
      </c>
      <c r="I6" s="165">
        <v>9</v>
      </c>
      <c r="J6" s="118">
        <v>10</v>
      </c>
      <c r="K6" s="5">
        <v>11</v>
      </c>
      <c r="L6" s="5">
        <v>12</v>
      </c>
      <c r="M6" s="5">
        <v>13</v>
      </c>
      <c r="N6" s="5">
        <v>14</v>
      </c>
      <c r="O6" s="159">
        <v>15</v>
      </c>
      <c r="P6" s="165">
        <v>16</v>
      </c>
      <c r="Q6" s="174">
        <v>17</v>
      </c>
      <c r="T6" s="128">
        <v>1</v>
      </c>
      <c r="U6" s="5">
        <v>2</v>
      </c>
      <c r="V6" s="5">
        <v>3</v>
      </c>
      <c r="W6" s="5">
        <v>4</v>
      </c>
      <c r="X6" s="5">
        <v>5</v>
      </c>
      <c r="Y6" s="5">
        <v>6</v>
      </c>
      <c r="Z6" s="5">
        <v>7</v>
      </c>
      <c r="AA6" s="124">
        <v>8</v>
      </c>
      <c r="AB6" s="118">
        <v>9</v>
      </c>
      <c r="AC6" s="5">
        <v>10</v>
      </c>
      <c r="AD6" s="5">
        <v>11</v>
      </c>
      <c r="AE6" s="5">
        <v>12</v>
      </c>
      <c r="AF6" s="5">
        <v>13</v>
      </c>
      <c r="AG6" s="5">
        <v>14</v>
      </c>
      <c r="AH6" s="124">
        <v>15</v>
      </c>
    </row>
    <row r="7" spans="1:34" ht="16.5" thickTop="1" x14ac:dyDescent="0.25">
      <c r="A7" s="85">
        <v>1</v>
      </c>
      <c r="B7" s="7" t="s">
        <v>18</v>
      </c>
      <c r="C7" s="59">
        <v>0</v>
      </c>
      <c r="D7" s="9">
        <v>0</v>
      </c>
      <c r="E7" s="9">
        <v>0</v>
      </c>
      <c r="F7" s="59">
        <v>204</v>
      </c>
      <c r="G7" s="8">
        <v>0</v>
      </c>
      <c r="H7" s="160">
        <v>0</v>
      </c>
      <c r="I7" s="167">
        <f>SUM(C7:H7)</f>
        <v>204</v>
      </c>
      <c r="J7" s="176">
        <v>2</v>
      </c>
      <c r="K7" s="59">
        <v>18</v>
      </c>
      <c r="L7" s="9">
        <v>8</v>
      </c>
      <c r="M7" s="59">
        <v>0</v>
      </c>
      <c r="N7" s="357">
        <f>'padi sawah'!J9</f>
        <v>1</v>
      </c>
      <c r="O7" s="403">
        <f>'padi sawah'!K9</f>
        <v>0</v>
      </c>
      <c r="P7" s="167">
        <f>SUM(J7:O7)</f>
        <v>29</v>
      </c>
      <c r="Q7" s="170">
        <f>SUM(I7,P7)</f>
        <v>233</v>
      </c>
      <c r="T7" s="85">
        <v>1</v>
      </c>
      <c r="U7" s="7" t="s">
        <v>18</v>
      </c>
      <c r="V7" s="143">
        <v>0</v>
      </c>
      <c r="W7" s="28">
        <v>0</v>
      </c>
      <c r="X7" s="28">
        <v>9</v>
      </c>
      <c r="Y7" s="63">
        <v>0</v>
      </c>
      <c r="Z7" s="63">
        <v>9</v>
      </c>
      <c r="AA7" s="125">
        <v>22</v>
      </c>
      <c r="AB7" s="119"/>
      <c r="AC7" s="9"/>
      <c r="AD7" s="9"/>
      <c r="AE7" s="59"/>
      <c r="AF7" s="9"/>
      <c r="AG7" s="9"/>
      <c r="AH7" s="145">
        <f>SUM(V7:AA7)</f>
        <v>40</v>
      </c>
    </row>
    <row r="8" spans="1:34" ht="15.75" x14ac:dyDescent="0.25">
      <c r="A8" s="86">
        <v>2</v>
      </c>
      <c r="B8" s="12" t="s">
        <v>19</v>
      </c>
      <c r="C8" s="61">
        <v>0</v>
      </c>
      <c r="D8" s="47">
        <v>25</v>
      </c>
      <c r="E8" s="8">
        <v>125</v>
      </c>
      <c r="F8" s="60">
        <v>114</v>
      </c>
      <c r="G8" s="8">
        <v>0</v>
      </c>
      <c r="H8" s="161">
        <v>15</v>
      </c>
      <c r="I8" s="168">
        <f t="shared" ref="I8:I14" si="0">SUM(C8:H8)</f>
        <v>279</v>
      </c>
      <c r="J8" s="177">
        <v>29</v>
      </c>
      <c r="K8" s="60">
        <v>7</v>
      </c>
      <c r="L8" s="8">
        <v>65</v>
      </c>
      <c r="M8" s="61">
        <v>1</v>
      </c>
      <c r="N8" s="8">
        <f>'padi sawah'!J10</f>
        <v>4</v>
      </c>
      <c r="O8" s="405">
        <f>'padi sawah'!K10</f>
        <v>4</v>
      </c>
      <c r="P8" s="168">
        <f t="shared" ref="P8:P13" si="1">SUM(J8:O8)</f>
        <v>110</v>
      </c>
      <c r="Q8" s="171">
        <f t="shared" ref="Q8:Q14" si="2">SUM(I8,P8)</f>
        <v>389</v>
      </c>
      <c r="T8" s="86">
        <v>2</v>
      </c>
      <c r="U8" s="12" t="s">
        <v>19</v>
      </c>
      <c r="V8" s="144">
        <v>0</v>
      </c>
      <c r="W8" s="16">
        <v>0</v>
      </c>
      <c r="X8" s="16">
        <v>117</v>
      </c>
      <c r="Y8" s="61">
        <v>28</v>
      </c>
      <c r="Z8" s="16">
        <v>0</v>
      </c>
      <c r="AA8" s="126">
        <v>168</v>
      </c>
      <c r="AB8" s="120"/>
      <c r="AC8" s="8"/>
      <c r="AD8" s="8"/>
      <c r="AE8" s="61"/>
      <c r="AF8" s="47"/>
      <c r="AG8" s="8"/>
      <c r="AH8" s="130">
        <f t="shared" ref="AH8:AH14" si="3">SUM(V8:AA8)</f>
        <v>313</v>
      </c>
    </row>
    <row r="9" spans="1:34" ht="15.75" x14ac:dyDescent="0.25">
      <c r="A9" s="86">
        <v>3</v>
      </c>
      <c r="B9" s="7" t="s">
        <v>20</v>
      </c>
      <c r="C9" s="61">
        <v>0</v>
      </c>
      <c r="D9" s="8">
        <v>0</v>
      </c>
      <c r="E9" s="8">
        <v>10</v>
      </c>
      <c r="F9" s="60">
        <v>38</v>
      </c>
      <c r="G9" s="8">
        <v>0</v>
      </c>
      <c r="H9" s="161">
        <v>0</v>
      </c>
      <c r="I9" s="168">
        <f t="shared" si="0"/>
        <v>48</v>
      </c>
      <c r="J9" s="177">
        <v>5</v>
      </c>
      <c r="K9" s="60">
        <v>10</v>
      </c>
      <c r="L9" s="8">
        <v>0</v>
      </c>
      <c r="M9" s="61">
        <v>0</v>
      </c>
      <c r="N9" s="8">
        <f>'padi sawah'!J11</f>
        <v>0</v>
      </c>
      <c r="O9" s="405">
        <f>'padi sawah'!K11</f>
        <v>0</v>
      </c>
      <c r="P9" s="168">
        <f t="shared" si="1"/>
        <v>15</v>
      </c>
      <c r="Q9" s="171">
        <f t="shared" si="2"/>
        <v>63</v>
      </c>
      <c r="T9" s="86">
        <v>3</v>
      </c>
      <c r="U9" s="7" t="s">
        <v>20</v>
      </c>
      <c r="V9" s="144">
        <v>0</v>
      </c>
      <c r="W9" s="16">
        <v>0</v>
      </c>
      <c r="X9" s="16">
        <v>0</v>
      </c>
      <c r="Y9" s="61">
        <v>0</v>
      </c>
      <c r="Z9" s="16">
        <v>0</v>
      </c>
      <c r="AA9" s="126">
        <v>0</v>
      </c>
      <c r="AB9" s="120"/>
      <c r="AC9" s="8"/>
      <c r="AD9" s="8"/>
      <c r="AE9" s="61"/>
      <c r="AF9" s="8"/>
      <c r="AG9" s="8"/>
      <c r="AH9" s="130">
        <f t="shared" si="3"/>
        <v>0</v>
      </c>
    </row>
    <row r="10" spans="1:34" ht="15.75" x14ac:dyDescent="0.25">
      <c r="A10" s="87">
        <v>4</v>
      </c>
      <c r="B10" s="15" t="s">
        <v>21</v>
      </c>
      <c r="C10" s="61">
        <v>0</v>
      </c>
      <c r="D10" s="16">
        <v>3</v>
      </c>
      <c r="E10" s="16">
        <v>165</v>
      </c>
      <c r="F10" s="61">
        <v>16</v>
      </c>
      <c r="G10" s="16">
        <v>0</v>
      </c>
      <c r="H10" s="162">
        <v>0</v>
      </c>
      <c r="I10" s="168">
        <f t="shared" si="0"/>
        <v>184</v>
      </c>
      <c r="J10" s="178">
        <v>0</v>
      </c>
      <c r="K10" s="139">
        <v>7</v>
      </c>
      <c r="L10" s="16">
        <v>7</v>
      </c>
      <c r="M10" s="61">
        <v>0</v>
      </c>
      <c r="N10" s="8">
        <f>'padi sawah'!J12</f>
        <v>2</v>
      </c>
      <c r="O10" s="405">
        <f>'padi sawah'!K12</f>
        <v>0</v>
      </c>
      <c r="P10" s="168">
        <f t="shared" si="1"/>
        <v>16</v>
      </c>
      <c r="Q10" s="171">
        <f t="shared" si="2"/>
        <v>200</v>
      </c>
      <c r="T10" s="87">
        <v>4</v>
      </c>
      <c r="U10" s="15" t="s">
        <v>21</v>
      </c>
      <c r="V10" s="144">
        <v>0</v>
      </c>
      <c r="W10" s="16">
        <v>0</v>
      </c>
      <c r="X10" s="16">
        <v>0</v>
      </c>
      <c r="Y10" s="61">
        <v>10</v>
      </c>
      <c r="Z10" s="16">
        <v>0</v>
      </c>
      <c r="AA10" s="126">
        <v>161</v>
      </c>
      <c r="AB10" s="121"/>
      <c r="AC10" s="16"/>
      <c r="AD10" s="16"/>
      <c r="AE10" s="61"/>
      <c r="AF10" s="16"/>
      <c r="AG10" s="16"/>
      <c r="AH10" s="130">
        <f t="shared" si="3"/>
        <v>171</v>
      </c>
    </row>
    <row r="11" spans="1:34" x14ac:dyDescent="0.25">
      <c r="A11" s="87">
        <v>5</v>
      </c>
      <c r="B11" s="19" t="s">
        <v>22</v>
      </c>
      <c r="C11" s="16">
        <v>0</v>
      </c>
      <c r="D11" s="16">
        <v>0</v>
      </c>
      <c r="E11" s="16">
        <v>25</v>
      </c>
      <c r="F11" s="61">
        <v>225</v>
      </c>
      <c r="G11" s="16">
        <v>0</v>
      </c>
      <c r="H11" s="162">
        <v>0</v>
      </c>
      <c r="I11" s="168">
        <f t="shared" si="0"/>
        <v>250</v>
      </c>
      <c r="J11" s="178">
        <v>0</v>
      </c>
      <c r="K11" s="61">
        <v>10</v>
      </c>
      <c r="L11" s="16">
        <v>10</v>
      </c>
      <c r="M11" s="16">
        <v>0</v>
      </c>
      <c r="N11" s="8">
        <f>'padi sawah'!J13</f>
        <v>0</v>
      </c>
      <c r="O11" s="405">
        <f>'padi sawah'!K13</f>
        <v>0</v>
      </c>
      <c r="P11" s="168">
        <f t="shared" si="1"/>
        <v>20</v>
      </c>
      <c r="Q11" s="171">
        <f t="shared" si="2"/>
        <v>270</v>
      </c>
      <c r="T11" s="87">
        <v>5</v>
      </c>
      <c r="U11" s="19" t="s">
        <v>22</v>
      </c>
      <c r="V11" s="16">
        <v>42</v>
      </c>
      <c r="W11" s="16">
        <v>0</v>
      </c>
      <c r="X11" s="16">
        <v>0</v>
      </c>
      <c r="Y11" s="61">
        <v>0</v>
      </c>
      <c r="Z11" s="16">
        <v>0</v>
      </c>
      <c r="AA11" s="126">
        <v>0</v>
      </c>
      <c r="AB11" s="121"/>
      <c r="AC11" s="16"/>
      <c r="AD11" s="16"/>
      <c r="AE11" s="16"/>
      <c r="AF11" s="16"/>
      <c r="AG11" s="16"/>
      <c r="AH11" s="130">
        <f t="shared" si="3"/>
        <v>42</v>
      </c>
    </row>
    <row r="12" spans="1:34" x14ac:dyDescent="0.25">
      <c r="A12" s="87">
        <v>6</v>
      </c>
      <c r="B12" s="19" t="s">
        <v>23</v>
      </c>
      <c r="C12" s="16">
        <v>0</v>
      </c>
      <c r="D12" s="16">
        <v>8</v>
      </c>
      <c r="E12" s="16">
        <v>36</v>
      </c>
      <c r="F12" s="61">
        <v>0</v>
      </c>
      <c r="G12" s="16">
        <v>0</v>
      </c>
      <c r="H12" s="162">
        <v>0</v>
      </c>
      <c r="I12" s="168">
        <f t="shared" si="0"/>
        <v>44</v>
      </c>
      <c r="J12" s="178">
        <v>6</v>
      </c>
      <c r="K12" s="61">
        <v>15</v>
      </c>
      <c r="L12" s="16">
        <v>10</v>
      </c>
      <c r="M12" s="16">
        <v>0</v>
      </c>
      <c r="N12" s="8">
        <f>'padi sawah'!J14</f>
        <v>7</v>
      </c>
      <c r="O12" s="405">
        <f>'padi sawah'!K14</f>
        <v>0</v>
      </c>
      <c r="P12" s="168">
        <f t="shared" si="1"/>
        <v>38</v>
      </c>
      <c r="Q12" s="171">
        <f t="shared" si="2"/>
        <v>82</v>
      </c>
      <c r="T12" s="87">
        <v>6</v>
      </c>
      <c r="U12" s="19" t="s">
        <v>23</v>
      </c>
      <c r="V12" s="16">
        <v>0</v>
      </c>
      <c r="W12" s="16">
        <v>0</v>
      </c>
      <c r="X12" s="16">
        <v>0</v>
      </c>
      <c r="Y12" s="61">
        <v>85</v>
      </c>
      <c r="Z12" s="16">
        <v>0</v>
      </c>
      <c r="AA12" s="126">
        <v>0</v>
      </c>
      <c r="AB12" s="121"/>
      <c r="AC12" s="16"/>
      <c r="AD12" s="16"/>
      <c r="AE12" s="16"/>
      <c r="AF12" s="16"/>
      <c r="AG12" s="16"/>
      <c r="AH12" s="130">
        <f t="shared" si="3"/>
        <v>85</v>
      </c>
    </row>
    <row r="13" spans="1:34" x14ac:dyDescent="0.25">
      <c r="A13" s="87">
        <v>7</v>
      </c>
      <c r="B13" s="19" t="s">
        <v>24</v>
      </c>
      <c r="C13" s="16">
        <v>1</v>
      </c>
      <c r="D13" s="16">
        <v>1</v>
      </c>
      <c r="E13" s="16">
        <v>144</v>
      </c>
      <c r="F13" s="61">
        <v>133</v>
      </c>
      <c r="G13" s="16">
        <v>0</v>
      </c>
      <c r="H13" s="162">
        <v>0</v>
      </c>
      <c r="I13" s="168">
        <f t="shared" si="0"/>
        <v>279</v>
      </c>
      <c r="J13" s="178">
        <v>0</v>
      </c>
      <c r="K13" s="61">
        <v>8</v>
      </c>
      <c r="L13" s="16">
        <v>183</v>
      </c>
      <c r="M13" s="16">
        <v>110</v>
      </c>
      <c r="N13" s="8">
        <f>'padi sawah'!J15</f>
        <v>6</v>
      </c>
      <c r="O13" s="405">
        <f>'padi sawah'!K15</f>
        <v>0</v>
      </c>
      <c r="P13" s="168">
        <f t="shared" si="1"/>
        <v>307</v>
      </c>
      <c r="Q13" s="171">
        <f t="shared" si="2"/>
        <v>586</v>
      </c>
      <c r="T13" s="87">
        <v>7</v>
      </c>
      <c r="U13" s="19" t="s">
        <v>24</v>
      </c>
      <c r="V13" s="16">
        <v>0</v>
      </c>
      <c r="W13" s="16">
        <v>56</v>
      </c>
      <c r="X13" s="16">
        <v>50</v>
      </c>
      <c r="Y13" s="61">
        <v>0</v>
      </c>
      <c r="Z13" s="16">
        <v>0</v>
      </c>
      <c r="AA13" s="126">
        <v>1474</v>
      </c>
      <c r="AB13" s="121"/>
      <c r="AC13" s="16"/>
      <c r="AD13" s="16"/>
      <c r="AE13" s="16"/>
      <c r="AF13" s="16"/>
      <c r="AG13" s="16"/>
      <c r="AH13" s="130">
        <f t="shared" si="3"/>
        <v>1580</v>
      </c>
    </row>
    <row r="14" spans="1:34" ht="15.75" thickBot="1" x14ac:dyDescent="0.3">
      <c r="A14" s="88">
        <v>8</v>
      </c>
      <c r="B14" s="15" t="s">
        <v>25</v>
      </c>
      <c r="C14" s="17">
        <v>0</v>
      </c>
      <c r="D14" s="17">
        <v>30</v>
      </c>
      <c r="E14" s="17">
        <v>73</v>
      </c>
      <c r="F14" s="62">
        <v>201</v>
      </c>
      <c r="G14" s="17">
        <v>0</v>
      </c>
      <c r="H14" s="163">
        <v>0</v>
      </c>
      <c r="I14" s="169">
        <f t="shared" si="0"/>
        <v>304</v>
      </c>
      <c r="J14" s="179">
        <v>36</v>
      </c>
      <c r="K14" s="139">
        <v>116</v>
      </c>
      <c r="L14" s="17">
        <v>11</v>
      </c>
      <c r="M14" s="17">
        <v>1</v>
      </c>
      <c r="N14" s="358">
        <f>'padi sawah'!J16</f>
        <v>0</v>
      </c>
      <c r="O14" s="404">
        <f>'padi sawah'!K16</f>
        <v>24</v>
      </c>
      <c r="P14" s="169">
        <f>SUM(J14:O14)</f>
        <v>188</v>
      </c>
      <c r="Q14" s="172">
        <f t="shared" si="2"/>
        <v>492</v>
      </c>
      <c r="T14" s="88">
        <v>8</v>
      </c>
      <c r="U14" s="15" t="s">
        <v>25</v>
      </c>
      <c r="V14" s="17">
        <v>20</v>
      </c>
      <c r="W14" s="17">
        <v>216</v>
      </c>
      <c r="X14" s="17">
        <v>35</v>
      </c>
      <c r="Y14" s="62">
        <v>197</v>
      </c>
      <c r="Z14" s="17">
        <v>0</v>
      </c>
      <c r="AA14" s="127">
        <v>157</v>
      </c>
      <c r="AB14" s="122"/>
      <c r="AC14" s="17"/>
      <c r="AD14" s="17"/>
      <c r="AE14" s="17"/>
      <c r="AF14" s="17"/>
      <c r="AG14" s="17"/>
      <c r="AH14" s="146">
        <f t="shared" si="3"/>
        <v>625</v>
      </c>
    </row>
    <row r="15" spans="1:34" ht="16.5" thickTop="1" thickBot="1" x14ac:dyDescent="0.3">
      <c r="A15" s="443" t="s">
        <v>26</v>
      </c>
      <c r="B15" s="444"/>
      <c r="C15" s="133">
        <f t="shared" ref="C15:O15" si="4">SUM(C7:C14)</f>
        <v>1</v>
      </c>
      <c r="D15" s="133">
        <f t="shared" si="4"/>
        <v>67</v>
      </c>
      <c r="E15" s="133">
        <f t="shared" si="4"/>
        <v>578</v>
      </c>
      <c r="F15" s="133">
        <f t="shared" ref="F15:H15" si="5">SUM(F7:F14)</f>
        <v>931</v>
      </c>
      <c r="G15" s="133">
        <f t="shared" si="5"/>
        <v>0</v>
      </c>
      <c r="H15" s="164">
        <f t="shared" si="5"/>
        <v>15</v>
      </c>
      <c r="I15" s="166">
        <f>SUM(I7:I14)</f>
        <v>1592</v>
      </c>
      <c r="J15" s="180">
        <f t="shared" ref="J15" si="6">SUM(J7:J14)</f>
        <v>78</v>
      </c>
      <c r="K15" s="133">
        <f t="shared" si="4"/>
        <v>191</v>
      </c>
      <c r="L15" s="133">
        <f t="shared" si="4"/>
        <v>294</v>
      </c>
      <c r="M15" s="133">
        <f t="shared" si="4"/>
        <v>112</v>
      </c>
      <c r="N15" s="133">
        <f t="shared" si="4"/>
        <v>20</v>
      </c>
      <c r="O15" s="164">
        <f t="shared" si="4"/>
        <v>28</v>
      </c>
      <c r="P15" s="166">
        <f>SUM(P7:P14)</f>
        <v>723</v>
      </c>
      <c r="Q15" s="173">
        <f>SUM(Q7:Q14)</f>
        <v>2315</v>
      </c>
      <c r="T15" s="443" t="s">
        <v>26</v>
      </c>
      <c r="U15" s="444"/>
      <c r="V15" s="133">
        <f t="shared" ref="V15:AH15" si="7">SUM(V7:V14)</f>
        <v>62</v>
      </c>
      <c r="W15" s="133">
        <f t="shared" si="7"/>
        <v>272</v>
      </c>
      <c r="X15" s="133">
        <f t="shared" si="7"/>
        <v>211</v>
      </c>
      <c r="Y15" s="133">
        <f t="shared" si="7"/>
        <v>320</v>
      </c>
      <c r="Z15" s="133">
        <f t="shared" si="7"/>
        <v>9</v>
      </c>
      <c r="AA15" s="134">
        <f t="shared" si="7"/>
        <v>1982</v>
      </c>
      <c r="AB15" s="135">
        <f t="shared" si="7"/>
        <v>0</v>
      </c>
      <c r="AC15" s="133">
        <f t="shared" si="7"/>
        <v>0</v>
      </c>
      <c r="AD15" s="133">
        <f t="shared" si="7"/>
        <v>0</v>
      </c>
      <c r="AE15" s="133">
        <f t="shared" si="7"/>
        <v>0</v>
      </c>
      <c r="AF15" s="133">
        <f t="shared" si="7"/>
        <v>0</v>
      </c>
      <c r="AG15" s="133">
        <f t="shared" si="7"/>
        <v>0</v>
      </c>
      <c r="AH15" s="134">
        <f t="shared" si="7"/>
        <v>2856</v>
      </c>
    </row>
    <row r="17" spans="1:34" ht="15.75" x14ac:dyDescent="0.25">
      <c r="A17" s="445" t="s">
        <v>154</v>
      </c>
      <c r="B17" s="445"/>
      <c r="C17" s="445"/>
      <c r="D17" s="445"/>
      <c r="E17" s="445"/>
      <c r="F17" s="445"/>
      <c r="G17" s="445"/>
      <c r="H17" s="445"/>
      <c r="I17" s="445"/>
      <c r="J17" s="445"/>
      <c r="K17" s="445"/>
      <c r="L17" s="445"/>
      <c r="M17" s="445"/>
      <c r="N17" s="445"/>
      <c r="O17" s="445"/>
      <c r="P17" s="445"/>
      <c r="Q17" s="445"/>
      <c r="T17" s="445" t="s">
        <v>89</v>
      </c>
      <c r="U17" s="445"/>
      <c r="V17" s="445"/>
      <c r="W17" s="445"/>
      <c r="X17" s="445"/>
      <c r="Y17" s="445"/>
      <c r="Z17" s="445"/>
      <c r="AA17" s="445"/>
      <c r="AB17" s="445"/>
      <c r="AC17" s="445"/>
      <c r="AD17" s="445"/>
      <c r="AE17" s="445"/>
      <c r="AF17" s="445"/>
      <c r="AG17" s="445"/>
      <c r="AH17" s="445"/>
    </row>
    <row r="18" spans="1:34" ht="15.75" x14ac:dyDescent="0.25">
      <c r="A18" s="445" t="s">
        <v>83</v>
      </c>
      <c r="B18" s="445"/>
      <c r="C18" s="445"/>
      <c r="D18" s="445"/>
      <c r="E18" s="445"/>
      <c r="F18" s="445"/>
      <c r="G18" s="445"/>
      <c r="H18" s="445"/>
      <c r="I18" s="445"/>
      <c r="J18" s="445"/>
      <c r="K18" s="445"/>
      <c r="L18" s="445"/>
      <c r="M18" s="445"/>
      <c r="N18" s="445"/>
      <c r="O18" s="445"/>
      <c r="P18" s="445"/>
      <c r="Q18" s="445"/>
      <c r="T18" s="445" t="s">
        <v>83</v>
      </c>
      <c r="U18" s="445"/>
      <c r="V18" s="445"/>
      <c r="W18" s="445"/>
      <c r="X18" s="445"/>
      <c r="Y18" s="445"/>
      <c r="Z18" s="445"/>
      <c r="AA18" s="445"/>
      <c r="AB18" s="445"/>
      <c r="AC18" s="445"/>
      <c r="AD18" s="445"/>
      <c r="AE18" s="445"/>
      <c r="AF18" s="445"/>
      <c r="AG18" s="445"/>
      <c r="AH18" s="445"/>
    </row>
    <row r="19" spans="1:34" ht="15.75" thickBot="1" x14ac:dyDescent="0.3">
      <c r="Q19" s="77" t="s">
        <v>1</v>
      </c>
      <c r="AH19" s="77" t="s">
        <v>29</v>
      </c>
    </row>
    <row r="20" spans="1:34" x14ac:dyDescent="0.25">
      <c r="A20" s="440" t="s">
        <v>2</v>
      </c>
      <c r="B20" s="442" t="s">
        <v>3</v>
      </c>
      <c r="C20" s="446" t="s">
        <v>84</v>
      </c>
      <c r="D20" s="447"/>
      <c r="E20" s="447"/>
      <c r="F20" s="447"/>
      <c r="G20" s="447"/>
      <c r="H20" s="447"/>
      <c r="I20" s="448" t="s">
        <v>91</v>
      </c>
      <c r="J20" s="447">
        <v>2015</v>
      </c>
      <c r="K20" s="447"/>
      <c r="L20" s="447"/>
      <c r="M20" s="447"/>
      <c r="N20" s="447"/>
      <c r="O20" s="447"/>
      <c r="P20" s="448" t="s">
        <v>92</v>
      </c>
      <c r="Q20" s="450" t="s">
        <v>5</v>
      </c>
      <c r="T20" s="440" t="s">
        <v>2</v>
      </c>
      <c r="U20" s="442" t="s">
        <v>3</v>
      </c>
      <c r="V20" s="446" t="s">
        <v>84</v>
      </c>
      <c r="W20" s="447"/>
      <c r="X20" s="447"/>
      <c r="Y20" s="447"/>
      <c r="Z20" s="447"/>
      <c r="AA20" s="455"/>
      <c r="AB20" s="447">
        <v>2015</v>
      </c>
      <c r="AC20" s="447"/>
      <c r="AD20" s="447"/>
      <c r="AE20" s="447"/>
      <c r="AF20" s="447"/>
      <c r="AG20" s="452"/>
      <c r="AH20" s="453" t="s">
        <v>5</v>
      </c>
    </row>
    <row r="21" spans="1:34" x14ac:dyDescent="0.25">
      <c r="A21" s="441"/>
      <c r="B21" s="426"/>
      <c r="C21" s="141" t="s">
        <v>15</v>
      </c>
      <c r="D21" s="141" t="s">
        <v>16</v>
      </c>
      <c r="E21" s="141" t="s">
        <v>17</v>
      </c>
      <c r="F21" s="141" t="s">
        <v>6</v>
      </c>
      <c r="G21" s="141" t="s">
        <v>78</v>
      </c>
      <c r="H21" s="158" t="s">
        <v>79</v>
      </c>
      <c r="I21" s="449"/>
      <c r="J21" s="117" t="s">
        <v>80</v>
      </c>
      <c r="K21" s="141" t="s">
        <v>10</v>
      </c>
      <c r="L21" s="141" t="s">
        <v>11</v>
      </c>
      <c r="M21" s="141" t="s">
        <v>12</v>
      </c>
      <c r="N21" s="141" t="s">
        <v>81</v>
      </c>
      <c r="O21" s="158" t="s">
        <v>82</v>
      </c>
      <c r="P21" s="449"/>
      <c r="Q21" s="451"/>
      <c r="T21" s="441"/>
      <c r="U21" s="426"/>
      <c r="V21" s="138" t="s">
        <v>15</v>
      </c>
      <c r="W21" s="138" t="s">
        <v>16</v>
      </c>
      <c r="X21" s="138" t="s">
        <v>17</v>
      </c>
      <c r="Y21" s="138" t="s">
        <v>6</v>
      </c>
      <c r="Z21" s="138" t="s">
        <v>78</v>
      </c>
      <c r="AA21" s="123" t="s">
        <v>79</v>
      </c>
      <c r="AB21" s="117" t="s">
        <v>80</v>
      </c>
      <c r="AC21" s="138" t="s">
        <v>10</v>
      </c>
      <c r="AD21" s="138" t="s">
        <v>11</v>
      </c>
      <c r="AE21" s="138" t="s">
        <v>12</v>
      </c>
      <c r="AF21" s="138" t="s">
        <v>81</v>
      </c>
      <c r="AG21" s="138" t="s">
        <v>82</v>
      </c>
      <c r="AH21" s="454"/>
    </row>
    <row r="22" spans="1:34" ht="15.75" thickBot="1" x14ac:dyDescent="0.3">
      <c r="A22" s="128">
        <v>1</v>
      </c>
      <c r="B22" s="5">
        <v>2</v>
      </c>
      <c r="C22" s="5">
        <v>3</v>
      </c>
      <c r="D22" s="5">
        <v>4</v>
      </c>
      <c r="E22" s="5">
        <v>5</v>
      </c>
      <c r="F22" s="5">
        <v>6</v>
      </c>
      <c r="G22" s="5">
        <v>7</v>
      </c>
      <c r="H22" s="159">
        <v>8</v>
      </c>
      <c r="I22" s="165">
        <v>9</v>
      </c>
      <c r="J22" s="118">
        <v>10</v>
      </c>
      <c r="K22" s="5">
        <v>11</v>
      </c>
      <c r="L22" s="5">
        <v>12</v>
      </c>
      <c r="M22" s="5">
        <v>13</v>
      </c>
      <c r="N22" s="5">
        <v>14</v>
      </c>
      <c r="O22" s="159">
        <v>15</v>
      </c>
      <c r="P22" s="165">
        <v>16</v>
      </c>
      <c r="Q22" s="174">
        <v>17</v>
      </c>
      <c r="T22" s="128">
        <v>1</v>
      </c>
      <c r="U22" s="5">
        <v>2</v>
      </c>
      <c r="V22" s="5">
        <v>3</v>
      </c>
      <c r="W22" s="5">
        <v>4</v>
      </c>
      <c r="X22" s="5">
        <v>5</v>
      </c>
      <c r="Y22" s="5">
        <v>6</v>
      </c>
      <c r="Z22" s="5">
        <v>7</v>
      </c>
      <c r="AA22" s="124">
        <v>8</v>
      </c>
      <c r="AB22" s="118">
        <v>9</v>
      </c>
      <c r="AC22" s="5">
        <v>10</v>
      </c>
      <c r="AD22" s="5">
        <v>11</v>
      </c>
      <c r="AE22" s="5">
        <v>12</v>
      </c>
      <c r="AF22" s="5">
        <v>13</v>
      </c>
      <c r="AG22" s="5">
        <v>14</v>
      </c>
      <c r="AH22" s="124">
        <v>15</v>
      </c>
    </row>
    <row r="23" spans="1:34" ht="15.75" thickTop="1" x14ac:dyDescent="0.25">
      <c r="A23" s="85">
        <v>1</v>
      </c>
      <c r="B23" s="7" t="s">
        <v>18</v>
      </c>
      <c r="C23" s="59">
        <v>2</v>
      </c>
      <c r="D23" s="9">
        <v>0</v>
      </c>
      <c r="E23" s="9">
        <v>0</v>
      </c>
      <c r="F23" s="59">
        <v>0</v>
      </c>
      <c r="G23" s="8">
        <v>0</v>
      </c>
      <c r="H23" s="160">
        <v>0</v>
      </c>
      <c r="I23" s="167">
        <f>SUM(C23:H23)</f>
        <v>2</v>
      </c>
      <c r="J23" s="119">
        <v>204</v>
      </c>
      <c r="K23" s="28">
        <v>0</v>
      </c>
      <c r="L23" s="9">
        <v>2</v>
      </c>
      <c r="M23" s="28">
        <v>0</v>
      </c>
      <c r="N23" s="357">
        <f>'padi sawah'!J42</f>
        <v>20</v>
      </c>
      <c r="O23" s="403">
        <f>'padi sawah'!K42</f>
        <v>6</v>
      </c>
      <c r="P23" s="167">
        <f>SUM(J23:O23)</f>
        <v>232</v>
      </c>
      <c r="Q23" s="170">
        <f>SUM(I23,P23)</f>
        <v>234</v>
      </c>
      <c r="T23" s="85">
        <v>1</v>
      </c>
      <c r="U23" s="7" t="s">
        <v>18</v>
      </c>
      <c r="V23" s="28">
        <v>0</v>
      </c>
      <c r="W23" s="28">
        <v>0</v>
      </c>
      <c r="X23" s="28">
        <v>0</v>
      </c>
      <c r="Y23" s="28">
        <v>0</v>
      </c>
      <c r="Z23" s="28">
        <v>0</v>
      </c>
      <c r="AA23" s="136">
        <v>0</v>
      </c>
      <c r="AB23" s="119"/>
      <c r="AC23" s="9"/>
      <c r="AD23" s="9"/>
      <c r="AE23" s="59"/>
      <c r="AF23" s="9"/>
      <c r="AG23" s="9"/>
      <c r="AH23" s="129">
        <f>SUM(V23:AG23)</f>
        <v>0</v>
      </c>
    </row>
    <row r="24" spans="1:34" x14ac:dyDescent="0.25">
      <c r="A24" s="86">
        <v>2</v>
      </c>
      <c r="B24" s="12" t="s">
        <v>19</v>
      </c>
      <c r="C24" s="61">
        <v>3</v>
      </c>
      <c r="D24" s="47">
        <v>1</v>
      </c>
      <c r="E24" s="8">
        <v>0</v>
      </c>
      <c r="F24" s="60">
        <v>0</v>
      </c>
      <c r="G24" s="8">
        <v>25</v>
      </c>
      <c r="H24" s="161">
        <v>64</v>
      </c>
      <c r="I24" s="168">
        <f t="shared" ref="I24:I30" si="8">SUM(C24:H24)</f>
        <v>93</v>
      </c>
      <c r="J24" s="120">
        <v>75</v>
      </c>
      <c r="K24" s="16">
        <v>90</v>
      </c>
      <c r="L24" s="8">
        <v>0</v>
      </c>
      <c r="M24" s="16">
        <v>32</v>
      </c>
      <c r="N24" s="8">
        <f>'padi sawah'!J43</f>
        <v>81</v>
      </c>
      <c r="O24" s="405">
        <f>'padi sawah'!K43</f>
        <v>12</v>
      </c>
      <c r="P24" s="168">
        <f t="shared" ref="P24:P30" si="9">SUM(J24:O24)</f>
        <v>290</v>
      </c>
      <c r="Q24" s="171">
        <f>SUM(I24,P24)</f>
        <v>383</v>
      </c>
      <c r="T24" s="86">
        <v>2</v>
      </c>
      <c r="U24" s="12" t="s">
        <v>19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26">
        <v>0</v>
      </c>
      <c r="AB24" s="120"/>
      <c r="AC24" s="8"/>
      <c r="AD24" s="8"/>
      <c r="AE24" s="61"/>
      <c r="AF24" s="47"/>
      <c r="AG24" s="8"/>
      <c r="AH24" s="130">
        <f t="shared" ref="AH24:AH30" si="10">SUM(V24:AG24)</f>
        <v>0</v>
      </c>
    </row>
    <row r="25" spans="1:34" x14ac:dyDescent="0.25">
      <c r="A25" s="86">
        <v>3</v>
      </c>
      <c r="B25" s="7" t="s">
        <v>20</v>
      </c>
      <c r="C25" s="61">
        <v>0</v>
      </c>
      <c r="D25" s="8">
        <v>0</v>
      </c>
      <c r="E25" s="8">
        <v>0</v>
      </c>
      <c r="F25" s="60">
        <v>0</v>
      </c>
      <c r="G25" s="8">
        <v>0</v>
      </c>
      <c r="H25" s="161">
        <v>10</v>
      </c>
      <c r="I25" s="168">
        <f t="shared" si="8"/>
        <v>10</v>
      </c>
      <c r="J25" s="120">
        <v>38</v>
      </c>
      <c r="K25" s="16">
        <v>0</v>
      </c>
      <c r="L25" s="8">
        <v>0</v>
      </c>
      <c r="M25" s="16">
        <v>5</v>
      </c>
      <c r="N25" s="8">
        <f>'padi sawah'!J44</f>
        <v>10</v>
      </c>
      <c r="O25" s="405">
        <f>'padi sawah'!K44</f>
        <v>0</v>
      </c>
      <c r="P25" s="168">
        <f t="shared" si="9"/>
        <v>53</v>
      </c>
      <c r="Q25" s="171">
        <f t="shared" ref="Q25:Q30" si="11">SUM(I25,P25)</f>
        <v>63</v>
      </c>
      <c r="T25" s="86">
        <v>3</v>
      </c>
      <c r="U25" s="7" t="s">
        <v>20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26">
        <v>93</v>
      </c>
      <c r="AB25" s="120"/>
      <c r="AC25" s="8"/>
      <c r="AD25" s="8"/>
      <c r="AE25" s="61"/>
      <c r="AF25" s="8"/>
      <c r="AG25" s="8"/>
      <c r="AH25" s="130">
        <f t="shared" si="10"/>
        <v>93</v>
      </c>
    </row>
    <row r="26" spans="1:34" x14ac:dyDescent="0.25">
      <c r="A26" s="87">
        <v>4</v>
      </c>
      <c r="B26" s="15" t="s">
        <v>21</v>
      </c>
      <c r="C26" s="61">
        <v>0</v>
      </c>
      <c r="D26" s="16">
        <v>0</v>
      </c>
      <c r="E26" s="16">
        <v>2</v>
      </c>
      <c r="F26" s="61">
        <v>0</v>
      </c>
      <c r="G26" s="16">
        <v>3</v>
      </c>
      <c r="H26" s="162">
        <v>165</v>
      </c>
      <c r="I26" s="168">
        <f t="shared" si="8"/>
        <v>170</v>
      </c>
      <c r="J26" s="121">
        <v>16</v>
      </c>
      <c r="K26" s="17">
        <v>0</v>
      </c>
      <c r="L26" s="16">
        <v>0</v>
      </c>
      <c r="M26" s="16">
        <v>0</v>
      </c>
      <c r="N26" s="8">
        <f>'padi sawah'!J45</f>
        <v>7</v>
      </c>
      <c r="O26" s="405">
        <f>'padi sawah'!K45</f>
        <v>7</v>
      </c>
      <c r="P26" s="168">
        <f t="shared" si="9"/>
        <v>30</v>
      </c>
      <c r="Q26" s="171">
        <f t="shared" si="11"/>
        <v>200</v>
      </c>
      <c r="T26" s="87">
        <v>4</v>
      </c>
      <c r="U26" s="15" t="s">
        <v>21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26">
        <v>0</v>
      </c>
      <c r="AB26" s="121"/>
      <c r="AC26" s="16"/>
      <c r="AD26" s="16"/>
      <c r="AE26" s="61"/>
      <c r="AF26" s="16"/>
      <c r="AG26" s="16"/>
      <c r="AH26" s="131">
        <f t="shared" si="10"/>
        <v>0</v>
      </c>
    </row>
    <row r="27" spans="1:34" x14ac:dyDescent="0.25">
      <c r="A27" s="87">
        <v>5</v>
      </c>
      <c r="B27" s="19" t="s">
        <v>22</v>
      </c>
      <c r="C27" s="16">
        <v>22</v>
      </c>
      <c r="D27" s="16">
        <v>5</v>
      </c>
      <c r="E27" s="16">
        <v>0</v>
      </c>
      <c r="F27" s="61">
        <v>0</v>
      </c>
      <c r="G27" s="16">
        <v>0</v>
      </c>
      <c r="H27" s="162">
        <v>25</v>
      </c>
      <c r="I27" s="168">
        <f t="shared" si="8"/>
        <v>52</v>
      </c>
      <c r="J27" s="121">
        <v>225</v>
      </c>
      <c r="K27" s="16">
        <v>0</v>
      </c>
      <c r="L27" s="16">
        <v>0</v>
      </c>
      <c r="M27" s="16">
        <v>0</v>
      </c>
      <c r="N27" s="8">
        <f>'padi sawah'!J46</f>
        <v>10</v>
      </c>
      <c r="O27" s="405">
        <f>'padi sawah'!K46</f>
        <v>10</v>
      </c>
      <c r="P27" s="168">
        <f t="shared" si="9"/>
        <v>245</v>
      </c>
      <c r="Q27" s="171">
        <f t="shared" si="11"/>
        <v>297</v>
      </c>
      <c r="T27" s="87">
        <v>5</v>
      </c>
      <c r="U27" s="19" t="s">
        <v>22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26">
        <v>0</v>
      </c>
      <c r="AB27" s="121"/>
      <c r="AC27" s="16"/>
      <c r="AD27" s="16"/>
      <c r="AE27" s="16"/>
      <c r="AF27" s="16"/>
      <c r="AG27" s="16"/>
      <c r="AH27" s="131">
        <f t="shared" si="10"/>
        <v>0</v>
      </c>
    </row>
    <row r="28" spans="1:34" x14ac:dyDescent="0.25">
      <c r="A28" s="87">
        <v>6</v>
      </c>
      <c r="B28" s="19" t="s">
        <v>23</v>
      </c>
      <c r="C28" s="16">
        <v>0</v>
      </c>
      <c r="D28" s="16">
        <v>0</v>
      </c>
      <c r="E28" s="16">
        <v>0</v>
      </c>
      <c r="F28" s="61">
        <v>0</v>
      </c>
      <c r="G28" s="16">
        <v>0</v>
      </c>
      <c r="H28" s="162">
        <v>44</v>
      </c>
      <c r="I28" s="168">
        <f t="shared" si="8"/>
        <v>44</v>
      </c>
      <c r="J28" s="121">
        <v>0</v>
      </c>
      <c r="K28" s="16">
        <v>0</v>
      </c>
      <c r="L28" s="16">
        <v>6</v>
      </c>
      <c r="M28" s="16">
        <v>0</v>
      </c>
      <c r="N28" s="8">
        <f>'padi sawah'!J47</f>
        <v>10</v>
      </c>
      <c r="O28" s="405">
        <f>'padi sawah'!K47</f>
        <v>14</v>
      </c>
      <c r="P28" s="168">
        <f t="shared" si="9"/>
        <v>30</v>
      </c>
      <c r="Q28" s="171">
        <f t="shared" si="11"/>
        <v>74</v>
      </c>
      <c r="T28" s="87">
        <v>6</v>
      </c>
      <c r="U28" s="19" t="s">
        <v>23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26">
        <v>0</v>
      </c>
      <c r="AB28" s="121"/>
      <c r="AC28" s="16"/>
      <c r="AD28" s="16"/>
      <c r="AE28" s="16"/>
      <c r="AF28" s="16"/>
      <c r="AG28" s="16"/>
      <c r="AH28" s="131">
        <f t="shared" si="10"/>
        <v>0</v>
      </c>
    </row>
    <row r="29" spans="1:34" x14ac:dyDescent="0.25">
      <c r="A29" s="87">
        <v>7</v>
      </c>
      <c r="B29" s="19" t="s">
        <v>24</v>
      </c>
      <c r="C29" s="16">
        <v>49</v>
      </c>
      <c r="D29" s="16">
        <v>4</v>
      </c>
      <c r="E29" s="16">
        <v>2</v>
      </c>
      <c r="F29" s="61">
        <v>1</v>
      </c>
      <c r="G29" s="16">
        <v>1</v>
      </c>
      <c r="H29" s="162">
        <v>92</v>
      </c>
      <c r="I29" s="168">
        <f t="shared" si="8"/>
        <v>149</v>
      </c>
      <c r="J29" s="121">
        <v>162</v>
      </c>
      <c r="K29" s="16">
        <v>23</v>
      </c>
      <c r="L29" s="16">
        <v>0</v>
      </c>
      <c r="M29" s="16">
        <v>2</v>
      </c>
      <c r="N29" s="8">
        <f>'padi sawah'!J48</f>
        <v>30</v>
      </c>
      <c r="O29" s="405">
        <f>'padi sawah'!K48</f>
        <v>183</v>
      </c>
      <c r="P29" s="168">
        <f t="shared" si="9"/>
        <v>400</v>
      </c>
      <c r="Q29" s="171">
        <f t="shared" si="11"/>
        <v>549</v>
      </c>
      <c r="T29" s="87">
        <v>7</v>
      </c>
      <c r="U29" s="19" t="s">
        <v>24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26">
        <v>0</v>
      </c>
      <c r="AB29" s="121"/>
      <c r="AC29" s="16"/>
      <c r="AD29" s="16"/>
      <c r="AE29" s="16"/>
      <c r="AF29" s="16"/>
      <c r="AG29" s="16"/>
      <c r="AH29" s="131">
        <f t="shared" si="10"/>
        <v>0</v>
      </c>
    </row>
    <row r="30" spans="1:34" ht="15.75" thickBot="1" x14ac:dyDescent="0.3">
      <c r="A30" s="88">
        <v>8</v>
      </c>
      <c r="B30" s="15" t="s">
        <v>25</v>
      </c>
      <c r="C30" s="17">
        <v>34</v>
      </c>
      <c r="D30" s="17">
        <v>22</v>
      </c>
      <c r="E30" s="17">
        <v>0</v>
      </c>
      <c r="F30" s="62">
        <v>0</v>
      </c>
      <c r="G30" s="17">
        <v>30</v>
      </c>
      <c r="H30" s="163">
        <v>206</v>
      </c>
      <c r="I30" s="169">
        <f t="shared" si="8"/>
        <v>292</v>
      </c>
      <c r="J30" s="122">
        <v>68</v>
      </c>
      <c r="K30" s="17">
        <v>0</v>
      </c>
      <c r="L30" s="17">
        <v>4</v>
      </c>
      <c r="M30" s="17">
        <v>40</v>
      </c>
      <c r="N30" s="358">
        <f>'padi sawah'!J49</f>
        <v>107</v>
      </c>
      <c r="O30" s="404">
        <f>'padi sawah'!K49</f>
        <v>11</v>
      </c>
      <c r="P30" s="169">
        <f t="shared" si="9"/>
        <v>230</v>
      </c>
      <c r="Q30" s="172">
        <f t="shared" si="11"/>
        <v>522</v>
      </c>
      <c r="T30" s="88">
        <v>8</v>
      </c>
      <c r="U30" s="15" t="s">
        <v>25</v>
      </c>
      <c r="V30" s="17">
        <v>0</v>
      </c>
      <c r="W30" s="17">
        <v>0</v>
      </c>
      <c r="X30" s="17">
        <v>0</v>
      </c>
      <c r="Y30" s="17">
        <v>0</v>
      </c>
      <c r="Z30" s="17">
        <v>0</v>
      </c>
      <c r="AA30" s="127">
        <v>0</v>
      </c>
      <c r="AB30" s="122"/>
      <c r="AC30" s="17"/>
      <c r="AD30" s="17"/>
      <c r="AE30" s="17"/>
      <c r="AF30" s="17"/>
      <c r="AG30" s="17"/>
      <c r="AH30" s="132">
        <f t="shared" si="10"/>
        <v>0</v>
      </c>
    </row>
    <row r="31" spans="1:34" ht="16.5" thickTop="1" thickBot="1" x14ac:dyDescent="0.3">
      <c r="A31" s="443" t="s">
        <v>26</v>
      </c>
      <c r="B31" s="444"/>
      <c r="C31" s="133">
        <v>110</v>
      </c>
      <c r="D31" s="133">
        <v>32</v>
      </c>
      <c r="E31" s="133">
        <v>4</v>
      </c>
      <c r="F31" s="133">
        <v>1</v>
      </c>
      <c r="G31" s="133">
        <v>59</v>
      </c>
      <c r="H31" s="164">
        <v>606</v>
      </c>
      <c r="I31" s="166">
        <f>SUM(I23:I30)</f>
        <v>812</v>
      </c>
      <c r="J31" s="135">
        <f>SUM(J23:J30)</f>
        <v>788</v>
      </c>
      <c r="K31" s="133">
        <f t="shared" ref="K31:O31" si="12">SUM(K23:K30)</f>
        <v>113</v>
      </c>
      <c r="L31" s="133">
        <f t="shared" si="12"/>
        <v>12</v>
      </c>
      <c r="M31" s="133">
        <f t="shared" si="12"/>
        <v>79</v>
      </c>
      <c r="N31" s="133">
        <f t="shared" si="12"/>
        <v>275</v>
      </c>
      <c r="O31" s="164">
        <f t="shared" si="12"/>
        <v>243</v>
      </c>
      <c r="P31" s="166">
        <f>SUM(P23:P30)</f>
        <v>1510</v>
      </c>
      <c r="Q31" s="173">
        <f>SUM(Q23:Q30)</f>
        <v>2322</v>
      </c>
      <c r="T31" s="443" t="s">
        <v>26</v>
      </c>
      <c r="U31" s="444"/>
      <c r="V31" s="133">
        <f t="shared" ref="V31:AH31" si="13">SUM(V23:V30)</f>
        <v>0</v>
      </c>
      <c r="W31" s="133">
        <f t="shared" si="13"/>
        <v>0</v>
      </c>
      <c r="X31" s="133">
        <f t="shared" si="13"/>
        <v>0</v>
      </c>
      <c r="Y31" s="133">
        <f t="shared" si="13"/>
        <v>0</v>
      </c>
      <c r="Z31" s="133">
        <f t="shared" si="13"/>
        <v>0</v>
      </c>
      <c r="AA31" s="134">
        <f t="shared" si="13"/>
        <v>93</v>
      </c>
      <c r="AB31" s="135">
        <f t="shared" si="13"/>
        <v>0</v>
      </c>
      <c r="AC31" s="133">
        <f t="shared" si="13"/>
        <v>0</v>
      </c>
      <c r="AD31" s="133">
        <f t="shared" si="13"/>
        <v>0</v>
      </c>
      <c r="AE31" s="133">
        <f t="shared" si="13"/>
        <v>0</v>
      </c>
      <c r="AF31" s="133">
        <f t="shared" si="13"/>
        <v>0</v>
      </c>
      <c r="AG31" s="133">
        <f t="shared" si="13"/>
        <v>0</v>
      </c>
      <c r="AH31" s="134">
        <f t="shared" si="13"/>
        <v>93</v>
      </c>
    </row>
    <row r="37" spans="1:17" ht="15.75" x14ac:dyDescent="0.25">
      <c r="A37" s="445" t="s">
        <v>155</v>
      </c>
      <c r="B37" s="445"/>
      <c r="C37" s="445"/>
      <c r="D37" s="445"/>
      <c r="E37" s="445"/>
      <c r="F37" s="445"/>
      <c r="G37" s="445"/>
      <c r="H37" s="445"/>
      <c r="I37" s="445"/>
      <c r="J37" s="445"/>
      <c r="K37" s="445"/>
      <c r="L37" s="445"/>
      <c r="M37" s="445"/>
      <c r="N37" s="445"/>
      <c r="O37" s="445"/>
      <c r="P37" s="445"/>
      <c r="Q37" s="445"/>
    </row>
    <row r="38" spans="1:17" ht="15.75" x14ac:dyDescent="0.25">
      <c r="A38" s="445" t="s">
        <v>83</v>
      </c>
      <c r="B38" s="445"/>
      <c r="C38" s="445"/>
      <c r="D38" s="445"/>
      <c r="E38" s="445"/>
      <c r="F38" s="445"/>
      <c r="G38" s="445"/>
      <c r="H38" s="445"/>
      <c r="I38" s="445"/>
      <c r="J38" s="445"/>
      <c r="K38" s="445"/>
      <c r="L38" s="445"/>
      <c r="M38" s="445"/>
      <c r="N38" s="445"/>
      <c r="O38" s="445"/>
      <c r="P38" s="445"/>
      <c r="Q38" s="445"/>
    </row>
    <row r="39" spans="1:17" ht="15.75" thickBot="1" x14ac:dyDescent="0.3">
      <c r="Q39" s="77" t="s">
        <v>1</v>
      </c>
    </row>
    <row r="40" spans="1:17" x14ac:dyDescent="0.25">
      <c r="A40" s="440" t="s">
        <v>2</v>
      </c>
      <c r="B40" s="442" t="s">
        <v>3</v>
      </c>
      <c r="C40" s="446" t="s">
        <v>84</v>
      </c>
      <c r="D40" s="447"/>
      <c r="E40" s="447"/>
      <c r="F40" s="447"/>
      <c r="G40" s="447"/>
      <c r="H40" s="447"/>
      <c r="I40" s="448" t="s">
        <v>91</v>
      </c>
      <c r="J40" s="447">
        <v>2015</v>
      </c>
      <c r="K40" s="447"/>
      <c r="L40" s="447"/>
      <c r="M40" s="447"/>
      <c r="N40" s="447"/>
      <c r="O40" s="447"/>
      <c r="P40" s="448" t="s">
        <v>92</v>
      </c>
      <c r="Q40" s="450" t="s">
        <v>5</v>
      </c>
    </row>
    <row r="41" spans="1:17" x14ac:dyDescent="0.25">
      <c r="A41" s="441"/>
      <c r="B41" s="426"/>
      <c r="C41" s="141" t="s">
        <v>15</v>
      </c>
      <c r="D41" s="141" t="s">
        <v>16</v>
      </c>
      <c r="E41" s="141" t="s">
        <v>17</v>
      </c>
      <c r="F41" s="141" t="s">
        <v>6</v>
      </c>
      <c r="G41" s="141" t="s">
        <v>78</v>
      </c>
      <c r="H41" s="158" t="s">
        <v>79</v>
      </c>
      <c r="I41" s="449"/>
      <c r="J41" s="117" t="s">
        <v>80</v>
      </c>
      <c r="K41" s="141" t="s">
        <v>10</v>
      </c>
      <c r="L41" s="141" t="s">
        <v>11</v>
      </c>
      <c r="M41" s="141" t="s">
        <v>12</v>
      </c>
      <c r="N41" s="141" t="s">
        <v>81</v>
      </c>
      <c r="O41" s="158" t="s">
        <v>82</v>
      </c>
      <c r="P41" s="449"/>
      <c r="Q41" s="451"/>
    </row>
    <row r="42" spans="1:17" ht="15.75" thickBot="1" x14ac:dyDescent="0.3">
      <c r="A42" s="128">
        <v>1</v>
      </c>
      <c r="B42" s="5">
        <v>2</v>
      </c>
      <c r="C42" s="5">
        <v>3</v>
      </c>
      <c r="D42" s="5">
        <v>4</v>
      </c>
      <c r="E42" s="5">
        <v>5</v>
      </c>
      <c r="F42" s="5">
        <v>6</v>
      </c>
      <c r="G42" s="5">
        <v>7</v>
      </c>
      <c r="H42" s="159">
        <v>8</v>
      </c>
      <c r="I42" s="165">
        <v>9</v>
      </c>
      <c r="J42" s="118">
        <v>10</v>
      </c>
      <c r="K42" s="5">
        <v>11</v>
      </c>
      <c r="L42" s="5">
        <v>12</v>
      </c>
      <c r="M42" s="5">
        <v>13</v>
      </c>
      <c r="N42" s="5">
        <v>14</v>
      </c>
      <c r="O42" s="159">
        <v>15</v>
      </c>
      <c r="P42" s="165">
        <v>16</v>
      </c>
      <c r="Q42" s="174">
        <v>17</v>
      </c>
    </row>
    <row r="43" spans="1:17" ht="15.75" thickTop="1" x14ac:dyDescent="0.25">
      <c r="A43" s="85">
        <v>1</v>
      </c>
      <c r="B43" s="7" t="s">
        <v>18</v>
      </c>
      <c r="C43" s="59">
        <v>7</v>
      </c>
      <c r="D43" s="28">
        <v>0</v>
      </c>
      <c r="E43" s="28">
        <v>0</v>
      </c>
      <c r="F43" s="63">
        <v>0</v>
      </c>
      <c r="G43" s="63">
        <v>0</v>
      </c>
      <c r="H43" s="160">
        <v>0</v>
      </c>
      <c r="I43" s="167">
        <f>SUM(C43:H43)</f>
        <v>7</v>
      </c>
      <c r="J43" s="119">
        <v>1327</v>
      </c>
      <c r="K43" s="28">
        <v>0</v>
      </c>
      <c r="L43" s="9">
        <v>10</v>
      </c>
      <c r="M43" s="28">
        <v>0</v>
      </c>
      <c r="N43" s="357">
        <f>'padi sawah'!J75</f>
        <v>90</v>
      </c>
      <c r="O43" s="403">
        <f>'padi sawah'!K75</f>
        <v>35</v>
      </c>
      <c r="P43" s="167">
        <f>SUM(J43:O43)</f>
        <v>1462</v>
      </c>
      <c r="Q43" s="170">
        <f>SUM(I43,P43)</f>
        <v>1469</v>
      </c>
    </row>
    <row r="44" spans="1:17" x14ac:dyDescent="0.25">
      <c r="A44" s="86">
        <v>2</v>
      </c>
      <c r="B44" s="12" t="s">
        <v>19</v>
      </c>
      <c r="C44" s="61">
        <v>20</v>
      </c>
      <c r="D44" s="16">
        <v>5</v>
      </c>
      <c r="E44" s="16">
        <v>0</v>
      </c>
      <c r="F44" s="61">
        <v>0</v>
      </c>
      <c r="G44" s="16">
        <v>173</v>
      </c>
      <c r="H44" s="162">
        <v>523</v>
      </c>
      <c r="I44" s="168">
        <f t="shared" ref="I44:I50" si="14">SUM(C44:H44)</f>
        <v>721</v>
      </c>
      <c r="J44" s="120">
        <v>455</v>
      </c>
      <c r="K44" s="16">
        <v>805</v>
      </c>
      <c r="L44" s="8">
        <v>0</v>
      </c>
      <c r="M44" s="16">
        <v>245</v>
      </c>
      <c r="N44" s="8">
        <f>'padi sawah'!J76</f>
        <v>639</v>
      </c>
      <c r="O44" s="405">
        <f>'padi sawah'!K76</f>
        <v>102</v>
      </c>
      <c r="P44" s="168">
        <f t="shared" ref="P44:P50" si="15">SUM(J44:O44)</f>
        <v>2246</v>
      </c>
      <c r="Q44" s="171">
        <f t="shared" ref="Q44:Q50" si="16">SUM(I44,P44)</f>
        <v>2967</v>
      </c>
    </row>
    <row r="45" spans="1:17" x14ac:dyDescent="0.25">
      <c r="A45" s="86">
        <v>3</v>
      </c>
      <c r="B45" s="7" t="s">
        <v>20</v>
      </c>
      <c r="C45" s="61">
        <v>0</v>
      </c>
      <c r="D45" s="16">
        <v>0</v>
      </c>
      <c r="E45" s="16">
        <v>0</v>
      </c>
      <c r="F45" s="61">
        <v>0</v>
      </c>
      <c r="G45" s="16">
        <v>0</v>
      </c>
      <c r="H45" s="162">
        <v>52</v>
      </c>
      <c r="I45" s="168">
        <f t="shared" si="14"/>
        <v>52</v>
      </c>
      <c r="J45" s="120">
        <v>231</v>
      </c>
      <c r="K45" s="16">
        <v>0</v>
      </c>
      <c r="L45" s="8">
        <v>0</v>
      </c>
      <c r="M45" s="16">
        <v>28</v>
      </c>
      <c r="N45" s="8">
        <f>'padi sawah'!J77</f>
        <v>30</v>
      </c>
      <c r="O45" s="405">
        <f>'padi sawah'!K77</f>
        <v>0</v>
      </c>
      <c r="P45" s="168">
        <f t="shared" si="15"/>
        <v>289</v>
      </c>
      <c r="Q45" s="171">
        <f t="shared" si="16"/>
        <v>341</v>
      </c>
    </row>
    <row r="46" spans="1:17" x14ac:dyDescent="0.25">
      <c r="A46" s="87">
        <v>4</v>
      </c>
      <c r="B46" s="15" t="s">
        <v>21</v>
      </c>
      <c r="C46" s="61">
        <v>0</v>
      </c>
      <c r="D46" s="16">
        <v>0</v>
      </c>
      <c r="E46" s="16">
        <v>11</v>
      </c>
      <c r="F46" s="61">
        <v>0</v>
      </c>
      <c r="G46" s="16">
        <v>16</v>
      </c>
      <c r="H46" s="162">
        <v>943</v>
      </c>
      <c r="I46" s="168">
        <f t="shared" si="14"/>
        <v>970</v>
      </c>
      <c r="J46" s="121">
        <v>104</v>
      </c>
      <c r="K46" s="17">
        <v>0</v>
      </c>
      <c r="L46" s="16">
        <v>0</v>
      </c>
      <c r="M46" s="16">
        <v>0</v>
      </c>
      <c r="N46" s="8">
        <f>'padi sawah'!J78</f>
        <v>37</v>
      </c>
      <c r="O46" s="405">
        <f>'padi sawah'!K78</f>
        <v>35</v>
      </c>
      <c r="P46" s="168">
        <f t="shared" si="15"/>
        <v>176</v>
      </c>
      <c r="Q46" s="171">
        <f t="shared" si="16"/>
        <v>1146</v>
      </c>
    </row>
    <row r="47" spans="1:17" x14ac:dyDescent="0.25">
      <c r="A47" s="87">
        <v>5</v>
      </c>
      <c r="B47" s="19" t="s">
        <v>22</v>
      </c>
      <c r="C47" s="16">
        <v>121</v>
      </c>
      <c r="D47" s="16">
        <v>26</v>
      </c>
      <c r="E47" s="16">
        <v>0</v>
      </c>
      <c r="F47" s="61">
        <v>0</v>
      </c>
      <c r="G47" s="16">
        <v>0</v>
      </c>
      <c r="H47" s="162">
        <v>144</v>
      </c>
      <c r="I47" s="168">
        <f t="shared" si="14"/>
        <v>291</v>
      </c>
      <c r="J47" s="121">
        <v>1406</v>
      </c>
      <c r="K47" s="16">
        <v>0</v>
      </c>
      <c r="L47" s="16">
        <v>0</v>
      </c>
      <c r="M47" s="16">
        <v>0</v>
      </c>
      <c r="N47" s="8">
        <f>'padi sawah'!J79</f>
        <v>0</v>
      </c>
      <c r="O47" s="405">
        <f>'padi sawah'!K79</f>
        <v>59</v>
      </c>
      <c r="P47" s="168">
        <f t="shared" si="15"/>
        <v>1465</v>
      </c>
      <c r="Q47" s="171">
        <f t="shared" si="16"/>
        <v>1756</v>
      </c>
    </row>
    <row r="48" spans="1:17" x14ac:dyDescent="0.25">
      <c r="A48" s="87">
        <v>6</v>
      </c>
      <c r="B48" s="19" t="s">
        <v>23</v>
      </c>
      <c r="C48" s="16">
        <v>0</v>
      </c>
      <c r="D48" s="16">
        <v>0</v>
      </c>
      <c r="E48" s="16">
        <v>0</v>
      </c>
      <c r="F48" s="61">
        <v>0</v>
      </c>
      <c r="G48" s="16">
        <v>0</v>
      </c>
      <c r="H48" s="162">
        <v>325</v>
      </c>
      <c r="I48" s="168">
        <f t="shared" si="14"/>
        <v>325</v>
      </c>
      <c r="J48" s="121">
        <v>0</v>
      </c>
      <c r="K48" s="16">
        <v>0</v>
      </c>
      <c r="L48" s="16">
        <v>42</v>
      </c>
      <c r="M48" s="16">
        <v>0</v>
      </c>
      <c r="N48" s="8">
        <f>'padi sawah'!J80</f>
        <v>70</v>
      </c>
      <c r="O48" s="405">
        <f>'padi sawah'!K80</f>
        <v>94</v>
      </c>
      <c r="P48" s="168">
        <f t="shared" si="15"/>
        <v>206</v>
      </c>
      <c r="Q48" s="171">
        <f t="shared" si="16"/>
        <v>531</v>
      </c>
    </row>
    <row r="49" spans="1:17" x14ac:dyDescent="0.25">
      <c r="A49" s="87">
        <v>7</v>
      </c>
      <c r="B49" s="19" t="s">
        <v>24</v>
      </c>
      <c r="C49" s="16">
        <v>270</v>
      </c>
      <c r="D49" s="16">
        <v>22</v>
      </c>
      <c r="E49" s="16">
        <v>11</v>
      </c>
      <c r="F49" s="61">
        <v>5</v>
      </c>
      <c r="G49" s="16">
        <v>6</v>
      </c>
      <c r="H49" s="162">
        <v>479</v>
      </c>
      <c r="I49" s="168">
        <f t="shared" si="14"/>
        <v>793</v>
      </c>
      <c r="J49" s="121">
        <v>1000</v>
      </c>
      <c r="K49" s="16">
        <v>129</v>
      </c>
      <c r="L49" s="16">
        <v>0</v>
      </c>
      <c r="M49" s="16">
        <v>9</v>
      </c>
      <c r="N49" s="8">
        <f>'padi sawah'!J81</f>
        <v>206</v>
      </c>
      <c r="O49" s="405">
        <f>'padi sawah'!K81</f>
        <v>1114</v>
      </c>
      <c r="P49" s="168">
        <f t="shared" si="15"/>
        <v>2458</v>
      </c>
      <c r="Q49" s="171">
        <f t="shared" si="16"/>
        <v>3251</v>
      </c>
    </row>
    <row r="50" spans="1:17" ht="15.75" thickBot="1" x14ac:dyDescent="0.3">
      <c r="A50" s="88">
        <v>8</v>
      </c>
      <c r="B50" s="15" t="s">
        <v>25</v>
      </c>
      <c r="C50" s="17">
        <v>219</v>
      </c>
      <c r="D50" s="17">
        <v>142</v>
      </c>
      <c r="E50" s="17">
        <v>0</v>
      </c>
      <c r="F50" s="62">
        <v>0</v>
      </c>
      <c r="G50" s="17">
        <v>174</v>
      </c>
      <c r="H50" s="163">
        <v>1590</v>
      </c>
      <c r="I50" s="169">
        <f t="shared" si="14"/>
        <v>2125</v>
      </c>
      <c r="J50" s="122">
        <v>443</v>
      </c>
      <c r="K50" s="17">
        <v>0</v>
      </c>
      <c r="L50" s="17">
        <v>27</v>
      </c>
      <c r="M50" s="17">
        <v>248</v>
      </c>
      <c r="N50" s="358">
        <f>'padi sawah'!J82</f>
        <v>590</v>
      </c>
      <c r="O50" s="404">
        <f>'padi sawah'!K82</f>
        <v>66</v>
      </c>
      <c r="P50" s="169">
        <f t="shared" si="15"/>
        <v>1374</v>
      </c>
      <c r="Q50" s="172">
        <f t="shared" si="16"/>
        <v>3499</v>
      </c>
    </row>
    <row r="51" spans="1:17" ht="16.5" thickTop="1" thickBot="1" x14ac:dyDescent="0.3">
      <c r="A51" s="443" t="s">
        <v>26</v>
      </c>
      <c r="B51" s="444"/>
      <c r="C51" s="133">
        <f t="shared" ref="C51:O51" si="17">SUM(C43:C50)</f>
        <v>637</v>
      </c>
      <c r="D51" s="133">
        <f t="shared" si="17"/>
        <v>195</v>
      </c>
      <c r="E51" s="133">
        <f t="shared" si="17"/>
        <v>22</v>
      </c>
      <c r="F51" s="133">
        <f t="shared" si="17"/>
        <v>5</v>
      </c>
      <c r="G51" s="133">
        <f t="shared" si="17"/>
        <v>369</v>
      </c>
      <c r="H51" s="164">
        <f t="shared" si="17"/>
        <v>4056</v>
      </c>
      <c r="I51" s="166">
        <f>SUM(I43:I50)</f>
        <v>5284</v>
      </c>
      <c r="J51" s="135">
        <f t="shared" si="17"/>
        <v>4966</v>
      </c>
      <c r="K51" s="133">
        <f t="shared" si="17"/>
        <v>934</v>
      </c>
      <c r="L51" s="133">
        <f t="shared" si="17"/>
        <v>79</v>
      </c>
      <c r="M51" s="133">
        <f t="shared" si="17"/>
        <v>530</v>
      </c>
      <c r="N51" s="133">
        <f t="shared" si="17"/>
        <v>1662</v>
      </c>
      <c r="O51" s="164">
        <f t="shared" si="17"/>
        <v>1505</v>
      </c>
      <c r="P51" s="166">
        <f>SUM(P43:P50)</f>
        <v>9676</v>
      </c>
      <c r="Q51" s="173">
        <f>SUM(Q43:Q50)</f>
        <v>14960</v>
      </c>
    </row>
    <row r="53" spans="1:17" ht="15.75" x14ac:dyDescent="0.25">
      <c r="A53" s="445" t="s">
        <v>156</v>
      </c>
      <c r="B53" s="445"/>
      <c r="C53" s="445"/>
      <c r="D53" s="445"/>
      <c r="E53" s="445"/>
      <c r="F53" s="445"/>
      <c r="G53" s="445"/>
      <c r="H53" s="445"/>
      <c r="I53" s="445"/>
      <c r="J53" s="445"/>
      <c r="K53" s="445"/>
      <c r="L53" s="445"/>
      <c r="M53" s="445"/>
      <c r="N53" s="445"/>
      <c r="O53" s="445"/>
      <c r="P53" s="445"/>
      <c r="Q53" s="445"/>
    </row>
    <row r="54" spans="1:17" ht="15.75" x14ac:dyDescent="0.25">
      <c r="A54" s="445" t="s">
        <v>83</v>
      </c>
      <c r="B54" s="445"/>
      <c r="C54" s="445"/>
      <c r="D54" s="445"/>
      <c r="E54" s="445"/>
      <c r="F54" s="445"/>
      <c r="G54" s="445"/>
      <c r="H54" s="445"/>
      <c r="I54" s="445"/>
      <c r="J54" s="445"/>
      <c r="K54" s="445"/>
      <c r="L54" s="445"/>
      <c r="M54" s="445"/>
      <c r="N54" s="445"/>
      <c r="O54" s="445"/>
      <c r="P54" s="445"/>
      <c r="Q54" s="445"/>
    </row>
    <row r="55" spans="1:17" ht="15.75" thickBot="1" x14ac:dyDescent="0.3">
      <c r="Q55" s="77" t="s">
        <v>31</v>
      </c>
    </row>
    <row r="56" spans="1:17" x14ac:dyDescent="0.25">
      <c r="A56" s="440" t="s">
        <v>2</v>
      </c>
      <c r="B56" s="442" t="s">
        <v>3</v>
      </c>
      <c r="C56" s="446" t="s">
        <v>84</v>
      </c>
      <c r="D56" s="447"/>
      <c r="E56" s="447"/>
      <c r="F56" s="447"/>
      <c r="G56" s="447"/>
      <c r="H56" s="447"/>
      <c r="I56" s="448" t="s">
        <v>91</v>
      </c>
      <c r="J56" s="447">
        <v>2015</v>
      </c>
      <c r="K56" s="447"/>
      <c r="L56" s="447"/>
      <c r="M56" s="447"/>
      <c r="N56" s="447"/>
      <c r="O56" s="447"/>
      <c r="P56" s="448" t="s">
        <v>92</v>
      </c>
      <c r="Q56" s="450" t="s">
        <v>5</v>
      </c>
    </row>
    <row r="57" spans="1:17" x14ac:dyDescent="0.25">
      <c r="A57" s="441"/>
      <c r="B57" s="426"/>
      <c r="C57" s="141" t="s">
        <v>15</v>
      </c>
      <c r="D57" s="141" t="s">
        <v>16</v>
      </c>
      <c r="E57" s="141" t="s">
        <v>17</v>
      </c>
      <c r="F57" s="141" t="s">
        <v>6</v>
      </c>
      <c r="G57" s="141" t="s">
        <v>78</v>
      </c>
      <c r="H57" s="158" t="s">
        <v>79</v>
      </c>
      <c r="I57" s="449"/>
      <c r="J57" s="117" t="s">
        <v>80</v>
      </c>
      <c r="K57" s="141" t="s">
        <v>10</v>
      </c>
      <c r="L57" s="141" t="s">
        <v>11</v>
      </c>
      <c r="M57" s="141" t="s">
        <v>12</v>
      </c>
      <c r="N57" s="141" t="s">
        <v>81</v>
      </c>
      <c r="O57" s="158" t="s">
        <v>82</v>
      </c>
      <c r="P57" s="449"/>
      <c r="Q57" s="451"/>
    </row>
    <row r="58" spans="1:17" ht="15.75" thickBot="1" x14ac:dyDescent="0.3">
      <c r="A58" s="128">
        <v>1</v>
      </c>
      <c r="B58" s="5">
        <v>2</v>
      </c>
      <c r="C58" s="5">
        <v>3</v>
      </c>
      <c r="D58" s="5">
        <v>4</v>
      </c>
      <c r="E58" s="5">
        <v>5</v>
      </c>
      <c r="F58" s="5">
        <v>6</v>
      </c>
      <c r="G58" s="5">
        <v>7</v>
      </c>
      <c r="H58" s="159">
        <v>8</v>
      </c>
      <c r="I58" s="165">
        <v>9</v>
      </c>
      <c r="J58" s="118">
        <v>10</v>
      </c>
      <c r="K58" s="5">
        <v>11</v>
      </c>
      <c r="L58" s="5">
        <v>12</v>
      </c>
      <c r="M58" s="5">
        <v>13</v>
      </c>
      <c r="N58" s="5">
        <v>14</v>
      </c>
      <c r="O58" s="159">
        <v>15</v>
      </c>
      <c r="P58" s="165">
        <v>16</v>
      </c>
      <c r="Q58" s="174">
        <v>17</v>
      </c>
    </row>
    <row r="59" spans="1:17" ht="16.5" thickTop="1" x14ac:dyDescent="0.25">
      <c r="A59" s="85">
        <v>1</v>
      </c>
      <c r="B59" s="7" t="s">
        <v>18</v>
      </c>
      <c r="C59" s="149">
        <v>35.049999999999997</v>
      </c>
      <c r="D59" s="150">
        <v>0</v>
      </c>
      <c r="E59" s="150">
        <v>0</v>
      </c>
      <c r="F59" s="64">
        <v>0</v>
      </c>
      <c r="G59" s="64">
        <v>0</v>
      </c>
      <c r="H59" s="182">
        <v>0</v>
      </c>
      <c r="I59" s="188">
        <f>I43/I23*10</f>
        <v>35</v>
      </c>
      <c r="J59" s="193">
        <v>65.08</v>
      </c>
      <c r="K59" s="32">
        <v>0</v>
      </c>
      <c r="L59" s="70">
        <f>'padi sawah'!H108</f>
        <v>52.02</v>
      </c>
      <c r="M59" s="32">
        <v>0</v>
      </c>
      <c r="N59" s="362">
        <f>'padi sawah'!J108</f>
        <v>45.25</v>
      </c>
      <c r="O59" s="406">
        <f>'padi sawah'!K108</f>
        <v>58</v>
      </c>
      <c r="P59" s="188">
        <f>P43/P23*10</f>
        <v>63.017241379310349</v>
      </c>
      <c r="Q59" s="181">
        <f>Q43/Q23*10</f>
        <v>62.777777777777779</v>
      </c>
    </row>
    <row r="60" spans="1:17" ht="15.75" x14ac:dyDescent="0.25">
      <c r="A60" s="86">
        <v>2</v>
      </c>
      <c r="B60" s="12" t="s">
        <v>19</v>
      </c>
      <c r="C60" s="151">
        <v>65.3</v>
      </c>
      <c r="D60" s="152">
        <v>50.12</v>
      </c>
      <c r="E60" s="152">
        <v>0</v>
      </c>
      <c r="F60" s="66">
        <v>0</v>
      </c>
      <c r="G60" s="34">
        <v>69.14</v>
      </c>
      <c r="H60" s="183">
        <v>81.67</v>
      </c>
      <c r="I60" s="191">
        <f t="shared" ref="I60:I67" si="18">I44/I24*10</f>
        <v>77.526881720430111</v>
      </c>
      <c r="J60" s="194">
        <v>60.63</v>
      </c>
      <c r="K60" s="34">
        <v>89.44</v>
      </c>
      <c r="L60" s="361">
        <v>0</v>
      </c>
      <c r="M60" s="34">
        <v>92.16</v>
      </c>
      <c r="N60" s="361">
        <f>'padi sawah'!J109</f>
        <v>78.89</v>
      </c>
      <c r="O60" s="408">
        <f>'padi sawah'!K109</f>
        <v>84.5</v>
      </c>
      <c r="P60" s="191">
        <f t="shared" ref="P60:Q67" si="19">P44/P24*10</f>
        <v>77.448275862068968</v>
      </c>
      <c r="Q60" s="192">
        <f t="shared" si="19"/>
        <v>77.467362924281986</v>
      </c>
    </row>
    <row r="61" spans="1:17" ht="15.75" x14ac:dyDescent="0.25">
      <c r="A61" s="86">
        <v>3</v>
      </c>
      <c r="B61" s="7" t="s">
        <v>20</v>
      </c>
      <c r="C61" s="151">
        <v>0</v>
      </c>
      <c r="D61" s="152">
        <v>0</v>
      </c>
      <c r="E61" s="152">
        <v>0</v>
      </c>
      <c r="F61" s="66">
        <v>0</v>
      </c>
      <c r="G61" s="34">
        <v>0</v>
      </c>
      <c r="H61" s="183">
        <v>50.74</v>
      </c>
      <c r="I61" s="191">
        <f t="shared" si="18"/>
        <v>52</v>
      </c>
      <c r="J61" s="194">
        <v>60.81</v>
      </c>
      <c r="K61" s="34">
        <v>0</v>
      </c>
      <c r="L61" s="361">
        <v>0</v>
      </c>
      <c r="M61" s="34">
        <v>57</v>
      </c>
      <c r="N61" s="361">
        <f>'padi sawah'!J110</f>
        <v>26.5</v>
      </c>
      <c r="O61" s="408">
        <f>'padi sawah'!K110</f>
        <v>0</v>
      </c>
      <c r="P61" s="191">
        <f t="shared" si="19"/>
        <v>54.528301886792448</v>
      </c>
      <c r="Q61" s="192">
        <f t="shared" si="19"/>
        <v>54.126984126984127</v>
      </c>
    </row>
    <row r="62" spans="1:17" ht="15.75" x14ac:dyDescent="0.25">
      <c r="A62" s="87">
        <v>4</v>
      </c>
      <c r="B62" s="15" t="s">
        <v>21</v>
      </c>
      <c r="C62" s="151">
        <v>0</v>
      </c>
      <c r="D62" s="152">
        <v>0</v>
      </c>
      <c r="E62" s="152">
        <v>54.6</v>
      </c>
      <c r="F62" s="66">
        <v>0</v>
      </c>
      <c r="G62" s="34">
        <v>53.22</v>
      </c>
      <c r="H62" s="183">
        <v>57.15</v>
      </c>
      <c r="I62" s="191">
        <f t="shared" si="18"/>
        <v>57.058823529411768</v>
      </c>
      <c r="J62" s="195">
        <v>65.010000000000005</v>
      </c>
      <c r="K62" s="36">
        <v>0</v>
      </c>
      <c r="L62" s="34">
        <v>0</v>
      </c>
      <c r="M62" s="34">
        <v>0</v>
      </c>
      <c r="N62" s="361">
        <f>'padi sawah'!J111</f>
        <v>52.36</v>
      </c>
      <c r="O62" s="408">
        <f>'padi sawah'!K111</f>
        <v>49.86</v>
      </c>
      <c r="P62" s="191">
        <f t="shared" si="19"/>
        <v>58.666666666666664</v>
      </c>
      <c r="Q62" s="192">
        <f t="shared" si="19"/>
        <v>57.300000000000004</v>
      </c>
    </row>
    <row r="63" spans="1:17" x14ac:dyDescent="0.25">
      <c r="A63" s="87">
        <v>5</v>
      </c>
      <c r="B63" s="19" t="s">
        <v>22</v>
      </c>
      <c r="C63" s="152">
        <v>55.15</v>
      </c>
      <c r="D63" s="152">
        <v>51.1</v>
      </c>
      <c r="E63" s="152">
        <v>0</v>
      </c>
      <c r="F63" s="66">
        <v>0</v>
      </c>
      <c r="G63" s="34">
        <v>0</v>
      </c>
      <c r="H63" s="183">
        <v>57.6</v>
      </c>
      <c r="I63" s="191">
        <f t="shared" si="18"/>
        <v>55.96153846153846</v>
      </c>
      <c r="J63" s="195">
        <v>62.5</v>
      </c>
      <c r="K63" s="34">
        <v>0</v>
      </c>
      <c r="L63" s="34">
        <v>0</v>
      </c>
      <c r="M63" s="34">
        <v>0</v>
      </c>
      <c r="N63" s="361">
        <f>'padi sawah'!J112</f>
        <v>58.72</v>
      </c>
      <c r="O63" s="408">
        <f>'padi sawah'!K112</f>
        <v>58.95</v>
      </c>
      <c r="P63" s="191">
        <f t="shared" si="19"/>
        <v>59.795918367346943</v>
      </c>
      <c r="Q63" s="192">
        <f t="shared" si="19"/>
        <v>59.124579124579128</v>
      </c>
    </row>
    <row r="64" spans="1:17" x14ac:dyDescent="0.25">
      <c r="A64" s="87">
        <v>6</v>
      </c>
      <c r="B64" s="19" t="s">
        <v>23</v>
      </c>
      <c r="C64" s="152">
        <v>0</v>
      </c>
      <c r="D64" s="152">
        <v>0</v>
      </c>
      <c r="E64" s="152">
        <v>0</v>
      </c>
      <c r="F64" s="66">
        <v>0</v>
      </c>
      <c r="G64" s="34">
        <v>0</v>
      </c>
      <c r="H64" s="183">
        <v>73.959999999999994</v>
      </c>
      <c r="I64" s="191">
        <f t="shared" si="18"/>
        <v>73.863636363636374</v>
      </c>
      <c r="J64" s="195">
        <v>0</v>
      </c>
      <c r="K64" s="34">
        <v>0</v>
      </c>
      <c r="L64" s="34">
        <v>70.45</v>
      </c>
      <c r="M64" s="34">
        <v>0</v>
      </c>
      <c r="N64" s="361">
        <f>'padi sawah'!J113</f>
        <v>70.25</v>
      </c>
      <c r="O64" s="408">
        <f>'padi sawah'!K113</f>
        <v>67.12</v>
      </c>
      <c r="P64" s="191">
        <v>0</v>
      </c>
      <c r="Q64" s="192">
        <f t="shared" si="19"/>
        <v>71.756756756756758</v>
      </c>
    </row>
    <row r="65" spans="1:20" x14ac:dyDescent="0.25">
      <c r="A65" s="87">
        <v>7</v>
      </c>
      <c r="B65" s="19" t="s">
        <v>24</v>
      </c>
      <c r="C65" s="152">
        <v>55.17</v>
      </c>
      <c r="D65" s="152">
        <v>56.12</v>
      </c>
      <c r="E65" s="152">
        <v>54.2</v>
      </c>
      <c r="F65" s="66">
        <v>52.5</v>
      </c>
      <c r="G65" s="34">
        <v>58.48</v>
      </c>
      <c r="H65" s="183">
        <v>52.05</v>
      </c>
      <c r="I65" s="191">
        <f t="shared" si="18"/>
        <v>53.22147651006712</v>
      </c>
      <c r="J65" s="195">
        <v>61.75</v>
      </c>
      <c r="K65" s="34">
        <v>56.15</v>
      </c>
      <c r="L65" s="34">
        <v>0</v>
      </c>
      <c r="M65" s="34">
        <v>45.11</v>
      </c>
      <c r="N65" s="361">
        <f>'padi sawah'!J114</f>
        <v>68.8</v>
      </c>
      <c r="O65" s="408">
        <f>'padi sawah'!K114</f>
        <v>60.89</v>
      </c>
      <c r="P65" s="191">
        <f t="shared" si="19"/>
        <v>61.449999999999996</v>
      </c>
      <c r="Q65" s="192">
        <f t="shared" si="19"/>
        <v>59.216757741347905</v>
      </c>
    </row>
    <row r="66" spans="1:20" ht="15.75" thickBot="1" x14ac:dyDescent="0.3">
      <c r="A66" s="88">
        <v>8</v>
      </c>
      <c r="B66" s="15" t="s">
        <v>25</v>
      </c>
      <c r="C66" s="153">
        <v>64.5</v>
      </c>
      <c r="D66" s="153">
        <v>64.5</v>
      </c>
      <c r="E66" s="153">
        <v>0</v>
      </c>
      <c r="F66" s="67">
        <v>0</v>
      </c>
      <c r="G66" s="36">
        <v>58.05</v>
      </c>
      <c r="H66" s="184">
        <v>77.2</v>
      </c>
      <c r="I66" s="189">
        <f t="shared" si="18"/>
        <v>72.773972602739732</v>
      </c>
      <c r="J66" s="196">
        <v>65.2</v>
      </c>
      <c r="K66" s="36">
        <v>0</v>
      </c>
      <c r="L66" s="36">
        <v>68.8</v>
      </c>
      <c r="M66" s="34">
        <v>61.92</v>
      </c>
      <c r="N66" s="363">
        <f>'padi sawah'!J115</f>
        <v>55.15</v>
      </c>
      <c r="O66" s="407">
        <f>'padi sawah'!K115</f>
        <v>60</v>
      </c>
      <c r="P66" s="189">
        <f t="shared" si="19"/>
        <v>59.739130434782609</v>
      </c>
      <c r="Q66" s="190">
        <f t="shared" si="19"/>
        <v>67.030651340996172</v>
      </c>
    </row>
    <row r="67" spans="1:20" ht="16.5" thickTop="1" thickBot="1" x14ac:dyDescent="0.3">
      <c r="A67" s="443" t="s">
        <v>26</v>
      </c>
      <c r="B67" s="444"/>
      <c r="C67" s="208">
        <v>57.909090909090907</v>
      </c>
      <c r="D67" s="208">
        <v>60.9375</v>
      </c>
      <c r="E67" s="209">
        <v>54.4</v>
      </c>
      <c r="F67" s="156">
        <v>52.5</v>
      </c>
      <c r="G67" s="156">
        <v>62.542372881355931</v>
      </c>
      <c r="H67" s="185">
        <v>66.930693069306926</v>
      </c>
      <c r="I67" s="187">
        <f t="shared" si="18"/>
        <v>65.073891625615772</v>
      </c>
      <c r="J67" s="197">
        <v>63.020304568527919</v>
      </c>
      <c r="K67" s="156">
        <f>K51/K31*10</f>
        <v>82.654867256637175</v>
      </c>
      <c r="L67" s="156">
        <f>L51/L31*10</f>
        <v>65.833333333333329</v>
      </c>
      <c r="M67" s="156">
        <f>M51/M31*10</f>
        <v>67.088607594936718</v>
      </c>
      <c r="N67" s="156">
        <f>N51/N31*10</f>
        <v>60.436363636363637</v>
      </c>
      <c r="O67" s="156">
        <f>O51/O31*10</f>
        <v>61.934156378600818</v>
      </c>
      <c r="P67" s="187">
        <f t="shared" si="19"/>
        <v>64.079470198675494</v>
      </c>
      <c r="Q67" s="186">
        <f t="shared" si="19"/>
        <v>64.427217915590006</v>
      </c>
    </row>
    <row r="73" spans="1:20" ht="15.75" x14ac:dyDescent="0.25">
      <c r="A73" s="445" t="s">
        <v>157</v>
      </c>
      <c r="B73" s="445"/>
      <c r="C73" s="445"/>
      <c r="D73" s="445"/>
      <c r="E73" s="445"/>
      <c r="F73" s="445"/>
      <c r="G73" s="445"/>
      <c r="H73" s="445"/>
      <c r="I73" s="445"/>
      <c r="J73" s="445"/>
      <c r="K73" s="445"/>
      <c r="L73" s="445"/>
      <c r="M73" s="445"/>
      <c r="N73" s="445"/>
      <c r="O73" s="445"/>
      <c r="P73" s="445"/>
      <c r="Q73" s="445"/>
      <c r="R73" s="110"/>
      <c r="S73" s="110"/>
    </row>
    <row r="74" spans="1:20" ht="15.75" x14ac:dyDescent="0.25">
      <c r="A74" s="445" t="s">
        <v>83</v>
      </c>
      <c r="B74" s="445"/>
      <c r="C74" s="445"/>
      <c r="D74" s="445"/>
      <c r="E74" s="445"/>
      <c r="F74" s="445"/>
      <c r="G74" s="445"/>
      <c r="H74" s="445"/>
      <c r="I74" s="445"/>
      <c r="J74" s="445"/>
      <c r="K74" s="445"/>
      <c r="L74" s="445"/>
      <c r="M74" s="445"/>
      <c r="N74" s="445"/>
      <c r="O74" s="445"/>
      <c r="P74" s="445"/>
      <c r="Q74" s="445"/>
      <c r="R74" s="110"/>
      <c r="S74" s="110"/>
    </row>
    <row r="75" spans="1:20" ht="15.75" thickBot="1" x14ac:dyDescent="0.3">
      <c r="Q75" s="77" t="s">
        <v>1</v>
      </c>
      <c r="R75" s="110"/>
      <c r="S75" s="110"/>
    </row>
    <row r="76" spans="1:20" x14ac:dyDescent="0.25">
      <c r="A76" s="440" t="s">
        <v>2</v>
      </c>
      <c r="B76" s="442" t="s">
        <v>3</v>
      </c>
      <c r="C76" s="446" t="s">
        <v>84</v>
      </c>
      <c r="D76" s="447"/>
      <c r="E76" s="447"/>
      <c r="F76" s="447"/>
      <c r="G76" s="447"/>
      <c r="H76" s="447"/>
      <c r="I76" s="448" t="s">
        <v>91</v>
      </c>
      <c r="J76" s="447">
        <v>2015</v>
      </c>
      <c r="K76" s="447"/>
      <c r="L76" s="447"/>
      <c r="M76" s="447"/>
      <c r="N76" s="447"/>
      <c r="O76" s="447"/>
      <c r="P76" s="448" t="s">
        <v>92</v>
      </c>
      <c r="Q76" s="450" t="s">
        <v>5</v>
      </c>
      <c r="R76" s="110"/>
      <c r="S76" s="110"/>
    </row>
    <row r="77" spans="1:20" x14ac:dyDescent="0.25">
      <c r="A77" s="441"/>
      <c r="B77" s="426"/>
      <c r="C77" s="141" t="s">
        <v>15</v>
      </c>
      <c r="D77" s="141" t="s">
        <v>16</v>
      </c>
      <c r="E77" s="141" t="s">
        <v>17</v>
      </c>
      <c r="F77" s="141" t="s">
        <v>6</v>
      </c>
      <c r="G77" s="141" t="s">
        <v>78</v>
      </c>
      <c r="H77" s="158" t="s">
        <v>79</v>
      </c>
      <c r="I77" s="449"/>
      <c r="J77" s="117" t="s">
        <v>80</v>
      </c>
      <c r="K77" s="141" t="s">
        <v>10</v>
      </c>
      <c r="L77" s="141" t="s">
        <v>11</v>
      </c>
      <c r="M77" s="141" t="s">
        <v>12</v>
      </c>
      <c r="N77" s="141" t="s">
        <v>81</v>
      </c>
      <c r="O77" s="158" t="s">
        <v>82</v>
      </c>
      <c r="P77" s="449"/>
      <c r="Q77" s="451"/>
      <c r="R77" s="110"/>
      <c r="S77" s="110"/>
    </row>
    <row r="78" spans="1:20" ht="15.75" thickBot="1" x14ac:dyDescent="0.3">
      <c r="A78" s="128">
        <v>1</v>
      </c>
      <c r="B78" s="5">
        <v>2</v>
      </c>
      <c r="C78" s="5">
        <v>3</v>
      </c>
      <c r="D78" s="5">
        <v>4</v>
      </c>
      <c r="E78" s="5">
        <v>5</v>
      </c>
      <c r="F78" s="5">
        <v>6</v>
      </c>
      <c r="G78" s="5">
        <v>7</v>
      </c>
      <c r="H78" s="159">
        <v>8</v>
      </c>
      <c r="I78" s="165">
        <v>9</v>
      </c>
      <c r="J78" s="118">
        <v>10</v>
      </c>
      <c r="K78" s="5">
        <v>11</v>
      </c>
      <c r="L78" s="5">
        <v>12</v>
      </c>
      <c r="M78" s="5">
        <v>13</v>
      </c>
      <c r="N78" s="5">
        <v>14</v>
      </c>
      <c r="O78" s="159">
        <v>15</v>
      </c>
      <c r="P78" s="165">
        <v>16</v>
      </c>
      <c r="Q78" s="174">
        <v>17</v>
      </c>
      <c r="R78" s="110"/>
      <c r="S78" s="110"/>
    </row>
    <row r="79" spans="1:20" ht="15.75" thickTop="1" x14ac:dyDescent="0.25">
      <c r="A79" s="85">
        <v>1</v>
      </c>
      <c r="B79" s="7" t="s">
        <v>18</v>
      </c>
      <c r="C79" s="28">
        <v>0</v>
      </c>
      <c r="D79" s="28">
        <v>0</v>
      </c>
      <c r="E79" s="28">
        <v>0</v>
      </c>
      <c r="F79" s="28">
        <v>0</v>
      </c>
      <c r="G79" s="28">
        <v>0</v>
      </c>
      <c r="H79" s="198">
        <v>0</v>
      </c>
      <c r="I79" s="199">
        <f>SUM(C79:H79)</f>
        <v>0</v>
      </c>
      <c r="J79" s="119">
        <v>0</v>
      </c>
      <c r="K79" s="119">
        <v>0</v>
      </c>
      <c r="L79" s="119">
        <v>0</v>
      </c>
      <c r="M79" s="119">
        <v>0</v>
      </c>
      <c r="N79" s="119">
        <v>0</v>
      </c>
      <c r="O79" s="119">
        <v>0</v>
      </c>
      <c r="P79" s="167">
        <f>SUM(J79:O79)</f>
        <v>0</v>
      </c>
      <c r="Q79" s="170">
        <f>SUM(I79,P79)</f>
        <v>0</v>
      </c>
      <c r="R79" s="110"/>
      <c r="S79" s="110"/>
    </row>
    <row r="80" spans="1:20" x14ac:dyDescent="0.25">
      <c r="A80" s="86">
        <v>2</v>
      </c>
      <c r="B80" s="12" t="s">
        <v>19</v>
      </c>
      <c r="C80" s="16">
        <v>0</v>
      </c>
      <c r="D80" s="16">
        <v>0</v>
      </c>
      <c r="E80" s="16">
        <v>0</v>
      </c>
      <c r="F80" s="16">
        <v>0</v>
      </c>
      <c r="G80" s="16">
        <v>0</v>
      </c>
      <c r="H80" s="162">
        <v>0</v>
      </c>
      <c r="I80" s="175">
        <f t="shared" ref="I80:I86" si="20">SUM(C80:H80)</f>
        <v>0</v>
      </c>
      <c r="J80" s="120">
        <v>0</v>
      </c>
      <c r="K80" s="120">
        <v>0</v>
      </c>
      <c r="L80" s="120">
        <v>0</v>
      </c>
      <c r="M80" s="120">
        <v>0</v>
      </c>
      <c r="N80" s="120">
        <v>0</v>
      </c>
      <c r="O80" s="120">
        <v>0</v>
      </c>
      <c r="P80" s="168">
        <f t="shared" ref="P80:P86" si="21">SUM(J80:O80)</f>
        <v>0</v>
      </c>
      <c r="Q80" s="171">
        <f t="shared" ref="Q80:Q86" si="22">SUM(I80,P80)</f>
        <v>0</v>
      </c>
      <c r="R80" s="110"/>
      <c r="S80" s="110"/>
      <c r="T80" s="110"/>
    </row>
    <row r="81" spans="1:17" x14ac:dyDescent="0.25">
      <c r="A81" s="86">
        <v>3</v>
      </c>
      <c r="B81" s="7" t="s">
        <v>20</v>
      </c>
      <c r="C81" s="16">
        <v>0</v>
      </c>
      <c r="D81" s="16">
        <v>0</v>
      </c>
      <c r="E81" s="16">
        <v>15</v>
      </c>
      <c r="F81" s="16">
        <v>10</v>
      </c>
      <c r="G81" s="16">
        <v>0</v>
      </c>
      <c r="H81" s="162">
        <v>0</v>
      </c>
      <c r="I81" s="175">
        <f t="shared" si="20"/>
        <v>25</v>
      </c>
      <c r="J81" s="120">
        <v>0</v>
      </c>
      <c r="K81" s="120">
        <v>0</v>
      </c>
      <c r="L81" s="120">
        <v>0</v>
      </c>
      <c r="M81" s="120">
        <v>0</v>
      </c>
      <c r="N81" s="120">
        <v>0</v>
      </c>
      <c r="O81" s="120">
        <v>0</v>
      </c>
      <c r="P81" s="168">
        <f t="shared" si="21"/>
        <v>0</v>
      </c>
      <c r="Q81" s="171">
        <f t="shared" si="22"/>
        <v>25</v>
      </c>
    </row>
    <row r="82" spans="1:17" x14ac:dyDescent="0.25">
      <c r="A82" s="87">
        <v>4</v>
      </c>
      <c r="B82" s="15" t="s">
        <v>21</v>
      </c>
      <c r="C82" s="16">
        <v>0</v>
      </c>
      <c r="D82" s="16">
        <v>0</v>
      </c>
      <c r="E82" s="16">
        <v>0</v>
      </c>
      <c r="F82" s="16">
        <v>0</v>
      </c>
      <c r="G82" s="16">
        <v>0</v>
      </c>
      <c r="H82" s="162">
        <v>0</v>
      </c>
      <c r="I82" s="175">
        <f t="shared" si="20"/>
        <v>0</v>
      </c>
      <c r="J82" s="121">
        <v>0</v>
      </c>
      <c r="K82" s="121">
        <v>0</v>
      </c>
      <c r="L82" s="121">
        <v>0</v>
      </c>
      <c r="M82" s="121">
        <v>0</v>
      </c>
      <c r="N82" s="121">
        <v>0</v>
      </c>
      <c r="O82" s="121">
        <v>0</v>
      </c>
      <c r="P82" s="168">
        <f t="shared" si="21"/>
        <v>0</v>
      </c>
      <c r="Q82" s="171">
        <f t="shared" si="22"/>
        <v>0</v>
      </c>
    </row>
    <row r="83" spans="1:17" x14ac:dyDescent="0.25">
      <c r="A83" s="87">
        <v>5</v>
      </c>
      <c r="B83" s="19" t="s">
        <v>22</v>
      </c>
      <c r="C83" s="16">
        <v>0</v>
      </c>
      <c r="D83" s="16">
        <v>0</v>
      </c>
      <c r="E83" s="16">
        <v>0</v>
      </c>
      <c r="F83" s="16">
        <v>0</v>
      </c>
      <c r="G83" s="16">
        <v>0</v>
      </c>
      <c r="H83" s="162">
        <v>0</v>
      </c>
      <c r="I83" s="175">
        <f t="shared" si="20"/>
        <v>0</v>
      </c>
      <c r="J83" s="121">
        <v>0</v>
      </c>
      <c r="K83" s="121">
        <v>0</v>
      </c>
      <c r="L83" s="121">
        <v>0</v>
      </c>
      <c r="M83" s="121">
        <v>0</v>
      </c>
      <c r="N83" s="121">
        <v>0</v>
      </c>
      <c r="O83" s="121">
        <v>0</v>
      </c>
      <c r="P83" s="168">
        <f t="shared" si="21"/>
        <v>0</v>
      </c>
      <c r="Q83" s="171">
        <f t="shared" si="22"/>
        <v>0</v>
      </c>
    </row>
    <row r="84" spans="1:17" x14ac:dyDescent="0.25">
      <c r="A84" s="87">
        <v>6</v>
      </c>
      <c r="B84" s="19" t="s">
        <v>23</v>
      </c>
      <c r="C84" s="16">
        <v>0</v>
      </c>
      <c r="D84" s="16">
        <v>0</v>
      </c>
      <c r="E84" s="16">
        <v>0</v>
      </c>
      <c r="F84" s="16">
        <v>0</v>
      </c>
      <c r="G84" s="16">
        <v>0</v>
      </c>
      <c r="H84" s="162">
        <v>0</v>
      </c>
      <c r="I84" s="175">
        <f t="shared" si="20"/>
        <v>0</v>
      </c>
      <c r="J84" s="121">
        <v>0</v>
      </c>
      <c r="K84" s="121">
        <v>0</v>
      </c>
      <c r="L84" s="121">
        <v>0</v>
      </c>
      <c r="M84" s="121">
        <v>0</v>
      </c>
      <c r="N84" s="121">
        <v>0</v>
      </c>
      <c r="O84" s="121">
        <v>0</v>
      </c>
      <c r="P84" s="168">
        <f t="shared" si="21"/>
        <v>0</v>
      </c>
      <c r="Q84" s="171">
        <f t="shared" si="22"/>
        <v>0</v>
      </c>
    </row>
    <row r="85" spans="1:17" x14ac:dyDescent="0.25">
      <c r="A85" s="87">
        <v>7</v>
      </c>
      <c r="B85" s="19" t="s">
        <v>24</v>
      </c>
      <c r="C85" s="16">
        <v>0</v>
      </c>
      <c r="D85" s="16">
        <v>0</v>
      </c>
      <c r="E85" s="16">
        <v>0</v>
      </c>
      <c r="F85" s="16">
        <v>0</v>
      </c>
      <c r="G85" s="16">
        <v>0</v>
      </c>
      <c r="H85" s="162">
        <v>0</v>
      </c>
      <c r="I85" s="175">
        <f t="shared" si="20"/>
        <v>0</v>
      </c>
      <c r="J85" s="121">
        <v>0</v>
      </c>
      <c r="K85" s="121">
        <v>0</v>
      </c>
      <c r="L85" s="121">
        <v>0</v>
      </c>
      <c r="M85" s="121">
        <v>0</v>
      </c>
      <c r="N85" s="121">
        <v>0</v>
      </c>
      <c r="O85" s="121">
        <v>0</v>
      </c>
      <c r="P85" s="168">
        <f t="shared" si="21"/>
        <v>0</v>
      </c>
      <c r="Q85" s="171">
        <f t="shared" si="22"/>
        <v>0</v>
      </c>
    </row>
    <row r="86" spans="1:17" ht="15.75" thickBot="1" x14ac:dyDescent="0.3">
      <c r="A86" s="88">
        <v>8</v>
      </c>
      <c r="B86" s="15" t="s">
        <v>25</v>
      </c>
      <c r="C86" s="17">
        <v>0</v>
      </c>
      <c r="D86" s="17">
        <v>0</v>
      </c>
      <c r="E86" s="17">
        <v>0</v>
      </c>
      <c r="F86" s="17">
        <v>0</v>
      </c>
      <c r="G86" s="17">
        <v>0</v>
      </c>
      <c r="H86" s="163">
        <v>0</v>
      </c>
      <c r="I86" s="200">
        <f t="shared" si="20"/>
        <v>0</v>
      </c>
      <c r="J86" s="122">
        <v>0</v>
      </c>
      <c r="K86" s="122">
        <v>0</v>
      </c>
      <c r="L86" s="122">
        <v>0</v>
      </c>
      <c r="M86" s="122">
        <v>0</v>
      </c>
      <c r="N86" s="122">
        <v>0</v>
      </c>
      <c r="O86" s="122">
        <v>0</v>
      </c>
      <c r="P86" s="169">
        <f t="shared" si="21"/>
        <v>0</v>
      </c>
      <c r="Q86" s="172">
        <f t="shared" si="22"/>
        <v>0</v>
      </c>
    </row>
    <row r="87" spans="1:17" ht="16.5" thickTop="1" thickBot="1" x14ac:dyDescent="0.3">
      <c r="A87" s="443" t="s">
        <v>26</v>
      </c>
      <c r="B87" s="444"/>
      <c r="C87" s="133">
        <f t="shared" ref="C87:O87" si="23">SUM(C79:C86)</f>
        <v>0</v>
      </c>
      <c r="D87" s="133">
        <f t="shared" si="23"/>
        <v>0</v>
      </c>
      <c r="E87" s="133">
        <f t="shared" si="23"/>
        <v>15</v>
      </c>
      <c r="F87" s="133">
        <f t="shared" si="23"/>
        <v>10</v>
      </c>
      <c r="G87" s="133">
        <f t="shared" si="23"/>
        <v>0</v>
      </c>
      <c r="H87" s="164">
        <f t="shared" si="23"/>
        <v>0</v>
      </c>
      <c r="I87" s="166">
        <f>SUM(I79:I86)</f>
        <v>25</v>
      </c>
      <c r="J87" s="135">
        <f t="shared" si="23"/>
        <v>0</v>
      </c>
      <c r="K87" s="133">
        <f t="shared" si="23"/>
        <v>0</v>
      </c>
      <c r="L87" s="133">
        <f t="shared" si="23"/>
        <v>0</v>
      </c>
      <c r="M87" s="133">
        <f t="shared" si="23"/>
        <v>0</v>
      </c>
      <c r="N87" s="133">
        <f t="shared" si="23"/>
        <v>0</v>
      </c>
      <c r="O87" s="164">
        <f t="shared" si="23"/>
        <v>0</v>
      </c>
      <c r="P87" s="166">
        <f>SUM(P79:P86)</f>
        <v>0</v>
      </c>
      <c r="Q87" s="173">
        <f>SUM(Q79:Q86)</f>
        <v>25</v>
      </c>
    </row>
    <row r="89" spans="1:17" ht="15.75" x14ac:dyDescent="0.25">
      <c r="A89" s="445" t="s">
        <v>158</v>
      </c>
      <c r="B89" s="445"/>
      <c r="C89" s="445"/>
      <c r="D89" s="445"/>
      <c r="E89" s="445"/>
      <c r="F89" s="445"/>
      <c r="G89" s="445"/>
      <c r="H89" s="445"/>
      <c r="I89" s="445"/>
      <c r="J89" s="445"/>
      <c r="K89" s="445"/>
      <c r="L89" s="445"/>
      <c r="M89" s="445"/>
      <c r="N89" s="445"/>
      <c r="O89" s="445"/>
      <c r="P89" s="445"/>
      <c r="Q89" s="445"/>
    </row>
    <row r="90" spans="1:17" ht="15.75" x14ac:dyDescent="0.25">
      <c r="A90" s="445" t="s">
        <v>83</v>
      </c>
      <c r="B90" s="445"/>
      <c r="C90" s="445"/>
      <c r="D90" s="445"/>
      <c r="E90" s="445"/>
      <c r="F90" s="445"/>
      <c r="G90" s="445"/>
      <c r="H90" s="445"/>
      <c r="I90" s="445"/>
      <c r="J90" s="445"/>
      <c r="K90" s="445"/>
      <c r="L90" s="445"/>
      <c r="M90" s="445"/>
      <c r="N90" s="445"/>
      <c r="O90" s="445"/>
      <c r="P90" s="445"/>
      <c r="Q90" s="445"/>
    </row>
    <row r="91" spans="1:17" ht="15.75" thickBot="1" x14ac:dyDescent="0.3">
      <c r="Q91" s="77" t="s">
        <v>1</v>
      </c>
    </row>
    <row r="92" spans="1:17" x14ac:dyDescent="0.25">
      <c r="A92" s="440" t="s">
        <v>2</v>
      </c>
      <c r="B92" s="442" t="s">
        <v>3</v>
      </c>
      <c r="C92" s="446" t="s">
        <v>84</v>
      </c>
      <c r="D92" s="447"/>
      <c r="E92" s="447"/>
      <c r="F92" s="447"/>
      <c r="G92" s="447"/>
      <c r="H92" s="447"/>
      <c r="I92" s="448" t="s">
        <v>91</v>
      </c>
      <c r="J92" s="447">
        <v>2015</v>
      </c>
      <c r="K92" s="447"/>
      <c r="L92" s="447"/>
      <c r="M92" s="447"/>
      <c r="N92" s="447"/>
      <c r="O92" s="447"/>
      <c r="P92" s="448" t="s">
        <v>92</v>
      </c>
      <c r="Q92" s="450" t="s">
        <v>5</v>
      </c>
    </row>
    <row r="93" spans="1:17" x14ac:dyDescent="0.25">
      <c r="A93" s="441"/>
      <c r="B93" s="426"/>
      <c r="C93" s="141" t="s">
        <v>15</v>
      </c>
      <c r="D93" s="141" t="s">
        <v>16</v>
      </c>
      <c r="E93" s="141" t="s">
        <v>17</v>
      </c>
      <c r="F93" s="141" t="s">
        <v>6</v>
      </c>
      <c r="G93" s="141" t="s">
        <v>78</v>
      </c>
      <c r="H93" s="158" t="s">
        <v>79</v>
      </c>
      <c r="I93" s="449"/>
      <c r="J93" s="117" t="s">
        <v>80</v>
      </c>
      <c r="K93" s="141" t="s">
        <v>10</v>
      </c>
      <c r="L93" s="141" t="s">
        <v>11</v>
      </c>
      <c r="M93" s="141" t="s">
        <v>12</v>
      </c>
      <c r="N93" s="141" t="s">
        <v>81</v>
      </c>
      <c r="O93" s="158" t="s">
        <v>82</v>
      </c>
      <c r="P93" s="449"/>
      <c r="Q93" s="451"/>
    </row>
    <row r="94" spans="1:17" ht="15.75" thickBot="1" x14ac:dyDescent="0.3">
      <c r="A94" s="128">
        <v>1</v>
      </c>
      <c r="B94" s="5">
        <v>2</v>
      </c>
      <c r="C94" s="5">
        <v>3</v>
      </c>
      <c r="D94" s="5">
        <v>4</v>
      </c>
      <c r="E94" s="5">
        <v>5</v>
      </c>
      <c r="F94" s="5">
        <v>6</v>
      </c>
      <c r="G94" s="5">
        <v>7</v>
      </c>
      <c r="H94" s="159">
        <v>8</v>
      </c>
      <c r="I94" s="165">
        <v>9</v>
      </c>
      <c r="J94" s="118">
        <v>10</v>
      </c>
      <c r="K94" s="5">
        <v>11</v>
      </c>
      <c r="L94" s="5">
        <v>12</v>
      </c>
      <c r="M94" s="5">
        <v>13</v>
      </c>
      <c r="N94" s="5">
        <v>14</v>
      </c>
      <c r="O94" s="159">
        <v>15</v>
      </c>
      <c r="P94" s="165">
        <v>16</v>
      </c>
      <c r="Q94" s="174">
        <v>17</v>
      </c>
    </row>
    <row r="95" spans="1:17" ht="15.75" thickTop="1" x14ac:dyDescent="0.25">
      <c r="A95" s="85">
        <v>1</v>
      </c>
      <c r="B95" s="7" t="s">
        <v>18</v>
      </c>
      <c r="C95" s="28">
        <v>0</v>
      </c>
      <c r="D95" s="28">
        <v>0</v>
      </c>
      <c r="E95" s="28">
        <v>0</v>
      </c>
      <c r="F95" s="28">
        <v>0</v>
      </c>
      <c r="G95" s="28">
        <v>0</v>
      </c>
      <c r="H95" s="28">
        <v>0</v>
      </c>
      <c r="I95" s="199">
        <f>SUM(C95:H95)</f>
        <v>0</v>
      </c>
      <c r="J95" s="119">
        <v>0</v>
      </c>
      <c r="K95" s="119">
        <v>0</v>
      </c>
      <c r="L95" s="119">
        <v>0</v>
      </c>
      <c r="M95" s="119">
        <v>0</v>
      </c>
      <c r="N95" s="119">
        <v>0</v>
      </c>
      <c r="O95" s="9"/>
      <c r="P95" s="167">
        <f>SUM(J95:O95)</f>
        <v>0</v>
      </c>
      <c r="Q95" s="170">
        <f>SUM(I95,P95)</f>
        <v>0</v>
      </c>
    </row>
    <row r="96" spans="1:17" x14ac:dyDescent="0.25">
      <c r="A96" s="86">
        <v>2</v>
      </c>
      <c r="B96" s="12" t="s">
        <v>19</v>
      </c>
      <c r="C96" s="16">
        <v>0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75">
        <f t="shared" ref="I96:I102" si="24">SUM(C96:H96)</f>
        <v>0</v>
      </c>
      <c r="J96" s="120">
        <v>0</v>
      </c>
      <c r="K96" s="120">
        <v>0</v>
      </c>
      <c r="L96" s="120">
        <v>0</v>
      </c>
      <c r="M96" s="120">
        <v>0</v>
      </c>
      <c r="N96" s="120">
        <v>0</v>
      </c>
      <c r="O96" s="8"/>
      <c r="P96" s="168">
        <f t="shared" ref="P96:P102" si="25">SUM(J96:O96)</f>
        <v>0</v>
      </c>
      <c r="Q96" s="171">
        <f t="shared" ref="Q96:Q102" si="26">SUM(I96,P96)</f>
        <v>0</v>
      </c>
    </row>
    <row r="97" spans="1:17" x14ac:dyDescent="0.25">
      <c r="A97" s="86">
        <v>3</v>
      </c>
      <c r="B97" s="7" t="s">
        <v>20</v>
      </c>
      <c r="C97" s="16">
        <v>0</v>
      </c>
      <c r="D97" s="16">
        <v>0</v>
      </c>
      <c r="E97" s="16">
        <v>0</v>
      </c>
      <c r="F97" s="16">
        <v>0</v>
      </c>
      <c r="G97" s="16">
        <v>0</v>
      </c>
      <c r="H97" s="16">
        <v>15</v>
      </c>
      <c r="I97" s="175">
        <f>SUM(C97:H97)</f>
        <v>15</v>
      </c>
      <c r="J97" s="120">
        <v>10</v>
      </c>
      <c r="K97" s="120">
        <v>0</v>
      </c>
      <c r="L97" s="120">
        <v>0</v>
      </c>
      <c r="M97" s="120">
        <v>0</v>
      </c>
      <c r="N97" s="120">
        <v>0</v>
      </c>
      <c r="O97" s="8"/>
      <c r="P97" s="168">
        <f t="shared" si="25"/>
        <v>10</v>
      </c>
      <c r="Q97" s="171">
        <f>SUM(I97,P97)</f>
        <v>25</v>
      </c>
    </row>
    <row r="98" spans="1:17" x14ac:dyDescent="0.25">
      <c r="A98" s="87">
        <v>4</v>
      </c>
      <c r="B98" s="15" t="s">
        <v>21</v>
      </c>
      <c r="C98" s="16">
        <v>0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75">
        <f t="shared" si="24"/>
        <v>0</v>
      </c>
      <c r="J98" s="121">
        <v>0</v>
      </c>
      <c r="K98" s="121">
        <v>0</v>
      </c>
      <c r="L98" s="121">
        <v>0</v>
      </c>
      <c r="M98" s="121">
        <v>0</v>
      </c>
      <c r="N98" s="121">
        <v>0</v>
      </c>
      <c r="O98" s="16"/>
      <c r="P98" s="168">
        <f t="shared" si="25"/>
        <v>0</v>
      </c>
      <c r="Q98" s="171">
        <f t="shared" si="26"/>
        <v>0</v>
      </c>
    </row>
    <row r="99" spans="1:17" x14ac:dyDescent="0.25">
      <c r="A99" s="87">
        <v>5</v>
      </c>
      <c r="B99" s="19" t="s">
        <v>22</v>
      </c>
      <c r="C99" s="16">
        <v>0</v>
      </c>
      <c r="D99" s="16">
        <v>0</v>
      </c>
      <c r="E99" s="16">
        <v>0</v>
      </c>
      <c r="F99" s="16">
        <v>0</v>
      </c>
      <c r="G99" s="16">
        <v>0</v>
      </c>
      <c r="H99" s="16">
        <v>0</v>
      </c>
      <c r="I99" s="175">
        <f t="shared" si="24"/>
        <v>0</v>
      </c>
      <c r="J99" s="121">
        <v>0</v>
      </c>
      <c r="K99" s="121">
        <v>0</v>
      </c>
      <c r="L99" s="121">
        <v>0</v>
      </c>
      <c r="M99" s="121">
        <v>0</v>
      </c>
      <c r="N99" s="121">
        <v>0</v>
      </c>
      <c r="O99" s="16"/>
      <c r="P99" s="168">
        <f t="shared" si="25"/>
        <v>0</v>
      </c>
      <c r="Q99" s="171">
        <f t="shared" si="26"/>
        <v>0</v>
      </c>
    </row>
    <row r="100" spans="1:17" x14ac:dyDescent="0.25">
      <c r="A100" s="87">
        <v>6</v>
      </c>
      <c r="B100" s="19" t="s">
        <v>23</v>
      </c>
      <c r="C100" s="16">
        <v>0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75">
        <f t="shared" si="24"/>
        <v>0</v>
      </c>
      <c r="J100" s="121">
        <v>0</v>
      </c>
      <c r="K100" s="121">
        <v>0</v>
      </c>
      <c r="L100" s="121">
        <v>0</v>
      </c>
      <c r="M100" s="121">
        <v>0</v>
      </c>
      <c r="N100" s="121">
        <v>0</v>
      </c>
      <c r="O100" s="16"/>
      <c r="P100" s="168">
        <f t="shared" si="25"/>
        <v>0</v>
      </c>
      <c r="Q100" s="171">
        <f t="shared" si="26"/>
        <v>0</v>
      </c>
    </row>
    <row r="101" spans="1:17" x14ac:dyDescent="0.25">
      <c r="A101" s="87">
        <v>7</v>
      </c>
      <c r="B101" s="19" t="s">
        <v>24</v>
      </c>
      <c r="C101" s="16">
        <v>0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75">
        <f t="shared" si="24"/>
        <v>0</v>
      </c>
      <c r="J101" s="121">
        <v>0</v>
      </c>
      <c r="K101" s="121">
        <v>0</v>
      </c>
      <c r="L101" s="121">
        <v>0</v>
      </c>
      <c r="M101" s="121">
        <v>0</v>
      </c>
      <c r="N101" s="121">
        <v>0</v>
      </c>
      <c r="O101" s="16"/>
      <c r="P101" s="168">
        <f t="shared" si="25"/>
        <v>0</v>
      </c>
      <c r="Q101" s="171">
        <f t="shared" si="26"/>
        <v>0</v>
      </c>
    </row>
    <row r="102" spans="1:17" ht="15.75" thickBot="1" x14ac:dyDescent="0.3">
      <c r="A102" s="88">
        <v>8</v>
      </c>
      <c r="B102" s="15" t="s">
        <v>25</v>
      </c>
      <c r="C102" s="17">
        <v>0</v>
      </c>
      <c r="D102" s="17">
        <v>0</v>
      </c>
      <c r="E102" s="17">
        <v>0</v>
      </c>
      <c r="F102" s="17">
        <v>0</v>
      </c>
      <c r="G102" s="17">
        <v>0</v>
      </c>
      <c r="H102" s="17">
        <v>0</v>
      </c>
      <c r="I102" s="200">
        <f t="shared" si="24"/>
        <v>0</v>
      </c>
      <c r="J102" s="122">
        <v>0</v>
      </c>
      <c r="K102" s="122">
        <v>0</v>
      </c>
      <c r="L102" s="122">
        <v>0</v>
      </c>
      <c r="M102" s="122">
        <v>0</v>
      </c>
      <c r="N102" s="122">
        <v>0</v>
      </c>
      <c r="O102" s="17"/>
      <c r="P102" s="169">
        <f t="shared" si="25"/>
        <v>0</v>
      </c>
      <c r="Q102" s="172">
        <f t="shared" si="26"/>
        <v>0</v>
      </c>
    </row>
    <row r="103" spans="1:17" ht="16.5" thickTop="1" thickBot="1" x14ac:dyDescent="0.3">
      <c r="A103" s="443" t="s">
        <v>26</v>
      </c>
      <c r="B103" s="444"/>
      <c r="C103" s="133">
        <f t="shared" ref="C103:O103" si="27">SUM(C95:C102)</f>
        <v>0</v>
      </c>
      <c r="D103" s="133">
        <f t="shared" si="27"/>
        <v>0</v>
      </c>
      <c r="E103" s="133">
        <f t="shared" si="27"/>
        <v>0</v>
      </c>
      <c r="F103" s="133">
        <f t="shared" si="27"/>
        <v>0</v>
      </c>
      <c r="G103" s="133">
        <f t="shared" si="27"/>
        <v>0</v>
      </c>
      <c r="H103" s="134">
        <f t="shared" si="27"/>
        <v>15</v>
      </c>
      <c r="I103" s="166">
        <f>SUM(I95:I102)</f>
        <v>15</v>
      </c>
      <c r="J103" s="135">
        <f t="shared" si="27"/>
        <v>10</v>
      </c>
      <c r="K103" s="133">
        <f t="shared" si="27"/>
        <v>0</v>
      </c>
      <c r="L103" s="133">
        <f t="shared" si="27"/>
        <v>0</v>
      </c>
      <c r="M103" s="133">
        <f t="shared" si="27"/>
        <v>0</v>
      </c>
      <c r="N103" s="133">
        <f t="shared" si="27"/>
        <v>0</v>
      </c>
      <c r="O103" s="133">
        <f t="shared" si="27"/>
        <v>0</v>
      </c>
      <c r="P103" s="166">
        <f>SUM(P95:P102)</f>
        <v>10</v>
      </c>
      <c r="Q103" s="173">
        <f>SUM(Q95:Q102)</f>
        <v>25</v>
      </c>
    </row>
    <row r="109" spans="1:17" ht="15.75" x14ac:dyDescent="0.25">
      <c r="A109" s="445" t="s">
        <v>159</v>
      </c>
      <c r="B109" s="445"/>
      <c r="C109" s="445"/>
      <c r="D109" s="445"/>
      <c r="E109" s="445"/>
      <c r="F109" s="445"/>
      <c r="G109" s="445"/>
      <c r="H109" s="445"/>
      <c r="I109" s="445"/>
      <c r="J109" s="445"/>
      <c r="K109" s="445"/>
      <c r="L109" s="445"/>
      <c r="M109" s="445"/>
      <c r="N109" s="445"/>
      <c r="O109" s="445"/>
      <c r="P109" s="445"/>
      <c r="Q109" s="445"/>
    </row>
    <row r="110" spans="1:17" ht="15.75" x14ac:dyDescent="0.25">
      <c r="A110" s="445" t="s">
        <v>83</v>
      </c>
      <c r="B110" s="445"/>
      <c r="C110" s="445"/>
      <c r="D110" s="445"/>
      <c r="E110" s="445"/>
      <c r="F110" s="445"/>
      <c r="G110" s="445"/>
      <c r="H110" s="445"/>
      <c r="I110" s="445"/>
      <c r="J110" s="445"/>
      <c r="K110" s="445"/>
      <c r="L110" s="445"/>
      <c r="M110" s="445"/>
      <c r="N110" s="445"/>
      <c r="O110" s="445"/>
      <c r="P110" s="445"/>
      <c r="Q110" s="445"/>
    </row>
    <row r="111" spans="1:17" ht="15.75" thickBot="1" x14ac:dyDescent="0.3">
      <c r="Q111" s="77" t="s">
        <v>29</v>
      </c>
    </row>
    <row r="112" spans="1:17" x14ac:dyDescent="0.25">
      <c r="A112" s="440" t="s">
        <v>2</v>
      </c>
      <c r="B112" s="442" t="s">
        <v>3</v>
      </c>
      <c r="C112" s="446" t="s">
        <v>84</v>
      </c>
      <c r="D112" s="447"/>
      <c r="E112" s="447"/>
      <c r="F112" s="447"/>
      <c r="G112" s="447"/>
      <c r="H112" s="447"/>
      <c r="I112" s="448" t="s">
        <v>91</v>
      </c>
      <c r="J112" s="447">
        <v>2015</v>
      </c>
      <c r="K112" s="447"/>
      <c r="L112" s="447"/>
      <c r="M112" s="447"/>
      <c r="N112" s="447"/>
      <c r="O112" s="447"/>
      <c r="P112" s="448" t="s">
        <v>92</v>
      </c>
      <c r="Q112" s="450" t="s">
        <v>5</v>
      </c>
    </row>
    <row r="113" spans="1:17" x14ac:dyDescent="0.25">
      <c r="A113" s="441"/>
      <c r="B113" s="426"/>
      <c r="C113" s="141" t="s">
        <v>15</v>
      </c>
      <c r="D113" s="141" t="s">
        <v>16</v>
      </c>
      <c r="E113" s="141" t="s">
        <v>17</v>
      </c>
      <c r="F113" s="141" t="s">
        <v>6</v>
      </c>
      <c r="G113" s="141" t="s">
        <v>78</v>
      </c>
      <c r="H113" s="158" t="s">
        <v>79</v>
      </c>
      <c r="I113" s="449"/>
      <c r="J113" s="117" t="s">
        <v>80</v>
      </c>
      <c r="K113" s="141" t="s">
        <v>10</v>
      </c>
      <c r="L113" s="141" t="s">
        <v>11</v>
      </c>
      <c r="M113" s="141" t="s">
        <v>12</v>
      </c>
      <c r="N113" s="141" t="s">
        <v>81</v>
      </c>
      <c r="O113" s="158" t="s">
        <v>82</v>
      </c>
      <c r="P113" s="449"/>
      <c r="Q113" s="451"/>
    </row>
    <row r="114" spans="1:17" ht="15.75" thickBot="1" x14ac:dyDescent="0.3">
      <c r="A114" s="128">
        <v>1</v>
      </c>
      <c r="B114" s="5">
        <v>2</v>
      </c>
      <c r="C114" s="5">
        <v>3</v>
      </c>
      <c r="D114" s="5">
        <v>4</v>
      </c>
      <c r="E114" s="5">
        <v>5</v>
      </c>
      <c r="F114" s="5">
        <v>6</v>
      </c>
      <c r="G114" s="5">
        <v>7</v>
      </c>
      <c r="H114" s="159">
        <v>8</v>
      </c>
      <c r="I114" s="165">
        <v>9</v>
      </c>
      <c r="J114" s="118">
        <v>10</v>
      </c>
      <c r="K114" s="5">
        <v>11</v>
      </c>
      <c r="L114" s="5">
        <v>12</v>
      </c>
      <c r="M114" s="5">
        <v>13</v>
      </c>
      <c r="N114" s="5">
        <v>14</v>
      </c>
      <c r="O114" s="159">
        <v>15</v>
      </c>
      <c r="P114" s="165">
        <v>16</v>
      </c>
      <c r="Q114" s="174">
        <v>17</v>
      </c>
    </row>
    <row r="115" spans="1:17" ht="15.75" thickTop="1" x14ac:dyDescent="0.25">
      <c r="A115" s="85">
        <v>1</v>
      </c>
      <c r="B115" s="7" t="s">
        <v>18</v>
      </c>
      <c r="C115" s="28">
        <v>0</v>
      </c>
      <c r="D115" s="28">
        <v>0</v>
      </c>
      <c r="E115" s="28">
        <v>0</v>
      </c>
      <c r="F115" s="28">
        <v>0</v>
      </c>
      <c r="G115" s="28">
        <v>0</v>
      </c>
      <c r="H115" s="136">
        <v>0</v>
      </c>
      <c r="I115" s="199">
        <f>SUM(C115:H115)</f>
        <v>0</v>
      </c>
      <c r="J115" s="119">
        <v>0</v>
      </c>
      <c r="K115" s="119">
        <v>0</v>
      </c>
      <c r="L115" s="119">
        <v>0</v>
      </c>
      <c r="M115" s="119">
        <v>0</v>
      </c>
      <c r="N115" s="119">
        <v>0</v>
      </c>
      <c r="O115" s="9"/>
      <c r="P115" s="167">
        <f>SUM(J115:O115)</f>
        <v>0</v>
      </c>
      <c r="Q115" s="170">
        <f>SUM(I115,P115)</f>
        <v>0</v>
      </c>
    </row>
    <row r="116" spans="1:17" x14ac:dyDescent="0.25">
      <c r="A116" s="86">
        <v>2</v>
      </c>
      <c r="B116" s="12" t="s">
        <v>19</v>
      </c>
      <c r="C116" s="16">
        <v>0</v>
      </c>
      <c r="D116" s="16">
        <v>0</v>
      </c>
      <c r="E116" s="16">
        <v>0</v>
      </c>
      <c r="F116" s="16">
        <v>0</v>
      </c>
      <c r="G116" s="16">
        <v>0</v>
      </c>
      <c r="H116" s="126">
        <v>0</v>
      </c>
      <c r="I116" s="175">
        <f t="shared" ref="I116:I122" si="28">SUM(C116:H116)</f>
        <v>0</v>
      </c>
      <c r="J116" s="120">
        <v>0</v>
      </c>
      <c r="K116" s="120">
        <v>0</v>
      </c>
      <c r="L116" s="120">
        <v>0</v>
      </c>
      <c r="M116" s="120">
        <v>0</v>
      </c>
      <c r="N116" s="120">
        <v>0</v>
      </c>
      <c r="O116" s="8"/>
      <c r="P116" s="168">
        <f t="shared" ref="P116:P122" si="29">SUM(J116:O116)</f>
        <v>0</v>
      </c>
      <c r="Q116" s="171">
        <f t="shared" ref="Q116" si="30">SUM(I116,P116)</f>
        <v>0</v>
      </c>
    </row>
    <row r="117" spans="1:17" x14ac:dyDescent="0.25">
      <c r="A117" s="86">
        <v>3</v>
      </c>
      <c r="B117" s="7" t="s">
        <v>20</v>
      </c>
      <c r="C117" s="16">
        <v>0</v>
      </c>
      <c r="D117" s="16">
        <v>0</v>
      </c>
      <c r="E117" s="16">
        <v>0</v>
      </c>
      <c r="F117" s="16">
        <v>0</v>
      </c>
      <c r="G117" s="16">
        <v>0</v>
      </c>
      <c r="H117" s="126">
        <v>46</v>
      </c>
      <c r="I117" s="175">
        <f>SUM(C117:H117)</f>
        <v>46</v>
      </c>
      <c r="J117" s="120">
        <v>30</v>
      </c>
      <c r="K117" s="120">
        <v>0</v>
      </c>
      <c r="L117" s="120">
        <v>0</v>
      </c>
      <c r="M117" s="120">
        <v>0</v>
      </c>
      <c r="N117" s="120">
        <v>0</v>
      </c>
      <c r="O117" s="8"/>
      <c r="P117" s="168">
        <f t="shared" si="29"/>
        <v>30</v>
      </c>
      <c r="Q117" s="171">
        <f>SUM(I117,P117)</f>
        <v>76</v>
      </c>
    </row>
    <row r="118" spans="1:17" x14ac:dyDescent="0.25">
      <c r="A118" s="87">
        <v>4</v>
      </c>
      <c r="B118" s="15" t="s">
        <v>21</v>
      </c>
      <c r="C118" s="16">
        <v>0</v>
      </c>
      <c r="D118" s="16">
        <v>0</v>
      </c>
      <c r="E118" s="16">
        <v>0</v>
      </c>
      <c r="F118" s="16">
        <v>0</v>
      </c>
      <c r="G118" s="16">
        <v>0</v>
      </c>
      <c r="H118" s="126">
        <v>0</v>
      </c>
      <c r="I118" s="175">
        <f t="shared" si="28"/>
        <v>0</v>
      </c>
      <c r="J118" s="121">
        <v>0</v>
      </c>
      <c r="K118" s="121">
        <v>0</v>
      </c>
      <c r="L118" s="121">
        <v>0</v>
      </c>
      <c r="M118" s="121">
        <v>0</v>
      </c>
      <c r="N118" s="121">
        <v>0</v>
      </c>
      <c r="O118" s="16"/>
      <c r="P118" s="168">
        <f t="shared" si="29"/>
        <v>0</v>
      </c>
      <c r="Q118" s="171">
        <f t="shared" ref="Q118:Q122" si="31">SUM(I118,P118)</f>
        <v>0</v>
      </c>
    </row>
    <row r="119" spans="1:17" x14ac:dyDescent="0.25">
      <c r="A119" s="87">
        <v>5</v>
      </c>
      <c r="B119" s="19" t="s">
        <v>22</v>
      </c>
      <c r="C119" s="16">
        <v>0</v>
      </c>
      <c r="D119" s="16">
        <v>0</v>
      </c>
      <c r="E119" s="16">
        <v>0</v>
      </c>
      <c r="F119" s="16">
        <v>0</v>
      </c>
      <c r="G119" s="16">
        <v>0</v>
      </c>
      <c r="H119" s="126">
        <v>0</v>
      </c>
      <c r="I119" s="175">
        <f t="shared" si="28"/>
        <v>0</v>
      </c>
      <c r="J119" s="121">
        <v>0</v>
      </c>
      <c r="K119" s="121">
        <v>0</v>
      </c>
      <c r="L119" s="121">
        <v>0</v>
      </c>
      <c r="M119" s="121">
        <v>0</v>
      </c>
      <c r="N119" s="121">
        <v>0</v>
      </c>
      <c r="O119" s="16"/>
      <c r="P119" s="168">
        <f t="shared" si="29"/>
        <v>0</v>
      </c>
      <c r="Q119" s="171">
        <f t="shared" si="31"/>
        <v>0</v>
      </c>
    </row>
    <row r="120" spans="1:17" x14ac:dyDescent="0.25">
      <c r="A120" s="87">
        <v>6</v>
      </c>
      <c r="B120" s="19" t="s">
        <v>23</v>
      </c>
      <c r="C120" s="16">
        <v>0</v>
      </c>
      <c r="D120" s="16">
        <v>0</v>
      </c>
      <c r="E120" s="16">
        <v>0</v>
      </c>
      <c r="F120" s="16">
        <v>0</v>
      </c>
      <c r="G120" s="16">
        <v>0</v>
      </c>
      <c r="H120" s="126">
        <v>0</v>
      </c>
      <c r="I120" s="175">
        <f t="shared" si="28"/>
        <v>0</v>
      </c>
      <c r="J120" s="121">
        <v>0</v>
      </c>
      <c r="K120" s="121">
        <v>0</v>
      </c>
      <c r="L120" s="121">
        <v>0</v>
      </c>
      <c r="M120" s="121">
        <v>0</v>
      </c>
      <c r="N120" s="121">
        <v>0</v>
      </c>
      <c r="O120" s="16"/>
      <c r="P120" s="168">
        <f t="shared" si="29"/>
        <v>0</v>
      </c>
      <c r="Q120" s="171">
        <f t="shared" si="31"/>
        <v>0</v>
      </c>
    </row>
    <row r="121" spans="1:17" x14ac:dyDescent="0.25">
      <c r="A121" s="87">
        <v>7</v>
      </c>
      <c r="B121" s="19" t="s">
        <v>24</v>
      </c>
      <c r="C121" s="16">
        <v>0</v>
      </c>
      <c r="D121" s="16">
        <v>0</v>
      </c>
      <c r="E121" s="16">
        <v>0</v>
      </c>
      <c r="F121" s="16">
        <v>0</v>
      </c>
      <c r="G121" s="16">
        <v>0</v>
      </c>
      <c r="H121" s="126">
        <v>0</v>
      </c>
      <c r="I121" s="175">
        <f t="shared" si="28"/>
        <v>0</v>
      </c>
      <c r="J121" s="121">
        <v>0</v>
      </c>
      <c r="K121" s="121">
        <v>0</v>
      </c>
      <c r="L121" s="121">
        <v>0</v>
      </c>
      <c r="M121" s="121">
        <v>0</v>
      </c>
      <c r="N121" s="121">
        <v>0</v>
      </c>
      <c r="O121" s="16"/>
      <c r="P121" s="168">
        <f t="shared" si="29"/>
        <v>0</v>
      </c>
      <c r="Q121" s="171">
        <f t="shared" si="31"/>
        <v>0</v>
      </c>
    </row>
    <row r="122" spans="1:17" ht="15.75" thickBot="1" x14ac:dyDescent="0.3">
      <c r="A122" s="88">
        <v>8</v>
      </c>
      <c r="B122" s="15" t="s">
        <v>25</v>
      </c>
      <c r="C122" s="17">
        <v>0</v>
      </c>
      <c r="D122" s="17">
        <v>0</v>
      </c>
      <c r="E122" s="17">
        <v>0</v>
      </c>
      <c r="F122" s="17">
        <v>0</v>
      </c>
      <c r="G122" s="17">
        <v>0</v>
      </c>
      <c r="H122" s="142">
        <v>0</v>
      </c>
      <c r="I122" s="200">
        <f t="shared" si="28"/>
        <v>0</v>
      </c>
      <c r="J122" s="122">
        <v>0</v>
      </c>
      <c r="K122" s="122">
        <v>0</v>
      </c>
      <c r="L122" s="122">
        <v>0</v>
      </c>
      <c r="M122" s="122">
        <v>0</v>
      </c>
      <c r="N122" s="122">
        <v>0</v>
      </c>
      <c r="O122" s="17"/>
      <c r="P122" s="169">
        <f t="shared" si="29"/>
        <v>0</v>
      </c>
      <c r="Q122" s="172">
        <f t="shared" si="31"/>
        <v>0</v>
      </c>
    </row>
    <row r="123" spans="1:17" ht="16.5" thickTop="1" thickBot="1" x14ac:dyDescent="0.3">
      <c r="A123" s="443" t="s">
        <v>26</v>
      </c>
      <c r="B123" s="444"/>
      <c r="C123" s="133">
        <f t="shared" ref="C123:O123" si="32">SUM(C115:C122)</f>
        <v>0</v>
      </c>
      <c r="D123" s="133">
        <f t="shared" si="32"/>
        <v>0</v>
      </c>
      <c r="E123" s="133">
        <f t="shared" si="32"/>
        <v>0</v>
      </c>
      <c r="F123" s="133">
        <f t="shared" si="32"/>
        <v>0</v>
      </c>
      <c r="G123" s="133">
        <f t="shared" si="32"/>
        <v>0</v>
      </c>
      <c r="H123" s="134">
        <f t="shared" si="32"/>
        <v>46</v>
      </c>
      <c r="I123" s="166">
        <f>SUM(I115:I122)</f>
        <v>46</v>
      </c>
      <c r="J123" s="135">
        <f t="shared" si="32"/>
        <v>30</v>
      </c>
      <c r="K123" s="133">
        <f t="shared" si="32"/>
        <v>0</v>
      </c>
      <c r="L123" s="133">
        <f t="shared" si="32"/>
        <v>0</v>
      </c>
      <c r="M123" s="133">
        <f t="shared" si="32"/>
        <v>0</v>
      </c>
      <c r="N123" s="133">
        <f t="shared" si="32"/>
        <v>0</v>
      </c>
      <c r="O123" s="133">
        <f t="shared" si="32"/>
        <v>0</v>
      </c>
      <c r="P123" s="166">
        <f>SUM(P115:P122)</f>
        <v>30</v>
      </c>
      <c r="Q123" s="173">
        <f>SUM(Q115:Q122)</f>
        <v>76</v>
      </c>
    </row>
    <row r="125" spans="1:17" ht="15.75" x14ac:dyDescent="0.25">
      <c r="A125" s="445" t="s">
        <v>160</v>
      </c>
      <c r="B125" s="445"/>
      <c r="C125" s="445"/>
      <c r="D125" s="445"/>
      <c r="E125" s="445"/>
      <c r="F125" s="445"/>
      <c r="G125" s="445"/>
      <c r="H125" s="445"/>
      <c r="I125" s="445"/>
      <c r="J125" s="445"/>
      <c r="K125" s="445"/>
      <c r="L125" s="445"/>
      <c r="M125" s="445"/>
      <c r="N125" s="445"/>
      <c r="O125" s="445"/>
      <c r="P125" s="445"/>
      <c r="Q125" s="445"/>
    </row>
    <row r="126" spans="1:17" ht="15.75" x14ac:dyDescent="0.25">
      <c r="A126" s="445" t="s">
        <v>83</v>
      </c>
      <c r="B126" s="445"/>
      <c r="C126" s="445"/>
      <c r="D126" s="445"/>
      <c r="E126" s="445"/>
      <c r="F126" s="445"/>
      <c r="G126" s="445"/>
      <c r="H126" s="445"/>
      <c r="I126" s="445"/>
      <c r="J126" s="445"/>
      <c r="K126" s="445"/>
      <c r="L126" s="445"/>
      <c r="M126" s="445"/>
      <c r="N126" s="445"/>
      <c r="O126" s="445"/>
      <c r="P126" s="445"/>
      <c r="Q126" s="445"/>
    </row>
    <row r="127" spans="1:17" ht="15.75" thickBot="1" x14ac:dyDescent="0.3">
      <c r="Q127" s="77" t="s">
        <v>31</v>
      </c>
    </row>
    <row r="128" spans="1:17" x14ac:dyDescent="0.25">
      <c r="A128" s="440" t="s">
        <v>2</v>
      </c>
      <c r="B128" s="442" t="s">
        <v>3</v>
      </c>
      <c r="C128" s="446" t="s">
        <v>84</v>
      </c>
      <c r="D128" s="447"/>
      <c r="E128" s="447"/>
      <c r="F128" s="447"/>
      <c r="G128" s="447"/>
      <c r="H128" s="447"/>
      <c r="I128" s="448" t="s">
        <v>91</v>
      </c>
      <c r="J128" s="447">
        <v>2015</v>
      </c>
      <c r="K128" s="447"/>
      <c r="L128" s="447"/>
      <c r="M128" s="447"/>
      <c r="N128" s="447"/>
      <c r="O128" s="447"/>
      <c r="P128" s="448" t="s">
        <v>92</v>
      </c>
      <c r="Q128" s="450" t="s">
        <v>5</v>
      </c>
    </row>
    <row r="129" spans="1:17" x14ac:dyDescent="0.25">
      <c r="A129" s="441"/>
      <c r="B129" s="426"/>
      <c r="C129" s="141" t="s">
        <v>15</v>
      </c>
      <c r="D129" s="141" t="s">
        <v>16</v>
      </c>
      <c r="E129" s="141" t="s">
        <v>17</v>
      </c>
      <c r="F129" s="141" t="s">
        <v>6</v>
      </c>
      <c r="G129" s="141" t="s">
        <v>78</v>
      </c>
      <c r="H129" s="158" t="s">
        <v>79</v>
      </c>
      <c r="I129" s="449"/>
      <c r="J129" s="117" t="s">
        <v>80</v>
      </c>
      <c r="K129" s="141" t="s">
        <v>10</v>
      </c>
      <c r="L129" s="141" t="s">
        <v>11</v>
      </c>
      <c r="M129" s="141" t="s">
        <v>12</v>
      </c>
      <c r="N129" s="141" t="s">
        <v>81</v>
      </c>
      <c r="O129" s="158" t="s">
        <v>82</v>
      </c>
      <c r="P129" s="449"/>
      <c r="Q129" s="451"/>
    </row>
    <row r="130" spans="1:17" ht="15.75" thickBot="1" x14ac:dyDescent="0.3">
      <c r="A130" s="128">
        <v>1</v>
      </c>
      <c r="B130" s="5">
        <v>2</v>
      </c>
      <c r="C130" s="5">
        <v>3</v>
      </c>
      <c r="D130" s="5">
        <v>4</v>
      </c>
      <c r="E130" s="5">
        <v>5</v>
      </c>
      <c r="F130" s="5">
        <v>6</v>
      </c>
      <c r="G130" s="5">
        <v>7</v>
      </c>
      <c r="H130" s="159">
        <v>8</v>
      </c>
      <c r="I130" s="165">
        <v>9</v>
      </c>
      <c r="J130" s="118">
        <v>10</v>
      </c>
      <c r="K130" s="5">
        <v>11</v>
      </c>
      <c r="L130" s="5">
        <v>12</v>
      </c>
      <c r="M130" s="5">
        <v>13</v>
      </c>
      <c r="N130" s="5">
        <v>14</v>
      </c>
      <c r="O130" s="159">
        <v>15</v>
      </c>
      <c r="P130" s="165">
        <v>16</v>
      </c>
      <c r="Q130" s="174">
        <v>17</v>
      </c>
    </row>
    <row r="131" spans="1:17" ht="15.75" thickTop="1" x14ac:dyDescent="0.25">
      <c r="A131" s="85">
        <v>1</v>
      </c>
      <c r="B131" s="7" t="s">
        <v>18</v>
      </c>
      <c r="C131" s="28">
        <v>0</v>
      </c>
      <c r="D131" s="28">
        <v>0</v>
      </c>
      <c r="E131" s="28">
        <v>0</v>
      </c>
      <c r="F131" s="32">
        <v>0</v>
      </c>
      <c r="G131" s="32">
        <v>0</v>
      </c>
      <c r="H131" s="201">
        <v>0</v>
      </c>
      <c r="I131" s="199">
        <f>SUM(C131:H131)</f>
        <v>0</v>
      </c>
      <c r="J131" s="193">
        <v>0</v>
      </c>
      <c r="K131" s="119">
        <v>0</v>
      </c>
      <c r="L131" s="119">
        <v>0</v>
      </c>
      <c r="M131" s="119">
        <v>0</v>
      </c>
      <c r="N131" s="119">
        <v>0</v>
      </c>
      <c r="O131" s="9"/>
      <c r="P131" s="188">
        <f>SUM(J131:O131)</f>
        <v>0</v>
      </c>
      <c r="Q131" s="170">
        <f>SUM(I131,P131)</f>
        <v>0</v>
      </c>
    </row>
    <row r="132" spans="1:17" x14ac:dyDescent="0.25">
      <c r="A132" s="86">
        <v>2</v>
      </c>
      <c r="B132" s="12" t="s">
        <v>19</v>
      </c>
      <c r="C132" s="16">
        <v>0</v>
      </c>
      <c r="D132" s="16">
        <v>0</v>
      </c>
      <c r="E132" s="16">
        <v>0</v>
      </c>
      <c r="F132" s="34">
        <v>0</v>
      </c>
      <c r="G132" s="34">
        <v>0</v>
      </c>
      <c r="H132" s="154">
        <v>0</v>
      </c>
      <c r="I132" s="175">
        <f t="shared" ref="I132:I138" si="33">SUM(C132:H132)</f>
        <v>0</v>
      </c>
      <c r="J132" s="194">
        <v>0</v>
      </c>
      <c r="K132" s="120">
        <v>0</v>
      </c>
      <c r="L132" s="120">
        <v>0</v>
      </c>
      <c r="M132" s="120">
        <v>0</v>
      </c>
      <c r="N132" s="120">
        <v>0</v>
      </c>
      <c r="O132" s="8"/>
      <c r="P132" s="191">
        <f t="shared" ref="P132:P138" si="34">SUM(J132:O132)</f>
        <v>0</v>
      </c>
      <c r="Q132" s="171">
        <f t="shared" ref="Q132" si="35">SUM(I132,P132)</f>
        <v>0</v>
      </c>
    </row>
    <row r="133" spans="1:17" x14ac:dyDescent="0.25">
      <c r="A133" s="86">
        <v>3</v>
      </c>
      <c r="B133" s="7" t="s">
        <v>20</v>
      </c>
      <c r="C133" s="16">
        <v>0</v>
      </c>
      <c r="D133" s="16">
        <v>0</v>
      </c>
      <c r="E133" s="16">
        <v>0</v>
      </c>
      <c r="F133" s="34">
        <v>0</v>
      </c>
      <c r="G133" s="34">
        <v>0</v>
      </c>
      <c r="H133" s="154">
        <v>30.96</v>
      </c>
      <c r="I133" s="202">
        <f>SUM(C133:H133)</f>
        <v>30.96</v>
      </c>
      <c r="J133" s="194">
        <v>30.15</v>
      </c>
      <c r="K133" s="120">
        <v>0</v>
      </c>
      <c r="L133" s="120">
        <v>0</v>
      </c>
      <c r="M133" s="120">
        <v>0</v>
      </c>
      <c r="N133" s="120">
        <v>0</v>
      </c>
      <c r="O133" s="8"/>
      <c r="P133" s="191">
        <f t="shared" si="34"/>
        <v>30.15</v>
      </c>
      <c r="Q133" s="205">
        <f>Q117/Q97*10</f>
        <v>30.4</v>
      </c>
    </row>
    <row r="134" spans="1:17" x14ac:dyDescent="0.25">
      <c r="A134" s="87">
        <v>4</v>
      </c>
      <c r="B134" s="15" t="s">
        <v>21</v>
      </c>
      <c r="C134" s="16">
        <v>0</v>
      </c>
      <c r="D134" s="16">
        <v>0</v>
      </c>
      <c r="E134" s="16">
        <v>0</v>
      </c>
      <c r="F134" s="34">
        <v>0</v>
      </c>
      <c r="G134" s="34">
        <v>0</v>
      </c>
      <c r="H134" s="154">
        <v>0</v>
      </c>
      <c r="I134" s="202">
        <f t="shared" si="33"/>
        <v>0</v>
      </c>
      <c r="J134" s="195">
        <v>0</v>
      </c>
      <c r="K134" s="121">
        <v>0</v>
      </c>
      <c r="L134" s="121">
        <v>0</v>
      </c>
      <c r="M134" s="121">
        <v>0</v>
      </c>
      <c r="N134" s="121">
        <v>0</v>
      </c>
      <c r="O134" s="16"/>
      <c r="P134" s="191">
        <f t="shared" si="34"/>
        <v>0</v>
      </c>
      <c r="Q134" s="205">
        <f t="shared" ref="Q134:Q138" si="36">SUM(I134,P134)</f>
        <v>0</v>
      </c>
    </row>
    <row r="135" spans="1:17" x14ac:dyDescent="0.25">
      <c r="A135" s="87">
        <v>5</v>
      </c>
      <c r="B135" s="19" t="s">
        <v>22</v>
      </c>
      <c r="C135" s="16">
        <v>0</v>
      </c>
      <c r="D135" s="16">
        <v>0</v>
      </c>
      <c r="E135" s="16">
        <v>0</v>
      </c>
      <c r="F135" s="34">
        <v>0</v>
      </c>
      <c r="G135" s="34">
        <v>0</v>
      </c>
      <c r="H135" s="154">
        <v>0</v>
      </c>
      <c r="I135" s="202">
        <f t="shared" si="33"/>
        <v>0</v>
      </c>
      <c r="J135" s="195">
        <v>0</v>
      </c>
      <c r="K135" s="121">
        <v>0</v>
      </c>
      <c r="L135" s="121">
        <v>0</v>
      </c>
      <c r="M135" s="121">
        <v>0</v>
      </c>
      <c r="N135" s="121">
        <v>0</v>
      </c>
      <c r="O135" s="16"/>
      <c r="P135" s="191">
        <f t="shared" si="34"/>
        <v>0</v>
      </c>
      <c r="Q135" s="205">
        <f t="shared" si="36"/>
        <v>0</v>
      </c>
    </row>
    <row r="136" spans="1:17" x14ac:dyDescent="0.25">
      <c r="A136" s="87">
        <v>6</v>
      </c>
      <c r="B136" s="19" t="s">
        <v>23</v>
      </c>
      <c r="C136" s="16">
        <v>0</v>
      </c>
      <c r="D136" s="16">
        <v>0</v>
      </c>
      <c r="E136" s="16">
        <v>0</v>
      </c>
      <c r="F136" s="34">
        <v>0</v>
      </c>
      <c r="G136" s="34">
        <v>0</v>
      </c>
      <c r="H136" s="154">
        <v>0</v>
      </c>
      <c r="I136" s="202">
        <f t="shared" si="33"/>
        <v>0</v>
      </c>
      <c r="J136" s="195">
        <v>0</v>
      </c>
      <c r="K136" s="121">
        <v>0</v>
      </c>
      <c r="L136" s="121">
        <v>0</v>
      </c>
      <c r="M136" s="121">
        <v>0</v>
      </c>
      <c r="N136" s="121">
        <v>0</v>
      </c>
      <c r="O136" s="16"/>
      <c r="P136" s="191">
        <f t="shared" si="34"/>
        <v>0</v>
      </c>
      <c r="Q136" s="205">
        <f t="shared" si="36"/>
        <v>0</v>
      </c>
    </row>
    <row r="137" spans="1:17" x14ac:dyDescent="0.25">
      <c r="A137" s="87">
        <v>7</v>
      </c>
      <c r="B137" s="19" t="s">
        <v>24</v>
      </c>
      <c r="C137" s="16">
        <v>0</v>
      </c>
      <c r="D137" s="16">
        <v>0</v>
      </c>
      <c r="E137" s="16">
        <v>0</v>
      </c>
      <c r="F137" s="34">
        <v>0</v>
      </c>
      <c r="G137" s="34">
        <v>0</v>
      </c>
      <c r="H137" s="154">
        <v>0</v>
      </c>
      <c r="I137" s="202">
        <f t="shared" si="33"/>
        <v>0</v>
      </c>
      <c r="J137" s="195">
        <v>0</v>
      </c>
      <c r="K137" s="121">
        <v>0</v>
      </c>
      <c r="L137" s="121">
        <v>0</v>
      </c>
      <c r="M137" s="121">
        <v>0</v>
      </c>
      <c r="N137" s="121">
        <v>0</v>
      </c>
      <c r="O137" s="16"/>
      <c r="P137" s="191">
        <f t="shared" si="34"/>
        <v>0</v>
      </c>
      <c r="Q137" s="205">
        <f t="shared" si="36"/>
        <v>0</v>
      </c>
    </row>
    <row r="138" spans="1:17" ht="15.75" thickBot="1" x14ac:dyDescent="0.3">
      <c r="A138" s="88">
        <v>8</v>
      </c>
      <c r="B138" s="15" t="s">
        <v>25</v>
      </c>
      <c r="C138" s="17">
        <v>0</v>
      </c>
      <c r="D138" s="17">
        <v>0</v>
      </c>
      <c r="E138" s="17">
        <v>0</v>
      </c>
      <c r="F138" s="36">
        <v>0</v>
      </c>
      <c r="G138" s="36">
        <v>0</v>
      </c>
      <c r="H138" s="155">
        <v>0</v>
      </c>
      <c r="I138" s="203">
        <f t="shared" si="33"/>
        <v>0</v>
      </c>
      <c r="J138" s="196">
        <v>0</v>
      </c>
      <c r="K138" s="122">
        <v>0</v>
      </c>
      <c r="L138" s="122">
        <v>0</v>
      </c>
      <c r="M138" s="122">
        <v>0</v>
      </c>
      <c r="N138" s="122">
        <v>0</v>
      </c>
      <c r="O138" s="17"/>
      <c r="P138" s="189">
        <f t="shared" si="34"/>
        <v>0</v>
      </c>
      <c r="Q138" s="206">
        <f t="shared" si="36"/>
        <v>0</v>
      </c>
    </row>
    <row r="139" spans="1:17" ht="16.5" thickTop="1" thickBot="1" x14ac:dyDescent="0.3">
      <c r="A139" s="443" t="s">
        <v>26</v>
      </c>
      <c r="B139" s="444"/>
      <c r="C139" s="133">
        <f t="shared" ref="C139:O139" si="37">SUM(C131:C138)</f>
        <v>0</v>
      </c>
      <c r="D139" s="133">
        <f t="shared" si="37"/>
        <v>0</v>
      </c>
      <c r="E139" s="133">
        <f t="shared" si="37"/>
        <v>0</v>
      </c>
      <c r="F139" s="156">
        <v>0</v>
      </c>
      <c r="G139" s="156">
        <v>0</v>
      </c>
      <c r="H139" s="157">
        <v>30.96</v>
      </c>
      <c r="I139" s="204">
        <f>SUM(I131:I138)</f>
        <v>30.96</v>
      </c>
      <c r="J139" s="197">
        <v>30.15</v>
      </c>
      <c r="K139" s="133">
        <f t="shared" si="37"/>
        <v>0</v>
      </c>
      <c r="L139" s="133">
        <f t="shared" si="37"/>
        <v>0</v>
      </c>
      <c r="M139" s="133">
        <f t="shared" si="37"/>
        <v>0</v>
      </c>
      <c r="N139" s="133">
        <f t="shared" si="37"/>
        <v>0</v>
      </c>
      <c r="O139" s="133">
        <f t="shared" si="37"/>
        <v>0</v>
      </c>
      <c r="P139" s="204">
        <f>SUM(P131:P138)</f>
        <v>30.15</v>
      </c>
      <c r="Q139" s="207">
        <f>SUM(Q131:Q138)</f>
        <v>30.4</v>
      </c>
    </row>
    <row r="145" spans="1:17" ht="15.75" x14ac:dyDescent="0.25">
      <c r="A145" s="445" t="s">
        <v>93</v>
      </c>
      <c r="B145" s="445"/>
      <c r="C145" s="445"/>
      <c r="D145" s="445"/>
      <c r="E145" s="445"/>
      <c r="F145" s="445"/>
      <c r="G145" s="445"/>
      <c r="H145" s="445"/>
      <c r="I145" s="445"/>
      <c r="J145" s="445"/>
      <c r="K145" s="445"/>
      <c r="L145" s="445"/>
      <c r="M145" s="445"/>
      <c r="N145" s="445"/>
      <c r="O145" s="445"/>
      <c r="P145" s="445"/>
      <c r="Q145" s="445"/>
    </row>
    <row r="146" spans="1:17" ht="15.75" x14ac:dyDescent="0.25">
      <c r="A146" s="445" t="s">
        <v>83</v>
      </c>
      <c r="B146" s="445"/>
      <c r="C146" s="445"/>
      <c r="D146" s="445"/>
      <c r="E146" s="445"/>
      <c r="F146" s="445"/>
      <c r="G146" s="445"/>
      <c r="H146" s="445"/>
      <c r="I146" s="445"/>
      <c r="J146" s="445"/>
      <c r="K146" s="445"/>
      <c r="L146" s="445"/>
      <c r="M146" s="445"/>
      <c r="N146" s="445"/>
      <c r="O146" s="445"/>
      <c r="P146" s="445"/>
      <c r="Q146" s="445"/>
    </row>
    <row r="147" spans="1:17" ht="15.75" thickBot="1" x14ac:dyDescent="0.3">
      <c r="Q147" s="77" t="s">
        <v>1</v>
      </c>
    </row>
    <row r="148" spans="1:17" x14ac:dyDescent="0.25">
      <c r="A148" s="440" t="s">
        <v>2</v>
      </c>
      <c r="B148" s="442" t="s">
        <v>3</v>
      </c>
      <c r="C148" s="446" t="s">
        <v>84</v>
      </c>
      <c r="D148" s="447"/>
      <c r="E148" s="447"/>
      <c r="F148" s="447"/>
      <c r="G148" s="447"/>
      <c r="H148" s="447"/>
      <c r="I148" s="448" t="s">
        <v>91</v>
      </c>
      <c r="J148" s="447">
        <v>2015</v>
      </c>
      <c r="K148" s="447"/>
      <c r="L148" s="447"/>
      <c r="M148" s="447"/>
      <c r="N148" s="447"/>
      <c r="O148" s="447"/>
      <c r="P148" s="448" t="s">
        <v>92</v>
      </c>
      <c r="Q148" s="450" t="s">
        <v>5</v>
      </c>
    </row>
    <row r="149" spans="1:17" x14ac:dyDescent="0.25">
      <c r="A149" s="441"/>
      <c r="B149" s="426"/>
      <c r="C149" s="141" t="s">
        <v>15</v>
      </c>
      <c r="D149" s="141" t="s">
        <v>16</v>
      </c>
      <c r="E149" s="141" t="s">
        <v>17</v>
      </c>
      <c r="F149" s="141" t="s">
        <v>6</v>
      </c>
      <c r="G149" s="141" t="s">
        <v>78</v>
      </c>
      <c r="H149" s="158" t="s">
        <v>79</v>
      </c>
      <c r="I149" s="449"/>
      <c r="J149" s="117" t="s">
        <v>80</v>
      </c>
      <c r="K149" s="141" t="s">
        <v>10</v>
      </c>
      <c r="L149" s="141" t="s">
        <v>11</v>
      </c>
      <c r="M149" s="141" t="s">
        <v>12</v>
      </c>
      <c r="N149" s="141" t="s">
        <v>81</v>
      </c>
      <c r="O149" s="158" t="s">
        <v>82</v>
      </c>
      <c r="P149" s="449"/>
      <c r="Q149" s="451"/>
    </row>
    <row r="150" spans="1:17" ht="15.75" thickBot="1" x14ac:dyDescent="0.3">
      <c r="A150" s="128">
        <v>1</v>
      </c>
      <c r="B150" s="5">
        <v>2</v>
      </c>
      <c r="C150" s="5">
        <v>3</v>
      </c>
      <c r="D150" s="5">
        <v>4</v>
      </c>
      <c r="E150" s="5">
        <v>5</v>
      </c>
      <c r="F150" s="5">
        <v>6</v>
      </c>
      <c r="G150" s="5">
        <v>7</v>
      </c>
      <c r="H150" s="159">
        <v>8</v>
      </c>
      <c r="I150" s="165">
        <v>9</v>
      </c>
      <c r="J150" s="118">
        <v>10</v>
      </c>
      <c r="K150" s="5">
        <v>11</v>
      </c>
      <c r="L150" s="5">
        <v>12</v>
      </c>
      <c r="M150" s="5">
        <v>13</v>
      </c>
      <c r="N150" s="5">
        <v>14</v>
      </c>
      <c r="O150" s="159">
        <v>15</v>
      </c>
      <c r="P150" s="165">
        <v>16</v>
      </c>
      <c r="Q150" s="174">
        <v>17</v>
      </c>
    </row>
    <row r="151" spans="1:17" ht="15.75" thickTop="1" x14ac:dyDescent="0.25">
      <c r="A151" s="85">
        <v>1</v>
      </c>
      <c r="B151" s="7" t="s">
        <v>18</v>
      </c>
      <c r="C151" s="59">
        <v>0</v>
      </c>
      <c r="D151" s="9">
        <v>0</v>
      </c>
      <c r="E151" s="9">
        <v>0</v>
      </c>
      <c r="F151" s="59">
        <v>204</v>
      </c>
      <c r="G151" s="8">
        <v>0</v>
      </c>
      <c r="H151" s="160">
        <v>0</v>
      </c>
      <c r="I151" s="167">
        <f>SUM(C151:H151)</f>
        <v>204</v>
      </c>
      <c r="J151" s="176">
        <v>2</v>
      </c>
      <c r="K151" s="59">
        <v>18</v>
      </c>
      <c r="L151" s="357">
        <f>L7+L79</f>
        <v>8</v>
      </c>
      <c r="M151" s="59">
        <v>0</v>
      </c>
      <c r="N151" s="357">
        <f>SUM(N7,N79)</f>
        <v>1</v>
      </c>
      <c r="O151" s="160"/>
      <c r="P151" s="167">
        <f>SUM(J151:O151)</f>
        <v>29</v>
      </c>
      <c r="Q151" s="170">
        <f>SUM(I151,P151)</f>
        <v>233</v>
      </c>
    </row>
    <row r="152" spans="1:17" x14ac:dyDescent="0.25">
      <c r="A152" s="86">
        <v>2</v>
      </c>
      <c r="B152" s="12" t="s">
        <v>19</v>
      </c>
      <c r="C152" s="61">
        <v>0</v>
      </c>
      <c r="D152" s="47">
        <v>25</v>
      </c>
      <c r="E152" s="8">
        <v>125</v>
      </c>
      <c r="F152" s="60">
        <v>114</v>
      </c>
      <c r="G152" s="8">
        <v>0</v>
      </c>
      <c r="H152" s="161">
        <v>15</v>
      </c>
      <c r="I152" s="168">
        <f t="shared" ref="I152:I158" si="38">SUM(C152:H152)</f>
        <v>279</v>
      </c>
      <c r="J152" s="177">
        <v>29</v>
      </c>
      <c r="K152" s="60">
        <v>7</v>
      </c>
      <c r="L152" s="8">
        <f t="shared" ref="L152:L158" si="39">L8+L80</f>
        <v>65</v>
      </c>
      <c r="M152" s="61">
        <v>1</v>
      </c>
      <c r="N152" s="8">
        <f t="shared" ref="N152:N158" si="40">SUM(N8,N80)</f>
        <v>4</v>
      </c>
      <c r="O152" s="161"/>
      <c r="P152" s="168">
        <f t="shared" ref="P152:P158" si="41">SUM(J152:O152)</f>
        <v>106</v>
      </c>
      <c r="Q152" s="171">
        <f t="shared" ref="Q152:Q158" si="42">SUM(I152,P152)</f>
        <v>385</v>
      </c>
    </row>
    <row r="153" spans="1:17" x14ac:dyDescent="0.25">
      <c r="A153" s="86">
        <v>3</v>
      </c>
      <c r="B153" s="7" t="s">
        <v>20</v>
      </c>
      <c r="C153" s="61">
        <v>0</v>
      </c>
      <c r="D153" s="8">
        <v>0</v>
      </c>
      <c r="E153" s="8">
        <v>25</v>
      </c>
      <c r="F153" s="60">
        <v>48</v>
      </c>
      <c r="G153" s="8">
        <v>0</v>
      </c>
      <c r="H153" s="161">
        <v>0</v>
      </c>
      <c r="I153" s="168">
        <f t="shared" si="38"/>
        <v>73</v>
      </c>
      <c r="J153" s="177">
        <v>5</v>
      </c>
      <c r="K153" s="60">
        <v>10</v>
      </c>
      <c r="L153" s="8">
        <f t="shared" si="39"/>
        <v>0</v>
      </c>
      <c r="M153" s="61">
        <v>0</v>
      </c>
      <c r="N153" s="8">
        <f t="shared" si="40"/>
        <v>0</v>
      </c>
      <c r="O153" s="161"/>
      <c r="P153" s="168">
        <f t="shared" si="41"/>
        <v>15</v>
      </c>
      <c r="Q153" s="171">
        <f t="shared" si="42"/>
        <v>88</v>
      </c>
    </row>
    <row r="154" spans="1:17" x14ac:dyDescent="0.25">
      <c r="A154" s="87">
        <v>4</v>
      </c>
      <c r="B154" s="15" t="s">
        <v>21</v>
      </c>
      <c r="C154" s="61">
        <v>0</v>
      </c>
      <c r="D154" s="16">
        <v>3</v>
      </c>
      <c r="E154" s="16">
        <v>165</v>
      </c>
      <c r="F154" s="61">
        <v>16</v>
      </c>
      <c r="G154" s="16">
        <v>0</v>
      </c>
      <c r="H154" s="162">
        <v>0</v>
      </c>
      <c r="I154" s="168">
        <f t="shared" si="38"/>
        <v>184</v>
      </c>
      <c r="J154" s="178">
        <v>0</v>
      </c>
      <c r="K154" s="139">
        <v>7</v>
      </c>
      <c r="L154" s="8">
        <f t="shared" si="39"/>
        <v>7</v>
      </c>
      <c r="M154" s="61">
        <v>0</v>
      </c>
      <c r="N154" s="8">
        <f t="shared" si="40"/>
        <v>2</v>
      </c>
      <c r="O154" s="162"/>
      <c r="P154" s="168">
        <f t="shared" si="41"/>
        <v>16</v>
      </c>
      <c r="Q154" s="171">
        <f t="shared" si="42"/>
        <v>200</v>
      </c>
    </row>
    <row r="155" spans="1:17" x14ac:dyDescent="0.25">
      <c r="A155" s="87">
        <v>5</v>
      </c>
      <c r="B155" s="19" t="s">
        <v>22</v>
      </c>
      <c r="C155" s="16">
        <v>0</v>
      </c>
      <c r="D155" s="16">
        <v>0</v>
      </c>
      <c r="E155" s="16">
        <v>25</v>
      </c>
      <c r="F155" s="61">
        <v>225</v>
      </c>
      <c r="G155" s="16">
        <v>0</v>
      </c>
      <c r="H155" s="162">
        <v>0</v>
      </c>
      <c r="I155" s="168">
        <f t="shared" si="38"/>
        <v>250</v>
      </c>
      <c r="J155" s="178">
        <v>0</v>
      </c>
      <c r="K155" s="61">
        <v>10</v>
      </c>
      <c r="L155" s="8">
        <f t="shared" si="39"/>
        <v>10</v>
      </c>
      <c r="M155" s="16">
        <v>0</v>
      </c>
      <c r="N155" s="8">
        <f t="shared" si="40"/>
        <v>0</v>
      </c>
      <c r="O155" s="162"/>
      <c r="P155" s="168">
        <f t="shared" si="41"/>
        <v>20</v>
      </c>
      <c r="Q155" s="171">
        <f t="shared" si="42"/>
        <v>270</v>
      </c>
    </row>
    <row r="156" spans="1:17" x14ac:dyDescent="0.25">
      <c r="A156" s="87">
        <v>6</v>
      </c>
      <c r="B156" s="19" t="s">
        <v>23</v>
      </c>
      <c r="C156" s="16">
        <v>0</v>
      </c>
      <c r="D156" s="16">
        <v>8</v>
      </c>
      <c r="E156" s="16">
        <v>36</v>
      </c>
      <c r="F156" s="61">
        <v>0</v>
      </c>
      <c r="G156" s="16">
        <v>0</v>
      </c>
      <c r="H156" s="162">
        <v>0</v>
      </c>
      <c r="I156" s="168">
        <f t="shared" si="38"/>
        <v>44</v>
      </c>
      <c r="J156" s="178">
        <v>6</v>
      </c>
      <c r="K156" s="61">
        <v>15</v>
      </c>
      <c r="L156" s="8">
        <f t="shared" si="39"/>
        <v>10</v>
      </c>
      <c r="M156" s="16">
        <v>0</v>
      </c>
      <c r="N156" s="8">
        <f t="shared" si="40"/>
        <v>7</v>
      </c>
      <c r="O156" s="162"/>
      <c r="P156" s="168">
        <f t="shared" si="41"/>
        <v>38</v>
      </c>
      <c r="Q156" s="171">
        <f t="shared" si="42"/>
        <v>82</v>
      </c>
    </row>
    <row r="157" spans="1:17" x14ac:dyDescent="0.25">
      <c r="A157" s="87">
        <v>7</v>
      </c>
      <c r="B157" s="19" t="s">
        <v>24</v>
      </c>
      <c r="C157" s="16">
        <v>1</v>
      </c>
      <c r="D157" s="16">
        <v>1</v>
      </c>
      <c r="E157" s="16">
        <v>144</v>
      </c>
      <c r="F157" s="61">
        <v>133</v>
      </c>
      <c r="G157" s="16">
        <v>0</v>
      </c>
      <c r="H157" s="162">
        <v>0</v>
      </c>
      <c r="I157" s="168">
        <f t="shared" si="38"/>
        <v>279</v>
      </c>
      <c r="J157" s="178">
        <v>0</v>
      </c>
      <c r="K157" s="61">
        <v>8</v>
      </c>
      <c r="L157" s="8">
        <f t="shared" si="39"/>
        <v>183</v>
      </c>
      <c r="M157" s="16">
        <v>110</v>
      </c>
      <c r="N157" s="8">
        <f t="shared" si="40"/>
        <v>6</v>
      </c>
      <c r="O157" s="162"/>
      <c r="P157" s="168">
        <f t="shared" si="41"/>
        <v>307</v>
      </c>
      <c r="Q157" s="171">
        <f t="shared" si="42"/>
        <v>586</v>
      </c>
    </row>
    <row r="158" spans="1:17" ht="15.75" thickBot="1" x14ac:dyDescent="0.3">
      <c r="A158" s="88">
        <v>8</v>
      </c>
      <c r="B158" s="15" t="s">
        <v>25</v>
      </c>
      <c r="C158" s="17">
        <v>0</v>
      </c>
      <c r="D158" s="17">
        <v>30</v>
      </c>
      <c r="E158" s="17">
        <v>73</v>
      </c>
      <c r="F158" s="62">
        <v>201</v>
      </c>
      <c r="G158" s="17">
        <v>0</v>
      </c>
      <c r="H158" s="163">
        <v>0</v>
      </c>
      <c r="I158" s="169">
        <f t="shared" si="38"/>
        <v>304</v>
      </c>
      <c r="J158" s="179">
        <v>36</v>
      </c>
      <c r="K158" s="139">
        <v>116</v>
      </c>
      <c r="L158" s="358">
        <f t="shared" si="39"/>
        <v>11</v>
      </c>
      <c r="M158" s="17">
        <v>1</v>
      </c>
      <c r="N158" s="358">
        <f t="shared" si="40"/>
        <v>0</v>
      </c>
      <c r="O158" s="163"/>
      <c r="P158" s="169">
        <f t="shared" si="41"/>
        <v>164</v>
      </c>
      <c r="Q158" s="172">
        <f t="shared" si="42"/>
        <v>468</v>
      </c>
    </row>
    <row r="159" spans="1:17" ht="16.5" thickTop="1" thickBot="1" x14ac:dyDescent="0.3">
      <c r="A159" s="443" t="s">
        <v>26</v>
      </c>
      <c r="B159" s="444"/>
      <c r="C159" s="133">
        <f t="shared" ref="C159:H159" si="43">SUM(C151:C158)</f>
        <v>1</v>
      </c>
      <c r="D159" s="133">
        <f t="shared" si="43"/>
        <v>67</v>
      </c>
      <c r="E159" s="133">
        <f t="shared" si="43"/>
        <v>593</v>
      </c>
      <c r="F159" s="133">
        <f t="shared" si="43"/>
        <v>941</v>
      </c>
      <c r="G159" s="133">
        <f t="shared" si="43"/>
        <v>0</v>
      </c>
      <c r="H159" s="164">
        <f t="shared" si="43"/>
        <v>15</v>
      </c>
      <c r="I159" s="166">
        <f>SUM(I151:I158)</f>
        <v>1617</v>
      </c>
      <c r="J159" s="180">
        <f t="shared" ref="J159:O159" si="44">SUM(J151:J158)</f>
        <v>78</v>
      </c>
      <c r="K159" s="133">
        <f t="shared" si="44"/>
        <v>191</v>
      </c>
      <c r="L159" s="133">
        <f t="shared" si="44"/>
        <v>294</v>
      </c>
      <c r="M159" s="133">
        <f t="shared" si="44"/>
        <v>112</v>
      </c>
      <c r="N159" s="133">
        <f t="shared" si="44"/>
        <v>20</v>
      </c>
      <c r="O159" s="164">
        <f t="shared" si="44"/>
        <v>0</v>
      </c>
      <c r="P159" s="166">
        <f>SUM(P151:P158)</f>
        <v>695</v>
      </c>
      <c r="Q159" s="173">
        <f>SUM(Q151:Q158)</f>
        <v>2312</v>
      </c>
    </row>
    <row r="161" spans="1:17" ht="15.75" x14ac:dyDescent="0.25">
      <c r="A161" s="445" t="s">
        <v>94</v>
      </c>
      <c r="B161" s="445"/>
      <c r="C161" s="445"/>
      <c r="D161" s="445"/>
      <c r="E161" s="445"/>
      <c r="F161" s="445"/>
      <c r="G161" s="445"/>
      <c r="H161" s="445"/>
      <c r="I161" s="445"/>
      <c r="J161" s="445"/>
      <c r="K161" s="445"/>
      <c r="L161" s="445"/>
      <c r="M161" s="445"/>
      <c r="N161" s="445"/>
      <c r="O161" s="445"/>
      <c r="P161" s="445"/>
      <c r="Q161" s="445"/>
    </row>
    <row r="162" spans="1:17" ht="15.75" x14ac:dyDescent="0.25">
      <c r="A162" s="445" t="s">
        <v>83</v>
      </c>
      <c r="B162" s="445"/>
      <c r="C162" s="445"/>
      <c r="D162" s="445"/>
      <c r="E162" s="445"/>
      <c r="F162" s="445"/>
      <c r="G162" s="445"/>
      <c r="H162" s="445"/>
      <c r="I162" s="445"/>
      <c r="J162" s="445"/>
      <c r="K162" s="445"/>
      <c r="L162" s="445"/>
      <c r="M162" s="445"/>
      <c r="N162" s="445"/>
      <c r="O162" s="445"/>
      <c r="P162" s="445"/>
      <c r="Q162" s="445"/>
    </row>
    <row r="163" spans="1:17" ht="15.75" thickBot="1" x14ac:dyDescent="0.3">
      <c r="Q163" s="77" t="s">
        <v>1</v>
      </c>
    </row>
    <row r="164" spans="1:17" x14ac:dyDescent="0.25">
      <c r="A164" s="440" t="s">
        <v>2</v>
      </c>
      <c r="B164" s="442" t="s">
        <v>3</v>
      </c>
      <c r="C164" s="446" t="s">
        <v>84</v>
      </c>
      <c r="D164" s="447"/>
      <c r="E164" s="447"/>
      <c r="F164" s="447"/>
      <c r="G164" s="447"/>
      <c r="H164" s="447"/>
      <c r="I164" s="448" t="s">
        <v>91</v>
      </c>
      <c r="J164" s="447">
        <v>2015</v>
      </c>
      <c r="K164" s="447"/>
      <c r="L164" s="447"/>
      <c r="M164" s="447"/>
      <c r="N164" s="447"/>
      <c r="O164" s="447"/>
      <c r="P164" s="448" t="s">
        <v>92</v>
      </c>
      <c r="Q164" s="450" t="s">
        <v>5</v>
      </c>
    </row>
    <row r="165" spans="1:17" x14ac:dyDescent="0.25">
      <c r="A165" s="441"/>
      <c r="B165" s="426"/>
      <c r="C165" s="141" t="s">
        <v>15</v>
      </c>
      <c r="D165" s="141" t="s">
        <v>16</v>
      </c>
      <c r="E165" s="141" t="s">
        <v>17</v>
      </c>
      <c r="F165" s="141" t="s">
        <v>6</v>
      </c>
      <c r="G165" s="141" t="s">
        <v>78</v>
      </c>
      <c r="H165" s="158" t="s">
        <v>79</v>
      </c>
      <c r="I165" s="449"/>
      <c r="J165" s="117" t="s">
        <v>80</v>
      </c>
      <c r="K165" s="141" t="s">
        <v>10</v>
      </c>
      <c r="L165" s="141" t="s">
        <v>11</v>
      </c>
      <c r="M165" s="141" t="s">
        <v>12</v>
      </c>
      <c r="N165" s="141" t="s">
        <v>81</v>
      </c>
      <c r="O165" s="158" t="s">
        <v>82</v>
      </c>
      <c r="P165" s="449"/>
      <c r="Q165" s="451"/>
    </row>
    <row r="166" spans="1:17" ht="15.75" thickBot="1" x14ac:dyDescent="0.3">
      <c r="A166" s="128">
        <v>1</v>
      </c>
      <c r="B166" s="5">
        <v>2</v>
      </c>
      <c r="C166" s="5">
        <v>3</v>
      </c>
      <c r="D166" s="5">
        <v>4</v>
      </c>
      <c r="E166" s="5">
        <v>5</v>
      </c>
      <c r="F166" s="5">
        <v>6</v>
      </c>
      <c r="G166" s="5">
        <v>7</v>
      </c>
      <c r="H166" s="159">
        <v>8</v>
      </c>
      <c r="I166" s="165">
        <v>9</v>
      </c>
      <c r="J166" s="118">
        <v>10</v>
      </c>
      <c r="K166" s="5">
        <v>11</v>
      </c>
      <c r="L166" s="5">
        <v>12</v>
      </c>
      <c r="M166" s="5">
        <v>13</v>
      </c>
      <c r="N166" s="5">
        <v>14</v>
      </c>
      <c r="O166" s="159">
        <v>15</v>
      </c>
      <c r="P166" s="165">
        <v>16</v>
      </c>
      <c r="Q166" s="174">
        <v>17</v>
      </c>
    </row>
    <row r="167" spans="1:17" ht="15.75" thickTop="1" x14ac:dyDescent="0.25">
      <c r="A167" s="85">
        <v>1</v>
      </c>
      <c r="B167" s="7" t="s">
        <v>18</v>
      </c>
      <c r="C167" s="59">
        <v>2</v>
      </c>
      <c r="D167" s="9">
        <v>0</v>
      </c>
      <c r="E167" s="9">
        <v>0</v>
      </c>
      <c r="F167" s="59">
        <v>0</v>
      </c>
      <c r="G167" s="8">
        <v>0</v>
      </c>
      <c r="H167" s="160">
        <v>0</v>
      </c>
      <c r="I167" s="167">
        <f>SUM(C167:H167)</f>
        <v>2</v>
      </c>
      <c r="J167" s="119">
        <v>204</v>
      </c>
      <c r="K167" s="28">
        <v>0</v>
      </c>
      <c r="L167" s="357">
        <f>L23+L95</f>
        <v>2</v>
      </c>
      <c r="M167" s="28">
        <v>0</v>
      </c>
      <c r="N167" s="357">
        <f>SUM(N23,N95)</f>
        <v>20</v>
      </c>
      <c r="O167" s="160"/>
      <c r="P167" s="167">
        <f>SUM(J167:O167)</f>
        <v>226</v>
      </c>
      <c r="Q167" s="170">
        <f>SUM(I167,P167)</f>
        <v>228</v>
      </c>
    </row>
    <row r="168" spans="1:17" x14ac:dyDescent="0.25">
      <c r="A168" s="86">
        <v>2</v>
      </c>
      <c r="B168" s="12" t="s">
        <v>19</v>
      </c>
      <c r="C168" s="61">
        <v>3</v>
      </c>
      <c r="D168" s="47">
        <v>1</v>
      </c>
      <c r="E168" s="8">
        <v>0</v>
      </c>
      <c r="F168" s="60">
        <v>0</v>
      </c>
      <c r="G168" s="8">
        <v>25</v>
      </c>
      <c r="H168" s="161">
        <v>64</v>
      </c>
      <c r="I168" s="168">
        <f t="shared" ref="I168:I174" si="45">SUM(C168:H168)</f>
        <v>93</v>
      </c>
      <c r="J168" s="120">
        <v>75</v>
      </c>
      <c r="K168" s="16">
        <v>90</v>
      </c>
      <c r="L168" s="8">
        <f t="shared" ref="L168:L174" si="46">L24+L96</f>
        <v>0</v>
      </c>
      <c r="M168" s="16">
        <v>32</v>
      </c>
      <c r="N168" s="8">
        <f t="shared" ref="N168:N174" si="47">SUM(N24,N96)</f>
        <v>81</v>
      </c>
      <c r="O168" s="161"/>
      <c r="P168" s="168">
        <f t="shared" ref="P168:P174" si="48">SUM(J168:O168)</f>
        <v>278</v>
      </c>
      <c r="Q168" s="171">
        <f>SUM(I168,P168)</f>
        <v>371</v>
      </c>
    </row>
    <row r="169" spans="1:17" x14ac:dyDescent="0.25">
      <c r="A169" s="86">
        <v>3</v>
      </c>
      <c r="B169" s="7" t="s">
        <v>20</v>
      </c>
      <c r="C169" s="61">
        <v>0</v>
      </c>
      <c r="D169" s="8">
        <v>0</v>
      </c>
      <c r="E169" s="8">
        <v>0</v>
      </c>
      <c r="F169" s="60">
        <v>0</v>
      </c>
      <c r="G169" s="8">
        <v>0</v>
      </c>
      <c r="H169" s="161">
        <v>25</v>
      </c>
      <c r="I169" s="168">
        <f t="shared" si="45"/>
        <v>25</v>
      </c>
      <c r="J169" s="120">
        <v>48</v>
      </c>
      <c r="K169" s="16">
        <v>0</v>
      </c>
      <c r="L169" s="8">
        <f t="shared" si="46"/>
        <v>0</v>
      </c>
      <c r="M169" s="16">
        <v>5</v>
      </c>
      <c r="N169" s="8">
        <f t="shared" si="47"/>
        <v>10</v>
      </c>
      <c r="O169" s="161"/>
      <c r="P169" s="168">
        <f t="shared" si="48"/>
        <v>63</v>
      </c>
      <c r="Q169" s="171">
        <f t="shared" ref="Q169:Q174" si="49">SUM(I169,P169)</f>
        <v>88</v>
      </c>
    </row>
    <row r="170" spans="1:17" x14ac:dyDescent="0.25">
      <c r="A170" s="87">
        <v>4</v>
      </c>
      <c r="B170" s="15" t="s">
        <v>21</v>
      </c>
      <c r="C170" s="61">
        <v>0</v>
      </c>
      <c r="D170" s="16">
        <v>0</v>
      </c>
      <c r="E170" s="16">
        <v>2</v>
      </c>
      <c r="F170" s="61">
        <v>0</v>
      </c>
      <c r="G170" s="16">
        <v>3</v>
      </c>
      <c r="H170" s="162">
        <v>165</v>
      </c>
      <c r="I170" s="168">
        <f t="shared" si="45"/>
        <v>170</v>
      </c>
      <c r="J170" s="121">
        <v>16</v>
      </c>
      <c r="K170" s="17">
        <v>0</v>
      </c>
      <c r="L170" s="8">
        <f t="shared" si="46"/>
        <v>0</v>
      </c>
      <c r="M170" s="16">
        <v>0</v>
      </c>
      <c r="N170" s="8">
        <f t="shared" si="47"/>
        <v>7</v>
      </c>
      <c r="O170" s="162"/>
      <c r="P170" s="168">
        <f t="shared" si="48"/>
        <v>23</v>
      </c>
      <c r="Q170" s="171">
        <f t="shared" si="49"/>
        <v>193</v>
      </c>
    </row>
    <row r="171" spans="1:17" x14ac:dyDescent="0.25">
      <c r="A171" s="87">
        <v>5</v>
      </c>
      <c r="B171" s="19" t="s">
        <v>22</v>
      </c>
      <c r="C171" s="16">
        <v>22</v>
      </c>
      <c r="D171" s="16">
        <v>5</v>
      </c>
      <c r="E171" s="16">
        <v>0</v>
      </c>
      <c r="F171" s="61">
        <v>0</v>
      </c>
      <c r="G171" s="16">
        <v>0</v>
      </c>
      <c r="H171" s="162">
        <v>25</v>
      </c>
      <c r="I171" s="168">
        <f t="shared" si="45"/>
        <v>52</v>
      </c>
      <c r="J171" s="121">
        <v>225</v>
      </c>
      <c r="K171" s="16">
        <v>0</v>
      </c>
      <c r="L171" s="8">
        <f t="shared" si="46"/>
        <v>0</v>
      </c>
      <c r="M171" s="16">
        <v>0</v>
      </c>
      <c r="N171" s="8">
        <f t="shared" si="47"/>
        <v>10</v>
      </c>
      <c r="O171" s="162"/>
      <c r="P171" s="168">
        <f t="shared" si="48"/>
        <v>235</v>
      </c>
      <c r="Q171" s="171">
        <f t="shared" si="49"/>
        <v>287</v>
      </c>
    </row>
    <row r="172" spans="1:17" x14ac:dyDescent="0.25">
      <c r="A172" s="87">
        <v>6</v>
      </c>
      <c r="B172" s="19" t="s">
        <v>23</v>
      </c>
      <c r="C172" s="16">
        <v>0</v>
      </c>
      <c r="D172" s="16">
        <v>0</v>
      </c>
      <c r="E172" s="16">
        <v>0</v>
      </c>
      <c r="F172" s="61">
        <v>0</v>
      </c>
      <c r="G172" s="16">
        <v>0</v>
      </c>
      <c r="H172" s="162">
        <v>44</v>
      </c>
      <c r="I172" s="168">
        <f t="shared" si="45"/>
        <v>44</v>
      </c>
      <c r="J172" s="121">
        <v>0</v>
      </c>
      <c r="K172" s="16">
        <v>0</v>
      </c>
      <c r="L172" s="8">
        <f t="shared" si="46"/>
        <v>6</v>
      </c>
      <c r="M172" s="16">
        <v>0</v>
      </c>
      <c r="N172" s="8">
        <f t="shared" si="47"/>
        <v>10</v>
      </c>
      <c r="O172" s="162"/>
      <c r="P172" s="168">
        <f t="shared" si="48"/>
        <v>16</v>
      </c>
      <c r="Q172" s="171">
        <f t="shared" si="49"/>
        <v>60</v>
      </c>
    </row>
    <row r="173" spans="1:17" x14ac:dyDescent="0.25">
      <c r="A173" s="87">
        <v>7</v>
      </c>
      <c r="B173" s="19" t="s">
        <v>24</v>
      </c>
      <c r="C173" s="16">
        <v>49</v>
      </c>
      <c r="D173" s="16">
        <v>4</v>
      </c>
      <c r="E173" s="16">
        <v>2</v>
      </c>
      <c r="F173" s="61">
        <v>1</v>
      </c>
      <c r="G173" s="16">
        <v>1</v>
      </c>
      <c r="H173" s="162">
        <v>92</v>
      </c>
      <c r="I173" s="168">
        <f t="shared" si="45"/>
        <v>149</v>
      </c>
      <c r="J173" s="121">
        <v>162</v>
      </c>
      <c r="K173" s="16">
        <v>23</v>
      </c>
      <c r="L173" s="8">
        <f t="shared" si="46"/>
        <v>0</v>
      </c>
      <c r="M173" s="16">
        <v>2</v>
      </c>
      <c r="N173" s="8">
        <f t="shared" si="47"/>
        <v>30</v>
      </c>
      <c r="O173" s="162"/>
      <c r="P173" s="168">
        <f t="shared" si="48"/>
        <v>217</v>
      </c>
      <c r="Q173" s="171">
        <f t="shared" si="49"/>
        <v>366</v>
      </c>
    </row>
    <row r="174" spans="1:17" ht="15.75" thickBot="1" x14ac:dyDescent="0.3">
      <c r="A174" s="88">
        <v>8</v>
      </c>
      <c r="B174" s="15" t="s">
        <v>25</v>
      </c>
      <c r="C174" s="17">
        <v>34</v>
      </c>
      <c r="D174" s="17">
        <v>22</v>
      </c>
      <c r="E174" s="17">
        <v>0</v>
      </c>
      <c r="F174" s="62">
        <v>0</v>
      </c>
      <c r="G174" s="17">
        <v>30</v>
      </c>
      <c r="H174" s="163">
        <v>206</v>
      </c>
      <c r="I174" s="169">
        <f t="shared" si="45"/>
        <v>292</v>
      </c>
      <c r="J174" s="122">
        <v>68</v>
      </c>
      <c r="K174" s="17">
        <v>0</v>
      </c>
      <c r="L174" s="358">
        <f t="shared" si="46"/>
        <v>4</v>
      </c>
      <c r="M174" s="17">
        <v>40</v>
      </c>
      <c r="N174" s="358">
        <f t="shared" si="47"/>
        <v>107</v>
      </c>
      <c r="O174" s="163"/>
      <c r="P174" s="169">
        <f t="shared" si="48"/>
        <v>219</v>
      </c>
      <c r="Q174" s="172">
        <f t="shared" si="49"/>
        <v>511</v>
      </c>
    </row>
    <row r="175" spans="1:17" ht="16.5" thickTop="1" thickBot="1" x14ac:dyDescent="0.3">
      <c r="A175" s="443" t="s">
        <v>26</v>
      </c>
      <c r="B175" s="444"/>
      <c r="C175" s="133">
        <v>110</v>
      </c>
      <c r="D175" s="133">
        <v>32</v>
      </c>
      <c r="E175" s="133">
        <v>4</v>
      </c>
      <c r="F175" s="133">
        <v>1</v>
      </c>
      <c r="G175" s="133">
        <v>59</v>
      </c>
      <c r="H175" s="164">
        <v>606</v>
      </c>
      <c r="I175" s="166">
        <f>SUM(I167:I174)</f>
        <v>827</v>
      </c>
      <c r="J175" s="135">
        <f>SUM(J167:J174)</f>
        <v>798</v>
      </c>
      <c r="K175" s="133">
        <f t="shared" ref="K175:O175" si="50">SUM(K167:K174)</f>
        <v>113</v>
      </c>
      <c r="L175" s="133">
        <f t="shared" si="50"/>
        <v>12</v>
      </c>
      <c r="M175" s="133">
        <f t="shared" si="50"/>
        <v>79</v>
      </c>
      <c r="N175" s="133">
        <f t="shared" si="50"/>
        <v>275</v>
      </c>
      <c r="O175" s="164">
        <f t="shared" si="50"/>
        <v>0</v>
      </c>
      <c r="P175" s="166">
        <f>SUM(P167:P174)</f>
        <v>1277</v>
      </c>
      <c r="Q175" s="173">
        <f>SUM(Q167:Q174)</f>
        <v>2104</v>
      </c>
    </row>
    <row r="181" spans="1:17" ht="15.75" x14ac:dyDescent="0.25">
      <c r="A181" s="445" t="s">
        <v>95</v>
      </c>
      <c r="B181" s="445"/>
      <c r="C181" s="445"/>
      <c r="D181" s="445"/>
      <c r="E181" s="445"/>
      <c r="F181" s="445"/>
      <c r="G181" s="445"/>
      <c r="H181" s="445"/>
      <c r="I181" s="445"/>
      <c r="J181" s="445"/>
      <c r="K181" s="445"/>
      <c r="L181" s="445"/>
      <c r="M181" s="445"/>
      <c r="N181" s="445"/>
      <c r="O181" s="445"/>
      <c r="P181" s="445"/>
      <c r="Q181" s="445"/>
    </row>
    <row r="182" spans="1:17" ht="15.75" x14ac:dyDescent="0.25">
      <c r="A182" s="445" t="s">
        <v>83</v>
      </c>
      <c r="B182" s="445"/>
      <c r="C182" s="445"/>
      <c r="D182" s="445"/>
      <c r="E182" s="445"/>
      <c r="F182" s="445"/>
      <c r="G182" s="445"/>
      <c r="H182" s="445"/>
      <c r="I182" s="445"/>
      <c r="J182" s="445"/>
      <c r="K182" s="445"/>
      <c r="L182" s="445"/>
      <c r="M182" s="445"/>
      <c r="N182" s="445"/>
      <c r="O182" s="445"/>
      <c r="P182" s="445"/>
      <c r="Q182" s="445"/>
    </row>
    <row r="183" spans="1:17" ht="15.75" thickBot="1" x14ac:dyDescent="0.3">
      <c r="Q183" s="77" t="s">
        <v>1</v>
      </c>
    </row>
    <row r="184" spans="1:17" x14ac:dyDescent="0.25">
      <c r="A184" s="440" t="s">
        <v>2</v>
      </c>
      <c r="B184" s="442" t="s">
        <v>3</v>
      </c>
      <c r="C184" s="446" t="s">
        <v>84</v>
      </c>
      <c r="D184" s="447"/>
      <c r="E184" s="447"/>
      <c r="F184" s="447"/>
      <c r="G184" s="447"/>
      <c r="H184" s="447"/>
      <c r="I184" s="448" t="s">
        <v>91</v>
      </c>
      <c r="J184" s="447">
        <v>2015</v>
      </c>
      <c r="K184" s="447"/>
      <c r="L184" s="447"/>
      <c r="M184" s="447"/>
      <c r="N184" s="447"/>
      <c r="O184" s="447"/>
      <c r="P184" s="448" t="s">
        <v>92</v>
      </c>
      <c r="Q184" s="450" t="s">
        <v>5</v>
      </c>
    </row>
    <row r="185" spans="1:17" x14ac:dyDescent="0.25">
      <c r="A185" s="441"/>
      <c r="B185" s="426"/>
      <c r="C185" s="141" t="s">
        <v>15</v>
      </c>
      <c r="D185" s="141" t="s">
        <v>16</v>
      </c>
      <c r="E185" s="141" t="s">
        <v>17</v>
      </c>
      <c r="F185" s="141" t="s">
        <v>6</v>
      </c>
      <c r="G185" s="141" t="s">
        <v>78</v>
      </c>
      <c r="H185" s="158" t="s">
        <v>79</v>
      </c>
      <c r="I185" s="449"/>
      <c r="J185" s="117" t="s">
        <v>80</v>
      </c>
      <c r="K185" s="141" t="s">
        <v>10</v>
      </c>
      <c r="L185" s="141" t="s">
        <v>11</v>
      </c>
      <c r="M185" s="141" t="s">
        <v>12</v>
      </c>
      <c r="N185" s="141" t="s">
        <v>81</v>
      </c>
      <c r="O185" s="158" t="s">
        <v>82</v>
      </c>
      <c r="P185" s="449"/>
      <c r="Q185" s="451"/>
    </row>
    <row r="186" spans="1:17" ht="15.75" thickBot="1" x14ac:dyDescent="0.3">
      <c r="A186" s="128">
        <v>1</v>
      </c>
      <c r="B186" s="5">
        <v>2</v>
      </c>
      <c r="C186" s="5">
        <v>3</v>
      </c>
      <c r="D186" s="5">
        <v>4</v>
      </c>
      <c r="E186" s="5">
        <v>5</v>
      </c>
      <c r="F186" s="5">
        <v>6</v>
      </c>
      <c r="G186" s="5">
        <v>7</v>
      </c>
      <c r="H186" s="159">
        <v>8</v>
      </c>
      <c r="I186" s="165">
        <v>9</v>
      </c>
      <c r="J186" s="118">
        <v>10</v>
      </c>
      <c r="K186" s="5">
        <v>11</v>
      </c>
      <c r="L186" s="5">
        <v>12</v>
      </c>
      <c r="M186" s="5">
        <v>13</v>
      </c>
      <c r="N186" s="5">
        <v>14</v>
      </c>
      <c r="O186" s="159">
        <v>15</v>
      </c>
      <c r="P186" s="165">
        <v>16</v>
      </c>
      <c r="Q186" s="174">
        <v>17</v>
      </c>
    </row>
    <row r="187" spans="1:17" ht="15.75" thickTop="1" x14ac:dyDescent="0.25">
      <c r="A187" s="85">
        <v>1</v>
      </c>
      <c r="B187" s="7" t="s">
        <v>18</v>
      </c>
      <c r="C187" s="59">
        <v>7</v>
      </c>
      <c r="D187" s="28">
        <v>0</v>
      </c>
      <c r="E187" s="28">
        <v>0</v>
      </c>
      <c r="F187" s="63">
        <v>0</v>
      </c>
      <c r="G187" s="63">
        <v>0</v>
      </c>
      <c r="H187" s="160">
        <v>0</v>
      </c>
      <c r="I187" s="167">
        <f>SUM(C187:H187)</f>
        <v>7</v>
      </c>
      <c r="J187" s="119">
        <v>1327</v>
      </c>
      <c r="K187" s="28">
        <v>0</v>
      </c>
      <c r="L187" s="357">
        <f>L43+L115</f>
        <v>10</v>
      </c>
      <c r="M187" s="28">
        <v>0</v>
      </c>
      <c r="N187" s="357">
        <f>SUM(N43,N115)</f>
        <v>90</v>
      </c>
      <c r="O187" s="160"/>
      <c r="P187" s="167">
        <f>SUM(J187:O187)</f>
        <v>1427</v>
      </c>
      <c r="Q187" s="170">
        <f>SUM(I187,P187)</f>
        <v>1434</v>
      </c>
    </row>
    <row r="188" spans="1:17" x14ac:dyDescent="0.25">
      <c r="A188" s="86">
        <v>2</v>
      </c>
      <c r="B188" s="12" t="s">
        <v>19</v>
      </c>
      <c r="C188" s="61">
        <v>20</v>
      </c>
      <c r="D188" s="16">
        <v>5</v>
      </c>
      <c r="E188" s="16">
        <v>0</v>
      </c>
      <c r="F188" s="61">
        <v>0</v>
      </c>
      <c r="G188" s="16">
        <v>173</v>
      </c>
      <c r="H188" s="162">
        <v>523</v>
      </c>
      <c r="I188" s="168">
        <f t="shared" ref="I188:I194" si="51">SUM(C188:H188)</f>
        <v>721</v>
      </c>
      <c r="J188" s="120">
        <v>455</v>
      </c>
      <c r="K188" s="16">
        <v>805</v>
      </c>
      <c r="L188" s="8">
        <f t="shared" ref="L188:L194" si="52">L44+L116</f>
        <v>0</v>
      </c>
      <c r="M188" s="16">
        <v>245</v>
      </c>
      <c r="N188" s="8">
        <f t="shared" ref="N188:N194" si="53">SUM(N44,N116)</f>
        <v>639</v>
      </c>
      <c r="O188" s="161"/>
      <c r="P188" s="168">
        <f t="shared" ref="P188:P194" si="54">SUM(J188:O188)</f>
        <v>2144</v>
      </c>
      <c r="Q188" s="171">
        <f t="shared" ref="Q188:Q194" si="55">SUM(I188,P188)</f>
        <v>2865</v>
      </c>
    </row>
    <row r="189" spans="1:17" x14ac:dyDescent="0.25">
      <c r="A189" s="86">
        <v>3</v>
      </c>
      <c r="B189" s="7" t="s">
        <v>20</v>
      </c>
      <c r="C189" s="61">
        <v>0</v>
      </c>
      <c r="D189" s="16">
        <v>0</v>
      </c>
      <c r="E189" s="16">
        <v>0</v>
      </c>
      <c r="F189" s="61">
        <v>0</v>
      </c>
      <c r="G189" s="16">
        <v>0</v>
      </c>
      <c r="H189" s="162">
        <v>98</v>
      </c>
      <c r="I189" s="168">
        <f t="shared" si="51"/>
        <v>98</v>
      </c>
      <c r="J189" s="120">
        <v>261</v>
      </c>
      <c r="K189" s="16">
        <v>0</v>
      </c>
      <c r="L189" s="8">
        <f t="shared" si="52"/>
        <v>0</v>
      </c>
      <c r="M189" s="16">
        <v>28</v>
      </c>
      <c r="N189" s="8">
        <f t="shared" si="53"/>
        <v>30</v>
      </c>
      <c r="O189" s="161"/>
      <c r="P189" s="168">
        <f t="shared" si="54"/>
        <v>319</v>
      </c>
      <c r="Q189" s="171">
        <f t="shared" si="55"/>
        <v>417</v>
      </c>
    </row>
    <row r="190" spans="1:17" x14ac:dyDescent="0.25">
      <c r="A190" s="87">
        <v>4</v>
      </c>
      <c r="B190" s="15" t="s">
        <v>21</v>
      </c>
      <c r="C190" s="61">
        <v>0</v>
      </c>
      <c r="D190" s="16">
        <v>0</v>
      </c>
      <c r="E190" s="16">
        <v>11</v>
      </c>
      <c r="F190" s="61">
        <v>0</v>
      </c>
      <c r="G190" s="16">
        <v>16</v>
      </c>
      <c r="H190" s="162">
        <v>943</v>
      </c>
      <c r="I190" s="168">
        <f t="shared" si="51"/>
        <v>970</v>
      </c>
      <c r="J190" s="121">
        <v>104</v>
      </c>
      <c r="K190" s="17">
        <v>0</v>
      </c>
      <c r="L190" s="8">
        <f t="shared" si="52"/>
        <v>0</v>
      </c>
      <c r="M190" s="16">
        <v>0</v>
      </c>
      <c r="N190" s="8">
        <f t="shared" si="53"/>
        <v>37</v>
      </c>
      <c r="O190" s="162"/>
      <c r="P190" s="168">
        <f t="shared" si="54"/>
        <v>141</v>
      </c>
      <c r="Q190" s="171">
        <f t="shared" si="55"/>
        <v>1111</v>
      </c>
    </row>
    <row r="191" spans="1:17" x14ac:dyDescent="0.25">
      <c r="A191" s="87">
        <v>5</v>
      </c>
      <c r="B191" s="19" t="s">
        <v>22</v>
      </c>
      <c r="C191" s="16">
        <v>121</v>
      </c>
      <c r="D191" s="16">
        <v>26</v>
      </c>
      <c r="E191" s="16">
        <v>0</v>
      </c>
      <c r="F191" s="61">
        <v>0</v>
      </c>
      <c r="G191" s="16">
        <v>0</v>
      </c>
      <c r="H191" s="162">
        <v>144</v>
      </c>
      <c r="I191" s="168">
        <f t="shared" si="51"/>
        <v>291</v>
      </c>
      <c r="J191" s="121">
        <v>1406</v>
      </c>
      <c r="K191" s="16">
        <v>0</v>
      </c>
      <c r="L191" s="8">
        <f t="shared" si="52"/>
        <v>0</v>
      </c>
      <c r="M191" s="16">
        <v>0</v>
      </c>
      <c r="N191" s="8">
        <f t="shared" si="53"/>
        <v>0</v>
      </c>
      <c r="O191" s="162"/>
      <c r="P191" s="168">
        <f t="shared" si="54"/>
        <v>1406</v>
      </c>
      <c r="Q191" s="171">
        <f t="shared" si="55"/>
        <v>1697</v>
      </c>
    </row>
    <row r="192" spans="1:17" x14ac:dyDescent="0.25">
      <c r="A192" s="87">
        <v>6</v>
      </c>
      <c r="B192" s="19" t="s">
        <v>23</v>
      </c>
      <c r="C192" s="16">
        <v>0</v>
      </c>
      <c r="D192" s="16">
        <v>0</v>
      </c>
      <c r="E192" s="16">
        <v>0</v>
      </c>
      <c r="F192" s="61">
        <v>0</v>
      </c>
      <c r="G192" s="16">
        <v>0</v>
      </c>
      <c r="H192" s="162">
        <v>325</v>
      </c>
      <c r="I192" s="168">
        <f t="shared" si="51"/>
        <v>325</v>
      </c>
      <c r="J192" s="121">
        <v>0</v>
      </c>
      <c r="K192" s="16">
        <v>0</v>
      </c>
      <c r="L192" s="8">
        <f t="shared" si="52"/>
        <v>42</v>
      </c>
      <c r="M192" s="16">
        <v>0</v>
      </c>
      <c r="N192" s="8">
        <f t="shared" si="53"/>
        <v>70</v>
      </c>
      <c r="O192" s="162"/>
      <c r="P192" s="168">
        <f t="shared" si="54"/>
        <v>112</v>
      </c>
      <c r="Q192" s="171">
        <f t="shared" si="55"/>
        <v>437</v>
      </c>
    </row>
    <row r="193" spans="1:17" x14ac:dyDescent="0.25">
      <c r="A193" s="87">
        <v>7</v>
      </c>
      <c r="B193" s="19" t="s">
        <v>24</v>
      </c>
      <c r="C193" s="16">
        <v>270</v>
      </c>
      <c r="D193" s="16">
        <v>22</v>
      </c>
      <c r="E193" s="16">
        <v>11</v>
      </c>
      <c r="F193" s="61">
        <v>5</v>
      </c>
      <c r="G193" s="16">
        <v>6</v>
      </c>
      <c r="H193" s="162">
        <v>479</v>
      </c>
      <c r="I193" s="168">
        <f t="shared" si="51"/>
        <v>793</v>
      </c>
      <c r="J193" s="121">
        <v>1000</v>
      </c>
      <c r="K193" s="16">
        <v>129</v>
      </c>
      <c r="L193" s="8">
        <f t="shared" si="52"/>
        <v>0</v>
      </c>
      <c r="M193" s="16">
        <v>9</v>
      </c>
      <c r="N193" s="8">
        <f t="shared" si="53"/>
        <v>206</v>
      </c>
      <c r="O193" s="162"/>
      <c r="P193" s="168">
        <f t="shared" si="54"/>
        <v>1344</v>
      </c>
      <c r="Q193" s="171">
        <f t="shared" si="55"/>
        <v>2137</v>
      </c>
    </row>
    <row r="194" spans="1:17" ht="15.75" thickBot="1" x14ac:dyDescent="0.3">
      <c r="A194" s="88">
        <v>8</v>
      </c>
      <c r="B194" s="15" t="s">
        <v>25</v>
      </c>
      <c r="C194" s="17">
        <v>219</v>
      </c>
      <c r="D194" s="17">
        <v>142</v>
      </c>
      <c r="E194" s="17">
        <v>0</v>
      </c>
      <c r="F194" s="62">
        <v>0</v>
      </c>
      <c r="G194" s="17">
        <v>174</v>
      </c>
      <c r="H194" s="163">
        <v>1590</v>
      </c>
      <c r="I194" s="169">
        <f t="shared" si="51"/>
        <v>2125</v>
      </c>
      <c r="J194" s="122">
        <v>443</v>
      </c>
      <c r="K194" s="17">
        <v>0</v>
      </c>
      <c r="L194" s="358">
        <f t="shared" si="52"/>
        <v>27</v>
      </c>
      <c r="M194" s="17">
        <v>248</v>
      </c>
      <c r="N194" s="358">
        <f t="shared" si="53"/>
        <v>590</v>
      </c>
      <c r="O194" s="163"/>
      <c r="P194" s="169">
        <f t="shared" si="54"/>
        <v>1308</v>
      </c>
      <c r="Q194" s="172">
        <f t="shared" si="55"/>
        <v>3433</v>
      </c>
    </row>
    <row r="195" spans="1:17" ht="16.5" thickTop="1" thickBot="1" x14ac:dyDescent="0.3">
      <c r="A195" s="443" t="s">
        <v>26</v>
      </c>
      <c r="B195" s="444"/>
      <c r="C195" s="133">
        <f t="shared" ref="C195:H195" si="56">SUM(C187:C194)</f>
        <v>637</v>
      </c>
      <c r="D195" s="133">
        <f t="shared" si="56"/>
        <v>195</v>
      </c>
      <c r="E195" s="133">
        <f t="shared" si="56"/>
        <v>22</v>
      </c>
      <c r="F195" s="133">
        <f t="shared" si="56"/>
        <v>5</v>
      </c>
      <c r="G195" s="133">
        <f t="shared" si="56"/>
        <v>369</v>
      </c>
      <c r="H195" s="164">
        <f t="shared" si="56"/>
        <v>4102</v>
      </c>
      <c r="I195" s="166">
        <f>SUM(I187:I194)</f>
        <v>5330</v>
      </c>
      <c r="J195" s="135">
        <f t="shared" ref="J195:O195" si="57">SUM(J187:J194)</f>
        <v>4996</v>
      </c>
      <c r="K195" s="133">
        <f t="shared" si="57"/>
        <v>934</v>
      </c>
      <c r="L195" s="133">
        <f t="shared" si="57"/>
        <v>79</v>
      </c>
      <c r="M195" s="133">
        <f t="shared" si="57"/>
        <v>530</v>
      </c>
      <c r="N195" s="133">
        <f t="shared" si="57"/>
        <v>1662</v>
      </c>
      <c r="O195" s="164">
        <f t="shared" si="57"/>
        <v>0</v>
      </c>
      <c r="P195" s="166">
        <f>SUM(P187:P194)</f>
        <v>8201</v>
      </c>
      <c r="Q195" s="173">
        <f>SUM(Q187:Q194)</f>
        <v>13531</v>
      </c>
    </row>
    <row r="197" spans="1:17" ht="15.75" x14ac:dyDescent="0.25">
      <c r="A197" s="445" t="s">
        <v>96</v>
      </c>
      <c r="B197" s="445"/>
      <c r="C197" s="445"/>
      <c r="D197" s="445"/>
      <c r="E197" s="445"/>
      <c r="F197" s="445"/>
      <c r="G197" s="445"/>
      <c r="H197" s="445"/>
      <c r="I197" s="445"/>
      <c r="J197" s="445"/>
      <c r="K197" s="445"/>
      <c r="L197" s="445"/>
      <c r="M197" s="445"/>
      <c r="N197" s="445"/>
      <c r="O197" s="445"/>
      <c r="P197" s="445"/>
      <c r="Q197" s="445"/>
    </row>
    <row r="198" spans="1:17" ht="15.75" x14ac:dyDescent="0.25">
      <c r="A198" s="445" t="s">
        <v>83</v>
      </c>
      <c r="B198" s="445"/>
      <c r="C198" s="445"/>
      <c r="D198" s="445"/>
      <c r="E198" s="445"/>
      <c r="F198" s="445"/>
      <c r="G198" s="445"/>
      <c r="H198" s="445"/>
      <c r="I198" s="445"/>
      <c r="J198" s="445"/>
      <c r="K198" s="445"/>
      <c r="L198" s="445"/>
      <c r="M198" s="445"/>
      <c r="N198" s="445"/>
      <c r="O198" s="445"/>
      <c r="P198" s="445"/>
      <c r="Q198" s="445"/>
    </row>
    <row r="199" spans="1:17" ht="15.75" thickBot="1" x14ac:dyDescent="0.3">
      <c r="Q199" s="77" t="s">
        <v>31</v>
      </c>
    </row>
    <row r="200" spans="1:17" x14ac:dyDescent="0.25">
      <c r="A200" s="440" t="s">
        <v>2</v>
      </c>
      <c r="B200" s="442" t="s">
        <v>3</v>
      </c>
      <c r="C200" s="446" t="s">
        <v>84</v>
      </c>
      <c r="D200" s="447"/>
      <c r="E200" s="447"/>
      <c r="F200" s="447"/>
      <c r="G200" s="447"/>
      <c r="H200" s="447"/>
      <c r="I200" s="448" t="s">
        <v>91</v>
      </c>
      <c r="J200" s="447">
        <v>2015</v>
      </c>
      <c r="K200" s="447"/>
      <c r="L200" s="447"/>
      <c r="M200" s="447"/>
      <c r="N200" s="447"/>
      <c r="O200" s="447"/>
      <c r="P200" s="448" t="s">
        <v>92</v>
      </c>
      <c r="Q200" s="450" t="s">
        <v>5</v>
      </c>
    </row>
    <row r="201" spans="1:17" x14ac:dyDescent="0.25">
      <c r="A201" s="441"/>
      <c r="B201" s="426"/>
      <c r="C201" s="141" t="s">
        <v>15</v>
      </c>
      <c r="D201" s="141" t="s">
        <v>16</v>
      </c>
      <c r="E201" s="141" t="s">
        <v>17</v>
      </c>
      <c r="F201" s="141" t="s">
        <v>6</v>
      </c>
      <c r="G201" s="141" t="s">
        <v>78</v>
      </c>
      <c r="H201" s="158" t="s">
        <v>79</v>
      </c>
      <c r="I201" s="449"/>
      <c r="J201" s="117" t="s">
        <v>80</v>
      </c>
      <c r="K201" s="141" t="s">
        <v>10</v>
      </c>
      <c r="L201" s="141" t="s">
        <v>11</v>
      </c>
      <c r="M201" s="141" t="s">
        <v>12</v>
      </c>
      <c r="N201" s="141" t="s">
        <v>81</v>
      </c>
      <c r="O201" s="158" t="s">
        <v>82</v>
      </c>
      <c r="P201" s="449"/>
      <c r="Q201" s="451"/>
    </row>
    <row r="202" spans="1:17" ht="15.75" thickBot="1" x14ac:dyDescent="0.3">
      <c r="A202" s="128">
        <v>1</v>
      </c>
      <c r="B202" s="5">
        <v>2</v>
      </c>
      <c r="C202" s="5">
        <v>3</v>
      </c>
      <c r="D202" s="5">
        <v>4</v>
      </c>
      <c r="E202" s="5">
        <v>5</v>
      </c>
      <c r="F202" s="5">
        <v>6</v>
      </c>
      <c r="G202" s="5">
        <v>7</v>
      </c>
      <c r="H202" s="159">
        <v>8</v>
      </c>
      <c r="I202" s="165">
        <v>9</v>
      </c>
      <c r="J202" s="118">
        <v>10</v>
      </c>
      <c r="K202" s="5">
        <v>11</v>
      </c>
      <c r="L202" s="5">
        <v>12</v>
      </c>
      <c r="M202" s="5">
        <v>13</v>
      </c>
      <c r="N202" s="5">
        <v>14</v>
      </c>
      <c r="O202" s="159">
        <v>15</v>
      </c>
      <c r="P202" s="165">
        <v>16</v>
      </c>
      <c r="Q202" s="174">
        <v>17</v>
      </c>
    </row>
    <row r="203" spans="1:17" ht="16.5" thickTop="1" x14ac:dyDescent="0.25">
      <c r="A203" s="85">
        <v>1</v>
      </c>
      <c r="B203" s="7" t="s">
        <v>18</v>
      </c>
      <c r="C203" s="149">
        <v>35.049999999999997</v>
      </c>
      <c r="D203" s="150">
        <v>0</v>
      </c>
      <c r="E203" s="150">
        <v>0</v>
      </c>
      <c r="F203" s="64">
        <v>0</v>
      </c>
      <c r="G203" s="64">
        <v>0</v>
      </c>
      <c r="H203" s="182">
        <v>0</v>
      </c>
      <c r="I203" s="188">
        <f>I187/I167*10</f>
        <v>35</v>
      </c>
      <c r="J203" s="193">
        <v>65.08</v>
      </c>
      <c r="K203" s="32">
        <v>0</v>
      </c>
      <c r="L203" s="362">
        <f>L187/L167*10</f>
        <v>50</v>
      </c>
      <c r="M203" s="32">
        <v>0</v>
      </c>
      <c r="N203" s="362">
        <v>45.25</v>
      </c>
      <c r="O203" s="160"/>
      <c r="P203" s="188">
        <f>P187/P167*10</f>
        <v>63.141592920353986</v>
      </c>
      <c r="Q203" s="181">
        <f>Q187/Q167*10</f>
        <v>62.894736842105267</v>
      </c>
    </row>
    <row r="204" spans="1:17" ht="15.75" x14ac:dyDescent="0.25">
      <c r="A204" s="86">
        <v>2</v>
      </c>
      <c r="B204" s="12" t="s">
        <v>19</v>
      </c>
      <c r="C204" s="151">
        <v>65.3</v>
      </c>
      <c r="D204" s="152">
        <v>50.12</v>
      </c>
      <c r="E204" s="152">
        <v>0</v>
      </c>
      <c r="F204" s="66">
        <v>0</v>
      </c>
      <c r="G204" s="34">
        <v>69.14</v>
      </c>
      <c r="H204" s="183">
        <v>81.67</v>
      </c>
      <c r="I204" s="191">
        <f t="shared" ref="I204:I211" si="58">I188/I168*10</f>
        <v>77.526881720430111</v>
      </c>
      <c r="J204" s="194">
        <v>60.63</v>
      </c>
      <c r="K204" s="34">
        <v>89.44</v>
      </c>
      <c r="L204" s="361">
        <v>0</v>
      </c>
      <c r="M204" s="34">
        <v>92.16</v>
      </c>
      <c r="N204" s="361">
        <v>78.89</v>
      </c>
      <c r="O204" s="161"/>
      <c r="P204" s="191">
        <f t="shared" ref="P204:Q204" si="59">P188/P168*10</f>
        <v>77.122302158273385</v>
      </c>
      <c r="Q204" s="192">
        <f t="shared" si="59"/>
        <v>77.223719676549862</v>
      </c>
    </row>
    <row r="205" spans="1:17" ht="15.75" x14ac:dyDescent="0.25">
      <c r="A205" s="86">
        <v>3</v>
      </c>
      <c r="B205" s="7" t="s">
        <v>20</v>
      </c>
      <c r="C205" s="151">
        <v>0</v>
      </c>
      <c r="D205" s="152">
        <v>0</v>
      </c>
      <c r="E205" s="152">
        <v>0</v>
      </c>
      <c r="F205" s="66">
        <v>0</v>
      </c>
      <c r="G205" s="34">
        <v>0</v>
      </c>
      <c r="H205" s="183">
        <f>H189/H169*10</f>
        <v>39.200000000000003</v>
      </c>
      <c r="I205" s="191">
        <f t="shared" si="58"/>
        <v>39.200000000000003</v>
      </c>
      <c r="J205" s="183">
        <f>J189/J169*10</f>
        <v>54.375</v>
      </c>
      <c r="K205" s="34">
        <v>0</v>
      </c>
      <c r="L205" s="361">
        <v>0</v>
      </c>
      <c r="M205" s="34">
        <v>57</v>
      </c>
      <c r="N205" s="361">
        <v>26.5</v>
      </c>
      <c r="O205" s="161"/>
      <c r="P205" s="191">
        <f>P189/P169*10</f>
        <v>50.634920634920633</v>
      </c>
      <c r="Q205" s="192">
        <f>Q189/Q169*10</f>
        <v>47.386363636363633</v>
      </c>
    </row>
    <row r="206" spans="1:17" ht="15.75" x14ac:dyDescent="0.25">
      <c r="A206" s="87">
        <v>4</v>
      </c>
      <c r="B206" s="15" t="s">
        <v>21</v>
      </c>
      <c r="C206" s="151">
        <v>0</v>
      </c>
      <c r="D206" s="152">
        <v>0</v>
      </c>
      <c r="E206" s="152">
        <v>54.6</v>
      </c>
      <c r="F206" s="66">
        <v>0</v>
      </c>
      <c r="G206" s="34">
        <v>53.22</v>
      </c>
      <c r="H206" s="183">
        <v>57.15</v>
      </c>
      <c r="I206" s="191">
        <f t="shared" si="58"/>
        <v>57.058823529411768</v>
      </c>
      <c r="J206" s="195">
        <v>65.010000000000005</v>
      </c>
      <c r="K206" s="36">
        <v>0</v>
      </c>
      <c r="L206" s="361">
        <v>0</v>
      </c>
      <c r="M206" s="34">
        <v>0</v>
      </c>
      <c r="N206" s="361">
        <v>52.36</v>
      </c>
      <c r="O206" s="162"/>
      <c r="P206" s="191">
        <f t="shared" ref="P206:Q206" si="60">P190/P170*10</f>
        <v>61.304347826086953</v>
      </c>
      <c r="Q206" s="192">
        <f t="shared" si="60"/>
        <v>57.564766839378237</v>
      </c>
    </row>
    <row r="207" spans="1:17" x14ac:dyDescent="0.25">
      <c r="A207" s="87">
        <v>5</v>
      </c>
      <c r="B207" s="19" t="s">
        <v>22</v>
      </c>
      <c r="C207" s="152">
        <v>55.15</v>
      </c>
      <c r="D207" s="152">
        <v>51.1</v>
      </c>
      <c r="E207" s="152">
        <v>0</v>
      </c>
      <c r="F207" s="66">
        <v>0</v>
      </c>
      <c r="G207" s="34">
        <v>0</v>
      </c>
      <c r="H207" s="183">
        <v>57.6</v>
      </c>
      <c r="I207" s="191">
        <f t="shared" si="58"/>
        <v>55.96153846153846</v>
      </c>
      <c r="J207" s="195">
        <v>62.5</v>
      </c>
      <c r="K207" s="34">
        <v>0</v>
      </c>
      <c r="L207" s="361">
        <v>0</v>
      </c>
      <c r="M207" s="34">
        <v>0</v>
      </c>
      <c r="N207" s="361">
        <v>0</v>
      </c>
      <c r="O207" s="162"/>
      <c r="P207" s="191">
        <f t="shared" ref="P207:Q207" si="61">P191/P171*10</f>
        <v>59.829787234042556</v>
      </c>
      <c r="Q207" s="192">
        <f t="shared" si="61"/>
        <v>59.128919860627178</v>
      </c>
    </row>
    <row r="208" spans="1:17" x14ac:dyDescent="0.25">
      <c r="A208" s="87">
        <v>6</v>
      </c>
      <c r="B208" s="19" t="s">
        <v>23</v>
      </c>
      <c r="C208" s="152">
        <v>0</v>
      </c>
      <c r="D208" s="152">
        <v>0</v>
      </c>
      <c r="E208" s="152">
        <v>0</v>
      </c>
      <c r="F208" s="66">
        <v>0</v>
      </c>
      <c r="G208" s="34">
        <v>0</v>
      </c>
      <c r="H208" s="183">
        <v>73.959999999999994</v>
      </c>
      <c r="I208" s="191">
        <f t="shared" si="58"/>
        <v>73.863636363636374</v>
      </c>
      <c r="J208" s="195">
        <v>0</v>
      </c>
      <c r="K208" s="34">
        <v>0</v>
      </c>
      <c r="L208" s="361">
        <f t="shared" ref="L208:L210" si="62">L192/L172*10</f>
        <v>70</v>
      </c>
      <c r="M208" s="34">
        <v>0</v>
      </c>
      <c r="N208" s="361">
        <v>70.25</v>
      </c>
      <c r="O208" s="162"/>
      <c r="P208" s="191">
        <v>0</v>
      </c>
      <c r="Q208" s="192">
        <f t="shared" ref="Q208" si="63">Q192/Q172*10</f>
        <v>72.833333333333329</v>
      </c>
    </row>
    <row r="209" spans="1:23" x14ac:dyDescent="0.25">
      <c r="A209" s="87">
        <v>7</v>
      </c>
      <c r="B209" s="19" t="s">
        <v>24</v>
      </c>
      <c r="C209" s="152">
        <v>55.17</v>
      </c>
      <c r="D209" s="152">
        <v>56.12</v>
      </c>
      <c r="E209" s="152">
        <v>54.2</v>
      </c>
      <c r="F209" s="66">
        <v>52.5</v>
      </c>
      <c r="G209" s="34">
        <v>58.48</v>
      </c>
      <c r="H209" s="183">
        <v>52.05</v>
      </c>
      <c r="I209" s="191">
        <f t="shared" si="58"/>
        <v>53.22147651006712</v>
      </c>
      <c r="J209" s="195">
        <v>61.75</v>
      </c>
      <c r="K209" s="34">
        <v>56.15</v>
      </c>
      <c r="L209" s="361">
        <v>0</v>
      </c>
      <c r="M209" s="34">
        <v>45.11</v>
      </c>
      <c r="N209" s="361">
        <v>68.8</v>
      </c>
      <c r="O209" s="162"/>
      <c r="P209" s="191">
        <f t="shared" ref="P209:Q209" si="64">P193/P173*10</f>
        <v>61.935483870967744</v>
      </c>
      <c r="Q209" s="192">
        <f t="shared" si="64"/>
        <v>58.387978142076506</v>
      </c>
    </row>
    <row r="210" spans="1:23" ht="15.75" thickBot="1" x14ac:dyDescent="0.3">
      <c r="A210" s="88">
        <v>8</v>
      </c>
      <c r="B210" s="15" t="s">
        <v>25</v>
      </c>
      <c r="C210" s="153">
        <v>64.5</v>
      </c>
      <c r="D210" s="153">
        <v>64.5</v>
      </c>
      <c r="E210" s="153">
        <v>0</v>
      </c>
      <c r="F210" s="67">
        <v>0</v>
      </c>
      <c r="G210" s="36">
        <v>58.05</v>
      </c>
      <c r="H210" s="184">
        <v>77.2</v>
      </c>
      <c r="I210" s="189">
        <f t="shared" si="58"/>
        <v>72.773972602739732</v>
      </c>
      <c r="J210" s="196">
        <v>65.2</v>
      </c>
      <c r="K210" s="36">
        <v>0</v>
      </c>
      <c r="L210" s="363">
        <f t="shared" si="62"/>
        <v>67.5</v>
      </c>
      <c r="M210" s="34">
        <v>61.92</v>
      </c>
      <c r="N210" s="363">
        <v>55.15</v>
      </c>
      <c r="O210" s="163"/>
      <c r="P210" s="189">
        <f t="shared" ref="P210:Q210" si="65">P194/P174*10</f>
        <v>59.726027397260275</v>
      </c>
      <c r="Q210" s="190">
        <f t="shared" si="65"/>
        <v>67.18199608610567</v>
      </c>
    </row>
    <row r="211" spans="1:23" ht="16.5" thickTop="1" thickBot="1" x14ac:dyDescent="0.3">
      <c r="A211" s="443" t="s">
        <v>26</v>
      </c>
      <c r="B211" s="444"/>
      <c r="C211" s="208">
        <v>57.909090909090907</v>
      </c>
      <c r="D211" s="208">
        <v>60.9375</v>
      </c>
      <c r="E211" s="209">
        <v>54.4</v>
      </c>
      <c r="F211" s="156">
        <v>52.5</v>
      </c>
      <c r="G211" s="156">
        <v>62.542372881355931</v>
      </c>
      <c r="H211" s="185">
        <v>66.930693069306926</v>
      </c>
      <c r="I211" s="187">
        <f t="shared" si="58"/>
        <v>64.449818621523576</v>
      </c>
      <c r="J211" s="197">
        <v>63.020304568527919</v>
      </c>
      <c r="K211" s="156">
        <f>K195/K175*10</f>
        <v>82.654867256637175</v>
      </c>
      <c r="L211" s="156">
        <f>L195/L175*10</f>
        <v>65.833333333333329</v>
      </c>
      <c r="M211" s="156">
        <f>M195/M175*10</f>
        <v>67.088607594936718</v>
      </c>
      <c r="N211" s="156">
        <v>60.436363636363637</v>
      </c>
      <c r="O211" s="164">
        <f t="shared" ref="O211" si="66">SUM(O203:O210)</f>
        <v>0</v>
      </c>
      <c r="P211" s="187">
        <f t="shared" ref="P211:Q211" si="67">P195/P175*10</f>
        <v>64.220830070477689</v>
      </c>
      <c r="Q211" s="186">
        <f t="shared" si="67"/>
        <v>64.31083650190115</v>
      </c>
    </row>
    <row r="217" spans="1:23" ht="15.75" x14ac:dyDescent="0.25">
      <c r="A217" s="445" t="s">
        <v>161</v>
      </c>
      <c r="B217" s="445"/>
      <c r="C217" s="445"/>
      <c r="D217" s="445"/>
      <c r="E217" s="445"/>
      <c r="F217" s="445"/>
      <c r="G217" s="445"/>
      <c r="H217" s="445"/>
      <c r="I217" s="445"/>
      <c r="J217" s="445"/>
      <c r="K217" s="445"/>
      <c r="L217" s="445"/>
      <c r="M217" s="445"/>
      <c r="N217" s="445"/>
      <c r="O217" s="445"/>
      <c r="P217" s="445"/>
      <c r="Q217" s="445"/>
    </row>
    <row r="218" spans="1:23" ht="15.75" x14ac:dyDescent="0.25">
      <c r="A218" s="445" t="s">
        <v>83</v>
      </c>
      <c r="B218" s="445"/>
      <c r="C218" s="445"/>
      <c r="D218" s="445"/>
      <c r="E218" s="445"/>
      <c r="F218" s="445"/>
      <c r="G218" s="445"/>
      <c r="H218" s="445"/>
      <c r="I218" s="445"/>
      <c r="J218" s="445"/>
      <c r="K218" s="445"/>
      <c r="L218" s="445"/>
      <c r="M218" s="445"/>
      <c r="N218" s="445"/>
      <c r="O218" s="445"/>
      <c r="P218" s="445"/>
      <c r="Q218" s="445"/>
    </row>
    <row r="219" spans="1:23" ht="15.75" thickBot="1" x14ac:dyDescent="0.3">
      <c r="Q219" s="77" t="s">
        <v>1</v>
      </c>
    </row>
    <row r="220" spans="1:23" x14ac:dyDescent="0.25">
      <c r="A220" s="440" t="s">
        <v>2</v>
      </c>
      <c r="B220" s="442" t="s">
        <v>3</v>
      </c>
      <c r="C220" s="446" t="s">
        <v>84</v>
      </c>
      <c r="D220" s="447"/>
      <c r="E220" s="447"/>
      <c r="F220" s="447"/>
      <c r="G220" s="447"/>
      <c r="H220" s="447"/>
      <c r="I220" s="448" t="s">
        <v>91</v>
      </c>
      <c r="J220" s="447">
        <v>2015</v>
      </c>
      <c r="K220" s="447"/>
      <c r="L220" s="447"/>
      <c r="M220" s="447"/>
      <c r="N220" s="447"/>
      <c r="O220" s="447"/>
      <c r="P220" s="448" t="s">
        <v>92</v>
      </c>
      <c r="Q220" s="450" t="s">
        <v>5</v>
      </c>
    </row>
    <row r="221" spans="1:23" x14ac:dyDescent="0.25">
      <c r="A221" s="441"/>
      <c r="B221" s="426"/>
      <c r="C221" s="141" t="s">
        <v>15</v>
      </c>
      <c r="D221" s="141" t="s">
        <v>16</v>
      </c>
      <c r="E221" s="141" t="s">
        <v>17</v>
      </c>
      <c r="F221" s="141" t="s">
        <v>6</v>
      </c>
      <c r="G221" s="141" t="s">
        <v>78</v>
      </c>
      <c r="H221" s="158" t="s">
        <v>79</v>
      </c>
      <c r="I221" s="449"/>
      <c r="J221" s="117" t="s">
        <v>80</v>
      </c>
      <c r="K221" s="141" t="s">
        <v>10</v>
      </c>
      <c r="L221" s="141" t="s">
        <v>11</v>
      </c>
      <c r="M221" s="141" t="s">
        <v>12</v>
      </c>
      <c r="N221" s="141" t="s">
        <v>81</v>
      </c>
      <c r="O221" s="158" t="s">
        <v>82</v>
      </c>
      <c r="P221" s="449"/>
      <c r="Q221" s="451"/>
    </row>
    <row r="222" spans="1:23" ht="16.5" thickBot="1" x14ac:dyDescent="0.3">
      <c r="A222" s="128">
        <v>1</v>
      </c>
      <c r="B222" s="5">
        <v>2</v>
      </c>
      <c r="C222" s="5">
        <v>3</v>
      </c>
      <c r="D222" s="5">
        <v>4</v>
      </c>
      <c r="E222" s="5">
        <v>5</v>
      </c>
      <c r="F222" s="5">
        <v>6</v>
      </c>
      <c r="G222" s="5">
        <v>7</v>
      </c>
      <c r="H222" s="159">
        <v>8</v>
      </c>
      <c r="I222" s="165">
        <v>9</v>
      </c>
      <c r="J222" s="118">
        <v>10</v>
      </c>
      <c r="K222" s="5">
        <v>11</v>
      </c>
      <c r="L222" s="5">
        <v>12</v>
      </c>
      <c r="M222" s="5">
        <v>13</v>
      </c>
      <c r="N222" s="5">
        <v>14</v>
      </c>
      <c r="O222" s="159">
        <v>15</v>
      </c>
      <c r="P222" s="165">
        <v>16</v>
      </c>
      <c r="Q222" s="174">
        <v>17</v>
      </c>
      <c r="S222" s="218"/>
      <c r="T222" s="218"/>
      <c r="U222" s="218"/>
      <c r="V222" s="218"/>
      <c r="W222" s="218"/>
    </row>
    <row r="223" spans="1:23" ht="15.75" thickTop="1" x14ac:dyDescent="0.25">
      <c r="A223" s="85">
        <v>1</v>
      </c>
      <c r="B223" s="7" t="s">
        <v>18</v>
      </c>
      <c r="C223" s="59">
        <v>0</v>
      </c>
      <c r="D223" s="9">
        <v>0</v>
      </c>
      <c r="E223" s="9">
        <v>5</v>
      </c>
      <c r="F223" s="59">
        <v>0</v>
      </c>
      <c r="G223" s="8">
        <v>0</v>
      </c>
      <c r="H223" s="160">
        <v>0</v>
      </c>
      <c r="I223" s="167">
        <f>SUM(C223:H223)</f>
        <v>5</v>
      </c>
      <c r="J223" s="176">
        <v>0</v>
      </c>
      <c r="K223" s="28">
        <v>0</v>
      </c>
      <c r="L223" s="9">
        <v>0</v>
      </c>
      <c r="M223" s="28">
        <v>0</v>
      </c>
      <c r="N223" s="357">
        <f>jagung!J9</f>
        <v>0</v>
      </c>
      <c r="O223" s="357">
        <f>jagung!K9</f>
        <v>0</v>
      </c>
      <c r="P223" s="167">
        <f>SUM(J223:O223)</f>
        <v>0</v>
      </c>
      <c r="Q223" s="170">
        <f>SUM(I223,P223)</f>
        <v>5</v>
      </c>
      <c r="S223" s="219"/>
      <c r="T223" s="219"/>
      <c r="U223" s="219"/>
      <c r="V223" s="219"/>
      <c r="W223" s="219"/>
    </row>
    <row r="224" spans="1:23" ht="16.5" x14ac:dyDescent="0.3">
      <c r="A224" s="86">
        <v>2</v>
      </c>
      <c r="B224" s="12" t="s">
        <v>19</v>
      </c>
      <c r="C224" s="61">
        <v>0</v>
      </c>
      <c r="D224" s="47">
        <v>0</v>
      </c>
      <c r="E224" s="8">
        <v>0</v>
      </c>
      <c r="F224" s="60">
        <v>0</v>
      </c>
      <c r="G224" s="8">
        <v>0</v>
      </c>
      <c r="H224" s="161">
        <v>1</v>
      </c>
      <c r="I224" s="168">
        <f t="shared" ref="I224:I230" si="68">SUM(C224:H224)</f>
        <v>1</v>
      </c>
      <c r="J224" s="177">
        <v>0</v>
      </c>
      <c r="K224" s="16">
        <v>0</v>
      </c>
      <c r="L224" s="8">
        <v>1</v>
      </c>
      <c r="M224" s="16">
        <v>0</v>
      </c>
      <c r="N224" s="8">
        <f>jagung!J10</f>
        <v>0</v>
      </c>
      <c r="O224" s="8">
        <f>jagung!K10</f>
        <v>0</v>
      </c>
      <c r="P224" s="168">
        <f t="shared" ref="P224:P230" si="69">SUM(J224:O224)</f>
        <v>1</v>
      </c>
      <c r="Q224" s="171">
        <f t="shared" ref="Q224:Q230" si="70">SUM(I224,P224)</f>
        <v>2</v>
      </c>
      <c r="S224" s="217"/>
      <c r="T224" s="212"/>
      <c r="U224" s="212"/>
      <c r="V224" s="212"/>
      <c r="W224" s="212"/>
    </row>
    <row r="225" spans="1:23" ht="16.5" x14ac:dyDescent="0.3">
      <c r="A225" s="86">
        <v>3</v>
      </c>
      <c r="B225" s="7" t="s">
        <v>20</v>
      </c>
      <c r="C225" s="61">
        <v>0</v>
      </c>
      <c r="D225" s="8">
        <v>0</v>
      </c>
      <c r="E225" s="8">
        <v>2</v>
      </c>
      <c r="F225" s="60">
        <v>2</v>
      </c>
      <c r="G225" s="8">
        <v>3</v>
      </c>
      <c r="H225" s="161">
        <v>0</v>
      </c>
      <c r="I225" s="168">
        <f t="shared" si="68"/>
        <v>7</v>
      </c>
      <c r="J225" s="177">
        <v>0</v>
      </c>
      <c r="K225" s="16">
        <v>2</v>
      </c>
      <c r="L225" s="8">
        <v>0</v>
      </c>
      <c r="M225" s="16">
        <v>0</v>
      </c>
      <c r="N225" s="8">
        <f>jagung!J11</f>
        <v>0</v>
      </c>
      <c r="O225" s="8">
        <f>jagung!K11</f>
        <v>0</v>
      </c>
      <c r="P225" s="168">
        <f t="shared" si="69"/>
        <v>2</v>
      </c>
      <c r="Q225" s="171">
        <f t="shared" si="70"/>
        <v>9</v>
      </c>
      <c r="S225" s="217"/>
      <c r="T225" s="212"/>
      <c r="U225" s="212"/>
      <c r="V225" s="212"/>
      <c r="W225" s="212"/>
    </row>
    <row r="226" spans="1:23" ht="16.5" x14ac:dyDescent="0.3">
      <c r="A226" s="87">
        <v>4</v>
      </c>
      <c r="B226" s="15" t="s">
        <v>21</v>
      </c>
      <c r="C226" s="61">
        <v>0</v>
      </c>
      <c r="D226" s="16">
        <v>0</v>
      </c>
      <c r="E226" s="16">
        <v>0</v>
      </c>
      <c r="F226" s="61">
        <v>0</v>
      </c>
      <c r="G226" s="16">
        <v>0</v>
      </c>
      <c r="H226" s="162">
        <v>1</v>
      </c>
      <c r="I226" s="168">
        <f t="shared" si="68"/>
        <v>1</v>
      </c>
      <c r="J226" s="178">
        <v>1</v>
      </c>
      <c r="K226" s="16">
        <v>1</v>
      </c>
      <c r="L226" s="16">
        <v>2</v>
      </c>
      <c r="M226" s="16">
        <v>0</v>
      </c>
      <c r="N226" s="8">
        <f>jagung!J12</f>
        <v>0</v>
      </c>
      <c r="O226" s="8">
        <f>jagung!K12</f>
        <v>0</v>
      </c>
      <c r="P226" s="168">
        <f t="shared" si="69"/>
        <v>4</v>
      </c>
      <c r="Q226" s="171">
        <f t="shared" si="70"/>
        <v>5</v>
      </c>
      <c r="S226" s="217"/>
      <c r="T226" s="212"/>
      <c r="U226" s="212"/>
      <c r="V226" s="212"/>
      <c r="W226" s="212"/>
    </row>
    <row r="227" spans="1:23" ht="16.5" x14ac:dyDescent="0.3">
      <c r="A227" s="87">
        <v>5</v>
      </c>
      <c r="B227" s="19" t="s">
        <v>22</v>
      </c>
      <c r="C227" s="16">
        <v>0</v>
      </c>
      <c r="D227" s="16">
        <v>0</v>
      </c>
      <c r="E227" s="16">
        <v>0</v>
      </c>
      <c r="F227" s="61">
        <v>0</v>
      </c>
      <c r="G227" s="16">
        <v>0</v>
      </c>
      <c r="H227" s="162">
        <v>0</v>
      </c>
      <c r="I227" s="168">
        <f t="shared" si="68"/>
        <v>0</v>
      </c>
      <c r="J227" s="178">
        <v>0</v>
      </c>
      <c r="K227" s="16">
        <v>2</v>
      </c>
      <c r="L227" s="16">
        <v>0</v>
      </c>
      <c r="M227" s="16">
        <v>0</v>
      </c>
      <c r="N227" s="8">
        <f>jagung!J13</f>
        <v>0</v>
      </c>
      <c r="O227" s="8">
        <f>jagung!K13</f>
        <v>0</v>
      </c>
      <c r="P227" s="168">
        <f t="shared" si="69"/>
        <v>2</v>
      </c>
      <c r="Q227" s="171">
        <f t="shared" si="70"/>
        <v>2</v>
      </c>
      <c r="S227" s="217"/>
      <c r="T227" s="212"/>
      <c r="U227" s="212"/>
      <c r="V227" s="212"/>
      <c r="W227" s="212"/>
    </row>
    <row r="228" spans="1:23" ht="16.5" x14ac:dyDescent="0.3">
      <c r="A228" s="87">
        <v>6</v>
      </c>
      <c r="B228" s="19" t="s">
        <v>23</v>
      </c>
      <c r="C228" s="16">
        <v>0</v>
      </c>
      <c r="D228" s="16">
        <v>0</v>
      </c>
      <c r="E228" s="16">
        <v>0</v>
      </c>
      <c r="F228" s="61">
        <v>0</v>
      </c>
      <c r="G228" s="16">
        <v>0</v>
      </c>
      <c r="H228" s="162">
        <v>0</v>
      </c>
      <c r="I228" s="168">
        <f t="shared" si="68"/>
        <v>0</v>
      </c>
      <c r="J228" s="178">
        <v>0</v>
      </c>
      <c r="K228" s="16">
        <v>0</v>
      </c>
      <c r="L228" s="16">
        <v>0</v>
      </c>
      <c r="M228" s="16">
        <v>0</v>
      </c>
      <c r="N228" s="8">
        <f>jagung!J14</f>
        <v>0</v>
      </c>
      <c r="O228" s="8">
        <f>jagung!K14</f>
        <v>0</v>
      </c>
      <c r="P228" s="168">
        <f t="shared" si="69"/>
        <v>0</v>
      </c>
      <c r="Q228" s="171">
        <f t="shared" si="70"/>
        <v>0</v>
      </c>
      <c r="S228" s="217"/>
      <c r="T228" s="212"/>
      <c r="U228" s="212"/>
      <c r="V228" s="212"/>
      <c r="W228" s="212"/>
    </row>
    <row r="229" spans="1:23" ht="16.5" x14ac:dyDescent="0.3">
      <c r="A229" s="87">
        <v>7</v>
      </c>
      <c r="B229" s="19" t="s">
        <v>24</v>
      </c>
      <c r="C229" s="16">
        <v>0</v>
      </c>
      <c r="D229" s="16">
        <v>0</v>
      </c>
      <c r="E229" s="16">
        <v>0</v>
      </c>
      <c r="F229" s="61">
        <v>0</v>
      </c>
      <c r="G229" s="16">
        <v>0</v>
      </c>
      <c r="H229" s="162">
        <v>0</v>
      </c>
      <c r="I229" s="168">
        <f t="shared" si="68"/>
        <v>0</v>
      </c>
      <c r="J229" s="178">
        <v>0</v>
      </c>
      <c r="K229" s="16">
        <v>0</v>
      </c>
      <c r="L229" s="16">
        <v>0</v>
      </c>
      <c r="M229" s="16">
        <v>0</v>
      </c>
      <c r="N229" s="8">
        <f>jagung!J15</f>
        <v>0</v>
      </c>
      <c r="O229" s="8">
        <f>jagung!K15</f>
        <v>0</v>
      </c>
      <c r="P229" s="168">
        <f t="shared" si="69"/>
        <v>0</v>
      </c>
      <c r="Q229" s="171">
        <f t="shared" si="70"/>
        <v>0</v>
      </c>
      <c r="S229" s="217"/>
      <c r="T229" s="212"/>
      <c r="U229" s="212"/>
      <c r="V229" s="212"/>
      <c r="W229" s="212"/>
    </row>
    <row r="230" spans="1:23" ht="17.25" thickBot="1" x14ac:dyDescent="0.35">
      <c r="A230" s="88">
        <v>8</v>
      </c>
      <c r="B230" s="15" t="s">
        <v>25</v>
      </c>
      <c r="C230" s="17">
        <v>0</v>
      </c>
      <c r="D230" s="17">
        <v>1</v>
      </c>
      <c r="E230" s="17">
        <v>0</v>
      </c>
      <c r="F230" s="62">
        <v>0</v>
      </c>
      <c r="G230" s="17">
        <v>1</v>
      </c>
      <c r="H230" s="163">
        <v>0</v>
      </c>
      <c r="I230" s="169">
        <f t="shared" si="68"/>
        <v>2</v>
      </c>
      <c r="J230" s="179">
        <v>1</v>
      </c>
      <c r="K230" s="17">
        <v>0</v>
      </c>
      <c r="L230" s="17">
        <v>0</v>
      </c>
      <c r="M230" s="17">
        <v>0</v>
      </c>
      <c r="N230" s="358">
        <f>jagung!J16</f>
        <v>0</v>
      </c>
      <c r="O230" s="358">
        <f>jagung!K16</f>
        <v>0</v>
      </c>
      <c r="P230" s="169">
        <f t="shared" si="69"/>
        <v>1</v>
      </c>
      <c r="Q230" s="172">
        <f t="shared" si="70"/>
        <v>3</v>
      </c>
      <c r="S230" s="217"/>
      <c r="T230" s="212"/>
      <c r="U230" s="212"/>
      <c r="V230" s="212"/>
      <c r="W230" s="212"/>
    </row>
    <row r="231" spans="1:23" ht="18" thickTop="1" thickBot="1" x14ac:dyDescent="0.35">
      <c r="A231" s="443" t="s">
        <v>26</v>
      </c>
      <c r="B231" s="444"/>
      <c r="C231" s="133">
        <f t="shared" ref="C231:E231" si="71">SUM(C223:C230)</f>
        <v>0</v>
      </c>
      <c r="D231" s="133">
        <f t="shared" si="71"/>
        <v>1</v>
      </c>
      <c r="E231" s="133">
        <f t="shared" si="71"/>
        <v>7</v>
      </c>
      <c r="F231" s="133">
        <v>2</v>
      </c>
      <c r="G231" s="133">
        <v>4</v>
      </c>
      <c r="H231" s="164">
        <v>2</v>
      </c>
      <c r="I231" s="166">
        <f>SUM(I223:I230)</f>
        <v>16</v>
      </c>
      <c r="J231" s="180">
        <f t="shared" ref="J231:O231" si="72">SUM(J223:J230)</f>
        <v>2</v>
      </c>
      <c r="K231" s="133">
        <f t="shared" si="72"/>
        <v>5</v>
      </c>
      <c r="L231" s="133">
        <f t="shared" si="72"/>
        <v>3</v>
      </c>
      <c r="M231" s="133">
        <f t="shared" si="72"/>
        <v>0</v>
      </c>
      <c r="N231" s="133">
        <f t="shared" si="72"/>
        <v>0</v>
      </c>
      <c r="O231" s="164">
        <f t="shared" si="72"/>
        <v>0</v>
      </c>
      <c r="P231" s="166">
        <f>SUM(P223:P230)</f>
        <v>10</v>
      </c>
      <c r="Q231" s="173">
        <f>SUM(Q223:Q230)</f>
        <v>26</v>
      </c>
      <c r="S231" s="217"/>
      <c r="T231" s="212"/>
      <c r="U231" s="212"/>
      <c r="V231" s="212"/>
      <c r="W231" s="212"/>
    </row>
    <row r="232" spans="1:23" ht="16.5" x14ac:dyDescent="0.3">
      <c r="S232" s="217"/>
      <c r="T232" s="212"/>
      <c r="U232" s="212"/>
      <c r="V232" s="212"/>
      <c r="W232" s="212"/>
    </row>
    <row r="233" spans="1:23" ht="16.5" x14ac:dyDescent="0.3">
      <c r="A233" s="445" t="s">
        <v>162</v>
      </c>
      <c r="B233" s="445"/>
      <c r="C233" s="445"/>
      <c r="D233" s="445"/>
      <c r="E233" s="445"/>
      <c r="F233" s="445"/>
      <c r="G233" s="445"/>
      <c r="H233" s="445"/>
      <c r="I233" s="445"/>
      <c r="J233" s="445"/>
      <c r="K233" s="445"/>
      <c r="L233" s="445"/>
      <c r="M233" s="445"/>
      <c r="N233" s="445"/>
      <c r="O233" s="445"/>
      <c r="P233" s="445"/>
      <c r="Q233" s="445"/>
      <c r="S233" s="217"/>
      <c r="T233" s="212"/>
      <c r="U233" s="212"/>
      <c r="V233" s="212"/>
      <c r="W233" s="212"/>
    </row>
    <row r="234" spans="1:23" ht="15.75" x14ac:dyDescent="0.25">
      <c r="A234" s="445" t="s">
        <v>83</v>
      </c>
      <c r="B234" s="445"/>
      <c r="C234" s="445"/>
      <c r="D234" s="445"/>
      <c r="E234" s="445"/>
      <c r="F234" s="445"/>
      <c r="G234" s="445"/>
      <c r="H234" s="445"/>
      <c r="I234" s="445"/>
      <c r="J234" s="445"/>
      <c r="K234" s="445"/>
      <c r="L234" s="445"/>
      <c r="M234" s="445"/>
      <c r="N234" s="445"/>
      <c r="O234" s="445"/>
      <c r="P234" s="445"/>
      <c r="Q234" s="445"/>
      <c r="S234" s="220"/>
      <c r="T234" s="216"/>
      <c r="U234" s="216"/>
      <c r="V234" s="216"/>
      <c r="W234" s="216"/>
    </row>
    <row r="235" spans="1:23" ht="15.75" thickBot="1" x14ac:dyDescent="0.3">
      <c r="Q235" s="77" t="s">
        <v>1</v>
      </c>
    </row>
    <row r="236" spans="1:23" x14ac:dyDescent="0.25">
      <c r="A236" s="440" t="s">
        <v>2</v>
      </c>
      <c r="B236" s="442" t="s">
        <v>3</v>
      </c>
      <c r="C236" s="446" t="s">
        <v>84</v>
      </c>
      <c r="D236" s="447"/>
      <c r="E236" s="447"/>
      <c r="F236" s="447"/>
      <c r="G236" s="447"/>
      <c r="H236" s="447"/>
      <c r="I236" s="448" t="s">
        <v>91</v>
      </c>
      <c r="J236" s="447">
        <v>2015</v>
      </c>
      <c r="K236" s="447"/>
      <c r="L236" s="447"/>
      <c r="M236" s="447"/>
      <c r="N236" s="447"/>
      <c r="O236" s="447"/>
      <c r="P236" s="448" t="s">
        <v>92</v>
      </c>
      <c r="Q236" s="450" t="s">
        <v>5</v>
      </c>
    </row>
    <row r="237" spans="1:23" x14ac:dyDescent="0.25">
      <c r="A237" s="441"/>
      <c r="B237" s="426"/>
      <c r="C237" s="141" t="s">
        <v>15</v>
      </c>
      <c r="D237" s="141" t="s">
        <v>16</v>
      </c>
      <c r="E237" s="141" t="s">
        <v>17</v>
      </c>
      <c r="F237" s="141" t="s">
        <v>6</v>
      </c>
      <c r="G237" s="141" t="s">
        <v>78</v>
      </c>
      <c r="H237" s="158" t="s">
        <v>79</v>
      </c>
      <c r="I237" s="449"/>
      <c r="J237" s="117" t="s">
        <v>80</v>
      </c>
      <c r="K237" s="141" t="s">
        <v>10</v>
      </c>
      <c r="L237" s="141" t="s">
        <v>11</v>
      </c>
      <c r="M237" s="141" t="s">
        <v>12</v>
      </c>
      <c r="N237" s="141" t="s">
        <v>81</v>
      </c>
      <c r="O237" s="158" t="s">
        <v>82</v>
      </c>
      <c r="P237" s="449"/>
      <c r="Q237" s="451"/>
    </row>
    <row r="238" spans="1:23" ht="15.75" thickBot="1" x14ac:dyDescent="0.3">
      <c r="A238" s="128">
        <v>1</v>
      </c>
      <c r="B238" s="5">
        <v>2</v>
      </c>
      <c r="C238" s="5">
        <v>3</v>
      </c>
      <c r="D238" s="5">
        <v>4</v>
      </c>
      <c r="E238" s="5">
        <v>5</v>
      </c>
      <c r="F238" s="5">
        <v>6</v>
      </c>
      <c r="G238" s="5">
        <v>7</v>
      </c>
      <c r="H238" s="159">
        <v>8</v>
      </c>
      <c r="I238" s="165">
        <v>9</v>
      </c>
      <c r="J238" s="118">
        <v>10</v>
      </c>
      <c r="K238" s="5">
        <v>11</v>
      </c>
      <c r="L238" s="5">
        <v>12</v>
      </c>
      <c r="M238" s="5">
        <v>13</v>
      </c>
      <c r="N238" s="5">
        <v>14</v>
      </c>
      <c r="O238" s="159">
        <v>15</v>
      </c>
      <c r="P238" s="165">
        <v>16</v>
      </c>
      <c r="Q238" s="174">
        <v>17</v>
      </c>
      <c r="S238" t="s">
        <v>177</v>
      </c>
      <c r="T238" t="s">
        <v>178</v>
      </c>
    </row>
    <row r="239" spans="1:23" ht="15.75" thickTop="1" x14ac:dyDescent="0.25">
      <c r="A239" s="85">
        <v>1</v>
      </c>
      <c r="B239" s="7" t="s">
        <v>18</v>
      </c>
      <c r="C239" s="28">
        <v>0</v>
      </c>
      <c r="D239" s="28">
        <v>0</v>
      </c>
      <c r="E239" s="28">
        <v>0</v>
      </c>
      <c r="F239" s="63">
        <v>0</v>
      </c>
      <c r="G239" s="75" t="s">
        <v>77</v>
      </c>
      <c r="H239" s="75">
        <v>0</v>
      </c>
      <c r="I239" s="167">
        <f>SUM(C239:H239)</f>
        <v>0</v>
      </c>
      <c r="J239" s="119">
        <v>0</v>
      </c>
      <c r="K239" s="76">
        <v>0</v>
      </c>
      <c r="L239" s="9">
        <v>0</v>
      </c>
      <c r="M239" s="28">
        <v>0</v>
      </c>
      <c r="N239" s="357">
        <f>jagung!J42</f>
        <v>0</v>
      </c>
      <c r="O239" s="160"/>
      <c r="P239" s="167">
        <f>SUM(J239:O239)</f>
        <v>0</v>
      </c>
      <c r="Q239" s="170">
        <f>SUM(I239,P239)</f>
        <v>0</v>
      </c>
      <c r="S239" s="110">
        <v>5</v>
      </c>
      <c r="T239" s="110">
        <f>SUM(J239:O239)</f>
        <v>0</v>
      </c>
    </row>
    <row r="240" spans="1:23" x14ac:dyDescent="0.25">
      <c r="A240" s="86">
        <v>2</v>
      </c>
      <c r="B240" s="12" t="s">
        <v>19</v>
      </c>
      <c r="C240" s="16">
        <v>0</v>
      </c>
      <c r="D240" s="16">
        <v>0</v>
      </c>
      <c r="E240" s="16">
        <v>0</v>
      </c>
      <c r="F240" s="61">
        <v>0</v>
      </c>
      <c r="G240" s="16">
        <v>0</v>
      </c>
      <c r="H240" s="16">
        <v>0</v>
      </c>
      <c r="I240" s="168">
        <f t="shared" ref="I240:I246" si="73">SUM(C240:H240)</f>
        <v>0</v>
      </c>
      <c r="J240" s="120">
        <v>0</v>
      </c>
      <c r="K240" s="61">
        <v>0</v>
      </c>
      <c r="L240" s="364" t="s">
        <v>76</v>
      </c>
      <c r="M240" s="16">
        <v>0</v>
      </c>
      <c r="N240" s="364" t="str">
        <f>jagung!J43</f>
        <v>1*</v>
      </c>
      <c r="O240" s="161"/>
      <c r="P240" s="168">
        <f t="shared" ref="P240:P246" si="74">SUM(J240:O240)</f>
        <v>0</v>
      </c>
      <c r="Q240" s="171">
        <f>SUM(I240,P240)</f>
        <v>0</v>
      </c>
      <c r="S240" s="110">
        <f t="shared" ref="S240:S245" si="75">SUM(C240:H240)</f>
        <v>0</v>
      </c>
      <c r="T240" s="110">
        <v>2</v>
      </c>
    </row>
    <row r="241" spans="1:20" x14ac:dyDescent="0.25">
      <c r="A241" s="86">
        <v>3</v>
      </c>
      <c r="B241" s="7" t="s">
        <v>20</v>
      </c>
      <c r="C241" s="16">
        <v>0</v>
      </c>
      <c r="D241" s="16">
        <v>0</v>
      </c>
      <c r="E241" s="16">
        <v>0</v>
      </c>
      <c r="F241" s="61">
        <v>0</v>
      </c>
      <c r="G241" s="16">
        <v>0</v>
      </c>
      <c r="H241" s="16">
        <v>4</v>
      </c>
      <c r="I241" s="168">
        <f t="shared" si="73"/>
        <v>4</v>
      </c>
      <c r="J241" s="120">
        <v>3</v>
      </c>
      <c r="K241" s="61">
        <v>0</v>
      </c>
      <c r="L241" s="8">
        <v>0</v>
      </c>
      <c r="M241" s="16">
        <v>0</v>
      </c>
      <c r="N241" s="8">
        <f>jagung!J44</f>
        <v>2</v>
      </c>
      <c r="O241" s="161"/>
      <c r="P241" s="168">
        <f t="shared" si="74"/>
        <v>5</v>
      </c>
      <c r="Q241" s="171">
        <f t="shared" ref="Q241:Q246" si="76">SUM(I241,P241)</f>
        <v>9</v>
      </c>
      <c r="S241" s="110">
        <f t="shared" si="75"/>
        <v>4</v>
      </c>
      <c r="T241" s="110">
        <f t="shared" ref="T241:T247" si="77">SUM(J241:O241)</f>
        <v>5</v>
      </c>
    </row>
    <row r="242" spans="1:20" x14ac:dyDescent="0.25">
      <c r="A242" s="87">
        <v>4</v>
      </c>
      <c r="B242" s="15" t="s">
        <v>21</v>
      </c>
      <c r="C242" s="16">
        <v>0</v>
      </c>
      <c r="D242" s="16">
        <v>0</v>
      </c>
      <c r="E242" s="16">
        <v>0</v>
      </c>
      <c r="F242" s="61">
        <v>0</v>
      </c>
      <c r="G242" s="16">
        <v>0</v>
      </c>
      <c r="H242" s="16">
        <v>0</v>
      </c>
      <c r="I242" s="168">
        <f t="shared" si="73"/>
        <v>0</v>
      </c>
      <c r="J242" s="121">
        <v>0</v>
      </c>
      <c r="K242" s="61">
        <v>1</v>
      </c>
      <c r="L242" s="16">
        <v>0</v>
      </c>
      <c r="M242" s="16">
        <v>0</v>
      </c>
      <c r="N242" s="8">
        <f>jagung!J45</f>
        <v>1</v>
      </c>
      <c r="O242" s="162"/>
      <c r="P242" s="168">
        <f t="shared" si="74"/>
        <v>2</v>
      </c>
      <c r="Q242" s="171">
        <f t="shared" si="76"/>
        <v>2</v>
      </c>
      <c r="S242" s="110">
        <f t="shared" si="75"/>
        <v>0</v>
      </c>
      <c r="T242" s="110">
        <f t="shared" si="77"/>
        <v>2</v>
      </c>
    </row>
    <row r="243" spans="1:20" x14ac:dyDescent="0.25">
      <c r="A243" s="87">
        <v>5</v>
      </c>
      <c r="B243" s="19" t="s">
        <v>22</v>
      </c>
      <c r="C243" s="16">
        <v>0</v>
      </c>
      <c r="D243" s="16">
        <v>0</v>
      </c>
      <c r="E243" s="16">
        <v>0</v>
      </c>
      <c r="F243" s="61">
        <v>0</v>
      </c>
      <c r="G243" s="16">
        <v>0</v>
      </c>
      <c r="H243" s="16">
        <v>0</v>
      </c>
      <c r="I243" s="168">
        <f t="shared" si="73"/>
        <v>0</v>
      </c>
      <c r="J243" s="121">
        <v>0</v>
      </c>
      <c r="K243" s="61">
        <v>0</v>
      </c>
      <c r="L243" s="16">
        <v>0</v>
      </c>
      <c r="M243" s="16">
        <v>0</v>
      </c>
      <c r="N243" s="8">
        <f>jagung!J46</f>
        <v>2</v>
      </c>
      <c r="O243" s="162"/>
      <c r="P243" s="168">
        <f t="shared" si="74"/>
        <v>2</v>
      </c>
      <c r="Q243" s="171">
        <f t="shared" si="76"/>
        <v>2</v>
      </c>
      <c r="S243" s="110">
        <f t="shared" si="75"/>
        <v>0</v>
      </c>
      <c r="T243" s="110">
        <f t="shared" si="77"/>
        <v>2</v>
      </c>
    </row>
    <row r="244" spans="1:20" x14ac:dyDescent="0.25">
      <c r="A244" s="87">
        <v>6</v>
      </c>
      <c r="B244" s="19" t="s">
        <v>23</v>
      </c>
      <c r="C244" s="16">
        <v>0</v>
      </c>
      <c r="D244" s="16">
        <v>0</v>
      </c>
      <c r="E244" s="16">
        <v>0</v>
      </c>
      <c r="F244" s="61">
        <v>0</v>
      </c>
      <c r="G244" s="16">
        <v>0</v>
      </c>
      <c r="H244" s="16">
        <v>0</v>
      </c>
      <c r="I244" s="168">
        <f t="shared" si="73"/>
        <v>0</v>
      </c>
      <c r="J244" s="121">
        <v>0</v>
      </c>
      <c r="K244" s="61">
        <v>0</v>
      </c>
      <c r="L244" s="16">
        <v>0</v>
      </c>
      <c r="M244" s="16">
        <v>0</v>
      </c>
      <c r="N244" s="8">
        <f>jagung!J47</f>
        <v>0</v>
      </c>
      <c r="O244" s="162"/>
      <c r="P244" s="168">
        <f t="shared" si="74"/>
        <v>0</v>
      </c>
      <c r="Q244" s="171">
        <f t="shared" si="76"/>
        <v>0</v>
      </c>
      <c r="S244" s="110">
        <f t="shared" si="75"/>
        <v>0</v>
      </c>
      <c r="T244" s="110">
        <f t="shared" si="77"/>
        <v>0</v>
      </c>
    </row>
    <row r="245" spans="1:20" x14ac:dyDescent="0.25">
      <c r="A245" s="87">
        <v>7</v>
      </c>
      <c r="B245" s="19" t="s">
        <v>24</v>
      </c>
      <c r="C245" s="16">
        <v>0</v>
      </c>
      <c r="D245" s="16">
        <v>0</v>
      </c>
      <c r="E245" s="16">
        <v>0</v>
      </c>
      <c r="F245" s="61">
        <v>0</v>
      </c>
      <c r="G245" s="16">
        <v>0</v>
      </c>
      <c r="H245" s="16">
        <v>0</v>
      </c>
      <c r="I245" s="168">
        <f t="shared" si="73"/>
        <v>0</v>
      </c>
      <c r="J245" s="121">
        <v>0</v>
      </c>
      <c r="K245" s="61">
        <v>0</v>
      </c>
      <c r="L245" s="16">
        <v>0</v>
      </c>
      <c r="M245" s="16">
        <v>0</v>
      </c>
      <c r="N245" s="8">
        <f>jagung!J48</f>
        <v>0</v>
      </c>
      <c r="O245" s="162"/>
      <c r="P245" s="168">
        <f t="shared" si="74"/>
        <v>0</v>
      </c>
      <c r="Q245" s="171">
        <f t="shared" si="76"/>
        <v>0</v>
      </c>
      <c r="S245" s="110">
        <f t="shared" si="75"/>
        <v>0</v>
      </c>
      <c r="T245" s="110">
        <f t="shared" si="77"/>
        <v>0</v>
      </c>
    </row>
    <row r="246" spans="1:20" ht="15.75" thickBot="1" x14ac:dyDescent="0.3">
      <c r="A246" s="88">
        <v>8</v>
      </c>
      <c r="B246" s="15" t="s">
        <v>25</v>
      </c>
      <c r="C246" s="17">
        <v>0</v>
      </c>
      <c r="D246" s="17">
        <v>0</v>
      </c>
      <c r="E246" s="17">
        <v>1</v>
      </c>
      <c r="F246" s="112" t="s">
        <v>76</v>
      </c>
      <c r="G246" s="17">
        <v>0</v>
      </c>
      <c r="H246" s="17">
        <v>0</v>
      </c>
      <c r="I246" s="169">
        <f t="shared" si="73"/>
        <v>1</v>
      </c>
      <c r="J246" s="122">
        <v>1</v>
      </c>
      <c r="K246" s="62">
        <v>0</v>
      </c>
      <c r="L246" s="17">
        <v>0</v>
      </c>
      <c r="M246" s="17">
        <v>1</v>
      </c>
      <c r="N246" s="358">
        <f>jagung!J49</f>
        <v>0</v>
      </c>
      <c r="O246" s="163"/>
      <c r="P246" s="169">
        <f t="shared" si="74"/>
        <v>2</v>
      </c>
      <c r="Q246" s="172">
        <f t="shared" si="76"/>
        <v>3</v>
      </c>
      <c r="S246" s="110">
        <v>2</v>
      </c>
      <c r="T246" s="110">
        <f t="shared" si="77"/>
        <v>2</v>
      </c>
    </row>
    <row r="247" spans="1:20" ht="16.5" thickTop="1" thickBot="1" x14ac:dyDescent="0.3">
      <c r="A247" s="443" t="s">
        <v>26</v>
      </c>
      <c r="B247" s="444"/>
      <c r="C247" s="133">
        <f>SUM(C239:C246)</f>
        <v>0</v>
      </c>
      <c r="D247" s="133">
        <f t="shared" ref="D247:E247" si="78">SUM(D239:D246)</f>
        <v>0</v>
      </c>
      <c r="E247" s="133">
        <f t="shared" si="78"/>
        <v>1</v>
      </c>
      <c r="F247" s="210" t="s">
        <v>76</v>
      </c>
      <c r="G247" s="210" t="s">
        <v>77</v>
      </c>
      <c r="H247" s="164">
        <v>4</v>
      </c>
      <c r="I247" s="166">
        <f>SUM(I239:I246)</f>
        <v>5</v>
      </c>
      <c r="J247" s="135">
        <f>SUM(J239:J246)</f>
        <v>4</v>
      </c>
      <c r="K247" s="133">
        <f t="shared" ref="K247:O247" si="79">SUM(K239:K246)</f>
        <v>1</v>
      </c>
      <c r="L247" s="133">
        <v>1</v>
      </c>
      <c r="M247" s="133">
        <f t="shared" si="79"/>
        <v>1</v>
      </c>
      <c r="N247" s="133">
        <v>6</v>
      </c>
      <c r="O247" s="164">
        <f t="shared" si="79"/>
        <v>0</v>
      </c>
      <c r="P247" s="166">
        <f>SUM(P239:P246)</f>
        <v>11</v>
      </c>
      <c r="Q247" s="173">
        <f>SUM(Q239:Q246)</f>
        <v>16</v>
      </c>
      <c r="S247" s="110">
        <f>SUM(S239:S246)</f>
        <v>11</v>
      </c>
      <c r="T247" s="110">
        <f t="shared" si="77"/>
        <v>13</v>
      </c>
    </row>
    <row r="249" spans="1:20" x14ac:dyDescent="0.25">
      <c r="A249" t="s">
        <v>99</v>
      </c>
    </row>
    <row r="252" spans="1:20" ht="15.75" x14ac:dyDescent="0.25">
      <c r="A252" s="445" t="s">
        <v>164</v>
      </c>
      <c r="B252" s="445"/>
      <c r="C252" s="445"/>
      <c r="D252" s="445"/>
      <c r="E252" s="445"/>
      <c r="F252" s="445"/>
      <c r="G252" s="445"/>
      <c r="H252" s="445"/>
      <c r="I252" s="445"/>
      <c r="J252" s="445"/>
      <c r="K252" s="445"/>
      <c r="L252" s="445"/>
      <c r="M252" s="445"/>
      <c r="N252" s="445"/>
      <c r="O252" s="445"/>
      <c r="P252" s="445"/>
      <c r="Q252" s="445"/>
    </row>
    <row r="253" spans="1:20" ht="15.75" x14ac:dyDescent="0.25">
      <c r="A253" s="445" t="s">
        <v>83</v>
      </c>
      <c r="B253" s="445"/>
      <c r="C253" s="445"/>
      <c r="D253" s="445"/>
      <c r="E253" s="445"/>
      <c r="F253" s="445"/>
      <c r="G253" s="445"/>
      <c r="H253" s="445"/>
      <c r="I253" s="445"/>
      <c r="J253" s="445"/>
      <c r="K253" s="445"/>
      <c r="L253" s="445"/>
      <c r="M253" s="445"/>
      <c r="N253" s="445"/>
      <c r="O253" s="445"/>
      <c r="P253" s="445"/>
      <c r="Q253" s="445"/>
    </row>
    <row r="254" spans="1:20" ht="15.75" thickBot="1" x14ac:dyDescent="0.3">
      <c r="Q254" s="77" t="s">
        <v>1</v>
      </c>
    </row>
    <row r="255" spans="1:20" x14ac:dyDescent="0.25">
      <c r="A255" s="440" t="s">
        <v>2</v>
      </c>
      <c r="B255" s="442" t="s">
        <v>3</v>
      </c>
      <c r="C255" s="446" t="s">
        <v>84</v>
      </c>
      <c r="D255" s="447"/>
      <c r="E255" s="447"/>
      <c r="F255" s="447"/>
      <c r="G255" s="447"/>
      <c r="H255" s="447"/>
      <c r="I255" s="448" t="s">
        <v>91</v>
      </c>
      <c r="J255" s="447">
        <v>2015</v>
      </c>
      <c r="K255" s="447"/>
      <c r="L255" s="447"/>
      <c r="M255" s="447"/>
      <c r="N255" s="447"/>
      <c r="O255" s="447"/>
      <c r="P255" s="448" t="s">
        <v>92</v>
      </c>
      <c r="Q255" s="450" t="s">
        <v>5</v>
      </c>
    </row>
    <row r="256" spans="1:20" x14ac:dyDescent="0.25">
      <c r="A256" s="441"/>
      <c r="B256" s="426"/>
      <c r="C256" s="141" t="s">
        <v>15</v>
      </c>
      <c r="D256" s="141" t="s">
        <v>16</v>
      </c>
      <c r="E256" s="141" t="s">
        <v>17</v>
      </c>
      <c r="F256" s="141" t="s">
        <v>6</v>
      </c>
      <c r="G256" s="141" t="s">
        <v>78</v>
      </c>
      <c r="H256" s="158" t="s">
        <v>79</v>
      </c>
      <c r="I256" s="449"/>
      <c r="J256" s="117" t="s">
        <v>80</v>
      </c>
      <c r="K256" s="141" t="s">
        <v>10</v>
      </c>
      <c r="L256" s="141" t="s">
        <v>11</v>
      </c>
      <c r="M256" s="141" t="s">
        <v>12</v>
      </c>
      <c r="N256" s="141" t="s">
        <v>81</v>
      </c>
      <c r="O256" s="158" t="s">
        <v>82</v>
      </c>
      <c r="P256" s="449"/>
      <c r="Q256" s="451"/>
    </row>
    <row r="257" spans="1:17" ht="15.75" thickBot="1" x14ac:dyDescent="0.3">
      <c r="A257" s="128">
        <v>1</v>
      </c>
      <c r="B257" s="5">
        <v>2</v>
      </c>
      <c r="C257" s="5">
        <v>3</v>
      </c>
      <c r="D257" s="5">
        <v>4</v>
      </c>
      <c r="E257" s="5">
        <v>5</v>
      </c>
      <c r="F257" s="5">
        <v>6</v>
      </c>
      <c r="G257" s="5">
        <v>7</v>
      </c>
      <c r="H257" s="159">
        <v>8</v>
      </c>
      <c r="I257" s="165">
        <v>9</v>
      </c>
      <c r="J257" s="118">
        <v>10</v>
      </c>
      <c r="K257" s="5">
        <v>11</v>
      </c>
      <c r="L257" s="5">
        <v>12</v>
      </c>
      <c r="M257" s="5">
        <v>13</v>
      </c>
      <c r="N257" s="5">
        <v>14</v>
      </c>
      <c r="O257" s="159">
        <v>15</v>
      </c>
      <c r="P257" s="165">
        <v>16</v>
      </c>
      <c r="Q257" s="174">
        <v>17</v>
      </c>
    </row>
    <row r="258" spans="1:17" ht="15.75" thickTop="1" x14ac:dyDescent="0.25">
      <c r="A258" s="85">
        <v>1</v>
      </c>
      <c r="B258" s="7" t="s">
        <v>18</v>
      </c>
      <c r="C258" s="28">
        <v>0</v>
      </c>
      <c r="D258" s="28">
        <v>0</v>
      </c>
      <c r="E258" s="28">
        <v>0</v>
      </c>
      <c r="F258" s="63">
        <v>0</v>
      </c>
      <c r="G258" s="63">
        <v>0</v>
      </c>
      <c r="H258" s="28">
        <v>0</v>
      </c>
      <c r="I258" s="167">
        <f>SUM(C258:H258)</f>
        <v>0</v>
      </c>
      <c r="J258" s="119">
        <v>0</v>
      </c>
      <c r="K258" s="63">
        <v>0</v>
      </c>
      <c r="L258" s="63">
        <v>0</v>
      </c>
      <c r="M258" s="28">
        <v>0</v>
      </c>
      <c r="N258" s="357">
        <f>jagung!J75</f>
        <v>0</v>
      </c>
      <c r="O258" s="160"/>
      <c r="P258" s="167">
        <f>SUM(J258:O258)</f>
        <v>0</v>
      </c>
      <c r="Q258" s="170">
        <f>SUM(I258,P258)</f>
        <v>0</v>
      </c>
    </row>
    <row r="259" spans="1:17" x14ac:dyDescent="0.25">
      <c r="A259" s="86">
        <v>2</v>
      </c>
      <c r="B259" s="12" t="s">
        <v>19</v>
      </c>
      <c r="C259" s="16">
        <v>0</v>
      </c>
      <c r="D259" s="16">
        <v>0</v>
      </c>
      <c r="E259" s="16">
        <v>0</v>
      </c>
      <c r="F259" s="61">
        <v>0</v>
      </c>
      <c r="G259" s="61">
        <v>0</v>
      </c>
      <c r="H259" s="61">
        <v>0</v>
      </c>
      <c r="I259" s="168">
        <f t="shared" ref="I259:I265" si="80">SUM(C259:H259)</f>
        <v>0</v>
      </c>
      <c r="J259" s="120">
        <v>0</v>
      </c>
      <c r="K259" s="61">
        <v>0</v>
      </c>
      <c r="L259" s="61">
        <v>0</v>
      </c>
      <c r="M259" s="16">
        <v>0</v>
      </c>
      <c r="N259" s="8">
        <f>jagung!J76</f>
        <v>0</v>
      </c>
      <c r="O259" s="161"/>
      <c r="P259" s="168">
        <f t="shared" ref="P259:P265" si="81">SUM(J259:O259)</f>
        <v>0</v>
      </c>
      <c r="Q259" s="171">
        <f t="shared" ref="Q259:Q265" si="82">SUM(I259,P259)</f>
        <v>0</v>
      </c>
    </row>
    <row r="260" spans="1:17" x14ac:dyDescent="0.25">
      <c r="A260" s="86">
        <v>3</v>
      </c>
      <c r="B260" s="7" t="s">
        <v>20</v>
      </c>
      <c r="C260" s="16">
        <v>0</v>
      </c>
      <c r="D260" s="16">
        <v>0</v>
      </c>
      <c r="E260" s="16">
        <v>0</v>
      </c>
      <c r="F260" s="61">
        <v>0</v>
      </c>
      <c r="G260" s="61">
        <v>0</v>
      </c>
      <c r="H260" s="61">
        <v>11</v>
      </c>
      <c r="I260" s="168">
        <f t="shared" si="80"/>
        <v>11</v>
      </c>
      <c r="J260" s="120">
        <v>9</v>
      </c>
      <c r="K260" s="61">
        <v>0</v>
      </c>
      <c r="L260" s="61">
        <v>0</v>
      </c>
      <c r="M260" s="16">
        <v>0</v>
      </c>
      <c r="N260" s="8">
        <f>jagung!J77</f>
        <v>5</v>
      </c>
      <c r="O260" s="161"/>
      <c r="P260" s="168">
        <f t="shared" si="81"/>
        <v>14</v>
      </c>
      <c r="Q260" s="171">
        <f t="shared" si="82"/>
        <v>25</v>
      </c>
    </row>
    <row r="261" spans="1:17" x14ac:dyDescent="0.25">
      <c r="A261" s="87">
        <v>4</v>
      </c>
      <c r="B261" s="15" t="s">
        <v>21</v>
      </c>
      <c r="C261" s="16">
        <v>0</v>
      </c>
      <c r="D261" s="16">
        <v>0</v>
      </c>
      <c r="E261" s="16">
        <v>0</v>
      </c>
      <c r="F261" s="61">
        <v>0</v>
      </c>
      <c r="G261" s="61">
        <v>0</v>
      </c>
      <c r="H261" s="61">
        <v>0</v>
      </c>
      <c r="I261" s="168">
        <f t="shared" si="80"/>
        <v>0</v>
      </c>
      <c r="J261" s="121">
        <v>0</v>
      </c>
      <c r="K261" s="61">
        <v>2</v>
      </c>
      <c r="L261" s="61">
        <v>0</v>
      </c>
      <c r="M261" s="16">
        <v>0</v>
      </c>
      <c r="N261" s="8">
        <f>jagung!J78</f>
        <v>2</v>
      </c>
      <c r="O261" s="162"/>
      <c r="P261" s="168">
        <f t="shared" si="81"/>
        <v>4</v>
      </c>
      <c r="Q261" s="171">
        <f t="shared" si="82"/>
        <v>4</v>
      </c>
    </row>
    <row r="262" spans="1:17" x14ac:dyDescent="0.25">
      <c r="A262" s="87">
        <v>5</v>
      </c>
      <c r="B262" s="19" t="s">
        <v>22</v>
      </c>
      <c r="C262" s="16">
        <v>0</v>
      </c>
      <c r="D262" s="16">
        <v>0</v>
      </c>
      <c r="E262" s="16">
        <v>0</v>
      </c>
      <c r="F262" s="61">
        <v>0</v>
      </c>
      <c r="G262" s="61">
        <v>0</v>
      </c>
      <c r="H262" s="61">
        <v>0</v>
      </c>
      <c r="I262" s="168">
        <f t="shared" si="80"/>
        <v>0</v>
      </c>
      <c r="J262" s="121">
        <v>0</v>
      </c>
      <c r="K262" s="61">
        <v>0</v>
      </c>
      <c r="L262" s="61">
        <v>0</v>
      </c>
      <c r="M262" s="16">
        <v>0</v>
      </c>
      <c r="N262" s="8">
        <f>jagung!J79</f>
        <v>5</v>
      </c>
      <c r="O262" s="162"/>
      <c r="P262" s="168">
        <f t="shared" si="81"/>
        <v>5</v>
      </c>
      <c r="Q262" s="171">
        <f t="shared" si="82"/>
        <v>5</v>
      </c>
    </row>
    <row r="263" spans="1:17" x14ac:dyDescent="0.25">
      <c r="A263" s="87">
        <v>6</v>
      </c>
      <c r="B263" s="19" t="s">
        <v>23</v>
      </c>
      <c r="C263" s="16">
        <v>0</v>
      </c>
      <c r="D263" s="16">
        <v>0</v>
      </c>
      <c r="E263" s="16">
        <v>0</v>
      </c>
      <c r="F263" s="61">
        <v>0</v>
      </c>
      <c r="G263" s="61">
        <v>0</v>
      </c>
      <c r="H263" s="61">
        <v>0</v>
      </c>
      <c r="I263" s="168">
        <f t="shared" si="80"/>
        <v>0</v>
      </c>
      <c r="J263" s="121">
        <v>0</v>
      </c>
      <c r="K263" s="61">
        <v>0</v>
      </c>
      <c r="L263" s="61">
        <v>0</v>
      </c>
      <c r="M263" s="16">
        <v>0</v>
      </c>
      <c r="N263" s="8">
        <f>jagung!J80</f>
        <v>0</v>
      </c>
      <c r="O263" s="162"/>
      <c r="P263" s="168">
        <f t="shared" si="81"/>
        <v>0</v>
      </c>
      <c r="Q263" s="171">
        <f t="shared" si="82"/>
        <v>0</v>
      </c>
    </row>
    <row r="264" spans="1:17" x14ac:dyDescent="0.25">
      <c r="A264" s="87">
        <v>7</v>
      </c>
      <c r="B264" s="19" t="s">
        <v>24</v>
      </c>
      <c r="C264" s="16">
        <v>0</v>
      </c>
      <c r="D264" s="16">
        <v>0</v>
      </c>
      <c r="E264" s="16">
        <v>0</v>
      </c>
      <c r="F264" s="61">
        <v>0</v>
      </c>
      <c r="G264" s="61">
        <v>0</v>
      </c>
      <c r="H264" s="61">
        <v>0</v>
      </c>
      <c r="I264" s="168">
        <f t="shared" si="80"/>
        <v>0</v>
      </c>
      <c r="J264" s="121">
        <v>0</v>
      </c>
      <c r="K264" s="61">
        <v>0</v>
      </c>
      <c r="L264" s="61">
        <v>0</v>
      </c>
      <c r="M264" s="16">
        <v>0</v>
      </c>
      <c r="N264" s="8">
        <f>jagung!J81</f>
        <v>0</v>
      </c>
      <c r="O264" s="162"/>
      <c r="P264" s="168">
        <f t="shared" si="81"/>
        <v>0</v>
      </c>
      <c r="Q264" s="171">
        <f t="shared" si="82"/>
        <v>0</v>
      </c>
    </row>
    <row r="265" spans="1:17" ht="15.75" thickBot="1" x14ac:dyDescent="0.3">
      <c r="A265" s="88">
        <v>8</v>
      </c>
      <c r="B265" s="15" t="s">
        <v>25</v>
      </c>
      <c r="C265" s="17">
        <v>0</v>
      </c>
      <c r="D265" s="17">
        <v>0</v>
      </c>
      <c r="E265" s="17">
        <v>2</v>
      </c>
      <c r="F265" s="62">
        <v>0</v>
      </c>
      <c r="G265" s="62">
        <v>0</v>
      </c>
      <c r="H265" s="62">
        <v>0</v>
      </c>
      <c r="I265" s="169">
        <f t="shared" si="80"/>
        <v>2</v>
      </c>
      <c r="J265" s="122">
        <v>3</v>
      </c>
      <c r="K265" s="62">
        <v>0</v>
      </c>
      <c r="L265" s="62">
        <v>0</v>
      </c>
      <c r="M265" s="17">
        <v>3</v>
      </c>
      <c r="N265" s="358">
        <f>jagung!J82</f>
        <v>0</v>
      </c>
      <c r="O265" s="163"/>
      <c r="P265" s="169">
        <f t="shared" si="81"/>
        <v>6</v>
      </c>
      <c r="Q265" s="172">
        <f t="shared" si="82"/>
        <v>8</v>
      </c>
    </row>
    <row r="266" spans="1:17" ht="16.5" thickTop="1" thickBot="1" x14ac:dyDescent="0.3">
      <c r="A266" s="443" t="s">
        <v>26</v>
      </c>
      <c r="B266" s="444"/>
      <c r="C266" s="133">
        <f t="shared" ref="C266:H266" si="83">SUM(C258:C265)</f>
        <v>0</v>
      </c>
      <c r="D266" s="133">
        <f t="shared" si="83"/>
        <v>0</v>
      </c>
      <c r="E266" s="133">
        <f t="shared" si="83"/>
        <v>2</v>
      </c>
      <c r="F266" s="133">
        <f t="shared" si="83"/>
        <v>0</v>
      </c>
      <c r="G266" s="133">
        <f t="shared" si="83"/>
        <v>0</v>
      </c>
      <c r="H266" s="164">
        <f t="shared" si="83"/>
        <v>11</v>
      </c>
      <c r="I266" s="166">
        <f>SUM(I258:I265)</f>
        <v>13</v>
      </c>
      <c r="J266" s="135">
        <f t="shared" ref="J266:O266" si="84">SUM(J258:J265)</f>
        <v>12</v>
      </c>
      <c r="K266" s="133">
        <f t="shared" si="84"/>
        <v>2</v>
      </c>
      <c r="L266" s="133">
        <f t="shared" si="84"/>
        <v>0</v>
      </c>
      <c r="M266" s="133">
        <f t="shared" si="84"/>
        <v>3</v>
      </c>
      <c r="N266" s="133">
        <f t="shared" si="84"/>
        <v>12</v>
      </c>
      <c r="O266" s="164">
        <f t="shared" si="84"/>
        <v>0</v>
      </c>
      <c r="P266" s="166">
        <f>SUM(P258:P265)</f>
        <v>29</v>
      </c>
      <c r="Q266" s="173">
        <f>SUM(Q258:Q265)</f>
        <v>42</v>
      </c>
    </row>
    <row r="268" spans="1:17" ht="15.75" x14ac:dyDescent="0.25">
      <c r="A268" s="445" t="s">
        <v>163</v>
      </c>
      <c r="B268" s="445"/>
      <c r="C268" s="445"/>
      <c r="D268" s="445"/>
      <c r="E268" s="445"/>
      <c r="F268" s="445"/>
      <c r="G268" s="445"/>
      <c r="H268" s="445"/>
      <c r="I268" s="445"/>
      <c r="J268" s="445"/>
      <c r="K268" s="445"/>
      <c r="L268" s="445"/>
      <c r="M268" s="445"/>
      <c r="N268" s="445"/>
      <c r="O268" s="445"/>
      <c r="P268" s="445"/>
      <c r="Q268" s="445"/>
    </row>
    <row r="269" spans="1:17" ht="15.75" x14ac:dyDescent="0.25">
      <c r="A269" s="445" t="s">
        <v>83</v>
      </c>
      <c r="B269" s="445"/>
      <c r="C269" s="445"/>
      <c r="D269" s="445"/>
      <c r="E269" s="445"/>
      <c r="F269" s="445"/>
      <c r="G269" s="445"/>
      <c r="H269" s="445"/>
      <c r="I269" s="445"/>
      <c r="J269" s="445"/>
      <c r="K269" s="445"/>
      <c r="L269" s="445"/>
      <c r="M269" s="445"/>
      <c r="N269" s="445"/>
      <c r="O269" s="445"/>
      <c r="P269" s="445"/>
      <c r="Q269" s="445"/>
    </row>
    <row r="270" spans="1:17" ht="15.75" thickBot="1" x14ac:dyDescent="0.3">
      <c r="Q270" s="77" t="s">
        <v>31</v>
      </c>
    </row>
    <row r="271" spans="1:17" x14ac:dyDescent="0.25">
      <c r="A271" s="440" t="s">
        <v>2</v>
      </c>
      <c r="B271" s="442" t="s">
        <v>3</v>
      </c>
      <c r="C271" s="446" t="s">
        <v>84</v>
      </c>
      <c r="D271" s="447"/>
      <c r="E271" s="447"/>
      <c r="F271" s="447"/>
      <c r="G271" s="447"/>
      <c r="H271" s="447"/>
      <c r="I271" s="448" t="s">
        <v>91</v>
      </c>
      <c r="J271" s="447">
        <v>2015</v>
      </c>
      <c r="K271" s="447"/>
      <c r="L271" s="447"/>
      <c r="M271" s="447"/>
      <c r="N271" s="447"/>
      <c r="O271" s="447"/>
      <c r="P271" s="448" t="s">
        <v>92</v>
      </c>
      <c r="Q271" s="450" t="s">
        <v>5</v>
      </c>
    </row>
    <row r="272" spans="1:17" x14ac:dyDescent="0.25">
      <c r="A272" s="441"/>
      <c r="B272" s="426"/>
      <c r="C272" s="141" t="s">
        <v>15</v>
      </c>
      <c r="D272" s="141" t="s">
        <v>16</v>
      </c>
      <c r="E272" s="141" t="s">
        <v>17</v>
      </c>
      <c r="F272" s="141" t="s">
        <v>6</v>
      </c>
      <c r="G272" s="141" t="s">
        <v>78</v>
      </c>
      <c r="H272" s="158" t="s">
        <v>79</v>
      </c>
      <c r="I272" s="449"/>
      <c r="J272" s="117" t="s">
        <v>80</v>
      </c>
      <c r="K272" s="141" t="s">
        <v>10</v>
      </c>
      <c r="L272" s="141" t="s">
        <v>11</v>
      </c>
      <c r="M272" s="141" t="s">
        <v>12</v>
      </c>
      <c r="N272" s="141" t="s">
        <v>81</v>
      </c>
      <c r="O272" s="158" t="s">
        <v>82</v>
      </c>
      <c r="P272" s="449"/>
      <c r="Q272" s="451"/>
    </row>
    <row r="273" spans="1:17" ht="15.75" thickBot="1" x14ac:dyDescent="0.3">
      <c r="A273" s="128">
        <v>1</v>
      </c>
      <c r="B273" s="5">
        <v>2</v>
      </c>
      <c r="C273" s="5">
        <v>3</v>
      </c>
      <c r="D273" s="5">
        <v>4</v>
      </c>
      <c r="E273" s="5">
        <v>5</v>
      </c>
      <c r="F273" s="5">
        <v>6</v>
      </c>
      <c r="G273" s="5">
        <v>7</v>
      </c>
      <c r="H273" s="159">
        <v>8</v>
      </c>
      <c r="I273" s="165">
        <v>9</v>
      </c>
      <c r="J273" s="118">
        <v>10</v>
      </c>
      <c r="K273" s="5">
        <v>11</v>
      </c>
      <c r="L273" s="5">
        <v>12</v>
      </c>
      <c r="M273" s="5">
        <v>13</v>
      </c>
      <c r="N273" s="5">
        <v>14</v>
      </c>
      <c r="O273" s="159">
        <v>15</v>
      </c>
      <c r="P273" s="165">
        <v>16</v>
      </c>
      <c r="Q273" s="174">
        <v>17</v>
      </c>
    </row>
    <row r="274" spans="1:17" ht="16.5" thickTop="1" x14ac:dyDescent="0.25">
      <c r="A274" s="85">
        <v>1</v>
      </c>
      <c r="B274" s="7" t="s">
        <v>18</v>
      </c>
      <c r="C274" s="28">
        <v>0</v>
      </c>
      <c r="D274" s="28">
        <v>0</v>
      </c>
      <c r="E274" s="28">
        <v>0</v>
      </c>
      <c r="F274" s="28">
        <v>0</v>
      </c>
      <c r="G274" s="28">
        <v>0</v>
      </c>
      <c r="H274" s="32">
        <v>0</v>
      </c>
      <c r="I274" s="188">
        <v>0</v>
      </c>
      <c r="J274" s="31">
        <v>0</v>
      </c>
      <c r="K274" s="63">
        <v>0</v>
      </c>
      <c r="L274" s="63">
        <v>0</v>
      </c>
      <c r="M274" s="28">
        <v>0</v>
      </c>
      <c r="N274" s="362">
        <f>jagung!J108</f>
        <v>0</v>
      </c>
      <c r="O274" s="160"/>
      <c r="P274" s="188">
        <v>0</v>
      </c>
      <c r="Q274" s="181">
        <v>0</v>
      </c>
    </row>
    <row r="275" spans="1:17" x14ac:dyDescent="0.25">
      <c r="A275" s="86">
        <v>2</v>
      </c>
      <c r="B275" s="12" t="s">
        <v>19</v>
      </c>
      <c r="C275" s="16">
        <v>0</v>
      </c>
      <c r="D275" s="16">
        <v>0</v>
      </c>
      <c r="E275" s="16">
        <v>0</v>
      </c>
      <c r="F275" s="16">
        <v>0</v>
      </c>
      <c r="G275" s="16">
        <v>0</v>
      </c>
      <c r="H275" s="61">
        <v>0</v>
      </c>
      <c r="I275" s="191">
        <v>0</v>
      </c>
      <c r="J275" s="61">
        <v>0</v>
      </c>
      <c r="K275" s="61">
        <v>0</v>
      </c>
      <c r="L275" s="61">
        <v>0</v>
      </c>
      <c r="M275" s="16">
        <v>0</v>
      </c>
      <c r="N275" s="361">
        <f>jagung!J109</f>
        <v>0</v>
      </c>
      <c r="O275" s="161"/>
      <c r="P275" s="191">
        <v>0</v>
      </c>
      <c r="Q275" s="192">
        <v>0</v>
      </c>
    </row>
    <row r="276" spans="1:17" x14ac:dyDescent="0.25">
      <c r="A276" s="86">
        <v>3</v>
      </c>
      <c r="B276" s="7" t="s">
        <v>20</v>
      </c>
      <c r="C276" s="16">
        <v>0</v>
      </c>
      <c r="D276" s="16">
        <v>0</v>
      </c>
      <c r="E276" s="16">
        <v>0</v>
      </c>
      <c r="F276" s="16">
        <v>0</v>
      </c>
      <c r="G276" s="16">
        <v>0</v>
      </c>
      <c r="H276" s="66">
        <v>27.01</v>
      </c>
      <c r="I276" s="191">
        <v>27.01</v>
      </c>
      <c r="J276" s="34">
        <v>30.55</v>
      </c>
      <c r="K276" s="61">
        <v>0</v>
      </c>
      <c r="L276" s="61">
        <v>0</v>
      </c>
      <c r="M276" s="16">
        <v>0</v>
      </c>
      <c r="N276" s="361">
        <f>jagung!J110</f>
        <v>25.5</v>
      </c>
      <c r="O276" s="161"/>
      <c r="P276" s="191">
        <v>30.55</v>
      </c>
      <c r="Q276" s="192">
        <f>Q260/Q241*10</f>
        <v>27.777777777777779</v>
      </c>
    </row>
    <row r="277" spans="1:17" x14ac:dyDescent="0.25">
      <c r="A277" s="87">
        <v>4</v>
      </c>
      <c r="B277" s="15" t="s">
        <v>21</v>
      </c>
      <c r="C277" s="16">
        <v>0</v>
      </c>
      <c r="D277" s="16">
        <v>0</v>
      </c>
      <c r="E277" s="16">
        <v>0</v>
      </c>
      <c r="F277" s="16">
        <v>0</v>
      </c>
      <c r="G277" s="16">
        <v>0</v>
      </c>
      <c r="H277" s="61">
        <v>0</v>
      </c>
      <c r="I277" s="191">
        <v>0</v>
      </c>
      <c r="J277" s="61">
        <v>0</v>
      </c>
      <c r="K277" s="66">
        <v>23.2</v>
      </c>
      <c r="L277" s="61">
        <v>0</v>
      </c>
      <c r="M277" s="16">
        <v>0</v>
      </c>
      <c r="N277" s="361">
        <f>jagung!J111</f>
        <v>24.6</v>
      </c>
      <c r="O277" s="162"/>
      <c r="P277" s="191">
        <v>0</v>
      </c>
      <c r="Q277" s="192">
        <v>0</v>
      </c>
    </row>
    <row r="278" spans="1:17" x14ac:dyDescent="0.25">
      <c r="A278" s="87">
        <v>5</v>
      </c>
      <c r="B278" s="19" t="s">
        <v>22</v>
      </c>
      <c r="C278" s="16">
        <v>0</v>
      </c>
      <c r="D278" s="16">
        <v>0</v>
      </c>
      <c r="E278" s="16">
        <v>0</v>
      </c>
      <c r="F278" s="16">
        <v>0</v>
      </c>
      <c r="G278" s="16">
        <v>0</v>
      </c>
      <c r="H278" s="61">
        <v>0</v>
      </c>
      <c r="I278" s="191">
        <v>0</v>
      </c>
      <c r="J278" s="61">
        <v>0</v>
      </c>
      <c r="K278" s="61">
        <v>0</v>
      </c>
      <c r="L278" s="61">
        <v>0</v>
      </c>
      <c r="M278" s="16">
        <v>0</v>
      </c>
      <c r="N278" s="361">
        <f>jagung!J112</f>
        <v>25.04</v>
      </c>
      <c r="O278" s="162"/>
      <c r="P278" s="191">
        <v>0</v>
      </c>
      <c r="Q278" s="192">
        <v>0</v>
      </c>
    </row>
    <row r="279" spans="1:17" x14ac:dyDescent="0.25">
      <c r="A279" s="87">
        <v>6</v>
      </c>
      <c r="B279" s="19" t="s">
        <v>23</v>
      </c>
      <c r="C279" s="16">
        <v>0</v>
      </c>
      <c r="D279" s="16">
        <v>0</v>
      </c>
      <c r="E279" s="16">
        <v>0</v>
      </c>
      <c r="F279" s="16">
        <v>0</v>
      </c>
      <c r="G279" s="16">
        <v>0</v>
      </c>
      <c r="H279" s="61">
        <v>0</v>
      </c>
      <c r="I279" s="191">
        <v>0</v>
      </c>
      <c r="J279" s="61">
        <v>0</v>
      </c>
      <c r="K279" s="61">
        <v>0</v>
      </c>
      <c r="L279" s="61">
        <v>0</v>
      </c>
      <c r="M279" s="16">
        <v>0</v>
      </c>
      <c r="N279" s="361">
        <f>jagung!J113</f>
        <v>0</v>
      </c>
      <c r="O279" s="162"/>
      <c r="P279" s="191">
        <v>0</v>
      </c>
      <c r="Q279" s="192">
        <v>0</v>
      </c>
    </row>
    <row r="280" spans="1:17" x14ac:dyDescent="0.25">
      <c r="A280" s="87">
        <v>7</v>
      </c>
      <c r="B280" s="19" t="s">
        <v>24</v>
      </c>
      <c r="C280" s="16">
        <v>0</v>
      </c>
      <c r="D280" s="16">
        <v>0</v>
      </c>
      <c r="E280" s="16">
        <v>0</v>
      </c>
      <c r="F280" s="16">
        <v>0</v>
      </c>
      <c r="G280" s="16">
        <v>0</v>
      </c>
      <c r="H280" s="61">
        <v>0</v>
      </c>
      <c r="I280" s="191">
        <v>0</v>
      </c>
      <c r="J280" s="61">
        <v>0</v>
      </c>
      <c r="K280" s="61">
        <v>0</v>
      </c>
      <c r="L280" s="61">
        <v>0</v>
      </c>
      <c r="M280" s="16">
        <v>0</v>
      </c>
      <c r="N280" s="361">
        <f>jagung!J114</f>
        <v>0</v>
      </c>
      <c r="O280" s="162"/>
      <c r="P280" s="191">
        <v>0</v>
      </c>
      <c r="Q280" s="192">
        <v>0</v>
      </c>
    </row>
    <row r="281" spans="1:17" ht="15.75" thickBot="1" x14ac:dyDescent="0.3">
      <c r="A281" s="88">
        <v>8</v>
      </c>
      <c r="B281" s="15" t="s">
        <v>25</v>
      </c>
      <c r="C281" s="17">
        <v>0</v>
      </c>
      <c r="D281" s="17">
        <v>0</v>
      </c>
      <c r="E281" s="36">
        <v>20</v>
      </c>
      <c r="F281" s="17">
        <v>0</v>
      </c>
      <c r="G281" s="17">
        <v>0</v>
      </c>
      <c r="H281" s="62">
        <v>0</v>
      </c>
      <c r="I281" s="189">
        <v>0</v>
      </c>
      <c r="J281" s="67">
        <v>30.25</v>
      </c>
      <c r="K281" s="62">
        <v>0</v>
      </c>
      <c r="L281" s="62">
        <v>0</v>
      </c>
      <c r="M281" s="36">
        <v>30.25</v>
      </c>
      <c r="N281" s="363">
        <f>jagung!J115</f>
        <v>0</v>
      </c>
      <c r="O281" s="163"/>
      <c r="P281" s="189">
        <v>30.25</v>
      </c>
      <c r="Q281" s="190">
        <f>Q265/Q246*10</f>
        <v>26.666666666666664</v>
      </c>
    </row>
    <row r="282" spans="1:17" ht="16.5" thickTop="1" thickBot="1" x14ac:dyDescent="0.3">
      <c r="A282" s="443" t="s">
        <v>26</v>
      </c>
      <c r="B282" s="444"/>
      <c r="C282" s="208">
        <v>0</v>
      </c>
      <c r="D282" s="208">
        <v>0</v>
      </c>
      <c r="E282" s="209">
        <v>20</v>
      </c>
      <c r="F282" s="156">
        <v>0</v>
      </c>
      <c r="G282" s="156">
        <v>0</v>
      </c>
      <c r="H282" s="185">
        <v>27.01</v>
      </c>
      <c r="I282" s="187">
        <v>27.01</v>
      </c>
      <c r="J282" s="197">
        <f>J266/J247*10</f>
        <v>30</v>
      </c>
      <c r="K282" s="156">
        <f t="shared" ref="K282:O282" si="85">SUM(K274:K281)</f>
        <v>23.2</v>
      </c>
      <c r="L282" s="133">
        <f t="shared" si="85"/>
        <v>0</v>
      </c>
      <c r="M282" s="156">
        <f t="shared" si="85"/>
        <v>30.25</v>
      </c>
      <c r="N282" s="156">
        <v>20</v>
      </c>
      <c r="O282" s="164">
        <f t="shared" si="85"/>
        <v>0</v>
      </c>
      <c r="P282" s="187">
        <f>P266/P247*10</f>
        <v>26.363636363636363</v>
      </c>
      <c r="Q282" s="186">
        <f>Q266/Q247*10</f>
        <v>26.25</v>
      </c>
    </row>
    <row r="288" spans="1:17" ht="15.75" x14ac:dyDescent="0.25">
      <c r="A288" s="445" t="s">
        <v>165</v>
      </c>
      <c r="B288" s="445"/>
      <c r="C288" s="445"/>
      <c r="D288" s="445"/>
      <c r="E288" s="445"/>
      <c r="F288" s="445"/>
      <c r="G288" s="445"/>
      <c r="H288" s="445"/>
      <c r="I288" s="445"/>
      <c r="J288" s="445"/>
      <c r="K288" s="445"/>
      <c r="L288" s="445"/>
      <c r="M288" s="445"/>
      <c r="N288" s="445"/>
      <c r="O288" s="445"/>
      <c r="P288" s="445"/>
      <c r="Q288" s="445"/>
    </row>
    <row r="289" spans="1:19" ht="15.75" x14ac:dyDescent="0.25">
      <c r="A289" s="445" t="s">
        <v>83</v>
      </c>
      <c r="B289" s="445"/>
      <c r="C289" s="445"/>
      <c r="D289" s="445"/>
      <c r="E289" s="445"/>
      <c r="F289" s="445"/>
      <c r="G289" s="445"/>
      <c r="H289" s="445"/>
      <c r="I289" s="445"/>
      <c r="J289" s="445"/>
      <c r="K289" s="445"/>
      <c r="L289" s="445"/>
      <c r="M289" s="445"/>
      <c r="N289" s="445"/>
      <c r="O289" s="445"/>
      <c r="P289" s="445"/>
      <c r="Q289" s="445"/>
    </row>
    <row r="290" spans="1:19" ht="15.75" thickBot="1" x14ac:dyDescent="0.3">
      <c r="Q290" s="77" t="s">
        <v>1</v>
      </c>
    </row>
    <row r="291" spans="1:19" x14ac:dyDescent="0.25">
      <c r="A291" s="440" t="s">
        <v>2</v>
      </c>
      <c r="B291" s="442" t="s">
        <v>3</v>
      </c>
      <c r="C291" s="446" t="s">
        <v>84</v>
      </c>
      <c r="D291" s="447"/>
      <c r="E291" s="447"/>
      <c r="F291" s="447"/>
      <c r="G291" s="447"/>
      <c r="H291" s="447"/>
      <c r="I291" s="448" t="s">
        <v>91</v>
      </c>
      <c r="J291" s="447">
        <v>2015</v>
      </c>
      <c r="K291" s="447"/>
      <c r="L291" s="447"/>
      <c r="M291" s="447"/>
      <c r="N291" s="447"/>
      <c r="O291" s="447"/>
      <c r="P291" s="448" t="s">
        <v>92</v>
      </c>
      <c r="Q291" s="450" t="s">
        <v>5</v>
      </c>
    </row>
    <row r="292" spans="1:19" x14ac:dyDescent="0.25">
      <c r="A292" s="441"/>
      <c r="B292" s="426"/>
      <c r="C292" s="141" t="s">
        <v>15</v>
      </c>
      <c r="D292" s="141" t="s">
        <v>16</v>
      </c>
      <c r="E292" s="141" t="s">
        <v>17</v>
      </c>
      <c r="F292" s="141" t="s">
        <v>6</v>
      </c>
      <c r="G292" s="141" t="s">
        <v>78</v>
      </c>
      <c r="H292" s="158" t="s">
        <v>79</v>
      </c>
      <c r="I292" s="449"/>
      <c r="J292" s="117" t="s">
        <v>80</v>
      </c>
      <c r="K292" s="141" t="s">
        <v>10</v>
      </c>
      <c r="L292" s="141" t="s">
        <v>11</v>
      </c>
      <c r="M292" s="141" t="s">
        <v>12</v>
      </c>
      <c r="N292" s="141" t="s">
        <v>81</v>
      </c>
      <c r="O292" s="158" t="s">
        <v>82</v>
      </c>
      <c r="P292" s="449"/>
      <c r="Q292" s="451"/>
    </row>
    <row r="293" spans="1:19" ht="15.75" thickBot="1" x14ac:dyDescent="0.3">
      <c r="A293" s="128">
        <v>1</v>
      </c>
      <c r="B293" s="5">
        <v>2</v>
      </c>
      <c r="C293" s="5">
        <v>3</v>
      </c>
      <c r="D293" s="5">
        <v>4</v>
      </c>
      <c r="E293" s="5">
        <v>5</v>
      </c>
      <c r="F293" s="5">
        <v>6</v>
      </c>
      <c r="G293" s="5">
        <v>7</v>
      </c>
      <c r="H293" s="159">
        <v>8</v>
      </c>
      <c r="I293" s="165">
        <v>9</v>
      </c>
      <c r="J293" s="118">
        <v>10</v>
      </c>
      <c r="K293" s="5">
        <v>11</v>
      </c>
      <c r="L293" s="5">
        <v>12</v>
      </c>
      <c r="M293" s="5">
        <v>13</v>
      </c>
      <c r="N293" s="5">
        <v>14</v>
      </c>
      <c r="O293" s="159">
        <v>15</v>
      </c>
      <c r="P293" s="165">
        <v>16</v>
      </c>
      <c r="Q293" s="174">
        <v>17</v>
      </c>
      <c r="S293" t="s">
        <v>199</v>
      </c>
    </row>
    <row r="294" spans="1:19" ht="15.75" thickTop="1" x14ac:dyDescent="0.25">
      <c r="A294" s="85">
        <v>1</v>
      </c>
      <c r="B294" s="7" t="s">
        <v>18</v>
      </c>
      <c r="C294" s="28">
        <v>0</v>
      </c>
      <c r="D294" s="28">
        <v>0</v>
      </c>
      <c r="E294" s="28">
        <v>2</v>
      </c>
      <c r="F294" s="28">
        <v>0</v>
      </c>
      <c r="G294" s="28">
        <v>0</v>
      </c>
      <c r="H294" s="28">
        <v>0</v>
      </c>
      <c r="I294" s="167">
        <f>SUM(C294:H294)</f>
        <v>2</v>
      </c>
      <c r="J294" s="176">
        <v>0</v>
      </c>
      <c r="K294" s="176">
        <v>0</v>
      </c>
      <c r="L294" s="176">
        <v>0</v>
      </c>
      <c r="M294" s="176">
        <v>0</v>
      </c>
      <c r="N294" s="176">
        <v>0</v>
      </c>
      <c r="O294" s="160">
        <v>0</v>
      </c>
      <c r="P294" s="167">
        <f>SUM(J294:O294)</f>
        <v>0</v>
      </c>
      <c r="Q294" s="170">
        <f>SUM(I294,P294)</f>
        <v>2</v>
      </c>
      <c r="S294" s="110">
        <f>SUM(F294:H294,J294:N294)</f>
        <v>0</v>
      </c>
    </row>
    <row r="295" spans="1:19" x14ac:dyDescent="0.25">
      <c r="A295" s="86">
        <v>2</v>
      </c>
      <c r="B295" s="12" t="s">
        <v>19</v>
      </c>
      <c r="C295" s="16">
        <v>0</v>
      </c>
      <c r="D295" s="16">
        <v>22</v>
      </c>
      <c r="E295" s="16">
        <v>0</v>
      </c>
      <c r="F295" s="16">
        <v>0</v>
      </c>
      <c r="G295" s="16">
        <v>0</v>
      </c>
      <c r="H295" s="16">
        <v>0</v>
      </c>
      <c r="I295" s="168">
        <f t="shared" ref="I295:I301" si="86">SUM(C295:H295)</f>
        <v>22</v>
      </c>
      <c r="J295" s="177">
        <v>0</v>
      </c>
      <c r="K295" s="177">
        <v>0</v>
      </c>
      <c r="L295" s="177">
        <v>0</v>
      </c>
      <c r="M295" s="177">
        <v>0</v>
      </c>
      <c r="N295" s="177">
        <v>0</v>
      </c>
      <c r="O295" s="161">
        <v>0</v>
      </c>
      <c r="P295" s="168">
        <f t="shared" ref="P295:P301" si="87">SUM(J295:O295)</f>
        <v>0</v>
      </c>
      <c r="Q295" s="171">
        <f t="shared" ref="Q295:Q301" si="88">SUM(I295,P295)</f>
        <v>22</v>
      </c>
      <c r="S295" s="110">
        <f t="shared" ref="S295:S301" si="89">SUM(F295:H295,J295:N295)</f>
        <v>0</v>
      </c>
    </row>
    <row r="296" spans="1:19" x14ac:dyDescent="0.25">
      <c r="A296" s="86">
        <v>3</v>
      </c>
      <c r="B296" s="7" t="s">
        <v>20</v>
      </c>
      <c r="C296" s="16">
        <v>0</v>
      </c>
      <c r="D296" s="16">
        <v>10</v>
      </c>
      <c r="E296" s="16">
        <v>0</v>
      </c>
      <c r="F296" s="16">
        <v>0</v>
      </c>
      <c r="G296" s="16">
        <v>0</v>
      </c>
      <c r="H296" s="16">
        <v>0</v>
      </c>
      <c r="I296" s="168">
        <f t="shared" si="86"/>
        <v>10</v>
      </c>
      <c r="J296" s="177">
        <v>0</v>
      </c>
      <c r="K296" s="177">
        <v>0</v>
      </c>
      <c r="L296" s="177">
        <v>0</v>
      </c>
      <c r="M296" s="177">
        <v>0</v>
      </c>
      <c r="N296" s="177">
        <v>0</v>
      </c>
      <c r="O296" s="161">
        <v>0</v>
      </c>
      <c r="P296" s="168">
        <f t="shared" si="87"/>
        <v>0</v>
      </c>
      <c r="Q296" s="171">
        <f t="shared" si="88"/>
        <v>10</v>
      </c>
      <c r="S296" s="110">
        <f t="shared" si="89"/>
        <v>0</v>
      </c>
    </row>
    <row r="297" spans="1:19" x14ac:dyDescent="0.25">
      <c r="A297" s="87">
        <v>4</v>
      </c>
      <c r="B297" s="15" t="s">
        <v>21</v>
      </c>
      <c r="C297" s="16">
        <v>0</v>
      </c>
      <c r="D297" s="16">
        <v>0</v>
      </c>
      <c r="E297" s="16">
        <v>0</v>
      </c>
      <c r="F297" s="16">
        <v>0</v>
      </c>
      <c r="G297" s="16">
        <v>0</v>
      </c>
      <c r="H297" s="16">
        <v>0</v>
      </c>
      <c r="I297" s="168">
        <f t="shared" si="86"/>
        <v>0</v>
      </c>
      <c r="J297" s="178">
        <v>0</v>
      </c>
      <c r="K297" s="178">
        <v>0</v>
      </c>
      <c r="L297" s="178">
        <v>0</v>
      </c>
      <c r="M297" s="178">
        <v>0</v>
      </c>
      <c r="N297" s="178">
        <v>0</v>
      </c>
      <c r="O297" s="162">
        <v>0</v>
      </c>
      <c r="P297" s="168">
        <f t="shared" si="87"/>
        <v>0</v>
      </c>
      <c r="Q297" s="171">
        <f t="shared" si="88"/>
        <v>0</v>
      </c>
      <c r="S297" s="110">
        <f t="shared" si="89"/>
        <v>0</v>
      </c>
    </row>
    <row r="298" spans="1:19" x14ac:dyDescent="0.25">
      <c r="A298" s="87">
        <v>5</v>
      </c>
      <c r="B298" s="19" t="s">
        <v>22</v>
      </c>
      <c r="C298" s="16">
        <v>0</v>
      </c>
      <c r="D298" s="16">
        <v>0</v>
      </c>
      <c r="E298" s="16">
        <v>0</v>
      </c>
      <c r="F298" s="16">
        <v>0</v>
      </c>
      <c r="G298" s="16">
        <v>5</v>
      </c>
      <c r="H298" s="16">
        <v>5</v>
      </c>
      <c r="I298" s="168">
        <f t="shared" si="86"/>
        <v>10</v>
      </c>
      <c r="J298" s="178">
        <v>0</v>
      </c>
      <c r="K298" s="178">
        <v>0</v>
      </c>
      <c r="L298" s="178">
        <v>0</v>
      </c>
      <c r="M298" s="178">
        <v>0</v>
      </c>
      <c r="N298" s="178">
        <v>0</v>
      </c>
      <c r="O298" s="162">
        <v>2</v>
      </c>
      <c r="P298" s="168">
        <f t="shared" si="87"/>
        <v>2</v>
      </c>
      <c r="Q298" s="171">
        <f t="shared" si="88"/>
        <v>12</v>
      </c>
      <c r="S298" s="110">
        <f t="shared" si="89"/>
        <v>10</v>
      </c>
    </row>
    <row r="299" spans="1:19" x14ac:dyDescent="0.25">
      <c r="A299" s="87">
        <v>6</v>
      </c>
      <c r="B299" s="19" t="s">
        <v>23</v>
      </c>
      <c r="C299" s="16">
        <v>0</v>
      </c>
      <c r="D299" s="16">
        <v>0</v>
      </c>
      <c r="E299" s="16">
        <v>0</v>
      </c>
      <c r="F299" s="16">
        <v>0</v>
      </c>
      <c r="G299" s="16">
        <v>0</v>
      </c>
      <c r="H299" s="16">
        <v>0</v>
      </c>
      <c r="I299" s="168">
        <f t="shared" si="86"/>
        <v>0</v>
      </c>
      <c r="J299" s="178">
        <v>0</v>
      </c>
      <c r="K299" s="178">
        <v>0</v>
      </c>
      <c r="L299" s="178">
        <v>0</v>
      </c>
      <c r="M299" s="178">
        <v>0</v>
      </c>
      <c r="N299" s="178">
        <v>0</v>
      </c>
      <c r="O299" s="162">
        <v>0</v>
      </c>
      <c r="P299" s="168">
        <f t="shared" si="87"/>
        <v>0</v>
      </c>
      <c r="Q299" s="171">
        <f t="shared" si="88"/>
        <v>0</v>
      </c>
      <c r="S299" s="110">
        <f t="shared" si="89"/>
        <v>0</v>
      </c>
    </row>
    <row r="300" spans="1:19" x14ac:dyDescent="0.25">
      <c r="A300" s="87">
        <v>7</v>
      </c>
      <c r="B300" s="19" t="s">
        <v>24</v>
      </c>
      <c r="C300" s="16">
        <v>0</v>
      </c>
      <c r="D300" s="16">
        <v>0</v>
      </c>
      <c r="E300" s="16">
        <v>0</v>
      </c>
      <c r="F300" s="16">
        <v>0</v>
      </c>
      <c r="G300" s="16">
        <v>0</v>
      </c>
      <c r="H300" s="16">
        <v>0</v>
      </c>
      <c r="I300" s="168">
        <f t="shared" si="86"/>
        <v>0</v>
      </c>
      <c r="J300" s="178">
        <v>0</v>
      </c>
      <c r="K300" s="178">
        <v>0</v>
      </c>
      <c r="L300" s="178">
        <v>0</v>
      </c>
      <c r="M300" s="178">
        <v>0</v>
      </c>
      <c r="N300" s="178">
        <v>0</v>
      </c>
      <c r="O300" s="162">
        <v>0</v>
      </c>
      <c r="P300" s="168">
        <f t="shared" si="87"/>
        <v>0</v>
      </c>
      <c r="Q300" s="171">
        <f t="shared" si="88"/>
        <v>0</v>
      </c>
      <c r="S300" s="110">
        <f t="shared" si="89"/>
        <v>0</v>
      </c>
    </row>
    <row r="301" spans="1:19" ht="15.75" thickBot="1" x14ac:dyDescent="0.3">
      <c r="A301" s="88">
        <v>8</v>
      </c>
      <c r="B301" s="15" t="s">
        <v>25</v>
      </c>
      <c r="C301" s="17">
        <v>5</v>
      </c>
      <c r="D301" s="17">
        <v>10</v>
      </c>
      <c r="E301" s="17">
        <v>0</v>
      </c>
      <c r="F301" s="17">
        <v>0</v>
      </c>
      <c r="G301" s="17">
        <v>0</v>
      </c>
      <c r="H301" s="17">
        <v>0</v>
      </c>
      <c r="I301" s="169">
        <f t="shared" si="86"/>
        <v>15</v>
      </c>
      <c r="J301" s="179">
        <v>0</v>
      </c>
      <c r="K301" s="179">
        <v>0</v>
      </c>
      <c r="L301" s="179">
        <v>0</v>
      </c>
      <c r="M301" s="179">
        <v>0</v>
      </c>
      <c r="N301" s="179">
        <v>0</v>
      </c>
      <c r="O301" s="163">
        <v>0</v>
      </c>
      <c r="P301" s="169">
        <f t="shared" si="87"/>
        <v>0</v>
      </c>
      <c r="Q301" s="172">
        <f t="shared" si="88"/>
        <v>15</v>
      </c>
      <c r="S301" s="110">
        <f t="shared" si="89"/>
        <v>0</v>
      </c>
    </row>
    <row r="302" spans="1:19" ht="16.5" thickTop="1" thickBot="1" x14ac:dyDescent="0.3">
      <c r="A302" s="443" t="s">
        <v>26</v>
      </c>
      <c r="B302" s="444"/>
      <c r="C302" s="133">
        <f t="shared" ref="C302:E302" si="90">SUM(C294:C301)</f>
        <v>5</v>
      </c>
      <c r="D302" s="133">
        <f>SUM(D294:D301)</f>
        <v>42</v>
      </c>
      <c r="E302" s="133">
        <f t="shared" si="90"/>
        <v>2</v>
      </c>
      <c r="F302" s="133">
        <v>2</v>
      </c>
      <c r="G302" s="133">
        <v>4</v>
      </c>
      <c r="H302" s="164">
        <v>2</v>
      </c>
      <c r="I302" s="166">
        <f>SUM(I294:I301)</f>
        <v>59</v>
      </c>
      <c r="J302" s="180">
        <f t="shared" ref="J302:O302" si="91">SUM(J294:J301)</f>
        <v>0</v>
      </c>
      <c r="K302" s="133">
        <f t="shared" si="91"/>
        <v>0</v>
      </c>
      <c r="L302" s="133">
        <f t="shared" si="91"/>
        <v>0</v>
      </c>
      <c r="M302" s="133">
        <f t="shared" si="91"/>
        <v>0</v>
      </c>
      <c r="N302" s="133">
        <f t="shared" si="91"/>
        <v>0</v>
      </c>
      <c r="O302" s="164">
        <f t="shared" si="91"/>
        <v>2</v>
      </c>
      <c r="P302" s="166">
        <f>SUM(P294:P301)</f>
        <v>2</v>
      </c>
      <c r="Q302" s="173">
        <f>SUM(Q294:Q301)</f>
        <v>61</v>
      </c>
      <c r="S302" s="110">
        <f>SUM(S294:S301)</f>
        <v>10</v>
      </c>
    </row>
    <row r="304" spans="1:19" ht="15.75" x14ac:dyDescent="0.25">
      <c r="A304" s="445" t="s">
        <v>166</v>
      </c>
      <c r="B304" s="445"/>
      <c r="C304" s="445"/>
      <c r="D304" s="445"/>
      <c r="E304" s="445"/>
      <c r="F304" s="445"/>
      <c r="G304" s="445"/>
      <c r="H304" s="445"/>
      <c r="I304" s="445"/>
      <c r="J304" s="445"/>
      <c r="K304" s="445"/>
      <c r="L304" s="445"/>
      <c r="M304" s="445"/>
      <c r="N304" s="445"/>
      <c r="O304" s="445"/>
      <c r="P304" s="445"/>
      <c r="Q304" s="445"/>
    </row>
    <row r="305" spans="1:19" ht="15.75" x14ac:dyDescent="0.25">
      <c r="A305" s="445" t="s">
        <v>83</v>
      </c>
      <c r="B305" s="445"/>
      <c r="C305" s="445"/>
      <c r="D305" s="445"/>
      <c r="E305" s="445"/>
      <c r="F305" s="445"/>
      <c r="G305" s="445"/>
      <c r="H305" s="445"/>
      <c r="I305" s="445"/>
      <c r="J305" s="445"/>
      <c r="K305" s="445"/>
      <c r="L305" s="445"/>
      <c r="M305" s="445"/>
      <c r="N305" s="445"/>
      <c r="O305" s="445"/>
      <c r="P305" s="445"/>
      <c r="Q305" s="445"/>
    </row>
    <row r="306" spans="1:19" ht="15.75" thickBot="1" x14ac:dyDescent="0.3">
      <c r="Q306" s="77" t="s">
        <v>1</v>
      </c>
    </row>
    <row r="307" spans="1:19" x14ac:dyDescent="0.25">
      <c r="A307" s="440" t="s">
        <v>2</v>
      </c>
      <c r="B307" s="442" t="s">
        <v>3</v>
      </c>
      <c r="C307" s="446" t="s">
        <v>84</v>
      </c>
      <c r="D307" s="447"/>
      <c r="E307" s="447"/>
      <c r="F307" s="447"/>
      <c r="G307" s="447"/>
      <c r="H307" s="447"/>
      <c r="I307" s="448" t="s">
        <v>91</v>
      </c>
      <c r="J307" s="447">
        <v>2015</v>
      </c>
      <c r="K307" s="447"/>
      <c r="L307" s="447"/>
      <c r="M307" s="447"/>
      <c r="N307" s="447"/>
      <c r="O307" s="447"/>
      <c r="P307" s="448" t="s">
        <v>92</v>
      </c>
      <c r="Q307" s="450" t="s">
        <v>5</v>
      </c>
    </row>
    <row r="308" spans="1:19" x14ac:dyDescent="0.25">
      <c r="A308" s="441"/>
      <c r="B308" s="426"/>
      <c r="C308" s="141" t="s">
        <v>15</v>
      </c>
      <c r="D308" s="141" t="s">
        <v>16</v>
      </c>
      <c r="E308" s="141" t="s">
        <v>17</v>
      </c>
      <c r="F308" s="141" t="s">
        <v>6</v>
      </c>
      <c r="G308" s="141" t="s">
        <v>78</v>
      </c>
      <c r="H308" s="158" t="s">
        <v>79</v>
      </c>
      <c r="I308" s="449"/>
      <c r="J308" s="117" t="s">
        <v>80</v>
      </c>
      <c r="K308" s="141" t="s">
        <v>10</v>
      </c>
      <c r="L308" s="141" t="s">
        <v>11</v>
      </c>
      <c r="M308" s="141" t="s">
        <v>12</v>
      </c>
      <c r="N308" s="141" t="s">
        <v>81</v>
      </c>
      <c r="O308" s="158" t="s">
        <v>82</v>
      </c>
      <c r="P308" s="449"/>
      <c r="Q308" s="451"/>
    </row>
    <row r="309" spans="1:19" ht="15.75" thickBot="1" x14ac:dyDescent="0.3">
      <c r="A309" s="128">
        <v>1</v>
      </c>
      <c r="B309" s="5">
        <v>2</v>
      </c>
      <c r="C309" s="5">
        <v>3</v>
      </c>
      <c r="D309" s="5">
        <v>4</v>
      </c>
      <c r="E309" s="5">
        <v>5</v>
      </c>
      <c r="F309" s="5">
        <v>6</v>
      </c>
      <c r="G309" s="5">
        <v>7</v>
      </c>
      <c r="H309" s="159">
        <v>8</v>
      </c>
      <c r="I309" s="165">
        <v>9</v>
      </c>
      <c r="J309" s="118">
        <v>10</v>
      </c>
      <c r="K309" s="5">
        <v>11</v>
      </c>
      <c r="L309" s="5">
        <v>12</v>
      </c>
      <c r="M309" s="5">
        <v>13</v>
      </c>
      <c r="N309" s="5">
        <v>14</v>
      </c>
      <c r="O309" s="159">
        <v>15</v>
      </c>
      <c r="P309" s="165">
        <v>16</v>
      </c>
      <c r="Q309" s="174">
        <v>17</v>
      </c>
      <c r="S309" t="s">
        <v>199</v>
      </c>
    </row>
    <row r="310" spans="1:19" ht="15.75" thickTop="1" x14ac:dyDescent="0.25">
      <c r="A310" s="85">
        <v>1</v>
      </c>
      <c r="B310" s="7" t="s">
        <v>100</v>
      </c>
      <c r="C310" s="28">
        <v>0</v>
      </c>
      <c r="D310" s="28">
        <v>0</v>
      </c>
      <c r="E310" s="28">
        <v>0</v>
      </c>
      <c r="F310" s="28">
        <v>0</v>
      </c>
      <c r="G310" s="28">
        <v>0</v>
      </c>
      <c r="H310" s="28">
        <v>0</v>
      </c>
      <c r="I310" s="167">
        <f>SUM(C310:H310)</f>
        <v>0</v>
      </c>
      <c r="J310" s="119">
        <v>0</v>
      </c>
      <c r="K310" s="176">
        <v>0</v>
      </c>
      <c r="L310" s="176">
        <v>0</v>
      </c>
      <c r="M310" s="176">
        <v>0</v>
      </c>
      <c r="N310" s="176">
        <v>0</v>
      </c>
      <c r="O310" s="403">
        <f>kedelai!K42</f>
        <v>0</v>
      </c>
      <c r="P310" s="167">
        <f>SUM(J310:O310)</f>
        <v>0</v>
      </c>
      <c r="Q310" s="170">
        <f>SUM(I310,P310)</f>
        <v>0</v>
      </c>
      <c r="S310" s="110">
        <f>SUM(F310:H310,J310:N310)</f>
        <v>0</v>
      </c>
    </row>
    <row r="311" spans="1:19" x14ac:dyDescent="0.25">
      <c r="A311" s="86">
        <v>2</v>
      </c>
      <c r="B311" s="12" t="s">
        <v>101</v>
      </c>
      <c r="C311" s="16">
        <v>0</v>
      </c>
      <c r="D311" s="16">
        <v>7</v>
      </c>
      <c r="E311" s="16">
        <v>0</v>
      </c>
      <c r="F311" s="16">
        <v>0</v>
      </c>
      <c r="G311" s="16">
        <v>0</v>
      </c>
      <c r="H311" s="16">
        <v>0</v>
      </c>
      <c r="I311" s="168">
        <f>SUM(C311:H311)</f>
        <v>7</v>
      </c>
      <c r="J311" s="120">
        <v>0</v>
      </c>
      <c r="K311" s="177">
        <v>0</v>
      </c>
      <c r="L311" s="177">
        <v>0</v>
      </c>
      <c r="M311" s="177">
        <v>0</v>
      </c>
      <c r="N311" s="177">
        <v>0</v>
      </c>
      <c r="O311" s="405">
        <f>kedelai!K43</f>
        <v>0</v>
      </c>
      <c r="P311" s="168">
        <f t="shared" ref="P311:P317" si="92">SUM(J311:O311)</f>
        <v>0</v>
      </c>
      <c r="Q311" s="171">
        <f>SUM(I311,P311)</f>
        <v>7</v>
      </c>
      <c r="S311" s="110">
        <f t="shared" ref="S311:S317" si="93">SUM(F311:H311,J311:N311)</f>
        <v>0</v>
      </c>
    </row>
    <row r="312" spans="1:19" x14ac:dyDescent="0.25">
      <c r="A312" s="86">
        <v>3</v>
      </c>
      <c r="B312" s="7" t="s">
        <v>20</v>
      </c>
      <c r="C312" s="16">
        <v>0</v>
      </c>
      <c r="D312" s="16">
        <v>19</v>
      </c>
      <c r="E312" s="16">
        <v>0</v>
      </c>
      <c r="F312" s="16">
        <v>10</v>
      </c>
      <c r="G312" s="16">
        <v>0</v>
      </c>
      <c r="H312" s="16">
        <v>0</v>
      </c>
      <c r="I312" s="168">
        <f>SUM(C312:H312)</f>
        <v>29</v>
      </c>
      <c r="J312" s="120">
        <v>0</v>
      </c>
      <c r="K312" s="177">
        <v>0</v>
      </c>
      <c r="L312" s="177">
        <v>0</v>
      </c>
      <c r="M312" s="177">
        <v>0</v>
      </c>
      <c r="N312" s="177">
        <v>0</v>
      </c>
      <c r="O312" s="405">
        <f>kedelai!K44</f>
        <v>0</v>
      </c>
      <c r="P312" s="168">
        <f t="shared" si="92"/>
        <v>0</v>
      </c>
      <c r="Q312" s="171">
        <f t="shared" ref="Q312:Q317" si="94">SUM(I312,P312)</f>
        <v>29</v>
      </c>
      <c r="S312" s="110">
        <f t="shared" si="93"/>
        <v>10</v>
      </c>
    </row>
    <row r="313" spans="1:19" x14ac:dyDescent="0.25">
      <c r="A313" s="87">
        <v>4</v>
      </c>
      <c r="B313" s="15" t="s">
        <v>21</v>
      </c>
      <c r="C313" s="16">
        <v>0</v>
      </c>
      <c r="D313" s="16">
        <v>0</v>
      </c>
      <c r="E313" s="16">
        <v>0</v>
      </c>
      <c r="F313" s="16">
        <v>0</v>
      </c>
      <c r="G313" s="16">
        <v>0</v>
      </c>
      <c r="H313" s="16">
        <v>0</v>
      </c>
      <c r="I313" s="168">
        <f t="shared" ref="I313:I316" si="95">SUM(C313:H313)</f>
        <v>0</v>
      </c>
      <c r="J313" s="121">
        <v>0</v>
      </c>
      <c r="K313" s="178">
        <v>0</v>
      </c>
      <c r="L313" s="178">
        <v>0</v>
      </c>
      <c r="M313" s="178">
        <v>0</v>
      </c>
      <c r="N313" s="178">
        <v>0</v>
      </c>
      <c r="O313" s="405">
        <f>kedelai!K45</f>
        <v>0</v>
      </c>
      <c r="P313" s="168">
        <f t="shared" si="92"/>
        <v>0</v>
      </c>
      <c r="Q313" s="171">
        <f t="shared" si="94"/>
        <v>0</v>
      </c>
      <c r="S313" s="110">
        <f t="shared" si="93"/>
        <v>0</v>
      </c>
    </row>
    <row r="314" spans="1:19" x14ac:dyDescent="0.25">
      <c r="A314" s="87">
        <v>5</v>
      </c>
      <c r="B314" s="19" t="s">
        <v>22</v>
      </c>
      <c r="C314" s="16">
        <v>0</v>
      </c>
      <c r="D314" s="16">
        <v>0</v>
      </c>
      <c r="E314" s="16">
        <v>0</v>
      </c>
      <c r="F314" s="16">
        <v>0</v>
      </c>
      <c r="G314" s="16">
        <v>0</v>
      </c>
      <c r="H314" s="16">
        <v>0</v>
      </c>
      <c r="I314" s="168">
        <f t="shared" si="95"/>
        <v>0</v>
      </c>
      <c r="J314" s="121">
        <v>0</v>
      </c>
      <c r="K314" s="178">
        <v>0</v>
      </c>
      <c r="L314" s="178">
        <v>0</v>
      </c>
      <c r="M314" s="178">
        <v>0</v>
      </c>
      <c r="N314" s="178">
        <v>0</v>
      </c>
      <c r="O314" s="405">
        <f>kedelai!K46</f>
        <v>0</v>
      </c>
      <c r="P314" s="168">
        <f t="shared" si="92"/>
        <v>0</v>
      </c>
      <c r="Q314" s="171">
        <f t="shared" si="94"/>
        <v>0</v>
      </c>
      <c r="S314" s="110">
        <f t="shared" si="93"/>
        <v>0</v>
      </c>
    </row>
    <row r="315" spans="1:19" x14ac:dyDescent="0.25">
      <c r="A315" s="87">
        <v>6</v>
      </c>
      <c r="B315" s="19" t="s">
        <v>23</v>
      </c>
      <c r="C315" s="16">
        <v>0</v>
      </c>
      <c r="D315" s="16">
        <v>0</v>
      </c>
      <c r="E315" s="16">
        <v>0</v>
      </c>
      <c r="F315" s="16">
        <v>0</v>
      </c>
      <c r="G315" s="16">
        <v>0</v>
      </c>
      <c r="H315" s="16">
        <v>0</v>
      </c>
      <c r="I315" s="168">
        <f t="shared" si="95"/>
        <v>0</v>
      </c>
      <c r="J315" s="121">
        <v>0</v>
      </c>
      <c r="K315" s="178">
        <v>0</v>
      </c>
      <c r="L315" s="178">
        <v>0</v>
      </c>
      <c r="M315" s="178">
        <v>0</v>
      </c>
      <c r="N315" s="178">
        <v>0</v>
      </c>
      <c r="O315" s="405">
        <f>kedelai!K47</f>
        <v>0</v>
      </c>
      <c r="P315" s="168">
        <f t="shared" si="92"/>
        <v>0</v>
      </c>
      <c r="Q315" s="171">
        <f t="shared" si="94"/>
        <v>0</v>
      </c>
      <c r="S315" s="110">
        <f t="shared" si="93"/>
        <v>0</v>
      </c>
    </row>
    <row r="316" spans="1:19" x14ac:dyDescent="0.25">
      <c r="A316" s="87">
        <v>7</v>
      </c>
      <c r="B316" s="19" t="s">
        <v>24</v>
      </c>
      <c r="C316" s="16">
        <v>0</v>
      </c>
      <c r="D316" s="16">
        <v>0</v>
      </c>
      <c r="E316" s="16">
        <v>0</v>
      </c>
      <c r="F316" s="16">
        <v>0</v>
      </c>
      <c r="G316" s="16">
        <v>0</v>
      </c>
      <c r="H316" s="16">
        <v>0</v>
      </c>
      <c r="I316" s="168">
        <f t="shared" si="95"/>
        <v>0</v>
      </c>
      <c r="J316" s="121">
        <v>0</v>
      </c>
      <c r="K316" s="178">
        <v>0</v>
      </c>
      <c r="L316" s="178">
        <v>0</v>
      </c>
      <c r="M316" s="178">
        <v>0</v>
      </c>
      <c r="N316" s="178">
        <v>0</v>
      </c>
      <c r="O316" s="405">
        <f>kedelai!K48</f>
        <v>0</v>
      </c>
      <c r="P316" s="168">
        <f t="shared" si="92"/>
        <v>0</v>
      </c>
      <c r="Q316" s="171">
        <f t="shared" si="94"/>
        <v>0</v>
      </c>
      <c r="S316" s="110">
        <f t="shared" si="93"/>
        <v>0</v>
      </c>
    </row>
    <row r="317" spans="1:19" ht="15.75" thickBot="1" x14ac:dyDescent="0.3">
      <c r="A317" s="88">
        <v>8</v>
      </c>
      <c r="B317" s="15" t="s">
        <v>25</v>
      </c>
      <c r="C317" s="17">
        <v>0</v>
      </c>
      <c r="D317" s="17">
        <v>13</v>
      </c>
      <c r="E317" s="17">
        <v>15</v>
      </c>
      <c r="F317" s="105">
        <v>15</v>
      </c>
      <c r="G317" s="17">
        <v>0</v>
      </c>
      <c r="H317" s="17">
        <v>0</v>
      </c>
      <c r="I317" s="169">
        <f>SUM(C317:H317)</f>
        <v>43</v>
      </c>
      <c r="J317" s="122">
        <v>0</v>
      </c>
      <c r="K317" s="179">
        <v>0</v>
      </c>
      <c r="L317" s="179">
        <v>0</v>
      </c>
      <c r="M317" s="179">
        <v>0</v>
      </c>
      <c r="N317" s="179">
        <v>0</v>
      </c>
      <c r="O317" s="404">
        <f>kedelai!K49</f>
        <v>0</v>
      </c>
      <c r="P317" s="169">
        <f t="shared" si="92"/>
        <v>0</v>
      </c>
      <c r="Q317" s="172">
        <f t="shared" si="94"/>
        <v>43</v>
      </c>
      <c r="S317" s="110">
        <f t="shared" si="93"/>
        <v>15</v>
      </c>
    </row>
    <row r="318" spans="1:19" ht="16.5" thickTop="1" thickBot="1" x14ac:dyDescent="0.3">
      <c r="A318" s="443" t="s">
        <v>26</v>
      </c>
      <c r="B318" s="444"/>
      <c r="C318" s="133">
        <f>SUM(C310:C317)</f>
        <v>0</v>
      </c>
      <c r="D318" s="133">
        <f t="shared" ref="D318" si="96">SUM(D310:D317)</f>
        <v>39</v>
      </c>
      <c r="E318" s="133">
        <f t="shared" ref="E318" si="97">SUM(E310:E317)</f>
        <v>15</v>
      </c>
      <c r="F318" s="133">
        <f t="shared" ref="F318" si="98">SUM(F310:F317)</f>
        <v>25</v>
      </c>
      <c r="G318" s="133">
        <f t="shared" ref="G318" si="99">SUM(G310:G317)</f>
        <v>0</v>
      </c>
      <c r="H318" s="164">
        <f>SUM(H310:H317)</f>
        <v>0</v>
      </c>
      <c r="I318" s="166">
        <f>SUM(I310:I317)</f>
        <v>79</v>
      </c>
      <c r="J318" s="135">
        <f>SUM(J310:J317)</f>
        <v>0</v>
      </c>
      <c r="K318" s="133">
        <f t="shared" ref="K318:O318" si="100">SUM(K310:K317)</f>
        <v>0</v>
      </c>
      <c r="L318" s="133">
        <f t="shared" si="100"/>
        <v>0</v>
      </c>
      <c r="M318" s="133">
        <f t="shared" si="100"/>
        <v>0</v>
      </c>
      <c r="N318" s="133">
        <f t="shared" si="100"/>
        <v>0</v>
      </c>
      <c r="O318" s="164">
        <f t="shared" si="100"/>
        <v>0</v>
      </c>
      <c r="P318" s="166">
        <f>SUM(P310:P317)</f>
        <v>0</v>
      </c>
      <c r="Q318" s="173">
        <f>SUM(Q310:Q317)</f>
        <v>79</v>
      </c>
      <c r="S318" s="110">
        <f>SUM(S310:S317)</f>
        <v>25</v>
      </c>
    </row>
    <row r="320" spans="1:19" x14ac:dyDescent="0.25">
      <c r="A320" t="s">
        <v>103</v>
      </c>
    </row>
    <row r="321" spans="1:17" x14ac:dyDescent="0.25">
      <c r="B321" t="s">
        <v>102</v>
      </c>
    </row>
    <row r="322" spans="1:17" x14ac:dyDescent="0.25">
      <c r="B322" t="s">
        <v>104</v>
      </c>
    </row>
    <row r="324" spans="1:17" ht="15.75" x14ac:dyDescent="0.25">
      <c r="A324" s="445" t="s">
        <v>167</v>
      </c>
      <c r="B324" s="445"/>
      <c r="C324" s="445"/>
      <c r="D324" s="445"/>
      <c r="E324" s="445"/>
      <c r="F324" s="445"/>
      <c r="G324" s="445"/>
      <c r="H324" s="445"/>
      <c r="I324" s="445"/>
      <c r="J324" s="445"/>
      <c r="K324" s="445"/>
      <c r="L324" s="445"/>
      <c r="M324" s="445"/>
      <c r="N324" s="445"/>
      <c r="O324" s="445"/>
      <c r="P324" s="445"/>
      <c r="Q324" s="445"/>
    </row>
    <row r="325" spans="1:17" ht="15.75" x14ac:dyDescent="0.25">
      <c r="A325" s="445" t="s">
        <v>83</v>
      </c>
      <c r="B325" s="445"/>
      <c r="C325" s="445"/>
      <c r="D325" s="445"/>
      <c r="E325" s="445"/>
      <c r="F325" s="445"/>
      <c r="G325" s="445"/>
      <c r="H325" s="445"/>
      <c r="I325" s="445"/>
      <c r="J325" s="445"/>
      <c r="K325" s="445"/>
      <c r="L325" s="445"/>
      <c r="M325" s="445"/>
      <c r="N325" s="445"/>
      <c r="O325" s="445"/>
      <c r="P325" s="445"/>
      <c r="Q325" s="445"/>
    </row>
    <row r="326" spans="1:17" ht="15.75" thickBot="1" x14ac:dyDescent="0.3">
      <c r="Q326" s="77" t="s">
        <v>1</v>
      </c>
    </row>
    <row r="327" spans="1:17" x14ac:dyDescent="0.25">
      <c r="A327" s="440" t="s">
        <v>2</v>
      </c>
      <c r="B327" s="442" t="s">
        <v>3</v>
      </c>
      <c r="C327" s="446" t="s">
        <v>84</v>
      </c>
      <c r="D327" s="447"/>
      <c r="E327" s="447"/>
      <c r="F327" s="447"/>
      <c r="G327" s="447"/>
      <c r="H327" s="447"/>
      <c r="I327" s="448" t="s">
        <v>91</v>
      </c>
      <c r="J327" s="447">
        <v>2015</v>
      </c>
      <c r="K327" s="447"/>
      <c r="L327" s="447"/>
      <c r="M327" s="447"/>
      <c r="N327" s="447"/>
      <c r="O327" s="447"/>
      <c r="P327" s="448" t="s">
        <v>92</v>
      </c>
      <c r="Q327" s="450" t="s">
        <v>5</v>
      </c>
    </row>
    <row r="328" spans="1:17" x14ac:dyDescent="0.25">
      <c r="A328" s="441"/>
      <c r="B328" s="426"/>
      <c r="C328" s="141" t="s">
        <v>15</v>
      </c>
      <c r="D328" s="141" t="s">
        <v>16</v>
      </c>
      <c r="E328" s="141" t="s">
        <v>17</v>
      </c>
      <c r="F328" s="141" t="s">
        <v>6</v>
      </c>
      <c r="G328" s="141" t="s">
        <v>78</v>
      </c>
      <c r="H328" s="158" t="s">
        <v>79</v>
      </c>
      <c r="I328" s="449"/>
      <c r="J328" s="117" t="s">
        <v>80</v>
      </c>
      <c r="K328" s="141" t="s">
        <v>10</v>
      </c>
      <c r="L328" s="141" t="s">
        <v>11</v>
      </c>
      <c r="M328" s="141" t="s">
        <v>12</v>
      </c>
      <c r="N328" s="141" t="s">
        <v>81</v>
      </c>
      <c r="O328" s="158" t="s">
        <v>82</v>
      </c>
      <c r="P328" s="449"/>
      <c r="Q328" s="451"/>
    </row>
    <row r="329" spans="1:17" ht="15.75" thickBot="1" x14ac:dyDescent="0.3">
      <c r="A329" s="128">
        <v>1</v>
      </c>
      <c r="B329" s="5">
        <v>2</v>
      </c>
      <c r="C329" s="5">
        <v>3</v>
      </c>
      <c r="D329" s="5">
        <v>4</v>
      </c>
      <c r="E329" s="5">
        <v>5</v>
      </c>
      <c r="F329" s="5">
        <v>6</v>
      </c>
      <c r="G329" s="5">
        <v>7</v>
      </c>
      <c r="H329" s="159">
        <v>8</v>
      </c>
      <c r="I329" s="165">
        <v>9</v>
      </c>
      <c r="J329" s="118">
        <v>10</v>
      </c>
      <c r="K329" s="5">
        <v>11</v>
      </c>
      <c r="L329" s="5">
        <v>12</v>
      </c>
      <c r="M329" s="5">
        <v>13</v>
      </c>
      <c r="N329" s="5">
        <v>14</v>
      </c>
      <c r="O329" s="159">
        <v>15</v>
      </c>
      <c r="P329" s="165">
        <v>16</v>
      </c>
      <c r="Q329" s="174">
        <v>17</v>
      </c>
    </row>
    <row r="330" spans="1:17" ht="15.75" thickTop="1" x14ac:dyDescent="0.25">
      <c r="A330" s="85">
        <v>1</v>
      </c>
      <c r="B330" s="7" t="s">
        <v>18</v>
      </c>
      <c r="C330" s="28">
        <v>0</v>
      </c>
      <c r="D330" s="28">
        <v>0</v>
      </c>
      <c r="E330" s="28">
        <v>0</v>
      </c>
      <c r="F330" s="28">
        <v>0</v>
      </c>
      <c r="G330" s="28">
        <v>0</v>
      </c>
      <c r="H330" s="28">
        <v>0</v>
      </c>
      <c r="I330" s="167">
        <f>SUM(C330:H330)</f>
        <v>0</v>
      </c>
      <c r="J330" s="119">
        <v>0</v>
      </c>
      <c r="K330" s="176">
        <v>0</v>
      </c>
      <c r="L330" s="176">
        <v>0</v>
      </c>
      <c r="M330" s="176">
        <v>0</v>
      </c>
      <c r="N330" s="176">
        <v>0</v>
      </c>
      <c r="O330" s="403">
        <f>kedelai!K75</f>
        <v>0</v>
      </c>
      <c r="P330" s="167">
        <f>SUM(J330:O330)</f>
        <v>0</v>
      </c>
      <c r="Q330" s="170">
        <f>SUM(I330,P330)</f>
        <v>0</v>
      </c>
    </row>
    <row r="331" spans="1:17" x14ac:dyDescent="0.25">
      <c r="A331" s="86">
        <v>2</v>
      </c>
      <c r="B331" s="12" t="s">
        <v>19</v>
      </c>
      <c r="C331" s="16">
        <v>0</v>
      </c>
      <c r="D331" s="16">
        <v>8</v>
      </c>
      <c r="E331" s="16">
        <v>0</v>
      </c>
      <c r="F331" s="16">
        <v>0</v>
      </c>
      <c r="G331" s="16">
        <v>0</v>
      </c>
      <c r="H331" s="16">
        <v>0</v>
      </c>
      <c r="I331" s="168">
        <f t="shared" ref="I331:I337" si="101">SUM(C331:H331)</f>
        <v>8</v>
      </c>
      <c r="J331" s="120">
        <v>0</v>
      </c>
      <c r="K331" s="177">
        <v>0</v>
      </c>
      <c r="L331" s="177">
        <v>0</v>
      </c>
      <c r="M331" s="177">
        <v>0</v>
      </c>
      <c r="N331" s="177">
        <v>0</v>
      </c>
      <c r="O331" s="405">
        <f>kedelai!K76</f>
        <v>0</v>
      </c>
      <c r="P331" s="168">
        <f t="shared" ref="P331:P337" si="102">SUM(J331:O331)</f>
        <v>0</v>
      </c>
      <c r="Q331" s="171">
        <f t="shared" ref="Q331:Q337" si="103">SUM(I331,P331)</f>
        <v>8</v>
      </c>
    </row>
    <row r="332" spans="1:17" x14ac:dyDescent="0.25">
      <c r="A332" s="86">
        <v>3</v>
      </c>
      <c r="B332" s="7" t="s">
        <v>20</v>
      </c>
      <c r="C332" s="16">
        <v>0</v>
      </c>
      <c r="D332" s="16">
        <v>16</v>
      </c>
      <c r="E332" s="16">
        <v>0</v>
      </c>
      <c r="F332" s="16">
        <v>9</v>
      </c>
      <c r="G332" s="16">
        <v>0</v>
      </c>
      <c r="H332" s="16">
        <v>0</v>
      </c>
      <c r="I332" s="168">
        <f t="shared" si="101"/>
        <v>25</v>
      </c>
      <c r="J332" s="120">
        <v>0</v>
      </c>
      <c r="K332" s="177">
        <v>0</v>
      </c>
      <c r="L332" s="177">
        <v>0</v>
      </c>
      <c r="M332" s="177">
        <v>0</v>
      </c>
      <c r="N332" s="177">
        <v>0</v>
      </c>
      <c r="O332" s="405">
        <f>kedelai!K77</f>
        <v>0</v>
      </c>
      <c r="P332" s="168">
        <f t="shared" si="102"/>
        <v>0</v>
      </c>
      <c r="Q332" s="171">
        <f t="shared" si="103"/>
        <v>25</v>
      </c>
    </row>
    <row r="333" spans="1:17" x14ac:dyDescent="0.25">
      <c r="A333" s="87">
        <v>4</v>
      </c>
      <c r="B333" s="15" t="s">
        <v>21</v>
      </c>
      <c r="C333" s="16">
        <v>0</v>
      </c>
      <c r="D333" s="16">
        <v>0</v>
      </c>
      <c r="E333" s="16">
        <v>0</v>
      </c>
      <c r="F333" s="16">
        <v>0</v>
      </c>
      <c r="G333" s="16">
        <v>0</v>
      </c>
      <c r="H333" s="16">
        <v>0</v>
      </c>
      <c r="I333" s="168">
        <f t="shared" si="101"/>
        <v>0</v>
      </c>
      <c r="J333" s="121">
        <v>0</v>
      </c>
      <c r="K333" s="178">
        <v>0</v>
      </c>
      <c r="L333" s="178">
        <v>0</v>
      </c>
      <c r="M333" s="178">
        <v>0</v>
      </c>
      <c r="N333" s="178">
        <v>0</v>
      </c>
      <c r="O333" s="405">
        <f>kedelai!K78</f>
        <v>0</v>
      </c>
      <c r="P333" s="168">
        <f t="shared" si="102"/>
        <v>0</v>
      </c>
      <c r="Q333" s="171">
        <f t="shared" si="103"/>
        <v>0</v>
      </c>
    </row>
    <row r="334" spans="1:17" x14ac:dyDescent="0.25">
      <c r="A334" s="87">
        <v>5</v>
      </c>
      <c r="B334" s="19" t="s">
        <v>22</v>
      </c>
      <c r="C334" s="16">
        <v>0</v>
      </c>
      <c r="D334" s="16">
        <v>0</v>
      </c>
      <c r="E334" s="16">
        <v>0</v>
      </c>
      <c r="F334" s="16">
        <v>0</v>
      </c>
      <c r="G334" s="16">
        <v>0</v>
      </c>
      <c r="H334" s="16">
        <v>0</v>
      </c>
      <c r="I334" s="168">
        <f t="shared" si="101"/>
        <v>0</v>
      </c>
      <c r="J334" s="121">
        <v>0</v>
      </c>
      <c r="K334" s="178">
        <v>0</v>
      </c>
      <c r="L334" s="178">
        <v>0</v>
      </c>
      <c r="M334" s="178">
        <v>0</v>
      </c>
      <c r="N334" s="178">
        <v>0</v>
      </c>
      <c r="O334" s="405">
        <f>kedelai!K79</f>
        <v>0</v>
      </c>
      <c r="P334" s="168">
        <f t="shared" si="102"/>
        <v>0</v>
      </c>
      <c r="Q334" s="171">
        <f t="shared" si="103"/>
        <v>0</v>
      </c>
    </row>
    <row r="335" spans="1:17" x14ac:dyDescent="0.25">
      <c r="A335" s="87">
        <v>6</v>
      </c>
      <c r="B335" s="19" t="s">
        <v>23</v>
      </c>
      <c r="C335" s="16">
        <v>0</v>
      </c>
      <c r="D335" s="16">
        <v>0</v>
      </c>
      <c r="E335" s="16">
        <v>0</v>
      </c>
      <c r="F335" s="16">
        <v>0</v>
      </c>
      <c r="G335" s="16">
        <v>0</v>
      </c>
      <c r="H335" s="16">
        <v>0</v>
      </c>
      <c r="I335" s="168">
        <f t="shared" si="101"/>
        <v>0</v>
      </c>
      <c r="J335" s="121">
        <v>0</v>
      </c>
      <c r="K335" s="178">
        <v>0</v>
      </c>
      <c r="L335" s="178">
        <v>0</v>
      </c>
      <c r="M335" s="178">
        <v>0</v>
      </c>
      <c r="N335" s="178">
        <v>0</v>
      </c>
      <c r="O335" s="405">
        <f>kedelai!K80</f>
        <v>0</v>
      </c>
      <c r="P335" s="168">
        <f t="shared" si="102"/>
        <v>0</v>
      </c>
      <c r="Q335" s="171">
        <f t="shared" si="103"/>
        <v>0</v>
      </c>
    </row>
    <row r="336" spans="1:17" x14ac:dyDescent="0.25">
      <c r="A336" s="87">
        <v>7</v>
      </c>
      <c r="B336" s="19" t="s">
        <v>24</v>
      </c>
      <c r="C336" s="16">
        <v>0</v>
      </c>
      <c r="D336" s="16">
        <v>0</v>
      </c>
      <c r="E336" s="16">
        <v>0</v>
      </c>
      <c r="F336" s="16">
        <v>0</v>
      </c>
      <c r="G336" s="16">
        <v>0</v>
      </c>
      <c r="H336" s="16">
        <v>0</v>
      </c>
      <c r="I336" s="168">
        <f t="shared" si="101"/>
        <v>0</v>
      </c>
      <c r="J336" s="121">
        <v>0</v>
      </c>
      <c r="K336" s="178">
        <v>0</v>
      </c>
      <c r="L336" s="178">
        <v>0</v>
      </c>
      <c r="M336" s="178">
        <v>0</v>
      </c>
      <c r="N336" s="178">
        <v>0</v>
      </c>
      <c r="O336" s="405">
        <f>kedelai!K81</f>
        <v>0</v>
      </c>
      <c r="P336" s="168">
        <f t="shared" si="102"/>
        <v>0</v>
      </c>
      <c r="Q336" s="171">
        <f t="shared" si="103"/>
        <v>0</v>
      </c>
    </row>
    <row r="337" spans="1:17" ht="15.75" thickBot="1" x14ac:dyDescent="0.3">
      <c r="A337" s="88">
        <v>8</v>
      </c>
      <c r="B337" s="15" t="s">
        <v>25</v>
      </c>
      <c r="C337" s="17">
        <v>0</v>
      </c>
      <c r="D337" s="17">
        <v>10</v>
      </c>
      <c r="E337" s="17">
        <v>12</v>
      </c>
      <c r="F337" s="17">
        <v>13</v>
      </c>
      <c r="G337" s="17">
        <v>0</v>
      </c>
      <c r="H337" s="17">
        <v>0</v>
      </c>
      <c r="I337" s="169">
        <f t="shared" si="101"/>
        <v>35</v>
      </c>
      <c r="J337" s="122">
        <v>0</v>
      </c>
      <c r="K337" s="179">
        <v>0</v>
      </c>
      <c r="L337" s="179">
        <v>0</v>
      </c>
      <c r="M337" s="179">
        <v>0</v>
      </c>
      <c r="N337" s="179">
        <v>0</v>
      </c>
      <c r="O337" s="404">
        <f>kedelai!K82</f>
        <v>0</v>
      </c>
      <c r="P337" s="169">
        <f t="shared" si="102"/>
        <v>0</v>
      </c>
      <c r="Q337" s="172">
        <f t="shared" si="103"/>
        <v>35</v>
      </c>
    </row>
    <row r="338" spans="1:17" ht="16.5" thickTop="1" thickBot="1" x14ac:dyDescent="0.3">
      <c r="A338" s="443" t="s">
        <v>26</v>
      </c>
      <c r="B338" s="444"/>
      <c r="C338" s="133">
        <f t="shared" ref="C338:H338" si="104">SUM(C330:C337)</f>
        <v>0</v>
      </c>
      <c r="D338" s="133">
        <f t="shared" si="104"/>
        <v>34</v>
      </c>
      <c r="E338" s="133">
        <f t="shared" si="104"/>
        <v>12</v>
      </c>
      <c r="F338" s="133">
        <f t="shared" si="104"/>
        <v>22</v>
      </c>
      <c r="G338" s="133">
        <f t="shared" si="104"/>
        <v>0</v>
      </c>
      <c r="H338" s="164">
        <f t="shared" si="104"/>
        <v>0</v>
      </c>
      <c r="I338" s="166">
        <f>SUM(I330:I337)</f>
        <v>68</v>
      </c>
      <c r="J338" s="135">
        <f t="shared" ref="J338:O338" si="105">SUM(J330:J337)</f>
        <v>0</v>
      </c>
      <c r="K338" s="133">
        <f t="shared" si="105"/>
        <v>0</v>
      </c>
      <c r="L338" s="133">
        <f t="shared" si="105"/>
        <v>0</v>
      </c>
      <c r="M338" s="133">
        <f t="shared" si="105"/>
        <v>0</v>
      </c>
      <c r="N338" s="133">
        <f t="shared" si="105"/>
        <v>0</v>
      </c>
      <c r="O338" s="164">
        <f t="shared" si="105"/>
        <v>0</v>
      </c>
      <c r="P338" s="166">
        <f>SUM(P330:P337)</f>
        <v>0</v>
      </c>
      <c r="Q338" s="173">
        <f>SUM(Q330:Q337)</f>
        <v>68</v>
      </c>
    </row>
    <row r="340" spans="1:17" ht="15.75" x14ac:dyDescent="0.25">
      <c r="A340" s="445" t="s">
        <v>168</v>
      </c>
      <c r="B340" s="445"/>
      <c r="C340" s="445"/>
      <c r="D340" s="445"/>
      <c r="E340" s="445"/>
      <c r="F340" s="445"/>
      <c r="G340" s="445"/>
      <c r="H340" s="445"/>
      <c r="I340" s="445"/>
      <c r="J340" s="445"/>
      <c r="K340" s="445"/>
      <c r="L340" s="445"/>
      <c r="M340" s="445"/>
      <c r="N340" s="445"/>
      <c r="O340" s="445"/>
      <c r="P340" s="445"/>
      <c r="Q340" s="445"/>
    </row>
    <row r="341" spans="1:17" ht="15.75" x14ac:dyDescent="0.25">
      <c r="A341" s="445" t="s">
        <v>83</v>
      </c>
      <c r="B341" s="445"/>
      <c r="C341" s="445"/>
      <c r="D341" s="445"/>
      <c r="E341" s="445"/>
      <c r="F341" s="445"/>
      <c r="G341" s="445"/>
      <c r="H341" s="445"/>
      <c r="I341" s="445"/>
      <c r="J341" s="445"/>
      <c r="K341" s="445"/>
      <c r="L341" s="445"/>
      <c r="M341" s="445"/>
      <c r="N341" s="445"/>
      <c r="O341" s="445"/>
      <c r="P341" s="445"/>
      <c r="Q341" s="445"/>
    </row>
    <row r="342" spans="1:17" ht="15.75" thickBot="1" x14ac:dyDescent="0.3">
      <c r="Q342" s="77" t="s">
        <v>31</v>
      </c>
    </row>
    <row r="343" spans="1:17" x14ac:dyDescent="0.25">
      <c r="A343" s="440" t="s">
        <v>2</v>
      </c>
      <c r="B343" s="442" t="s">
        <v>3</v>
      </c>
      <c r="C343" s="446" t="s">
        <v>84</v>
      </c>
      <c r="D343" s="447"/>
      <c r="E343" s="447"/>
      <c r="F343" s="447"/>
      <c r="G343" s="447"/>
      <c r="H343" s="447"/>
      <c r="I343" s="448" t="s">
        <v>91</v>
      </c>
      <c r="J343" s="447">
        <v>2015</v>
      </c>
      <c r="K343" s="447"/>
      <c r="L343" s="447"/>
      <c r="M343" s="447"/>
      <c r="N343" s="447"/>
      <c r="O343" s="447"/>
      <c r="P343" s="448" t="s">
        <v>92</v>
      </c>
      <c r="Q343" s="450" t="s">
        <v>5</v>
      </c>
    </row>
    <row r="344" spans="1:17" x14ac:dyDescent="0.25">
      <c r="A344" s="441"/>
      <c r="B344" s="426"/>
      <c r="C344" s="141" t="s">
        <v>15</v>
      </c>
      <c r="D344" s="141" t="s">
        <v>16</v>
      </c>
      <c r="E344" s="141" t="s">
        <v>17</v>
      </c>
      <c r="F344" s="141" t="s">
        <v>6</v>
      </c>
      <c r="G344" s="141" t="s">
        <v>78</v>
      </c>
      <c r="H344" s="158" t="s">
        <v>79</v>
      </c>
      <c r="I344" s="449"/>
      <c r="J344" s="117" t="s">
        <v>80</v>
      </c>
      <c r="K344" s="141" t="s">
        <v>10</v>
      </c>
      <c r="L344" s="141" t="s">
        <v>11</v>
      </c>
      <c r="M344" s="141" t="s">
        <v>12</v>
      </c>
      <c r="N344" s="141" t="s">
        <v>81</v>
      </c>
      <c r="O344" s="158" t="s">
        <v>82</v>
      </c>
      <c r="P344" s="449"/>
      <c r="Q344" s="451"/>
    </row>
    <row r="345" spans="1:17" ht="15.75" thickBot="1" x14ac:dyDescent="0.3">
      <c r="A345" s="128">
        <v>1</v>
      </c>
      <c r="B345" s="5">
        <v>2</v>
      </c>
      <c r="C345" s="5">
        <v>3</v>
      </c>
      <c r="D345" s="5">
        <v>4</v>
      </c>
      <c r="E345" s="5">
        <v>5</v>
      </c>
      <c r="F345" s="5">
        <v>6</v>
      </c>
      <c r="G345" s="5">
        <v>7</v>
      </c>
      <c r="H345" s="159">
        <v>8</v>
      </c>
      <c r="I345" s="165">
        <v>9</v>
      </c>
      <c r="J345" s="118">
        <v>10</v>
      </c>
      <c r="K345" s="5">
        <v>11</v>
      </c>
      <c r="L345" s="5">
        <v>12</v>
      </c>
      <c r="M345" s="5">
        <v>13</v>
      </c>
      <c r="N345" s="5">
        <v>14</v>
      </c>
      <c r="O345" s="159">
        <v>15</v>
      </c>
      <c r="P345" s="165">
        <v>16</v>
      </c>
      <c r="Q345" s="174">
        <v>17</v>
      </c>
    </row>
    <row r="346" spans="1:17" ht="16.5" thickTop="1" x14ac:dyDescent="0.25">
      <c r="A346" s="85">
        <v>1</v>
      </c>
      <c r="B346" s="7" t="s">
        <v>18</v>
      </c>
      <c r="C346" s="28">
        <v>0</v>
      </c>
      <c r="D346" s="28">
        <v>0</v>
      </c>
      <c r="E346" s="28">
        <v>0</v>
      </c>
      <c r="F346" s="32">
        <v>0</v>
      </c>
      <c r="G346" s="28">
        <v>0</v>
      </c>
      <c r="H346" s="28">
        <v>0</v>
      </c>
      <c r="I346" s="188">
        <v>0</v>
      </c>
      <c r="J346" s="31">
        <v>0</v>
      </c>
      <c r="K346" s="176">
        <v>0</v>
      </c>
      <c r="L346" s="176">
        <v>0</v>
      </c>
      <c r="M346" s="176">
        <v>0</v>
      </c>
      <c r="N346" s="176">
        <v>0</v>
      </c>
      <c r="O346" s="403">
        <f>kedelai!K108</f>
        <v>0</v>
      </c>
      <c r="P346" s="188">
        <v>0</v>
      </c>
      <c r="Q346" s="181">
        <v>0</v>
      </c>
    </row>
    <row r="347" spans="1:17" x14ac:dyDescent="0.25">
      <c r="A347" s="86">
        <v>2</v>
      </c>
      <c r="B347" s="12" t="s">
        <v>19</v>
      </c>
      <c r="C347" s="16">
        <v>0</v>
      </c>
      <c r="D347" s="34">
        <v>11.05</v>
      </c>
      <c r="E347" s="16">
        <v>0</v>
      </c>
      <c r="F347" s="34">
        <v>0</v>
      </c>
      <c r="G347" s="16">
        <v>0</v>
      </c>
      <c r="H347" s="16">
        <v>0</v>
      </c>
      <c r="I347" s="191">
        <v>11.05</v>
      </c>
      <c r="J347" s="61">
        <v>0</v>
      </c>
      <c r="K347" s="177">
        <v>0</v>
      </c>
      <c r="L347" s="177">
        <v>0</v>
      </c>
      <c r="M347" s="177">
        <v>0</v>
      </c>
      <c r="N347" s="177">
        <v>0</v>
      </c>
      <c r="O347" s="405">
        <f>kedelai!K109</f>
        <v>0</v>
      </c>
      <c r="P347" s="191">
        <v>0</v>
      </c>
      <c r="Q347" s="192">
        <v>11.05</v>
      </c>
    </row>
    <row r="348" spans="1:17" x14ac:dyDescent="0.25">
      <c r="A348" s="86">
        <v>3</v>
      </c>
      <c r="B348" s="7" t="s">
        <v>20</v>
      </c>
      <c r="C348" s="16">
        <v>0</v>
      </c>
      <c r="D348" s="34">
        <v>8.25</v>
      </c>
      <c r="E348" s="16">
        <v>0</v>
      </c>
      <c r="F348" s="34">
        <v>9.11</v>
      </c>
      <c r="G348" s="16">
        <v>0</v>
      </c>
      <c r="H348" s="16">
        <v>0</v>
      </c>
      <c r="I348" s="191">
        <f>I332/I312*10</f>
        <v>8.6206896551724128</v>
      </c>
      <c r="J348" s="34">
        <v>0</v>
      </c>
      <c r="K348" s="177">
        <v>0</v>
      </c>
      <c r="L348" s="177">
        <v>0</v>
      </c>
      <c r="M348" s="177">
        <v>0</v>
      </c>
      <c r="N348" s="177">
        <v>0</v>
      </c>
      <c r="O348" s="405">
        <f>kedelai!K110</f>
        <v>0</v>
      </c>
      <c r="P348" s="191">
        <v>0</v>
      </c>
      <c r="Q348" s="192">
        <f t="shared" ref="Q348" si="106">Q332/Q312*10</f>
        <v>8.6206896551724128</v>
      </c>
    </row>
    <row r="349" spans="1:17" x14ac:dyDescent="0.25">
      <c r="A349" s="87">
        <v>4</v>
      </c>
      <c r="B349" s="15" t="s">
        <v>21</v>
      </c>
      <c r="C349" s="16">
        <v>0</v>
      </c>
      <c r="D349" s="34">
        <v>0</v>
      </c>
      <c r="E349" s="16">
        <v>0</v>
      </c>
      <c r="F349" s="34">
        <v>0</v>
      </c>
      <c r="G349" s="16">
        <v>0</v>
      </c>
      <c r="H349" s="16">
        <v>0</v>
      </c>
      <c r="I349" s="191">
        <v>0</v>
      </c>
      <c r="J349" s="61">
        <v>0</v>
      </c>
      <c r="K349" s="178">
        <v>0</v>
      </c>
      <c r="L349" s="178">
        <v>0</v>
      </c>
      <c r="M349" s="178">
        <v>0</v>
      </c>
      <c r="N349" s="178">
        <v>0</v>
      </c>
      <c r="O349" s="405">
        <f>kedelai!K111</f>
        <v>0</v>
      </c>
      <c r="P349" s="191">
        <v>0</v>
      </c>
      <c r="Q349" s="192">
        <v>0</v>
      </c>
    </row>
    <row r="350" spans="1:17" x14ac:dyDescent="0.25">
      <c r="A350" s="87">
        <v>5</v>
      </c>
      <c r="B350" s="19" t="s">
        <v>22</v>
      </c>
      <c r="C350" s="16">
        <v>0</v>
      </c>
      <c r="D350" s="34">
        <v>0</v>
      </c>
      <c r="E350" s="16">
        <v>0</v>
      </c>
      <c r="F350" s="34">
        <v>0</v>
      </c>
      <c r="G350" s="16">
        <v>0</v>
      </c>
      <c r="H350" s="16">
        <v>0</v>
      </c>
      <c r="I350" s="191">
        <v>0</v>
      </c>
      <c r="J350" s="61">
        <v>0</v>
      </c>
      <c r="K350" s="178">
        <v>0</v>
      </c>
      <c r="L350" s="178">
        <v>0</v>
      </c>
      <c r="M350" s="178">
        <v>0</v>
      </c>
      <c r="N350" s="178">
        <v>0</v>
      </c>
      <c r="O350" s="405">
        <f>kedelai!K112</f>
        <v>0</v>
      </c>
      <c r="P350" s="191">
        <v>0</v>
      </c>
      <c r="Q350" s="192">
        <v>0</v>
      </c>
    </row>
    <row r="351" spans="1:17" x14ac:dyDescent="0.25">
      <c r="A351" s="87">
        <v>6</v>
      </c>
      <c r="B351" s="19" t="s">
        <v>23</v>
      </c>
      <c r="C351" s="16">
        <v>0</v>
      </c>
      <c r="D351" s="34">
        <v>0</v>
      </c>
      <c r="E351" s="16">
        <v>0</v>
      </c>
      <c r="F351" s="34">
        <v>0</v>
      </c>
      <c r="G351" s="16">
        <v>0</v>
      </c>
      <c r="H351" s="16">
        <v>0</v>
      </c>
      <c r="I351" s="191">
        <v>0</v>
      </c>
      <c r="J351" s="61">
        <v>0</v>
      </c>
      <c r="K351" s="178">
        <v>0</v>
      </c>
      <c r="L351" s="178">
        <v>0</v>
      </c>
      <c r="M351" s="178">
        <v>0</v>
      </c>
      <c r="N351" s="178">
        <v>0</v>
      </c>
      <c r="O351" s="405">
        <f>kedelai!K113</f>
        <v>0</v>
      </c>
      <c r="P351" s="191">
        <v>0</v>
      </c>
      <c r="Q351" s="192">
        <v>0</v>
      </c>
    </row>
    <row r="352" spans="1:17" x14ac:dyDescent="0.25">
      <c r="A352" s="87">
        <v>7</v>
      </c>
      <c r="B352" s="19" t="s">
        <v>24</v>
      </c>
      <c r="C352" s="16">
        <v>0</v>
      </c>
      <c r="D352" s="34">
        <v>0</v>
      </c>
      <c r="E352" s="16">
        <v>0</v>
      </c>
      <c r="F352" s="34">
        <v>0</v>
      </c>
      <c r="G352" s="16">
        <v>0</v>
      </c>
      <c r="H352" s="16">
        <v>0</v>
      </c>
      <c r="I352" s="191">
        <v>0</v>
      </c>
      <c r="J352" s="61">
        <v>0</v>
      </c>
      <c r="K352" s="178">
        <v>0</v>
      </c>
      <c r="L352" s="178">
        <v>0</v>
      </c>
      <c r="M352" s="178">
        <v>0</v>
      </c>
      <c r="N352" s="178">
        <v>0</v>
      </c>
      <c r="O352" s="405">
        <f>kedelai!K114</f>
        <v>0</v>
      </c>
      <c r="P352" s="191">
        <v>0</v>
      </c>
      <c r="Q352" s="192">
        <v>0</v>
      </c>
    </row>
    <row r="353" spans="1:17" ht="15.75" thickBot="1" x14ac:dyDescent="0.3">
      <c r="A353" s="88">
        <v>8</v>
      </c>
      <c r="B353" s="15" t="s">
        <v>25</v>
      </c>
      <c r="C353" s="17">
        <v>0</v>
      </c>
      <c r="D353" s="36">
        <v>7.9</v>
      </c>
      <c r="E353" s="36">
        <v>8</v>
      </c>
      <c r="F353" s="36">
        <v>9</v>
      </c>
      <c r="G353" s="17">
        <v>0</v>
      </c>
      <c r="H353" s="17">
        <v>0</v>
      </c>
      <c r="I353" s="191">
        <f>I337/I317*10</f>
        <v>8.1395348837209305</v>
      </c>
      <c r="J353" s="67">
        <v>0</v>
      </c>
      <c r="K353" s="179">
        <v>0</v>
      </c>
      <c r="L353" s="179">
        <v>0</v>
      </c>
      <c r="M353" s="179">
        <v>0</v>
      </c>
      <c r="N353" s="179">
        <v>0</v>
      </c>
      <c r="O353" s="404">
        <f>kedelai!K115</f>
        <v>0</v>
      </c>
      <c r="P353" s="189">
        <v>0</v>
      </c>
      <c r="Q353" s="190">
        <f t="shared" ref="Q353" si="107">Q337/Q317*10</f>
        <v>8.1395348837209305</v>
      </c>
    </row>
    <row r="354" spans="1:17" ht="16.5" thickTop="1" thickBot="1" x14ac:dyDescent="0.3">
      <c r="A354" s="443" t="s">
        <v>26</v>
      </c>
      <c r="B354" s="444"/>
      <c r="C354" s="208">
        <v>0</v>
      </c>
      <c r="D354" s="208">
        <f>D338/D318*10</f>
        <v>8.717948717948719</v>
      </c>
      <c r="E354" s="208">
        <f t="shared" ref="E354:F354" si="108">E338/E318*10</f>
        <v>8</v>
      </c>
      <c r="F354" s="208">
        <f t="shared" si="108"/>
        <v>8.8000000000000007</v>
      </c>
      <c r="G354" s="156">
        <v>0</v>
      </c>
      <c r="H354" s="185">
        <v>0</v>
      </c>
      <c r="I354" s="187">
        <f>I338/I318*10</f>
        <v>8.6075949367088604</v>
      </c>
      <c r="J354" s="197">
        <v>0</v>
      </c>
      <c r="K354" s="133">
        <f t="shared" ref="K354:O354" si="109">SUM(K346:K353)</f>
        <v>0</v>
      </c>
      <c r="L354" s="133">
        <f t="shared" si="109"/>
        <v>0</v>
      </c>
      <c r="M354" s="133">
        <f t="shared" si="109"/>
        <v>0</v>
      </c>
      <c r="N354" s="133">
        <f t="shared" si="109"/>
        <v>0</v>
      </c>
      <c r="O354" s="164">
        <f t="shared" si="109"/>
        <v>0</v>
      </c>
      <c r="P354" s="187">
        <v>0</v>
      </c>
      <c r="Q354" s="186">
        <f t="shared" ref="Q354" si="110">Q338/Q318*10</f>
        <v>8.6075949367088604</v>
      </c>
    </row>
    <row r="357" spans="1:17" ht="15.75" x14ac:dyDescent="0.25">
      <c r="A357" s="445" t="s">
        <v>180</v>
      </c>
      <c r="B357" s="445"/>
      <c r="C357" s="445"/>
      <c r="D357" s="445"/>
      <c r="E357" s="445"/>
      <c r="F357" s="445"/>
      <c r="G357" s="445"/>
      <c r="H357" s="445"/>
      <c r="I357" s="445"/>
      <c r="J357" s="445"/>
      <c r="K357" s="445"/>
      <c r="L357" s="445"/>
      <c r="M357" s="445"/>
      <c r="N357" s="445"/>
      <c r="O357" s="445"/>
      <c r="P357" s="445"/>
      <c r="Q357" s="445"/>
    </row>
    <row r="358" spans="1:17" ht="15.75" x14ac:dyDescent="0.25">
      <c r="A358" s="445" t="s">
        <v>83</v>
      </c>
      <c r="B358" s="445"/>
      <c r="C358" s="445"/>
      <c r="D358" s="445"/>
      <c r="E358" s="445"/>
      <c r="F358" s="445"/>
      <c r="G358" s="445"/>
      <c r="H358" s="445"/>
      <c r="I358" s="445"/>
      <c r="J358" s="445"/>
      <c r="K358" s="445"/>
      <c r="L358" s="445"/>
      <c r="M358" s="445"/>
      <c r="N358" s="445"/>
      <c r="O358" s="445"/>
      <c r="P358" s="445"/>
      <c r="Q358" s="445"/>
    </row>
    <row r="359" spans="1:17" ht="15.75" thickBot="1" x14ac:dyDescent="0.3">
      <c r="Q359" s="77" t="s">
        <v>1</v>
      </c>
    </row>
    <row r="360" spans="1:17" x14ac:dyDescent="0.25">
      <c r="A360" s="440" t="s">
        <v>2</v>
      </c>
      <c r="B360" s="442" t="s">
        <v>3</v>
      </c>
      <c r="C360" s="446" t="s">
        <v>84</v>
      </c>
      <c r="D360" s="447"/>
      <c r="E360" s="447"/>
      <c r="F360" s="447"/>
      <c r="G360" s="447"/>
      <c r="H360" s="447"/>
      <c r="I360" s="448" t="s">
        <v>91</v>
      </c>
      <c r="J360" s="447">
        <v>2015</v>
      </c>
      <c r="K360" s="447"/>
      <c r="L360" s="447"/>
      <c r="M360" s="447"/>
      <c r="N360" s="447"/>
      <c r="O360" s="447"/>
      <c r="P360" s="448" t="s">
        <v>92</v>
      </c>
      <c r="Q360" s="450" t="s">
        <v>5</v>
      </c>
    </row>
    <row r="361" spans="1:17" x14ac:dyDescent="0.25">
      <c r="A361" s="441"/>
      <c r="B361" s="426"/>
      <c r="C361" s="402" t="s">
        <v>15</v>
      </c>
      <c r="D361" s="402" t="s">
        <v>16</v>
      </c>
      <c r="E361" s="402" t="s">
        <v>17</v>
      </c>
      <c r="F361" s="402" t="s">
        <v>6</v>
      </c>
      <c r="G361" s="402" t="s">
        <v>78</v>
      </c>
      <c r="H361" s="158" t="s">
        <v>79</v>
      </c>
      <c r="I361" s="449"/>
      <c r="J361" s="117" t="s">
        <v>80</v>
      </c>
      <c r="K361" s="402" t="s">
        <v>10</v>
      </c>
      <c r="L361" s="402" t="s">
        <v>11</v>
      </c>
      <c r="M361" s="402" t="s">
        <v>12</v>
      </c>
      <c r="N361" s="402" t="s">
        <v>81</v>
      </c>
      <c r="O361" s="158" t="s">
        <v>82</v>
      </c>
      <c r="P361" s="449"/>
      <c r="Q361" s="451"/>
    </row>
    <row r="362" spans="1:17" ht="15.75" thickBot="1" x14ac:dyDescent="0.3">
      <c r="A362" s="128">
        <v>1</v>
      </c>
      <c r="B362" s="5">
        <v>2</v>
      </c>
      <c r="C362" s="5">
        <v>3</v>
      </c>
      <c r="D362" s="5">
        <v>4</v>
      </c>
      <c r="E362" s="5">
        <v>5</v>
      </c>
      <c r="F362" s="5">
        <v>6</v>
      </c>
      <c r="G362" s="5">
        <v>7</v>
      </c>
      <c r="H362" s="159">
        <v>8</v>
      </c>
      <c r="I362" s="165">
        <v>9</v>
      </c>
      <c r="J362" s="118">
        <v>10</v>
      </c>
      <c r="K362" s="5">
        <v>11</v>
      </c>
      <c r="L362" s="5">
        <v>12</v>
      </c>
      <c r="M362" s="5">
        <v>13</v>
      </c>
      <c r="N362" s="5">
        <v>14</v>
      </c>
      <c r="O362" s="159">
        <v>15</v>
      </c>
      <c r="P362" s="165">
        <v>16</v>
      </c>
      <c r="Q362" s="174">
        <v>17</v>
      </c>
    </row>
    <row r="363" spans="1:17" ht="15.75" thickTop="1" x14ac:dyDescent="0.25">
      <c r="A363" s="85">
        <v>1</v>
      </c>
      <c r="B363" s="7" t="s">
        <v>18</v>
      </c>
      <c r="C363" s="28">
        <v>0</v>
      </c>
      <c r="D363" s="28">
        <v>2</v>
      </c>
      <c r="E363" s="28">
        <v>137</v>
      </c>
      <c r="F363" s="28">
        <v>35</v>
      </c>
      <c r="G363" s="28">
        <v>0</v>
      </c>
      <c r="H363" s="28">
        <v>82</v>
      </c>
      <c r="I363" s="167">
        <f>SUM(C363:H363)</f>
        <v>256</v>
      </c>
      <c r="J363" s="176">
        <v>0</v>
      </c>
      <c r="K363" s="176">
        <v>0</v>
      </c>
      <c r="L363" s="176">
        <v>0</v>
      </c>
      <c r="M363" s="176">
        <v>0</v>
      </c>
      <c r="N363" s="176">
        <v>0</v>
      </c>
      <c r="O363" s="160">
        <v>0</v>
      </c>
      <c r="P363" s="167">
        <f>SUM(J363:O363)</f>
        <v>0</v>
      </c>
      <c r="Q363" s="170">
        <f>SUM(I363,P363)</f>
        <v>256</v>
      </c>
    </row>
    <row r="364" spans="1:17" x14ac:dyDescent="0.25">
      <c r="A364" s="86">
        <v>2</v>
      </c>
      <c r="B364" s="12" t="s">
        <v>19</v>
      </c>
      <c r="C364" s="16">
        <v>0</v>
      </c>
      <c r="D364" s="16">
        <v>0</v>
      </c>
      <c r="E364" s="16">
        <v>55</v>
      </c>
      <c r="F364" s="16">
        <v>131</v>
      </c>
      <c r="G364" s="16">
        <v>0</v>
      </c>
      <c r="H364" s="16">
        <v>1</v>
      </c>
      <c r="I364" s="168">
        <f t="shared" ref="I364:I370" si="111">SUM(C364:H364)</f>
        <v>187</v>
      </c>
      <c r="J364" s="177">
        <v>15</v>
      </c>
      <c r="K364" s="177">
        <v>10</v>
      </c>
      <c r="L364" s="177">
        <v>0</v>
      </c>
      <c r="M364" s="177">
        <v>0</v>
      </c>
      <c r="N364" s="177">
        <v>0</v>
      </c>
      <c r="O364" s="161">
        <v>0</v>
      </c>
      <c r="P364" s="168">
        <f t="shared" ref="P364:P370" si="112">SUM(J364:O364)</f>
        <v>25</v>
      </c>
      <c r="Q364" s="171">
        <f t="shared" ref="Q364:Q370" si="113">SUM(I364,P364)</f>
        <v>212</v>
      </c>
    </row>
    <row r="365" spans="1:17" x14ac:dyDescent="0.25">
      <c r="A365" s="86">
        <v>3</v>
      </c>
      <c r="B365" s="7" t="s">
        <v>20</v>
      </c>
      <c r="C365" s="16">
        <v>0</v>
      </c>
      <c r="D365" s="16">
        <v>85</v>
      </c>
      <c r="E365" s="16">
        <v>180</v>
      </c>
      <c r="F365" s="16">
        <v>0</v>
      </c>
      <c r="G365" s="16">
        <v>0</v>
      </c>
      <c r="H365" s="16">
        <v>257</v>
      </c>
      <c r="I365" s="168">
        <f t="shared" si="111"/>
        <v>522</v>
      </c>
      <c r="J365" s="177">
        <v>57</v>
      </c>
      <c r="K365" s="177">
        <v>0</v>
      </c>
      <c r="L365" s="177">
        <v>0</v>
      </c>
      <c r="M365" s="177">
        <v>0</v>
      </c>
      <c r="N365" s="177">
        <v>0</v>
      </c>
      <c r="O365" s="161">
        <v>0</v>
      </c>
      <c r="P365" s="168">
        <f t="shared" si="112"/>
        <v>57</v>
      </c>
      <c r="Q365" s="171">
        <f t="shared" si="113"/>
        <v>579</v>
      </c>
    </row>
    <row r="366" spans="1:17" x14ac:dyDescent="0.25">
      <c r="A366" s="87">
        <v>4</v>
      </c>
      <c r="B366" s="15" t="s">
        <v>21</v>
      </c>
      <c r="C366" s="16">
        <v>0</v>
      </c>
      <c r="D366" s="16">
        <v>5</v>
      </c>
      <c r="E366" s="16">
        <v>234</v>
      </c>
      <c r="F366" s="16">
        <v>0</v>
      </c>
      <c r="G366" s="16">
        <v>0</v>
      </c>
      <c r="H366" s="16">
        <v>23</v>
      </c>
      <c r="I366" s="168">
        <f t="shared" si="111"/>
        <v>262</v>
      </c>
      <c r="J366" s="178">
        <v>16</v>
      </c>
      <c r="K366" s="178">
        <v>3</v>
      </c>
      <c r="L366" s="178">
        <v>12</v>
      </c>
      <c r="M366" s="178">
        <v>0</v>
      </c>
      <c r="N366" s="178">
        <v>0</v>
      </c>
      <c r="O366" s="162">
        <v>3</v>
      </c>
      <c r="P366" s="168">
        <f t="shared" si="112"/>
        <v>34</v>
      </c>
      <c r="Q366" s="171">
        <f t="shared" si="113"/>
        <v>296</v>
      </c>
    </row>
    <row r="367" spans="1:17" x14ac:dyDescent="0.25">
      <c r="A367" s="87">
        <v>5</v>
      </c>
      <c r="B367" s="19" t="s">
        <v>22</v>
      </c>
      <c r="C367" s="16">
        <v>0</v>
      </c>
      <c r="D367" s="16">
        <v>0</v>
      </c>
      <c r="E367" s="16">
        <v>260</v>
      </c>
      <c r="F367" s="16">
        <v>0</v>
      </c>
      <c r="G367" s="16">
        <v>0</v>
      </c>
      <c r="H367" s="16">
        <v>175</v>
      </c>
      <c r="I367" s="168">
        <f t="shared" si="111"/>
        <v>435</v>
      </c>
      <c r="J367" s="178">
        <v>68</v>
      </c>
      <c r="K367" s="178">
        <v>0</v>
      </c>
      <c r="L367" s="178">
        <v>0</v>
      </c>
      <c r="M367" s="178">
        <v>0</v>
      </c>
      <c r="N367" s="178">
        <v>0</v>
      </c>
      <c r="O367" s="162">
        <v>0</v>
      </c>
      <c r="P367" s="168">
        <f t="shared" si="112"/>
        <v>68</v>
      </c>
      <c r="Q367" s="171">
        <f t="shared" si="113"/>
        <v>503</v>
      </c>
    </row>
    <row r="368" spans="1:17" x14ac:dyDescent="0.25">
      <c r="A368" s="87">
        <v>6</v>
      </c>
      <c r="B368" s="19" t="s">
        <v>23</v>
      </c>
      <c r="C368" s="16">
        <v>0</v>
      </c>
      <c r="D368" s="16">
        <v>0</v>
      </c>
      <c r="E368" s="16">
        <v>76</v>
      </c>
      <c r="F368" s="16">
        <v>0</v>
      </c>
      <c r="G368" s="16">
        <v>0</v>
      </c>
      <c r="H368" s="16">
        <v>38</v>
      </c>
      <c r="I368" s="168">
        <f t="shared" si="111"/>
        <v>114</v>
      </c>
      <c r="J368" s="178">
        <v>30</v>
      </c>
      <c r="K368" s="178">
        <v>0</v>
      </c>
      <c r="L368" s="178">
        <v>0</v>
      </c>
      <c r="M368" s="178">
        <v>0</v>
      </c>
      <c r="N368" s="178">
        <v>0</v>
      </c>
      <c r="O368" s="162">
        <v>0</v>
      </c>
      <c r="P368" s="168">
        <f t="shared" si="112"/>
        <v>30</v>
      </c>
      <c r="Q368" s="171">
        <f t="shared" si="113"/>
        <v>144</v>
      </c>
    </row>
    <row r="369" spans="1:17" x14ac:dyDescent="0.25">
      <c r="A369" s="87">
        <v>7</v>
      </c>
      <c r="B369" s="19" t="s">
        <v>24</v>
      </c>
      <c r="C369" s="16">
        <v>0</v>
      </c>
      <c r="D369" s="16">
        <v>1</v>
      </c>
      <c r="E369" s="16">
        <v>0</v>
      </c>
      <c r="F369" s="16">
        <v>1</v>
      </c>
      <c r="G369" s="16">
        <v>0</v>
      </c>
      <c r="H369" s="16">
        <v>0</v>
      </c>
      <c r="I369" s="168">
        <f t="shared" si="111"/>
        <v>2</v>
      </c>
      <c r="J369" s="178">
        <v>0</v>
      </c>
      <c r="K369" s="178">
        <v>0</v>
      </c>
      <c r="L369" s="178">
        <v>1</v>
      </c>
      <c r="M369" s="178">
        <v>1</v>
      </c>
      <c r="N369" s="178">
        <v>0</v>
      </c>
      <c r="O369" s="162">
        <v>0</v>
      </c>
      <c r="P369" s="168">
        <f t="shared" si="112"/>
        <v>2</v>
      </c>
      <c r="Q369" s="171">
        <f t="shared" si="113"/>
        <v>4</v>
      </c>
    </row>
    <row r="370" spans="1:17" ht="15.75" thickBot="1" x14ac:dyDescent="0.3">
      <c r="A370" s="88">
        <v>8</v>
      </c>
      <c r="B370" s="15" t="s">
        <v>25</v>
      </c>
      <c r="C370" s="17">
        <v>0</v>
      </c>
      <c r="D370" s="17">
        <v>47</v>
      </c>
      <c r="E370" s="17">
        <v>187</v>
      </c>
      <c r="F370" s="17">
        <v>0</v>
      </c>
      <c r="G370" s="17">
        <v>0</v>
      </c>
      <c r="H370" s="17">
        <v>112</v>
      </c>
      <c r="I370" s="169">
        <f t="shared" si="111"/>
        <v>346</v>
      </c>
      <c r="J370" s="179">
        <v>275</v>
      </c>
      <c r="K370" s="179">
        <v>0</v>
      </c>
      <c r="L370" s="179">
        <v>0</v>
      </c>
      <c r="M370" s="179">
        <v>0</v>
      </c>
      <c r="N370" s="179">
        <v>75</v>
      </c>
      <c r="O370" s="163">
        <v>0</v>
      </c>
      <c r="P370" s="169">
        <f t="shared" si="112"/>
        <v>350</v>
      </c>
      <c r="Q370" s="172">
        <f t="shared" si="113"/>
        <v>696</v>
      </c>
    </row>
    <row r="371" spans="1:17" ht="16.5" thickTop="1" thickBot="1" x14ac:dyDescent="0.3">
      <c r="A371" s="443" t="s">
        <v>26</v>
      </c>
      <c r="B371" s="444"/>
      <c r="C371" s="133">
        <f t="shared" ref="C371" si="114">SUM(C363:C370)</f>
        <v>0</v>
      </c>
      <c r="D371" s="133">
        <f>SUM(D363:D370)</f>
        <v>140</v>
      </c>
      <c r="E371" s="133">
        <f t="shared" ref="E371" si="115">SUM(E363:E370)</f>
        <v>1129</v>
      </c>
      <c r="F371" s="133">
        <v>2</v>
      </c>
      <c r="G371" s="133">
        <v>4</v>
      </c>
      <c r="H371" s="164">
        <v>2</v>
      </c>
      <c r="I371" s="166">
        <f>SUM(I363:I370)</f>
        <v>2124</v>
      </c>
      <c r="J371" s="180">
        <f t="shared" ref="J371:O371" si="116">SUM(J363:J370)</f>
        <v>461</v>
      </c>
      <c r="K371" s="133">
        <f t="shared" si="116"/>
        <v>13</v>
      </c>
      <c r="L371" s="133">
        <f t="shared" si="116"/>
        <v>13</v>
      </c>
      <c r="M371" s="133">
        <f t="shared" si="116"/>
        <v>1</v>
      </c>
      <c r="N371" s="133">
        <f t="shared" si="116"/>
        <v>75</v>
      </c>
      <c r="O371" s="164">
        <f t="shared" si="116"/>
        <v>3</v>
      </c>
      <c r="P371" s="166">
        <f>SUM(P363:P370)</f>
        <v>566</v>
      </c>
      <c r="Q371" s="173">
        <f>SUM(Q363:Q370)</f>
        <v>2690</v>
      </c>
    </row>
    <row r="373" spans="1:17" ht="15.75" x14ac:dyDescent="0.25">
      <c r="A373" s="445" t="s">
        <v>181</v>
      </c>
      <c r="B373" s="445"/>
      <c r="C373" s="445"/>
      <c r="D373" s="445"/>
      <c r="E373" s="445"/>
      <c r="F373" s="445"/>
      <c r="G373" s="445"/>
      <c r="H373" s="445"/>
      <c r="I373" s="445"/>
      <c r="J373" s="445"/>
      <c r="K373" s="445"/>
      <c r="L373" s="445"/>
      <c r="M373" s="445"/>
      <c r="N373" s="445"/>
      <c r="O373" s="445"/>
      <c r="P373" s="445"/>
      <c r="Q373" s="445"/>
    </row>
    <row r="374" spans="1:17" ht="15.75" x14ac:dyDescent="0.25">
      <c r="A374" s="445" t="s">
        <v>83</v>
      </c>
      <c r="B374" s="445"/>
      <c r="C374" s="445"/>
      <c r="D374" s="445"/>
      <c r="E374" s="445"/>
      <c r="F374" s="445"/>
      <c r="G374" s="445"/>
      <c r="H374" s="445"/>
      <c r="I374" s="445"/>
      <c r="J374" s="445"/>
      <c r="K374" s="445"/>
      <c r="L374" s="445"/>
      <c r="M374" s="445"/>
      <c r="N374" s="445"/>
      <c r="O374" s="445"/>
      <c r="P374" s="445"/>
      <c r="Q374" s="445"/>
    </row>
    <row r="375" spans="1:17" ht="15.75" thickBot="1" x14ac:dyDescent="0.3">
      <c r="Q375" s="77" t="s">
        <v>1</v>
      </c>
    </row>
    <row r="376" spans="1:17" x14ac:dyDescent="0.25">
      <c r="A376" s="440" t="s">
        <v>2</v>
      </c>
      <c r="B376" s="442" t="s">
        <v>3</v>
      </c>
      <c r="C376" s="446" t="s">
        <v>84</v>
      </c>
      <c r="D376" s="447"/>
      <c r="E376" s="447"/>
      <c r="F376" s="447"/>
      <c r="G376" s="447"/>
      <c r="H376" s="447"/>
      <c r="I376" s="448" t="s">
        <v>91</v>
      </c>
      <c r="J376" s="447">
        <v>2015</v>
      </c>
      <c r="K376" s="447"/>
      <c r="L376" s="447"/>
      <c r="M376" s="447"/>
      <c r="N376" s="447"/>
      <c r="O376" s="447"/>
      <c r="P376" s="448" t="s">
        <v>92</v>
      </c>
      <c r="Q376" s="450" t="s">
        <v>5</v>
      </c>
    </row>
    <row r="377" spans="1:17" x14ac:dyDescent="0.25">
      <c r="A377" s="441"/>
      <c r="B377" s="426"/>
      <c r="C377" s="402" t="s">
        <v>15</v>
      </c>
      <c r="D377" s="402" t="s">
        <v>16</v>
      </c>
      <c r="E377" s="402" t="s">
        <v>17</v>
      </c>
      <c r="F377" s="402" t="s">
        <v>6</v>
      </c>
      <c r="G377" s="402" t="s">
        <v>78</v>
      </c>
      <c r="H377" s="158" t="s">
        <v>79</v>
      </c>
      <c r="I377" s="449"/>
      <c r="J377" s="117" t="s">
        <v>80</v>
      </c>
      <c r="K377" s="402" t="s">
        <v>10</v>
      </c>
      <c r="L377" s="402" t="s">
        <v>11</v>
      </c>
      <c r="M377" s="402" t="s">
        <v>12</v>
      </c>
      <c r="N377" s="402" t="s">
        <v>81</v>
      </c>
      <c r="O377" s="158" t="s">
        <v>82</v>
      </c>
      <c r="P377" s="449"/>
      <c r="Q377" s="451"/>
    </row>
    <row r="378" spans="1:17" ht="15.75" thickBot="1" x14ac:dyDescent="0.3">
      <c r="A378" s="128">
        <v>1</v>
      </c>
      <c r="B378" s="5">
        <v>2</v>
      </c>
      <c r="C378" s="5">
        <v>3</v>
      </c>
      <c r="D378" s="5">
        <v>4</v>
      </c>
      <c r="E378" s="5">
        <v>5</v>
      </c>
      <c r="F378" s="5">
        <v>6</v>
      </c>
      <c r="G378" s="5">
        <v>7</v>
      </c>
      <c r="H378" s="159">
        <v>8</v>
      </c>
      <c r="I378" s="165">
        <v>9</v>
      </c>
      <c r="J378" s="118">
        <v>10</v>
      </c>
      <c r="K378" s="5">
        <v>11</v>
      </c>
      <c r="L378" s="5">
        <v>12</v>
      </c>
      <c r="M378" s="5">
        <v>13</v>
      </c>
      <c r="N378" s="5">
        <v>14</v>
      </c>
      <c r="O378" s="159">
        <v>15</v>
      </c>
      <c r="P378" s="165">
        <v>16</v>
      </c>
      <c r="Q378" s="174">
        <v>17</v>
      </c>
    </row>
    <row r="379" spans="1:17" ht="15.75" thickTop="1" x14ac:dyDescent="0.25">
      <c r="A379" s="85">
        <v>1</v>
      </c>
      <c r="B379" s="7" t="s">
        <v>18</v>
      </c>
      <c r="C379" s="28">
        <v>0</v>
      </c>
      <c r="D379" s="28">
        <v>0</v>
      </c>
      <c r="E379" s="28">
        <v>3</v>
      </c>
      <c r="F379" s="28">
        <v>1</v>
      </c>
      <c r="G379" s="28">
        <v>0</v>
      </c>
      <c r="H379" s="28">
        <v>0</v>
      </c>
      <c r="I379" s="167">
        <f>SUM(C379:H379)</f>
        <v>4</v>
      </c>
      <c r="J379" s="176">
        <v>0</v>
      </c>
      <c r="K379" s="176">
        <v>0</v>
      </c>
      <c r="L379" s="176">
        <v>0</v>
      </c>
      <c r="M379" s="176">
        <v>0</v>
      </c>
      <c r="N379" s="176">
        <v>0</v>
      </c>
      <c r="O379" s="160">
        <v>0</v>
      </c>
      <c r="P379" s="167">
        <f>SUM(J379:O379)</f>
        <v>0</v>
      </c>
      <c r="Q379" s="170">
        <f>SUM(I379,P379)</f>
        <v>4</v>
      </c>
    </row>
    <row r="380" spans="1:17" x14ac:dyDescent="0.25">
      <c r="A380" s="86">
        <v>2</v>
      </c>
      <c r="B380" s="12" t="s">
        <v>19</v>
      </c>
      <c r="C380" s="16">
        <v>0</v>
      </c>
      <c r="D380" s="16">
        <v>0</v>
      </c>
      <c r="E380" s="16">
        <v>0</v>
      </c>
      <c r="F380" s="16">
        <v>0</v>
      </c>
      <c r="G380" s="16">
        <v>0</v>
      </c>
      <c r="H380" s="16">
        <v>0</v>
      </c>
      <c r="I380" s="168">
        <f t="shared" ref="I380:I386" si="117">SUM(C380:H380)</f>
        <v>0</v>
      </c>
      <c r="J380" s="177">
        <v>0</v>
      </c>
      <c r="K380" s="177">
        <v>0</v>
      </c>
      <c r="L380" s="177">
        <v>0</v>
      </c>
      <c r="M380" s="177">
        <v>0</v>
      </c>
      <c r="N380" s="177">
        <v>0</v>
      </c>
      <c r="O380" s="161">
        <v>0</v>
      </c>
      <c r="P380" s="168">
        <f t="shared" ref="P380:P386" si="118">SUM(J380:O380)</f>
        <v>0</v>
      </c>
      <c r="Q380" s="171">
        <f t="shared" ref="Q380:Q386" si="119">SUM(I380,P380)</f>
        <v>0</v>
      </c>
    </row>
    <row r="381" spans="1:17" x14ac:dyDescent="0.25">
      <c r="A381" s="86">
        <v>3</v>
      </c>
      <c r="B381" s="7" t="s">
        <v>20</v>
      </c>
      <c r="C381" s="16">
        <v>0</v>
      </c>
      <c r="D381" s="16">
        <v>0</v>
      </c>
      <c r="E381" s="16">
        <v>3</v>
      </c>
      <c r="F381" s="16">
        <v>1</v>
      </c>
      <c r="G381" s="16">
        <v>0</v>
      </c>
      <c r="H381" s="16">
        <v>0</v>
      </c>
      <c r="I381" s="168">
        <f t="shared" si="117"/>
        <v>4</v>
      </c>
      <c r="J381" s="177">
        <v>0</v>
      </c>
      <c r="K381" s="177">
        <v>0</v>
      </c>
      <c r="L381" s="177">
        <v>0</v>
      </c>
      <c r="M381" s="177">
        <v>0</v>
      </c>
      <c r="N381" s="177">
        <v>0</v>
      </c>
      <c r="O381" s="161">
        <v>0</v>
      </c>
      <c r="P381" s="168">
        <f t="shared" si="118"/>
        <v>0</v>
      </c>
      <c r="Q381" s="171">
        <f t="shared" si="119"/>
        <v>4</v>
      </c>
    </row>
    <row r="382" spans="1:17" x14ac:dyDescent="0.25">
      <c r="A382" s="87">
        <v>4</v>
      </c>
      <c r="B382" s="15" t="s">
        <v>21</v>
      </c>
      <c r="C382" s="16">
        <v>0</v>
      </c>
      <c r="D382" s="16">
        <v>2</v>
      </c>
      <c r="E382" s="16">
        <v>0</v>
      </c>
      <c r="F382" s="16">
        <v>0</v>
      </c>
      <c r="G382" s="16">
        <v>0</v>
      </c>
      <c r="H382" s="16">
        <v>1</v>
      </c>
      <c r="I382" s="168">
        <f t="shared" si="117"/>
        <v>3</v>
      </c>
      <c r="J382" s="178">
        <v>1</v>
      </c>
      <c r="K382" s="178">
        <v>1</v>
      </c>
      <c r="L382" s="178">
        <v>0</v>
      </c>
      <c r="M382" s="178">
        <v>0</v>
      </c>
      <c r="N382" s="178">
        <v>1</v>
      </c>
      <c r="O382" s="162">
        <v>0</v>
      </c>
      <c r="P382" s="168">
        <f t="shared" si="118"/>
        <v>3</v>
      </c>
      <c r="Q382" s="171">
        <f t="shared" si="119"/>
        <v>6</v>
      </c>
    </row>
    <row r="383" spans="1:17" x14ac:dyDescent="0.25">
      <c r="A383" s="87">
        <v>5</v>
      </c>
      <c r="B383" s="19" t="s">
        <v>22</v>
      </c>
      <c r="C383" s="16">
        <v>0</v>
      </c>
      <c r="D383" s="16">
        <v>0</v>
      </c>
      <c r="E383" s="16">
        <v>0</v>
      </c>
      <c r="F383" s="16">
        <v>0</v>
      </c>
      <c r="G383" s="16">
        <v>0</v>
      </c>
      <c r="H383" s="16">
        <v>0</v>
      </c>
      <c r="I383" s="168">
        <f t="shared" si="117"/>
        <v>0</v>
      </c>
      <c r="J383" s="178">
        <v>0</v>
      </c>
      <c r="K383" s="178">
        <v>0</v>
      </c>
      <c r="L383" s="178">
        <v>0</v>
      </c>
      <c r="M383" s="178">
        <v>0</v>
      </c>
      <c r="N383" s="178">
        <v>0</v>
      </c>
      <c r="O383" s="162">
        <v>0</v>
      </c>
      <c r="P383" s="168">
        <f t="shared" si="118"/>
        <v>0</v>
      </c>
      <c r="Q383" s="171">
        <f t="shared" si="119"/>
        <v>0</v>
      </c>
    </row>
    <row r="384" spans="1:17" x14ac:dyDescent="0.25">
      <c r="A384" s="87">
        <v>6</v>
      </c>
      <c r="B384" s="19" t="s">
        <v>23</v>
      </c>
      <c r="C384" s="16">
        <v>0</v>
      </c>
      <c r="D384" s="16">
        <v>0</v>
      </c>
      <c r="E384" s="16">
        <v>2</v>
      </c>
      <c r="F384" s="16">
        <v>2</v>
      </c>
      <c r="G384" s="16">
        <v>0</v>
      </c>
      <c r="H384" s="16">
        <v>0</v>
      </c>
      <c r="I384" s="168">
        <f t="shared" si="117"/>
        <v>4</v>
      </c>
      <c r="J384" s="178">
        <v>0</v>
      </c>
      <c r="K384" s="178">
        <v>2</v>
      </c>
      <c r="L384" s="178">
        <v>0</v>
      </c>
      <c r="M384" s="178">
        <v>0</v>
      </c>
      <c r="N384" s="178">
        <v>0</v>
      </c>
      <c r="O384" s="162">
        <v>0</v>
      </c>
      <c r="P384" s="168">
        <f t="shared" si="118"/>
        <v>2</v>
      </c>
      <c r="Q384" s="171">
        <f t="shared" si="119"/>
        <v>6</v>
      </c>
    </row>
    <row r="385" spans="1:17" x14ac:dyDescent="0.25">
      <c r="A385" s="87">
        <v>7</v>
      </c>
      <c r="B385" s="19" t="s">
        <v>24</v>
      </c>
      <c r="C385" s="16">
        <v>0</v>
      </c>
      <c r="D385" s="16">
        <v>0</v>
      </c>
      <c r="E385" s="16">
        <v>0</v>
      </c>
      <c r="F385" s="16">
        <v>0</v>
      </c>
      <c r="G385" s="16">
        <v>0</v>
      </c>
      <c r="H385" s="16">
        <v>0</v>
      </c>
      <c r="I385" s="168">
        <f t="shared" si="117"/>
        <v>0</v>
      </c>
      <c r="J385" s="178">
        <v>0</v>
      </c>
      <c r="K385" s="178">
        <v>0</v>
      </c>
      <c r="L385" s="178">
        <v>0</v>
      </c>
      <c r="M385" s="178">
        <v>0</v>
      </c>
      <c r="N385" s="178">
        <v>0</v>
      </c>
      <c r="O385" s="162">
        <v>0</v>
      </c>
      <c r="P385" s="168">
        <f t="shared" si="118"/>
        <v>0</v>
      </c>
      <c r="Q385" s="171">
        <f t="shared" si="119"/>
        <v>0</v>
      </c>
    </row>
    <row r="386" spans="1:17" ht="15.75" thickBot="1" x14ac:dyDescent="0.3">
      <c r="A386" s="88">
        <v>8</v>
      </c>
      <c r="B386" s="15" t="s">
        <v>25</v>
      </c>
      <c r="C386" s="17">
        <v>0</v>
      </c>
      <c r="D386" s="17">
        <v>0</v>
      </c>
      <c r="E386" s="17">
        <v>2</v>
      </c>
      <c r="F386" s="17">
        <v>1</v>
      </c>
      <c r="G386" s="17">
        <v>0</v>
      </c>
      <c r="H386" s="17">
        <v>1</v>
      </c>
      <c r="I386" s="169">
        <f t="shared" si="117"/>
        <v>4</v>
      </c>
      <c r="J386" s="179">
        <v>1</v>
      </c>
      <c r="K386" s="179">
        <v>0</v>
      </c>
      <c r="L386" s="179">
        <v>0</v>
      </c>
      <c r="M386" s="179">
        <v>0</v>
      </c>
      <c r="N386" s="179">
        <v>0</v>
      </c>
      <c r="O386" s="163">
        <v>0</v>
      </c>
      <c r="P386" s="169">
        <f t="shared" si="118"/>
        <v>1</v>
      </c>
      <c r="Q386" s="172">
        <f t="shared" si="119"/>
        <v>5</v>
      </c>
    </row>
    <row r="387" spans="1:17" ht="16.5" thickTop="1" thickBot="1" x14ac:dyDescent="0.3">
      <c r="A387" s="443" t="s">
        <v>26</v>
      </c>
      <c r="B387" s="444"/>
      <c r="C387" s="133">
        <f t="shared" ref="C387" si="120">SUM(C379:C386)</f>
        <v>0</v>
      </c>
      <c r="D387" s="133">
        <f>SUM(D379:D386)</f>
        <v>2</v>
      </c>
      <c r="E387" s="133">
        <f t="shared" ref="E387" si="121">SUM(E379:E386)</f>
        <v>10</v>
      </c>
      <c r="F387" s="133">
        <v>2</v>
      </c>
      <c r="G387" s="133">
        <v>4</v>
      </c>
      <c r="H387" s="164">
        <v>2</v>
      </c>
      <c r="I387" s="166">
        <f>SUM(I379:I386)</f>
        <v>19</v>
      </c>
      <c r="J387" s="180">
        <f t="shared" ref="J387:O387" si="122">SUM(J379:J386)</f>
        <v>2</v>
      </c>
      <c r="K387" s="133">
        <f t="shared" si="122"/>
        <v>3</v>
      </c>
      <c r="L387" s="133">
        <f t="shared" si="122"/>
        <v>0</v>
      </c>
      <c r="M387" s="133">
        <f t="shared" si="122"/>
        <v>0</v>
      </c>
      <c r="N387" s="133">
        <f t="shared" si="122"/>
        <v>1</v>
      </c>
      <c r="O387" s="164">
        <f t="shared" si="122"/>
        <v>0</v>
      </c>
      <c r="P387" s="166">
        <f>SUM(P379:P386)</f>
        <v>6</v>
      </c>
      <c r="Q387" s="173">
        <f>SUM(Q379:Q386)</f>
        <v>25</v>
      </c>
    </row>
    <row r="389" spans="1:17" ht="15.75" x14ac:dyDescent="0.25">
      <c r="A389" s="445" t="s">
        <v>182</v>
      </c>
      <c r="B389" s="445"/>
      <c r="C389" s="445"/>
      <c r="D389" s="445"/>
      <c r="E389" s="445"/>
      <c r="F389" s="445"/>
      <c r="G389" s="445"/>
      <c r="H389" s="445"/>
      <c r="I389" s="445"/>
      <c r="J389" s="445"/>
      <c r="K389" s="445"/>
      <c r="L389" s="445"/>
      <c r="M389" s="445"/>
      <c r="N389" s="445"/>
      <c r="O389" s="445"/>
      <c r="P389" s="445"/>
      <c r="Q389" s="445"/>
    </row>
    <row r="390" spans="1:17" ht="15.75" x14ac:dyDescent="0.25">
      <c r="A390" s="445" t="s">
        <v>83</v>
      </c>
      <c r="B390" s="445"/>
      <c r="C390" s="445"/>
      <c r="D390" s="445"/>
      <c r="E390" s="445"/>
      <c r="F390" s="445"/>
      <c r="G390" s="445"/>
      <c r="H390" s="445"/>
      <c r="I390" s="445"/>
      <c r="J390" s="445"/>
      <c r="K390" s="445"/>
      <c r="L390" s="445"/>
      <c r="M390" s="445"/>
      <c r="N390" s="445"/>
      <c r="O390" s="445"/>
      <c r="P390" s="445"/>
      <c r="Q390" s="445"/>
    </row>
    <row r="391" spans="1:17" ht="15.75" thickBot="1" x14ac:dyDescent="0.3">
      <c r="Q391" s="77" t="s">
        <v>1</v>
      </c>
    </row>
    <row r="392" spans="1:17" x14ac:dyDescent="0.25">
      <c r="A392" s="440" t="s">
        <v>2</v>
      </c>
      <c r="B392" s="442" t="s">
        <v>3</v>
      </c>
      <c r="C392" s="446" t="s">
        <v>84</v>
      </c>
      <c r="D392" s="447"/>
      <c r="E392" s="447"/>
      <c r="F392" s="447"/>
      <c r="G392" s="447"/>
      <c r="H392" s="447"/>
      <c r="I392" s="448" t="s">
        <v>91</v>
      </c>
      <c r="J392" s="447">
        <v>2015</v>
      </c>
      <c r="K392" s="447"/>
      <c r="L392" s="447"/>
      <c r="M392" s="447"/>
      <c r="N392" s="447"/>
      <c r="O392" s="447"/>
      <c r="P392" s="448" t="s">
        <v>92</v>
      </c>
      <c r="Q392" s="450" t="s">
        <v>5</v>
      </c>
    </row>
    <row r="393" spans="1:17" x14ac:dyDescent="0.25">
      <c r="A393" s="441"/>
      <c r="B393" s="426"/>
      <c r="C393" s="402" t="s">
        <v>15</v>
      </c>
      <c r="D393" s="402" t="s">
        <v>16</v>
      </c>
      <c r="E393" s="402" t="s">
        <v>17</v>
      </c>
      <c r="F393" s="402" t="s">
        <v>6</v>
      </c>
      <c r="G393" s="402" t="s">
        <v>78</v>
      </c>
      <c r="H393" s="158" t="s">
        <v>79</v>
      </c>
      <c r="I393" s="449"/>
      <c r="J393" s="117" t="s">
        <v>80</v>
      </c>
      <c r="K393" s="402" t="s">
        <v>10</v>
      </c>
      <c r="L393" s="402" t="s">
        <v>11</v>
      </c>
      <c r="M393" s="402" t="s">
        <v>12</v>
      </c>
      <c r="N393" s="402" t="s">
        <v>81</v>
      </c>
      <c r="O393" s="158" t="s">
        <v>82</v>
      </c>
      <c r="P393" s="449"/>
      <c r="Q393" s="451"/>
    </row>
    <row r="394" spans="1:17" ht="15.75" thickBot="1" x14ac:dyDescent="0.3">
      <c r="A394" s="128">
        <v>1</v>
      </c>
      <c r="B394" s="5">
        <v>2</v>
      </c>
      <c r="C394" s="5">
        <v>3</v>
      </c>
      <c r="D394" s="5">
        <v>4</v>
      </c>
      <c r="E394" s="5">
        <v>5</v>
      </c>
      <c r="F394" s="5">
        <v>6</v>
      </c>
      <c r="G394" s="5">
        <v>7</v>
      </c>
      <c r="H394" s="159">
        <v>8</v>
      </c>
      <c r="I394" s="165">
        <v>9</v>
      </c>
      <c r="J394" s="118">
        <v>10</v>
      </c>
      <c r="K394" s="5">
        <v>11</v>
      </c>
      <c r="L394" s="5">
        <v>12</v>
      </c>
      <c r="M394" s="5">
        <v>13</v>
      </c>
      <c r="N394" s="5">
        <v>14</v>
      </c>
      <c r="O394" s="159">
        <v>15</v>
      </c>
      <c r="P394" s="165">
        <v>16</v>
      </c>
      <c r="Q394" s="174">
        <v>17</v>
      </c>
    </row>
    <row r="395" spans="1:17" ht="15.75" thickTop="1" x14ac:dyDescent="0.25">
      <c r="A395" s="85">
        <v>1</v>
      </c>
      <c r="B395" s="7" t="s">
        <v>18</v>
      </c>
      <c r="C395" s="28">
        <v>0</v>
      </c>
      <c r="D395" s="28">
        <v>0</v>
      </c>
      <c r="E395" s="28">
        <v>5</v>
      </c>
      <c r="F395" s="28">
        <v>0</v>
      </c>
      <c r="G395" s="28">
        <v>0</v>
      </c>
      <c r="H395" s="28">
        <v>0</v>
      </c>
      <c r="I395" s="167">
        <f>SUM(C395:H395)</f>
        <v>5</v>
      </c>
      <c r="J395" s="176">
        <v>0</v>
      </c>
      <c r="K395" s="176">
        <v>0</v>
      </c>
      <c r="L395" s="176">
        <v>0</v>
      </c>
      <c r="M395" s="176">
        <v>0</v>
      </c>
      <c r="N395" s="176">
        <v>0</v>
      </c>
      <c r="O395" s="160">
        <v>0</v>
      </c>
      <c r="P395" s="167">
        <f>SUM(J395:O395)</f>
        <v>0</v>
      </c>
      <c r="Q395" s="170">
        <f>SUM(I395,P395)</f>
        <v>5</v>
      </c>
    </row>
    <row r="396" spans="1:17" x14ac:dyDescent="0.25">
      <c r="A396" s="86">
        <v>2</v>
      </c>
      <c r="B396" s="12" t="s">
        <v>19</v>
      </c>
      <c r="C396" s="16">
        <v>0</v>
      </c>
      <c r="D396" s="16">
        <v>0</v>
      </c>
      <c r="E396" s="16">
        <v>1</v>
      </c>
      <c r="F396" s="16">
        <v>0</v>
      </c>
      <c r="G396" s="16">
        <v>0</v>
      </c>
      <c r="H396" s="16">
        <v>0</v>
      </c>
      <c r="I396" s="168">
        <f t="shared" ref="I396:I402" si="123">SUM(C396:H396)</f>
        <v>1</v>
      </c>
      <c r="J396" s="177">
        <v>0</v>
      </c>
      <c r="K396" s="177">
        <v>0</v>
      </c>
      <c r="L396" s="177">
        <v>0</v>
      </c>
      <c r="M396" s="177">
        <v>0</v>
      </c>
      <c r="N396" s="177">
        <v>0</v>
      </c>
      <c r="O396" s="161">
        <v>0</v>
      </c>
      <c r="P396" s="168">
        <f t="shared" ref="P396:P402" si="124">SUM(J396:O396)</f>
        <v>0</v>
      </c>
      <c r="Q396" s="171">
        <f t="shared" ref="Q396:Q402" si="125">SUM(I396,P396)</f>
        <v>1</v>
      </c>
    </row>
    <row r="397" spans="1:17" x14ac:dyDescent="0.25">
      <c r="A397" s="86">
        <v>3</v>
      </c>
      <c r="B397" s="7" t="s">
        <v>20</v>
      </c>
      <c r="C397" s="16">
        <v>0</v>
      </c>
      <c r="D397" s="16">
        <v>0</v>
      </c>
      <c r="E397" s="16">
        <v>0</v>
      </c>
      <c r="F397" s="16">
        <v>0</v>
      </c>
      <c r="G397" s="16">
        <v>0</v>
      </c>
      <c r="H397" s="16">
        <v>0</v>
      </c>
      <c r="I397" s="168">
        <f t="shared" si="123"/>
        <v>0</v>
      </c>
      <c r="J397" s="177">
        <v>0</v>
      </c>
      <c r="K397" s="177">
        <v>0</v>
      </c>
      <c r="L397" s="177">
        <v>0</v>
      </c>
      <c r="M397" s="177">
        <v>0</v>
      </c>
      <c r="N397" s="177">
        <v>0</v>
      </c>
      <c r="O397" s="161">
        <v>0</v>
      </c>
      <c r="P397" s="168">
        <f t="shared" si="124"/>
        <v>0</v>
      </c>
      <c r="Q397" s="171">
        <f t="shared" si="125"/>
        <v>0</v>
      </c>
    </row>
    <row r="398" spans="1:17" x14ac:dyDescent="0.25">
      <c r="A398" s="87">
        <v>4</v>
      </c>
      <c r="B398" s="15" t="s">
        <v>21</v>
      </c>
      <c r="C398" s="16">
        <v>0</v>
      </c>
      <c r="D398" s="16">
        <v>0</v>
      </c>
      <c r="E398" s="16">
        <v>1</v>
      </c>
      <c r="F398" s="16">
        <v>0</v>
      </c>
      <c r="G398" s="16">
        <v>1</v>
      </c>
      <c r="H398" s="16">
        <v>1</v>
      </c>
      <c r="I398" s="168">
        <f t="shared" si="123"/>
        <v>3</v>
      </c>
      <c r="J398" s="178">
        <v>0</v>
      </c>
      <c r="K398" s="178">
        <v>0</v>
      </c>
      <c r="L398" s="178">
        <v>0</v>
      </c>
      <c r="M398" s="178">
        <v>0</v>
      </c>
      <c r="N398" s="178">
        <v>0</v>
      </c>
      <c r="O398" s="162">
        <v>0</v>
      </c>
      <c r="P398" s="168">
        <f t="shared" si="124"/>
        <v>0</v>
      </c>
      <c r="Q398" s="171">
        <f t="shared" si="125"/>
        <v>3</v>
      </c>
    </row>
    <row r="399" spans="1:17" x14ac:dyDescent="0.25">
      <c r="A399" s="87">
        <v>5</v>
      </c>
      <c r="B399" s="19" t="s">
        <v>22</v>
      </c>
      <c r="C399" s="16">
        <v>0</v>
      </c>
      <c r="D399" s="16">
        <v>0</v>
      </c>
      <c r="E399" s="16">
        <v>0</v>
      </c>
      <c r="F399" s="16">
        <v>0</v>
      </c>
      <c r="G399" s="16">
        <v>1</v>
      </c>
      <c r="H399" s="16">
        <v>1</v>
      </c>
      <c r="I399" s="168">
        <f t="shared" si="123"/>
        <v>2</v>
      </c>
      <c r="J399" s="178">
        <v>1</v>
      </c>
      <c r="K399" s="178">
        <v>0</v>
      </c>
      <c r="L399" s="178">
        <v>0</v>
      </c>
      <c r="M399" s="178">
        <v>0</v>
      </c>
      <c r="N399" s="178">
        <v>0</v>
      </c>
      <c r="O399" s="162">
        <v>0</v>
      </c>
      <c r="P399" s="168">
        <f t="shared" si="124"/>
        <v>1</v>
      </c>
      <c r="Q399" s="171">
        <f t="shared" si="125"/>
        <v>3</v>
      </c>
    </row>
    <row r="400" spans="1:17" x14ac:dyDescent="0.25">
      <c r="A400" s="87">
        <v>6</v>
      </c>
      <c r="B400" s="19" t="s">
        <v>23</v>
      </c>
      <c r="C400" s="16">
        <v>0</v>
      </c>
      <c r="D400" s="16">
        <v>0</v>
      </c>
      <c r="E400" s="16">
        <v>0</v>
      </c>
      <c r="F400" s="16">
        <v>0</v>
      </c>
      <c r="G400" s="16">
        <v>0</v>
      </c>
      <c r="H400" s="16">
        <v>0</v>
      </c>
      <c r="I400" s="168">
        <f t="shared" si="123"/>
        <v>0</v>
      </c>
      <c r="J400" s="178">
        <v>0</v>
      </c>
      <c r="K400" s="178">
        <v>0</v>
      </c>
      <c r="L400" s="178">
        <v>0</v>
      </c>
      <c r="M400" s="178">
        <v>0</v>
      </c>
      <c r="N400" s="178">
        <v>0</v>
      </c>
      <c r="O400" s="162">
        <v>0</v>
      </c>
      <c r="P400" s="168">
        <f t="shared" si="124"/>
        <v>0</v>
      </c>
      <c r="Q400" s="171">
        <f t="shared" si="125"/>
        <v>0</v>
      </c>
    </row>
    <row r="401" spans="1:17" x14ac:dyDescent="0.25">
      <c r="A401" s="87">
        <v>7</v>
      </c>
      <c r="B401" s="19" t="s">
        <v>24</v>
      </c>
      <c r="C401" s="16">
        <v>0</v>
      </c>
      <c r="D401" s="16">
        <v>0</v>
      </c>
      <c r="E401" s="16">
        <v>0</v>
      </c>
      <c r="F401" s="16">
        <v>0</v>
      </c>
      <c r="G401" s="16">
        <v>0</v>
      </c>
      <c r="H401" s="16">
        <v>0</v>
      </c>
      <c r="I401" s="168">
        <f t="shared" si="123"/>
        <v>0</v>
      </c>
      <c r="J401" s="178">
        <v>0</v>
      </c>
      <c r="K401" s="178">
        <v>0</v>
      </c>
      <c r="L401" s="178">
        <v>1</v>
      </c>
      <c r="M401" s="178">
        <v>1</v>
      </c>
      <c r="N401" s="178">
        <v>0</v>
      </c>
      <c r="O401" s="162">
        <v>0</v>
      </c>
      <c r="P401" s="168">
        <f t="shared" si="124"/>
        <v>2</v>
      </c>
      <c r="Q401" s="171">
        <f t="shared" si="125"/>
        <v>2</v>
      </c>
    </row>
    <row r="402" spans="1:17" ht="15.75" thickBot="1" x14ac:dyDescent="0.3">
      <c r="A402" s="88">
        <v>8</v>
      </c>
      <c r="B402" s="15" t="s">
        <v>25</v>
      </c>
      <c r="C402" s="17">
        <v>0</v>
      </c>
      <c r="D402" s="17">
        <v>0</v>
      </c>
      <c r="E402" s="17">
        <v>0</v>
      </c>
      <c r="F402" s="17">
        <v>1</v>
      </c>
      <c r="G402" s="17">
        <v>0</v>
      </c>
      <c r="H402" s="17">
        <v>0</v>
      </c>
      <c r="I402" s="169">
        <f t="shared" si="123"/>
        <v>1</v>
      </c>
      <c r="J402" s="179">
        <v>1</v>
      </c>
      <c r="K402" s="179">
        <v>0</v>
      </c>
      <c r="L402" s="179">
        <v>0</v>
      </c>
      <c r="M402" s="179">
        <v>0</v>
      </c>
      <c r="N402" s="179">
        <v>1</v>
      </c>
      <c r="O402" s="163">
        <v>0</v>
      </c>
      <c r="P402" s="169">
        <f t="shared" si="124"/>
        <v>2</v>
      </c>
      <c r="Q402" s="172">
        <f t="shared" si="125"/>
        <v>3</v>
      </c>
    </row>
    <row r="403" spans="1:17" ht="16.5" thickTop="1" thickBot="1" x14ac:dyDescent="0.3">
      <c r="A403" s="443" t="s">
        <v>26</v>
      </c>
      <c r="B403" s="444"/>
      <c r="C403" s="133">
        <f t="shared" ref="C403" si="126">SUM(C395:C402)</f>
        <v>0</v>
      </c>
      <c r="D403" s="133">
        <f>SUM(D395:D402)</f>
        <v>0</v>
      </c>
      <c r="E403" s="133">
        <f t="shared" ref="E403" si="127">SUM(E395:E402)</f>
        <v>7</v>
      </c>
      <c r="F403" s="133">
        <v>2</v>
      </c>
      <c r="G403" s="133">
        <v>4</v>
      </c>
      <c r="H403" s="164">
        <v>2</v>
      </c>
      <c r="I403" s="166">
        <f>SUM(I395:I402)</f>
        <v>12</v>
      </c>
      <c r="J403" s="180">
        <f t="shared" ref="J403:O403" si="128">SUM(J395:J402)</f>
        <v>2</v>
      </c>
      <c r="K403" s="133">
        <f t="shared" si="128"/>
        <v>0</v>
      </c>
      <c r="L403" s="133">
        <f t="shared" si="128"/>
        <v>1</v>
      </c>
      <c r="M403" s="133">
        <f t="shared" si="128"/>
        <v>1</v>
      </c>
      <c r="N403" s="133">
        <f t="shared" si="128"/>
        <v>1</v>
      </c>
      <c r="O403" s="164">
        <f t="shared" si="128"/>
        <v>0</v>
      </c>
      <c r="P403" s="166">
        <f>SUM(P395:P402)</f>
        <v>5</v>
      </c>
      <c r="Q403" s="173">
        <f>SUM(Q395:Q402)</f>
        <v>17</v>
      </c>
    </row>
    <row r="405" spans="1:17" ht="15.75" x14ac:dyDescent="0.25">
      <c r="A405" s="445" t="s">
        <v>183</v>
      </c>
      <c r="B405" s="445"/>
      <c r="C405" s="445"/>
      <c r="D405" s="445"/>
      <c r="E405" s="445"/>
      <c r="F405" s="445"/>
      <c r="G405" s="445"/>
      <c r="H405" s="445"/>
      <c r="I405" s="445"/>
      <c r="J405" s="445"/>
      <c r="K405" s="445"/>
      <c r="L405" s="445"/>
      <c r="M405" s="445"/>
      <c r="N405" s="445"/>
      <c r="O405" s="445"/>
      <c r="P405" s="445"/>
      <c r="Q405" s="445"/>
    </row>
    <row r="406" spans="1:17" ht="15.75" x14ac:dyDescent="0.25">
      <c r="A406" s="445" t="s">
        <v>83</v>
      </c>
      <c r="B406" s="445"/>
      <c r="C406" s="445"/>
      <c r="D406" s="445"/>
      <c r="E406" s="445"/>
      <c r="F406" s="445"/>
      <c r="G406" s="445"/>
      <c r="H406" s="445"/>
      <c r="I406" s="445"/>
      <c r="J406" s="445"/>
      <c r="K406" s="445"/>
      <c r="L406" s="445"/>
      <c r="M406" s="445"/>
      <c r="N406" s="445"/>
      <c r="O406" s="445"/>
      <c r="P406" s="445"/>
      <c r="Q406" s="445"/>
    </row>
    <row r="407" spans="1:17" ht="15.75" thickBot="1" x14ac:dyDescent="0.3">
      <c r="Q407" s="77" t="s">
        <v>1</v>
      </c>
    </row>
    <row r="408" spans="1:17" x14ac:dyDescent="0.25">
      <c r="A408" s="440" t="s">
        <v>2</v>
      </c>
      <c r="B408" s="442" t="s">
        <v>3</v>
      </c>
      <c r="C408" s="446" t="s">
        <v>84</v>
      </c>
      <c r="D408" s="447"/>
      <c r="E408" s="447"/>
      <c r="F408" s="447"/>
      <c r="G408" s="447"/>
      <c r="H408" s="447"/>
      <c r="I408" s="448" t="s">
        <v>91</v>
      </c>
      <c r="J408" s="447">
        <v>2015</v>
      </c>
      <c r="K408" s="447"/>
      <c r="L408" s="447"/>
      <c r="M408" s="447"/>
      <c r="N408" s="447"/>
      <c r="O408" s="447"/>
      <c r="P408" s="448" t="s">
        <v>92</v>
      </c>
      <c r="Q408" s="450" t="s">
        <v>5</v>
      </c>
    </row>
    <row r="409" spans="1:17" x14ac:dyDescent="0.25">
      <c r="A409" s="441"/>
      <c r="B409" s="426"/>
      <c r="C409" s="402" t="s">
        <v>15</v>
      </c>
      <c r="D409" s="402" t="s">
        <v>16</v>
      </c>
      <c r="E409" s="402" t="s">
        <v>17</v>
      </c>
      <c r="F409" s="402" t="s">
        <v>6</v>
      </c>
      <c r="G409" s="402" t="s">
        <v>78</v>
      </c>
      <c r="H409" s="158" t="s">
        <v>79</v>
      </c>
      <c r="I409" s="449"/>
      <c r="J409" s="117" t="s">
        <v>80</v>
      </c>
      <c r="K409" s="402" t="s">
        <v>10</v>
      </c>
      <c r="L409" s="402" t="s">
        <v>11</v>
      </c>
      <c r="M409" s="402" t="s">
        <v>12</v>
      </c>
      <c r="N409" s="402" t="s">
        <v>81</v>
      </c>
      <c r="O409" s="158" t="s">
        <v>82</v>
      </c>
      <c r="P409" s="449"/>
      <c r="Q409" s="451"/>
    </row>
    <row r="410" spans="1:17" ht="15.75" thickBot="1" x14ac:dyDescent="0.3">
      <c r="A410" s="128">
        <v>1</v>
      </c>
      <c r="B410" s="5">
        <v>2</v>
      </c>
      <c r="C410" s="5">
        <v>3</v>
      </c>
      <c r="D410" s="5">
        <v>4</v>
      </c>
      <c r="E410" s="5">
        <v>5</v>
      </c>
      <c r="F410" s="5">
        <v>6</v>
      </c>
      <c r="G410" s="5">
        <v>7</v>
      </c>
      <c r="H410" s="159">
        <v>8</v>
      </c>
      <c r="I410" s="165">
        <v>9</v>
      </c>
      <c r="J410" s="118">
        <v>10</v>
      </c>
      <c r="K410" s="5">
        <v>11</v>
      </c>
      <c r="L410" s="5">
        <v>12</v>
      </c>
      <c r="M410" s="5">
        <v>13</v>
      </c>
      <c r="N410" s="5">
        <v>14</v>
      </c>
      <c r="O410" s="159">
        <v>15</v>
      </c>
      <c r="P410" s="165">
        <v>16</v>
      </c>
      <c r="Q410" s="174">
        <v>17</v>
      </c>
    </row>
    <row r="411" spans="1:17" ht="15.75" thickTop="1" x14ac:dyDescent="0.25">
      <c r="A411" s="85">
        <v>1</v>
      </c>
      <c r="B411" s="7" t="s">
        <v>18</v>
      </c>
      <c r="C411" s="28">
        <v>0</v>
      </c>
      <c r="D411" s="28">
        <v>0</v>
      </c>
      <c r="E411" s="28">
        <v>2</v>
      </c>
      <c r="F411" s="28">
        <v>2</v>
      </c>
      <c r="G411" s="28">
        <v>0</v>
      </c>
      <c r="H411" s="28">
        <v>0</v>
      </c>
      <c r="I411" s="167">
        <f>SUM(C411:H411)</f>
        <v>4</v>
      </c>
      <c r="J411" s="176">
        <v>0</v>
      </c>
      <c r="K411" s="176">
        <v>0</v>
      </c>
      <c r="L411" s="176">
        <v>0</v>
      </c>
      <c r="M411" s="176">
        <v>0</v>
      </c>
      <c r="N411" s="176">
        <v>0</v>
      </c>
      <c r="O411" s="160">
        <v>0</v>
      </c>
      <c r="P411" s="167">
        <f>SUM(J411:O411)</f>
        <v>0</v>
      </c>
      <c r="Q411" s="170">
        <f>SUM(I411,P411)</f>
        <v>4</v>
      </c>
    </row>
    <row r="412" spans="1:17" x14ac:dyDescent="0.25">
      <c r="A412" s="86">
        <v>2</v>
      </c>
      <c r="B412" s="12" t="s">
        <v>19</v>
      </c>
      <c r="C412" s="16">
        <v>0</v>
      </c>
      <c r="D412" s="16">
        <v>0</v>
      </c>
      <c r="E412" s="16">
        <v>0</v>
      </c>
      <c r="F412" s="16">
        <v>0</v>
      </c>
      <c r="G412" s="16">
        <v>0</v>
      </c>
      <c r="H412" s="16">
        <v>0</v>
      </c>
      <c r="I412" s="168">
        <f t="shared" ref="I412:I418" si="129">SUM(C412:H412)</f>
        <v>0</v>
      </c>
      <c r="J412" s="177">
        <v>0</v>
      </c>
      <c r="K412" s="177">
        <v>0</v>
      </c>
      <c r="L412" s="177">
        <v>0</v>
      </c>
      <c r="M412" s="177">
        <v>0</v>
      </c>
      <c r="N412" s="177">
        <v>0</v>
      </c>
      <c r="O412" s="161">
        <v>0</v>
      </c>
      <c r="P412" s="168">
        <f t="shared" ref="P412:P418" si="130">SUM(J412:O412)</f>
        <v>0</v>
      </c>
      <c r="Q412" s="171">
        <f t="shared" ref="Q412:Q418" si="131">SUM(I412,P412)</f>
        <v>0</v>
      </c>
    </row>
    <row r="413" spans="1:17" x14ac:dyDescent="0.25">
      <c r="A413" s="86">
        <v>3</v>
      </c>
      <c r="B413" s="7" t="s">
        <v>20</v>
      </c>
      <c r="C413" s="16">
        <v>0</v>
      </c>
      <c r="D413" s="16">
        <v>0</v>
      </c>
      <c r="E413" s="16">
        <v>0</v>
      </c>
      <c r="F413" s="16">
        <v>0</v>
      </c>
      <c r="G413" s="16">
        <v>0</v>
      </c>
      <c r="H413" s="16">
        <v>0</v>
      </c>
      <c r="I413" s="168">
        <f t="shared" si="129"/>
        <v>0</v>
      </c>
      <c r="J413" s="177">
        <v>1</v>
      </c>
      <c r="K413" s="177">
        <v>2</v>
      </c>
      <c r="L413" s="177">
        <v>0</v>
      </c>
      <c r="M413" s="177">
        <v>0</v>
      </c>
      <c r="N413" s="177">
        <v>0</v>
      </c>
      <c r="O413" s="161">
        <v>0</v>
      </c>
      <c r="P413" s="168">
        <f t="shared" si="130"/>
        <v>3</v>
      </c>
      <c r="Q413" s="171">
        <f t="shared" si="131"/>
        <v>3</v>
      </c>
    </row>
    <row r="414" spans="1:17" x14ac:dyDescent="0.25">
      <c r="A414" s="87">
        <v>4</v>
      </c>
      <c r="B414" s="15" t="s">
        <v>21</v>
      </c>
      <c r="C414" s="16">
        <v>0</v>
      </c>
      <c r="D414" s="16">
        <v>0</v>
      </c>
      <c r="E414" s="16">
        <v>0</v>
      </c>
      <c r="F414" s="16">
        <v>0</v>
      </c>
      <c r="G414" s="16">
        <v>0</v>
      </c>
      <c r="H414" s="16">
        <v>0</v>
      </c>
      <c r="I414" s="168">
        <f t="shared" si="129"/>
        <v>0</v>
      </c>
      <c r="J414" s="178">
        <v>8</v>
      </c>
      <c r="K414" s="178">
        <v>10</v>
      </c>
      <c r="L414" s="178">
        <v>0</v>
      </c>
      <c r="M414" s="178">
        <v>0</v>
      </c>
      <c r="N414" s="178">
        <v>0</v>
      </c>
      <c r="O414" s="162">
        <v>0</v>
      </c>
      <c r="P414" s="168">
        <f t="shared" si="130"/>
        <v>18</v>
      </c>
      <c r="Q414" s="171">
        <f t="shared" si="131"/>
        <v>18</v>
      </c>
    </row>
    <row r="415" spans="1:17" x14ac:dyDescent="0.25">
      <c r="A415" s="87">
        <v>5</v>
      </c>
      <c r="B415" s="19" t="s">
        <v>22</v>
      </c>
      <c r="C415" s="16">
        <v>0</v>
      </c>
      <c r="D415" s="16">
        <v>0</v>
      </c>
      <c r="E415" s="16">
        <v>0</v>
      </c>
      <c r="F415" s="16">
        <v>0</v>
      </c>
      <c r="G415" s="16">
        <v>0</v>
      </c>
      <c r="H415" s="16">
        <v>0</v>
      </c>
      <c r="I415" s="168">
        <f t="shared" si="129"/>
        <v>0</v>
      </c>
      <c r="J415" s="178">
        <v>0</v>
      </c>
      <c r="K415" s="178">
        <v>12</v>
      </c>
      <c r="L415" s="178">
        <v>0</v>
      </c>
      <c r="M415" s="178">
        <v>0</v>
      </c>
      <c r="N415" s="178">
        <v>0</v>
      </c>
      <c r="O415" s="162">
        <v>0</v>
      </c>
      <c r="P415" s="168">
        <f t="shared" si="130"/>
        <v>12</v>
      </c>
      <c r="Q415" s="171">
        <f t="shared" si="131"/>
        <v>12</v>
      </c>
    </row>
    <row r="416" spans="1:17" x14ac:dyDescent="0.25">
      <c r="A416" s="87">
        <v>6</v>
      </c>
      <c r="B416" s="19" t="s">
        <v>23</v>
      </c>
      <c r="C416" s="16">
        <v>0</v>
      </c>
      <c r="D416" s="16">
        <v>0</v>
      </c>
      <c r="E416" s="16">
        <v>0</v>
      </c>
      <c r="F416" s="16">
        <v>0</v>
      </c>
      <c r="G416" s="16">
        <v>0</v>
      </c>
      <c r="H416" s="16">
        <v>0</v>
      </c>
      <c r="I416" s="168">
        <f t="shared" si="129"/>
        <v>0</v>
      </c>
      <c r="J416" s="178">
        <v>0</v>
      </c>
      <c r="K416" s="178">
        <v>0</v>
      </c>
      <c r="L416" s="178">
        <v>0</v>
      </c>
      <c r="M416" s="178">
        <v>0</v>
      </c>
      <c r="N416" s="178">
        <v>0</v>
      </c>
      <c r="O416" s="162">
        <v>0</v>
      </c>
      <c r="P416" s="168">
        <f t="shared" si="130"/>
        <v>0</v>
      </c>
      <c r="Q416" s="171">
        <f t="shared" si="131"/>
        <v>0</v>
      </c>
    </row>
    <row r="417" spans="1:17" x14ac:dyDescent="0.25">
      <c r="A417" s="87">
        <v>7</v>
      </c>
      <c r="B417" s="19" t="s">
        <v>24</v>
      </c>
      <c r="C417" s="16">
        <v>0</v>
      </c>
      <c r="D417" s="16">
        <v>0</v>
      </c>
      <c r="E417" s="16">
        <v>0</v>
      </c>
      <c r="F417" s="16">
        <v>0</v>
      </c>
      <c r="G417" s="16">
        <v>0</v>
      </c>
      <c r="H417" s="16">
        <v>0</v>
      </c>
      <c r="I417" s="168">
        <f t="shared" si="129"/>
        <v>0</v>
      </c>
      <c r="J417" s="178">
        <v>0</v>
      </c>
      <c r="K417" s="178">
        <v>0</v>
      </c>
      <c r="L417" s="178">
        <v>0</v>
      </c>
      <c r="M417" s="178">
        <v>0</v>
      </c>
      <c r="N417" s="178">
        <v>0</v>
      </c>
      <c r="O417" s="162">
        <v>0</v>
      </c>
      <c r="P417" s="168">
        <f t="shared" si="130"/>
        <v>0</v>
      </c>
      <c r="Q417" s="171">
        <f t="shared" si="131"/>
        <v>0</v>
      </c>
    </row>
    <row r="418" spans="1:17" ht="15.75" thickBot="1" x14ac:dyDescent="0.3">
      <c r="A418" s="88">
        <v>8</v>
      </c>
      <c r="B418" s="15" t="s">
        <v>25</v>
      </c>
      <c r="C418" s="17">
        <v>0</v>
      </c>
      <c r="D418" s="17">
        <v>0</v>
      </c>
      <c r="E418" s="17">
        <v>0</v>
      </c>
      <c r="F418" s="17">
        <v>1</v>
      </c>
      <c r="G418" s="17">
        <v>0</v>
      </c>
      <c r="H418" s="17">
        <v>0</v>
      </c>
      <c r="I418" s="169">
        <f t="shared" si="129"/>
        <v>1</v>
      </c>
      <c r="J418" s="179">
        <v>1</v>
      </c>
      <c r="K418" s="179">
        <v>0</v>
      </c>
      <c r="L418" s="179">
        <v>0</v>
      </c>
      <c r="M418" s="179">
        <v>0</v>
      </c>
      <c r="N418" s="179">
        <v>0</v>
      </c>
      <c r="O418" s="163">
        <v>0</v>
      </c>
      <c r="P418" s="169">
        <f t="shared" si="130"/>
        <v>1</v>
      </c>
      <c r="Q418" s="172">
        <f t="shared" si="131"/>
        <v>2</v>
      </c>
    </row>
    <row r="419" spans="1:17" ht="16.5" thickTop="1" thickBot="1" x14ac:dyDescent="0.3">
      <c r="A419" s="443" t="s">
        <v>26</v>
      </c>
      <c r="B419" s="444"/>
      <c r="C419" s="133">
        <f t="shared" ref="C419" si="132">SUM(C411:C418)</f>
        <v>0</v>
      </c>
      <c r="D419" s="133">
        <f>SUM(D411:D418)</f>
        <v>0</v>
      </c>
      <c r="E419" s="133">
        <f t="shared" ref="E419" si="133">SUM(E411:E418)</f>
        <v>2</v>
      </c>
      <c r="F419" s="133">
        <v>2</v>
      </c>
      <c r="G419" s="133">
        <v>4</v>
      </c>
      <c r="H419" s="164">
        <v>2</v>
      </c>
      <c r="I419" s="166">
        <f>SUM(I411:I418)</f>
        <v>5</v>
      </c>
      <c r="J419" s="180">
        <f t="shared" ref="J419:O419" si="134">SUM(J411:J418)</f>
        <v>10</v>
      </c>
      <c r="K419" s="133">
        <f t="shared" si="134"/>
        <v>24</v>
      </c>
      <c r="L419" s="133">
        <f t="shared" si="134"/>
        <v>0</v>
      </c>
      <c r="M419" s="133">
        <f t="shared" si="134"/>
        <v>0</v>
      </c>
      <c r="N419" s="133">
        <f t="shared" si="134"/>
        <v>0</v>
      </c>
      <c r="O419" s="164">
        <f t="shared" si="134"/>
        <v>0</v>
      </c>
      <c r="P419" s="166">
        <f>SUM(P411:P418)</f>
        <v>34</v>
      </c>
      <c r="Q419" s="173">
        <f>SUM(Q411:Q418)</f>
        <v>39</v>
      </c>
    </row>
    <row r="422" spans="1:17" ht="15.75" x14ac:dyDescent="0.25">
      <c r="A422" s="445" t="s">
        <v>184</v>
      </c>
      <c r="B422" s="445"/>
      <c r="C422" s="445"/>
      <c r="D422" s="445"/>
      <c r="E422" s="445"/>
      <c r="F422" s="445"/>
      <c r="G422" s="445"/>
      <c r="H422" s="445"/>
      <c r="I422" s="445"/>
      <c r="J422" s="445"/>
      <c r="K422" s="445"/>
      <c r="L422" s="445"/>
      <c r="M422" s="445"/>
      <c r="N422" s="445"/>
      <c r="O422" s="445"/>
      <c r="P422" s="445"/>
      <c r="Q422" s="445"/>
    </row>
    <row r="423" spans="1:17" ht="15.75" x14ac:dyDescent="0.25">
      <c r="A423" s="445" t="s">
        <v>83</v>
      </c>
      <c r="B423" s="445"/>
      <c r="C423" s="445"/>
      <c r="D423" s="445"/>
      <c r="E423" s="445"/>
      <c r="F423" s="445"/>
      <c r="G423" s="445"/>
      <c r="H423" s="445"/>
      <c r="I423" s="445"/>
      <c r="J423" s="445"/>
      <c r="K423" s="445"/>
      <c r="L423" s="445"/>
      <c r="M423" s="445"/>
      <c r="N423" s="445"/>
      <c r="O423" s="445"/>
      <c r="P423" s="445"/>
      <c r="Q423" s="445"/>
    </row>
    <row r="424" spans="1:17" ht="15.75" thickBot="1" x14ac:dyDescent="0.3">
      <c r="Q424" s="77" t="s">
        <v>1</v>
      </c>
    </row>
    <row r="425" spans="1:17" x14ac:dyDescent="0.25">
      <c r="A425" s="440" t="s">
        <v>2</v>
      </c>
      <c r="B425" s="442" t="s">
        <v>3</v>
      </c>
      <c r="C425" s="446" t="s">
        <v>84</v>
      </c>
      <c r="D425" s="447"/>
      <c r="E425" s="447"/>
      <c r="F425" s="447"/>
      <c r="G425" s="447"/>
      <c r="H425" s="447"/>
      <c r="I425" s="448" t="s">
        <v>91</v>
      </c>
      <c r="J425" s="447">
        <v>2015</v>
      </c>
      <c r="K425" s="447"/>
      <c r="L425" s="447"/>
      <c r="M425" s="447"/>
      <c r="N425" s="447"/>
      <c r="O425" s="447"/>
      <c r="P425" s="448" t="s">
        <v>92</v>
      </c>
      <c r="Q425" s="450" t="s">
        <v>5</v>
      </c>
    </row>
    <row r="426" spans="1:17" x14ac:dyDescent="0.25">
      <c r="A426" s="441"/>
      <c r="B426" s="426"/>
      <c r="C426" s="409" t="s">
        <v>15</v>
      </c>
      <c r="D426" s="409" t="s">
        <v>16</v>
      </c>
      <c r="E426" s="409" t="s">
        <v>17</v>
      </c>
      <c r="F426" s="409" t="s">
        <v>6</v>
      </c>
      <c r="G426" s="409" t="s">
        <v>78</v>
      </c>
      <c r="H426" s="158" t="s">
        <v>79</v>
      </c>
      <c r="I426" s="449"/>
      <c r="J426" s="117" t="s">
        <v>80</v>
      </c>
      <c r="K426" s="409" t="s">
        <v>10</v>
      </c>
      <c r="L426" s="409" t="s">
        <v>11</v>
      </c>
      <c r="M426" s="409" t="s">
        <v>12</v>
      </c>
      <c r="N426" s="409" t="s">
        <v>81</v>
      </c>
      <c r="O426" s="158" t="s">
        <v>82</v>
      </c>
      <c r="P426" s="449"/>
      <c r="Q426" s="451"/>
    </row>
    <row r="427" spans="1:17" ht="15.75" thickBot="1" x14ac:dyDescent="0.3">
      <c r="A427" s="128">
        <v>1</v>
      </c>
      <c r="B427" s="5">
        <v>2</v>
      </c>
      <c r="C427" s="5">
        <v>3</v>
      </c>
      <c r="D427" s="5">
        <v>4</v>
      </c>
      <c r="E427" s="5">
        <v>5</v>
      </c>
      <c r="F427" s="5">
        <v>6</v>
      </c>
      <c r="G427" s="5">
        <v>7</v>
      </c>
      <c r="H427" s="159">
        <v>8</v>
      </c>
      <c r="I427" s="165">
        <v>9</v>
      </c>
      <c r="J427" s="118">
        <v>10</v>
      </c>
      <c r="K427" s="5">
        <v>11</v>
      </c>
      <c r="L427" s="5">
        <v>12</v>
      </c>
      <c r="M427" s="5">
        <v>13</v>
      </c>
      <c r="N427" s="5">
        <v>14</v>
      </c>
      <c r="O427" s="159">
        <v>15</v>
      </c>
      <c r="P427" s="165">
        <v>16</v>
      </c>
      <c r="Q427" s="174">
        <v>17</v>
      </c>
    </row>
    <row r="428" spans="1:17" ht="15.75" thickTop="1" x14ac:dyDescent="0.25">
      <c r="A428" s="85">
        <v>1</v>
      </c>
      <c r="B428" s="7" t="s">
        <v>18</v>
      </c>
      <c r="C428" s="370">
        <f>'padi sawah'!L9</f>
        <v>0</v>
      </c>
      <c r="D428" s="370">
        <f>'padi sawah'!M9</f>
        <v>0</v>
      </c>
      <c r="E428" s="370">
        <f>'padi sawah'!N9</f>
        <v>0</v>
      </c>
      <c r="F428" s="59">
        <v>5</v>
      </c>
      <c r="G428" s="8"/>
      <c r="H428" s="160"/>
      <c r="I428" s="167">
        <f>SUM(C428:H428)</f>
        <v>5</v>
      </c>
      <c r="J428" s="176"/>
      <c r="K428" s="59"/>
      <c r="L428" s="9"/>
      <c r="M428" s="59"/>
      <c r="N428" s="357"/>
      <c r="O428" s="403"/>
      <c r="P428" s="167">
        <f>SUM(J428:O428)</f>
        <v>0</v>
      </c>
      <c r="Q428" s="170">
        <f>SUM(I428,P428)</f>
        <v>5</v>
      </c>
    </row>
    <row r="429" spans="1:17" x14ac:dyDescent="0.25">
      <c r="A429" s="86">
        <v>2</v>
      </c>
      <c r="B429" s="12" t="s">
        <v>19</v>
      </c>
      <c r="C429" s="60">
        <f>'padi sawah'!L10</f>
        <v>4</v>
      </c>
      <c r="D429" s="60">
        <f>'padi sawah'!M10</f>
        <v>2</v>
      </c>
      <c r="E429" s="60">
        <f>'padi sawah'!N10</f>
        <v>29</v>
      </c>
      <c r="F429" s="60">
        <v>22</v>
      </c>
      <c r="G429" s="8"/>
      <c r="H429" s="161"/>
      <c r="I429" s="168">
        <f t="shared" ref="I429:I435" si="135">SUM(C429:H429)</f>
        <v>57</v>
      </c>
      <c r="J429" s="177"/>
      <c r="K429" s="60"/>
      <c r="L429" s="8"/>
      <c r="M429" s="61"/>
      <c r="N429" s="8"/>
      <c r="O429" s="405"/>
      <c r="P429" s="168">
        <f t="shared" ref="P429:P434" si="136">SUM(J429:O429)</f>
        <v>0</v>
      </c>
      <c r="Q429" s="171">
        <f t="shared" ref="Q429:Q435" si="137">SUM(I429,P429)</f>
        <v>57</v>
      </c>
    </row>
    <row r="430" spans="1:17" x14ac:dyDescent="0.25">
      <c r="A430" s="86">
        <v>3</v>
      </c>
      <c r="B430" s="7" t="s">
        <v>20</v>
      </c>
      <c r="C430" s="60">
        <f>'padi sawah'!L11</f>
        <v>0</v>
      </c>
      <c r="D430" s="60">
        <f>'padi sawah'!M11</f>
        <v>0</v>
      </c>
      <c r="E430" s="60">
        <f>'padi sawah'!N11</f>
        <v>0</v>
      </c>
      <c r="F430" s="60">
        <v>0</v>
      </c>
      <c r="G430" s="8"/>
      <c r="H430" s="161"/>
      <c r="I430" s="168">
        <f t="shared" si="135"/>
        <v>0</v>
      </c>
      <c r="J430" s="177"/>
      <c r="K430" s="60"/>
      <c r="L430" s="8"/>
      <c r="M430" s="61"/>
      <c r="N430" s="8"/>
      <c r="O430" s="405"/>
      <c r="P430" s="168">
        <f t="shared" si="136"/>
        <v>0</v>
      </c>
      <c r="Q430" s="171">
        <f t="shared" si="137"/>
        <v>0</v>
      </c>
    </row>
    <row r="431" spans="1:17" x14ac:dyDescent="0.25">
      <c r="A431" s="87">
        <v>4</v>
      </c>
      <c r="B431" s="15" t="s">
        <v>21</v>
      </c>
      <c r="C431" s="60">
        <f>'padi sawah'!L12</f>
        <v>1</v>
      </c>
      <c r="D431" s="60">
        <f>'padi sawah'!M12</f>
        <v>2</v>
      </c>
      <c r="E431" s="60">
        <f>'padi sawah'!N12</f>
        <v>16</v>
      </c>
      <c r="F431" s="61">
        <v>109</v>
      </c>
      <c r="G431" s="16"/>
      <c r="H431" s="162"/>
      <c r="I431" s="168">
        <f t="shared" si="135"/>
        <v>128</v>
      </c>
      <c r="J431" s="178"/>
      <c r="K431" s="139"/>
      <c r="L431" s="16"/>
      <c r="M431" s="61"/>
      <c r="N431" s="8"/>
      <c r="O431" s="405"/>
      <c r="P431" s="168">
        <f t="shared" si="136"/>
        <v>0</v>
      </c>
      <c r="Q431" s="171">
        <f t="shared" si="137"/>
        <v>128</v>
      </c>
    </row>
    <row r="432" spans="1:17" x14ac:dyDescent="0.25">
      <c r="A432" s="87">
        <v>5</v>
      </c>
      <c r="B432" s="19" t="s">
        <v>22</v>
      </c>
      <c r="C432" s="60">
        <f>'padi sawah'!L13</f>
        <v>0</v>
      </c>
      <c r="D432" s="60">
        <f>'padi sawah'!M13</f>
        <v>0</v>
      </c>
      <c r="E432" s="60">
        <f>'padi sawah'!N13</f>
        <v>0</v>
      </c>
      <c r="F432" s="61">
        <v>14</v>
      </c>
      <c r="G432" s="16"/>
      <c r="H432" s="162"/>
      <c r="I432" s="168">
        <f t="shared" si="135"/>
        <v>14</v>
      </c>
      <c r="J432" s="178"/>
      <c r="K432" s="61"/>
      <c r="L432" s="16"/>
      <c r="M432" s="16"/>
      <c r="N432" s="8"/>
      <c r="O432" s="405"/>
      <c r="P432" s="168">
        <f t="shared" si="136"/>
        <v>0</v>
      </c>
      <c r="Q432" s="171">
        <f t="shared" si="137"/>
        <v>14</v>
      </c>
    </row>
    <row r="433" spans="1:17" x14ac:dyDescent="0.25">
      <c r="A433" s="87">
        <v>6</v>
      </c>
      <c r="B433" s="19" t="s">
        <v>23</v>
      </c>
      <c r="C433" s="60">
        <f>'padi sawah'!L14</f>
        <v>0</v>
      </c>
      <c r="D433" s="60">
        <f>'padi sawah'!M14</f>
        <v>5</v>
      </c>
      <c r="E433" s="60">
        <f>'padi sawah'!N14</f>
        <v>7</v>
      </c>
      <c r="F433" s="61">
        <v>9</v>
      </c>
      <c r="G433" s="16"/>
      <c r="H433" s="162"/>
      <c r="I433" s="168">
        <f t="shared" si="135"/>
        <v>21</v>
      </c>
      <c r="J433" s="178"/>
      <c r="K433" s="61"/>
      <c r="L433" s="16"/>
      <c r="M433" s="16"/>
      <c r="N433" s="8"/>
      <c r="O433" s="405"/>
      <c r="P433" s="168">
        <f t="shared" si="136"/>
        <v>0</v>
      </c>
      <c r="Q433" s="171">
        <f t="shared" si="137"/>
        <v>21</v>
      </c>
    </row>
    <row r="434" spans="1:17" x14ac:dyDescent="0.25">
      <c r="A434" s="87">
        <v>7</v>
      </c>
      <c r="B434" s="19" t="s">
        <v>24</v>
      </c>
      <c r="C434" s="60">
        <f>'padi sawah'!L15</f>
        <v>0</v>
      </c>
      <c r="D434" s="60">
        <f>'padi sawah'!M15</f>
        <v>5</v>
      </c>
      <c r="E434" s="60">
        <f>'padi sawah'!N15</f>
        <v>179</v>
      </c>
      <c r="F434" s="61">
        <v>98</v>
      </c>
      <c r="G434" s="16"/>
      <c r="H434" s="162"/>
      <c r="I434" s="168">
        <f t="shared" si="135"/>
        <v>282</v>
      </c>
      <c r="J434" s="178"/>
      <c r="K434" s="61"/>
      <c r="L434" s="16"/>
      <c r="M434" s="16"/>
      <c r="N434" s="8"/>
      <c r="O434" s="405"/>
      <c r="P434" s="168">
        <f t="shared" si="136"/>
        <v>0</v>
      </c>
      <c r="Q434" s="171">
        <f t="shared" si="137"/>
        <v>282</v>
      </c>
    </row>
    <row r="435" spans="1:17" ht="15.75" thickBot="1" x14ac:dyDescent="0.3">
      <c r="A435" s="88">
        <v>8</v>
      </c>
      <c r="B435" s="15" t="s">
        <v>25</v>
      </c>
      <c r="C435" s="410">
        <f>'padi sawah'!L16</f>
        <v>1</v>
      </c>
      <c r="D435" s="371">
        <f>'padi sawah'!M16</f>
        <v>1</v>
      </c>
      <c r="E435" s="60">
        <f>'padi sawah'!N16</f>
        <v>42</v>
      </c>
      <c r="F435" s="62">
        <v>24</v>
      </c>
      <c r="G435" s="17"/>
      <c r="H435" s="163"/>
      <c r="I435" s="169">
        <f t="shared" si="135"/>
        <v>68</v>
      </c>
      <c r="J435" s="179"/>
      <c r="K435" s="139"/>
      <c r="L435" s="17"/>
      <c r="M435" s="17"/>
      <c r="N435" s="358"/>
      <c r="O435" s="404"/>
      <c r="P435" s="169">
        <f>SUM(J435:O435)</f>
        <v>0</v>
      </c>
      <c r="Q435" s="172">
        <f t="shared" si="137"/>
        <v>68</v>
      </c>
    </row>
    <row r="436" spans="1:17" ht="16.5" thickTop="1" thickBot="1" x14ac:dyDescent="0.3">
      <c r="A436" s="443" t="s">
        <v>26</v>
      </c>
      <c r="B436" s="444"/>
      <c r="C436" s="133">
        <f t="shared" ref="C436:H436" si="138">SUM(C428:C435)</f>
        <v>6</v>
      </c>
      <c r="D436" s="133">
        <f t="shared" si="138"/>
        <v>15</v>
      </c>
      <c r="E436" s="133">
        <f t="shared" si="138"/>
        <v>273</v>
      </c>
      <c r="F436" s="133">
        <f t="shared" si="138"/>
        <v>281</v>
      </c>
      <c r="G436" s="133">
        <f t="shared" si="138"/>
        <v>0</v>
      </c>
      <c r="H436" s="164">
        <f t="shared" si="138"/>
        <v>0</v>
      </c>
      <c r="I436" s="166">
        <f>SUM(I428:I435)</f>
        <v>575</v>
      </c>
      <c r="J436" s="180">
        <f t="shared" ref="J436:O436" si="139">SUM(J428:J435)</f>
        <v>0</v>
      </c>
      <c r="K436" s="133">
        <f t="shared" si="139"/>
        <v>0</v>
      </c>
      <c r="L436" s="133">
        <f t="shared" si="139"/>
        <v>0</v>
      </c>
      <c r="M436" s="133">
        <f t="shared" si="139"/>
        <v>0</v>
      </c>
      <c r="N436" s="133">
        <f t="shared" si="139"/>
        <v>0</v>
      </c>
      <c r="O436" s="164">
        <f t="shared" si="139"/>
        <v>0</v>
      </c>
      <c r="P436" s="166">
        <f>SUM(P428:P435)</f>
        <v>0</v>
      </c>
      <c r="Q436" s="173">
        <f>SUM(Q428:Q435)</f>
        <v>575</v>
      </c>
    </row>
    <row r="438" spans="1:17" ht="15.75" x14ac:dyDescent="0.25">
      <c r="A438" s="445" t="s">
        <v>189</v>
      </c>
      <c r="B438" s="445"/>
      <c r="C438" s="445"/>
      <c r="D438" s="445"/>
      <c r="E438" s="445"/>
      <c r="F438" s="445"/>
      <c r="G438" s="445"/>
      <c r="H438" s="445"/>
      <c r="I438" s="445"/>
      <c r="J438" s="445"/>
      <c r="K438" s="445"/>
      <c r="L438" s="445"/>
      <c r="M438" s="445"/>
      <c r="N438" s="445"/>
      <c r="O438" s="445"/>
      <c r="P438" s="445"/>
      <c r="Q438" s="445"/>
    </row>
    <row r="439" spans="1:17" ht="15.75" x14ac:dyDescent="0.25">
      <c r="A439" s="445" t="s">
        <v>83</v>
      </c>
      <c r="B439" s="445"/>
      <c r="C439" s="445"/>
      <c r="D439" s="445"/>
      <c r="E439" s="445"/>
      <c r="F439" s="445"/>
      <c r="G439" s="445"/>
      <c r="H439" s="445"/>
      <c r="I439" s="445"/>
      <c r="J439" s="445"/>
      <c r="K439" s="445"/>
      <c r="L439" s="445"/>
      <c r="M439" s="445"/>
      <c r="N439" s="445"/>
      <c r="O439" s="445"/>
      <c r="P439" s="445"/>
      <c r="Q439" s="445"/>
    </row>
    <row r="440" spans="1:17" ht="15.75" thickBot="1" x14ac:dyDescent="0.3">
      <c r="Q440" s="77" t="s">
        <v>1</v>
      </c>
    </row>
    <row r="441" spans="1:17" x14ac:dyDescent="0.25">
      <c r="A441" s="440" t="s">
        <v>2</v>
      </c>
      <c r="B441" s="442" t="s">
        <v>3</v>
      </c>
      <c r="C441" s="446" t="s">
        <v>84</v>
      </c>
      <c r="D441" s="447"/>
      <c r="E441" s="447"/>
      <c r="F441" s="447"/>
      <c r="G441" s="447"/>
      <c r="H441" s="447"/>
      <c r="I441" s="448" t="s">
        <v>91</v>
      </c>
      <c r="J441" s="447">
        <v>2015</v>
      </c>
      <c r="K441" s="447"/>
      <c r="L441" s="447"/>
      <c r="M441" s="447"/>
      <c r="N441" s="447"/>
      <c r="O441" s="447"/>
      <c r="P441" s="448" t="s">
        <v>92</v>
      </c>
      <c r="Q441" s="450" t="s">
        <v>5</v>
      </c>
    </row>
    <row r="442" spans="1:17" x14ac:dyDescent="0.25">
      <c r="A442" s="441"/>
      <c r="B442" s="426"/>
      <c r="C442" s="411" t="s">
        <v>15</v>
      </c>
      <c r="D442" s="411" t="s">
        <v>16</v>
      </c>
      <c r="E442" s="411" t="s">
        <v>17</v>
      </c>
      <c r="F442" s="411" t="s">
        <v>6</v>
      </c>
      <c r="G442" s="411" t="s">
        <v>78</v>
      </c>
      <c r="H442" s="158" t="s">
        <v>79</v>
      </c>
      <c r="I442" s="449"/>
      <c r="J442" s="117" t="s">
        <v>80</v>
      </c>
      <c r="K442" s="411" t="s">
        <v>10</v>
      </c>
      <c r="L442" s="411" t="s">
        <v>11</v>
      </c>
      <c r="M442" s="411" t="s">
        <v>12</v>
      </c>
      <c r="N442" s="411" t="s">
        <v>81</v>
      </c>
      <c r="O442" s="158" t="s">
        <v>82</v>
      </c>
      <c r="P442" s="449"/>
      <c r="Q442" s="451"/>
    </row>
    <row r="443" spans="1:17" ht="15.75" thickBot="1" x14ac:dyDescent="0.3">
      <c r="A443" s="128">
        <v>1</v>
      </c>
      <c r="B443" s="5">
        <v>2</v>
      </c>
      <c r="C443" s="5">
        <v>3</v>
      </c>
      <c r="D443" s="5">
        <v>4</v>
      </c>
      <c r="E443" s="5">
        <v>5</v>
      </c>
      <c r="F443" s="5">
        <v>6</v>
      </c>
      <c r="G443" s="5">
        <v>7</v>
      </c>
      <c r="H443" s="159">
        <v>8</v>
      </c>
      <c r="I443" s="165">
        <v>9</v>
      </c>
      <c r="J443" s="118">
        <v>10</v>
      </c>
      <c r="K443" s="5">
        <v>11</v>
      </c>
      <c r="L443" s="5">
        <v>12</v>
      </c>
      <c r="M443" s="5">
        <v>13</v>
      </c>
      <c r="N443" s="5">
        <v>14</v>
      </c>
      <c r="O443" s="159">
        <v>15</v>
      </c>
      <c r="P443" s="165">
        <v>16</v>
      </c>
      <c r="Q443" s="174">
        <v>17</v>
      </c>
    </row>
    <row r="444" spans="1:17" ht="15.75" thickTop="1" x14ac:dyDescent="0.25">
      <c r="A444" s="85">
        <v>1</v>
      </c>
      <c r="B444" s="7" t="s">
        <v>18</v>
      </c>
      <c r="C444" s="370">
        <f>'padi ladang'!L9</f>
        <v>0</v>
      </c>
      <c r="D444" s="370">
        <f>'padi ladang'!M9</f>
        <v>0</v>
      </c>
      <c r="E444" s="370">
        <f>'padi ladang'!N9</f>
        <v>0</v>
      </c>
      <c r="F444" s="59">
        <v>0</v>
      </c>
      <c r="G444" s="8"/>
      <c r="H444" s="160"/>
      <c r="I444" s="167">
        <f>SUM(C444:H444)</f>
        <v>0</v>
      </c>
      <c r="J444" s="176"/>
      <c r="K444" s="59"/>
      <c r="L444" s="9"/>
      <c r="M444" s="59"/>
      <c r="N444" s="357"/>
      <c r="O444" s="403"/>
      <c r="P444" s="167">
        <f>SUM(J444:O444)</f>
        <v>0</v>
      </c>
      <c r="Q444" s="170">
        <f>SUM(I444,P444)</f>
        <v>0</v>
      </c>
    </row>
    <row r="445" spans="1:17" x14ac:dyDescent="0.25">
      <c r="A445" s="86">
        <v>2</v>
      </c>
      <c r="B445" s="12" t="s">
        <v>19</v>
      </c>
      <c r="C445" s="60">
        <f>'padi ladang'!L10</f>
        <v>0</v>
      </c>
      <c r="D445" s="60">
        <f>'padi ladang'!M10</f>
        <v>0</v>
      </c>
      <c r="E445" s="60">
        <f>'padi ladang'!N10</f>
        <v>0</v>
      </c>
      <c r="F445" s="60">
        <v>0</v>
      </c>
      <c r="G445" s="8"/>
      <c r="H445" s="161"/>
      <c r="I445" s="168">
        <f t="shared" ref="I445:I451" si="140">SUM(C445:H445)</f>
        <v>0</v>
      </c>
      <c r="J445" s="177"/>
      <c r="K445" s="60"/>
      <c r="L445" s="8"/>
      <c r="M445" s="61"/>
      <c r="N445" s="8"/>
      <c r="O445" s="405"/>
      <c r="P445" s="168">
        <f t="shared" ref="P445:P450" si="141">SUM(J445:O445)</f>
        <v>0</v>
      </c>
      <c r="Q445" s="171">
        <f t="shared" ref="Q445:Q451" si="142">SUM(I445,P445)</f>
        <v>0</v>
      </c>
    </row>
    <row r="446" spans="1:17" x14ac:dyDescent="0.25">
      <c r="A446" s="86">
        <v>3</v>
      </c>
      <c r="B446" s="7" t="s">
        <v>20</v>
      </c>
      <c r="C446" s="60">
        <f>'padi ladang'!L11</f>
        <v>0</v>
      </c>
      <c r="D446" s="60">
        <f>'padi ladang'!M11</f>
        <v>0</v>
      </c>
      <c r="E446" s="60">
        <f>'padi ladang'!N11</f>
        <v>5</v>
      </c>
      <c r="F446" s="60">
        <v>5</v>
      </c>
      <c r="G446" s="8"/>
      <c r="H446" s="161"/>
      <c r="I446" s="168">
        <f t="shared" si="140"/>
        <v>10</v>
      </c>
      <c r="J446" s="177"/>
      <c r="K446" s="60"/>
      <c r="L446" s="8"/>
      <c r="M446" s="61"/>
      <c r="N446" s="8"/>
      <c r="O446" s="405"/>
      <c r="P446" s="168">
        <f t="shared" si="141"/>
        <v>0</v>
      </c>
      <c r="Q446" s="171">
        <f t="shared" si="142"/>
        <v>10</v>
      </c>
    </row>
    <row r="447" spans="1:17" x14ac:dyDescent="0.25">
      <c r="A447" s="87">
        <v>4</v>
      </c>
      <c r="B447" s="15" t="s">
        <v>21</v>
      </c>
      <c r="C447" s="60">
        <f>'padi ladang'!L12</f>
        <v>0</v>
      </c>
      <c r="D447" s="60">
        <f>'padi ladang'!M12</f>
        <v>0</v>
      </c>
      <c r="E447" s="60">
        <f>'padi ladang'!N12</f>
        <v>0</v>
      </c>
      <c r="F447" s="61">
        <v>0</v>
      </c>
      <c r="G447" s="16"/>
      <c r="H447" s="162"/>
      <c r="I447" s="168">
        <f t="shared" si="140"/>
        <v>0</v>
      </c>
      <c r="J447" s="178"/>
      <c r="K447" s="139"/>
      <c r="L447" s="16"/>
      <c r="M447" s="61"/>
      <c r="N447" s="8"/>
      <c r="O447" s="405"/>
      <c r="P447" s="168">
        <f t="shared" si="141"/>
        <v>0</v>
      </c>
      <c r="Q447" s="171">
        <f t="shared" si="142"/>
        <v>0</v>
      </c>
    </row>
    <row r="448" spans="1:17" x14ac:dyDescent="0.25">
      <c r="A448" s="87">
        <v>5</v>
      </c>
      <c r="B448" s="19" t="s">
        <v>22</v>
      </c>
      <c r="C448" s="60">
        <f>'padi ladang'!L13</f>
        <v>0</v>
      </c>
      <c r="D448" s="60">
        <f>'padi ladang'!M13</f>
        <v>0</v>
      </c>
      <c r="E448" s="60">
        <f>'padi ladang'!N13</f>
        <v>0</v>
      </c>
      <c r="F448" s="61">
        <v>0</v>
      </c>
      <c r="G448" s="16"/>
      <c r="H448" s="162"/>
      <c r="I448" s="168">
        <f t="shared" si="140"/>
        <v>0</v>
      </c>
      <c r="J448" s="178"/>
      <c r="K448" s="61"/>
      <c r="L448" s="16"/>
      <c r="M448" s="16"/>
      <c r="N448" s="8"/>
      <c r="O448" s="405"/>
      <c r="P448" s="168">
        <f t="shared" si="141"/>
        <v>0</v>
      </c>
      <c r="Q448" s="171">
        <f t="shared" si="142"/>
        <v>0</v>
      </c>
    </row>
    <row r="449" spans="1:17" x14ac:dyDescent="0.25">
      <c r="A449" s="87">
        <v>6</v>
      </c>
      <c r="B449" s="19" t="s">
        <v>23</v>
      </c>
      <c r="C449" s="60">
        <f>'padi ladang'!L14</f>
        <v>0</v>
      </c>
      <c r="D449" s="60">
        <f>'padi ladang'!M14</f>
        <v>0</v>
      </c>
      <c r="E449" s="60">
        <f>'padi ladang'!N14</f>
        <v>0</v>
      </c>
      <c r="F449" s="61">
        <v>0</v>
      </c>
      <c r="G449" s="16"/>
      <c r="H449" s="162"/>
      <c r="I449" s="168">
        <f t="shared" si="140"/>
        <v>0</v>
      </c>
      <c r="J449" s="178"/>
      <c r="K449" s="61"/>
      <c r="L449" s="16"/>
      <c r="M449" s="16"/>
      <c r="N449" s="8"/>
      <c r="O449" s="405"/>
      <c r="P449" s="168">
        <f t="shared" si="141"/>
        <v>0</v>
      </c>
      <c r="Q449" s="171">
        <f t="shared" si="142"/>
        <v>0</v>
      </c>
    </row>
    <row r="450" spans="1:17" x14ac:dyDescent="0.25">
      <c r="A450" s="87">
        <v>7</v>
      </c>
      <c r="B450" s="19" t="s">
        <v>24</v>
      </c>
      <c r="C450" s="60">
        <f>'padi ladang'!L15</f>
        <v>0</v>
      </c>
      <c r="D450" s="60">
        <f>'padi ladang'!M15</f>
        <v>0</v>
      </c>
      <c r="E450" s="60">
        <f>'padi ladang'!N15</f>
        <v>0</v>
      </c>
      <c r="F450" s="61">
        <v>0</v>
      </c>
      <c r="G450" s="16"/>
      <c r="H450" s="162"/>
      <c r="I450" s="168">
        <f t="shared" si="140"/>
        <v>0</v>
      </c>
      <c r="J450" s="178"/>
      <c r="K450" s="61"/>
      <c r="L450" s="16"/>
      <c r="M450" s="16"/>
      <c r="N450" s="8"/>
      <c r="O450" s="405"/>
      <c r="P450" s="168">
        <f t="shared" si="141"/>
        <v>0</v>
      </c>
      <c r="Q450" s="171">
        <f t="shared" si="142"/>
        <v>0</v>
      </c>
    </row>
    <row r="451" spans="1:17" ht="15.75" thickBot="1" x14ac:dyDescent="0.3">
      <c r="A451" s="88">
        <v>8</v>
      </c>
      <c r="B451" s="15" t="s">
        <v>25</v>
      </c>
      <c r="C451" s="371">
        <f>'padi ladang'!L16</f>
        <v>0</v>
      </c>
      <c r="D451" s="371">
        <f>'padi ladang'!M16</f>
        <v>0</v>
      </c>
      <c r="E451" s="371">
        <f>'padi ladang'!N16</f>
        <v>0</v>
      </c>
      <c r="F451" s="62">
        <v>0</v>
      </c>
      <c r="G451" s="17"/>
      <c r="H451" s="163"/>
      <c r="I451" s="169">
        <f t="shared" si="140"/>
        <v>0</v>
      </c>
      <c r="J451" s="179"/>
      <c r="K451" s="139"/>
      <c r="L451" s="17"/>
      <c r="M451" s="17"/>
      <c r="N451" s="358"/>
      <c r="O451" s="404"/>
      <c r="P451" s="169">
        <f>SUM(J451:O451)</f>
        <v>0</v>
      </c>
      <c r="Q451" s="172">
        <f t="shared" si="142"/>
        <v>0</v>
      </c>
    </row>
    <row r="452" spans="1:17" ht="16.5" thickTop="1" thickBot="1" x14ac:dyDescent="0.3">
      <c r="A452" s="443" t="s">
        <v>26</v>
      </c>
      <c r="B452" s="444"/>
      <c r="C452" s="133">
        <f t="shared" ref="C452:H452" si="143">SUM(C444:C451)</f>
        <v>0</v>
      </c>
      <c r="D452" s="133">
        <f t="shared" si="143"/>
        <v>0</v>
      </c>
      <c r="E452" s="133">
        <f t="shared" si="143"/>
        <v>5</v>
      </c>
      <c r="F452" s="133">
        <f t="shared" si="143"/>
        <v>5</v>
      </c>
      <c r="G452" s="133">
        <f t="shared" si="143"/>
        <v>0</v>
      </c>
      <c r="H452" s="164">
        <f t="shared" si="143"/>
        <v>0</v>
      </c>
      <c r="I452" s="166">
        <f>SUM(I444:I451)</f>
        <v>10</v>
      </c>
      <c r="J452" s="180">
        <f t="shared" ref="J452:O452" si="144">SUM(J444:J451)</f>
        <v>0</v>
      </c>
      <c r="K452" s="133">
        <f t="shared" si="144"/>
        <v>0</v>
      </c>
      <c r="L452" s="133">
        <f t="shared" si="144"/>
        <v>0</v>
      </c>
      <c r="M452" s="133">
        <f t="shared" si="144"/>
        <v>0</v>
      </c>
      <c r="N452" s="133">
        <f t="shared" si="144"/>
        <v>0</v>
      </c>
      <c r="O452" s="164">
        <f t="shared" si="144"/>
        <v>0</v>
      </c>
      <c r="P452" s="166">
        <f>SUM(P444:P451)</f>
        <v>0</v>
      </c>
      <c r="Q452" s="173">
        <f>SUM(Q444:Q451)</f>
        <v>10</v>
      </c>
    </row>
    <row r="454" spans="1:17" ht="15.75" x14ac:dyDescent="0.25">
      <c r="A454" s="445" t="s">
        <v>191</v>
      </c>
      <c r="B454" s="445"/>
      <c r="C454" s="445"/>
      <c r="D454" s="445"/>
      <c r="E454" s="445"/>
      <c r="F454" s="445"/>
      <c r="G454" s="445"/>
      <c r="H454" s="445"/>
      <c r="I454" s="445"/>
      <c r="J454" s="445"/>
      <c r="K454" s="445"/>
      <c r="L454" s="445"/>
      <c r="M454" s="445"/>
      <c r="N454" s="445"/>
      <c r="O454" s="445"/>
      <c r="P454" s="445"/>
      <c r="Q454" s="445"/>
    </row>
    <row r="455" spans="1:17" ht="15.75" x14ac:dyDescent="0.25">
      <c r="A455" s="445" t="s">
        <v>83</v>
      </c>
      <c r="B455" s="445"/>
      <c r="C455" s="445"/>
      <c r="D455" s="445"/>
      <c r="E455" s="445"/>
      <c r="F455" s="445"/>
      <c r="G455" s="445"/>
      <c r="H455" s="445"/>
      <c r="I455" s="445"/>
      <c r="J455" s="445"/>
      <c r="K455" s="445"/>
      <c r="L455" s="445"/>
      <c r="M455" s="445"/>
      <c r="N455" s="445"/>
      <c r="O455" s="445"/>
      <c r="P455" s="445"/>
      <c r="Q455" s="445"/>
    </row>
    <row r="456" spans="1:17" ht="15.75" thickBot="1" x14ac:dyDescent="0.3">
      <c r="Q456" s="77" t="s">
        <v>1</v>
      </c>
    </row>
    <row r="457" spans="1:17" x14ac:dyDescent="0.25">
      <c r="A457" s="440" t="s">
        <v>2</v>
      </c>
      <c r="B457" s="442" t="s">
        <v>3</v>
      </c>
      <c r="C457" s="446" t="s">
        <v>84</v>
      </c>
      <c r="D457" s="447"/>
      <c r="E457" s="447"/>
      <c r="F457" s="447"/>
      <c r="G457" s="447"/>
      <c r="H457" s="447"/>
      <c r="I457" s="448" t="s">
        <v>91</v>
      </c>
      <c r="J457" s="447">
        <v>2015</v>
      </c>
      <c r="K457" s="447"/>
      <c r="L457" s="447"/>
      <c r="M457" s="447"/>
      <c r="N457" s="447"/>
      <c r="O457" s="447"/>
      <c r="P457" s="448" t="s">
        <v>92</v>
      </c>
      <c r="Q457" s="450" t="s">
        <v>5</v>
      </c>
    </row>
    <row r="458" spans="1:17" x14ac:dyDescent="0.25">
      <c r="A458" s="441"/>
      <c r="B458" s="426"/>
      <c r="C458" s="411" t="s">
        <v>15</v>
      </c>
      <c r="D458" s="411" t="s">
        <v>16</v>
      </c>
      <c r="E458" s="411" t="s">
        <v>17</v>
      </c>
      <c r="F458" s="411" t="s">
        <v>6</v>
      </c>
      <c r="G458" s="411" t="s">
        <v>78</v>
      </c>
      <c r="H458" s="158" t="s">
        <v>79</v>
      </c>
      <c r="I458" s="449"/>
      <c r="J458" s="117" t="s">
        <v>80</v>
      </c>
      <c r="K458" s="411" t="s">
        <v>10</v>
      </c>
      <c r="L458" s="411" t="s">
        <v>11</v>
      </c>
      <c r="M458" s="411" t="s">
        <v>12</v>
      </c>
      <c r="N458" s="411" t="s">
        <v>81</v>
      </c>
      <c r="O458" s="158" t="s">
        <v>82</v>
      </c>
      <c r="P458" s="449"/>
      <c r="Q458" s="451"/>
    </row>
    <row r="459" spans="1:17" ht="15.75" thickBot="1" x14ac:dyDescent="0.3">
      <c r="A459" s="128">
        <v>1</v>
      </c>
      <c r="B459" s="5">
        <v>2</v>
      </c>
      <c r="C459" s="5">
        <v>3</v>
      </c>
      <c r="D459" s="5">
        <v>4</v>
      </c>
      <c r="E459" s="5">
        <v>5</v>
      </c>
      <c r="F459" s="5">
        <v>6</v>
      </c>
      <c r="G459" s="5">
        <v>7</v>
      </c>
      <c r="H459" s="159">
        <v>8</v>
      </c>
      <c r="I459" s="165">
        <v>9</v>
      </c>
      <c r="J459" s="118">
        <v>10</v>
      </c>
      <c r="K459" s="5">
        <v>11</v>
      </c>
      <c r="L459" s="5">
        <v>12</v>
      </c>
      <c r="M459" s="5">
        <v>13</v>
      </c>
      <c r="N459" s="5">
        <v>14</v>
      </c>
      <c r="O459" s="159">
        <v>15</v>
      </c>
      <c r="P459" s="165">
        <v>16</v>
      </c>
      <c r="Q459" s="174">
        <v>17</v>
      </c>
    </row>
    <row r="460" spans="1:17" ht="15.75" thickTop="1" x14ac:dyDescent="0.25">
      <c r="A460" s="85">
        <v>1</v>
      </c>
      <c r="B460" s="7" t="s">
        <v>18</v>
      </c>
      <c r="C460" s="370">
        <f>jagung!L9</f>
        <v>0</v>
      </c>
      <c r="D460" s="370">
        <f>jagung!M9</f>
        <v>0</v>
      </c>
      <c r="E460" s="370">
        <f>jagung!N9</f>
        <v>0</v>
      </c>
      <c r="F460" s="59">
        <v>0</v>
      </c>
      <c r="G460" s="8"/>
      <c r="H460" s="160"/>
      <c r="I460" s="167">
        <f>SUM(C460:H460)</f>
        <v>0</v>
      </c>
      <c r="J460" s="176"/>
      <c r="K460" s="59"/>
      <c r="L460" s="9"/>
      <c r="M460" s="59"/>
      <c r="N460" s="357"/>
      <c r="O460" s="403"/>
      <c r="P460" s="167">
        <f>SUM(J460:O460)</f>
        <v>0</v>
      </c>
      <c r="Q460" s="170">
        <f>SUM(I460,P460)</f>
        <v>0</v>
      </c>
    </row>
    <row r="461" spans="1:17" x14ac:dyDescent="0.25">
      <c r="A461" s="86">
        <v>2</v>
      </c>
      <c r="B461" s="12" t="s">
        <v>19</v>
      </c>
      <c r="C461" s="60">
        <f>jagung!L10</f>
        <v>0</v>
      </c>
      <c r="D461" s="60">
        <f>jagung!M10</f>
        <v>0</v>
      </c>
      <c r="E461" s="60">
        <f>jagung!N10</f>
        <v>1</v>
      </c>
      <c r="F461" s="60">
        <v>0</v>
      </c>
      <c r="G461" s="8"/>
      <c r="H461" s="161"/>
      <c r="I461" s="168">
        <f t="shared" ref="I461:I467" si="145">SUM(C461:H461)</f>
        <v>1</v>
      </c>
      <c r="J461" s="177"/>
      <c r="K461" s="60"/>
      <c r="L461" s="8"/>
      <c r="M461" s="61"/>
      <c r="N461" s="8"/>
      <c r="O461" s="405"/>
      <c r="P461" s="168">
        <f t="shared" ref="P461:P466" si="146">SUM(J461:O461)</f>
        <v>0</v>
      </c>
      <c r="Q461" s="171">
        <f t="shared" ref="Q461:Q467" si="147">SUM(I461,P461)</f>
        <v>1</v>
      </c>
    </row>
    <row r="462" spans="1:17" x14ac:dyDescent="0.25">
      <c r="A462" s="86">
        <v>3</v>
      </c>
      <c r="B462" s="7" t="s">
        <v>20</v>
      </c>
      <c r="C462" s="60">
        <f>jagung!L11</f>
        <v>0</v>
      </c>
      <c r="D462" s="60">
        <f>jagung!M11</f>
        <v>2</v>
      </c>
      <c r="E462" s="60">
        <f>jagung!N11</f>
        <v>2</v>
      </c>
      <c r="F462" s="60">
        <v>0</v>
      </c>
      <c r="G462" s="8"/>
      <c r="H462" s="161"/>
      <c r="I462" s="168">
        <f t="shared" si="145"/>
        <v>4</v>
      </c>
      <c r="J462" s="177"/>
      <c r="K462" s="60"/>
      <c r="L462" s="8"/>
      <c r="M462" s="61"/>
      <c r="N462" s="8"/>
      <c r="O462" s="405"/>
      <c r="P462" s="168">
        <f t="shared" si="146"/>
        <v>0</v>
      </c>
      <c r="Q462" s="171">
        <f t="shared" si="147"/>
        <v>4</v>
      </c>
    </row>
    <row r="463" spans="1:17" x14ac:dyDescent="0.25">
      <c r="A463" s="87">
        <v>4</v>
      </c>
      <c r="B463" s="15" t="s">
        <v>21</v>
      </c>
      <c r="C463" s="60">
        <f>jagung!L12</f>
        <v>0</v>
      </c>
      <c r="D463" s="60">
        <f>jagung!M12</f>
        <v>0</v>
      </c>
      <c r="E463" s="60">
        <f>jagung!N12</f>
        <v>0</v>
      </c>
      <c r="F463" s="61">
        <v>0</v>
      </c>
      <c r="G463" s="16"/>
      <c r="H463" s="162"/>
      <c r="I463" s="168">
        <f t="shared" si="145"/>
        <v>0</v>
      </c>
      <c r="J463" s="178"/>
      <c r="K463" s="139"/>
      <c r="L463" s="16"/>
      <c r="M463" s="61"/>
      <c r="N463" s="8"/>
      <c r="O463" s="405"/>
      <c r="P463" s="168">
        <f t="shared" si="146"/>
        <v>0</v>
      </c>
      <c r="Q463" s="171">
        <f t="shared" si="147"/>
        <v>0</v>
      </c>
    </row>
    <row r="464" spans="1:17" x14ac:dyDescent="0.25">
      <c r="A464" s="87">
        <v>5</v>
      </c>
      <c r="B464" s="19" t="s">
        <v>22</v>
      </c>
      <c r="C464" s="60">
        <f>jagung!L13</f>
        <v>1</v>
      </c>
      <c r="D464" s="60">
        <f>jagung!M13</f>
        <v>0</v>
      </c>
      <c r="E464" s="60">
        <f>jagung!N13</f>
        <v>0</v>
      </c>
      <c r="F464" s="61">
        <v>0</v>
      </c>
      <c r="G464" s="16"/>
      <c r="H464" s="162"/>
      <c r="I464" s="168">
        <f t="shared" si="145"/>
        <v>1</v>
      </c>
      <c r="J464" s="178"/>
      <c r="K464" s="61"/>
      <c r="L464" s="16"/>
      <c r="M464" s="16"/>
      <c r="N464" s="8"/>
      <c r="O464" s="405"/>
      <c r="P464" s="168">
        <f t="shared" si="146"/>
        <v>0</v>
      </c>
      <c r="Q464" s="171">
        <f t="shared" si="147"/>
        <v>1</v>
      </c>
    </row>
    <row r="465" spans="1:17" x14ac:dyDescent="0.25">
      <c r="A465" s="87">
        <v>6</v>
      </c>
      <c r="B465" s="19" t="s">
        <v>23</v>
      </c>
      <c r="C465" s="60">
        <f>jagung!L14</f>
        <v>0</v>
      </c>
      <c r="D465" s="60">
        <f>jagung!M14</f>
        <v>0</v>
      </c>
      <c r="E465" s="60">
        <f>jagung!N14</f>
        <v>0</v>
      </c>
      <c r="F465" s="61">
        <v>0</v>
      </c>
      <c r="G465" s="16"/>
      <c r="H465" s="162"/>
      <c r="I465" s="168">
        <f t="shared" si="145"/>
        <v>0</v>
      </c>
      <c r="J465" s="178"/>
      <c r="K465" s="61"/>
      <c r="L465" s="16"/>
      <c r="M465" s="16"/>
      <c r="N465" s="8"/>
      <c r="O465" s="405"/>
      <c r="P465" s="168">
        <f t="shared" si="146"/>
        <v>0</v>
      </c>
      <c r="Q465" s="171">
        <f t="shared" si="147"/>
        <v>0</v>
      </c>
    </row>
    <row r="466" spans="1:17" x14ac:dyDescent="0.25">
      <c r="A466" s="87">
        <v>7</v>
      </c>
      <c r="B466" s="19" t="s">
        <v>24</v>
      </c>
      <c r="C466" s="60">
        <f>jagung!L15</f>
        <v>0</v>
      </c>
      <c r="D466" s="60">
        <f>jagung!M15</f>
        <v>0</v>
      </c>
      <c r="E466" s="60">
        <f>jagung!N15</f>
        <v>0</v>
      </c>
      <c r="F466" s="61">
        <v>0</v>
      </c>
      <c r="G466" s="16"/>
      <c r="H466" s="162"/>
      <c r="I466" s="168">
        <f t="shared" si="145"/>
        <v>0</v>
      </c>
      <c r="J466" s="178"/>
      <c r="K466" s="61"/>
      <c r="L466" s="16"/>
      <c r="M466" s="16"/>
      <c r="N466" s="8"/>
      <c r="O466" s="405"/>
      <c r="P466" s="168">
        <f t="shared" si="146"/>
        <v>0</v>
      </c>
      <c r="Q466" s="171">
        <f t="shared" si="147"/>
        <v>0</v>
      </c>
    </row>
    <row r="467" spans="1:17" ht="15.75" thickBot="1" x14ac:dyDescent="0.3">
      <c r="A467" s="88">
        <v>8</v>
      </c>
      <c r="B467" s="15" t="s">
        <v>25</v>
      </c>
      <c r="C467" s="371">
        <f>jagung!L16</f>
        <v>0</v>
      </c>
      <c r="D467" s="371">
        <f>jagung!M16</f>
        <v>0</v>
      </c>
      <c r="E467" s="371">
        <f>jagung!N16</f>
        <v>3</v>
      </c>
      <c r="F467" s="62">
        <v>0</v>
      </c>
      <c r="G467" s="17"/>
      <c r="H467" s="163"/>
      <c r="I467" s="169">
        <f t="shared" si="145"/>
        <v>3</v>
      </c>
      <c r="J467" s="179"/>
      <c r="K467" s="139"/>
      <c r="L467" s="17"/>
      <c r="M467" s="17"/>
      <c r="N467" s="358"/>
      <c r="O467" s="404"/>
      <c r="P467" s="169">
        <f>SUM(J467:O467)</f>
        <v>0</v>
      </c>
      <c r="Q467" s="172">
        <f t="shared" si="147"/>
        <v>3</v>
      </c>
    </row>
    <row r="468" spans="1:17" ht="16.5" thickTop="1" thickBot="1" x14ac:dyDescent="0.3">
      <c r="A468" s="443" t="s">
        <v>26</v>
      </c>
      <c r="B468" s="444"/>
      <c r="C468" s="133">
        <f t="shared" ref="C468:H468" si="148">SUM(C460:C467)</f>
        <v>1</v>
      </c>
      <c r="D468" s="133">
        <f t="shared" si="148"/>
        <v>2</v>
      </c>
      <c r="E468" s="133">
        <f t="shared" si="148"/>
        <v>6</v>
      </c>
      <c r="F468" s="133">
        <f t="shared" si="148"/>
        <v>0</v>
      </c>
      <c r="G468" s="133">
        <f t="shared" si="148"/>
        <v>0</v>
      </c>
      <c r="H468" s="164">
        <f t="shared" si="148"/>
        <v>0</v>
      </c>
      <c r="I468" s="166">
        <f>SUM(I460:I467)</f>
        <v>9</v>
      </c>
      <c r="J468" s="180">
        <f t="shared" ref="J468:O468" si="149">SUM(J460:J467)</f>
        <v>0</v>
      </c>
      <c r="K468" s="133">
        <f t="shared" si="149"/>
        <v>0</v>
      </c>
      <c r="L468" s="133">
        <f t="shared" si="149"/>
        <v>0</v>
      </c>
      <c r="M468" s="133">
        <f t="shared" si="149"/>
        <v>0</v>
      </c>
      <c r="N468" s="133">
        <f t="shared" si="149"/>
        <v>0</v>
      </c>
      <c r="O468" s="164">
        <f t="shared" si="149"/>
        <v>0</v>
      </c>
      <c r="P468" s="166">
        <f>SUM(P460:P467)</f>
        <v>0</v>
      </c>
      <c r="Q468" s="173">
        <f>SUM(Q460:Q467)</f>
        <v>9</v>
      </c>
    </row>
    <row r="470" spans="1:17" ht="15.75" x14ac:dyDescent="0.25">
      <c r="A470" s="445" t="s">
        <v>190</v>
      </c>
      <c r="B470" s="445"/>
      <c r="C470" s="445"/>
      <c r="D470" s="445"/>
      <c r="E470" s="445"/>
      <c r="F470" s="445"/>
      <c r="G470" s="445"/>
      <c r="H470" s="445"/>
      <c r="I470" s="445"/>
      <c r="J470" s="445"/>
      <c r="K470" s="445"/>
      <c r="L470" s="445"/>
      <c r="M470" s="445"/>
      <c r="N470" s="445"/>
      <c r="O470" s="445"/>
      <c r="P470" s="445"/>
      <c r="Q470" s="445"/>
    </row>
    <row r="471" spans="1:17" ht="15.75" x14ac:dyDescent="0.25">
      <c r="A471" s="445" t="s">
        <v>83</v>
      </c>
      <c r="B471" s="445"/>
      <c r="C471" s="445"/>
      <c r="D471" s="445"/>
      <c r="E471" s="445"/>
      <c r="F471" s="445"/>
      <c r="G471" s="445"/>
      <c r="H471" s="445"/>
      <c r="I471" s="445"/>
      <c r="J471" s="445"/>
      <c r="K471" s="445"/>
      <c r="L471" s="445"/>
      <c r="M471" s="445"/>
      <c r="N471" s="445"/>
      <c r="O471" s="445"/>
      <c r="P471" s="445"/>
      <c r="Q471" s="445"/>
    </row>
    <row r="472" spans="1:17" ht="15.75" thickBot="1" x14ac:dyDescent="0.3">
      <c r="Q472" s="77" t="s">
        <v>1</v>
      </c>
    </row>
    <row r="473" spans="1:17" x14ac:dyDescent="0.25">
      <c r="A473" s="440" t="s">
        <v>2</v>
      </c>
      <c r="B473" s="442" t="s">
        <v>3</v>
      </c>
      <c r="C473" s="446" t="s">
        <v>84</v>
      </c>
      <c r="D473" s="447"/>
      <c r="E473" s="447"/>
      <c r="F473" s="447"/>
      <c r="G473" s="447"/>
      <c r="H473" s="447"/>
      <c r="I473" s="448" t="s">
        <v>91</v>
      </c>
      <c r="J473" s="447">
        <v>2015</v>
      </c>
      <c r="K473" s="447"/>
      <c r="L473" s="447"/>
      <c r="M473" s="447"/>
      <c r="N473" s="447"/>
      <c r="O473" s="447"/>
      <c r="P473" s="448" t="s">
        <v>92</v>
      </c>
      <c r="Q473" s="450" t="s">
        <v>5</v>
      </c>
    </row>
    <row r="474" spans="1:17" x14ac:dyDescent="0.25">
      <c r="A474" s="441"/>
      <c r="B474" s="426"/>
      <c r="C474" s="411" t="s">
        <v>15</v>
      </c>
      <c r="D474" s="411" t="s">
        <v>16</v>
      </c>
      <c r="E474" s="411" t="s">
        <v>17</v>
      </c>
      <c r="F474" s="411" t="s">
        <v>6</v>
      </c>
      <c r="G474" s="411" t="s">
        <v>78</v>
      </c>
      <c r="H474" s="158" t="s">
        <v>79</v>
      </c>
      <c r="I474" s="449"/>
      <c r="J474" s="117" t="s">
        <v>80</v>
      </c>
      <c r="K474" s="411" t="s">
        <v>10</v>
      </c>
      <c r="L474" s="411" t="s">
        <v>11</v>
      </c>
      <c r="M474" s="411" t="s">
        <v>12</v>
      </c>
      <c r="N474" s="411" t="s">
        <v>81</v>
      </c>
      <c r="O474" s="158" t="s">
        <v>82</v>
      </c>
      <c r="P474" s="449"/>
      <c r="Q474" s="451"/>
    </row>
    <row r="475" spans="1:17" ht="15.75" thickBot="1" x14ac:dyDescent="0.3">
      <c r="A475" s="128">
        <v>1</v>
      </c>
      <c r="B475" s="5">
        <v>2</v>
      </c>
      <c r="C475" s="5">
        <v>3</v>
      </c>
      <c r="D475" s="5">
        <v>4</v>
      </c>
      <c r="E475" s="5">
        <v>5</v>
      </c>
      <c r="F475" s="5">
        <v>6</v>
      </c>
      <c r="G475" s="5">
        <v>7</v>
      </c>
      <c r="H475" s="159">
        <v>8</v>
      </c>
      <c r="I475" s="165">
        <v>9</v>
      </c>
      <c r="J475" s="118">
        <v>10</v>
      </c>
      <c r="K475" s="5">
        <v>11</v>
      </c>
      <c r="L475" s="5">
        <v>12</v>
      </c>
      <c r="M475" s="5">
        <v>13</v>
      </c>
      <c r="N475" s="5">
        <v>14</v>
      </c>
      <c r="O475" s="159">
        <v>15</v>
      </c>
      <c r="P475" s="165">
        <v>16</v>
      </c>
      <c r="Q475" s="174">
        <v>17</v>
      </c>
    </row>
    <row r="476" spans="1:17" ht="15.75" thickTop="1" x14ac:dyDescent="0.25">
      <c r="A476" s="85">
        <v>1</v>
      </c>
      <c r="B476" s="7" t="s">
        <v>18</v>
      </c>
      <c r="C476" s="370">
        <f>kedelai!L9</f>
        <v>0</v>
      </c>
      <c r="D476" s="370">
        <f>kedelai!M9</f>
        <v>0</v>
      </c>
      <c r="E476" s="370">
        <f>kedelai!N9</f>
        <v>0</v>
      </c>
      <c r="F476" s="59">
        <v>0</v>
      </c>
      <c r="G476" s="8"/>
      <c r="H476" s="160"/>
      <c r="I476" s="167">
        <f>SUM(C476:H476)</f>
        <v>0</v>
      </c>
      <c r="J476" s="176"/>
      <c r="K476" s="59"/>
      <c r="L476" s="9"/>
      <c r="M476" s="59"/>
      <c r="N476" s="357"/>
      <c r="O476" s="403"/>
      <c r="P476" s="167">
        <f>SUM(J476:O476)</f>
        <v>0</v>
      </c>
      <c r="Q476" s="170">
        <f>SUM(I476,P476)</f>
        <v>0</v>
      </c>
    </row>
    <row r="477" spans="1:17" x14ac:dyDescent="0.25">
      <c r="A477" s="86">
        <v>2</v>
      </c>
      <c r="B477" s="12" t="s">
        <v>19</v>
      </c>
      <c r="C477" s="60">
        <f>kedelai!L10</f>
        <v>1</v>
      </c>
      <c r="D477" s="60">
        <f>kedelai!M10</f>
        <v>5</v>
      </c>
      <c r="E477" s="60">
        <f>kedelai!N10</f>
        <v>5</v>
      </c>
      <c r="F477" s="60">
        <v>3</v>
      </c>
      <c r="G477" s="8"/>
      <c r="H477" s="161"/>
      <c r="I477" s="168">
        <f t="shared" ref="I477:I483" si="150">SUM(C477:H477)</f>
        <v>14</v>
      </c>
      <c r="J477" s="177"/>
      <c r="K477" s="60"/>
      <c r="L477" s="8"/>
      <c r="M477" s="61"/>
      <c r="N477" s="8"/>
      <c r="O477" s="405"/>
      <c r="P477" s="168">
        <f t="shared" ref="P477:P482" si="151">SUM(J477:O477)</f>
        <v>0</v>
      </c>
      <c r="Q477" s="171">
        <f t="shared" ref="Q477:Q483" si="152">SUM(I477,P477)</f>
        <v>14</v>
      </c>
    </row>
    <row r="478" spans="1:17" x14ac:dyDescent="0.25">
      <c r="A478" s="86">
        <v>3</v>
      </c>
      <c r="B478" s="7" t="s">
        <v>20</v>
      </c>
      <c r="C478" s="60">
        <f>kedelai!L11</f>
        <v>0</v>
      </c>
      <c r="D478" s="60">
        <f>kedelai!M11</f>
        <v>0</v>
      </c>
      <c r="E478" s="60">
        <f>kedelai!N11</f>
        <v>25</v>
      </c>
      <c r="F478" s="60">
        <v>10</v>
      </c>
      <c r="G478" s="8"/>
      <c r="H478" s="161"/>
      <c r="I478" s="168">
        <f t="shared" si="150"/>
        <v>35</v>
      </c>
      <c r="J478" s="177"/>
      <c r="K478" s="60"/>
      <c r="L478" s="8"/>
      <c r="M478" s="61"/>
      <c r="N478" s="8"/>
      <c r="O478" s="405"/>
      <c r="P478" s="168">
        <f t="shared" si="151"/>
        <v>0</v>
      </c>
      <c r="Q478" s="171">
        <f t="shared" si="152"/>
        <v>35</v>
      </c>
    </row>
    <row r="479" spans="1:17" x14ac:dyDescent="0.25">
      <c r="A479" s="87">
        <v>4</v>
      </c>
      <c r="B479" s="15" t="s">
        <v>21</v>
      </c>
      <c r="C479" s="60">
        <f>kedelai!L12</f>
        <v>0</v>
      </c>
      <c r="D479" s="60">
        <f>kedelai!M12</f>
        <v>0</v>
      </c>
      <c r="E479" s="60">
        <f>kedelai!N12</f>
        <v>0</v>
      </c>
      <c r="F479" s="61">
        <v>0</v>
      </c>
      <c r="G479" s="16"/>
      <c r="H479" s="162"/>
      <c r="I479" s="168">
        <f t="shared" si="150"/>
        <v>0</v>
      </c>
      <c r="J479" s="178"/>
      <c r="K479" s="139"/>
      <c r="L479" s="16"/>
      <c r="M479" s="61"/>
      <c r="N479" s="8"/>
      <c r="O479" s="405"/>
      <c r="P479" s="168">
        <f t="shared" si="151"/>
        <v>0</v>
      </c>
      <c r="Q479" s="171">
        <f t="shared" si="152"/>
        <v>0</v>
      </c>
    </row>
    <row r="480" spans="1:17" x14ac:dyDescent="0.25">
      <c r="A480" s="87">
        <v>5</v>
      </c>
      <c r="B480" s="19" t="s">
        <v>22</v>
      </c>
      <c r="C480" s="60">
        <f>kedelai!L13</f>
        <v>2</v>
      </c>
      <c r="D480" s="60">
        <f>kedelai!M13</f>
        <v>2</v>
      </c>
      <c r="E480" s="60">
        <f>kedelai!N13</f>
        <v>4</v>
      </c>
      <c r="F480" s="61">
        <v>0</v>
      </c>
      <c r="G480" s="16"/>
      <c r="H480" s="162"/>
      <c r="I480" s="168">
        <f t="shared" si="150"/>
        <v>8</v>
      </c>
      <c r="J480" s="178"/>
      <c r="K480" s="61"/>
      <c r="L480" s="16"/>
      <c r="M480" s="16"/>
      <c r="N480" s="8"/>
      <c r="O480" s="405"/>
      <c r="P480" s="168">
        <f t="shared" si="151"/>
        <v>0</v>
      </c>
      <c r="Q480" s="171">
        <f t="shared" si="152"/>
        <v>8</v>
      </c>
    </row>
    <row r="481" spans="1:17" x14ac:dyDescent="0.25">
      <c r="A481" s="87">
        <v>6</v>
      </c>
      <c r="B481" s="19" t="s">
        <v>23</v>
      </c>
      <c r="C481" s="60">
        <f>kedelai!L14</f>
        <v>0</v>
      </c>
      <c r="D481" s="60">
        <f>kedelai!M14</f>
        <v>0</v>
      </c>
      <c r="E481" s="60">
        <f>kedelai!N14</f>
        <v>0</v>
      </c>
      <c r="F481" s="61">
        <v>0</v>
      </c>
      <c r="G481" s="16"/>
      <c r="H481" s="162"/>
      <c r="I481" s="168">
        <f t="shared" si="150"/>
        <v>0</v>
      </c>
      <c r="J481" s="178"/>
      <c r="K481" s="61"/>
      <c r="L481" s="16"/>
      <c r="M481" s="16"/>
      <c r="N481" s="8"/>
      <c r="O481" s="405"/>
      <c r="P481" s="168">
        <f t="shared" si="151"/>
        <v>0</v>
      </c>
      <c r="Q481" s="171">
        <f t="shared" si="152"/>
        <v>0</v>
      </c>
    </row>
    <row r="482" spans="1:17" x14ac:dyDescent="0.25">
      <c r="A482" s="87">
        <v>7</v>
      </c>
      <c r="B482" s="19" t="s">
        <v>24</v>
      </c>
      <c r="C482" s="60">
        <f>kedelai!L15</f>
        <v>0</v>
      </c>
      <c r="D482" s="60">
        <f>kedelai!M15</f>
        <v>0</v>
      </c>
      <c r="E482" s="60">
        <f>kedelai!N15</f>
        <v>0</v>
      </c>
      <c r="F482" s="61">
        <v>0</v>
      </c>
      <c r="G482" s="16"/>
      <c r="H482" s="162"/>
      <c r="I482" s="168">
        <f t="shared" si="150"/>
        <v>0</v>
      </c>
      <c r="J482" s="178"/>
      <c r="K482" s="61"/>
      <c r="L482" s="16"/>
      <c r="M482" s="16"/>
      <c r="N482" s="8"/>
      <c r="O482" s="405"/>
      <c r="P482" s="168">
        <f t="shared" si="151"/>
        <v>0</v>
      </c>
      <c r="Q482" s="171">
        <f t="shared" si="152"/>
        <v>0</v>
      </c>
    </row>
    <row r="483" spans="1:17" ht="15.75" thickBot="1" x14ac:dyDescent="0.3">
      <c r="A483" s="88">
        <v>8</v>
      </c>
      <c r="B483" s="15" t="s">
        <v>25</v>
      </c>
      <c r="C483" s="371">
        <f>kedelai!L16</f>
        <v>0</v>
      </c>
      <c r="D483" s="371">
        <f>kedelai!M16</f>
        <v>0</v>
      </c>
      <c r="E483" s="371">
        <f>kedelai!N16</f>
        <v>2</v>
      </c>
      <c r="F483" s="62">
        <v>0</v>
      </c>
      <c r="G483" s="17"/>
      <c r="H483" s="163"/>
      <c r="I483" s="169">
        <f t="shared" si="150"/>
        <v>2</v>
      </c>
      <c r="J483" s="179"/>
      <c r="K483" s="139"/>
      <c r="L483" s="17"/>
      <c r="M483" s="17"/>
      <c r="N483" s="358"/>
      <c r="O483" s="404"/>
      <c r="P483" s="169">
        <f>SUM(J483:O483)</f>
        <v>0</v>
      </c>
      <c r="Q483" s="172">
        <f t="shared" si="152"/>
        <v>2</v>
      </c>
    </row>
    <row r="484" spans="1:17" ht="16.5" thickTop="1" thickBot="1" x14ac:dyDescent="0.3">
      <c r="A484" s="443" t="s">
        <v>26</v>
      </c>
      <c r="B484" s="444"/>
      <c r="C484" s="133">
        <f t="shared" ref="C484:H484" si="153">SUM(C476:C483)</f>
        <v>3</v>
      </c>
      <c r="D484" s="133">
        <f t="shared" si="153"/>
        <v>7</v>
      </c>
      <c r="E484" s="133">
        <f t="shared" si="153"/>
        <v>36</v>
      </c>
      <c r="F484" s="133">
        <f t="shared" si="153"/>
        <v>13</v>
      </c>
      <c r="G484" s="133">
        <f t="shared" si="153"/>
        <v>0</v>
      </c>
      <c r="H484" s="164">
        <f t="shared" si="153"/>
        <v>0</v>
      </c>
      <c r="I484" s="166">
        <f>SUM(I476:I483)</f>
        <v>59</v>
      </c>
      <c r="J484" s="180">
        <f t="shared" ref="J484:O484" si="154">SUM(J476:J483)</f>
        <v>0</v>
      </c>
      <c r="K484" s="133">
        <f t="shared" si="154"/>
        <v>0</v>
      </c>
      <c r="L484" s="133">
        <f t="shared" si="154"/>
        <v>0</v>
      </c>
      <c r="M484" s="133">
        <f t="shared" si="154"/>
        <v>0</v>
      </c>
      <c r="N484" s="133">
        <f t="shared" si="154"/>
        <v>0</v>
      </c>
      <c r="O484" s="164">
        <f t="shared" si="154"/>
        <v>0</v>
      </c>
      <c r="P484" s="166">
        <f>SUM(P476:P483)</f>
        <v>0</v>
      </c>
      <c r="Q484" s="173">
        <f>SUM(Q476:Q483)</f>
        <v>59</v>
      </c>
    </row>
    <row r="486" spans="1:17" ht="15.75" x14ac:dyDescent="0.25">
      <c r="A486" s="445" t="s">
        <v>192</v>
      </c>
      <c r="B486" s="445"/>
      <c r="C486" s="445"/>
      <c r="D486" s="445"/>
      <c r="E486" s="445"/>
      <c r="F486" s="445"/>
      <c r="G486" s="445"/>
      <c r="H486" s="445"/>
      <c r="I486" s="445"/>
      <c r="J486" s="445"/>
      <c r="K486" s="445"/>
      <c r="L486" s="445"/>
      <c r="M486" s="445"/>
      <c r="N486" s="445"/>
      <c r="O486" s="445"/>
      <c r="P486" s="445"/>
      <c r="Q486" s="445"/>
    </row>
    <row r="487" spans="1:17" ht="15.75" x14ac:dyDescent="0.25">
      <c r="A487" s="445" t="s">
        <v>83</v>
      </c>
      <c r="B487" s="445"/>
      <c r="C487" s="445"/>
      <c r="D487" s="445"/>
      <c r="E487" s="445"/>
      <c r="F487" s="445"/>
      <c r="G487" s="445"/>
      <c r="H487" s="445"/>
      <c r="I487" s="445"/>
      <c r="J487" s="445"/>
      <c r="K487" s="445"/>
      <c r="L487" s="445"/>
      <c r="M487" s="445"/>
      <c r="N487" s="445"/>
      <c r="O487" s="445"/>
      <c r="P487" s="445"/>
      <c r="Q487" s="445"/>
    </row>
    <row r="488" spans="1:17" ht="15.75" thickBot="1" x14ac:dyDescent="0.3">
      <c r="Q488" s="77" t="s">
        <v>1</v>
      </c>
    </row>
    <row r="489" spans="1:17" x14ac:dyDescent="0.25">
      <c r="A489" s="440" t="s">
        <v>2</v>
      </c>
      <c r="B489" s="442" t="s">
        <v>3</v>
      </c>
      <c r="C489" s="446" t="s">
        <v>84</v>
      </c>
      <c r="D489" s="447"/>
      <c r="E489" s="447"/>
      <c r="F489" s="447"/>
      <c r="G489" s="447"/>
      <c r="H489" s="447"/>
      <c r="I489" s="448" t="s">
        <v>91</v>
      </c>
      <c r="J489" s="447">
        <v>2015</v>
      </c>
      <c r="K489" s="447"/>
      <c r="L489" s="447"/>
      <c r="M489" s="447"/>
      <c r="N489" s="447"/>
      <c r="O489" s="447"/>
      <c r="P489" s="448" t="s">
        <v>92</v>
      </c>
      <c r="Q489" s="450" t="s">
        <v>5</v>
      </c>
    </row>
    <row r="490" spans="1:17" x14ac:dyDescent="0.25">
      <c r="A490" s="441"/>
      <c r="B490" s="426"/>
      <c r="C490" s="411" t="s">
        <v>15</v>
      </c>
      <c r="D490" s="411" t="s">
        <v>16</v>
      </c>
      <c r="E490" s="411" t="s">
        <v>17</v>
      </c>
      <c r="F490" s="411" t="s">
        <v>6</v>
      </c>
      <c r="G490" s="411" t="s">
        <v>78</v>
      </c>
      <c r="H490" s="158" t="s">
        <v>79</v>
      </c>
      <c r="I490" s="449"/>
      <c r="J490" s="117" t="s">
        <v>80</v>
      </c>
      <c r="K490" s="411" t="s">
        <v>10</v>
      </c>
      <c r="L490" s="411" t="s">
        <v>11</v>
      </c>
      <c r="M490" s="411" t="s">
        <v>12</v>
      </c>
      <c r="N490" s="411" t="s">
        <v>81</v>
      </c>
      <c r="O490" s="158" t="s">
        <v>82</v>
      </c>
      <c r="P490" s="449"/>
      <c r="Q490" s="451"/>
    </row>
    <row r="491" spans="1:17" ht="15.75" thickBot="1" x14ac:dyDescent="0.3">
      <c r="A491" s="128">
        <v>1</v>
      </c>
      <c r="B491" s="5">
        <v>2</v>
      </c>
      <c r="C491" s="5">
        <v>3</v>
      </c>
      <c r="D491" s="5">
        <v>4</v>
      </c>
      <c r="E491" s="5">
        <v>5</v>
      </c>
      <c r="F491" s="5">
        <v>6</v>
      </c>
      <c r="G491" s="5">
        <v>7</v>
      </c>
      <c r="H491" s="159">
        <v>8</v>
      </c>
      <c r="I491" s="165">
        <v>9</v>
      </c>
      <c r="J491" s="118">
        <v>10</v>
      </c>
      <c r="K491" s="5">
        <v>11</v>
      </c>
      <c r="L491" s="5">
        <v>12</v>
      </c>
      <c r="M491" s="5">
        <v>13</v>
      </c>
      <c r="N491" s="5">
        <v>14</v>
      </c>
      <c r="O491" s="159">
        <v>15</v>
      </c>
      <c r="P491" s="165">
        <v>16</v>
      </c>
      <c r="Q491" s="174">
        <v>17</v>
      </c>
    </row>
    <row r="492" spans="1:17" ht="15.75" thickTop="1" x14ac:dyDescent="0.25">
      <c r="A492" s="85">
        <v>1</v>
      </c>
      <c r="B492" s="7" t="s">
        <v>18</v>
      </c>
      <c r="C492" s="370">
        <f>'kc tanah'!L9</f>
        <v>0</v>
      </c>
      <c r="D492" s="370">
        <f>'kc tanah'!M9</f>
        <v>0</v>
      </c>
      <c r="E492" s="370">
        <f>'kc tanah'!N9</f>
        <v>185</v>
      </c>
      <c r="F492" s="59"/>
      <c r="G492" s="8"/>
      <c r="H492" s="160"/>
      <c r="I492" s="167">
        <f>SUM(C492:H492)</f>
        <v>185</v>
      </c>
      <c r="J492" s="176"/>
      <c r="K492" s="59"/>
      <c r="L492" s="9"/>
      <c r="M492" s="59"/>
      <c r="N492" s="357"/>
      <c r="O492" s="403"/>
      <c r="P492" s="167">
        <f>SUM(J492:O492)</f>
        <v>0</v>
      </c>
      <c r="Q492" s="170">
        <f>SUM(I492,P492)</f>
        <v>185</v>
      </c>
    </row>
    <row r="493" spans="1:17" x14ac:dyDescent="0.25">
      <c r="A493" s="86">
        <v>2</v>
      </c>
      <c r="B493" s="12" t="s">
        <v>19</v>
      </c>
      <c r="C493" s="60">
        <f>'kc tanah'!L10</f>
        <v>1</v>
      </c>
      <c r="D493" s="60">
        <f>'kc tanah'!M10</f>
        <v>3</v>
      </c>
      <c r="E493" s="60">
        <f>'kc tanah'!N10</f>
        <v>57</v>
      </c>
      <c r="F493" s="60"/>
      <c r="G493" s="8"/>
      <c r="H493" s="161"/>
      <c r="I493" s="168">
        <f t="shared" ref="I493:I499" si="155">SUM(C493:H493)</f>
        <v>61</v>
      </c>
      <c r="J493" s="177"/>
      <c r="K493" s="60"/>
      <c r="L493" s="8"/>
      <c r="M493" s="61"/>
      <c r="N493" s="8"/>
      <c r="O493" s="405"/>
      <c r="P493" s="168">
        <f t="shared" ref="P493:P498" si="156">SUM(J493:O493)</f>
        <v>0</v>
      </c>
      <c r="Q493" s="171">
        <f t="shared" ref="Q493:Q499" si="157">SUM(I493,P493)</f>
        <v>61</v>
      </c>
    </row>
    <row r="494" spans="1:17" x14ac:dyDescent="0.25">
      <c r="A494" s="86">
        <v>3</v>
      </c>
      <c r="B494" s="7" t="s">
        <v>20</v>
      </c>
      <c r="C494" s="60">
        <f>'kc tanah'!L11</f>
        <v>0</v>
      </c>
      <c r="D494" s="60">
        <f>'kc tanah'!M11</f>
        <v>0</v>
      </c>
      <c r="E494" s="60">
        <f>'kc tanah'!N11</f>
        <v>275</v>
      </c>
      <c r="F494" s="60"/>
      <c r="G494" s="8"/>
      <c r="H494" s="161"/>
      <c r="I494" s="168">
        <f t="shared" si="155"/>
        <v>275</v>
      </c>
      <c r="J494" s="177"/>
      <c r="K494" s="60"/>
      <c r="L494" s="8"/>
      <c r="M494" s="61"/>
      <c r="N494" s="8"/>
      <c r="O494" s="405"/>
      <c r="P494" s="168">
        <f t="shared" si="156"/>
        <v>0</v>
      </c>
      <c r="Q494" s="171">
        <f t="shared" si="157"/>
        <v>275</v>
      </c>
    </row>
    <row r="495" spans="1:17" x14ac:dyDescent="0.25">
      <c r="A495" s="87">
        <v>4</v>
      </c>
      <c r="B495" s="15" t="s">
        <v>21</v>
      </c>
      <c r="C495" s="60">
        <f>'kc tanah'!L12</f>
        <v>0</v>
      </c>
      <c r="D495" s="60">
        <f>'kc tanah'!M12</f>
        <v>5</v>
      </c>
      <c r="E495" s="60">
        <f>'kc tanah'!N12</f>
        <v>141</v>
      </c>
      <c r="F495" s="61"/>
      <c r="G495" s="16"/>
      <c r="H495" s="162"/>
      <c r="I495" s="168">
        <f t="shared" si="155"/>
        <v>146</v>
      </c>
      <c r="J495" s="178"/>
      <c r="K495" s="139"/>
      <c r="L495" s="16"/>
      <c r="M495" s="61"/>
      <c r="N495" s="8"/>
      <c r="O495" s="405"/>
      <c r="P495" s="168">
        <f t="shared" si="156"/>
        <v>0</v>
      </c>
      <c r="Q495" s="171">
        <f t="shared" si="157"/>
        <v>146</v>
      </c>
    </row>
    <row r="496" spans="1:17" x14ac:dyDescent="0.25">
      <c r="A496" s="87">
        <v>5</v>
      </c>
      <c r="B496" s="19" t="s">
        <v>22</v>
      </c>
      <c r="C496" s="60">
        <f>'kc tanah'!L13</f>
        <v>0</v>
      </c>
      <c r="D496" s="60">
        <f>'kc tanah'!M13</f>
        <v>0</v>
      </c>
      <c r="E496" s="60">
        <f>'kc tanah'!N13</f>
        <v>102</v>
      </c>
      <c r="F496" s="61"/>
      <c r="G496" s="16"/>
      <c r="H496" s="162"/>
      <c r="I496" s="168">
        <f t="shared" si="155"/>
        <v>102</v>
      </c>
      <c r="J496" s="178"/>
      <c r="K496" s="61"/>
      <c r="L496" s="16"/>
      <c r="M496" s="16"/>
      <c r="N496" s="8"/>
      <c r="O496" s="405"/>
      <c r="P496" s="168">
        <f t="shared" si="156"/>
        <v>0</v>
      </c>
      <c r="Q496" s="171">
        <f t="shared" si="157"/>
        <v>102</v>
      </c>
    </row>
    <row r="497" spans="1:17" x14ac:dyDescent="0.25">
      <c r="A497" s="87">
        <v>6</v>
      </c>
      <c r="B497" s="19" t="s">
        <v>23</v>
      </c>
      <c r="C497" s="60">
        <f>'kc tanah'!L14</f>
        <v>0</v>
      </c>
      <c r="D497" s="60">
        <f>'kc tanah'!M14</f>
        <v>15</v>
      </c>
      <c r="E497" s="60">
        <f>'kc tanah'!N14</f>
        <v>50</v>
      </c>
      <c r="F497" s="61"/>
      <c r="G497" s="16"/>
      <c r="H497" s="162"/>
      <c r="I497" s="168">
        <f t="shared" si="155"/>
        <v>65</v>
      </c>
      <c r="J497" s="178"/>
      <c r="K497" s="61"/>
      <c r="L497" s="16"/>
      <c r="M497" s="16"/>
      <c r="N497" s="8"/>
      <c r="O497" s="405"/>
      <c r="P497" s="168">
        <f t="shared" si="156"/>
        <v>0</v>
      </c>
      <c r="Q497" s="171">
        <f t="shared" si="157"/>
        <v>65</v>
      </c>
    </row>
    <row r="498" spans="1:17" x14ac:dyDescent="0.25">
      <c r="A498" s="87">
        <v>7</v>
      </c>
      <c r="B498" s="19" t="s">
        <v>24</v>
      </c>
      <c r="C498" s="60">
        <f>'kc tanah'!L15</f>
        <v>0</v>
      </c>
      <c r="D498" s="60">
        <f>'kc tanah'!M15</f>
        <v>0</v>
      </c>
      <c r="E498" s="60">
        <f>'kc tanah'!N15</f>
        <v>0</v>
      </c>
      <c r="F498" s="61"/>
      <c r="G498" s="16"/>
      <c r="H498" s="162"/>
      <c r="I498" s="168">
        <f t="shared" si="155"/>
        <v>0</v>
      </c>
      <c r="J498" s="178"/>
      <c r="K498" s="61"/>
      <c r="L498" s="16"/>
      <c r="M498" s="16"/>
      <c r="N498" s="8"/>
      <c r="O498" s="405"/>
      <c r="P498" s="168">
        <f t="shared" si="156"/>
        <v>0</v>
      </c>
      <c r="Q498" s="171">
        <f t="shared" si="157"/>
        <v>0</v>
      </c>
    </row>
    <row r="499" spans="1:17" ht="15.75" thickBot="1" x14ac:dyDescent="0.3">
      <c r="A499" s="88">
        <v>8</v>
      </c>
      <c r="B499" s="15" t="s">
        <v>25</v>
      </c>
      <c r="C499" s="371">
        <f>'kc tanah'!L16</f>
        <v>0</v>
      </c>
      <c r="D499" s="371">
        <f>'kc tanah'!M16</f>
        <v>0</v>
      </c>
      <c r="E499" s="371">
        <f>'kc tanah'!N16</f>
        <v>332</v>
      </c>
      <c r="F499" s="62"/>
      <c r="G499" s="17"/>
      <c r="H499" s="163"/>
      <c r="I499" s="169">
        <f t="shared" si="155"/>
        <v>332</v>
      </c>
      <c r="J499" s="179"/>
      <c r="K499" s="139"/>
      <c r="L499" s="17"/>
      <c r="M499" s="17"/>
      <c r="N499" s="358"/>
      <c r="O499" s="404"/>
      <c r="P499" s="169">
        <f>SUM(J499:O499)</f>
        <v>0</v>
      </c>
      <c r="Q499" s="172">
        <f t="shared" si="157"/>
        <v>332</v>
      </c>
    </row>
    <row r="500" spans="1:17" ht="16.5" thickTop="1" thickBot="1" x14ac:dyDescent="0.3">
      <c r="A500" s="443" t="s">
        <v>26</v>
      </c>
      <c r="B500" s="444"/>
      <c r="C500" s="133">
        <f t="shared" ref="C500:H500" si="158">SUM(C492:C499)</f>
        <v>1</v>
      </c>
      <c r="D500" s="133">
        <f t="shared" si="158"/>
        <v>23</v>
      </c>
      <c r="E500" s="133">
        <f t="shared" si="158"/>
        <v>1142</v>
      </c>
      <c r="F500" s="133">
        <f t="shared" si="158"/>
        <v>0</v>
      </c>
      <c r="G500" s="133">
        <f t="shared" si="158"/>
        <v>0</v>
      </c>
      <c r="H500" s="164">
        <f t="shared" si="158"/>
        <v>0</v>
      </c>
      <c r="I500" s="166">
        <f>SUM(I492:I499)</f>
        <v>1166</v>
      </c>
      <c r="J500" s="180">
        <f t="shared" ref="J500:O500" si="159">SUM(J492:J499)</f>
        <v>0</v>
      </c>
      <c r="K500" s="133">
        <f t="shared" si="159"/>
        <v>0</v>
      </c>
      <c r="L500" s="133">
        <f t="shared" si="159"/>
        <v>0</v>
      </c>
      <c r="M500" s="133">
        <f t="shared" si="159"/>
        <v>0</v>
      </c>
      <c r="N500" s="133">
        <f t="shared" si="159"/>
        <v>0</v>
      </c>
      <c r="O500" s="164">
        <f t="shared" si="159"/>
        <v>0</v>
      </c>
      <c r="P500" s="166">
        <f>SUM(P492:P499)</f>
        <v>0</v>
      </c>
      <c r="Q500" s="173">
        <f>SUM(Q492:Q499)</f>
        <v>1166</v>
      </c>
    </row>
    <row r="502" spans="1:17" ht="15.75" x14ac:dyDescent="0.25">
      <c r="A502" s="445" t="s">
        <v>193</v>
      </c>
      <c r="B502" s="445"/>
      <c r="C502" s="445"/>
      <c r="D502" s="445"/>
      <c r="E502" s="445"/>
      <c r="F502" s="445"/>
      <c r="G502" s="445"/>
      <c r="H502" s="445"/>
      <c r="I502" s="445"/>
      <c r="J502" s="445"/>
      <c r="K502" s="445"/>
      <c r="L502" s="445"/>
      <c r="M502" s="445"/>
      <c r="N502" s="445"/>
      <c r="O502" s="445"/>
      <c r="P502" s="445"/>
      <c r="Q502" s="445"/>
    </row>
    <row r="503" spans="1:17" ht="15.75" x14ac:dyDescent="0.25">
      <c r="A503" s="445" t="s">
        <v>83</v>
      </c>
      <c r="B503" s="445"/>
      <c r="C503" s="445"/>
      <c r="D503" s="445"/>
      <c r="E503" s="445"/>
      <c r="F503" s="445"/>
      <c r="G503" s="445"/>
      <c r="H503" s="445"/>
      <c r="I503" s="445"/>
      <c r="J503" s="445"/>
      <c r="K503" s="445"/>
      <c r="L503" s="445"/>
      <c r="M503" s="445"/>
      <c r="N503" s="445"/>
      <c r="O503" s="445"/>
      <c r="P503" s="445"/>
      <c r="Q503" s="445"/>
    </row>
    <row r="504" spans="1:17" ht="15.75" thickBot="1" x14ac:dyDescent="0.3">
      <c r="Q504" s="77" t="s">
        <v>1</v>
      </c>
    </row>
    <row r="505" spans="1:17" x14ac:dyDescent="0.25">
      <c r="A505" s="440" t="s">
        <v>2</v>
      </c>
      <c r="B505" s="442" t="s">
        <v>3</v>
      </c>
      <c r="C505" s="446" t="s">
        <v>84</v>
      </c>
      <c r="D505" s="447"/>
      <c r="E505" s="447"/>
      <c r="F505" s="447"/>
      <c r="G505" s="447"/>
      <c r="H505" s="447"/>
      <c r="I505" s="448" t="s">
        <v>91</v>
      </c>
      <c r="J505" s="447">
        <v>2015</v>
      </c>
      <c r="K505" s="447"/>
      <c r="L505" s="447"/>
      <c r="M505" s="447"/>
      <c r="N505" s="447"/>
      <c r="O505" s="447"/>
      <c r="P505" s="448" t="s">
        <v>92</v>
      </c>
      <c r="Q505" s="450" t="s">
        <v>5</v>
      </c>
    </row>
    <row r="506" spans="1:17" x14ac:dyDescent="0.25">
      <c r="A506" s="441"/>
      <c r="B506" s="426"/>
      <c r="C506" s="411" t="s">
        <v>15</v>
      </c>
      <c r="D506" s="411" t="s">
        <v>16</v>
      </c>
      <c r="E506" s="411" t="s">
        <v>17</v>
      </c>
      <c r="F506" s="411" t="s">
        <v>6</v>
      </c>
      <c r="G506" s="411" t="s">
        <v>78</v>
      </c>
      <c r="H506" s="158" t="s">
        <v>79</v>
      </c>
      <c r="I506" s="449"/>
      <c r="J506" s="117" t="s">
        <v>80</v>
      </c>
      <c r="K506" s="411" t="s">
        <v>10</v>
      </c>
      <c r="L506" s="411" t="s">
        <v>11</v>
      </c>
      <c r="M506" s="411" t="s">
        <v>12</v>
      </c>
      <c r="N506" s="411" t="s">
        <v>81</v>
      </c>
      <c r="O506" s="158" t="s">
        <v>82</v>
      </c>
      <c r="P506" s="449"/>
      <c r="Q506" s="451"/>
    </row>
    <row r="507" spans="1:17" ht="15.75" thickBot="1" x14ac:dyDescent="0.3">
      <c r="A507" s="128">
        <v>1</v>
      </c>
      <c r="B507" s="5">
        <v>2</v>
      </c>
      <c r="C507" s="5">
        <v>3</v>
      </c>
      <c r="D507" s="5">
        <v>4</v>
      </c>
      <c r="E507" s="5">
        <v>5</v>
      </c>
      <c r="F507" s="5">
        <v>6</v>
      </c>
      <c r="G507" s="5">
        <v>7</v>
      </c>
      <c r="H507" s="159">
        <v>8</v>
      </c>
      <c r="I507" s="165">
        <v>9</v>
      </c>
      <c r="J507" s="118">
        <v>10</v>
      </c>
      <c r="K507" s="5">
        <v>11</v>
      </c>
      <c r="L507" s="5">
        <v>12</v>
      </c>
      <c r="M507" s="5">
        <v>13</v>
      </c>
      <c r="N507" s="5">
        <v>14</v>
      </c>
      <c r="O507" s="159">
        <v>15</v>
      </c>
      <c r="P507" s="165">
        <v>16</v>
      </c>
      <c r="Q507" s="174">
        <v>17</v>
      </c>
    </row>
    <row r="508" spans="1:17" ht="15.75" thickTop="1" x14ac:dyDescent="0.25">
      <c r="A508" s="85">
        <v>1</v>
      </c>
      <c r="B508" s="7" t="s">
        <v>18</v>
      </c>
      <c r="C508" s="370">
        <f>'ubi kayu'!L9</f>
        <v>0</v>
      </c>
      <c r="D508" s="370">
        <f>'ubi kayu'!M9</f>
        <v>0</v>
      </c>
      <c r="E508" s="370">
        <f>'ubi kayu'!N9</f>
        <v>1</v>
      </c>
      <c r="F508" s="59"/>
      <c r="G508" s="8"/>
      <c r="H508" s="160"/>
      <c r="I508" s="167">
        <f>SUM(C508:H508)</f>
        <v>1</v>
      </c>
      <c r="J508" s="176"/>
      <c r="K508" s="59"/>
      <c r="L508" s="9"/>
      <c r="M508" s="59"/>
      <c r="N508" s="357"/>
      <c r="O508" s="403"/>
      <c r="P508" s="167">
        <f>SUM(J508:O508)</f>
        <v>0</v>
      </c>
      <c r="Q508" s="170">
        <f>SUM(I508,P508)</f>
        <v>1</v>
      </c>
    </row>
    <row r="509" spans="1:17" x14ac:dyDescent="0.25">
      <c r="A509" s="86">
        <v>2</v>
      </c>
      <c r="B509" s="12" t="s">
        <v>19</v>
      </c>
      <c r="C509" s="60">
        <f>'ubi kayu'!L10</f>
        <v>0</v>
      </c>
      <c r="D509" s="60">
        <f>'ubi kayu'!M10</f>
        <v>0</v>
      </c>
      <c r="E509" s="60">
        <f>'ubi kayu'!N10</f>
        <v>0</v>
      </c>
      <c r="F509" s="60"/>
      <c r="G509" s="8"/>
      <c r="H509" s="161"/>
      <c r="I509" s="168">
        <f t="shared" ref="I509:I515" si="160">SUM(C509:H509)</f>
        <v>0</v>
      </c>
      <c r="J509" s="177"/>
      <c r="K509" s="60"/>
      <c r="L509" s="8"/>
      <c r="M509" s="61"/>
      <c r="N509" s="8"/>
      <c r="O509" s="405"/>
      <c r="P509" s="168">
        <f t="shared" ref="P509:P514" si="161">SUM(J509:O509)</f>
        <v>0</v>
      </c>
      <c r="Q509" s="171">
        <f t="shared" ref="Q509:Q515" si="162">SUM(I509,P509)</f>
        <v>0</v>
      </c>
    </row>
    <row r="510" spans="1:17" x14ac:dyDescent="0.25">
      <c r="A510" s="86">
        <v>3</v>
      </c>
      <c r="B510" s="7" t="s">
        <v>20</v>
      </c>
      <c r="C510" s="60">
        <f>'ubi kayu'!L11</f>
        <v>0</v>
      </c>
      <c r="D510" s="60">
        <f>'ubi kayu'!M11</f>
        <v>0</v>
      </c>
      <c r="E510" s="60">
        <f>'ubi kayu'!N11</f>
        <v>3</v>
      </c>
      <c r="F510" s="60"/>
      <c r="G510" s="8"/>
      <c r="H510" s="161"/>
      <c r="I510" s="168">
        <f t="shared" si="160"/>
        <v>3</v>
      </c>
      <c r="J510" s="177"/>
      <c r="K510" s="60"/>
      <c r="L510" s="8"/>
      <c r="M510" s="61"/>
      <c r="N510" s="8"/>
      <c r="O510" s="405"/>
      <c r="P510" s="168">
        <f t="shared" si="161"/>
        <v>0</v>
      </c>
      <c r="Q510" s="171">
        <f t="shared" si="162"/>
        <v>3</v>
      </c>
    </row>
    <row r="511" spans="1:17" x14ac:dyDescent="0.25">
      <c r="A511" s="87">
        <v>4</v>
      </c>
      <c r="B511" s="15" t="s">
        <v>21</v>
      </c>
      <c r="C511" s="60">
        <f>'ubi kayu'!L12</f>
        <v>0</v>
      </c>
      <c r="D511" s="60">
        <f>'ubi kayu'!M12</f>
        <v>0</v>
      </c>
      <c r="E511" s="60">
        <f>'ubi kayu'!N12</f>
        <v>2</v>
      </c>
      <c r="F511" s="61"/>
      <c r="G511" s="16"/>
      <c r="H511" s="162"/>
      <c r="I511" s="168">
        <f t="shared" si="160"/>
        <v>2</v>
      </c>
      <c r="J511" s="178"/>
      <c r="K511" s="139"/>
      <c r="L511" s="16"/>
      <c r="M511" s="61"/>
      <c r="N511" s="8"/>
      <c r="O511" s="405"/>
      <c r="P511" s="168">
        <f t="shared" si="161"/>
        <v>0</v>
      </c>
      <c r="Q511" s="171">
        <f t="shared" si="162"/>
        <v>2</v>
      </c>
    </row>
    <row r="512" spans="1:17" x14ac:dyDescent="0.25">
      <c r="A512" s="87">
        <v>5</v>
      </c>
      <c r="B512" s="19" t="s">
        <v>22</v>
      </c>
      <c r="C512" s="60">
        <f>'ubi kayu'!L13</f>
        <v>0</v>
      </c>
      <c r="D512" s="60">
        <f>'ubi kayu'!M13</f>
        <v>0</v>
      </c>
      <c r="E512" s="60">
        <f>'ubi kayu'!N13</f>
        <v>1</v>
      </c>
      <c r="F512" s="61"/>
      <c r="G512" s="16"/>
      <c r="H512" s="162"/>
      <c r="I512" s="168">
        <f t="shared" si="160"/>
        <v>1</v>
      </c>
      <c r="J512" s="178"/>
      <c r="K512" s="61"/>
      <c r="L512" s="16"/>
      <c r="M512" s="16"/>
      <c r="N512" s="8"/>
      <c r="O512" s="405"/>
      <c r="P512" s="168">
        <f t="shared" si="161"/>
        <v>0</v>
      </c>
      <c r="Q512" s="171">
        <f t="shared" si="162"/>
        <v>1</v>
      </c>
    </row>
    <row r="513" spans="1:17" x14ac:dyDescent="0.25">
      <c r="A513" s="87">
        <v>6</v>
      </c>
      <c r="B513" s="19" t="s">
        <v>23</v>
      </c>
      <c r="C513" s="60">
        <f>'ubi kayu'!L14</f>
        <v>0</v>
      </c>
      <c r="D513" s="60">
        <f>'ubi kayu'!M14</f>
        <v>0</v>
      </c>
      <c r="E513" s="60">
        <f>'ubi kayu'!N14</f>
        <v>0</v>
      </c>
      <c r="F513" s="61"/>
      <c r="G513" s="16"/>
      <c r="H513" s="162"/>
      <c r="I513" s="168">
        <f t="shared" si="160"/>
        <v>0</v>
      </c>
      <c r="J513" s="178"/>
      <c r="K513" s="61"/>
      <c r="L513" s="16"/>
      <c r="M513" s="16"/>
      <c r="N513" s="8"/>
      <c r="O513" s="405"/>
      <c r="P513" s="168">
        <f t="shared" si="161"/>
        <v>0</v>
      </c>
      <c r="Q513" s="171">
        <f t="shared" si="162"/>
        <v>0</v>
      </c>
    </row>
    <row r="514" spans="1:17" x14ac:dyDescent="0.25">
      <c r="A514" s="87">
        <v>7</v>
      </c>
      <c r="B514" s="19" t="s">
        <v>24</v>
      </c>
      <c r="C514" s="60">
        <f>'ubi kayu'!L15</f>
        <v>0</v>
      </c>
      <c r="D514" s="60">
        <f>'ubi kayu'!M15</f>
        <v>0</v>
      </c>
      <c r="E514" s="60">
        <f>'ubi kayu'!N15</f>
        <v>0</v>
      </c>
      <c r="F514" s="61"/>
      <c r="G514" s="16"/>
      <c r="H514" s="162"/>
      <c r="I514" s="168">
        <f t="shared" si="160"/>
        <v>0</v>
      </c>
      <c r="J514" s="178"/>
      <c r="K514" s="61"/>
      <c r="L514" s="16"/>
      <c r="M514" s="16"/>
      <c r="N514" s="8"/>
      <c r="O514" s="405"/>
      <c r="P514" s="168">
        <f t="shared" si="161"/>
        <v>0</v>
      </c>
      <c r="Q514" s="171">
        <f t="shared" si="162"/>
        <v>0</v>
      </c>
    </row>
    <row r="515" spans="1:17" ht="15.75" thickBot="1" x14ac:dyDescent="0.3">
      <c r="A515" s="88">
        <v>8</v>
      </c>
      <c r="B515" s="15" t="s">
        <v>25</v>
      </c>
      <c r="C515" s="371">
        <f>'ubi kayu'!L16</f>
        <v>0</v>
      </c>
      <c r="D515" s="371">
        <f>'ubi kayu'!M16</f>
        <v>0</v>
      </c>
      <c r="E515" s="371">
        <f>'ubi kayu'!N16</f>
        <v>2</v>
      </c>
      <c r="F515" s="62"/>
      <c r="G515" s="17"/>
      <c r="H515" s="163"/>
      <c r="I515" s="169">
        <f t="shared" si="160"/>
        <v>2</v>
      </c>
      <c r="J515" s="179"/>
      <c r="K515" s="139"/>
      <c r="L515" s="17"/>
      <c r="M515" s="17"/>
      <c r="N515" s="358"/>
      <c r="O515" s="404"/>
      <c r="P515" s="169">
        <f>SUM(J515:O515)</f>
        <v>0</v>
      </c>
      <c r="Q515" s="172">
        <f t="shared" si="162"/>
        <v>2</v>
      </c>
    </row>
    <row r="516" spans="1:17" ht="16.5" thickTop="1" thickBot="1" x14ac:dyDescent="0.3">
      <c r="A516" s="443" t="s">
        <v>26</v>
      </c>
      <c r="B516" s="444"/>
      <c r="C516" s="133">
        <f t="shared" ref="C516:H516" si="163">SUM(C508:C515)</f>
        <v>0</v>
      </c>
      <c r="D516" s="133">
        <f t="shared" si="163"/>
        <v>0</v>
      </c>
      <c r="E516" s="133">
        <f t="shared" si="163"/>
        <v>9</v>
      </c>
      <c r="F516" s="133">
        <f t="shared" si="163"/>
        <v>0</v>
      </c>
      <c r="G516" s="133">
        <f t="shared" si="163"/>
        <v>0</v>
      </c>
      <c r="H516" s="164">
        <f t="shared" si="163"/>
        <v>0</v>
      </c>
      <c r="I516" s="166">
        <f>SUM(I508:I515)</f>
        <v>9</v>
      </c>
      <c r="J516" s="180">
        <f t="shared" ref="J516:O516" si="164">SUM(J508:J515)</f>
        <v>0</v>
      </c>
      <c r="K516" s="133">
        <f t="shared" si="164"/>
        <v>0</v>
      </c>
      <c r="L516" s="133">
        <f t="shared" si="164"/>
        <v>0</v>
      </c>
      <c r="M516" s="133">
        <f t="shared" si="164"/>
        <v>0</v>
      </c>
      <c r="N516" s="133">
        <f t="shared" si="164"/>
        <v>0</v>
      </c>
      <c r="O516" s="164">
        <f t="shared" si="164"/>
        <v>0</v>
      </c>
      <c r="P516" s="166">
        <f>SUM(P508:P515)</f>
        <v>0</v>
      </c>
      <c r="Q516" s="173">
        <f>SUM(Q508:Q515)</f>
        <v>9</v>
      </c>
    </row>
    <row r="518" spans="1:17" ht="15.75" x14ac:dyDescent="0.25">
      <c r="A518" s="445" t="s">
        <v>194</v>
      </c>
      <c r="B518" s="445"/>
      <c r="C518" s="445"/>
      <c r="D518" s="445"/>
      <c r="E518" s="445"/>
      <c r="F518" s="445"/>
      <c r="G518" s="445"/>
      <c r="H518" s="445"/>
      <c r="I518" s="445"/>
      <c r="J518" s="445"/>
      <c r="K518" s="445"/>
      <c r="L518" s="445"/>
      <c r="M518" s="445"/>
      <c r="N518" s="445"/>
      <c r="O518" s="445"/>
      <c r="P518" s="445"/>
      <c r="Q518" s="445"/>
    </row>
    <row r="519" spans="1:17" ht="15.75" x14ac:dyDescent="0.25">
      <c r="A519" s="445" t="s">
        <v>83</v>
      </c>
      <c r="B519" s="445"/>
      <c r="C519" s="445"/>
      <c r="D519" s="445"/>
      <c r="E519" s="445"/>
      <c r="F519" s="445"/>
      <c r="G519" s="445"/>
      <c r="H519" s="445"/>
      <c r="I519" s="445"/>
      <c r="J519" s="445"/>
      <c r="K519" s="445"/>
      <c r="L519" s="445"/>
      <c r="M519" s="445"/>
      <c r="N519" s="445"/>
      <c r="O519" s="445"/>
      <c r="P519" s="445"/>
      <c r="Q519" s="445"/>
    </row>
    <row r="520" spans="1:17" ht="15.75" thickBot="1" x14ac:dyDescent="0.3">
      <c r="Q520" s="77" t="s">
        <v>1</v>
      </c>
    </row>
    <row r="521" spans="1:17" x14ac:dyDescent="0.25">
      <c r="A521" s="440" t="s">
        <v>2</v>
      </c>
      <c r="B521" s="442" t="s">
        <v>3</v>
      </c>
      <c r="C521" s="446" t="s">
        <v>84</v>
      </c>
      <c r="D521" s="447"/>
      <c r="E521" s="447"/>
      <c r="F521" s="447"/>
      <c r="G521" s="447"/>
      <c r="H521" s="447"/>
      <c r="I521" s="448" t="s">
        <v>91</v>
      </c>
      <c r="J521" s="447">
        <v>2015</v>
      </c>
      <c r="K521" s="447"/>
      <c r="L521" s="447"/>
      <c r="M521" s="447"/>
      <c r="N521" s="447"/>
      <c r="O521" s="447"/>
      <c r="P521" s="448" t="s">
        <v>92</v>
      </c>
      <c r="Q521" s="450" t="s">
        <v>5</v>
      </c>
    </row>
    <row r="522" spans="1:17" x14ac:dyDescent="0.25">
      <c r="A522" s="441"/>
      <c r="B522" s="426"/>
      <c r="C522" s="411" t="s">
        <v>15</v>
      </c>
      <c r="D522" s="411" t="s">
        <v>16</v>
      </c>
      <c r="E522" s="411" t="s">
        <v>17</v>
      </c>
      <c r="F522" s="411" t="s">
        <v>6</v>
      </c>
      <c r="G522" s="411" t="s">
        <v>78</v>
      </c>
      <c r="H522" s="158" t="s">
        <v>79</v>
      </c>
      <c r="I522" s="449"/>
      <c r="J522" s="117" t="s">
        <v>80</v>
      </c>
      <c r="K522" s="411" t="s">
        <v>10</v>
      </c>
      <c r="L522" s="411" t="s">
        <v>11</v>
      </c>
      <c r="M522" s="411" t="s">
        <v>12</v>
      </c>
      <c r="N522" s="411" t="s">
        <v>81</v>
      </c>
      <c r="O522" s="158" t="s">
        <v>82</v>
      </c>
      <c r="P522" s="449"/>
      <c r="Q522" s="451"/>
    </row>
    <row r="523" spans="1:17" ht="15.75" thickBot="1" x14ac:dyDescent="0.3">
      <c r="A523" s="128">
        <v>1</v>
      </c>
      <c r="B523" s="5">
        <v>2</v>
      </c>
      <c r="C523" s="5">
        <v>3</v>
      </c>
      <c r="D523" s="5">
        <v>4</v>
      </c>
      <c r="E523" s="5">
        <v>5</v>
      </c>
      <c r="F523" s="5">
        <v>6</v>
      </c>
      <c r="G523" s="5">
        <v>7</v>
      </c>
      <c r="H523" s="159">
        <v>8</v>
      </c>
      <c r="I523" s="165">
        <v>9</v>
      </c>
      <c r="J523" s="118">
        <v>10</v>
      </c>
      <c r="K523" s="5">
        <v>11</v>
      </c>
      <c r="L523" s="5">
        <v>12</v>
      </c>
      <c r="M523" s="5">
        <v>13</v>
      </c>
      <c r="N523" s="5">
        <v>14</v>
      </c>
      <c r="O523" s="159">
        <v>15</v>
      </c>
      <c r="P523" s="165">
        <v>16</v>
      </c>
      <c r="Q523" s="174">
        <v>17</v>
      </c>
    </row>
    <row r="524" spans="1:17" ht="15.75" thickTop="1" x14ac:dyDescent="0.25">
      <c r="A524" s="85">
        <v>1</v>
      </c>
      <c r="B524" s="7" t="s">
        <v>18</v>
      </c>
      <c r="C524" s="370">
        <f>'ubi jalar'!L9</f>
        <v>0</v>
      </c>
      <c r="D524" s="370">
        <f>'ubi jalar'!M9</f>
        <v>0</v>
      </c>
      <c r="E524" s="370">
        <f>'ubi jalar'!N9</f>
        <v>0</v>
      </c>
      <c r="F524" s="59"/>
      <c r="G524" s="8"/>
      <c r="H524" s="160"/>
      <c r="I524" s="167">
        <f>SUM(C524:H524)</f>
        <v>0</v>
      </c>
      <c r="J524" s="176"/>
      <c r="K524" s="59"/>
      <c r="L524" s="9"/>
      <c r="M524" s="59"/>
      <c r="N524" s="357"/>
      <c r="O524" s="403"/>
      <c r="P524" s="167">
        <f>SUM(J524:O524)</f>
        <v>0</v>
      </c>
      <c r="Q524" s="170">
        <f>SUM(I524,P524)</f>
        <v>0</v>
      </c>
    </row>
    <row r="525" spans="1:17" x14ac:dyDescent="0.25">
      <c r="A525" s="86">
        <v>2</v>
      </c>
      <c r="B525" s="12" t="s">
        <v>19</v>
      </c>
      <c r="C525" s="60">
        <f>'ubi jalar'!L10</f>
        <v>1</v>
      </c>
      <c r="D525" s="60">
        <f>'ubi jalar'!M10</f>
        <v>1</v>
      </c>
      <c r="E525" s="60">
        <f>'ubi jalar'!N10</f>
        <v>0</v>
      </c>
      <c r="F525" s="60"/>
      <c r="G525" s="8"/>
      <c r="H525" s="161"/>
      <c r="I525" s="168">
        <f t="shared" ref="I525:I531" si="165">SUM(C525:H525)</f>
        <v>2</v>
      </c>
      <c r="J525" s="177"/>
      <c r="K525" s="60"/>
      <c r="L525" s="8"/>
      <c r="M525" s="61"/>
      <c r="N525" s="8"/>
      <c r="O525" s="405"/>
      <c r="P525" s="168">
        <f t="shared" ref="P525:P530" si="166">SUM(J525:O525)</f>
        <v>0</v>
      </c>
      <c r="Q525" s="171">
        <f t="shared" ref="Q525:Q531" si="167">SUM(I525,P525)</f>
        <v>2</v>
      </c>
    </row>
    <row r="526" spans="1:17" x14ac:dyDescent="0.25">
      <c r="A526" s="86">
        <v>3</v>
      </c>
      <c r="B526" s="7" t="s">
        <v>20</v>
      </c>
      <c r="C526" s="60">
        <f>'ubi jalar'!L11</f>
        <v>0</v>
      </c>
      <c r="D526" s="60">
        <f>'ubi jalar'!M11</f>
        <v>0</v>
      </c>
      <c r="E526" s="60">
        <f>'ubi jalar'!N11</f>
        <v>0</v>
      </c>
      <c r="F526" s="60"/>
      <c r="G526" s="8"/>
      <c r="H526" s="161"/>
      <c r="I526" s="168">
        <f t="shared" si="165"/>
        <v>0</v>
      </c>
      <c r="J526" s="177"/>
      <c r="K526" s="60"/>
      <c r="L526" s="8"/>
      <c r="M526" s="61"/>
      <c r="N526" s="8"/>
      <c r="O526" s="405"/>
      <c r="P526" s="168">
        <f t="shared" si="166"/>
        <v>0</v>
      </c>
      <c r="Q526" s="171">
        <f t="shared" si="167"/>
        <v>0</v>
      </c>
    </row>
    <row r="527" spans="1:17" x14ac:dyDescent="0.25">
      <c r="A527" s="87">
        <v>4</v>
      </c>
      <c r="B527" s="15" t="s">
        <v>21</v>
      </c>
      <c r="C527" s="60">
        <f>'ubi jalar'!L12</f>
        <v>1</v>
      </c>
      <c r="D527" s="60">
        <f>'ubi jalar'!M12</f>
        <v>1</v>
      </c>
      <c r="E527" s="60">
        <f>'ubi jalar'!N12</f>
        <v>0</v>
      </c>
      <c r="F527" s="61"/>
      <c r="G527" s="16"/>
      <c r="H527" s="162"/>
      <c r="I527" s="168">
        <f t="shared" si="165"/>
        <v>2</v>
      </c>
      <c r="J527" s="178"/>
      <c r="K527" s="139"/>
      <c r="L527" s="16"/>
      <c r="M527" s="61"/>
      <c r="N527" s="8"/>
      <c r="O527" s="405"/>
      <c r="P527" s="168">
        <f t="shared" si="166"/>
        <v>0</v>
      </c>
      <c r="Q527" s="171">
        <f t="shared" si="167"/>
        <v>2</v>
      </c>
    </row>
    <row r="528" spans="1:17" x14ac:dyDescent="0.25">
      <c r="A528" s="87">
        <v>5</v>
      </c>
      <c r="B528" s="19" t="s">
        <v>22</v>
      </c>
      <c r="C528" s="60">
        <f>'ubi jalar'!L13</f>
        <v>0</v>
      </c>
      <c r="D528" s="60">
        <f>'ubi jalar'!M13</f>
        <v>0</v>
      </c>
      <c r="E528" s="60">
        <f>'ubi jalar'!N13</f>
        <v>0</v>
      </c>
      <c r="F528" s="61"/>
      <c r="G528" s="16"/>
      <c r="H528" s="162"/>
      <c r="I528" s="168">
        <f t="shared" si="165"/>
        <v>0</v>
      </c>
      <c r="J528" s="178"/>
      <c r="K528" s="61"/>
      <c r="L528" s="16"/>
      <c r="M528" s="16"/>
      <c r="N528" s="8"/>
      <c r="O528" s="405"/>
      <c r="P528" s="168">
        <f t="shared" si="166"/>
        <v>0</v>
      </c>
      <c r="Q528" s="171">
        <f t="shared" si="167"/>
        <v>0</v>
      </c>
    </row>
    <row r="529" spans="1:17" x14ac:dyDescent="0.25">
      <c r="A529" s="87">
        <v>6</v>
      </c>
      <c r="B529" s="19" t="s">
        <v>23</v>
      </c>
      <c r="C529" s="60">
        <f>'ubi jalar'!L14</f>
        <v>0</v>
      </c>
      <c r="D529" s="60">
        <f>'ubi jalar'!M14</f>
        <v>0</v>
      </c>
      <c r="E529" s="60">
        <f>'ubi jalar'!N14</f>
        <v>0</v>
      </c>
      <c r="F529" s="61"/>
      <c r="G529" s="16"/>
      <c r="H529" s="162"/>
      <c r="I529" s="168">
        <f t="shared" si="165"/>
        <v>0</v>
      </c>
      <c r="J529" s="178"/>
      <c r="K529" s="61"/>
      <c r="L529" s="16"/>
      <c r="M529" s="16"/>
      <c r="N529" s="8"/>
      <c r="O529" s="405"/>
      <c r="P529" s="168">
        <f t="shared" si="166"/>
        <v>0</v>
      </c>
      <c r="Q529" s="171">
        <f t="shared" si="167"/>
        <v>0</v>
      </c>
    </row>
    <row r="530" spans="1:17" x14ac:dyDescent="0.25">
      <c r="A530" s="87">
        <v>7</v>
      </c>
      <c r="B530" s="19" t="s">
        <v>24</v>
      </c>
      <c r="C530" s="60">
        <f>'ubi jalar'!L15</f>
        <v>0</v>
      </c>
      <c r="D530" s="60">
        <f>'ubi jalar'!M15</f>
        <v>0</v>
      </c>
      <c r="E530" s="60">
        <f>'ubi jalar'!N15</f>
        <v>0</v>
      </c>
      <c r="F530" s="61"/>
      <c r="G530" s="16"/>
      <c r="H530" s="162"/>
      <c r="I530" s="168">
        <f t="shared" si="165"/>
        <v>0</v>
      </c>
      <c r="J530" s="178"/>
      <c r="K530" s="61"/>
      <c r="L530" s="16"/>
      <c r="M530" s="16"/>
      <c r="N530" s="8"/>
      <c r="O530" s="405"/>
      <c r="P530" s="168">
        <f t="shared" si="166"/>
        <v>0</v>
      </c>
      <c r="Q530" s="171">
        <f t="shared" si="167"/>
        <v>0</v>
      </c>
    </row>
    <row r="531" spans="1:17" ht="15.75" thickBot="1" x14ac:dyDescent="0.3">
      <c r="A531" s="88">
        <v>8</v>
      </c>
      <c r="B531" s="15" t="s">
        <v>25</v>
      </c>
      <c r="C531" s="371">
        <f>'ubi jalar'!L16</f>
        <v>0</v>
      </c>
      <c r="D531" s="371">
        <f>'ubi jalar'!M16</f>
        <v>0</v>
      </c>
      <c r="E531" s="371">
        <f>'ubi jalar'!N16</f>
        <v>1</v>
      </c>
      <c r="F531" s="62"/>
      <c r="G531" s="17"/>
      <c r="H531" s="163"/>
      <c r="I531" s="169">
        <f t="shared" si="165"/>
        <v>1</v>
      </c>
      <c r="J531" s="179"/>
      <c r="K531" s="139"/>
      <c r="L531" s="17"/>
      <c r="M531" s="17"/>
      <c r="N531" s="358"/>
      <c r="O531" s="404"/>
      <c r="P531" s="169">
        <f>SUM(J531:O531)</f>
        <v>0</v>
      </c>
      <c r="Q531" s="172">
        <f t="shared" si="167"/>
        <v>1</v>
      </c>
    </row>
    <row r="532" spans="1:17" ht="16.5" thickTop="1" thickBot="1" x14ac:dyDescent="0.3">
      <c r="A532" s="443" t="s">
        <v>26</v>
      </c>
      <c r="B532" s="444"/>
      <c r="C532" s="133">
        <f t="shared" ref="C532:H532" si="168">SUM(C524:C531)</f>
        <v>2</v>
      </c>
      <c r="D532" s="133">
        <f t="shared" si="168"/>
        <v>2</v>
      </c>
      <c r="E532" s="133">
        <f t="shared" si="168"/>
        <v>1</v>
      </c>
      <c r="F532" s="133">
        <f t="shared" si="168"/>
        <v>0</v>
      </c>
      <c r="G532" s="133">
        <f t="shared" si="168"/>
        <v>0</v>
      </c>
      <c r="H532" s="164">
        <f t="shared" si="168"/>
        <v>0</v>
      </c>
      <c r="I532" s="166">
        <f>SUM(I524:I531)</f>
        <v>5</v>
      </c>
      <c r="J532" s="180">
        <f t="shared" ref="J532:O532" si="169">SUM(J524:J531)</f>
        <v>0</v>
      </c>
      <c r="K532" s="133">
        <f t="shared" si="169"/>
        <v>0</v>
      </c>
      <c r="L532" s="133">
        <f t="shared" si="169"/>
        <v>0</v>
      </c>
      <c r="M532" s="133">
        <f t="shared" si="169"/>
        <v>0</v>
      </c>
      <c r="N532" s="133">
        <f t="shared" si="169"/>
        <v>0</v>
      </c>
      <c r="O532" s="164">
        <f t="shared" si="169"/>
        <v>0</v>
      </c>
      <c r="P532" s="166">
        <f>SUM(P524:P531)</f>
        <v>0</v>
      </c>
      <c r="Q532" s="173">
        <f>SUM(Q524:Q531)</f>
        <v>5</v>
      </c>
    </row>
    <row r="534" spans="1:17" ht="15.75" x14ac:dyDescent="0.25">
      <c r="A534" s="445" t="s">
        <v>195</v>
      </c>
      <c r="B534" s="445"/>
      <c r="C534" s="445"/>
      <c r="D534" s="445"/>
      <c r="E534" s="445"/>
      <c r="F534" s="445"/>
      <c r="G534" s="445"/>
      <c r="H534" s="445"/>
      <c r="I534" s="445"/>
      <c r="J534" s="445"/>
      <c r="K534" s="445"/>
      <c r="L534" s="445"/>
      <c r="M534" s="445"/>
      <c r="N534" s="445"/>
      <c r="O534" s="445"/>
      <c r="P534" s="445"/>
      <c r="Q534" s="445"/>
    </row>
    <row r="535" spans="1:17" ht="15.75" x14ac:dyDescent="0.25">
      <c r="A535" s="445" t="s">
        <v>83</v>
      </c>
      <c r="B535" s="445"/>
      <c r="C535" s="445"/>
      <c r="D535" s="445"/>
      <c r="E535" s="445"/>
      <c r="F535" s="445"/>
      <c r="G535" s="445"/>
      <c r="H535" s="445"/>
      <c r="I535" s="445"/>
      <c r="J535" s="445"/>
      <c r="K535" s="445"/>
      <c r="L535" s="445"/>
      <c r="M535" s="445"/>
      <c r="N535" s="445"/>
      <c r="O535" s="445"/>
      <c r="P535" s="445"/>
      <c r="Q535" s="445"/>
    </row>
    <row r="536" spans="1:17" ht="15.75" thickBot="1" x14ac:dyDescent="0.3">
      <c r="Q536" s="77" t="s">
        <v>1</v>
      </c>
    </row>
    <row r="537" spans="1:17" x14ac:dyDescent="0.25">
      <c r="A537" s="440" t="s">
        <v>2</v>
      </c>
      <c r="B537" s="442" t="s">
        <v>3</v>
      </c>
      <c r="C537" s="446" t="s">
        <v>84</v>
      </c>
      <c r="D537" s="447"/>
      <c r="E537" s="447"/>
      <c r="F537" s="447"/>
      <c r="G537" s="447"/>
      <c r="H537" s="447"/>
      <c r="I537" s="448" t="s">
        <v>91</v>
      </c>
      <c r="J537" s="447">
        <v>2015</v>
      </c>
      <c r="K537" s="447"/>
      <c r="L537" s="447"/>
      <c r="M537" s="447"/>
      <c r="N537" s="447"/>
      <c r="O537" s="447"/>
      <c r="P537" s="448" t="s">
        <v>92</v>
      </c>
      <c r="Q537" s="450" t="s">
        <v>5</v>
      </c>
    </row>
    <row r="538" spans="1:17" x14ac:dyDescent="0.25">
      <c r="A538" s="441"/>
      <c r="B538" s="426"/>
      <c r="C538" s="411" t="s">
        <v>15</v>
      </c>
      <c r="D538" s="411" t="s">
        <v>16</v>
      </c>
      <c r="E538" s="411" t="s">
        <v>17</v>
      </c>
      <c r="F538" s="411" t="s">
        <v>6</v>
      </c>
      <c r="G538" s="411" t="s">
        <v>78</v>
      </c>
      <c r="H538" s="158" t="s">
        <v>79</v>
      </c>
      <c r="I538" s="449"/>
      <c r="J538" s="117" t="s">
        <v>80</v>
      </c>
      <c r="K538" s="411" t="s">
        <v>10</v>
      </c>
      <c r="L538" s="411" t="s">
        <v>11</v>
      </c>
      <c r="M538" s="411" t="s">
        <v>12</v>
      </c>
      <c r="N538" s="411" t="s">
        <v>81</v>
      </c>
      <c r="O538" s="158" t="s">
        <v>82</v>
      </c>
      <c r="P538" s="449"/>
      <c r="Q538" s="451"/>
    </row>
    <row r="539" spans="1:17" ht="15.75" thickBot="1" x14ac:dyDescent="0.3">
      <c r="A539" s="128">
        <v>1</v>
      </c>
      <c r="B539" s="5">
        <v>2</v>
      </c>
      <c r="C539" s="5">
        <v>3</v>
      </c>
      <c r="D539" s="5">
        <v>4</v>
      </c>
      <c r="E539" s="5">
        <v>5</v>
      </c>
      <c r="F539" s="5">
        <v>6</v>
      </c>
      <c r="G539" s="5">
        <v>7</v>
      </c>
      <c r="H539" s="159">
        <v>8</v>
      </c>
      <c r="I539" s="165">
        <v>9</v>
      </c>
      <c r="J539" s="118">
        <v>10</v>
      </c>
      <c r="K539" s="5">
        <v>11</v>
      </c>
      <c r="L539" s="5">
        <v>12</v>
      </c>
      <c r="M539" s="5">
        <v>13</v>
      </c>
      <c r="N539" s="5">
        <v>14</v>
      </c>
      <c r="O539" s="159">
        <v>15</v>
      </c>
      <c r="P539" s="165">
        <v>16</v>
      </c>
      <c r="Q539" s="174">
        <v>17</v>
      </c>
    </row>
    <row r="540" spans="1:17" ht="15.75" thickTop="1" x14ac:dyDescent="0.25">
      <c r="A540" s="85">
        <v>1</v>
      </c>
      <c r="B540" s="7" t="s">
        <v>18</v>
      </c>
      <c r="C540" s="370">
        <f>'kc ijo'!L9</f>
        <v>0</v>
      </c>
      <c r="D540" s="370">
        <f>'kc ijo'!M9</f>
        <v>0</v>
      </c>
      <c r="E540" s="370">
        <f>'kc ijo'!N9</f>
        <v>0</v>
      </c>
      <c r="F540" s="59"/>
      <c r="G540" s="8"/>
      <c r="H540" s="160"/>
      <c r="I540" s="167">
        <f>SUM(C540:H540)</f>
        <v>0</v>
      </c>
      <c r="J540" s="176"/>
      <c r="K540" s="59"/>
      <c r="L540" s="9"/>
      <c r="M540" s="59"/>
      <c r="N540" s="357"/>
      <c r="O540" s="403"/>
      <c r="P540" s="167">
        <f>SUM(J540:O540)</f>
        <v>0</v>
      </c>
      <c r="Q540" s="170">
        <f>SUM(I540,P540)</f>
        <v>0</v>
      </c>
    </row>
    <row r="541" spans="1:17" x14ac:dyDescent="0.25">
      <c r="A541" s="86">
        <v>2</v>
      </c>
      <c r="B541" s="12" t="s">
        <v>19</v>
      </c>
      <c r="C541" s="60">
        <f>'kc ijo'!L10</f>
        <v>0</v>
      </c>
      <c r="D541" s="60">
        <f>'kc ijo'!M10</f>
        <v>0</v>
      </c>
      <c r="E541" s="60">
        <f>'kc ijo'!N10</f>
        <v>0</v>
      </c>
      <c r="F541" s="60"/>
      <c r="G541" s="8"/>
      <c r="H541" s="161"/>
      <c r="I541" s="168">
        <f t="shared" ref="I541:I547" si="170">SUM(C541:H541)</f>
        <v>0</v>
      </c>
      <c r="J541" s="177"/>
      <c r="K541" s="60"/>
      <c r="L541" s="8"/>
      <c r="M541" s="61"/>
      <c r="N541" s="8"/>
      <c r="O541" s="405"/>
      <c r="P541" s="168">
        <f t="shared" ref="P541:P546" si="171">SUM(J541:O541)</f>
        <v>0</v>
      </c>
      <c r="Q541" s="171">
        <f t="shared" ref="Q541:Q547" si="172">SUM(I541,P541)</f>
        <v>0</v>
      </c>
    </row>
    <row r="542" spans="1:17" x14ac:dyDescent="0.25">
      <c r="A542" s="86">
        <v>3</v>
      </c>
      <c r="B542" s="7" t="s">
        <v>20</v>
      </c>
      <c r="C542" s="60">
        <f>'kc ijo'!L11</f>
        <v>0</v>
      </c>
      <c r="D542" s="60">
        <f>'kc ijo'!M11</f>
        <v>0</v>
      </c>
      <c r="E542" s="60">
        <f>'kc ijo'!N11</f>
        <v>0</v>
      </c>
      <c r="F542" s="60"/>
      <c r="G542" s="8"/>
      <c r="H542" s="161"/>
      <c r="I542" s="168">
        <f t="shared" si="170"/>
        <v>0</v>
      </c>
      <c r="J542" s="177"/>
      <c r="K542" s="60"/>
      <c r="L542" s="8"/>
      <c r="M542" s="61"/>
      <c r="N542" s="8"/>
      <c r="O542" s="405"/>
      <c r="P542" s="168">
        <f t="shared" si="171"/>
        <v>0</v>
      </c>
      <c r="Q542" s="171">
        <f t="shared" si="172"/>
        <v>0</v>
      </c>
    </row>
    <row r="543" spans="1:17" x14ac:dyDescent="0.25">
      <c r="A543" s="87">
        <v>4</v>
      </c>
      <c r="B543" s="15" t="s">
        <v>21</v>
      </c>
      <c r="C543" s="60">
        <f>'kc ijo'!L12</f>
        <v>0</v>
      </c>
      <c r="D543" s="60">
        <f>'kc ijo'!M12</f>
        <v>0</v>
      </c>
      <c r="E543" s="60">
        <f>'kc ijo'!N12</f>
        <v>0</v>
      </c>
      <c r="F543" s="61"/>
      <c r="G543" s="16"/>
      <c r="H543" s="162"/>
      <c r="I543" s="168">
        <f t="shared" si="170"/>
        <v>0</v>
      </c>
      <c r="J543" s="178"/>
      <c r="K543" s="139"/>
      <c r="L543" s="16"/>
      <c r="M543" s="61"/>
      <c r="N543" s="8"/>
      <c r="O543" s="405"/>
      <c r="P543" s="168">
        <f t="shared" si="171"/>
        <v>0</v>
      </c>
      <c r="Q543" s="171">
        <f t="shared" si="172"/>
        <v>0</v>
      </c>
    </row>
    <row r="544" spans="1:17" x14ac:dyDescent="0.25">
      <c r="A544" s="87">
        <v>5</v>
      </c>
      <c r="B544" s="19" t="s">
        <v>22</v>
      </c>
      <c r="C544" s="60">
        <f>'kc ijo'!L13</f>
        <v>0</v>
      </c>
      <c r="D544" s="60">
        <f>'kc ijo'!M13</f>
        <v>0</v>
      </c>
      <c r="E544" s="60">
        <f>'kc ijo'!N13</f>
        <v>0</v>
      </c>
      <c r="F544" s="61"/>
      <c r="G544" s="16"/>
      <c r="H544" s="162"/>
      <c r="I544" s="168">
        <f t="shared" si="170"/>
        <v>0</v>
      </c>
      <c r="J544" s="178"/>
      <c r="K544" s="61"/>
      <c r="L544" s="16"/>
      <c r="M544" s="16"/>
      <c r="N544" s="8"/>
      <c r="O544" s="405"/>
      <c r="P544" s="168">
        <f t="shared" si="171"/>
        <v>0</v>
      </c>
      <c r="Q544" s="171">
        <f t="shared" si="172"/>
        <v>0</v>
      </c>
    </row>
    <row r="545" spans="1:17" x14ac:dyDescent="0.25">
      <c r="A545" s="87">
        <v>6</v>
      </c>
      <c r="B545" s="19" t="s">
        <v>23</v>
      </c>
      <c r="C545" s="60">
        <f>'kc ijo'!L14</f>
        <v>0</v>
      </c>
      <c r="D545" s="60">
        <f>'kc ijo'!M14</f>
        <v>0</v>
      </c>
      <c r="E545" s="60">
        <f>'kc ijo'!N14</f>
        <v>0</v>
      </c>
      <c r="F545" s="61"/>
      <c r="G545" s="16"/>
      <c r="H545" s="162"/>
      <c r="I545" s="168">
        <f t="shared" si="170"/>
        <v>0</v>
      </c>
      <c r="J545" s="178"/>
      <c r="K545" s="61"/>
      <c r="L545" s="16"/>
      <c r="M545" s="16"/>
      <c r="N545" s="8"/>
      <c r="O545" s="405"/>
      <c r="P545" s="168">
        <f t="shared" si="171"/>
        <v>0</v>
      </c>
      <c r="Q545" s="171">
        <f t="shared" si="172"/>
        <v>0</v>
      </c>
    </row>
    <row r="546" spans="1:17" x14ac:dyDescent="0.25">
      <c r="A546" s="87">
        <v>7</v>
      </c>
      <c r="B546" s="19" t="s">
        <v>24</v>
      </c>
      <c r="C546" s="60">
        <f>'kc ijo'!L15</f>
        <v>0</v>
      </c>
      <c r="D546" s="60">
        <f>'kc ijo'!M15</f>
        <v>0</v>
      </c>
      <c r="E546" s="60">
        <f>'kc ijo'!N15</f>
        <v>0</v>
      </c>
      <c r="F546" s="61"/>
      <c r="G546" s="16"/>
      <c r="H546" s="162"/>
      <c r="I546" s="168">
        <f t="shared" si="170"/>
        <v>0</v>
      </c>
      <c r="J546" s="178"/>
      <c r="K546" s="61"/>
      <c r="L546" s="16"/>
      <c r="M546" s="16"/>
      <c r="N546" s="8"/>
      <c r="O546" s="405"/>
      <c r="P546" s="168">
        <f t="shared" si="171"/>
        <v>0</v>
      </c>
      <c r="Q546" s="171">
        <f t="shared" si="172"/>
        <v>0</v>
      </c>
    </row>
    <row r="547" spans="1:17" ht="15.75" thickBot="1" x14ac:dyDescent="0.3">
      <c r="A547" s="88">
        <v>8</v>
      </c>
      <c r="B547" s="15" t="s">
        <v>25</v>
      </c>
      <c r="C547" s="371">
        <f>'kc ijo'!L16</f>
        <v>0</v>
      </c>
      <c r="D547" s="371">
        <f>'kc ijo'!M16</f>
        <v>0</v>
      </c>
      <c r="E547" s="371">
        <f>'kc ijo'!N16</f>
        <v>0</v>
      </c>
      <c r="F547" s="62"/>
      <c r="G547" s="17"/>
      <c r="H547" s="163"/>
      <c r="I547" s="169">
        <f t="shared" si="170"/>
        <v>0</v>
      </c>
      <c r="J547" s="179"/>
      <c r="K547" s="139"/>
      <c r="L547" s="17"/>
      <c r="M547" s="17"/>
      <c r="N547" s="358"/>
      <c r="O547" s="404"/>
      <c r="P547" s="169">
        <f>SUM(J547:O547)</f>
        <v>0</v>
      </c>
      <c r="Q547" s="172">
        <f t="shared" si="172"/>
        <v>0</v>
      </c>
    </row>
    <row r="548" spans="1:17" ht="16.5" thickTop="1" thickBot="1" x14ac:dyDescent="0.3">
      <c r="A548" s="443" t="s">
        <v>26</v>
      </c>
      <c r="B548" s="444"/>
      <c r="C548" s="133">
        <f t="shared" ref="C548:H548" si="173">SUM(C540:C547)</f>
        <v>0</v>
      </c>
      <c r="D548" s="133">
        <f t="shared" si="173"/>
        <v>0</v>
      </c>
      <c r="E548" s="133">
        <f t="shared" si="173"/>
        <v>0</v>
      </c>
      <c r="F548" s="133">
        <f t="shared" si="173"/>
        <v>0</v>
      </c>
      <c r="G548" s="133">
        <f t="shared" si="173"/>
        <v>0</v>
      </c>
      <c r="H548" s="164">
        <f t="shared" si="173"/>
        <v>0</v>
      </c>
      <c r="I548" s="166">
        <f>SUM(I540:I547)</f>
        <v>0</v>
      </c>
      <c r="J548" s="180">
        <f t="shared" ref="J548:O548" si="174">SUM(J540:J547)</f>
        <v>0</v>
      </c>
      <c r="K548" s="133">
        <f t="shared" si="174"/>
        <v>0</v>
      </c>
      <c r="L548" s="133">
        <f t="shared" si="174"/>
        <v>0</v>
      </c>
      <c r="M548" s="133">
        <f t="shared" si="174"/>
        <v>0</v>
      </c>
      <c r="N548" s="133">
        <f t="shared" si="174"/>
        <v>0</v>
      </c>
      <c r="O548" s="164">
        <f t="shared" si="174"/>
        <v>0</v>
      </c>
      <c r="P548" s="166">
        <f>SUM(P540:P547)</f>
        <v>0</v>
      </c>
      <c r="Q548" s="173">
        <f>SUM(Q540:Q547)</f>
        <v>0</v>
      </c>
    </row>
  </sheetData>
  <mergeCells count="336">
    <mergeCell ref="A436:B436"/>
    <mergeCell ref="A422:Q422"/>
    <mergeCell ref="A423:Q423"/>
    <mergeCell ref="A425:A426"/>
    <mergeCell ref="B425:B426"/>
    <mergeCell ref="C425:H425"/>
    <mergeCell ref="I425:I426"/>
    <mergeCell ref="J425:O425"/>
    <mergeCell ref="P425:P426"/>
    <mergeCell ref="Q425:Q426"/>
    <mergeCell ref="A419:B419"/>
    <mergeCell ref="A403:B403"/>
    <mergeCell ref="A405:Q405"/>
    <mergeCell ref="A406:Q406"/>
    <mergeCell ref="A408:A409"/>
    <mergeCell ref="B408:B409"/>
    <mergeCell ref="C408:H408"/>
    <mergeCell ref="I408:I409"/>
    <mergeCell ref="J408:O408"/>
    <mergeCell ref="P408:P409"/>
    <mergeCell ref="Q408:Q409"/>
    <mergeCell ref="A387:B387"/>
    <mergeCell ref="A389:Q389"/>
    <mergeCell ref="A390:Q390"/>
    <mergeCell ref="A392:A393"/>
    <mergeCell ref="B392:B393"/>
    <mergeCell ref="C392:H392"/>
    <mergeCell ref="I392:I393"/>
    <mergeCell ref="J392:O392"/>
    <mergeCell ref="P392:P393"/>
    <mergeCell ref="Q392:Q393"/>
    <mergeCell ref="A371:B371"/>
    <mergeCell ref="A373:Q373"/>
    <mergeCell ref="A374:Q374"/>
    <mergeCell ref="A376:A377"/>
    <mergeCell ref="B376:B377"/>
    <mergeCell ref="C376:H376"/>
    <mergeCell ref="I376:I377"/>
    <mergeCell ref="J376:O376"/>
    <mergeCell ref="P376:P377"/>
    <mergeCell ref="Q376:Q377"/>
    <mergeCell ref="A357:Q357"/>
    <mergeCell ref="A358:Q358"/>
    <mergeCell ref="A360:A361"/>
    <mergeCell ref="B360:B361"/>
    <mergeCell ref="C360:H360"/>
    <mergeCell ref="I360:I361"/>
    <mergeCell ref="J360:O360"/>
    <mergeCell ref="P360:P361"/>
    <mergeCell ref="Q360:Q361"/>
    <mergeCell ref="A354:B354"/>
    <mergeCell ref="A338:B338"/>
    <mergeCell ref="A340:Q340"/>
    <mergeCell ref="A341:Q341"/>
    <mergeCell ref="A343:A344"/>
    <mergeCell ref="B343:B344"/>
    <mergeCell ref="C343:H343"/>
    <mergeCell ref="I343:I344"/>
    <mergeCell ref="J343:O343"/>
    <mergeCell ref="P343:P344"/>
    <mergeCell ref="Q343:Q344"/>
    <mergeCell ref="A318:B318"/>
    <mergeCell ref="A324:Q324"/>
    <mergeCell ref="A325:Q325"/>
    <mergeCell ref="A327:A328"/>
    <mergeCell ref="B327:B328"/>
    <mergeCell ref="C327:H327"/>
    <mergeCell ref="I327:I328"/>
    <mergeCell ref="J327:O327"/>
    <mergeCell ref="P327:P328"/>
    <mergeCell ref="Q327:Q328"/>
    <mergeCell ref="A302:B302"/>
    <mergeCell ref="A304:Q304"/>
    <mergeCell ref="A305:Q305"/>
    <mergeCell ref="A307:A308"/>
    <mergeCell ref="B307:B308"/>
    <mergeCell ref="C307:H307"/>
    <mergeCell ref="I307:I308"/>
    <mergeCell ref="J307:O307"/>
    <mergeCell ref="P307:P308"/>
    <mergeCell ref="Q307:Q308"/>
    <mergeCell ref="A282:B282"/>
    <mergeCell ref="A288:Q288"/>
    <mergeCell ref="A289:Q289"/>
    <mergeCell ref="A291:A292"/>
    <mergeCell ref="B291:B292"/>
    <mergeCell ref="C291:H291"/>
    <mergeCell ref="I291:I292"/>
    <mergeCell ref="J291:O291"/>
    <mergeCell ref="P291:P292"/>
    <mergeCell ref="Q291:Q292"/>
    <mergeCell ref="A266:B266"/>
    <mergeCell ref="A268:Q268"/>
    <mergeCell ref="A269:Q269"/>
    <mergeCell ref="A271:A272"/>
    <mergeCell ref="B271:B272"/>
    <mergeCell ref="C271:H271"/>
    <mergeCell ref="I271:I272"/>
    <mergeCell ref="J271:O271"/>
    <mergeCell ref="P271:P272"/>
    <mergeCell ref="Q271:Q272"/>
    <mergeCell ref="A247:B247"/>
    <mergeCell ref="A252:Q252"/>
    <mergeCell ref="A253:Q253"/>
    <mergeCell ref="A255:A256"/>
    <mergeCell ref="B255:B256"/>
    <mergeCell ref="C255:H255"/>
    <mergeCell ref="I255:I256"/>
    <mergeCell ref="J255:O255"/>
    <mergeCell ref="P255:P256"/>
    <mergeCell ref="Q255:Q256"/>
    <mergeCell ref="A231:B231"/>
    <mergeCell ref="A233:Q233"/>
    <mergeCell ref="A234:Q234"/>
    <mergeCell ref="A236:A237"/>
    <mergeCell ref="B236:B237"/>
    <mergeCell ref="C236:H236"/>
    <mergeCell ref="I236:I237"/>
    <mergeCell ref="J236:O236"/>
    <mergeCell ref="P236:P237"/>
    <mergeCell ref="Q236:Q237"/>
    <mergeCell ref="A211:B211"/>
    <mergeCell ref="A217:Q217"/>
    <mergeCell ref="A218:Q218"/>
    <mergeCell ref="A220:A221"/>
    <mergeCell ref="B220:B221"/>
    <mergeCell ref="C220:H220"/>
    <mergeCell ref="I220:I221"/>
    <mergeCell ref="J220:O220"/>
    <mergeCell ref="P220:P221"/>
    <mergeCell ref="Q220:Q221"/>
    <mergeCell ref="A195:B195"/>
    <mergeCell ref="A197:Q197"/>
    <mergeCell ref="A198:Q198"/>
    <mergeCell ref="A200:A201"/>
    <mergeCell ref="B200:B201"/>
    <mergeCell ref="C200:H200"/>
    <mergeCell ref="I200:I201"/>
    <mergeCell ref="J200:O200"/>
    <mergeCell ref="P200:P201"/>
    <mergeCell ref="Q200:Q201"/>
    <mergeCell ref="A175:B175"/>
    <mergeCell ref="A181:Q181"/>
    <mergeCell ref="A182:Q182"/>
    <mergeCell ref="A184:A185"/>
    <mergeCell ref="B184:B185"/>
    <mergeCell ref="C184:H184"/>
    <mergeCell ref="I184:I185"/>
    <mergeCell ref="J184:O184"/>
    <mergeCell ref="P184:P185"/>
    <mergeCell ref="Q184:Q185"/>
    <mergeCell ref="A159:B159"/>
    <mergeCell ref="A161:Q161"/>
    <mergeCell ref="A162:Q162"/>
    <mergeCell ref="A164:A165"/>
    <mergeCell ref="B164:B165"/>
    <mergeCell ref="C164:H164"/>
    <mergeCell ref="I164:I165"/>
    <mergeCell ref="J164:O164"/>
    <mergeCell ref="P164:P165"/>
    <mergeCell ref="Q164:Q165"/>
    <mergeCell ref="C128:H128"/>
    <mergeCell ref="J128:O128"/>
    <mergeCell ref="Q128:Q129"/>
    <mergeCell ref="A103:B103"/>
    <mergeCell ref="A145:Q145"/>
    <mergeCell ref="A146:Q146"/>
    <mergeCell ref="A148:A149"/>
    <mergeCell ref="B148:B149"/>
    <mergeCell ref="C148:H148"/>
    <mergeCell ref="I148:I149"/>
    <mergeCell ref="J148:O148"/>
    <mergeCell ref="P148:P149"/>
    <mergeCell ref="Q148:Q149"/>
    <mergeCell ref="A123:B123"/>
    <mergeCell ref="A112:A113"/>
    <mergeCell ref="B112:B113"/>
    <mergeCell ref="C112:H112"/>
    <mergeCell ref="J112:O112"/>
    <mergeCell ref="Q112:Q113"/>
    <mergeCell ref="J56:O56"/>
    <mergeCell ref="Q56:Q57"/>
    <mergeCell ref="A31:B31"/>
    <mergeCell ref="A89:Q89"/>
    <mergeCell ref="A139:B139"/>
    <mergeCell ref="I20:I21"/>
    <mergeCell ref="P20:P21"/>
    <mergeCell ref="I40:I41"/>
    <mergeCell ref="P40:P41"/>
    <mergeCell ref="I56:I57"/>
    <mergeCell ref="P56:P57"/>
    <mergeCell ref="I76:I77"/>
    <mergeCell ref="P76:P77"/>
    <mergeCell ref="I92:I93"/>
    <mergeCell ref="P92:P93"/>
    <mergeCell ref="I112:I113"/>
    <mergeCell ref="P112:P113"/>
    <mergeCell ref="I128:I129"/>
    <mergeCell ref="P128:P129"/>
    <mergeCell ref="A67:B67"/>
    <mergeCell ref="A125:Q125"/>
    <mergeCell ref="A126:Q126"/>
    <mergeCell ref="A128:A129"/>
    <mergeCell ref="B128:B129"/>
    <mergeCell ref="A37:Q37"/>
    <mergeCell ref="A38:Q38"/>
    <mergeCell ref="A40:A41"/>
    <mergeCell ref="B40:B41"/>
    <mergeCell ref="C40:H40"/>
    <mergeCell ref="J40:O40"/>
    <mergeCell ref="Q40:Q41"/>
    <mergeCell ref="A17:Q17"/>
    <mergeCell ref="A18:Q18"/>
    <mergeCell ref="A20:A21"/>
    <mergeCell ref="B20:B21"/>
    <mergeCell ref="C20:H20"/>
    <mergeCell ref="J20:O20"/>
    <mergeCell ref="Q20:Q21"/>
    <mergeCell ref="T31:U31"/>
    <mergeCell ref="T15:U15"/>
    <mergeCell ref="T17:AH17"/>
    <mergeCell ref="T18:AH18"/>
    <mergeCell ref="T20:T21"/>
    <mergeCell ref="U20:U21"/>
    <mergeCell ref="V20:AA20"/>
    <mergeCell ref="A2:Q2"/>
    <mergeCell ref="A1:Q1"/>
    <mergeCell ref="T1:AH1"/>
    <mergeCell ref="T2:AH2"/>
    <mergeCell ref="T4:T5"/>
    <mergeCell ref="U4:U5"/>
    <mergeCell ref="V4:AA4"/>
    <mergeCell ref="AB4:AG4"/>
    <mergeCell ref="AH4:AH5"/>
    <mergeCell ref="I4:I5"/>
    <mergeCell ref="P4:P5"/>
    <mergeCell ref="A4:A5"/>
    <mergeCell ref="B4:B5"/>
    <mergeCell ref="Q4:Q5"/>
    <mergeCell ref="A15:B15"/>
    <mergeCell ref="C4:H4"/>
    <mergeCell ref="J4:O4"/>
    <mergeCell ref="A73:Q73"/>
    <mergeCell ref="A74:Q74"/>
    <mergeCell ref="A76:A77"/>
    <mergeCell ref="B76:B77"/>
    <mergeCell ref="C76:H76"/>
    <mergeCell ref="AB20:AG20"/>
    <mergeCell ref="AH20:AH21"/>
    <mergeCell ref="A109:Q109"/>
    <mergeCell ref="A110:Q110"/>
    <mergeCell ref="J76:O76"/>
    <mergeCell ref="Q76:Q77"/>
    <mergeCell ref="A51:B51"/>
    <mergeCell ref="A90:Q90"/>
    <mergeCell ref="A92:A93"/>
    <mergeCell ref="B92:B93"/>
    <mergeCell ref="C92:H92"/>
    <mergeCell ref="J92:O92"/>
    <mergeCell ref="Q92:Q93"/>
    <mergeCell ref="A87:B87"/>
    <mergeCell ref="A53:Q53"/>
    <mergeCell ref="A54:Q54"/>
    <mergeCell ref="A56:A57"/>
    <mergeCell ref="B56:B57"/>
    <mergeCell ref="C56:H56"/>
    <mergeCell ref="A438:Q438"/>
    <mergeCell ref="A439:Q439"/>
    <mergeCell ref="A441:A442"/>
    <mergeCell ref="B441:B442"/>
    <mergeCell ref="C441:H441"/>
    <mergeCell ref="I441:I442"/>
    <mergeCell ref="J441:O441"/>
    <mergeCell ref="P441:P442"/>
    <mergeCell ref="Q441:Q442"/>
    <mergeCell ref="A452:B452"/>
    <mergeCell ref="A454:Q454"/>
    <mergeCell ref="A455:Q455"/>
    <mergeCell ref="A457:A458"/>
    <mergeCell ref="B457:B458"/>
    <mergeCell ref="C457:H457"/>
    <mergeCell ref="I457:I458"/>
    <mergeCell ref="J457:O457"/>
    <mergeCell ref="P457:P458"/>
    <mergeCell ref="Q457:Q458"/>
    <mergeCell ref="A468:B468"/>
    <mergeCell ref="A470:Q470"/>
    <mergeCell ref="A471:Q471"/>
    <mergeCell ref="A473:A474"/>
    <mergeCell ref="B473:B474"/>
    <mergeCell ref="C473:H473"/>
    <mergeCell ref="I473:I474"/>
    <mergeCell ref="J473:O473"/>
    <mergeCell ref="P473:P474"/>
    <mergeCell ref="Q473:Q474"/>
    <mergeCell ref="A484:B484"/>
    <mergeCell ref="A486:Q486"/>
    <mergeCell ref="A487:Q487"/>
    <mergeCell ref="A489:A490"/>
    <mergeCell ref="B489:B490"/>
    <mergeCell ref="C489:H489"/>
    <mergeCell ref="I489:I490"/>
    <mergeCell ref="J489:O489"/>
    <mergeCell ref="P489:P490"/>
    <mergeCell ref="Q489:Q490"/>
    <mergeCell ref="A500:B500"/>
    <mergeCell ref="A502:Q502"/>
    <mergeCell ref="A503:Q503"/>
    <mergeCell ref="A505:A506"/>
    <mergeCell ref="B505:B506"/>
    <mergeCell ref="C505:H505"/>
    <mergeCell ref="I505:I506"/>
    <mergeCell ref="J505:O505"/>
    <mergeCell ref="P505:P506"/>
    <mergeCell ref="Q505:Q506"/>
    <mergeCell ref="A516:B516"/>
    <mergeCell ref="A518:Q518"/>
    <mergeCell ref="A519:Q519"/>
    <mergeCell ref="A521:A522"/>
    <mergeCell ref="B521:B522"/>
    <mergeCell ref="C521:H521"/>
    <mergeCell ref="I521:I522"/>
    <mergeCell ref="J521:O521"/>
    <mergeCell ref="P521:P522"/>
    <mergeCell ref="Q521:Q522"/>
    <mergeCell ref="A548:B548"/>
    <mergeCell ref="A532:B532"/>
    <mergeCell ref="A534:Q534"/>
    <mergeCell ref="A535:Q535"/>
    <mergeCell ref="A537:A538"/>
    <mergeCell ref="B537:B538"/>
    <mergeCell ref="C537:H537"/>
    <mergeCell ref="I537:I538"/>
    <mergeCell ref="J537:O537"/>
    <mergeCell ref="P537:P538"/>
    <mergeCell ref="Q537:Q538"/>
  </mergeCells>
  <pageMargins left="1.2204724409448819" right="0.59055118110236227" top="0.74803149606299213" bottom="0.74803149606299213" header="0.31496062992125984" footer="0.31496062992125984"/>
  <pageSetup paperSize="9" scale="90" orientation="landscape" horizontalDpi="4294967293" verticalDpi="4294967293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18"/>
  <sheetViews>
    <sheetView zoomScale="90" zoomScaleNormal="90" workbookViewId="0">
      <selection activeCell="N7" sqref="N7"/>
    </sheetView>
  </sheetViews>
  <sheetFormatPr defaultRowHeight="15" x14ac:dyDescent="0.25"/>
  <cols>
    <col min="1" max="1" width="4" customWidth="1"/>
    <col min="2" max="2" width="13.5703125" customWidth="1"/>
    <col min="3" max="17" width="8.140625" customWidth="1"/>
  </cols>
  <sheetData>
    <row r="1" spans="1:21" ht="15.75" x14ac:dyDescent="0.25">
      <c r="A1" s="445" t="s">
        <v>153</v>
      </c>
      <c r="B1" s="445"/>
      <c r="C1" s="445"/>
      <c r="D1" s="445"/>
      <c r="E1" s="445"/>
      <c r="F1" s="445"/>
      <c r="G1" s="445"/>
      <c r="H1" s="445"/>
      <c r="I1" s="445"/>
      <c r="J1" s="445"/>
      <c r="K1" s="445"/>
      <c r="L1" s="445"/>
      <c r="M1" s="445"/>
      <c r="N1" s="445"/>
      <c r="O1" s="445"/>
      <c r="P1" s="445"/>
      <c r="Q1" s="445"/>
    </row>
    <row r="2" spans="1:21" ht="15.75" x14ac:dyDescent="0.25">
      <c r="A2" s="445" t="s">
        <v>83</v>
      </c>
      <c r="B2" s="445"/>
      <c r="C2" s="445"/>
      <c r="D2" s="445"/>
      <c r="E2" s="445"/>
      <c r="F2" s="445"/>
      <c r="G2" s="445"/>
      <c r="H2" s="445"/>
      <c r="I2" s="445"/>
      <c r="J2" s="445"/>
      <c r="K2" s="445"/>
      <c r="L2" s="445"/>
      <c r="M2" s="445"/>
      <c r="N2" s="445"/>
      <c r="O2" s="445"/>
      <c r="P2" s="445"/>
      <c r="Q2" s="445"/>
    </row>
    <row r="3" spans="1:21" ht="15.75" thickBot="1" x14ac:dyDescent="0.3">
      <c r="Q3" s="77" t="s">
        <v>1</v>
      </c>
    </row>
    <row r="4" spans="1:21" x14ac:dyDescent="0.25">
      <c r="A4" s="440" t="s">
        <v>2</v>
      </c>
      <c r="B4" s="442" t="s">
        <v>3</v>
      </c>
      <c r="C4" s="446" t="s">
        <v>84</v>
      </c>
      <c r="D4" s="447"/>
      <c r="E4" s="447"/>
      <c r="F4" s="447"/>
      <c r="G4" s="447"/>
      <c r="H4" s="447"/>
      <c r="I4" s="448" t="s">
        <v>91</v>
      </c>
      <c r="J4" s="447">
        <v>2015</v>
      </c>
      <c r="K4" s="447"/>
      <c r="L4" s="447"/>
      <c r="M4" s="447"/>
      <c r="N4" s="447"/>
      <c r="O4" s="447"/>
      <c r="P4" s="448" t="s">
        <v>92</v>
      </c>
      <c r="Q4" s="450" t="s">
        <v>5</v>
      </c>
    </row>
    <row r="5" spans="1:21" x14ac:dyDescent="0.25">
      <c r="A5" s="441"/>
      <c r="B5" s="426"/>
      <c r="C5" s="211" t="s">
        <v>15</v>
      </c>
      <c r="D5" s="211" t="s">
        <v>16</v>
      </c>
      <c r="E5" s="211" t="s">
        <v>17</v>
      </c>
      <c r="F5" s="211" t="s">
        <v>6</v>
      </c>
      <c r="G5" s="211" t="s">
        <v>78</v>
      </c>
      <c r="H5" s="158" t="s">
        <v>79</v>
      </c>
      <c r="I5" s="449"/>
      <c r="J5" s="117" t="s">
        <v>80</v>
      </c>
      <c r="K5" s="211" t="s">
        <v>10</v>
      </c>
      <c r="L5" s="211" t="s">
        <v>11</v>
      </c>
      <c r="M5" s="211" t="s">
        <v>12</v>
      </c>
      <c r="N5" s="211" t="s">
        <v>81</v>
      </c>
      <c r="O5" s="158" t="s">
        <v>82</v>
      </c>
      <c r="P5" s="449"/>
      <c r="Q5" s="451"/>
    </row>
    <row r="6" spans="1:21" ht="15.75" thickBot="1" x14ac:dyDescent="0.3">
      <c r="A6" s="128">
        <v>1</v>
      </c>
      <c r="B6" s="5">
        <v>2</v>
      </c>
      <c r="C6" s="5">
        <v>3</v>
      </c>
      <c r="D6" s="5">
        <v>4</v>
      </c>
      <c r="E6" s="5">
        <v>5</v>
      </c>
      <c r="F6" s="5">
        <v>6</v>
      </c>
      <c r="G6" s="5">
        <v>7</v>
      </c>
      <c r="H6" s="159">
        <v>8</v>
      </c>
      <c r="I6" s="165">
        <v>9</v>
      </c>
      <c r="J6" s="118">
        <v>10</v>
      </c>
      <c r="K6" s="5">
        <v>11</v>
      </c>
      <c r="L6" s="5">
        <v>12</v>
      </c>
      <c r="M6" s="5">
        <v>13</v>
      </c>
      <c r="N6" s="5">
        <v>14</v>
      </c>
      <c r="O6" s="159">
        <v>15</v>
      </c>
      <c r="P6" s="165">
        <v>16</v>
      </c>
      <c r="Q6" s="174">
        <v>17</v>
      </c>
      <c r="U6" t="s">
        <v>197</v>
      </c>
    </row>
    <row r="7" spans="1:21" ht="15.75" thickTop="1" x14ac:dyDescent="0.25">
      <c r="A7" s="85">
        <v>1</v>
      </c>
      <c r="B7" s="7" t="s">
        <v>18</v>
      </c>
      <c r="C7" s="59">
        <v>0</v>
      </c>
      <c r="D7" s="9">
        <v>0</v>
      </c>
      <c r="E7" s="9">
        <v>0</v>
      </c>
      <c r="F7" s="59">
        <v>196</v>
      </c>
      <c r="G7" s="8">
        <v>0</v>
      </c>
      <c r="H7" s="160">
        <v>0</v>
      </c>
      <c r="I7" s="167">
        <f>SUM(C7:H7)</f>
        <v>196</v>
      </c>
      <c r="J7" s="176">
        <v>2</v>
      </c>
      <c r="K7" s="114">
        <f>97%*'okt-mar'!K7</f>
        <v>17.46</v>
      </c>
      <c r="L7" s="357">
        <f>97%*'okt-mar'!L7</f>
        <v>7.76</v>
      </c>
      <c r="M7" s="370">
        <f>96%*'okt-mar'!M7</f>
        <v>0</v>
      </c>
      <c r="N7" s="357">
        <f>96%*'okt-mar'!N7</f>
        <v>0.96</v>
      </c>
      <c r="O7" s="160"/>
      <c r="P7" s="167">
        <f>SUM(J7:O7)</f>
        <v>28.18</v>
      </c>
      <c r="Q7" s="170">
        <f>SUM(I7,P7)</f>
        <v>224.18</v>
      </c>
      <c r="S7" s="359">
        <f>SUM(J7:L7)</f>
        <v>27.22</v>
      </c>
      <c r="T7" s="350">
        <f>97%*S7</f>
        <v>26.403399999999998</v>
      </c>
      <c r="U7" s="110">
        <f>SUM(F7:H7,J7:N7)</f>
        <v>224.18</v>
      </c>
    </row>
    <row r="8" spans="1:21" x14ac:dyDescent="0.25">
      <c r="A8" s="86">
        <v>2</v>
      </c>
      <c r="B8" s="12" t="s">
        <v>19</v>
      </c>
      <c r="C8" s="61">
        <v>0</v>
      </c>
      <c r="D8" s="47">
        <v>24</v>
      </c>
      <c r="E8" s="8">
        <v>120</v>
      </c>
      <c r="F8" s="60">
        <v>110</v>
      </c>
      <c r="G8" s="8">
        <v>0</v>
      </c>
      <c r="H8" s="161">
        <v>14</v>
      </c>
      <c r="I8" s="168">
        <f t="shared" ref="I8:I14" si="0">SUM(C8:H8)</f>
        <v>268</v>
      </c>
      <c r="J8" s="352">
        <v>28</v>
      </c>
      <c r="K8" s="90">
        <f>97%*'okt-mar'!K8</f>
        <v>6.79</v>
      </c>
      <c r="L8" s="8">
        <f>97%*'okt-mar'!L8</f>
        <v>63.05</v>
      </c>
      <c r="M8" s="60">
        <f>96%*'okt-mar'!M8</f>
        <v>0.96</v>
      </c>
      <c r="N8" s="8">
        <f>96%*'okt-mar'!N8</f>
        <v>3.84</v>
      </c>
      <c r="O8" s="161"/>
      <c r="P8" s="168">
        <f t="shared" ref="P8:P14" si="1">SUM(J8:O8)</f>
        <v>102.64</v>
      </c>
      <c r="Q8" s="171">
        <f t="shared" ref="Q8:Q14" si="2">SUM(I8,P8)</f>
        <v>370.64</v>
      </c>
      <c r="S8" s="359">
        <f t="shared" ref="S8:S14" si="3">SUM(J8:L8)</f>
        <v>97.84</v>
      </c>
      <c r="T8" s="350"/>
      <c r="U8" s="110">
        <f t="shared" ref="U8:U14" si="4">SUM(F8:H8,J8:N8)</f>
        <v>226.64</v>
      </c>
    </row>
    <row r="9" spans="1:21" x14ac:dyDescent="0.25">
      <c r="A9" s="86">
        <v>3</v>
      </c>
      <c r="B9" s="7" t="s">
        <v>20</v>
      </c>
      <c r="C9" s="61">
        <v>0</v>
      </c>
      <c r="D9" s="8">
        <v>0</v>
      </c>
      <c r="E9" s="8">
        <v>10</v>
      </c>
      <c r="F9" s="60">
        <v>37</v>
      </c>
      <c r="G9" s="8">
        <v>0</v>
      </c>
      <c r="H9" s="161">
        <v>0</v>
      </c>
      <c r="I9" s="168">
        <f t="shared" si="0"/>
        <v>47</v>
      </c>
      <c r="J9" s="352">
        <v>5</v>
      </c>
      <c r="K9" s="90">
        <f>97%*'okt-mar'!K9</f>
        <v>9.6999999999999993</v>
      </c>
      <c r="L9" s="8">
        <f>97%*'okt-mar'!L9</f>
        <v>0</v>
      </c>
      <c r="M9" s="60">
        <f>96%*'okt-mar'!M9</f>
        <v>0</v>
      </c>
      <c r="N9" s="8">
        <f>96%*'okt-mar'!N9</f>
        <v>0</v>
      </c>
      <c r="O9" s="161"/>
      <c r="P9" s="168">
        <f t="shared" si="1"/>
        <v>14.7</v>
      </c>
      <c r="Q9" s="171">
        <f t="shared" si="2"/>
        <v>61.7</v>
      </c>
      <c r="S9" s="359">
        <f t="shared" si="3"/>
        <v>14.7</v>
      </c>
      <c r="T9" s="350"/>
      <c r="U9" s="110">
        <f t="shared" si="4"/>
        <v>51.7</v>
      </c>
    </row>
    <row r="10" spans="1:21" x14ac:dyDescent="0.25">
      <c r="A10" s="87">
        <v>4</v>
      </c>
      <c r="B10" s="15" t="s">
        <v>21</v>
      </c>
      <c r="C10" s="61">
        <v>0</v>
      </c>
      <c r="D10" s="16">
        <v>3</v>
      </c>
      <c r="E10" s="16">
        <v>159</v>
      </c>
      <c r="F10" s="61">
        <v>15</v>
      </c>
      <c r="G10" s="16">
        <v>0</v>
      </c>
      <c r="H10" s="162">
        <v>0</v>
      </c>
      <c r="I10" s="168">
        <f t="shared" si="0"/>
        <v>177</v>
      </c>
      <c r="J10" s="353">
        <v>0</v>
      </c>
      <c r="K10" s="90">
        <f>97%*'okt-mar'!K10</f>
        <v>6.79</v>
      </c>
      <c r="L10" s="8">
        <f>97%*'okt-mar'!L10</f>
        <v>6.79</v>
      </c>
      <c r="M10" s="60">
        <f>96%*'okt-mar'!M10</f>
        <v>0</v>
      </c>
      <c r="N10" s="8">
        <f>96%*'okt-mar'!N10</f>
        <v>1.92</v>
      </c>
      <c r="O10" s="162"/>
      <c r="P10" s="168">
        <f t="shared" si="1"/>
        <v>15.5</v>
      </c>
      <c r="Q10" s="171">
        <f t="shared" si="2"/>
        <v>192.5</v>
      </c>
      <c r="S10" s="359">
        <f t="shared" si="3"/>
        <v>13.58</v>
      </c>
      <c r="T10" s="350"/>
      <c r="U10" s="110">
        <f t="shared" si="4"/>
        <v>30.5</v>
      </c>
    </row>
    <row r="11" spans="1:21" x14ac:dyDescent="0.25">
      <c r="A11" s="87">
        <v>5</v>
      </c>
      <c r="B11" s="19" t="s">
        <v>22</v>
      </c>
      <c r="C11" s="16">
        <v>0</v>
      </c>
      <c r="D11" s="16">
        <v>0</v>
      </c>
      <c r="E11" s="16">
        <v>24</v>
      </c>
      <c r="F11" s="61">
        <v>216</v>
      </c>
      <c r="G11" s="16">
        <v>0</v>
      </c>
      <c r="H11" s="162">
        <v>0</v>
      </c>
      <c r="I11" s="168">
        <f t="shared" si="0"/>
        <v>240</v>
      </c>
      <c r="J11" s="353">
        <v>0</v>
      </c>
      <c r="K11" s="90">
        <f>97%*'okt-mar'!K11</f>
        <v>9.6999999999999993</v>
      </c>
      <c r="L11" s="8">
        <f>97%*'okt-mar'!L11</f>
        <v>9.6999999999999993</v>
      </c>
      <c r="M11" s="60">
        <f>96%*'okt-mar'!M11</f>
        <v>0</v>
      </c>
      <c r="N11" s="8">
        <f>96%*'okt-mar'!N11</f>
        <v>0</v>
      </c>
      <c r="O11" s="162"/>
      <c r="P11" s="168">
        <f t="shared" si="1"/>
        <v>19.399999999999999</v>
      </c>
      <c r="Q11" s="171">
        <f t="shared" si="2"/>
        <v>259.39999999999998</v>
      </c>
      <c r="S11" s="359">
        <f t="shared" si="3"/>
        <v>19.399999999999999</v>
      </c>
      <c r="T11" s="350"/>
      <c r="U11" s="110">
        <f t="shared" si="4"/>
        <v>235.39999999999998</v>
      </c>
    </row>
    <row r="12" spans="1:21" x14ac:dyDescent="0.25">
      <c r="A12" s="87">
        <v>6</v>
      </c>
      <c r="B12" s="19" t="s">
        <v>23</v>
      </c>
      <c r="C12" s="16">
        <v>0</v>
      </c>
      <c r="D12" s="16">
        <v>8</v>
      </c>
      <c r="E12" s="16">
        <v>35</v>
      </c>
      <c r="F12" s="61">
        <v>0</v>
      </c>
      <c r="G12" s="16">
        <v>0</v>
      </c>
      <c r="H12" s="162">
        <v>0</v>
      </c>
      <c r="I12" s="168">
        <f t="shared" si="0"/>
        <v>43</v>
      </c>
      <c r="J12" s="213">
        <v>6</v>
      </c>
      <c r="K12" s="90">
        <f>97%*'okt-mar'!K12</f>
        <v>14.549999999999999</v>
      </c>
      <c r="L12" s="8">
        <f>97%*'okt-mar'!L12</f>
        <v>9.6999999999999993</v>
      </c>
      <c r="M12" s="60">
        <f>96%*'okt-mar'!M12</f>
        <v>0</v>
      </c>
      <c r="N12" s="8">
        <f>96%*'okt-mar'!N12</f>
        <v>6.72</v>
      </c>
      <c r="O12" s="162"/>
      <c r="P12" s="168">
        <f t="shared" si="1"/>
        <v>36.97</v>
      </c>
      <c r="Q12" s="171">
        <f t="shared" si="2"/>
        <v>79.97</v>
      </c>
      <c r="S12" s="359">
        <f t="shared" si="3"/>
        <v>30.249999999999996</v>
      </c>
      <c r="T12" s="350"/>
      <c r="U12" s="110">
        <f t="shared" si="4"/>
        <v>36.97</v>
      </c>
    </row>
    <row r="13" spans="1:21" x14ac:dyDescent="0.25">
      <c r="A13" s="87">
        <v>7</v>
      </c>
      <c r="B13" s="19" t="s">
        <v>24</v>
      </c>
      <c r="C13" s="16">
        <v>1</v>
      </c>
      <c r="D13" s="16">
        <v>1</v>
      </c>
      <c r="E13" s="16">
        <v>139</v>
      </c>
      <c r="F13" s="61">
        <v>128</v>
      </c>
      <c r="G13" s="16">
        <v>0</v>
      </c>
      <c r="H13" s="162">
        <v>0</v>
      </c>
      <c r="I13" s="168">
        <f t="shared" si="0"/>
        <v>269</v>
      </c>
      <c r="J13" s="354">
        <v>0</v>
      </c>
      <c r="K13" s="90">
        <f>97%*'okt-mar'!K13</f>
        <v>7.76</v>
      </c>
      <c r="L13" s="8">
        <f>97%*'okt-mar'!L13</f>
        <v>177.51</v>
      </c>
      <c r="M13" s="60">
        <f>96%*'okt-mar'!M13</f>
        <v>105.6</v>
      </c>
      <c r="N13" s="8">
        <f>96%*'okt-mar'!N13</f>
        <v>5.76</v>
      </c>
      <c r="O13" s="162"/>
      <c r="P13" s="168">
        <f t="shared" si="1"/>
        <v>296.63</v>
      </c>
      <c r="Q13" s="171">
        <f t="shared" si="2"/>
        <v>565.63</v>
      </c>
      <c r="S13" s="359">
        <f t="shared" si="3"/>
        <v>185.26999999999998</v>
      </c>
      <c r="T13" s="350"/>
      <c r="U13" s="110">
        <f t="shared" si="4"/>
        <v>424.63</v>
      </c>
    </row>
    <row r="14" spans="1:21" ht="15.75" thickBot="1" x14ac:dyDescent="0.3">
      <c r="A14" s="88">
        <v>8</v>
      </c>
      <c r="B14" s="15" t="s">
        <v>25</v>
      </c>
      <c r="C14" s="17">
        <v>0</v>
      </c>
      <c r="D14" s="17">
        <v>29</v>
      </c>
      <c r="E14" s="17">
        <v>70</v>
      </c>
      <c r="F14" s="62">
        <v>198</v>
      </c>
      <c r="G14" s="17">
        <v>0</v>
      </c>
      <c r="H14" s="163">
        <v>0</v>
      </c>
      <c r="I14" s="169">
        <f t="shared" si="0"/>
        <v>297</v>
      </c>
      <c r="J14" s="213">
        <v>35</v>
      </c>
      <c r="K14" s="356">
        <f>97%*'okt-mar'!K14</f>
        <v>112.52</v>
      </c>
      <c r="L14" s="358">
        <f>97%*'okt-mar'!L14</f>
        <v>10.67</v>
      </c>
      <c r="M14" s="371">
        <f>96%*'okt-mar'!M14</f>
        <v>0.96</v>
      </c>
      <c r="N14" s="358">
        <f>96%*'okt-mar'!N14</f>
        <v>0</v>
      </c>
      <c r="O14" s="163"/>
      <c r="P14" s="169">
        <f t="shared" si="1"/>
        <v>159.14999999999998</v>
      </c>
      <c r="Q14" s="172">
        <f t="shared" si="2"/>
        <v>456.15</v>
      </c>
      <c r="S14" s="359">
        <f t="shared" si="3"/>
        <v>158.18999999999997</v>
      </c>
      <c r="T14" s="350"/>
      <c r="U14" s="110">
        <f t="shared" si="4"/>
        <v>357.15</v>
      </c>
    </row>
    <row r="15" spans="1:21" ht="18" thickTop="1" thickBot="1" x14ac:dyDescent="0.35">
      <c r="A15" s="443" t="s">
        <v>26</v>
      </c>
      <c r="B15" s="444"/>
      <c r="C15" s="133">
        <f t="shared" ref="C15:O15" si="5">SUM(C7:C14)</f>
        <v>1</v>
      </c>
      <c r="D15" s="133">
        <f t="shared" si="5"/>
        <v>65</v>
      </c>
      <c r="E15" s="133">
        <f>SUM(E7:E14)</f>
        <v>557</v>
      </c>
      <c r="F15" s="133">
        <f>SUM(F7:F14)</f>
        <v>900</v>
      </c>
      <c r="G15" s="133">
        <f t="shared" ref="G15:H15" si="6">SUM(G7:G14)</f>
        <v>0</v>
      </c>
      <c r="H15" s="133">
        <f t="shared" si="6"/>
        <v>14</v>
      </c>
      <c r="I15" s="166">
        <f>SUM(I7:I14)</f>
        <v>1537</v>
      </c>
      <c r="J15" s="355">
        <f>SUM(J7:J14)</f>
        <v>76</v>
      </c>
      <c r="K15" s="133">
        <f>SUM(K7:K14)</f>
        <v>185.26999999999998</v>
      </c>
      <c r="L15" s="133">
        <f t="shared" si="5"/>
        <v>285.18</v>
      </c>
      <c r="M15" s="133">
        <f t="shared" si="5"/>
        <v>107.51999999999998</v>
      </c>
      <c r="N15" s="133">
        <f t="shared" si="5"/>
        <v>19.2</v>
      </c>
      <c r="O15" s="164">
        <f t="shared" si="5"/>
        <v>0</v>
      </c>
      <c r="P15" s="166">
        <f>SUM(P7:P14)</f>
        <v>673.17</v>
      </c>
      <c r="Q15" s="173">
        <f>SUM(Q7:Q14)</f>
        <v>2210.17</v>
      </c>
      <c r="S15" s="213">
        <f>SUM(S7:S14)</f>
        <v>546.44999999999993</v>
      </c>
      <c r="T15" s="351"/>
      <c r="U15" s="110">
        <f>SUM(U7:U14)</f>
        <v>1587.17</v>
      </c>
    </row>
    <row r="16" spans="1:21" ht="16.5" x14ac:dyDescent="0.3">
      <c r="S16" s="212"/>
    </row>
    <row r="17" spans="1:22" ht="15.75" x14ac:dyDescent="0.25">
      <c r="A17" s="445" t="s">
        <v>154</v>
      </c>
      <c r="B17" s="445"/>
      <c r="C17" s="445"/>
      <c r="D17" s="445"/>
      <c r="E17" s="445"/>
      <c r="F17" s="445"/>
      <c r="G17" s="445"/>
      <c r="H17" s="445"/>
      <c r="I17" s="445"/>
      <c r="J17" s="445"/>
      <c r="K17" s="445"/>
      <c r="L17" s="445"/>
      <c r="M17" s="445"/>
      <c r="N17" s="445"/>
      <c r="O17" s="445"/>
      <c r="P17" s="445"/>
      <c r="Q17" s="445"/>
    </row>
    <row r="18" spans="1:22" ht="15.75" x14ac:dyDescent="0.25">
      <c r="A18" s="445" t="s">
        <v>83</v>
      </c>
      <c r="B18" s="445"/>
      <c r="C18" s="445"/>
      <c r="D18" s="445"/>
      <c r="E18" s="445"/>
      <c r="F18" s="445"/>
      <c r="G18" s="445"/>
      <c r="H18" s="445"/>
      <c r="I18" s="445"/>
      <c r="J18" s="445"/>
      <c r="K18" s="445"/>
      <c r="L18" s="445"/>
      <c r="M18" s="445"/>
      <c r="N18" s="445"/>
      <c r="O18" s="445"/>
      <c r="P18" s="445"/>
      <c r="Q18" s="445"/>
    </row>
    <row r="19" spans="1:22" ht="15.75" thickBot="1" x14ac:dyDescent="0.3">
      <c r="Q19" s="77" t="s">
        <v>1</v>
      </c>
    </row>
    <row r="20" spans="1:22" x14ac:dyDescent="0.25">
      <c r="A20" s="440" t="s">
        <v>2</v>
      </c>
      <c r="B20" s="442" t="s">
        <v>3</v>
      </c>
      <c r="C20" s="446" t="s">
        <v>84</v>
      </c>
      <c r="D20" s="447"/>
      <c r="E20" s="447"/>
      <c r="F20" s="447"/>
      <c r="G20" s="447"/>
      <c r="H20" s="447"/>
      <c r="I20" s="448" t="s">
        <v>91</v>
      </c>
      <c r="J20" s="447">
        <v>2015</v>
      </c>
      <c r="K20" s="447"/>
      <c r="L20" s="447"/>
      <c r="M20" s="447"/>
      <c r="N20" s="447"/>
      <c r="O20" s="447"/>
      <c r="P20" s="448" t="s">
        <v>92</v>
      </c>
      <c r="Q20" s="450" t="s">
        <v>5</v>
      </c>
    </row>
    <row r="21" spans="1:22" x14ac:dyDescent="0.25">
      <c r="A21" s="441"/>
      <c r="B21" s="426"/>
      <c r="C21" s="211" t="s">
        <v>15</v>
      </c>
      <c r="D21" s="211" t="s">
        <v>16</v>
      </c>
      <c r="E21" s="211" t="s">
        <v>17</v>
      </c>
      <c r="F21" s="211" t="s">
        <v>6</v>
      </c>
      <c r="G21" s="211" t="s">
        <v>78</v>
      </c>
      <c r="H21" s="158" t="s">
        <v>79</v>
      </c>
      <c r="I21" s="449"/>
      <c r="J21" s="117" t="s">
        <v>80</v>
      </c>
      <c r="K21" s="211" t="s">
        <v>10</v>
      </c>
      <c r="L21" s="211" t="s">
        <v>11</v>
      </c>
      <c r="M21" s="211" t="s">
        <v>12</v>
      </c>
      <c r="N21" s="211" t="s">
        <v>81</v>
      </c>
      <c r="O21" s="158" t="s">
        <v>82</v>
      </c>
      <c r="P21" s="449"/>
      <c r="Q21" s="451"/>
    </row>
    <row r="22" spans="1:22" ht="15.75" thickBot="1" x14ac:dyDescent="0.3">
      <c r="A22" s="128">
        <v>1</v>
      </c>
      <c r="B22" s="5">
        <v>2</v>
      </c>
      <c r="C22" s="5">
        <v>3</v>
      </c>
      <c r="D22" s="5">
        <v>4</v>
      </c>
      <c r="E22" s="5">
        <v>5</v>
      </c>
      <c r="F22" s="5">
        <v>6</v>
      </c>
      <c r="G22" s="5">
        <v>7</v>
      </c>
      <c r="H22" s="159">
        <v>8</v>
      </c>
      <c r="I22" s="165">
        <v>9</v>
      </c>
      <c r="J22" s="118">
        <v>10</v>
      </c>
      <c r="K22" s="5">
        <v>11</v>
      </c>
      <c r="L22" s="5">
        <v>12</v>
      </c>
      <c r="M22" s="5">
        <v>13</v>
      </c>
      <c r="N22" s="5">
        <v>14</v>
      </c>
      <c r="O22" s="159">
        <v>15</v>
      </c>
      <c r="P22" s="165">
        <v>16</v>
      </c>
      <c r="Q22" s="174">
        <v>17</v>
      </c>
      <c r="S22" t="s">
        <v>197</v>
      </c>
    </row>
    <row r="23" spans="1:22" ht="17.25" thickTop="1" x14ac:dyDescent="0.3">
      <c r="A23" s="85">
        <v>1</v>
      </c>
      <c r="B23" s="7" t="s">
        <v>18</v>
      </c>
      <c r="C23" s="59">
        <v>2</v>
      </c>
      <c r="D23" s="9">
        <v>0</v>
      </c>
      <c r="E23" s="9">
        <v>0</v>
      </c>
      <c r="F23" s="59">
        <v>0</v>
      </c>
      <c r="G23" s="8">
        <v>0</v>
      </c>
      <c r="H23" s="160">
        <v>0</v>
      </c>
      <c r="I23" s="167">
        <f>SUM(C23:H23)</f>
        <v>2</v>
      </c>
      <c r="J23" s="119">
        <v>196</v>
      </c>
      <c r="K23" s="357">
        <f>'okt-mar'!K23*0.97</f>
        <v>0</v>
      </c>
      <c r="L23" s="9">
        <v>2</v>
      </c>
      <c r="M23" s="59">
        <v>0</v>
      </c>
      <c r="N23" s="9">
        <v>20</v>
      </c>
      <c r="O23" s="160"/>
      <c r="P23" s="167">
        <f>SUM(J23:O23)</f>
        <v>218</v>
      </c>
      <c r="Q23" s="170">
        <f>SUM(I23,P23)</f>
        <v>220</v>
      </c>
      <c r="S23" s="212">
        <f>SUM(F23:H23,J23:N23)</f>
        <v>218</v>
      </c>
      <c r="T23" s="212"/>
      <c r="U23" s="212"/>
      <c r="V23" s="212"/>
    </row>
    <row r="24" spans="1:22" ht="16.5" x14ac:dyDescent="0.3">
      <c r="A24" s="86">
        <v>2</v>
      </c>
      <c r="B24" s="12" t="s">
        <v>19</v>
      </c>
      <c r="C24" s="61">
        <v>3</v>
      </c>
      <c r="D24" s="47">
        <v>1</v>
      </c>
      <c r="E24" s="8">
        <v>0</v>
      </c>
      <c r="F24" s="60">
        <v>0</v>
      </c>
      <c r="G24" s="8">
        <v>24</v>
      </c>
      <c r="H24" s="161">
        <v>61</v>
      </c>
      <c r="I24" s="168">
        <f t="shared" ref="I24:I30" si="7">SUM(C24:H24)</f>
        <v>89</v>
      </c>
      <c r="J24" s="120">
        <v>72</v>
      </c>
      <c r="K24" s="8">
        <f>'okt-mar'!K24*0.97</f>
        <v>87.3</v>
      </c>
      <c r="L24" s="8">
        <v>0</v>
      </c>
      <c r="M24" s="61">
        <v>32</v>
      </c>
      <c r="N24" s="47">
        <v>81</v>
      </c>
      <c r="O24" s="161"/>
      <c r="P24" s="168">
        <f t="shared" ref="P24:P30" si="8">SUM(J24:O24)</f>
        <v>272.3</v>
      </c>
      <c r="Q24" s="171">
        <f>SUM(I24,P24)</f>
        <v>361.3</v>
      </c>
      <c r="S24" s="212">
        <f t="shared" ref="S24:S30" si="9">SUM(F24:H24,J24:N24)</f>
        <v>357.3</v>
      </c>
      <c r="T24" s="212"/>
      <c r="U24" s="212"/>
      <c r="V24" s="212"/>
    </row>
    <row r="25" spans="1:22" ht="16.5" x14ac:dyDescent="0.3">
      <c r="A25" s="86">
        <v>3</v>
      </c>
      <c r="B25" s="7" t="s">
        <v>20</v>
      </c>
      <c r="C25" s="61">
        <v>0</v>
      </c>
      <c r="D25" s="8">
        <v>0</v>
      </c>
      <c r="E25" s="8">
        <v>0</v>
      </c>
      <c r="F25" s="214">
        <v>0</v>
      </c>
      <c r="G25" s="214">
        <v>0</v>
      </c>
      <c r="H25" s="215">
        <v>10</v>
      </c>
      <c r="I25" s="168">
        <f t="shared" si="7"/>
        <v>10</v>
      </c>
      <c r="J25" s="120">
        <v>37</v>
      </c>
      <c r="K25" s="8">
        <f>'okt-mar'!K25*0.97</f>
        <v>0</v>
      </c>
      <c r="L25" s="8">
        <v>0</v>
      </c>
      <c r="M25" s="61">
        <v>5</v>
      </c>
      <c r="N25" s="8">
        <v>10</v>
      </c>
      <c r="O25" s="161"/>
      <c r="P25" s="168">
        <f t="shared" si="8"/>
        <v>52</v>
      </c>
      <c r="Q25" s="171">
        <f t="shared" ref="Q25:Q30" si="10">SUM(I25,P25)</f>
        <v>62</v>
      </c>
      <c r="S25" s="212">
        <f t="shared" si="9"/>
        <v>62</v>
      </c>
      <c r="T25" s="212"/>
      <c r="U25" s="212"/>
      <c r="V25" s="212"/>
    </row>
    <row r="26" spans="1:22" ht="16.5" x14ac:dyDescent="0.3">
      <c r="A26" s="87">
        <v>4</v>
      </c>
      <c r="B26" s="15" t="s">
        <v>21</v>
      </c>
      <c r="C26" s="61">
        <v>0</v>
      </c>
      <c r="D26" s="16">
        <v>0</v>
      </c>
      <c r="E26" s="16">
        <v>2</v>
      </c>
      <c r="F26" s="214">
        <v>0</v>
      </c>
      <c r="G26" s="214">
        <v>3</v>
      </c>
      <c r="H26" s="215">
        <v>159</v>
      </c>
      <c r="I26" s="168">
        <f t="shared" si="7"/>
        <v>164</v>
      </c>
      <c r="J26" s="121">
        <v>15</v>
      </c>
      <c r="K26" s="8">
        <f>'okt-mar'!K26*0.97</f>
        <v>0</v>
      </c>
      <c r="L26" s="16">
        <v>0</v>
      </c>
      <c r="M26" s="61">
        <v>0</v>
      </c>
      <c r="N26" s="16">
        <v>7</v>
      </c>
      <c r="O26" s="162"/>
      <c r="P26" s="168">
        <f t="shared" si="8"/>
        <v>22</v>
      </c>
      <c r="Q26" s="171">
        <f t="shared" si="10"/>
        <v>186</v>
      </c>
      <c r="S26" s="212">
        <f t="shared" si="9"/>
        <v>184</v>
      </c>
      <c r="T26" s="212"/>
      <c r="U26" s="212"/>
      <c r="V26" s="212"/>
    </row>
    <row r="27" spans="1:22" ht="16.5" x14ac:dyDescent="0.3">
      <c r="A27" s="87">
        <v>5</v>
      </c>
      <c r="B27" s="19" t="s">
        <v>22</v>
      </c>
      <c r="C27" s="16">
        <v>21</v>
      </c>
      <c r="D27" s="16">
        <v>5</v>
      </c>
      <c r="E27" s="16">
        <v>0</v>
      </c>
      <c r="F27" s="61">
        <v>0</v>
      </c>
      <c r="G27" s="16">
        <v>0</v>
      </c>
      <c r="H27" s="162">
        <v>24</v>
      </c>
      <c r="I27" s="168">
        <f t="shared" si="7"/>
        <v>50</v>
      </c>
      <c r="J27" s="121">
        <v>216</v>
      </c>
      <c r="K27" s="8">
        <f>'okt-mar'!K27*0.97</f>
        <v>0</v>
      </c>
      <c r="L27" s="16">
        <v>0</v>
      </c>
      <c r="M27" s="16">
        <v>0</v>
      </c>
      <c r="N27" s="16">
        <v>10</v>
      </c>
      <c r="O27" s="162"/>
      <c r="P27" s="168">
        <f t="shared" si="8"/>
        <v>226</v>
      </c>
      <c r="Q27" s="171">
        <f t="shared" si="10"/>
        <v>276</v>
      </c>
      <c r="S27" s="212">
        <f t="shared" si="9"/>
        <v>250</v>
      </c>
      <c r="T27" s="212"/>
      <c r="U27" s="212"/>
      <c r="V27" s="212"/>
    </row>
    <row r="28" spans="1:22" ht="16.5" x14ac:dyDescent="0.3">
      <c r="A28" s="87">
        <v>6</v>
      </c>
      <c r="B28" s="19" t="s">
        <v>23</v>
      </c>
      <c r="C28" s="16">
        <v>0</v>
      </c>
      <c r="D28" s="16">
        <v>0</v>
      </c>
      <c r="E28" s="16">
        <v>0</v>
      </c>
      <c r="F28" s="61">
        <v>0</v>
      </c>
      <c r="G28" s="16">
        <v>0</v>
      </c>
      <c r="H28" s="162">
        <v>42</v>
      </c>
      <c r="I28" s="168">
        <f t="shared" si="7"/>
        <v>42</v>
      </c>
      <c r="J28" s="121">
        <v>0</v>
      </c>
      <c r="K28" s="8">
        <f>'okt-mar'!K28*0.97</f>
        <v>0</v>
      </c>
      <c r="L28" s="16">
        <v>6</v>
      </c>
      <c r="M28" s="16">
        <v>0</v>
      </c>
      <c r="N28" s="16">
        <v>10</v>
      </c>
      <c r="O28" s="162"/>
      <c r="P28" s="168">
        <f t="shared" si="8"/>
        <v>16</v>
      </c>
      <c r="Q28" s="171">
        <f t="shared" si="10"/>
        <v>58</v>
      </c>
      <c r="S28" s="212">
        <f t="shared" si="9"/>
        <v>58</v>
      </c>
      <c r="T28" s="212"/>
      <c r="U28" s="212"/>
      <c r="V28" s="212"/>
    </row>
    <row r="29" spans="1:22" ht="16.5" x14ac:dyDescent="0.3">
      <c r="A29" s="87">
        <v>7</v>
      </c>
      <c r="B29" s="19" t="s">
        <v>24</v>
      </c>
      <c r="C29" s="16">
        <v>47</v>
      </c>
      <c r="D29" s="16">
        <v>4</v>
      </c>
      <c r="E29" s="16">
        <v>2</v>
      </c>
      <c r="F29" s="61">
        <v>1</v>
      </c>
      <c r="G29" s="16">
        <v>1</v>
      </c>
      <c r="H29" s="162">
        <v>89</v>
      </c>
      <c r="I29" s="168">
        <f t="shared" si="7"/>
        <v>144</v>
      </c>
      <c r="J29" s="121">
        <v>156</v>
      </c>
      <c r="K29" s="8">
        <f>'okt-mar'!K29*0.97</f>
        <v>22.31</v>
      </c>
      <c r="L29" s="16">
        <v>0</v>
      </c>
      <c r="M29" s="16">
        <v>2</v>
      </c>
      <c r="N29" s="16">
        <v>30</v>
      </c>
      <c r="O29" s="162"/>
      <c r="P29" s="168">
        <f t="shared" si="8"/>
        <v>210.31</v>
      </c>
      <c r="Q29" s="171">
        <f t="shared" si="10"/>
        <v>354.31</v>
      </c>
      <c r="S29" s="212">
        <f t="shared" si="9"/>
        <v>301.31</v>
      </c>
      <c r="T29" s="212"/>
      <c r="U29" s="212"/>
      <c r="V29" s="212"/>
    </row>
    <row r="30" spans="1:22" ht="17.25" thickBot="1" x14ac:dyDescent="0.35">
      <c r="A30" s="88">
        <v>8</v>
      </c>
      <c r="B30" s="15" t="s">
        <v>25</v>
      </c>
      <c r="C30" s="17">
        <v>33</v>
      </c>
      <c r="D30" s="17">
        <v>21</v>
      </c>
      <c r="E30" s="17">
        <v>0</v>
      </c>
      <c r="F30" s="62">
        <v>0</v>
      </c>
      <c r="G30" s="17">
        <v>33</v>
      </c>
      <c r="H30" s="163">
        <v>198</v>
      </c>
      <c r="I30" s="169">
        <f t="shared" si="7"/>
        <v>285</v>
      </c>
      <c r="J30" s="122">
        <v>66</v>
      </c>
      <c r="K30" s="358">
        <f>'okt-mar'!K30*0.97</f>
        <v>0</v>
      </c>
      <c r="L30" s="17">
        <v>4</v>
      </c>
      <c r="M30" s="17">
        <v>40</v>
      </c>
      <c r="N30" s="17">
        <v>107</v>
      </c>
      <c r="O30" s="163"/>
      <c r="P30" s="169">
        <f t="shared" si="8"/>
        <v>217</v>
      </c>
      <c r="Q30" s="172">
        <f t="shared" si="10"/>
        <v>502</v>
      </c>
      <c r="S30" s="212">
        <f t="shared" si="9"/>
        <v>448</v>
      </c>
      <c r="T30" s="212"/>
      <c r="U30" s="212"/>
      <c r="V30" s="212"/>
    </row>
    <row r="31" spans="1:22" ht="18" thickTop="1" thickBot="1" x14ac:dyDescent="0.35">
      <c r="A31" s="443" t="s">
        <v>26</v>
      </c>
      <c r="B31" s="444"/>
      <c r="C31" s="133">
        <f>SUM(C23:C30)</f>
        <v>106</v>
      </c>
      <c r="D31" s="133">
        <f t="shared" ref="D31:G31" si="11">SUM(D23:D30)</f>
        <v>31</v>
      </c>
      <c r="E31" s="133">
        <f t="shared" si="11"/>
        <v>4</v>
      </c>
      <c r="F31" s="133">
        <f t="shared" si="11"/>
        <v>1</v>
      </c>
      <c r="G31" s="133">
        <f t="shared" si="11"/>
        <v>61</v>
      </c>
      <c r="H31" s="133">
        <f>SUM(H23:H30)</f>
        <v>583</v>
      </c>
      <c r="I31" s="166">
        <f>SUM(I23:I30)</f>
        <v>786</v>
      </c>
      <c r="J31" s="135">
        <f>SUM(J23:J30)</f>
        <v>758</v>
      </c>
      <c r="K31" s="133">
        <f t="shared" ref="K31:O31" si="12">SUM(K23:K30)</f>
        <v>109.61</v>
      </c>
      <c r="L31" s="133">
        <f t="shared" si="12"/>
        <v>12</v>
      </c>
      <c r="M31" s="133">
        <f t="shared" si="12"/>
        <v>79</v>
      </c>
      <c r="N31" s="133">
        <f t="shared" si="12"/>
        <v>275</v>
      </c>
      <c r="O31" s="164">
        <f t="shared" si="12"/>
        <v>0</v>
      </c>
      <c r="P31" s="166">
        <f>SUM(P23:P30)</f>
        <v>1233.6099999999999</v>
      </c>
      <c r="Q31" s="173">
        <f>SUM(Q23:Q30)</f>
        <v>2019.61</v>
      </c>
      <c r="S31" s="212">
        <f>SUM(S23:S30)</f>
        <v>1878.61</v>
      </c>
      <c r="T31" s="212"/>
      <c r="U31" s="212"/>
      <c r="V31" s="212"/>
    </row>
    <row r="32" spans="1:22" ht="16.5" x14ac:dyDescent="0.3">
      <c r="S32" s="212"/>
      <c r="T32" s="212"/>
      <c r="U32" s="212"/>
      <c r="V32" s="212"/>
    </row>
    <row r="33" spans="1:22" ht="16.5" x14ac:dyDescent="0.3">
      <c r="S33" s="212"/>
      <c r="T33" s="212"/>
      <c r="U33" s="212"/>
      <c r="V33" s="212"/>
    </row>
    <row r="34" spans="1:22" ht="16.5" x14ac:dyDescent="0.3">
      <c r="S34" s="212"/>
      <c r="T34" s="212"/>
      <c r="U34" s="212"/>
      <c r="V34" s="212"/>
    </row>
    <row r="35" spans="1:22" ht="16.5" x14ac:dyDescent="0.3">
      <c r="S35" s="212"/>
      <c r="T35" s="212"/>
      <c r="U35" s="212"/>
      <c r="V35" s="212"/>
    </row>
    <row r="36" spans="1:22" ht="15.75" x14ac:dyDescent="0.25">
      <c r="A36" s="445" t="s">
        <v>86</v>
      </c>
      <c r="B36" s="445"/>
      <c r="C36" s="445"/>
      <c r="D36" s="445"/>
      <c r="E36" s="445"/>
      <c r="F36" s="445"/>
      <c r="G36" s="445"/>
      <c r="H36" s="445"/>
      <c r="I36" s="445"/>
      <c r="J36" s="445"/>
      <c r="K36" s="445"/>
      <c r="L36" s="445"/>
      <c r="M36" s="445"/>
      <c r="N36" s="445"/>
      <c r="O36" s="445"/>
      <c r="P36" s="445"/>
      <c r="Q36" s="445"/>
    </row>
    <row r="37" spans="1:22" ht="15.75" x14ac:dyDescent="0.25">
      <c r="A37" s="445" t="s">
        <v>83</v>
      </c>
      <c r="B37" s="445"/>
      <c r="C37" s="445"/>
      <c r="D37" s="445"/>
      <c r="E37" s="445"/>
      <c r="F37" s="445"/>
      <c r="G37" s="445"/>
      <c r="H37" s="445"/>
      <c r="I37" s="445"/>
      <c r="J37" s="445"/>
      <c r="K37" s="445"/>
      <c r="L37" s="445"/>
      <c r="M37" s="445"/>
      <c r="N37" s="445"/>
      <c r="O37" s="445"/>
      <c r="P37" s="445"/>
      <c r="Q37" s="445"/>
    </row>
    <row r="38" spans="1:22" ht="15.75" thickBot="1" x14ac:dyDescent="0.3">
      <c r="Q38" s="77" t="s">
        <v>1</v>
      </c>
    </row>
    <row r="39" spans="1:22" x14ac:dyDescent="0.25">
      <c r="A39" s="440" t="s">
        <v>2</v>
      </c>
      <c r="B39" s="442" t="s">
        <v>3</v>
      </c>
      <c r="C39" s="446" t="s">
        <v>84</v>
      </c>
      <c r="D39" s="447"/>
      <c r="E39" s="447"/>
      <c r="F39" s="447"/>
      <c r="G39" s="447"/>
      <c r="H39" s="447"/>
      <c r="I39" s="448" t="s">
        <v>91</v>
      </c>
      <c r="J39" s="447">
        <v>2015</v>
      </c>
      <c r="K39" s="447"/>
      <c r="L39" s="447"/>
      <c r="M39" s="447"/>
      <c r="N39" s="447"/>
      <c r="O39" s="447"/>
      <c r="P39" s="448" t="s">
        <v>92</v>
      </c>
      <c r="Q39" s="450" t="s">
        <v>5</v>
      </c>
    </row>
    <row r="40" spans="1:22" x14ac:dyDescent="0.25">
      <c r="A40" s="441"/>
      <c r="B40" s="426"/>
      <c r="C40" s="211" t="s">
        <v>15</v>
      </c>
      <c r="D40" s="211" t="s">
        <v>16</v>
      </c>
      <c r="E40" s="211" t="s">
        <v>17</v>
      </c>
      <c r="F40" s="211" t="s">
        <v>6</v>
      </c>
      <c r="G40" s="211" t="s">
        <v>78</v>
      </c>
      <c r="H40" s="158" t="s">
        <v>79</v>
      </c>
      <c r="I40" s="449"/>
      <c r="J40" s="117" t="s">
        <v>80</v>
      </c>
      <c r="K40" s="211" t="s">
        <v>10</v>
      </c>
      <c r="L40" s="211" t="s">
        <v>11</v>
      </c>
      <c r="M40" s="211" t="s">
        <v>12</v>
      </c>
      <c r="N40" s="211" t="s">
        <v>81</v>
      </c>
      <c r="O40" s="158" t="s">
        <v>82</v>
      </c>
      <c r="P40" s="449"/>
      <c r="Q40" s="451"/>
    </row>
    <row r="41" spans="1:22" ht="15.75" thickBot="1" x14ac:dyDescent="0.3">
      <c r="A41" s="128">
        <v>1</v>
      </c>
      <c r="B41" s="5">
        <v>2</v>
      </c>
      <c r="C41" s="5">
        <v>3</v>
      </c>
      <c r="D41" s="5">
        <v>4</v>
      </c>
      <c r="E41" s="5">
        <v>5</v>
      </c>
      <c r="F41" s="5">
        <v>6</v>
      </c>
      <c r="G41" s="5">
        <v>7</v>
      </c>
      <c r="H41" s="159">
        <v>8</v>
      </c>
      <c r="I41" s="165">
        <v>9</v>
      </c>
      <c r="J41" s="118">
        <v>10</v>
      </c>
      <c r="K41" s="5">
        <v>11</v>
      </c>
      <c r="L41" s="5">
        <v>12</v>
      </c>
      <c r="M41" s="5">
        <v>13</v>
      </c>
      <c r="N41" s="5">
        <v>14</v>
      </c>
      <c r="O41" s="159">
        <v>15</v>
      </c>
      <c r="P41" s="165">
        <v>16</v>
      </c>
      <c r="Q41" s="174">
        <v>17</v>
      </c>
    </row>
    <row r="42" spans="1:22" ht="15.75" thickTop="1" x14ac:dyDescent="0.25">
      <c r="A42" s="85">
        <v>1</v>
      </c>
      <c r="B42" s="7" t="s">
        <v>18</v>
      </c>
      <c r="C42" s="28">
        <v>0</v>
      </c>
      <c r="D42" s="28">
        <v>0</v>
      </c>
      <c r="E42" s="28">
        <v>0</v>
      </c>
      <c r="F42" s="28">
        <v>0</v>
      </c>
      <c r="G42" s="28">
        <v>0</v>
      </c>
      <c r="H42" s="198">
        <v>0</v>
      </c>
      <c r="I42" s="199">
        <f>SUM(C42:H42)</f>
        <v>0</v>
      </c>
      <c r="J42" s="119">
        <v>0</v>
      </c>
      <c r="K42" s="119">
        <v>0</v>
      </c>
      <c r="L42" s="119">
        <v>0</v>
      </c>
      <c r="M42" s="59"/>
      <c r="N42" s="9"/>
      <c r="O42" s="160"/>
      <c r="P42" s="167">
        <f>SUM(J42:O42)</f>
        <v>0</v>
      </c>
      <c r="Q42" s="170">
        <f>SUM(I42,P42)</f>
        <v>0</v>
      </c>
    </row>
    <row r="43" spans="1:22" x14ac:dyDescent="0.25">
      <c r="A43" s="86">
        <v>2</v>
      </c>
      <c r="B43" s="12" t="s">
        <v>19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H43" s="162">
        <v>0</v>
      </c>
      <c r="I43" s="175">
        <f t="shared" ref="I43:I49" si="13">SUM(C43:H43)</f>
        <v>0</v>
      </c>
      <c r="J43" s="120">
        <v>0</v>
      </c>
      <c r="K43" s="120">
        <v>0</v>
      </c>
      <c r="L43" s="120">
        <v>0</v>
      </c>
      <c r="M43" s="61"/>
      <c r="N43" s="47"/>
      <c r="O43" s="161"/>
      <c r="P43" s="168">
        <f t="shared" ref="P43:P49" si="14">SUM(J43:O43)</f>
        <v>0</v>
      </c>
      <c r="Q43" s="171">
        <f t="shared" ref="Q43:Q49" si="15">SUM(I43,P43)</f>
        <v>0</v>
      </c>
    </row>
    <row r="44" spans="1:22" x14ac:dyDescent="0.25">
      <c r="A44" s="86">
        <v>3</v>
      </c>
      <c r="B44" s="7" t="s">
        <v>20</v>
      </c>
      <c r="C44" s="16">
        <v>0</v>
      </c>
      <c r="D44" s="16">
        <v>0</v>
      </c>
      <c r="E44" s="16">
        <v>15</v>
      </c>
      <c r="F44" s="16">
        <v>10</v>
      </c>
      <c r="G44" s="16">
        <v>0</v>
      </c>
      <c r="H44" s="162">
        <v>0</v>
      </c>
      <c r="I44" s="175">
        <f t="shared" si="13"/>
        <v>25</v>
      </c>
      <c r="J44" s="120">
        <v>0</v>
      </c>
      <c r="K44" s="120">
        <v>0</v>
      </c>
      <c r="L44" s="120">
        <v>0</v>
      </c>
      <c r="M44" s="61"/>
      <c r="N44" s="8"/>
      <c r="O44" s="161"/>
      <c r="P44" s="168">
        <f t="shared" si="14"/>
        <v>0</v>
      </c>
      <c r="Q44" s="171">
        <f t="shared" si="15"/>
        <v>25</v>
      </c>
    </row>
    <row r="45" spans="1:22" x14ac:dyDescent="0.25">
      <c r="A45" s="87">
        <v>4</v>
      </c>
      <c r="B45" s="15" t="s">
        <v>21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2">
        <v>0</v>
      </c>
      <c r="I45" s="175">
        <f t="shared" si="13"/>
        <v>0</v>
      </c>
      <c r="J45" s="121">
        <v>0</v>
      </c>
      <c r="K45" s="121">
        <v>0</v>
      </c>
      <c r="L45" s="121">
        <v>0</v>
      </c>
      <c r="M45" s="61"/>
      <c r="N45" s="16"/>
      <c r="O45" s="162"/>
      <c r="P45" s="168">
        <f t="shared" si="14"/>
        <v>0</v>
      </c>
      <c r="Q45" s="171">
        <f t="shared" si="15"/>
        <v>0</v>
      </c>
    </row>
    <row r="46" spans="1:22" x14ac:dyDescent="0.25">
      <c r="A46" s="87">
        <v>5</v>
      </c>
      <c r="B46" s="19" t="s">
        <v>22</v>
      </c>
      <c r="C46" s="16">
        <v>0</v>
      </c>
      <c r="D46" s="16">
        <v>0</v>
      </c>
      <c r="E46" s="16">
        <v>0</v>
      </c>
      <c r="F46" s="16">
        <v>0</v>
      </c>
      <c r="G46" s="16">
        <v>0</v>
      </c>
      <c r="H46" s="162">
        <v>0</v>
      </c>
      <c r="I46" s="175">
        <f t="shared" si="13"/>
        <v>0</v>
      </c>
      <c r="J46" s="121">
        <v>0</v>
      </c>
      <c r="K46" s="121">
        <v>0</v>
      </c>
      <c r="L46" s="121">
        <v>0</v>
      </c>
      <c r="M46" s="16"/>
      <c r="N46" s="16"/>
      <c r="O46" s="162"/>
      <c r="P46" s="168">
        <f t="shared" si="14"/>
        <v>0</v>
      </c>
      <c r="Q46" s="171">
        <f t="shared" si="15"/>
        <v>0</v>
      </c>
    </row>
    <row r="47" spans="1:22" x14ac:dyDescent="0.25">
      <c r="A47" s="87">
        <v>6</v>
      </c>
      <c r="B47" s="19" t="s">
        <v>23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2">
        <v>0</v>
      </c>
      <c r="I47" s="175">
        <f t="shared" si="13"/>
        <v>0</v>
      </c>
      <c r="J47" s="121">
        <v>0</v>
      </c>
      <c r="K47" s="121">
        <v>0</v>
      </c>
      <c r="L47" s="121">
        <v>0</v>
      </c>
      <c r="M47" s="16"/>
      <c r="N47" s="16"/>
      <c r="O47" s="162"/>
      <c r="P47" s="168">
        <f t="shared" si="14"/>
        <v>0</v>
      </c>
      <c r="Q47" s="171">
        <f t="shared" si="15"/>
        <v>0</v>
      </c>
    </row>
    <row r="48" spans="1:22" x14ac:dyDescent="0.25">
      <c r="A48" s="87">
        <v>7</v>
      </c>
      <c r="B48" s="19" t="s">
        <v>24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2">
        <v>0</v>
      </c>
      <c r="I48" s="175">
        <f t="shared" si="13"/>
        <v>0</v>
      </c>
      <c r="J48" s="121">
        <v>0</v>
      </c>
      <c r="K48" s="121">
        <v>0</v>
      </c>
      <c r="L48" s="121">
        <v>0</v>
      </c>
      <c r="M48" s="16"/>
      <c r="N48" s="16"/>
      <c r="O48" s="162"/>
      <c r="P48" s="168">
        <f t="shared" si="14"/>
        <v>0</v>
      </c>
      <c r="Q48" s="171">
        <f t="shared" si="15"/>
        <v>0</v>
      </c>
    </row>
    <row r="49" spans="1:17" ht="15.75" thickBot="1" x14ac:dyDescent="0.3">
      <c r="A49" s="88">
        <v>8</v>
      </c>
      <c r="B49" s="15" t="s">
        <v>25</v>
      </c>
      <c r="C49" s="17">
        <v>0</v>
      </c>
      <c r="D49" s="17">
        <v>0</v>
      </c>
      <c r="E49" s="17">
        <v>0</v>
      </c>
      <c r="F49" s="17">
        <v>0</v>
      </c>
      <c r="G49" s="17">
        <v>0</v>
      </c>
      <c r="H49" s="163">
        <v>0</v>
      </c>
      <c r="I49" s="200">
        <f t="shared" si="13"/>
        <v>0</v>
      </c>
      <c r="J49" s="122">
        <v>0</v>
      </c>
      <c r="K49" s="122">
        <v>0</v>
      </c>
      <c r="L49" s="122">
        <v>0</v>
      </c>
      <c r="M49" s="17"/>
      <c r="N49" s="17"/>
      <c r="O49" s="163"/>
      <c r="P49" s="169">
        <f t="shared" si="14"/>
        <v>0</v>
      </c>
      <c r="Q49" s="172">
        <f t="shared" si="15"/>
        <v>0</v>
      </c>
    </row>
    <row r="50" spans="1:17" ht="16.5" thickTop="1" thickBot="1" x14ac:dyDescent="0.3">
      <c r="A50" s="443" t="s">
        <v>26</v>
      </c>
      <c r="B50" s="444"/>
      <c r="C50" s="133">
        <f t="shared" ref="C50:O50" si="16">SUM(C42:C49)</f>
        <v>0</v>
      </c>
      <c r="D50" s="133">
        <f t="shared" si="16"/>
        <v>0</v>
      </c>
      <c r="E50" s="133">
        <f t="shared" si="16"/>
        <v>15</v>
      </c>
      <c r="F50" s="133">
        <f t="shared" si="16"/>
        <v>10</v>
      </c>
      <c r="G50" s="133">
        <f t="shared" si="16"/>
        <v>0</v>
      </c>
      <c r="H50" s="164">
        <f t="shared" si="16"/>
        <v>0</v>
      </c>
      <c r="I50" s="166">
        <f>SUM(I42:I49)</f>
        <v>25</v>
      </c>
      <c r="J50" s="135">
        <f t="shared" si="16"/>
        <v>0</v>
      </c>
      <c r="K50" s="133">
        <f t="shared" si="16"/>
        <v>0</v>
      </c>
      <c r="L50" s="133">
        <f t="shared" si="16"/>
        <v>0</v>
      </c>
      <c r="M50" s="133">
        <f t="shared" si="16"/>
        <v>0</v>
      </c>
      <c r="N50" s="133">
        <f t="shared" si="16"/>
        <v>0</v>
      </c>
      <c r="O50" s="164">
        <f t="shared" si="16"/>
        <v>0</v>
      </c>
      <c r="P50" s="166">
        <f>SUM(P42:P49)</f>
        <v>0</v>
      </c>
      <c r="Q50" s="173">
        <f>SUM(Q42:Q49)</f>
        <v>25</v>
      </c>
    </row>
    <row r="52" spans="1:17" ht="15.75" x14ac:dyDescent="0.25">
      <c r="A52" s="445" t="s">
        <v>90</v>
      </c>
      <c r="B52" s="445"/>
      <c r="C52" s="445"/>
      <c r="D52" s="445"/>
      <c r="E52" s="445"/>
      <c r="F52" s="445"/>
      <c r="G52" s="445"/>
      <c r="H52" s="445"/>
      <c r="I52" s="445"/>
      <c r="J52" s="445"/>
      <c r="K52" s="445"/>
      <c r="L52" s="445"/>
      <c r="M52" s="445"/>
      <c r="N52" s="445"/>
      <c r="O52" s="445"/>
      <c r="P52" s="445"/>
      <c r="Q52" s="445"/>
    </row>
    <row r="53" spans="1:17" ht="15.75" x14ac:dyDescent="0.25">
      <c r="A53" s="445" t="s">
        <v>83</v>
      </c>
      <c r="B53" s="445"/>
      <c r="C53" s="445"/>
      <c r="D53" s="445"/>
      <c r="E53" s="445"/>
      <c r="F53" s="445"/>
      <c r="G53" s="445"/>
      <c r="H53" s="445"/>
      <c r="I53" s="445"/>
      <c r="J53" s="445"/>
      <c r="K53" s="445"/>
      <c r="L53" s="445"/>
      <c r="M53" s="445"/>
      <c r="N53" s="445"/>
      <c r="O53" s="445"/>
      <c r="P53" s="445"/>
      <c r="Q53" s="445"/>
    </row>
    <row r="54" spans="1:17" ht="15.75" thickBot="1" x14ac:dyDescent="0.3">
      <c r="Q54" s="77" t="s">
        <v>1</v>
      </c>
    </row>
    <row r="55" spans="1:17" x14ac:dyDescent="0.25">
      <c r="A55" s="440" t="s">
        <v>2</v>
      </c>
      <c r="B55" s="442" t="s">
        <v>3</v>
      </c>
      <c r="C55" s="446" t="s">
        <v>84</v>
      </c>
      <c r="D55" s="447"/>
      <c r="E55" s="447"/>
      <c r="F55" s="447"/>
      <c r="G55" s="447"/>
      <c r="H55" s="447"/>
      <c r="I55" s="448" t="s">
        <v>91</v>
      </c>
      <c r="J55" s="447">
        <v>2015</v>
      </c>
      <c r="K55" s="447"/>
      <c r="L55" s="447"/>
      <c r="M55" s="447"/>
      <c r="N55" s="447"/>
      <c r="O55" s="447"/>
      <c r="P55" s="448" t="s">
        <v>92</v>
      </c>
      <c r="Q55" s="450" t="s">
        <v>5</v>
      </c>
    </row>
    <row r="56" spans="1:17" x14ac:dyDescent="0.25">
      <c r="A56" s="441"/>
      <c r="B56" s="426"/>
      <c r="C56" s="211" t="s">
        <v>15</v>
      </c>
      <c r="D56" s="211" t="s">
        <v>16</v>
      </c>
      <c r="E56" s="211" t="s">
        <v>17</v>
      </c>
      <c r="F56" s="211" t="s">
        <v>6</v>
      </c>
      <c r="G56" s="211" t="s">
        <v>78</v>
      </c>
      <c r="H56" s="158" t="s">
        <v>79</v>
      </c>
      <c r="I56" s="449"/>
      <c r="J56" s="117" t="s">
        <v>80</v>
      </c>
      <c r="K56" s="211" t="s">
        <v>10</v>
      </c>
      <c r="L56" s="211" t="s">
        <v>11</v>
      </c>
      <c r="M56" s="211" t="s">
        <v>12</v>
      </c>
      <c r="N56" s="211" t="s">
        <v>81</v>
      </c>
      <c r="O56" s="158" t="s">
        <v>82</v>
      </c>
      <c r="P56" s="449"/>
      <c r="Q56" s="451"/>
    </row>
    <row r="57" spans="1:17" ht="15.75" thickBot="1" x14ac:dyDescent="0.3">
      <c r="A57" s="128">
        <v>1</v>
      </c>
      <c r="B57" s="5">
        <v>2</v>
      </c>
      <c r="C57" s="5">
        <v>3</v>
      </c>
      <c r="D57" s="5">
        <v>4</v>
      </c>
      <c r="E57" s="5">
        <v>5</v>
      </c>
      <c r="F57" s="5">
        <v>6</v>
      </c>
      <c r="G57" s="5">
        <v>7</v>
      </c>
      <c r="H57" s="159">
        <v>8</v>
      </c>
      <c r="I57" s="165">
        <v>9</v>
      </c>
      <c r="J57" s="118">
        <v>10</v>
      </c>
      <c r="K57" s="5">
        <v>11</v>
      </c>
      <c r="L57" s="5">
        <v>12</v>
      </c>
      <c r="M57" s="5">
        <v>13</v>
      </c>
      <c r="N57" s="5">
        <v>14</v>
      </c>
      <c r="O57" s="159">
        <v>15</v>
      </c>
      <c r="P57" s="165">
        <v>16</v>
      </c>
      <c r="Q57" s="174">
        <v>17</v>
      </c>
    </row>
    <row r="58" spans="1:17" ht="15.75" thickTop="1" x14ac:dyDescent="0.25">
      <c r="A58" s="85">
        <v>1</v>
      </c>
      <c r="B58" s="7" t="s">
        <v>18</v>
      </c>
      <c r="C58" s="28">
        <v>0</v>
      </c>
      <c r="D58" s="28">
        <v>0</v>
      </c>
      <c r="E58" s="28">
        <v>0</v>
      </c>
      <c r="F58" s="28">
        <v>0</v>
      </c>
      <c r="G58" s="28">
        <v>0</v>
      </c>
      <c r="H58" s="28">
        <v>0</v>
      </c>
      <c r="I58" s="199">
        <f>SUM(C58:H58)</f>
        <v>0</v>
      </c>
      <c r="J58" s="119">
        <v>0</v>
      </c>
      <c r="K58" s="9"/>
      <c r="L58" s="9"/>
      <c r="M58" s="59"/>
      <c r="N58" s="9"/>
      <c r="O58" s="9"/>
      <c r="P58" s="167">
        <f>SUM(J58:O58)</f>
        <v>0</v>
      </c>
      <c r="Q58" s="170">
        <f>SUM(I58,P58)</f>
        <v>0</v>
      </c>
    </row>
    <row r="59" spans="1:17" x14ac:dyDescent="0.25">
      <c r="A59" s="86">
        <v>2</v>
      </c>
      <c r="B59" s="12" t="s">
        <v>19</v>
      </c>
      <c r="C59" s="16">
        <v>0</v>
      </c>
      <c r="D59" s="16">
        <v>0</v>
      </c>
      <c r="E59" s="16">
        <v>0</v>
      </c>
      <c r="F59" s="16">
        <v>0</v>
      </c>
      <c r="G59" s="16">
        <v>0</v>
      </c>
      <c r="H59" s="16">
        <v>0</v>
      </c>
      <c r="I59" s="175">
        <f t="shared" ref="I59:I65" si="17">SUM(C59:H59)</f>
        <v>0</v>
      </c>
      <c r="J59" s="120">
        <v>0</v>
      </c>
      <c r="K59" s="8"/>
      <c r="L59" s="8"/>
      <c r="M59" s="61"/>
      <c r="N59" s="47"/>
      <c r="O59" s="8"/>
      <c r="P59" s="168">
        <f t="shared" ref="P59:P65" si="18">SUM(J59:O59)</f>
        <v>0</v>
      </c>
      <c r="Q59" s="171">
        <f t="shared" ref="Q59:Q65" si="19">SUM(I59,P59)</f>
        <v>0</v>
      </c>
    </row>
    <row r="60" spans="1:17" x14ac:dyDescent="0.25">
      <c r="A60" s="86">
        <v>3</v>
      </c>
      <c r="B60" s="7" t="s">
        <v>20</v>
      </c>
      <c r="C60" s="16">
        <v>0</v>
      </c>
      <c r="D60" s="16">
        <v>0</v>
      </c>
      <c r="E60" s="16">
        <v>0</v>
      </c>
      <c r="F60" s="16">
        <v>0</v>
      </c>
      <c r="G60" s="16">
        <v>0</v>
      </c>
      <c r="H60" s="16">
        <v>15</v>
      </c>
      <c r="I60" s="175">
        <f>SUM(C60:H60)</f>
        <v>15</v>
      </c>
      <c r="J60" s="120">
        <v>10</v>
      </c>
      <c r="K60" s="8"/>
      <c r="L60" s="8"/>
      <c r="M60" s="61"/>
      <c r="N60" s="8"/>
      <c r="O60" s="8"/>
      <c r="P60" s="168">
        <f t="shared" si="18"/>
        <v>10</v>
      </c>
      <c r="Q60" s="171">
        <f>SUM(I60,P60)</f>
        <v>25</v>
      </c>
    </row>
    <row r="61" spans="1:17" x14ac:dyDescent="0.25">
      <c r="A61" s="87">
        <v>4</v>
      </c>
      <c r="B61" s="15" t="s">
        <v>21</v>
      </c>
      <c r="C61" s="16">
        <v>0</v>
      </c>
      <c r="D61" s="16">
        <v>0</v>
      </c>
      <c r="E61" s="16">
        <v>0</v>
      </c>
      <c r="F61" s="16">
        <v>0</v>
      </c>
      <c r="G61" s="16">
        <v>0</v>
      </c>
      <c r="H61" s="16">
        <v>0</v>
      </c>
      <c r="I61" s="175">
        <f t="shared" si="17"/>
        <v>0</v>
      </c>
      <c r="J61" s="121">
        <v>0</v>
      </c>
      <c r="K61" s="16"/>
      <c r="L61" s="16"/>
      <c r="M61" s="61"/>
      <c r="N61" s="16"/>
      <c r="O61" s="16"/>
      <c r="P61" s="168">
        <f t="shared" si="18"/>
        <v>0</v>
      </c>
      <c r="Q61" s="171">
        <f t="shared" si="19"/>
        <v>0</v>
      </c>
    </row>
    <row r="62" spans="1:17" x14ac:dyDescent="0.25">
      <c r="A62" s="87">
        <v>5</v>
      </c>
      <c r="B62" s="19" t="s">
        <v>22</v>
      </c>
      <c r="C62" s="16">
        <v>0</v>
      </c>
      <c r="D62" s="16">
        <v>0</v>
      </c>
      <c r="E62" s="16">
        <v>0</v>
      </c>
      <c r="F62" s="16">
        <v>0</v>
      </c>
      <c r="G62" s="16">
        <v>0</v>
      </c>
      <c r="H62" s="16">
        <v>0</v>
      </c>
      <c r="I62" s="175">
        <f t="shared" si="17"/>
        <v>0</v>
      </c>
      <c r="J62" s="121">
        <v>0</v>
      </c>
      <c r="K62" s="16"/>
      <c r="L62" s="16"/>
      <c r="M62" s="16"/>
      <c r="N62" s="16"/>
      <c r="O62" s="16"/>
      <c r="P62" s="168">
        <f t="shared" si="18"/>
        <v>0</v>
      </c>
      <c r="Q62" s="171">
        <f t="shared" si="19"/>
        <v>0</v>
      </c>
    </row>
    <row r="63" spans="1:17" x14ac:dyDescent="0.25">
      <c r="A63" s="87">
        <v>6</v>
      </c>
      <c r="B63" s="19" t="s">
        <v>23</v>
      </c>
      <c r="C63" s="16">
        <v>0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75">
        <f t="shared" si="17"/>
        <v>0</v>
      </c>
      <c r="J63" s="121">
        <v>0</v>
      </c>
      <c r="K63" s="16"/>
      <c r="L63" s="16"/>
      <c r="M63" s="16"/>
      <c r="N63" s="16"/>
      <c r="O63" s="16"/>
      <c r="P63" s="168">
        <f t="shared" si="18"/>
        <v>0</v>
      </c>
      <c r="Q63" s="171">
        <f t="shared" si="19"/>
        <v>0</v>
      </c>
    </row>
    <row r="64" spans="1:17" x14ac:dyDescent="0.25">
      <c r="A64" s="87">
        <v>7</v>
      </c>
      <c r="B64" s="19" t="s">
        <v>24</v>
      </c>
      <c r="C64" s="16">
        <v>0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75">
        <f t="shared" si="17"/>
        <v>0</v>
      </c>
      <c r="J64" s="121">
        <v>0</v>
      </c>
      <c r="K64" s="16"/>
      <c r="L64" s="16"/>
      <c r="M64" s="16"/>
      <c r="N64" s="16"/>
      <c r="O64" s="16"/>
      <c r="P64" s="168">
        <f t="shared" si="18"/>
        <v>0</v>
      </c>
      <c r="Q64" s="171">
        <f t="shared" si="19"/>
        <v>0</v>
      </c>
    </row>
    <row r="65" spans="1:19" ht="15.75" thickBot="1" x14ac:dyDescent="0.3">
      <c r="A65" s="88">
        <v>8</v>
      </c>
      <c r="B65" s="15" t="s">
        <v>25</v>
      </c>
      <c r="C65" s="17">
        <v>0</v>
      </c>
      <c r="D65" s="17">
        <v>0</v>
      </c>
      <c r="E65" s="17">
        <v>0</v>
      </c>
      <c r="F65" s="17">
        <v>0</v>
      </c>
      <c r="G65" s="17">
        <v>0</v>
      </c>
      <c r="H65" s="17">
        <v>0</v>
      </c>
      <c r="I65" s="200">
        <f t="shared" si="17"/>
        <v>0</v>
      </c>
      <c r="J65" s="122">
        <v>0</v>
      </c>
      <c r="K65" s="17"/>
      <c r="L65" s="17"/>
      <c r="M65" s="17"/>
      <c r="N65" s="17"/>
      <c r="O65" s="17"/>
      <c r="P65" s="169">
        <f t="shared" si="18"/>
        <v>0</v>
      </c>
      <c r="Q65" s="172">
        <f t="shared" si="19"/>
        <v>0</v>
      </c>
    </row>
    <row r="66" spans="1:19" ht="16.5" thickTop="1" thickBot="1" x14ac:dyDescent="0.3">
      <c r="A66" s="443" t="s">
        <v>26</v>
      </c>
      <c r="B66" s="444"/>
      <c r="C66" s="133">
        <f t="shared" ref="C66:O66" si="20">SUM(C58:C65)</f>
        <v>0</v>
      </c>
      <c r="D66" s="133">
        <f t="shared" si="20"/>
        <v>0</v>
      </c>
      <c r="E66" s="133">
        <f t="shared" si="20"/>
        <v>0</v>
      </c>
      <c r="F66" s="133">
        <f t="shared" si="20"/>
        <v>0</v>
      </c>
      <c r="G66" s="133">
        <f t="shared" si="20"/>
        <v>0</v>
      </c>
      <c r="H66" s="134">
        <f t="shared" si="20"/>
        <v>15</v>
      </c>
      <c r="I66" s="166">
        <f>SUM(I58:I65)</f>
        <v>15</v>
      </c>
      <c r="J66" s="135">
        <f t="shared" si="20"/>
        <v>10</v>
      </c>
      <c r="K66" s="133">
        <f t="shared" si="20"/>
        <v>0</v>
      </c>
      <c r="L66" s="133">
        <f t="shared" si="20"/>
        <v>0</v>
      </c>
      <c r="M66" s="133">
        <f t="shared" si="20"/>
        <v>0</v>
      </c>
      <c r="N66" s="133">
        <f t="shared" si="20"/>
        <v>0</v>
      </c>
      <c r="O66" s="133">
        <f t="shared" si="20"/>
        <v>0</v>
      </c>
      <c r="P66" s="166">
        <f>SUM(P58:P65)</f>
        <v>10</v>
      </c>
      <c r="Q66" s="173">
        <f>SUM(Q58:Q65)</f>
        <v>25</v>
      </c>
    </row>
    <row r="70" spans="1:19" ht="15.75" x14ac:dyDescent="0.25">
      <c r="A70" s="445" t="s">
        <v>97</v>
      </c>
      <c r="B70" s="445"/>
      <c r="C70" s="445"/>
      <c r="D70" s="445"/>
      <c r="E70" s="445"/>
      <c r="F70" s="445"/>
      <c r="G70" s="445"/>
      <c r="H70" s="445"/>
      <c r="I70" s="445"/>
      <c r="J70" s="445"/>
      <c r="K70" s="445"/>
      <c r="L70" s="445"/>
      <c r="M70" s="445"/>
      <c r="N70" s="445"/>
      <c r="O70" s="445"/>
      <c r="P70" s="445"/>
      <c r="Q70" s="445"/>
    </row>
    <row r="71" spans="1:19" ht="15.75" x14ac:dyDescent="0.25">
      <c r="A71" s="445" t="s">
        <v>83</v>
      </c>
      <c r="B71" s="445"/>
      <c r="C71" s="445"/>
      <c r="D71" s="445"/>
      <c r="E71" s="445"/>
      <c r="F71" s="445"/>
      <c r="G71" s="445"/>
      <c r="H71" s="445"/>
      <c r="I71" s="445"/>
      <c r="J71" s="445"/>
      <c r="K71" s="445"/>
      <c r="L71" s="445"/>
      <c r="M71" s="445"/>
      <c r="N71" s="445"/>
      <c r="O71" s="445"/>
      <c r="P71" s="445"/>
      <c r="Q71" s="445"/>
    </row>
    <row r="72" spans="1:19" ht="15.75" thickBot="1" x14ac:dyDescent="0.3">
      <c r="Q72" s="77" t="s">
        <v>1</v>
      </c>
    </row>
    <row r="73" spans="1:19" x14ac:dyDescent="0.25">
      <c r="A73" s="440" t="s">
        <v>2</v>
      </c>
      <c r="B73" s="442" t="s">
        <v>3</v>
      </c>
      <c r="C73" s="446" t="s">
        <v>84</v>
      </c>
      <c r="D73" s="447"/>
      <c r="E73" s="447"/>
      <c r="F73" s="447"/>
      <c r="G73" s="447"/>
      <c r="H73" s="447"/>
      <c r="I73" s="448" t="s">
        <v>91</v>
      </c>
      <c r="J73" s="447">
        <v>2015</v>
      </c>
      <c r="K73" s="447"/>
      <c r="L73" s="447"/>
      <c r="M73" s="447"/>
      <c r="N73" s="447"/>
      <c r="O73" s="447"/>
      <c r="P73" s="448" t="s">
        <v>92</v>
      </c>
      <c r="Q73" s="450" t="s">
        <v>5</v>
      </c>
    </row>
    <row r="74" spans="1:19" x14ac:dyDescent="0.25">
      <c r="A74" s="441"/>
      <c r="B74" s="426"/>
      <c r="C74" s="211" t="s">
        <v>15</v>
      </c>
      <c r="D74" s="211" t="s">
        <v>16</v>
      </c>
      <c r="E74" s="211" t="s">
        <v>17</v>
      </c>
      <c r="F74" s="211" t="s">
        <v>6</v>
      </c>
      <c r="G74" s="211" t="s">
        <v>78</v>
      </c>
      <c r="H74" s="158" t="s">
        <v>79</v>
      </c>
      <c r="I74" s="449"/>
      <c r="J74" s="117" t="s">
        <v>80</v>
      </c>
      <c r="K74" s="211" t="s">
        <v>10</v>
      </c>
      <c r="L74" s="211" t="s">
        <v>11</v>
      </c>
      <c r="M74" s="211" t="s">
        <v>12</v>
      </c>
      <c r="N74" s="211" t="s">
        <v>81</v>
      </c>
      <c r="O74" s="158" t="s">
        <v>82</v>
      </c>
      <c r="P74" s="449"/>
      <c r="Q74" s="451"/>
    </row>
    <row r="75" spans="1:19" ht="15.75" thickBot="1" x14ac:dyDescent="0.3">
      <c r="A75" s="128">
        <v>1</v>
      </c>
      <c r="B75" s="5">
        <v>2</v>
      </c>
      <c r="C75" s="5">
        <v>3</v>
      </c>
      <c r="D75" s="5">
        <v>4</v>
      </c>
      <c r="E75" s="5">
        <v>5</v>
      </c>
      <c r="F75" s="5">
        <v>6</v>
      </c>
      <c r="G75" s="5">
        <v>7</v>
      </c>
      <c r="H75" s="159">
        <v>8</v>
      </c>
      <c r="I75" s="165">
        <v>9</v>
      </c>
      <c r="J75" s="118">
        <v>10</v>
      </c>
      <c r="K75" s="5">
        <v>11</v>
      </c>
      <c r="L75" s="5">
        <v>12</v>
      </c>
      <c r="M75" s="5">
        <v>13</v>
      </c>
      <c r="N75" s="5">
        <v>14</v>
      </c>
      <c r="O75" s="159">
        <v>15</v>
      </c>
      <c r="P75" s="165">
        <v>16</v>
      </c>
      <c r="Q75" s="174">
        <v>17</v>
      </c>
      <c r="S75" t="s">
        <v>198</v>
      </c>
    </row>
    <row r="76" spans="1:19" ht="15.75" thickTop="1" x14ac:dyDescent="0.25">
      <c r="A76" s="85">
        <v>1</v>
      </c>
      <c r="B76" s="7" t="s">
        <v>18</v>
      </c>
      <c r="C76" s="59">
        <v>0</v>
      </c>
      <c r="D76" s="9">
        <v>0</v>
      </c>
      <c r="E76" s="9">
        <v>5</v>
      </c>
      <c r="F76" s="59">
        <v>0</v>
      </c>
      <c r="G76" s="8">
        <v>0</v>
      </c>
      <c r="H76" s="160">
        <v>0</v>
      </c>
      <c r="I76" s="167">
        <f>SUM(C76:H76)</f>
        <v>5</v>
      </c>
      <c r="J76" s="176">
        <v>0</v>
      </c>
      <c r="K76" s="28">
        <v>0</v>
      </c>
      <c r="L76" s="9">
        <v>0</v>
      </c>
      <c r="M76" s="59"/>
      <c r="N76" s="9"/>
      <c r="O76" s="160"/>
      <c r="P76" s="167">
        <f>SUM(J76:O76)</f>
        <v>0</v>
      </c>
      <c r="Q76" s="170">
        <f>SUM(I76,P76)</f>
        <v>5</v>
      </c>
      <c r="S76" s="110">
        <f>SUM(F76:H76,J76:N76)</f>
        <v>0</v>
      </c>
    </row>
    <row r="77" spans="1:19" x14ac:dyDescent="0.25">
      <c r="A77" s="86">
        <v>2</v>
      </c>
      <c r="B77" s="12" t="s">
        <v>19</v>
      </c>
      <c r="C77" s="61">
        <v>0</v>
      </c>
      <c r="D77" s="47">
        <v>0</v>
      </c>
      <c r="E77" s="8">
        <v>0</v>
      </c>
      <c r="F77" s="60">
        <v>0</v>
      </c>
      <c r="G77" s="8">
        <v>0</v>
      </c>
      <c r="H77" s="161">
        <v>1</v>
      </c>
      <c r="I77" s="168">
        <f t="shared" ref="I77:I83" si="21">SUM(C77:H77)</f>
        <v>1</v>
      </c>
      <c r="J77" s="177">
        <v>0</v>
      </c>
      <c r="K77" s="16">
        <v>0</v>
      </c>
      <c r="L77" s="8">
        <v>1</v>
      </c>
      <c r="M77" s="61"/>
      <c r="N77" s="47"/>
      <c r="O77" s="161"/>
      <c r="P77" s="168">
        <f t="shared" ref="P77:P83" si="22">SUM(J77:O77)</f>
        <v>1</v>
      </c>
      <c r="Q77" s="171">
        <f t="shared" ref="Q77:Q83" si="23">SUM(I77,P77)</f>
        <v>2</v>
      </c>
      <c r="S77" s="110">
        <f t="shared" ref="S77:S83" si="24">SUM(F77:H77,J77:N77)</f>
        <v>2</v>
      </c>
    </row>
    <row r="78" spans="1:19" x14ac:dyDescent="0.25">
      <c r="A78" s="86">
        <v>3</v>
      </c>
      <c r="B78" s="7" t="s">
        <v>20</v>
      </c>
      <c r="C78" s="61">
        <v>0</v>
      </c>
      <c r="D78" s="8">
        <v>0</v>
      </c>
      <c r="E78" s="8">
        <v>2</v>
      </c>
      <c r="F78" s="60">
        <v>2</v>
      </c>
      <c r="G78" s="8">
        <v>3</v>
      </c>
      <c r="H78" s="161">
        <v>0</v>
      </c>
      <c r="I78" s="168">
        <f t="shared" si="21"/>
        <v>7</v>
      </c>
      <c r="J78" s="177">
        <v>0</v>
      </c>
      <c r="K78" s="16">
        <v>2</v>
      </c>
      <c r="L78" s="8">
        <v>0</v>
      </c>
      <c r="M78" s="61"/>
      <c r="N78" s="8"/>
      <c r="O78" s="161"/>
      <c r="P78" s="168">
        <f t="shared" si="22"/>
        <v>2</v>
      </c>
      <c r="Q78" s="171">
        <f t="shared" si="23"/>
        <v>9</v>
      </c>
      <c r="S78" s="110">
        <f t="shared" si="24"/>
        <v>7</v>
      </c>
    </row>
    <row r="79" spans="1:19" x14ac:dyDescent="0.25">
      <c r="A79" s="87">
        <v>4</v>
      </c>
      <c r="B79" s="15" t="s">
        <v>21</v>
      </c>
      <c r="C79" s="61">
        <v>0</v>
      </c>
      <c r="D79" s="16">
        <v>0</v>
      </c>
      <c r="E79" s="16">
        <v>0</v>
      </c>
      <c r="F79" s="61">
        <v>0</v>
      </c>
      <c r="G79" s="16">
        <v>0</v>
      </c>
      <c r="H79" s="162">
        <v>1</v>
      </c>
      <c r="I79" s="168">
        <f t="shared" si="21"/>
        <v>1</v>
      </c>
      <c r="J79" s="178">
        <v>1</v>
      </c>
      <c r="K79" s="16">
        <v>1</v>
      </c>
      <c r="L79" s="16">
        <v>2</v>
      </c>
      <c r="M79" s="61"/>
      <c r="N79" s="16"/>
      <c r="O79" s="162"/>
      <c r="P79" s="168">
        <f t="shared" si="22"/>
        <v>4</v>
      </c>
      <c r="Q79" s="171">
        <f t="shared" si="23"/>
        <v>5</v>
      </c>
      <c r="S79" s="110">
        <f t="shared" si="24"/>
        <v>5</v>
      </c>
    </row>
    <row r="80" spans="1:19" x14ac:dyDescent="0.25">
      <c r="A80" s="87">
        <v>5</v>
      </c>
      <c r="B80" s="19" t="s">
        <v>22</v>
      </c>
      <c r="C80" s="16">
        <v>0</v>
      </c>
      <c r="D80" s="16">
        <v>0</v>
      </c>
      <c r="E80" s="16">
        <v>0</v>
      </c>
      <c r="F80" s="61">
        <v>0</v>
      </c>
      <c r="G80" s="16">
        <v>0</v>
      </c>
      <c r="H80" s="162">
        <v>0</v>
      </c>
      <c r="I80" s="168">
        <f t="shared" si="21"/>
        <v>0</v>
      </c>
      <c r="J80" s="178">
        <v>0</v>
      </c>
      <c r="K80" s="16">
        <v>2</v>
      </c>
      <c r="L80" s="16">
        <v>0</v>
      </c>
      <c r="M80" s="16"/>
      <c r="N80" s="16"/>
      <c r="O80" s="162"/>
      <c r="P80" s="168">
        <f t="shared" si="22"/>
        <v>2</v>
      </c>
      <c r="Q80" s="171">
        <f t="shared" si="23"/>
        <v>2</v>
      </c>
      <c r="S80" s="110">
        <f t="shared" si="24"/>
        <v>2</v>
      </c>
    </row>
    <row r="81" spans="1:19" x14ac:dyDescent="0.25">
      <c r="A81" s="87">
        <v>6</v>
      </c>
      <c r="B81" s="19" t="s">
        <v>23</v>
      </c>
      <c r="C81" s="16">
        <v>0</v>
      </c>
      <c r="D81" s="16">
        <v>0</v>
      </c>
      <c r="E81" s="16">
        <v>0</v>
      </c>
      <c r="F81" s="61">
        <v>0</v>
      </c>
      <c r="G81" s="16">
        <v>0</v>
      </c>
      <c r="H81" s="162">
        <v>0</v>
      </c>
      <c r="I81" s="168">
        <f t="shared" si="21"/>
        <v>0</v>
      </c>
      <c r="J81" s="178">
        <v>0</v>
      </c>
      <c r="K81" s="16">
        <v>0</v>
      </c>
      <c r="L81" s="16">
        <v>0</v>
      </c>
      <c r="M81" s="16"/>
      <c r="N81" s="16"/>
      <c r="O81" s="162"/>
      <c r="P81" s="168">
        <f t="shared" si="22"/>
        <v>0</v>
      </c>
      <c r="Q81" s="171">
        <f t="shared" si="23"/>
        <v>0</v>
      </c>
      <c r="S81" s="110">
        <f t="shared" si="24"/>
        <v>0</v>
      </c>
    </row>
    <row r="82" spans="1:19" x14ac:dyDescent="0.25">
      <c r="A82" s="87">
        <v>7</v>
      </c>
      <c r="B82" s="19" t="s">
        <v>24</v>
      </c>
      <c r="C82" s="16">
        <v>0</v>
      </c>
      <c r="D82" s="16">
        <v>0</v>
      </c>
      <c r="E82" s="16">
        <v>0</v>
      </c>
      <c r="F82" s="61">
        <v>0</v>
      </c>
      <c r="G82" s="16">
        <v>0</v>
      </c>
      <c r="H82" s="162">
        <v>0</v>
      </c>
      <c r="I82" s="168">
        <f t="shared" si="21"/>
        <v>0</v>
      </c>
      <c r="J82" s="178">
        <v>0</v>
      </c>
      <c r="K82" s="16">
        <v>0</v>
      </c>
      <c r="L82" s="16">
        <v>0</v>
      </c>
      <c r="M82" s="16"/>
      <c r="N82" s="16"/>
      <c r="O82" s="162"/>
      <c r="P82" s="168">
        <f t="shared" si="22"/>
        <v>0</v>
      </c>
      <c r="Q82" s="171">
        <f t="shared" si="23"/>
        <v>0</v>
      </c>
      <c r="S82" s="110">
        <f t="shared" si="24"/>
        <v>0</v>
      </c>
    </row>
    <row r="83" spans="1:19" ht="15.75" thickBot="1" x14ac:dyDescent="0.3">
      <c r="A83" s="88">
        <v>8</v>
      </c>
      <c r="B83" s="15" t="s">
        <v>25</v>
      </c>
      <c r="C83" s="17">
        <v>0</v>
      </c>
      <c r="D83" s="17">
        <v>1</v>
      </c>
      <c r="E83" s="17">
        <v>0</v>
      </c>
      <c r="F83" s="62">
        <v>0</v>
      </c>
      <c r="G83" s="17">
        <v>1</v>
      </c>
      <c r="H83" s="163">
        <v>0</v>
      </c>
      <c r="I83" s="169">
        <f t="shared" si="21"/>
        <v>2</v>
      </c>
      <c r="J83" s="179">
        <v>1</v>
      </c>
      <c r="K83" s="17">
        <v>0</v>
      </c>
      <c r="L83" s="17">
        <v>0</v>
      </c>
      <c r="M83" s="17"/>
      <c r="N83" s="17"/>
      <c r="O83" s="163"/>
      <c r="P83" s="169">
        <f t="shared" si="22"/>
        <v>1</v>
      </c>
      <c r="Q83" s="172">
        <f t="shared" si="23"/>
        <v>3</v>
      </c>
      <c r="S83" s="110">
        <f t="shared" si="24"/>
        <v>2</v>
      </c>
    </row>
    <row r="84" spans="1:19" ht="16.5" thickTop="1" thickBot="1" x14ac:dyDescent="0.3">
      <c r="A84" s="443" t="s">
        <v>26</v>
      </c>
      <c r="B84" s="444"/>
      <c r="C84" s="133">
        <f t="shared" ref="C84:E84" si="25">SUM(C76:C83)</f>
        <v>0</v>
      </c>
      <c r="D84" s="133">
        <f t="shared" si="25"/>
        <v>1</v>
      </c>
      <c r="E84" s="133">
        <f t="shared" si="25"/>
        <v>7</v>
      </c>
      <c r="F84" s="133">
        <v>2</v>
      </c>
      <c r="G84" s="133">
        <v>4</v>
      </c>
      <c r="H84" s="164">
        <v>2</v>
      </c>
      <c r="I84" s="166">
        <f>SUM(I76:I83)</f>
        <v>16</v>
      </c>
      <c r="J84" s="180">
        <f t="shared" ref="J84:O84" si="26">SUM(J76:J83)</f>
        <v>2</v>
      </c>
      <c r="K84" s="133">
        <f t="shared" si="26"/>
        <v>5</v>
      </c>
      <c r="L84" s="133">
        <f t="shared" si="26"/>
        <v>3</v>
      </c>
      <c r="M84" s="133">
        <f t="shared" si="26"/>
        <v>0</v>
      </c>
      <c r="N84" s="133">
        <f t="shared" si="26"/>
        <v>0</v>
      </c>
      <c r="O84" s="164">
        <f t="shared" si="26"/>
        <v>0</v>
      </c>
      <c r="P84" s="166">
        <f>SUM(P76:P83)</f>
        <v>10</v>
      </c>
      <c r="Q84" s="173">
        <f>SUM(Q76:Q83)</f>
        <v>26</v>
      </c>
      <c r="S84" s="110">
        <f>SUM(S76:S83)</f>
        <v>18</v>
      </c>
    </row>
    <row r="86" spans="1:19" ht="15.75" x14ac:dyDescent="0.25">
      <c r="A86" s="445" t="s">
        <v>98</v>
      </c>
      <c r="B86" s="445"/>
      <c r="C86" s="445"/>
      <c r="D86" s="445"/>
      <c r="E86" s="445"/>
      <c r="F86" s="445"/>
      <c r="G86" s="445"/>
      <c r="H86" s="445"/>
      <c r="I86" s="445"/>
      <c r="J86" s="445"/>
      <c r="K86" s="445"/>
      <c r="L86" s="445"/>
      <c r="M86" s="445"/>
      <c r="N86" s="445"/>
      <c r="O86" s="445"/>
      <c r="P86" s="445"/>
      <c r="Q86" s="445"/>
    </row>
    <row r="87" spans="1:19" ht="15.75" x14ac:dyDescent="0.25">
      <c r="A87" s="445" t="s">
        <v>83</v>
      </c>
      <c r="B87" s="445"/>
      <c r="C87" s="445"/>
      <c r="D87" s="445"/>
      <c r="E87" s="445"/>
      <c r="F87" s="445"/>
      <c r="G87" s="445"/>
      <c r="H87" s="445"/>
      <c r="I87" s="445"/>
      <c r="J87" s="445"/>
      <c r="K87" s="445"/>
      <c r="L87" s="445"/>
      <c r="M87" s="445"/>
      <c r="N87" s="445"/>
      <c r="O87" s="445"/>
      <c r="P87" s="445"/>
      <c r="Q87" s="445"/>
    </row>
    <row r="88" spans="1:19" ht="15.75" thickBot="1" x14ac:dyDescent="0.3">
      <c r="Q88" s="77" t="s">
        <v>1</v>
      </c>
    </row>
    <row r="89" spans="1:19" x14ac:dyDescent="0.25">
      <c r="A89" s="440" t="s">
        <v>2</v>
      </c>
      <c r="B89" s="442" t="s">
        <v>3</v>
      </c>
      <c r="C89" s="446" t="s">
        <v>84</v>
      </c>
      <c r="D89" s="447"/>
      <c r="E89" s="447"/>
      <c r="F89" s="447"/>
      <c r="G89" s="447"/>
      <c r="H89" s="447"/>
      <c r="I89" s="448" t="s">
        <v>91</v>
      </c>
      <c r="J89" s="447">
        <v>2015</v>
      </c>
      <c r="K89" s="447"/>
      <c r="L89" s="447"/>
      <c r="M89" s="447"/>
      <c r="N89" s="447"/>
      <c r="O89" s="447"/>
      <c r="P89" s="448" t="s">
        <v>92</v>
      </c>
      <c r="Q89" s="450" t="s">
        <v>5</v>
      </c>
    </row>
    <row r="90" spans="1:19" x14ac:dyDescent="0.25">
      <c r="A90" s="441"/>
      <c r="B90" s="426"/>
      <c r="C90" s="211" t="s">
        <v>15</v>
      </c>
      <c r="D90" s="211" t="s">
        <v>16</v>
      </c>
      <c r="E90" s="211" t="s">
        <v>17</v>
      </c>
      <c r="F90" s="211" t="s">
        <v>6</v>
      </c>
      <c r="G90" s="211" t="s">
        <v>78</v>
      </c>
      <c r="H90" s="158" t="s">
        <v>79</v>
      </c>
      <c r="I90" s="449"/>
      <c r="J90" s="117" t="s">
        <v>80</v>
      </c>
      <c r="K90" s="211" t="s">
        <v>10</v>
      </c>
      <c r="L90" s="211" t="s">
        <v>11</v>
      </c>
      <c r="M90" s="211" t="s">
        <v>12</v>
      </c>
      <c r="N90" s="211" t="s">
        <v>81</v>
      </c>
      <c r="O90" s="158" t="s">
        <v>82</v>
      </c>
      <c r="P90" s="449"/>
      <c r="Q90" s="451"/>
    </row>
    <row r="91" spans="1:19" ht="15.75" thickBot="1" x14ac:dyDescent="0.3">
      <c r="A91" s="128">
        <v>1</v>
      </c>
      <c r="B91" s="5">
        <v>2</v>
      </c>
      <c r="C91" s="5">
        <v>3</v>
      </c>
      <c r="D91" s="5">
        <v>4</v>
      </c>
      <c r="E91" s="5">
        <v>5</v>
      </c>
      <c r="F91" s="5">
        <v>6</v>
      </c>
      <c r="G91" s="5">
        <v>7</v>
      </c>
      <c r="H91" s="159">
        <v>8</v>
      </c>
      <c r="I91" s="165">
        <v>9</v>
      </c>
      <c r="J91" s="118">
        <v>10</v>
      </c>
      <c r="K91" s="5">
        <v>11</v>
      </c>
      <c r="L91" s="5">
        <v>12</v>
      </c>
      <c r="M91" s="5">
        <v>13</v>
      </c>
      <c r="N91" s="5">
        <v>14</v>
      </c>
      <c r="O91" s="159">
        <v>15</v>
      </c>
      <c r="P91" s="165">
        <v>16</v>
      </c>
      <c r="Q91" s="174">
        <v>17</v>
      </c>
      <c r="S91" t="s">
        <v>198</v>
      </c>
    </row>
    <row r="92" spans="1:19" ht="15.75" thickTop="1" x14ac:dyDescent="0.25">
      <c r="A92" s="85">
        <v>1</v>
      </c>
      <c r="B92" s="7" t="s">
        <v>18</v>
      </c>
      <c r="C92" s="28">
        <v>0</v>
      </c>
      <c r="D92" s="28">
        <v>0</v>
      </c>
      <c r="E92" s="28">
        <v>0</v>
      </c>
      <c r="F92" s="63">
        <v>0</v>
      </c>
      <c r="G92" s="75">
        <v>0</v>
      </c>
      <c r="H92" s="75">
        <v>0</v>
      </c>
      <c r="I92" s="167">
        <f>SUM(C92:H92)</f>
        <v>0</v>
      </c>
      <c r="J92" s="119">
        <v>0</v>
      </c>
      <c r="K92" s="9">
        <v>0</v>
      </c>
      <c r="L92" s="9">
        <v>0</v>
      </c>
      <c r="M92" s="59">
        <v>0</v>
      </c>
      <c r="N92" s="9">
        <v>0</v>
      </c>
      <c r="O92" s="160"/>
      <c r="P92" s="167">
        <f>SUM(J92:O92)</f>
        <v>0</v>
      </c>
      <c r="Q92" s="170">
        <f>SUM(I92,P92)</f>
        <v>0</v>
      </c>
      <c r="S92" s="110">
        <f>SUM(F92:H92,J92:N92)</f>
        <v>0</v>
      </c>
    </row>
    <row r="93" spans="1:19" x14ac:dyDescent="0.25">
      <c r="A93" s="86">
        <v>2</v>
      </c>
      <c r="B93" s="12" t="s">
        <v>19</v>
      </c>
      <c r="C93" s="16">
        <v>0</v>
      </c>
      <c r="D93" s="16">
        <v>0</v>
      </c>
      <c r="E93" s="16">
        <v>0</v>
      </c>
      <c r="F93" s="61">
        <v>0</v>
      </c>
      <c r="G93" s="16">
        <v>0</v>
      </c>
      <c r="H93" s="16">
        <v>0</v>
      </c>
      <c r="I93" s="168">
        <f t="shared" ref="I93:I99" si="27">SUM(C93:H93)</f>
        <v>0</v>
      </c>
      <c r="J93" s="120">
        <v>0</v>
      </c>
      <c r="K93" s="8">
        <v>0</v>
      </c>
      <c r="L93" s="8">
        <v>0</v>
      </c>
      <c r="M93" s="61">
        <v>0</v>
      </c>
      <c r="N93" s="47">
        <v>0</v>
      </c>
      <c r="O93" s="161"/>
      <c r="P93" s="168">
        <f t="shared" ref="P93:P99" si="28">SUM(J93:O93)</f>
        <v>0</v>
      </c>
      <c r="Q93" s="171">
        <f>SUM(I93,P93)</f>
        <v>0</v>
      </c>
      <c r="S93" s="110">
        <f t="shared" ref="S93:S99" si="29">SUM(F93:H93,J93:N93)</f>
        <v>0</v>
      </c>
    </row>
    <row r="94" spans="1:19" x14ac:dyDescent="0.25">
      <c r="A94" s="86">
        <v>3</v>
      </c>
      <c r="B94" s="7" t="s">
        <v>20</v>
      </c>
      <c r="C94" s="16">
        <v>0</v>
      </c>
      <c r="D94" s="16">
        <v>0</v>
      </c>
      <c r="E94" s="16">
        <v>0</v>
      </c>
      <c r="F94" s="61">
        <v>0</v>
      </c>
      <c r="G94" s="16">
        <v>0</v>
      </c>
      <c r="H94" s="16">
        <v>4</v>
      </c>
      <c r="I94" s="168">
        <f t="shared" si="27"/>
        <v>4</v>
      </c>
      <c r="J94" s="120">
        <v>3</v>
      </c>
      <c r="K94" s="8">
        <v>0</v>
      </c>
      <c r="L94" s="8">
        <v>0</v>
      </c>
      <c r="M94" s="61">
        <v>0</v>
      </c>
      <c r="N94" s="8">
        <v>2</v>
      </c>
      <c r="O94" s="161"/>
      <c r="P94" s="168">
        <f t="shared" si="28"/>
        <v>5</v>
      </c>
      <c r="Q94" s="171">
        <f t="shared" ref="Q94:Q99" si="30">SUM(I94,P94)</f>
        <v>9</v>
      </c>
      <c r="S94" s="110">
        <f t="shared" si="29"/>
        <v>9</v>
      </c>
    </row>
    <row r="95" spans="1:19" x14ac:dyDescent="0.25">
      <c r="A95" s="87">
        <v>4</v>
      </c>
      <c r="B95" s="15" t="s">
        <v>21</v>
      </c>
      <c r="C95" s="16">
        <v>0</v>
      </c>
      <c r="D95" s="16">
        <v>0</v>
      </c>
      <c r="E95" s="16">
        <v>0</v>
      </c>
      <c r="F95" s="61">
        <v>0</v>
      </c>
      <c r="G95" s="16">
        <v>0</v>
      </c>
      <c r="H95" s="16">
        <v>0</v>
      </c>
      <c r="I95" s="168">
        <f t="shared" si="27"/>
        <v>0</v>
      </c>
      <c r="J95" s="121">
        <v>0</v>
      </c>
      <c r="K95" s="16">
        <v>1</v>
      </c>
      <c r="L95" s="16">
        <v>0</v>
      </c>
      <c r="M95" s="61">
        <v>0</v>
      </c>
      <c r="N95" s="16">
        <v>1</v>
      </c>
      <c r="O95" s="162"/>
      <c r="P95" s="168">
        <f t="shared" si="28"/>
        <v>2</v>
      </c>
      <c r="Q95" s="171">
        <f t="shared" si="30"/>
        <v>2</v>
      </c>
      <c r="S95" s="110">
        <f t="shared" si="29"/>
        <v>2</v>
      </c>
    </row>
    <row r="96" spans="1:19" x14ac:dyDescent="0.25">
      <c r="A96" s="87">
        <v>5</v>
      </c>
      <c r="B96" s="19" t="s">
        <v>22</v>
      </c>
      <c r="C96" s="16">
        <v>0</v>
      </c>
      <c r="D96" s="16">
        <v>0</v>
      </c>
      <c r="E96" s="16">
        <v>0</v>
      </c>
      <c r="F96" s="61">
        <v>0</v>
      </c>
      <c r="G96" s="16">
        <v>0</v>
      </c>
      <c r="H96" s="16">
        <v>0</v>
      </c>
      <c r="I96" s="168">
        <f t="shared" si="27"/>
        <v>0</v>
      </c>
      <c r="J96" s="121">
        <v>0</v>
      </c>
      <c r="K96" s="16">
        <v>0</v>
      </c>
      <c r="L96" s="16">
        <v>0</v>
      </c>
      <c r="M96" s="16">
        <v>0</v>
      </c>
      <c r="N96" s="16">
        <v>2</v>
      </c>
      <c r="O96" s="162"/>
      <c r="P96" s="168">
        <f t="shared" si="28"/>
        <v>2</v>
      </c>
      <c r="Q96" s="171">
        <f t="shared" si="30"/>
        <v>2</v>
      </c>
      <c r="S96" s="110">
        <f t="shared" si="29"/>
        <v>2</v>
      </c>
    </row>
    <row r="97" spans="1:19" x14ac:dyDescent="0.25">
      <c r="A97" s="87">
        <v>6</v>
      </c>
      <c r="B97" s="19" t="s">
        <v>23</v>
      </c>
      <c r="C97" s="16">
        <v>0</v>
      </c>
      <c r="D97" s="16">
        <v>0</v>
      </c>
      <c r="E97" s="16">
        <v>0</v>
      </c>
      <c r="F97" s="61">
        <v>0</v>
      </c>
      <c r="G97" s="16">
        <v>0</v>
      </c>
      <c r="H97" s="16">
        <v>0</v>
      </c>
      <c r="I97" s="168">
        <f t="shared" si="27"/>
        <v>0</v>
      </c>
      <c r="J97" s="121">
        <v>0</v>
      </c>
      <c r="K97" s="16">
        <v>0</v>
      </c>
      <c r="L97" s="16">
        <v>0</v>
      </c>
      <c r="M97" s="16">
        <v>0</v>
      </c>
      <c r="N97" s="16">
        <v>0</v>
      </c>
      <c r="O97" s="162"/>
      <c r="P97" s="168">
        <f t="shared" si="28"/>
        <v>0</v>
      </c>
      <c r="Q97" s="171">
        <f t="shared" si="30"/>
        <v>0</v>
      </c>
      <c r="S97" s="110">
        <f t="shared" si="29"/>
        <v>0</v>
      </c>
    </row>
    <row r="98" spans="1:19" x14ac:dyDescent="0.25">
      <c r="A98" s="87">
        <v>7</v>
      </c>
      <c r="B98" s="19" t="s">
        <v>24</v>
      </c>
      <c r="C98" s="16">
        <v>0</v>
      </c>
      <c r="D98" s="16">
        <v>0</v>
      </c>
      <c r="E98" s="16">
        <v>0</v>
      </c>
      <c r="F98" s="61">
        <v>0</v>
      </c>
      <c r="G98" s="16">
        <v>0</v>
      </c>
      <c r="H98" s="16">
        <v>0</v>
      </c>
      <c r="I98" s="168">
        <f t="shared" si="27"/>
        <v>0</v>
      </c>
      <c r="J98" s="121">
        <v>0</v>
      </c>
      <c r="K98" s="16">
        <v>0</v>
      </c>
      <c r="L98" s="16">
        <v>0</v>
      </c>
      <c r="M98" s="16">
        <v>0</v>
      </c>
      <c r="N98" s="16">
        <v>0</v>
      </c>
      <c r="O98" s="162"/>
      <c r="P98" s="168">
        <f t="shared" si="28"/>
        <v>0</v>
      </c>
      <c r="Q98" s="171">
        <f t="shared" si="30"/>
        <v>0</v>
      </c>
      <c r="S98" s="110">
        <f t="shared" si="29"/>
        <v>0</v>
      </c>
    </row>
    <row r="99" spans="1:19" ht="15.75" thickBot="1" x14ac:dyDescent="0.3">
      <c r="A99" s="88">
        <v>8</v>
      </c>
      <c r="B99" s="15" t="s">
        <v>25</v>
      </c>
      <c r="C99" s="17">
        <v>0</v>
      </c>
      <c r="D99" s="17">
        <v>0</v>
      </c>
      <c r="E99" s="17">
        <v>1</v>
      </c>
      <c r="F99" s="112">
        <v>0</v>
      </c>
      <c r="G99" s="17">
        <v>0</v>
      </c>
      <c r="H99" s="17">
        <v>0</v>
      </c>
      <c r="I99" s="169">
        <f t="shared" si="27"/>
        <v>1</v>
      </c>
      <c r="J99" s="122">
        <v>1</v>
      </c>
      <c r="K99" s="17">
        <v>0</v>
      </c>
      <c r="L99" s="17">
        <v>0</v>
      </c>
      <c r="M99" s="17">
        <v>1</v>
      </c>
      <c r="N99" s="17">
        <v>0</v>
      </c>
      <c r="O99" s="163"/>
      <c r="P99" s="169">
        <f t="shared" si="28"/>
        <v>2</v>
      </c>
      <c r="Q99" s="172">
        <f t="shared" si="30"/>
        <v>3</v>
      </c>
      <c r="S99" s="110">
        <f t="shared" si="29"/>
        <v>2</v>
      </c>
    </row>
    <row r="100" spans="1:19" ht="16.5" thickTop="1" thickBot="1" x14ac:dyDescent="0.3">
      <c r="A100" s="443" t="s">
        <v>26</v>
      </c>
      <c r="B100" s="444"/>
      <c r="C100" s="133">
        <f>SUM(C92:C99)</f>
        <v>0</v>
      </c>
      <c r="D100" s="133">
        <f t="shared" ref="D100:H100" si="31">SUM(D92:D99)</f>
        <v>0</v>
      </c>
      <c r="E100" s="133">
        <f t="shared" si="31"/>
        <v>1</v>
      </c>
      <c r="F100" s="133">
        <f t="shared" si="31"/>
        <v>0</v>
      </c>
      <c r="G100" s="133">
        <f t="shared" si="31"/>
        <v>0</v>
      </c>
      <c r="H100" s="133">
        <f t="shared" si="31"/>
        <v>4</v>
      </c>
      <c r="I100" s="166">
        <f>SUM(I92:I99)</f>
        <v>5</v>
      </c>
      <c r="J100" s="135">
        <f>SUM(J92:J99)</f>
        <v>4</v>
      </c>
      <c r="K100" s="133">
        <f t="shared" ref="K100:O100" si="32">SUM(K92:K99)</f>
        <v>1</v>
      </c>
      <c r="L100" s="133">
        <f t="shared" si="32"/>
        <v>0</v>
      </c>
      <c r="M100" s="133">
        <f t="shared" si="32"/>
        <v>1</v>
      </c>
      <c r="N100" s="133">
        <f t="shared" si="32"/>
        <v>5</v>
      </c>
      <c r="O100" s="164">
        <f t="shared" si="32"/>
        <v>0</v>
      </c>
      <c r="P100" s="166">
        <f>SUM(P92:P99)</f>
        <v>11</v>
      </c>
      <c r="Q100" s="173">
        <f>SUM(Q92:Q99)</f>
        <v>16</v>
      </c>
      <c r="S100" s="110">
        <f>SUM(S92:S99)</f>
        <v>15</v>
      </c>
    </row>
    <row r="104" spans="1:19" ht="15.75" x14ac:dyDescent="0.25">
      <c r="A104" s="445" t="s">
        <v>106</v>
      </c>
      <c r="B104" s="445"/>
      <c r="C104" s="445"/>
      <c r="D104" s="445"/>
      <c r="E104" s="445"/>
      <c r="F104" s="445"/>
      <c r="G104" s="445"/>
      <c r="H104" s="445"/>
      <c r="I104" s="445"/>
      <c r="J104" s="445"/>
      <c r="K104" s="445"/>
      <c r="L104" s="445"/>
      <c r="M104" s="445"/>
      <c r="N104" s="445"/>
      <c r="O104" s="445"/>
      <c r="P104" s="445"/>
      <c r="Q104" s="445"/>
    </row>
    <row r="105" spans="1:19" ht="15.75" x14ac:dyDescent="0.25">
      <c r="A105" s="445" t="s">
        <v>83</v>
      </c>
      <c r="B105" s="445"/>
      <c r="C105" s="445"/>
      <c r="D105" s="445"/>
      <c r="E105" s="445"/>
      <c r="F105" s="445"/>
      <c r="G105" s="445"/>
      <c r="H105" s="445"/>
      <c r="I105" s="445"/>
      <c r="J105" s="445"/>
      <c r="K105" s="445"/>
      <c r="L105" s="445"/>
      <c r="M105" s="445"/>
      <c r="N105" s="445"/>
      <c r="O105" s="445"/>
      <c r="P105" s="445"/>
      <c r="Q105" s="445"/>
    </row>
    <row r="106" spans="1:19" ht="15.75" thickBot="1" x14ac:dyDescent="0.3">
      <c r="Q106" s="77" t="s">
        <v>1</v>
      </c>
    </row>
    <row r="107" spans="1:19" x14ac:dyDescent="0.25">
      <c r="A107" s="440" t="s">
        <v>2</v>
      </c>
      <c r="B107" s="442" t="s">
        <v>3</v>
      </c>
      <c r="C107" s="446" t="s">
        <v>84</v>
      </c>
      <c r="D107" s="447"/>
      <c r="E107" s="447"/>
      <c r="F107" s="447"/>
      <c r="G107" s="447"/>
      <c r="H107" s="447"/>
      <c r="I107" s="448" t="s">
        <v>91</v>
      </c>
      <c r="J107" s="447">
        <v>2015</v>
      </c>
      <c r="K107" s="447"/>
      <c r="L107" s="447"/>
      <c r="M107" s="447"/>
      <c r="N107" s="447"/>
      <c r="O107" s="447"/>
      <c r="P107" s="448" t="s">
        <v>92</v>
      </c>
      <c r="Q107" s="450" t="s">
        <v>5</v>
      </c>
    </row>
    <row r="108" spans="1:19" x14ac:dyDescent="0.25">
      <c r="A108" s="441"/>
      <c r="B108" s="426"/>
      <c r="C108" s="211" t="s">
        <v>15</v>
      </c>
      <c r="D108" s="211" t="s">
        <v>16</v>
      </c>
      <c r="E108" s="211" t="s">
        <v>17</v>
      </c>
      <c r="F108" s="211" t="s">
        <v>6</v>
      </c>
      <c r="G108" s="211" t="s">
        <v>78</v>
      </c>
      <c r="H108" s="158" t="s">
        <v>79</v>
      </c>
      <c r="I108" s="449"/>
      <c r="J108" s="117" t="s">
        <v>80</v>
      </c>
      <c r="K108" s="211" t="s">
        <v>10</v>
      </c>
      <c r="L108" s="211" t="s">
        <v>11</v>
      </c>
      <c r="M108" s="211" t="s">
        <v>12</v>
      </c>
      <c r="N108" s="211" t="s">
        <v>81</v>
      </c>
      <c r="O108" s="158" t="s">
        <v>82</v>
      </c>
      <c r="P108" s="449"/>
      <c r="Q108" s="451"/>
    </row>
    <row r="109" spans="1:19" ht="15.75" thickBot="1" x14ac:dyDescent="0.3">
      <c r="A109" s="128">
        <v>1</v>
      </c>
      <c r="B109" s="5">
        <v>2</v>
      </c>
      <c r="C109" s="5">
        <v>3</v>
      </c>
      <c r="D109" s="5">
        <v>4</v>
      </c>
      <c r="E109" s="5">
        <v>5</v>
      </c>
      <c r="F109" s="5">
        <v>6</v>
      </c>
      <c r="G109" s="5">
        <v>7</v>
      </c>
      <c r="H109" s="159">
        <v>8</v>
      </c>
      <c r="I109" s="165">
        <v>9</v>
      </c>
      <c r="J109" s="118">
        <v>10</v>
      </c>
      <c r="K109" s="5">
        <v>11</v>
      </c>
      <c r="L109" s="5">
        <v>12</v>
      </c>
      <c r="M109" s="5">
        <v>13</v>
      </c>
      <c r="N109" s="5">
        <v>14</v>
      </c>
      <c r="O109" s="159">
        <v>15</v>
      </c>
      <c r="P109" s="165">
        <v>16</v>
      </c>
      <c r="Q109" s="174">
        <v>17</v>
      </c>
    </row>
    <row r="110" spans="1:19" ht="15.75" thickTop="1" x14ac:dyDescent="0.25">
      <c r="A110" s="85">
        <v>1</v>
      </c>
      <c r="B110" s="7" t="s">
        <v>18</v>
      </c>
      <c r="C110" s="28">
        <v>0</v>
      </c>
      <c r="D110" s="28">
        <v>0</v>
      </c>
      <c r="E110" s="28">
        <v>0</v>
      </c>
      <c r="F110" s="63">
        <v>0</v>
      </c>
      <c r="G110" s="75">
        <v>5</v>
      </c>
      <c r="H110" s="75">
        <v>0</v>
      </c>
      <c r="I110" s="167">
        <f>SUM(C110:H110)</f>
        <v>5</v>
      </c>
      <c r="J110" s="119">
        <v>0</v>
      </c>
      <c r="K110" s="9"/>
      <c r="L110" s="9"/>
      <c r="M110" s="59"/>
      <c r="N110" s="9"/>
      <c r="O110" s="160"/>
      <c r="P110" s="167">
        <f>SUM(J110:O110)</f>
        <v>0</v>
      </c>
      <c r="Q110" s="170">
        <f>SUM(I110,P110)</f>
        <v>5</v>
      </c>
    </row>
    <row r="111" spans="1:19" x14ac:dyDescent="0.25">
      <c r="A111" s="86">
        <v>2</v>
      </c>
      <c r="B111" s="12" t="s">
        <v>19</v>
      </c>
      <c r="C111" s="16">
        <v>0</v>
      </c>
      <c r="D111" s="16">
        <v>0</v>
      </c>
      <c r="E111" s="16">
        <v>0</v>
      </c>
      <c r="F111" s="61">
        <v>0</v>
      </c>
      <c r="G111" s="16">
        <v>0</v>
      </c>
      <c r="H111" s="16">
        <v>0</v>
      </c>
      <c r="I111" s="168">
        <f t="shared" ref="I111:I117" si="33">SUM(C111:H111)</f>
        <v>0</v>
      </c>
      <c r="J111" s="120">
        <v>0</v>
      </c>
      <c r="K111" s="8"/>
      <c r="L111" s="8"/>
      <c r="M111" s="61"/>
      <c r="N111" s="47"/>
      <c r="O111" s="161"/>
      <c r="P111" s="168">
        <f t="shared" ref="P111:P117" si="34">SUM(J111:O111)</f>
        <v>0</v>
      </c>
      <c r="Q111" s="171">
        <f>SUM(I111,P111)</f>
        <v>0</v>
      </c>
    </row>
    <row r="112" spans="1:19" x14ac:dyDescent="0.25">
      <c r="A112" s="86">
        <v>3</v>
      </c>
      <c r="B112" s="7" t="s">
        <v>20</v>
      </c>
      <c r="C112" s="16">
        <v>0</v>
      </c>
      <c r="D112" s="16">
        <v>0</v>
      </c>
      <c r="E112" s="16">
        <v>0</v>
      </c>
      <c r="F112" s="61">
        <v>0</v>
      </c>
      <c r="G112" s="16">
        <v>0</v>
      </c>
      <c r="H112" s="16">
        <v>0</v>
      </c>
      <c r="I112" s="168">
        <f t="shared" si="33"/>
        <v>0</v>
      </c>
      <c r="J112" s="120">
        <v>0</v>
      </c>
      <c r="K112" s="8"/>
      <c r="L112" s="8"/>
      <c r="M112" s="61"/>
      <c r="N112" s="8"/>
      <c r="O112" s="161"/>
      <c r="P112" s="168">
        <f t="shared" si="34"/>
        <v>0</v>
      </c>
      <c r="Q112" s="171">
        <f t="shared" ref="Q112:Q117" si="35">SUM(I112,P112)</f>
        <v>0</v>
      </c>
    </row>
    <row r="113" spans="1:17" x14ac:dyDescent="0.25">
      <c r="A113" s="87">
        <v>4</v>
      </c>
      <c r="B113" s="15" t="s">
        <v>21</v>
      </c>
      <c r="C113" s="16">
        <v>0</v>
      </c>
      <c r="D113" s="16">
        <v>0</v>
      </c>
      <c r="E113" s="16">
        <v>0</v>
      </c>
      <c r="F113" s="61">
        <v>0</v>
      </c>
      <c r="G113" s="16">
        <v>0</v>
      </c>
      <c r="H113" s="16">
        <v>0</v>
      </c>
      <c r="I113" s="168">
        <f t="shared" si="33"/>
        <v>0</v>
      </c>
      <c r="J113" s="121">
        <v>0</v>
      </c>
      <c r="K113" s="16"/>
      <c r="L113" s="16"/>
      <c r="M113" s="61"/>
      <c r="N113" s="16"/>
      <c r="O113" s="162"/>
      <c r="P113" s="168">
        <f t="shared" si="34"/>
        <v>0</v>
      </c>
      <c r="Q113" s="171">
        <f t="shared" si="35"/>
        <v>0</v>
      </c>
    </row>
    <row r="114" spans="1:17" x14ac:dyDescent="0.25">
      <c r="A114" s="87">
        <v>5</v>
      </c>
      <c r="B114" s="19" t="s">
        <v>22</v>
      </c>
      <c r="C114" s="16">
        <v>0</v>
      </c>
      <c r="D114" s="16">
        <v>0</v>
      </c>
      <c r="E114" s="16">
        <v>0</v>
      </c>
      <c r="F114" s="61">
        <v>0</v>
      </c>
      <c r="G114" s="16">
        <v>0</v>
      </c>
      <c r="H114" s="16">
        <v>0</v>
      </c>
      <c r="I114" s="168">
        <f t="shared" si="33"/>
        <v>0</v>
      </c>
      <c r="J114" s="121">
        <v>0</v>
      </c>
      <c r="K114" s="16"/>
      <c r="L114" s="16"/>
      <c r="M114" s="16"/>
      <c r="N114" s="16"/>
      <c r="O114" s="162"/>
      <c r="P114" s="168">
        <f t="shared" si="34"/>
        <v>0</v>
      </c>
      <c r="Q114" s="171">
        <f t="shared" si="35"/>
        <v>0</v>
      </c>
    </row>
    <row r="115" spans="1:17" x14ac:dyDescent="0.25">
      <c r="A115" s="87">
        <v>6</v>
      </c>
      <c r="B115" s="19" t="s">
        <v>23</v>
      </c>
      <c r="C115" s="16">
        <v>0</v>
      </c>
      <c r="D115" s="16">
        <v>0</v>
      </c>
      <c r="E115" s="16">
        <v>0</v>
      </c>
      <c r="F115" s="61">
        <v>0</v>
      </c>
      <c r="G115" s="16">
        <v>0</v>
      </c>
      <c r="H115" s="16">
        <v>0</v>
      </c>
      <c r="I115" s="168">
        <f t="shared" si="33"/>
        <v>0</v>
      </c>
      <c r="J115" s="121">
        <v>0</v>
      </c>
      <c r="K115" s="16"/>
      <c r="L115" s="16"/>
      <c r="M115" s="16"/>
      <c r="N115" s="16"/>
      <c r="O115" s="162"/>
      <c r="P115" s="168">
        <f t="shared" si="34"/>
        <v>0</v>
      </c>
      <c r="Q115" s="171">
        <f t="shared" si="35"/>
        <v>0</v>
      </c>
    </row>
    <row r="116" spans="1:17" x14ac:dyDescent="0.25">
      <c r="A116" s="87">
        <v>7</v>
      </c>
      <c r="B116" s="19" t="s">
        <v>24</v>
      </c>
      <c r="C116" s="16">
        <v>0</v>
      </c>
      <c r="D116" s="16">
        <v>0</v>
      </c>
      <c r="E116" s="16">
        <v>0</v>
      </c>
      <c r="F116" s="61">
        <v>0</v>
      </c>
      <c r="G116" s="16">
        <v>0</v>
      </c>
      <c r="H116" s="16">
        <v>0</v>
      </c>
      <c r="I116" s="168">
        <f t="shared" si="33"/>
        <v>0</v>
      </c>
      <c r="J116" s="121">
        <v>0</v>
      </c>
      <c r="K116" s="16"/>
      <c r="L116" s="16"/>
      <c r="M116" s="16"/>
      <c r="N116" s="16"/>
      <c r="O116" s="162"/>
      <c r="P116" s="168">
        <f t="shared" si="34"/>
        <v>0</v>
      </c>
      <c r="Q116" s="171">
        <f t="shared" si="35"/>
        <v>0</v>
      </c>
    </row>
    <row r="117" spans="1:17" ht="15.75" thickBot="1" x14ac:dyDescent="0.3">
      <c r="A117" s="88">
        <v>8</v>
      </c>
      <c r="B117" s="15" t="s">
        <v>25</v>
      </c>
      <c r="C117" s="17">
        <v>0</v>
      </c>
      <c r="D117" s="17">
        <v>0</v>
      </c>
      <c r="E117" s="17">
        <v>0</v>
      </c>
      <c r="F117" s="112">
        <v>1</v>
      </c>
      <c r="G117" s="17">
        <v>0</v>
      </c>
      <c r="H117" s="17">
        <v>0</v>
      </c>
      <c r="I117" s="169">
        <f t="shared" si="33"/>
        <v>1</v>
      </c>
      <c r="J117" s="122">
        <v>0</v>
      </c>
      <c r="K117" s="17"/>
      <c r="L117" s="17"/>
      <c r="M117" s="17"/>
      <c r="N117" s="17"/>
      <c r="O117" s="163"/>
      <c r="P117" s="169">
        <f t="shared" si="34"/>
        <v>0</v>
      </c>
      <c r="Q117" s="172">
        <f t="shared" si="35"/>
        <v>1</v>
      </c>
    </row>
    <row r="118" spans="1:17" ht="16.5" thickTop="1" thickBot="1" x14ac:dyDescent="0.3">
      <c r="A118" s="443" t="s">
        <v>26</v>
      </c>
      <c r="B118" s="444"/>
      <c r="C118" s="133">
        <f>SUM(C110:C117)</f>
        <v>0</v>
      </c>
      <c r="D118" s="133">
        <f t="shared" ref="D118:H118" si="36">SUM(D110:D117)</f>
        <v>0</v>
      </c>
      <c r="E118" s="133">
        <f t="shared" si="36"/>
        <v>0</v>
      </c>
      <c r="F118" s="133">
        <f t="shared" si="36"/>
        <v>1</v>
      </c>
      <c r="G118" s="133">
        <f t="shared" si="36"/>
        <v>5</v>
      </c>
      <c r="H118" s="133">
        <f t="shared" si="36"/>
        <v>0</v>
      </c>
      <c r="I118" s="166">
        <f>SUM(I110:I117)</f>
        <v>6</v>
      </c>
      <c r="J118" s="135">
        <f>SUM(J110:J117)</f>
        <v>0</v>
      </c>
      <c r="K118" s="133">
        <f t="shared" ref="K118:O118" si="37">SUM(K110:K117)</f>
        <v>0</v>
      </c>
      <c r="L118" s="133">
        <f t="shared" si="37"/>
        <v>0</v>
      </c>
      <c r="M118" s="133">
        <f t="shared" si="37"/>
        <v>0</v>
      </c>
      <c r="N118" s="133">
        <f t="shared" si="37"/>
        <v>0</v>
      </c>
      <c r="O118" s="164">
        <f t="shared" si="37"/>
        <v>0</v>
      </c>
      <c r="P118" s="166">
        <f>SUM(P110:P117)</f>
        <v>0</v>
      </c>
      <c r="Q118" s="173">
        <f>SUM(Q110:Q117)</f>
        <v>6</v>
      </c>
    </row>
  </sheetData>
  <mergeCells count="70">
    <mergeCell ref="A118:B118"/>
    <mergeCell ref="A100:B100"/>
    <mergeCell ref="A104:Q104"/>
    <mergeCell ref="A105:Q105"/>
    <mergeCell ref="A107:A108"/>
    <mergeCell ref="B107:B108"/>
    <mergeCell ref="C107:H107"/>
    <mergeCell ref="I107:I108"/>
    <mergeCell ref="J107:O107"/>
    <mergeCell ref="P107:P108"/>
    <mergeCell ref="Q107:Q108"/>
    <mergeCell ref="A84:B84"/>
    <mergeCell ref="A86:Q86"/>
    <mergeCell ref="A87:Q87"/>
    <mergeCell ref="A89:A90"/>
    <mergeCell ref="B89:B90"/>
    <mergeCell ref="C89:H89"/>
    <mergeCell ref="I89:I90"/>
    <mergeCell ref="J89:O89"/>
    <mergeCell ref="P89:P90"/>
    <mergeCell ref="Q89:Q90"/>
    <mergeCell ref="A66:B66"/>
    <mergeCell ref="A70:Q70"/>
    <mergeCell ref="A71:Q71"/>
    <mergeCell ref="A73:A74"/>
    <mergeCell ref="B73:B74"/>
    <mergeCell ref="C73:H73"/>
    <mergeCell ref="I73:I74"/>
    <mergeCell ref="J73:O73"/>
    <mergeCell ref="P73:P74"/>
    <mergeCell ref="Q73:Q74"/>
    <mergeCell ref="A50:B50"/>
    <mergeCell ref="A52:Q52"/>
    <mergeCell ref="A53:Q53"/>
    <mergeCell ref="A55:A56"/>
    <mergeCell ref="B55:B56"/>
    <mergeCell ref="C55:H55"/>
    <mergeCell ref="I55:I56"/>
    <mergeCell ref="J55:O55"/>
    <mergeCell ref="P55:P56"/>
    <mergeCell ref="Q55:Q56"/>
    <mergeCell ref="A31:B31"/>
    <mergeCell ref="A36:Q36"/>
    <mergeCell ref="A37:Q37"/>
    <mergeCell ref="A39:A40"/>
    <mergeCell ref="B39:B40"/>
    <mergeCell ref="C39:H39"/>
    <mergeCell ref="I39:I40"/>
    <mergeCell ref="J39:O39"/>
    <mergeCell ref="P39:P40"/>
    <mergeCell ref="Q39:Q40"/>
    <mergeCell ref="A15:B15"/>
    <mergeCell ref="A17:Q17"/>
    <mergeCell ref="A18:Q18"/>
    <mergeCell ref="A20:A21"/>
    <mergeCell ref="B20:B21"/>
    <mergeCell ref="C20:H20"/>
    <mergeCell ref="I20:I21"/>
    <mergeCell ref="J20:O20"/>
    <mergeCell ref="P20:P21"/>
    <mergeCell ref="Q20:Q21"/>
    <mergeCell ref="A1:Q1"/>
    <mergeCell ref="A2:Q2"/>
    <mergeCell ref="A4:A5"/>
    <mergeCell ref="B4:B5"/>
    <mergeCell ref="C4:H4"/>
    <mergeCell ref="I4:I5"/>
    <mergeCell ref="J4:O4"/>
    <mergeCell ref="P4:P5"/>
    <mergeCell ref="Q4:Q5"/>
  </mergeCells>
  <pageMargins left="0.98425196850393704" right="0.51181102362204722" top="0.74803149606299213" bottom="0.74803149606299213" header="0.31496062992125984" footer="0.31496062992125984"/>
  <pageSetup paperSize="9" scale="90" orientation="landscape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0"/>
  <sheetViews>
    <sheetView workbookViewId="0">
      <selection sqref="A1:Q1"/>
    </sheetView>
  </sheetViews>
  <sheetFormatPr defaultRowHeight="15" x14ac:dyDescent="0.25"/>
  <cols>
    <col min="1" max="1" width="4.140625" customWidth="1"/>
    <col min="2" max="2" width="13.140625" customWidth="1"/>
    <col min="3" max="8" width="8.140625" customWidth="1"/>
    <col min="9" max="9" width="8.5703125" customWidth="1"/>
    <col min="10" max="15" width="8.140625" customWidth="1"/>
    <col min="16" max="17" width="8.5703125" customWidth="1"/>
  </cols>
  <sheetData>
    <row r="1" spans="1:17" ht="15.75" x14ac:dyDescent="0.3">
      <c r="A1" s="477" t="s">
        <v>107</v>
      </c>
      <c r="B1" s="477"/>
      <c r="C1" s="477"/>
      <c r="D1" s="477"/>
      <c r="E1" s="477"/>
      <c r="F1" s="477"/>
      <c r="G1" s="477"/>
      <c r="H1" s="477"/>
      <c r="I1" s="477"/>
      <c r="J1" s="477"/>
      <c r="K1" s="477"/>
      <c r="L1" s="477"/>
      <c r="M1" s="477"/>
      <c r="N1" s="477"/>
      <c r="O1" s="477"/>
      <c r="P1" s="477"/>
      <c r="Q1" s="477"/>
    </row>
    <row r="2" spans="1:17" ht="15.75" x14ac:dyDescent="0.3">
      <c r="A2" s="477" t="s">
        <v>83</v>
      </c>
      <c r="B2" s="477"/>
      <c r="C2" s="477"/>
      <c r="D2" s="477"/>
      <c r="E2" s="477"/>
      <c r="F2" s="477"/>
      <c r="G2" s="477"/>
      <c r="H2" s="477"/>
      <c r="I2" s="477"/>
      <c r="J2" s="477"/>
      <c r="K2" s="477"/>
      <c r="L2" s="477"/>
      <c r="M2" s="477"/>
      <c r="N2" s="477"/>
      <c r="O2" s="477"/>
      <c r="P2" s="477"/>
      <c r="Q2" s="477"/>
    </row>
    <row r="3" spans="1:17" ht="16.5" thickBot="1" x14ac:dyDescent="0.35">
      <c r="A3" s="223"/>
      <c r="B3" s="223"/>
      <c r="C3" s="223"/>
      <c r="D3" s="223"/>
      <c r="E3" s="223"/>
      <c r="F3" s="223"/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4" t="s">
        <v>1</v>
      </c>
    </row>
    <row r="4" spans="1:17" ht="16.5" thickTop="1" x14ac:dyDescent="0.3">
      <c r="A4" s="461" t="s">
        <v>108</v>
      </c>
      <c r="B4" s="464" t="s">
        <v>109</v>
      </c>
      <c r="C4" s="467" t="s">
        <v>110</v>
      </c>
      <c r="D4" s="468"/>
      <c r="E4" s="468"/>
      <c r="F4" s="468"/>
      <c r="G4" s="468"/>
      <c r="H4" s="469"/>
      <c r="I4" s="470" t="s">
        <v>111</v>
      </c>
      <c r="J4" s="473" t="s">
        <v>112</v>
      </c>
      <c r="K4" s="468"/>
      <c r="L4" s="468"/>
      <c r="M4" s="468"/>
      <c r="N4" s="468"/>
      <c r="O4" s="469"/>
      <c r="P4" s="456" t="s">
        <v>113</v>
      </c>
      <c r="Q4" s="474" t="s">
        <v>114</v>
      </c>
    </row>
    <row r="5" spans="1:17" ht="15.75" x14ac:dyDescent="0.3">
      <c r="A5" s="462"/>
      <c r="B5" s="465"/>
      <c r="C5" s="225" t="s">
        <v>15</v>
      </c>
      <c r="D5" s="226" t="s">
        <v>16</v>
      </c>
      <c r="E5" s="226" t="s">
        <v>17</v>
      </c>
      <c r="F5" s="226" t="s">
        <v>6</v>
      </c>
      <c r="G5" s="226" t="s">
        <v>7</v>
      </c>
      <c r="H5" s="227" t="s">
        <v>8</v>
      </c>
      <c r="I5" s="471"/>
      <c r="J5" s="228" t="s">
        <v>80</v>
      </c>
      <c r="K5" s="229" t="s">
        <v>10</v>
      </c>
      <c r="L5" s="229" t="s">
        <v>11</v>
      </c>
      <c r="M5" s="229" t="s">
        <v>12</v>
      </c>
      <c r="N5" s="229" t="s">
        <v>115</v>
      </c>
      <c r="O5" s="230" t="s">
        <v>14</v>
      </c>
      <c r="P5" s="457"/>
      <c r="Q5" s="475"/>
    </row>
    <row r="6" spans="1:17" ht="3.75" customHeight="1" thickBot="1" x14ac:dyDescent="0.35">
      <c r="A6" s="463"/>
      <c r="B6" s="466"/>
      <c r="C6" s="231"/>
      <c r="D6" s="232"/>
      <c r="E6" s="232"/>
      <c r="F6" s="232"/>
      <c r="G6" s="232"/>
      <c r="H6" s="233"/>
      <c r="I6" s="472"/>
      <c r="J6" s="234"/>
      <c r="K6" s="235"/>
      <c r="L6" s="235"/>
      <c r="M6" s="235"/>
      <c r="N6" s="235"/>
      <c r="O6" s="236"/>
      <c r="P6" s="458"/>
      <c r="Q6" s="476"/>
    </row>
    <row r="7" spans="1:17" ht="17.25" thickTop="1" thickBot="1" x14ac:dyDescent="0.35">
      <c r="A7" s="285" t="s">
        <v>116</v>
      </c>
      <c r="B7" s="286" t="s">
        <v>117</v>
      </c>
      <c r="C7" s="287" t="s">
        <v>118</v>
      </c>
      <c r="D7" s="287" t="s">
        <v>119</v>
      </c>
      <c r="E7" s="287" t="s">
        <v>120</v>
      </c>
      <c r="F7" s="287" t="s">
        <v>121</v>
      </c>
      <c r="G7" s="287" t="s">
        <v>122</v>
      </c>
      <c r="H7" s="288" t="s">
        <v>123</v>
      </c>
      <c r="I7" s="289" t="s">
        <v>124</v>
      </c>
      <c r="J7" s="290" t="s">
        <v>125</v>
      </c>
      <c r="K7" s="287" t="s">
        <v>126</v>
      </c>
      <c r="L7" s="287" t="s">
        <v>127</v>
      </c>
      <c r="M7" s="287" t="s">
        <v>128</v>
      </c>
      <c r="N7" s="287" t="s">
        <v>129</v>
      </c>
      <c r="O7" s="288" t="s">
        <v>130</v>
      </c>
      <c r="P7" s="289" t="s">
        <v>131</v>
      </c>
      <c r="Q7" s="239" t="s">
        <v>132</v>
      </c>
    </row>
    <row r="8" spans="1:17" ht="15.75" thickTop="1" x14ac:dyDescent="0.25">
      <c r="A8" s="240">
        <v>1</v>
      </c>
      <c r="B8" s="241" t="s">
        <v>18</v>
      </c>
      <c r="C8" s="242">
        <v>0</v>
      </c>
      <c r="D8" s="242">
        <v>31</v>
      </c>
      <c r="E8" s="243">
        <v>0</v>
      </c>
      <c r="F8" s="242">
        <v>247</v>
      </c>
      <c r="G8" s="242">
        <v>43</v>
      </c>
      <c r="H8" s="244">
        <v>0</v>
      </c>
      <c r="I8" s="325">
        <f t="shared" ref="I8:I15" si="0">SUM(C8:H8)</f>
        <v>321</v>
      </c>
      <c r="J8" s="245">
        <v>0</v>
      </c>
      <c r="K8" s="242">
        <v>0</v>
      </c>
      <c r="L8" s="242">
        <v>0</v>
      </c>
      <c r="M8" s="242">
        <v>0</v>
      </c>
      <c r="N8" s="242">
        <v>0</v>
      </c>
      <c r="O8" s="242">
        <v>0</v>
      </c>
      <c r="P8" s="246">
        <f>SUM(J8:O8)</f>
        <v>0</v>
      </c>
      <c r="Q8" s="247">
        <f>I8+P8</f>
        <v>321</v>
      </c>
    </row>
    <row r="9" spans="1:17" x14ac:dyDescent="0.25">
      <c r="A9" s="248">
        <v>2</v>
      </c>
      <c r="B9" s="249" t="s">
        <v>19</v>
      </c>
      <c r="C9" s="250">
        <v>29</v>
      </c>
      <c r="D9" s="251">
        <v>55</v>
      </c>
      <c r="E9" s="251">
        <v>55</v>
      </c>
      <c r="F9" s="251">
        <v>100</v>
      </c>
      <c r="G9" s="251">
        <v>55</v>
      </c>
      <c r="H9" s="252">
        <v>0</v>
      </c>
      <c r="I9" s="253">
        <f t="shared" si="0"/>
        <v>294</v>
      </c>
      <c r="J9" s="254">
        <v>0</v>
      </c>
      <c r="K9" s="251">
        <v>11</v>
      </c>
      <c r="L9" s="251">
        <v>0</v>
      </c>
      <c r="M9" s="251">
        <v>0</v>
      </c>
      <c r="N9" s="251">
        <v>0</v>
      </c>
      <c r="O9" s="252">
        <v>0</v>
      </c>
      <c r="P9" s="253">
        <f t="shared" ref="P9:P14" si="1">SUM(J9:O9)</f>
        <v>11</v>
      </c>
      <c r="Q9" s="255">
        <f t="shared" ref="Q9:Q15" si="2">SUM(I9,P9)</f>
        <v>305</v>
      </c>
    </row>
    <row r="10" spans="1:17" x14ac:dyDescent="0.25">
      <c r="A10" s="248">
        <v>3</v>
      </c>
      <c r="B10" s="249" t="s">
        <v>133</v>
      </c>
      <c r="C10" s="250">
        <v>0</v>
      </c>
      <c r="D10" s="251">
        <v>0</v>
      </c>
      <c r="E10" s="251">
        <v>10</v>
      </c>
      <c r="F10" s="251">
        <v>38</v>
      </c>
      <c r="G10" s="251">
        <v>0</v>
      </c>
      <c r="H10" s="252">
        <v>0</v>
      </c>
      <c r="I10" s="253">
        <f t="shared" si="0"/>
        <v>48</v>
      </c>
      <c r="J10" s="254">
        <v>0</v>
      </c>
      <c r="K10" s="251">
        <v>10</v>
      </c>
      <c r="L10" s="251">
        <v>0</v>
      </c>
      <c r="M10" s="251">
        <v>0</v>
      </c>
      <c r="N10" s="251">
        <v>0</v>
      </c>
      <c r="O10" s="252">
        <v>0</v>
      </c>
      <c r="P10" s="253">
        <f t="shared" si="1"/>
        <v>10</v>
      </c>
      <c r="Q10" s="255">
        <f t="shared" si="2"/>
        <v>58</v>
      </c>
    </row>
    <row r="11" spans="1:17" x14ac:dyDescent="0.25">
      <c r="A11" s="248">
        <v>4</v>
      </c>
      <c r="B11" s="249" t="s">
        <v>21</v>
      </c>
      <c r="C11" s="250">
        <v>0</v>
      </c>
      <c r="D11" s="251">
        <v>0</v>
      </c>
      <c r="E11" s="251">
        <v>60</v>
      </c>
      <c r="F11" s="251">
        <v>124</v>
      </c>
      <c r="G11" s="251">
        <v>0</v>
      </c>
      <c r="H11" s="252">
        <v>0</v>
      </c>
      <c r="I11" s="253">
        <f t="shared" si="0"/>
        <v>184</v>
      </c>
      <c r="J11" s="254">
        <v>5</v>
      </c>
      <c r="K11" s="251">
        <v>10</v>
      </c>
      <c r="L11" s="251">
        <v>0</v>
      </c>
      <c r="M11" s="251">
        <v>0</v>
      </c>
      <c r="N11" s="251">
        <v>0</v>
      </c>
      <c r="O11" s="252">
        <v>10</v>
      </c>
      <c r="P11" s="253">
        <f t="shared" si="1"/>
        <v>25</v>
      </c>
      <c r="Q11" s="255">
        <f t="shared" si="2"/>
        <v>209</v>
      </c>
    </row>
    <row r="12" spans="1:17" x14ac:dyDescent="0.25">
      <c r="A12" s="248">
        <v>5</v>
      </c>
      <c r="B12" s="249" t="s">
        <v>134</v>
      </c>
      <c r="C12" s="250">
        <v>0</v>
      </c>
      <c r="D12" s="251">
        <v>25</v>
      </c>
      <c r="E12" s="251">
        <v>50</v>
      </c>
      <c r="F12" s="251">
        <v>160</v>
      </c>
      <c r="G12" s="251">
        <v>25</v>
      </c>
      <c r="H12" s="252">
        <v>0</v>
      </c>
      <c r="I12" s="253">
        <f t="shared" si="0"/>
        <v>260</v>
      </c>
      <c r="J12" s="254">
        <v>0</v>
      </c>
      <c r="K12" s="251">
        <v>10</v>
      </c>
      <c r="L12" s="251">
        <v>0</v>
      </c>
      <c r="M12" s="251">
        <v>0</v>
      </c>
      <c r="N12" s="251">
        <v>0</v>
      </c>
      <c r="O12" s="252">
        <v>0</v>
      </c>
      <c r="P12" s="253">
        <f t="shared" si="1"/>
        <v>10</v>
      </c>
      <c r="Q12" s="255">
        <f t="shared" si="2"/>
        <v>270</v>
      </c>
    </row>
    <row r="13" spans="1:17" x14ac:dyDescent="0.25">
      <c r="A13" s="248">
        <v>6</v>
      </c>
      <c r="B13" s="249" t="s">
        <v>23</v>
      </c>
      <c r="C13" s="256">
        <v>0</v>
      </c>
      <c r="D13" s="257">
        <v>10</v>
      </c>
      <c r="E13" s="256">
        <v>25</v>
      </c>
      <c r="F13" s="257">
        <v>19</v>
      </c>
      <c r="G13" s="257">
        <v>1</v>
      </c>
      <c r="H13" s="258">
        <v>0</v>
      </c>
      <c r="I13" s="253">
        <f t="shared" si="0"/>
        <v>55</v>
      </c>
      <c r="J13" s="259">
        <v>0</v>
      </c>
      <c r="K13" s="257">
        <v>10</v>
      </c>
      <c r="L13" s="257">
        <v>0</v>
      </c>
      <c r="M13" s="257">
        <v>0</v>
      </c>
      <c r="N13" s="257">
        <v>0</v>
      </c>
      <c r="O13" s="258">
        <v>0</v>
      </c>
      <c r="P13" s="253">
        <f t="shared" si="1"/>
        <v>10</v>
      </c>
      <c r="Q13" s="255">
        <f t="shared" si="2"/>
        <v>65</v>
      </c>
    </row>
    <row r="14" spans="1:17" x14ac:dyDescent="0.25">
      <c r="A14" s="248">
        <v>7</v>
      </c>
      <c r="B14" s="249" t="s">
        <v>24</v>
      </c>
      <c r="C14" s="251">
        <v>0</v>
      </c>
      <c r="D14" s="251">
        <v>0</v>
      </c>
      <c r="E14" s="251">
        <v>122</v>
      </c>
      <c r="F14" s="251">
        <v>271</v>
      </c>
      <c r="G14" s="251">
        <v>0</v>
      </c>
      <c r="H14" s="252">
        <v>9</v>
      </c>
      <c r="I14" s="253">
        <f t="shared" si="0"/>
        <v>402</v>
      </c>
      <c r="J14" s="254">
        <v>69</v>
      </c>
      <c r="K14" s="251">
        <v>45</v>
      </c>
      <c r="L14" s="251">
        <v>76</v>
      </c>
      <c r="M14" s="251">
        <v>0</v>
      </c>
      <c r="N14" s="251">
        <v>0</v>
      </c>
      <c r="O14" s="252">
        <v>5</v>
      </c>
      <c r="P14" s="253">
        <f t="shared" si="1"/>
        <v>195</v>
      </c>
      <c r="Q14" s="255">
        <f t="shared" si="2"/>
        <v>597</v>
      </c>
    </row>
    <row r="15" spans="1:17" ht="15.75" thickBot="1" x14ac:dyDescent="0.3">
      <c r="A15" s="248">
        <v>8</v>
      </c>
      <c r="B15" s="249" t="s">
        <v>25</v>
      </c>
      <c r="C15" s="243">
        <v>0</v>
      </c>
      <c r="D15" s="260">
        <v>45</v>
      </c>
      <c r="E15" s="260">
        <v>120</v>
      </c>
      <c r="F15" s="260">
        <v>160</v>
      </c>
      <c r="G15" s="260">
        <v>25</v>
      </c>
      <c r="H15" s="261">
        <v>20</v>
      </c>
      <c r="I15" s="262">
        <f t="shared" si="0"/>
        <v>370</v>
      </c>
      <c r="J15" s="263">
        <v>20</v>
      </c>
      <c r="K15" s="260">
        <v>25</v>
      </c>
      <c r="L15" s="260">
        <v>0</v>
      </c>
      <c r="M15" s="260">
        <v>0</v>
      </c>
      <c r="N15" s="260">
        <v>0</v>
      </c>
      <c r="O15" s="261">
        <v>0</v>
      </c>
      <c r="P15" s="262">
        <f>SUM(J15:O15)</f>
        <v>45</v>
      </c>
      <c r="Q15" s="264">
        <f t="shared" si="2"/>
        <v>415</v>
      </c>
    </row>
    <row r="16" spans="1:17" ht="16.5" thickTop="1" thickBot="1" x14ac:dyDescent="0.3">
      <c r="A16" s="265"/>
      <c r="B16" s="266" t="s">
        <v>5</v>
      </c>
      <c r="C16" s="267">
        <f t="shared" ref="C16:P16" si="3">SUM(C8:C15)</f>
        <v>29</v>
      </c>
      <c r="D16" s="267">
        <f t="shared" si="3"/>
        <v>166</v>
      </c>
      <c r="E16" s="267">
        <f t="shared" si="3"/>
        <v>442</v>
      </c>
      <c r="F16" s="267">
        <f t="shared" si="3"/>
        <v>1119</v>
      </c>
      <c r="G16" s="267">
        <f t="shared" si="3"/>
        <v>149</v>
      </c>
      <c r="H16" s="268">
        <f t="shared" si="3"/>
        <v>29</v>
      </c>
      <c r="I16" s="269">
        <f t="shared" si="3"/>
        <v>1934</v>
      </c>
      <c r="J16" s="270">
        <f t="shared" si="3"/>
        <v>94</v>
      </c>
      <c r="K16" s="267">
        <f t="shared" si="3"/>
        <v>121</v>
      </c>
      <c r="L16" s="267">
        <f t="shared" si="3"/>
        <v>76</v>
      </c>
      <c r="M16" s="267">
        <f t="shared" si="3"/>
        <v>0</v>
      </c>
      <c r="N16" s="267">
        <f>SUM(N8:N15)</f>
        <v>0</v>
      </c>
      <c r="O16" s="268">
        <f t="shared" si="3"/>
        <v>15</v>
      </c>
      <c r="P16" s="269">
        <f t="shared" si="3"/>
        <v>306</v>
      </c>
      <c r="Q16" s="271">
        <f>SUM(Q8:Q15)</f>
        <v>2240</v>
      </c>
    </row>
    <row r="17" spans="1:17" ht="15.75" thickTop="1" x14ac:dyDescent="0.25"/>
    <row r="18" spans="1:17" ht="15.75" x14ac:dyDescent="0.25">
      <c r="A18" s="445" t="s">
        <v>85</v>
      </c>
      <c r="B18" s="445"/>
      <c r="C18" s="445"/>
      <c r="D18" s="445"/>
      <c r="E18" s="445"/>
      <c r="F18" s="445"/>
      <c r="G18" s="445"/>
      <c r="H18" s="445"/>
      <c r="I18" s="445"/>
      <c r="J18" s="445"/>
      <c r="K18" s="445"/>
      <c r="L18" s="445"/>
      <c r="M18" s="445"/>
      <c r="N18" s="445"/>
      <c r="O18" s="445"/>
      <c r="P18" s="445"/>
      <c r="Q18" s="445"/>
    </row>
    <row r="19" spans="1:17" ht="15.75" x14ac:dyDescent="0.25">
      <c r="A19" s="445" t="s">
        <v>83</v>
      </c>
      <c r="B19" s="445"/>
      <c r="C19" s="445"/>
      <c r="D19" s="445"/>
      <c r="E19" s="445"/>
      <c r="F19" s="445"/>
      <c r="G19" s="445"/>
      <c r="H19" s="445"/>
      <c r="I19" s="445"/>
      <c r="J19" s="445"/>
      <c r="K19" s="445"/>
      <c r="L19" s="445"/>
      <c r="M19" s="445"/>
      <c r="N19" s="445"/>
      <c r="O19" s="445"/>
      <c r="P19" s="445"/>
      <c r="Q19" s="445"/>
    </row>
    <row r="20" spans="1:17" ht="16.5" thickBot="1" x14ac:dyDescent="0.3">
      <c r="A20" s="222"/>
      <c r="B20" s="222"/>
      <c r="C20" s="222"/>
      <c r="D20" s="222"/>
      <c r="E20" s="222"/>
      <c r="F20" s="222"/>
      <c r="G20" s="222"/>
      <c r="H20" s="222"/>
      <c r="I20" s="222"/>
      <c r="J20" s="222"/>
      <c r="K20" s="222"/>
      <c r="L20" s="222"/>
      <c r="M20" s="222"/>
      <c r="N20" s="222"/>
      <c r="O20" s="222"/>
      <c r="P20" s="222"/>
      <c r="Q20" s="222"/>
    </row>
    <row r="21" spans="1:17" ht="16.5" thickTop="1" x14ac:dyDescent="0.3">
      <c r="A21" s="461" t="s">
        <v>108</v>
      </c>
      <c r="B21" s="464" t="s">
        <v>109</v>
      </c>
      <c r="C21" s="467" t="s">
        <v>110</v>
      </c>
      <c r="D21" s="468"/>
      <c r="E21" s="468"/>
      <c r="F21" s="468"/>
      <c r="G21" s="468"/>
      <c r="H21" s="469"/>
      <c r="I21" s="470" t="s">
        <v>111</v>
      </c>
      <c r="J21" s="473" t="s">
        <v>112</v>
      </c>
      <c r="K21" s="468"/>
      <c r="L21" s="468"/>
      <c r="M21" s="468"/>
      <c r="N21" s="468"/>
      <c r="O21" s="469"/>
      <c r="P21" s="456" t="s">
        <v>113</v>
      </c>
      <c r="Q21" s="456" t="s">
        <v>114</v>
      </c>
    </row>
    <row r="22" spans="1:17" ht="15.75" x14ac:dyDescent="0.3">
      <c r="A22" s="462"/>
      <c r="B22" s="465"/>
      <c r="C22" s="225" t="s">
        <v>15</v>
      </c>
      <c r="D22" s="226" t="s">
        <v>16</v>
      </c>
      <c r="E22" s="226" t="s">
        <v>17</v>
      </c>
      <c r="F22" s="226" t="s">
        <v>6</v>
      </c>
      <c r="G22" s="226" t="s">
        <v>7</v>
      </c>
      <c r="H22" s="227" t="s">
        <v>8</v>
      </c>
      <c r="I22" s="471"/>
      <c r="J22" s="228" t="s">
        <v>80</v>
      </c>
      <c r="K22" s="229" t="s">
        <v>10</v>
      </c>
      <c r="L22" s="229" t="s">
        <v>11</v>
      </c>
      <c r="M22" s="229" t="s">
        <v>12</v>
      </c>
      <c r="N22" s="229" t="s">
        <v>115</v>
      </c>
      <c r="O22" s="230" t="s">
        <v>14</v>
      </c>
      <c r="P22" s="457"/>
      <c r="Q22" s="457"/>
    </row>
    <row r="23" spans="1:17" ht="3.75" customHeight="1" thickBot="1" x14ac:dyDescent="0.35">
      <c r="A23" s="463"/>
      <c r="B23" s="466"/>
      <c r="C23" s="231"/>
      <c r="D23" s="232"/>
      <c r="E23" s="232"/>
      <c r="F23" s="232"/>
      <c r="G23" s="232"/>
      <c r="H23" s="233"/>
      <c r="I23" s="472"/>
      <c r="J23" s="234"/>
      <c r="K23" s="235"/>
      <c r="L23" s="235"/>
      <c r="M23" s="235"/>
      <c r="N23" s="235"/>
      <c r="O23" s="236"/>
      <c r="P23" s="458"/>
      <c r="Q23" s="458"/>
    </row>
    <row r="24" spans="1:17" ht="17.25" thickTop="1" thickBot="1" x14ac:dyDescent="0.35">
      <c r="A24" s="285" t="s">
        <v>116</v>
      </c>
      <c r="B24" s="292" t="s">
        <v>117</v>
      </c>
      <c r="C24" s="287" t="s">
        <v>118</v>
      </c>
      <c r="D24" s="287" t="s">
        <v>119</v>
      </c>
      <c r="E24" s="287" t="s">
        <v>120</v>
      </c>
      <c r="F24" s="287" t="s">
        <v>121</v>
      </c>
      <c r="G24" s="287" t="s">
        <v>122</v>
      </c>
      <c r="H24" s="288" t="s">
        <v>123</v>
      </c>
      <c r="I24" s="289" t="s">
        <v>124</v>
      </c>
      <c r="J24" s="290" t="s">
        <v>125</v>
      </c>
      <c r="K24" s="287" t="s">
        <v>126</v>
      </c>
      <c r="L24" s="287" t="s">
        <v>127</v>
      </c>
      <c r="M24" s="287" t="s">
        <v>128</v>
      </c>
      <c r="N24" s="287" t="s">
        <v>129</v>
      </c>
      <c r="O24" s="288" t="s">
        <v>130</v>
      </c>
      <c r="P24" s="289" t="s">
        <v>131</v>
      </c>
      <c r="Q24" s="284" t="s">
        <v>132</v>
      </c>
    </row>
    <row r="25" spans="1:17" ht="15.75" thickTop="1" x14ac:dyDescent="0.25">
      <c r="A25" s="272">
        <v>1</v>
      </c>
      <c r="B25" s="291" t="s">
        <v>18</v>
      </c>
      <c r="C25" s="59">
        <v>0</v>
      </c>
      <c r="D25" s="9">
        <v>0</v>
      </c>
      <c r="E25" s="9">
        <v>0</v>
      </c>
      <c r="F25" s="59">
        <v>204</v>
      </c>
      <c r="G25" s="8">
        <v>0</v>
      </c>
      <c r="H25" s="160">
        <v>0</v>
      </c>
      <c r="I25" s="167">
        <f>SUM(C25:H25)</f>
        <v>204</v>
      </c>
      <c r="J25" s="176">
        <v>2</v>
      </c>
      <c r="K25" s="59">
        <v>18</v>
      </c>
      <c r="L25" s="9"/>
      <c r="M25" s="59"/>
      <c r="N25" s="9"/>
      <c r="O25" s="160"/>
      <c r="P25" s="167">
        <f>SUM(J25:O25)</f>
        <v>20</v>
      </c>
      <c r="Q25" s="273">
        <f>SUM(I25,P25)</f>
        <v>224</v>
      </c>
    </row>
    <row r="26" spans="1:17" x14ac:dyDescent="0.25">
      <c r="A26" s="274">
        <v>2</v>
      </c>
      <c r="B26" s="12" t="s">
        <v>19</v>
      </c>
      <c r="C26" s="61">
        <v>0</v>
      </c>
      <c r="D26" s="47">
        <v>25</v>
      </c>
      <c r="E26" s="8">
        <v>125</v>
      </c>
      <c r="F26" s="60">
        <v>114</v>
      </c>
      <c r="G26" s="8">
        <v>0</v>
      </c>
      <c r="H26" s="161">
        <v>15</v>
      </c>
      <c r="I26" s="168">
        <f t="shared" ref="I26:I32" si="4">SUM(C26:H26)</f>
        <v>279</v>
      </c>
      <c r="J26" s="177">
        <v>29</v>
      </c>
      <c r="K26" s="60">
        <v>7</v>
      </c>
      <c r="L26" s="8"/>
      <c r="M26" s="61"/>
      <c r="N26" s="47"/>
      <c r="O26" s="161"/>
      <c r="P26" s="168">
        <f t="shared" ref="P26:P32" si="5">SUM(J26:O26)</f>
        <v>36</v>
      </c>
      <c r="Q26" s="275">
        <f t="shared" ref="Q26:Q32" si="6">SUM(I26,P26)</f>
        <v>315</v>
      </c>
    </row>
    <row r="27" spans="1:17" x14ac:dyDescent="0.25">
      <c r="A27" s="274">
        <v>3</v>
      </c>
      <c r="B27" s="7" t="s">
        <v>20</v>
      </c>
      <c r="C27" s="61">
        <v>0</v>
      </c>
      <c r="D27" s="8">
        <v>0</v>
      </c>
      <c r="E27" s="8">
        <v>10</v>
      </c>
      <c r="F27" s="60">
        <v>38</v>
      </c>
      <c r="G27" s="8">
        <v>0</v>
      </c>
      <c r="H27" s="161">
        <v>0</v>
      </c>
      <c r="I27" s="168">
        <f t="shared" si="4"/>
        <v>48</v>
      </c>
      <c r="J27" s="177">
        <v>5</v>
      </c>
      <c r="K27" s="60">
        <v>10</v>
      </c>
      <c r="L27" s="8"/>
      <c r="M27" s="61"/>
      <c r="N27" s="8"/>
      <c r="O27" s="161"/>
      <c r="P27" s="168">
        <f t="shared" si="5"/>
        <v>15</v>
      </c>
      <c r="Q27" s="275">
        <f t="shared" si="6"/>
        <v>63</v>
      </c>
    </row>
    <row r="28" spans="1:17" x14ac:dyDescent="0.25">
      <c r="A28" s="276">
        <v>4</v>
      </c>
      <c r="B28" s="15" t="s">
        <v>21</v>
      </c>
      <c r="C28" s="61">
        <v>0</v>
      </c>
      <c r="D28" s="16">
        <v>3</v>
      </c>
      <c r="E28" s="16">
        <v>165</v>
      </c>
      <c r="F28" s="61">
        <v>16</v>
      </c>
      <c r="G28" s="16">
        <v>0</v>
      </c>
      <c r="H28" s="162">
        <v>0</v>
      </c>
      <c r="I28" s="168">
        <f t="shared" si="4"/>
        <v>184</v>
      </c>
      <c r="J28" s="178">
        <v>0</v>
      </c>
      <c r="K28" s="139">
        <v>7</v>
      </c>
      <c r="L28" s="16"/>
      <c r="M28" s="61"/>
      <c r="N28" s="16"/>
      <c r="O28" s="162"/>
      <c r="P28" s="168">
        <f t="shared" si="5"/>
        <v>7</v>
      </c>
      <c r="Q28" s="275">
        <f t="shared" si="6"/>
        <v>191</v>
      </c>
    </row>
    <row r="29" spans="1:17" x14ac:dyDescent="0.25">
      <c r="A29" s="276">
        <v>5</v>
      </c>
      <c r="B29" s="19" t="s">
        <v>22</v>
      </c>
      <c r="C29" s="16">
        <v>0</v>
      </c>
      <c r="D29" s="16">
        <v>0</v>
      </c>
      <c r="E29" s="16">
        <v>25</v>
      </c>
      <c r="F29" s="61">
        <v>225</v>
      </c>
      <c r="G29" s="16">
        <v>0</v>
      </c>
      <c r="H29" s="162">
        <v>0</v>
      </c>
      <c r="I29" s="168">
        <f t="shared" si="4"/>
        <v>250</v>
      </c>
      <c r="J29" s="178">
        <v>0</v>
      </c>
      <c r="K29" s="61">
        <v>10</v>
      </c>
      <c r="L29" s="16"/>
      <c r="M29" s="16"/>
      <c r="N29" s="16"/>
      <c r="O29" s="162"/>
      <c r="P29" s="168">
        <f t="shared" si="5"/>
        <v>10</v>
      </c>
      <c r="Q29" s="275">
        <f t="shared" si="6"/>
        <v>260</v>
      </c>
    </row>
    <row r="30" spans="1:17" x14ac:dyDescent="0.25">
      <c r="A30" s="276">
        <v>6</v>
      </c>
      <c r="B30" s="19" t="s">
        <v>23</v>
      </c>
      <c r="C30" s="16">
        <v>0</v>
      </c>
      <c r="D30" s="16">
        <v>8</v>
      </c>
      <c r="E30" s="16">
        <v>36</v>
      </c>
      <c r="F30" s="61">
        <v>0</v>
      </c>
      <c r="G30" s="16">
        <v>0</v>
      </c>
      <c r="H30" s="162">
        <v>0</v>
      </c>
      <c r="I30" s="168">
        <f t="shared" si="4"/>
        <v>44</v>
      </c>
      <c r="J30" s="178">
        <v>6</v>
      </c>
      <c r="K30" s="61">
        <v>15</v>
      </c>
      <c r="L30" s="16"/>
      <c r="M30" s="16"/>
      <c r="N30" s="16"/>
      <c r="O30" s="162"/>
      <c r="P30" s="168">
        <f t="shared" si="5"/>
        <v>21</v>
      </c>
      <c r="Q30" s="275">
        <f t="shared" si="6"/>
        <v>65</v>
      </c>
    </row>
    <row r="31" spans="1:17" x14ac:dyDescent="0.25">
      <c r="A31" s="276">
        <v>7</v>
      </c>
      <c r="B31" s="19" t="s">
        <v>24</v>
      </c>
      <c r="C31" s="16">
        <v>1</v>
      </c>
      <c r="D31" s="16">
        <v>1</v>
      </c>
      <c r="E31" s="16">
        <v>144</v>
      </c>
      <c r="F31" s="61">
        <v>133</v>
      </c>
      <c r="G31" s="16">
        <v>0</v>
      </c>
      <c r="H31" s="162">
        <v>0</v>
      </c>
      <c r="I31" s="168">
        <f t="shared" si="4"/>
        <v>279</v>
      </c>
      <c r="J31" s="178">
        <v>0</v>
      </c>
      <c r="K31" s="61">
        <v>8</v>
      </c>
      <c r="L31" s="16"/>
      <c r="M31" s="16"/>
      <c r="N31" s="16"/>
      <c r="O31" s="162"/>
      <c r="P31" s="168">
        <f t="shared" si="5"/>
        <v>8</v>
      </c>
      <c r="Q31" s="275">
        <f t="shared" si="6"/>
        <v>287</v>
      </c>
    </row>
    <row r="32" spans="1:17" ht="15.75" thickBot="1" x14ac:dyDescent="0.3">
      <c r="A32" s="277">
        <v>8</v>
      </c>
      <c r="B32" s="15" t="s">
        <v>25</v>
      </c>
      <c r="C32" s="17">
        <v>0</v>
      </c>
      <c r="D32" s="17">
        <v>30</v>
      </c>
      <c r="E32" s="17">
        <v>73</v>
      </c>
      <c r="F32" s="62">
        <v>201</v>
      </c>
      <c r="G32" s="17">
        <v>0</v>
      </c>
      <c r="H32" s="163">
        <v>0</v>
      </c>
      <c r="I32" s="169">
        <f t="shared" si="4"/>
        <v>304</v>
      </c>
      <c r="J32" s="179">
        <v>36</v>
      </c>
      <c r="K32" s="139">
        <v>116</v>
      </c>
      <c r="L32" s="17"/>
      <c r="M32" s="17"/>
      <c r="N32" s="17"/>
      <c r="O32" s="163"/>
      <c r="P32" s="169">
        <f t="shared" si="5"/>
        <v>152</v>
      </c>
      <c r="Q32" s="278">
        <f t="shared" si="6"/>
        <v>456</v>
      </c>
    </row>
    <row r="33" spans="1:17" ht="16.5" thickTop="1" thickBot="1" x14ac:dyDescent="0.3">
      <c r="A33" s="459" t="s">
        <v>26</v>
      </c>
      <c r="B33" s="460"/>
      <c r="C33" s="279">
        <f t="shared" ref="C33:O33" si="7">SUM(C25:C32)</f>
        <v>1</v>
      </c>
      <c r="D33" s="279">
        <f t="shared" si="7"/>
        <v>67</v>
      </c>
      <c r="E33" s="279">
        <f t="shared" si="7"/>
        <v>578</v>
      </c>
      <c r="F33" s="279">
        <f t="shared" si="7"/>
        <v>931</v>
      </c>
      <c r="G33" s="279">
        <f t="shared" si="7"/>
        <v>0</v>
      </c>
      <c r="H33" s="280">
        <f t="shared" si="7"/>
        <v>15</v>
      </c>
      <c r="I33" s="281">
        <f>SUM(I25:I32)</f>
        <v>1592</v>
      </c>
      <c r="J33" s="282">
        <f t="shared" ref="J33" si="8">SUM(J25:J32)</f>
        <v>78</v>
      </c>
      <c r="K33" s="279">
        <f t="shared" si="7"/>
        <v>191</v>
      </c>
      <c r="L33" s="279">
        <f t="shared" si="7"/>
        <v>0</v>
      </c>
      <c r="M33" s="279">
        <f t="shared" si="7"/>
        <v>0</v>
      </c>
      <c r="N33" s="279">
        <f t="shared" si="7"/>
        <v>0</v>
      </c>
      <c r="O33" s="280">
        <f t="shared" si="7"/>
        <v>0</v>
      </c>
      <c r="P33" s="281">
        <f>SUM(P25:P32)</f>
        <v>269</v>
      </c>
      <c r="Q33" s="283">
        <f>SUM(Q25:Q32)</f>
        <v>1861</v>
      </c>
    </row>
    <row r="34" spans="1:17" ht="15.75" thickTop="1" x14ac:dyDescent="0.25"/>
    <row r="37" spans="1:17" ht="15.75" x14ac:dyDescent="0.3">
      <c r="A37" s="477" t="s">
        <v>135</v>
      </c>
      <c r="B37" s="477"/>
      <c r="C37" s="477"/>
      <c r="D37" s="477"/>
      <c r="E37" s="477"/>
      <c r="F37" s="477"/>
      <c r="G37" s="477"/>
      <c r="H37" s="477"/>
      <c r="I37" s="477"/>
      <c r="J37" s="477"/>
      <c r="K37" s="477"/>
      <c r="L37" s="477"/>
      <c r="M37" s="477"/>
      <c r="N37" s="477"/>
      <c r="O37" s="477"/>
      <c r="P37" s="477"/>
      <c r="Q37" s="477"/>
    </row>
    <row r="38" spans="1:17" ht="15.75" x14ac:dyDescent="0.3">
      <c r="A38" s="477" t="s">
        <v>83</v>
      </c>
      <c r="B38" s="477"/>
      <c r="C38" s="477"/>
      <c r="D38" s="477"/>
      <c r="E38" s="477"/>
      <c r="F38" s="477"/>
      <c r="G38" s="477"/>
      <c r="H38" s="477"/>
      <c r="I38" s="477"/>
      <c r="J38" s="477"/>
      <c r="K38" s="477"/>
      <c r="L38" s="477"/>
      <c r="M38" s="477"/>
      <c r="N38" s="477"/>
      <c r="O38" s="477"/>
      <c r="P38" s="477"/>
      <c r="Q38" s="477"/>
    </row>
    <row r="39" spans="1:17" ht="16.5" thickBot="1" x14ac:dyDescent="0.35">
      <c r="A39" s="223"/>
      <c r="B39" s="223"/>
      <c r="C39" s="223"/>
      <c r="D39" s="223"/>
      <c r="E39" s="223"/>
      <c r="F39" s="223"/>
      <c r="G39" s="223"/>
      <c r="H39" s="223"/>
      <c r="I39" s="223"/>
      <c r="J39" s="223"/>
      <c r="K39" s="223"/>
      <c r="L39" s="223"/>
      <c r="M39" s="223"/>
      <c r="N39" s="223"/>
      <c r="O39" s="223"/>
      <c r="P39" s="223"/>
      <c r="Q39" s="224" t="s">
        <v>1</v>
      </c>
    </row>
    <row r="40" spans="1:17" ht="16.5" thickTop="1" x14ac:dyDescent="0.3">
      <c r="A40" s="461" t="s">
        <v>108</v>
      </c>
      <c r="B40" s="464" t="s">
        <v>109</v>
      </c>
      <c r="C40" s="467" t="s">
        <v>110</v>
      </c>
      <c r="D40" s="468"/>
      <c r="E40" s="468"/>
      <c r="F40" s="468"/>
      <c r="G40" s="468"/>
      <c r="H40" s="469"/>
      <c r="I40" s="470" t="s">
        <v>111</v>
      </c>
      <c r="J40" s="473" t="s">
        <v>112</v>
      </c>
      <c r="K40" s="468"/>
      <c r="L40" s="468"/>
      <c r="M40" s="468"/>
      <c r="N40" s="468"/>
      <c r="O40" s="469"/>
      <c r="P40" s="456" t="s">
        <v>113</v>
      </c>
      <c r="Q40" s="474" t="s">
        <v>114</v>
      </c>
    </row>
    <row r="41" spans="1:17" ht="15.75" x14ac:dyDescent="0.3">
      <c r="A41" s="462"/>
      <c r="B41" s="465"/>
      <c r="C41" s="225" t="s">
        <v>15</v>
      </c>
      <c r="D41" s="226" t="s">
        <v>16</v>
      </c>
      <c r="E41" s="226" t="s">
        <v>17</v>
      </c>
      <c r="F41" s="226" t="s">
        <v>6</v>
      </c>
      <c r="G41" s="226" t="s">
        <v>7</v>
      </c>
      <c r="H41" s="227" t="s">
        <v>8</v>
      </c>
      <c r="I41" s="471"/>
      <c r="J41" s="228" t="s">
        <v>80</v>
      </c>
      <c r="K41" s="229" t="s">
        <v>10</v>
      </c>
      <c r="L41" s="229" t="s">
        <v>11</v>
      </c>
      <c r="M41" s="229" t="s">
        <v>12</v>
      </c>
      <c r="N41" s="229" t="s">
        <v>115</v>
      </c>
      <c r="O41" s="230" t="s">
        <v>14</v>
      </c>
      <c r="P41" s="457"/>
      <c r="Q41" s="475"/>
    </row>
    <row r="42" spans="1:17" ht="3.75" customHeight="1" thickBot="1" x14ac:dyDescent="0.35">
      <c r="A42" s="463"/>
      <c r="B42" s="466"/>
      <c r="C42" s="231"/>
      <c r="D42" s="232"/>
      <c r="E42" s="232"/>
      <c r="F42" s="232"/>
      <c r="G42" s="232"/>
      <c r="H42" s="233"/>
      <c r="I42" s="472"/>
      <c r="J42" s="234"/>
      <c r="K42" s="235"/>
      <c r="L42" s="235"/>
      <c r="M42" s="235"/>
      <c r="N42" s="235"/>
      <c r="O42" s="236"/>
      <c r="P42" s="458"/>
      <c r="Q42" s="476"/>
    </row>
    <row r="43" spans="1:17" ht="17.25" thickTop="1" thickBot="1" x14ac:dyDescent="0.35">
      <c r="A43" s="237" t="s">
        <v>116</v>
      </c>
      <c r="B43" s="238" t="s">
        <v>117</v>
      </c>
      <c r="C43" s="293" t="s">
        <v>118</v>
      </c>
      <c r="D43" s="294" t="s">
        <v>119</v>
      </c>
      <c r="E43" s="294" t="s">
        <v>120</v>
      </c>
      <c r="F43" s="294" t="s">
        <v>121</v>
      </c>
      <c r="G43" s="294" t="s">
        <v>122</v>
      </c>
      <c r="H43" s="295" t="s">
        <v>123</v>
      </c>
      <c r="I43" s="296" t="s">
        <v>124</v>
      </c>
      <c r="J43" s="293" t="s">
        <v>125</v>
      </c>
      <c r="K43" s="294" t="s">
        <v>126</v>
      </c>
      <c r="L43" s="294" t="s">
        <v>127</v>
      </c>
      <c r="M43" s="294" t="s">
        <v>128</v>
      </c>
      <c r="N43" s="294" t="s">
        <v>129</v>
      </c>
      <c r="O43" s="295" t="s">
        <v>130</v>
      </c>
      <c r="P43" s="296" t="s">
        <v>131</v>
      </c>
      <c r="Q43" s="239" t="s">
        <v>132</v>
      </c>
    </row>
    <row r="44" spans="1:17" ht="15.75" thickTop="1" x14ac:dyDescent="0.25">
      <c r="A44" s="240">
        <v>1</v>
      </c>
      <c r="B44" s="241" t="s">
        <v>18</v>
      </c>
      <c r="C44" s="297">
        <v>0</v>
      </c>
      <c r="D44" s="297">
        <v>0</v>
      </c>
      <c r="E44" s="297">
        <v>0</v>
      </c>
      <c r="F44" s="297">
        <v>0</v>
      </c>
      <c r="G44" s="297">
        <v>0</v>
      </c>
      <c r="H44" s="298">
        <v>0</v>
      </c>
      <c r="I44" s="299">
        <f t="shared" ref="I44:I51" si="9">SUM(C44:H44)</f>
        <v>0</v>
      </c>
      <c r="J44" s="300">
        <v>0</v>
      </c>
      <c r="K44" s="297">
        <v>0</v>
      </c>
      <c r="L44" s="297">
        <v>0</v>
      </c>
      <c r="M44" s="297">
        <v>0</v>
      </c>
      <c r="N44" s="297">
        <v>0</v>
      </c>
      <c r="O44" s="301">
        <v>0</v>
      </c>
      <c r="P44" s="302">
        <f t="shared" ref="P44:P51" si="10">SUM(J44:O44)</f>
        <v>0</v>
      </c>
      <c r="Q44" s="303">
        <f t="shared" ref="Q44:Q51" si="11">I44+P44</f>
        <v>0</v>
      </c>
    </row>
    <row r="45" spans="1:17" x14ac:dyDescent="0.25">
      <c r="A45" s="248">
        <v>2</v>
      </c>
      <c r="B45" s="249" t="s">
        <v>19</v>
      </c>
      <c r="C45" s="304">
        <v>0</v>
      </c>
      <c r="D45" s="304">
        <v>0</v>
      </c>
      <c r="E45" s="304">
        <v>0</v>
      </c>
      <c r="F45" s="304">
        <v>0</v>
      </c>
      <c r="G45" s="304">
        <v>0</v>
      </c>
      <c r="H45" s="305">
        <v>0</v>
      </c>
      <c r="I45" s="306">
        <f t="shared" si="9"/>
        <v>0</v>
      </c>
      <c r="J45" s="307">
        <v>0</v>
      </c>
      <c r="K45" s="304">
        <v>0</v>
      </c>
      <c r="L45" s="304">
        <v>0</v>
      </c>
      <c r="M45" s="304">
        <v>0</v>
      </c>
      <c r="N45" s="304">
        <v>0</v>
      </c>
      <c r="O45" s="305">
        <v>0</v>
      </c>
      <c r="P45" s="306">
        <f t="shared" si="10"/>
        <v>0</v>
      </c>
      <c r="Q45" s="308">
        <f t="shared" si="11"/>
        <v>0</v>
      </c>
    </row>
    <row r="46" spans="1:17" x14ac:dyDescent="0.25">
      <c r="A46" s="248">
        <v>3</v>
      </c>
      <c r="B46" s="249" t="s">
        <v>133</v>
      </c>
      <c r="C46" s="256">
        <v>0</v>
      </c>
      <c r="D46" s="256">
        <v>0</v>
      </c>
      <c r="E46" s="256">
        <v>10</v>
      </c>
      <c r="F46" s="256">
        <v>20</v>
      </c>
      <c r="G46" s="256">
        <v>0</v>
      </c>
      <c r="H46" s="309">
        <v>0</v>
      </c>
      <c r="I46" s="310">
        <f>SUM(C46:H46)</f>
        <v>30</v>
      </c>
      <c r="J46" s="311">
        <v>0</v>
      </c>
      <c r="K46" s="256">
        <v>0</v>
      </c>
      <c r="L46" s="256">
        <v>0</v>
      </c>
      <c r="M46" s="256">
        <v>0</v>
      </c>
      <c r="N46" s="256">
        <v>0</v>
      </c>
      <c r="O46" s="309">
        <v>0</v>
      </c>
      <c r="P46" s="310">
        <f>SUM(J46:O46)</f>
        <v>0</v>
      </c>
      <c r="Q46" s="312">
        <f>SUM(I46,P46)</f>
        <v>30</v>
      </c>
    </row>
    <row r="47" spans="1:17" x14ac:dyDescent="0.25">
      <c r="A47" s="248">
        <v>4</v>
      </c>
      <c r="B47" s="249" t="s">
        <v>21</v>
      </c>
      <c r="C47" s="313">
        <v>0</v>
      </c>
      <c r="D47" s="313">
        <v>0</v>
      </c>
      <c r="E47" s="313">
        <v>0</v>
      </c>
      <c r="F47" s="313">
        <v>0</v>
      </c>
      <c r="G47" s="313">
        <v>0</v>
      </c>
      <c r="H47" s="314">
        <v>0</v>
      </c>
      <c r="I47" s="315">
        <f t="shared" si="9"/>
        <v>0</v>
      </c>
      <c r="J47" s="316">
        <v>0</v>
      </c>
      <c r="K47" s="313">
        <v>0</v>
      </c>
      <c r="L47" s="313">
        <v>0</v>
      </c>
      <c r="M47" s="313">
        <v>0</v>
      </c>
      <c r="N47" s="313">
        <v>0</v>
      </c>
      <c r="O47" s="314">
        <v>0</v>
      </c>
      <c r="P47" s="315">
        <f t="shared" si="10"/>
        <v>0</v>
      </c>
      <c r="Q47" s="317">
        <f t="shared" si="11"/>
        <v>0</v>
      </c>
    </row>
    <row r="48" spans="1:17" x14ac:dyDescent="0.25">
      <c r="A48" s="248">
        <v>5</v>
      </c>
      <c r="B48" s="249" t="s">
        <v>134</v>
      </c>
      <c r="C48" s="256">
        <v>0</v>
      </c>
      <c r="D48" s="256">
        <v>0</v>
      </c>
      <c r="E48" s="256">
        <v>0</v>
      </c>
      <c r="F48" s="256">
        <v>1</v>
      </c>
      <c r="G48" s="256">
        <v>0</v>
      </c>
      <c r="H48" s="309">
        <v>0</v>
      </c>
      <c r="I48" s="310">
        <f>SUM(C48:H48)</f>
        <v>1</v>
      </c>
      <c r="J48" s="311">
        <v>0</v>
      </c>
      <c r="K48" s="256">
        <v>0</v>
      </c>
      <c r="L48" s="256">
        <v>0</v>
      </c>
      <c r="M48" s="256">
        <v>0</v>
      </c>
      <c r="N48" s="256">
        <v>0</v>
      </c>
      <c r="O48" s="309">
        <v>0</v>
      </c>
      <c r="P48" s="310">
        <v>0</v>
      </c>
      <c r="Q48" s="312">
        <f>SUM(I48,P48)</f>
        <v>1</v>
      </c>
    </row>
    <row r="49" spans="1:17" x14ac:dyDescent="0.25">
      <c r="A49" s="248">
        <v>6</v>
      </c>
      <c r="B49" s="249" t="s">
        <v>23</v>
      </c>
      <c r="C49" s="318">
        <v>0</v>
      </c>
      <c r="D49" s="318">
        <v>0</v>
      </c>
      <c r="E49" s="318">
        <v>0</v>
      </c>
      <c r="F49" s="318">
        <v>0</v>
      </c>
      <c r="G49" s="318">
        <v>0</v>
      </c>
      <c r="H49" s="319">
        <v>0</v>
      </c>
      <c r="I49" s="320">
        <f t="shared" si="9"/>
        <v>0</v>
      </c>
      <c r="J49" s="321">
        <v>0</v>
      </c>
      <c r="K49" s="318">
        <v>0</v>
      </c>
      <c r="L49" s="318">
        <v>0</v>
      </c>
      <c r="M49" s="318">
        <v>0</v>
      </c>
      <c r="N49" s="318">
        <v>0</v>
      </c>
      <c r="O49" s="319"/>
      <c r="P49" s="320">
        <f t="shared" si="10"/>
        <v>0</v>
      </c>
      <c r="Q49" s="322">
        <f t="shared" si="11"/>
        <v>0</v>
      </c>
    </row>
    <row r="50" spans="1:17" x14ac:dyDescent="0.25">
      <c r="A50" s="248">
        <v>7</v>
      </c>
      <c r="B50" s="249" t="s">
        <v>24</v>
      </c>
      <c r="C50" s="313">
        <v>0</v>
      </c>
      <c r="D50" s="313">
        <v>0</v>
      </c>
      <c r="E50" s="313">
        <v>0</v>
      </c>
      <c r="F50" s="313">
        <v>0</v>
      </c>
      <c r="G50" s="313">
        <v>0</v>
      </c>
      <c r="H50" s="314">
        <v>0</v>
      </c>
      <c r="I50" s="315">
        <f t="shared" si="9"/>
        <v>0</v>
      </c>
      <c r="J50" s="316">
        <v>0</v>
      </c>
      <c r="K50" s="313">
        <v>0</v>
      </c>
      <c r="L50" s="313">
        <v>0</v>
      </c>
      <c r="M50" s="313">
        <v>0</v>
      </c>
      <c r="N50" s="313">
        <v>0</v>
      </c>
      <c r="O50" s="314">
        <v>0</v>
      </c>
      <c r="P50" s="315">
        <f t="shared" si="10"/>
        <v>0</v>
      </c>
      <c r="Q50" s="317">
        <f t="shared" si="11"/>
        <v>0</v>
      </c>
    </row>
    <row r="51" spans="1:17" ht="15.75" thickBot="1" x14ac:dyDescent="0.3">
      <c r="A51" s="248">
        <v>8</v>
      </c>
      <c r="B51" s="249" t="s">
        <v>25</v>
      </c>
      <c r="C51" s="313">
        <v>0</v>
      </c>
      <c r="D51" s="313">
        <v>0</v>
      </c>
      <c r="E51" s="313">
        <v>0</v>
      </c>
      <c r="F51" s="313">
        <v>0</v>
      </c>
      <c r="G51" s="313">
        <v>0</v>
      </c>
      <c r="H51" s="314">
        <v>0</v>
      </c>
      <c r="I51" s="315">
        <f t="shared" si="9"/>
        <v>0</v>
      </c>
      <c r="J51" s="316">
        <v>0</v>
      </c>
      <c r="K51" s="313">
        <v>0</v>
      </c>
      <c r="L51" s="313">
        <v>0</v>
      </c>
      <c r="M51" s="313">
        <v>0</v>
      </c>
      <c r="N51" s="313">
        <v>0</v>
      </c>
      <c r="O51" s="314">
        <v>0</v>
      </c>
      <c r="P51" s="315">
        <f t="shared" si="10"/>
        <v>0</v>
      </c>
      <c r="Q51" s="317">
        <f t="shared" si="11"/>
        <v>0</v>
      </c>
    </row>
    <row r="52" spans="1:17" ht="16.5" thickTop="1" thickBot="1" x14ac:dyDescent="0.3">
      <c r="A52" s="265"/>
      <c r="B52" s="266" t="s">
        <v>5</v>
      </c>
      <c r="C52" s="323">
        <f t="shared" ref="C52:Q52" si="12">SUM(C44:C51)</f>
        <v>0</v>
      </c>
      <c r="D52" s="267">
        <f t="shared" si="12"/>
        <v>0</v>
      </c>
      <c r="E52" s="267">
        <f t="shared" si="12"/>
        <v>10</v>
      </c>
      <c r="F52" s="267">
        <f t="shared" si="12"/>
        <v>21</v>
      </c>
      <c r="G52" s="267">
        <f t="shared" si="12"/>
        <v>0</v>
      </c>
      <c r="H52" s="268">
        <f t="shared" si="12"/>
        <v>0</v>
      </c>
      <c r="I52" s="269">
        <f t="shared" si="12"/>
        <v>31</v>
      </c>
      <c r="J52" s="270">
        <f t="shared" si="12"/>
        <v>0</v>
      </c>
      <c r="K52" s="267">
        <f t="shared" si="12"/>
        <v>0</v>
      </c>
      <c r="L52" s="267">
        <f t="shared" si="12"/>
        <v>0</v>
      </c>
      <c r="M52" s="267">
        <f t="shared" si="12"/>
        <v>0</v>
      </c>
      <c r="N52" s="267">
        <f t="shared" si="12"/>
        <v>0</v>
      </c>
      <c r="O52" s="268">
        <f t="shared" si="12"/>
        <v>0</v>
      </c>
      <c r="P52" s="269">
        <f t="shared" si="12"/>
        <v>0</v>
      </c>
      <c r="Q52" s="271">
        <f t="shared" si="12"/>
        <v>31</v>
      </c>
    </row>
    <row r="53" spans="1:17" ht="15.75" thickTop="1" x14ac:dyDescent="0.25"/>
    <row r="54" spans="1:17" ht="15.75" x14ac:dyDescent="0.25">
      <c r="A54" s="445" t="s">
        <v>86</v>
      </c>
      <c r="B54" s="445"/>
      <c r="C54" s="445"/>
      <c r="D54" s="445"/>
      <c r="E54" s="445"/>
      <c r="F54" s="445"/>
      <c r="G54" s="445"/>
      <c r="H54" s="445"/>
      <c r="I54" s="445"/>
      <c r="J54" s="445"/>
      <c r="K54" s="445"/>
      <c r="L54" s="445"/>
      <c r="M54" s="445"/>
      <c r="N54" s="445"/>
      <c r="O54" s="445"/>
      <c r="P54" s="445"/>
      <c r="Q54" s="445"/>
    </row>
    <row r="55" spans="1:17" ht="15.75" x14ac:dyDescent="0.25">
      <c r="A55" s="445" t="s">
        <v>83</v>
      </c>
      <c r="B55" s="445"/>
      <c r="C55" s="445"/>
      <c r="D55" s="445"/>
      <c r="E55" s="445"/>
      <c r="F55" s="445"/>
      <c r="G55" s="445"/>
      <c r="H55" s="445"/>
      <c r="I55" s="445"/>
      <c r="J55" s="445"/>
      <c r="K55" s="445"/>
      <c r="L55" s="445"/>
      <c r="M55" s="445"/>
      <c r="N55" s="445"/>
      <c r="O55" s="445"/>
      <c r="P55" s="445"/>
      <c r="Q55" s="445"/>
    </row>
    <row r="56" spans="1:17" ht="16.5" thickBot="1" x14ac:dyDescent="0.3">
      <c r="A56" s="222"/>
      <c r="B56" s="222"/>
      <c r="C56" s="222"/>
      <c r="D56" s="222"/>
      <c r="E56" s="222"/>
      <c r="F56" s="222"/>
      <c r="G56" s="222"/>
      <c r="H56" s="222"/>
      <c r="I56" s="222"/>
      <c r="J56" s="222"/>
      <c r="K56" s="222"/>
      <c r="L56" s="222"/>
      <c r="M56" s="222"/>
      <c r="N56" s="222"/>
      <c r="O56" s="222"/>
      <c r="P56" s="222"/>
      <c r="Q56" s="222"/>
    </row>
    <row r="57" spans="1:17" ht="16.5" thickTop="1" x14ac:dyDescent="0.3">
      <c r="A57" s="461" t="s">
        <v>108</v>
      </c>
      <c r="B57" s="464" t="s">
        <v>109</v>
      </c>
      <c r="C57" s="467" t="s">
        <v>110</v>
      </c>
      <c r="D57" s="468"/>
      <c r="E57" s="468"/>
      <c r="F57" s="468"/>
      <c r="G57" s="468"/>
      <c r="H57" s="469"/>
      <c r="I57" s="470" t="s">
        <v>111</v>
      </c>
      <c r="J57" s="473" t="s">
        <v>112</v>
      </c>
      <c r="K57" s="468"/>
      <c r="L57" s="468"/>
      <c r="M57" s="468"/>
      <c r="N57" s="468"/>
      <c r="O57" s="469"/>
      <c r="P57" s="456" t="s">
        <v>113</v>
      </c>
      <c r="Q57" s="456" t="s">
        <v>114</v>
      </c>
    </row>
    <row r="58" spans="1:17" ht="15.75" x14ac:dyDescent="0.3">
      <c r="A58" s="462"/>
      <c r="B58" s="465"/>
      <c r="C58" s="225" t="s">
        <v>15</v>
      </c>
      <c r="D58" s="226" t="s">
        <v>16</v>
      </c>
      <c r="E58" s="226" t="s">
        <v>17</v>
      </c>
      <c r="F58" s="226" t="s">
        <v>6</v>
      </c>
      <c r="G58" s="226" t="s">
        <v>7</v>
      </c>
      <c r="H58" s="227" t="s">
        <v>8</v>
      </c>
      <c r="I58" s="471"/>
      <c r="J58" s="228" t="s">
        <v>80</v>
      </c>
      <c r="K58" s="229" t="s">
        <v>10</v>
      </c>
      <c r="L58" s="229" t="s">
        <v>11</v>
      </c>
      <c r="M58" s="229" t="s">
        <v>12</v>
      </c>
      <c r="N58" s="229" t="s">
        <v>115</v>
      </c>
      <c r="O58" s="230" t="s">
        <v>14</v>
      </c>
      <c r="P58" s="457"/>
      <c r="Q58" s="457"/>
    </row>
    <row r="59" spans="1:17" ht="3.75" customHeight="1" thickBot="1" x14ac:dyDescent="0.35">
      <c r="A59" s="463"/>
      <c r="B59" s="466"/>
      <c r="C59" s="231"/>
      <c r="D59" s="232"/>
      <c r="E59" s="232"/>
      <c r="F59" s="232"/>
      <c r="G59" s="232"/>
      <c r="H59" s="233"/>
      <c r="I59" s="472"/>
      <c r="J59" s="234"/>
      <c r="K59" s="235"/>
      <c r="L59" s="235"/>
      <c r="M59" s="235"/>
      <c r="N59" s="235"/>
      <c r="O59" s="236"/>
      <c r="P59" s="458"/>
      <c r="Q59" s="458"/>
    </row>
    <row r="60" spans="1:17" ht="17.25" thickTop="1" thickBot="1" x14ac:dyDescent="0.35">
      <c r="A60" s="285" t="s">
        <v>116</v>
      </c>
      <c r="B60" s="292" t="s">
        <v>117</v>
      </c>
      <c r="C60" s="287" t="s">
        <v>118</v>
      </c>
      <c r="D60" s="287" t="s">
        <v>119</v>
      </c>
      <c r="E60" s="287" t="s">
        <v>120</v>
      </c>
      <c r="F60" s="287" t="s">
        <v>121</v>
      </c>
      <c r="G60" s="287" t="s">
        <v>122</v>
      </c>
      <c r="H60" s="288" t="s">
        <v>123</v>
      </c>
      <c r="I60" s="289" t="s">
        <v>124</v>
      </c>
      <c r="J60" s="290" t="s">
        <v>125</v>
      </c>
      <c r="K60" s="287" t="s">
        <v>126</v>
      </c>
      <c r="L60" s="287" t="s">
        <v>127</v>
      </c>
      <c r="M60" s="287" t="s">
        <v>128</v>
      </c>
      <c r="N60" s="287" t="s">
        <v>129</v>
      </c>
      <c r="O60" s="288" t="s">
        <v>130</v>
      </c>
      <c r="P60" s="289" t="s">
        <v>131</v>
      </c>
      <c r="Q60" s="284" t="s">
        <v>132</v>
      </c>
    </row>
    <row r="61" spans="1:17" ht="15.75" thickTop="1" x14ac:dyDescent="0.25">
      <c r="A61" s="272">
        <v>1</v>
      </c>
      <c r="B61" s="291" t="s">
        <v>18</v>
      </c>
      <c r="C61" s="28">
        <v>0</v>
      </c>
      <c r="D61" s="28">
        <v>0</v>
      </c>
      <c r="E61" s="28">
        <v>0</v>
      </c>
      <c r="F61" s="28">
        <v>0</v>
      </c>
      <c r="G61" s="28">
        <v>0</v>
      </c>
      <c r="H61" s="198">
        <v>0</v>
      </c>
      <c r="I61" s="199">
        <f>SUM(C61:H61)</f>
        <v>0</v>
      </c>
      <c r="J61" s="119">
        <v>0</v>
      </c>
      <c r="K61" s="119">
        <v>0</v>
      </c>
      <c r="L61" s="9"/>
      <c r="M61" s="59"/>
      <c r="N61" s="9"/>
      <c r="O61" s="160"/>
      <c r="P61" s="167">
        <f>SUM(J61:O61)</f>
        <v>0</v>
      </c>
      <c r="Q61" s="273">
        <f>SUM(I61,P61)</f>
        <v>0</v>
      </c>
    </row>
    <row r="62" spans="1:17" x14ac:dyDescent="0.25">
      <c r="A62" s="274">
        <v>2</v>
      </c>
      <c r="B62" s="12" t="s">
        <v>19</v>
      </c>
      <c r="C62" s="16">
        <v>0</v>
      </c>
      <c r="D62" s="16">
        <v>0</v>
      </c>
      <c r="E62" s="16">
        <v>0</v>
      </c>
      <c r="F62" s="16">
        <v>0</v>
      </c>
      <c r="G62" s="16">
        <v>0</v>
      </c>
      <c r="H62" s="162">
        <v>0</v>
      </c>
      <c r="I62" s="175">
        <f t="shared" ref="I62:I68" si="13">SUM(C62:H62)</f>
        <v>0</v>
      </c>
      <c r="J62" s="120">
        <v>0</v>
      </c>
      <c r="K62" s="120">
        <v>0</v>
      </c>
      <c r="L62" s="8"/>
      <c r="M62" s="61"/>
      <c r="N62" s="47"/>
      <c r="O62" s="161"/>
      <c r="P62" s="168">
        <f t="shared" ref="P62:P68" si="14">SUM(J62:O62)</f>
        <v>0</v>
      </c>
      <c r="Q62" s="275">
        <f t="shared" ref="Q62:Q68" si="15">SUM(I62,P62)</f>
        <v>0</v>
      </c>
    </row>
    <row r="63" spans="1:17" x14ac:dyDescent="0.25">
      <c r="A63" s="274">
        <v>3</v>
      </c>
      <c r="B63" s="7" t="s">
        <v>20</v>
      </c>
      <c r="C63" s="16">
        <v>0</v>
      </c>
      <c r="D63" s="16">
        <v>0</v>
      </c>
      <c r="E63" s="16">
        <v>15</v>
      </c>
      <c r="F63" s="16">
        <v>10</v>
      </c>
      <c r="G63" s="16">
        <v>0</v>
      </c>
      <c r="H63" s="162">
        <v>0</v>
      </c>
      <c r="I63" s="175">
        <f t="shared" si="13"/>
        <v>25</v>
      </c>
      <c r="J63" s="120">
        <v>0</v>
      </c>
      <c r="K63" s="120">
        <v>0</v>
      </c>
      <c r="L63" s="8"/>
      <c r="M63" s="61"/>
      <c r="N63" s="8"/>
      <c r="O63" s="161"/>
      <c r="P63" s="168">
        <f t="shared" si="14"/>
        <v>0</v>
      </c>
      <c r="Q63" s="275">
        <f t="shared" si="15"/>
        <v>25</v>
      </c>
    </row>
    <row r="64" spans="1:17" x14ac:dyDescent="0.25">
      <c r="A64" s="276">
        <v>4</v>
      </c>
      <c r="B64" s="15" t="s">
        <v>21</v>
      </c>
      <c r="C64" s="16">
        <v>0</v>
      </c>
      <c r="D64" s="16">
        <v>0</v>
      </c>
      <c r="E64" s="16">
        <v>0</v>
      </c>
      <c r="F64" s="16">
        <v>0</v>
      </c>
      <c r="G64" s="16">
        <v>0</v>
      </c>
      <c r="H64" s="162">
        <v>0</v>
      </c>
      <c r="I64" s="175">
        <f t="shared" si="13"/>
        <v>0</v>
      </c>
      <c r="J64" s="121">
        <v>0</v>
      </c>
      <c r="K64" s="121">
        <v>0</v>
      </c>
      <c r="L64" s="16"/>
      <c r="M64" s="61"/>
      <c r="N64" s="16"/>
      <c r="O64" s="162"/>
      <c r="P64" s="168">
        <f t="shared" si="14"/>
        <v>0</v>
      </c>
      <c r="Q64" s="275">
        <f t="shared" si="15"/>
        <v>0</v>
      </c>
    </row>
    <row r="65" spans="1:17" x14ac:dyDescent="0.25">
      <c r="A65" s="276">
        <v>5</v>
      </c>
      <c r="B65" s="19" t="s">
        <v>22</v>
      </c>
      <c r="C65" s="16">
        <v>0</v>
      </c>
      <c r="D65" s="16">
        <v>0</v>
      </c>
      <c r="E65" s="16">
        <v>0</v>
      </c>
      <c r="F65" s="16">
        <v>0</v>
      </c>
      <c r="G65" s="16">
        <v>0</v>
      </c>
      <c r="H65" s="162">
        <v>0</v>
      </c>
      <c r="I65" s="175">
        <f t="shared" si="13"/>
        <v>0</v>
      </c>
      <c r="J65" s="121">
        <v>0</v>
      </c>
      <c r="K65" s="121">
        <v>0</v>
      </c>
      <c r="L65" s="16"/>
      <c r="M65" s="16"/>
      <c r="N65" s="16"/>
      <c r="O65" s="162"/>
      <c r="P65" s="168">
        <f t="shared" si="14"/>
        <v>0</v>
      </c>
      <c r="Q65" s="275">
        <f t="shared" si="15"/>
        <v>0</v>
      </c>
    </row>
    <row r="66" spans="1:17" x14ac:dyDescent="0.25">
      <c r="A66" s="276">
        <v>6</v>
      </c>
      <c r="B66" s="19" t="s">
        <v>23</v>
      </c>
      <c r="C66" s="16">
        <v>0</v>
      </c>
      <c r="D66" s="16">
        <v>0</v>
      </c>
      <c r="E66" s="16">
        <v>0</v>
      </c>
      <c r="F66" s="16">
        <v>0</v>
      </c>
      <c r="G66" s="16">
        <v>0</v>
      </c>
      <c r="H66" s="162">
        <v>0</v>
      </c>
      <c r="I66" s="175">
        <f t="shared" si="13"/>
        <v>0</v>
      </c>
      <c r="J66" s="121">
        <v>0</v>
      </c>
      <c r="K66" s="121">
        <v>0</v>
      </c>
      <c r="L66" s="16"/>
      <c r="M66" s="16"/>
      <c r="N66" s="16"/>
      <c r="O66" s="162"/>
      <c r="P66" s="168">
        <f t="shared" si="14"/>
        <v>0</v>
      </c>
      <c r="Q66" s="275">
        <f t="shared" si="15"/>
        <v>0</v>
      </c>
    </row>
    <row r="67" spans="1:17" x14ac:dyDescent="0.25">
      <c r="A67" s="276">
        <v>7</v>
      </c>
      <c r="B67" s="19" t="s">
        <v>24</v>
      </c>
      <c r="C67" s="16">
        <v>0</v>
      </c>
      <c r="D67" s="16">
        <v>0</v>
      </c>
      <c r="E67" s="16">
        <v>0</v>
      </c>
      <c r="F67" s="16">
        <v>0</v>
      </c>
      <c r="G67" s="16">
        <v>0</v>
      </c>
      <c r="H67" s="162">
        <v>0</v>
      </c>
      <c r="I67" s="175">
        <f t="shared" si="13"/>
        <v>0</v>
      </c>
      <c r="J67" s="121">
        <v>0</v>
      </c>
      <c r="K67" s="121">
        <v>0</v>
      </c>
      <c r="L67" s="16"/>
      <c r="M67" s="16"/>
      <c r="N67" s="16"/>
      <c r="O67" s="162"/>
      <c r="P67" s="168">
        <f t="shared" si="14"/>
        <v>0</v>
      </c>
      <c r="Q67" s="275">
        <f t="shared" si="15"/>
        <v>0</v>
      </c>
    </row>
    <row r="68" spans="1:17" ht="15.75" thickBot="1" x14ac:dyDescent="0.3">
      <c r="A68" s="277">
        <v>8</v>
      </c>
      <c r="B68" s="15" t="s">
        <v>25</v>
      </c>
      <c r="C68" s="17">
        <v>0</v>
      </c>
      <c r="D68" s="17">
        <v>0</v>
      </c>
      <c r="E68" s="17">
        <v>0</v>
      </c>
      <c r="F68" s="17">
        <v>0</v>
      </c>
      <c r="G68" s="17">
        <v>0</v>
      </c>
      <c r="H68" s="163">
        <v>0</v>
      </c>
      <c r="I68" s="200">
        <f t="shared" si="13"/>
        <v>0</v>
      </c>
      <c r="J68" s="122">
        <v>0</v>
      </c>
      <c r="K68" s="122">
        <v>0</v>
      </c>
      <c r="L68" s="17"/>
      <c r="M68" s="17"/>
      <c r="N68" s="17"/>
      <c r="O68" s="163"/>
      <c r="P68" s="169">
        <f t="shared" si="14"/>
        <v>0</v>
      </c>
      <c r="Q68" s="278">
        <f t="shared" si="15"/>
        <v>0</v>
      </c>
    </row>
    <row r="69" spans="1:17" ht="16.5" thickTop="1" thickBot="1" x14ac:dyDescent="0.3">
      <c r="A69" s="459" t="s">
        <v>26</v>
      </c>
      <c r="B69" s="460"/>
      <c r="C69" s="279">
        <f t="shared" ref="C69:O69" si="16">SUM(C61:C68)</f>
        <v>0</v>
      </c>
      <c r="D69" s="279">
        <f t="shared" si="16"/>
        <v>0</v>
      </c>
      <c r="E69" s="279">
        <f t="shared" si="16"/>
        <v>15</v>
      </c>
      <c r="F69" s="279">
        <f t="shared" si="16"/>
        <v>10</v>
      </c>
      <c r="G69" s="279">
        <f t="shared" si="16"/>
        <v>0</v>
      </c>
      <c r="H69" s="280">
        <f t="shared" si="16"/>
        <v>0</v>
      </c>
      <c r="I69" s="281">
        <f>SUM(I61:I68)</f>
        <v>25</v>
      </c>
      <c r="J69" s="324">
        <f t="shared" si="16"/>
        <v>0</v>
      </c>
      <c r="K69" s="279">
        <f t="shared" si="16"/>
        <v>0</v>
      </c>
      <c r="L69" s="279">
        <f t="shared" si="16"/>
        <v>0</v>
      </c>
      <c r="M69" s="279">
        <f t="shared" si="16"/>
        <v>0</v>
      </c>
      <c r="N69" s="279">
        <f t="shared" si="16"/>
        <v>0</v>
      </c>
      <c r="O69" s="280">
        <f t="shared" si="16"/>
        <v>0</v>
      </c>
      <c r="P69" s="281">
        <f>SUM(P61:P68)</f>
        <v>0</v>
      </c>
      <c r="Q69" s="283">
        <f>SUM(Q61:Q68)</f>
        <v>25</v>
      </c>
    </row>
    <row r="70" spans="1:17" ht="15.75" thickTop="1" x14ac:dyDescent="0.25"/>
  </sheetData>
  <mergeCells count="38">
    <mergeCell ref="A1:Q1"/>
    <mergeCell ref="A2:Q2"/>
    <mergeCell ref="A4:A6"/>
    <mergeCell ref="B4:B6"/>
    <mergeCell ref="C4:H4"/>
    <mergeCell ref="I4:I6"/>
    <mergeCell ref="J4:O4"/>
    <mergeCell ref="P4:P6"/>
    <mergeCell ref="Q4:Q6"/>
    <mergeCell ref="I21:I23"/>
    <mergeCell ref="J21:O21"/>
    <mergeCell ref="A18:Q18"/>
    <mergeCell ref="A19:Q19"/>
    <mergeCell ref="P21:P23"/>
    <mergeCell ref="Q40:Q42"/>
    <mergeCell ref="A54:Q54"/>
    <mergeCell ref="A55:Q55"/>
    <mergeCell ref="Q21:Q23"/>
    <mergeCell ref="A37:Q37"/>
    <mergeCell ref="A38:Q38"/>
    <mergeCell ref="A40:A42"/>
    <mergeCell ref="B40:B42"/>
    <mergeCell ref="C40:H40"/>
    <mergeCell ref="I40:I42"/>
    <mergeCell ref="J40:O40"/>
    <mergeCell ref="P40:P42"/>
    <mergeCell ref="A33:B33"/>
    <mergeCell ref="A21:A23"/>
    <mergeCell ref="B21:B23"/>
    <mergeCell ref="C21:H21"/>
    <mergeCell ref="P57:P59"/>
    <mergeCell ref="Q57:Q59"/>
    <mergeCell ref="A69:B69"/>
    <mergeCell ref="A57:A59"/>
    <mergeCell ref="B57:B59"/>
    <mergeCell ref="C57:H57"/>
    <mergeCell ref="I57:I59"/>
    <mergeCell ref="J57:O57"/>
  </mergeCells>
  <pageMargins left="0.92" right="0.31496062992125984" top="0.88" bottom="0.74803149606299213" header="0.31496062992125984" footer="0.31496062992125984"/>
  <pageSetup paperSize="9" scale="90" orientation="landscape" horizontalDpi="4294967293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73"/>
  <sheetViews>
    <sheetView zoomScale="90" zoomScaleNormal="90" workbookViewId="0">
      <selection sqref="A1:U33"/>
    </sheetView>
  </sheetViews>
  <sheetFormatPr defaultRowHeight="15" x14ac:dyDescent="0.25"/>
  <cols>
    <col min="1" max="1" width="4" customWidth="1"/>
    <col min="2" max="2" width="13.140625" customWidth="1"/>
    <col min="3" max="4" width="10.7109375" customWidth="1"/>
    <col min="5" max="5" width="8.140625" customWidth="1"/>
    <col min="6" max="6" width="9.42578125" customWidth="1"/>
    <col min="7" max="7" width="8.140625" customWidth="1"/>
    <col min="8" max="8" width="9.42578125" customWidth="1"/>
    <col min="9" max="9" width="8.140625" customWidth="1"/>
    <col min="10" max="10" width="9.42578125" customWidth="1"/>
    <col min="11" max="11" width="8.140625" customWidth="1"/>
    <col min="12" max="12" width="9.42578125" customWidth="1"/>
    <col min="13" max="13" width="8.140625" customWidth="1"/>
    <col min="14" max="14" width="9.42578125" customWidth="1"/>
    <col min="15" max="15" width="8.140625" customWidth="1"/>
    <col min="16" max="16" width="9.42578125" customWidth="1"/>
    <col min="17" max="17" width="8.140625" customWidth="1"/>
    <col min="18" max="18" width="9.42578125" customWidth="1"/>
    <col min="19" max="19" width="8.140625" customWidth="1"/>
    <col min="20" max="20" width="9.42578125" customWidth="1"/>
    <col min="21" max="21" width="8.140625" customWidth="1"/>
  </cols>
  <sheetData>
    <row r="2" spans="1:21" x14ac:dyDescent="0.25">
      <c r="A2" t="s">
        <v>151</v>
      </c>
    </row>
    <row r="3" spans="1:21" ht="15.75" thickBot="1" x14ac:dyDescent="0.3">
      <c r="U3" s="397" t="s">
        <v>1</v>
      </c>
    </row>
    <row r="4" spans="1:21" ht="30" customHeight="1" x14ac:dyDescent="0.25">
      <c r="A4" s="494" t="s">
        <v>108</v>
      </c>
      <c r="B4" s="497" t="s">
        <v>109</v>
      </c>
      <c r="C4" s="500" t="s">
        <v>136</v>
      </c>
      <c r="D4" s="500" t="s">
        <v>137</v>
      </c>
      <c r="E4" s="485" t="s">
        <v>112</v>
      </c>
      <c r="F4" s="486"/>
      <c r="G4" s="486"/>
      <c r="H4" s="486"/>
      <c r="I4" s="486"/>
      <c r="J4" s="486"/>
      <c r="K4" s="486"/>
      <c r="L4" s="486"/>
      <c r="M4" s="486"/>
      <c r="N4" s="486"/>
      <c r="O4" s="486"/>
      <c r="P4" s="486"/>
      <c r="Q4" s="486"/>
      <c r="R4" s="486"/>
      <c r="S4" s="488" t="s">
        <v>150</v>
      </c>
      <c r="T4" s="489"/>
      <c r="U4" s="478" t="s">
        <v>173</v>
      </c>
    </row>
    <row r="5" spans="1:21" x14ac:dyDescent="0.25">
      <c r="A5" s="495"/>
      <c r="B5" s="498"/>
      <c r="C5" s="501"/>
      <c r="D5" s="501"/>
      <c r="E5" s="484" t="s">
        <v>140</v>
      </c>
      <c r="F5" s="484"/>
      <c r="G5" s="484" t="s">
        <v>141</v>
      </c>
      <c r="H5" s="484"/>
      <c r="I5" s="484" t="s">
        <v>142</v>
      </c>
      <c r="J5" s="484"/>
      <c r="K5" s="484" t="s">
        <v>170</v>
      </c>
      <c r="L5" s="484"/>
      <c r="M5" s="484" t="s">
        <v>144</v>
      </c>
      <c r="N5" s="484"/>
      <c r="O5" s="484" t="s">
        <v>145</v>
      </c>
      <c r="P5" s="484"/>
      <c r="Q5" s="487" t="s">
        <v>147</v>
      </c>
      <c r="R5" s="487"/>
      <c r="S5" s="490"/>
      <c r="T5" s="491"/>
      <c r="U5" s="479"/>
    </row>
    <row r="6" spans="1:21" ht="29.25" customHeight="1" thickBot="1" x14ac:dyDescent="0.3">
      <c r="A6" s="496"/>
      <c r="B6" s="499"/>
      <c r="C6" s="326" t="s">
        <v>110</v>
      </c>
      <c r="D6" s="326" t="s">
        <v>110</v>
      </c>
      <c r="E6" s="327" t="s">
        <v>138</v>
      </c>
      <c r="F6" s="327" t="s">
        <v>139</v>
      </c>
      <c r="G6" s="327" t="s">
        <v>138</v>
      </c>
      <c r="H6" s="327" t="s">
        <v>139</v>
      </c>
      <c r="I6" s="327" t="s">
        <v>138</v>
      </c>
      <c r="J6" s="327" t="s">
        <v>139</v>
      </c>
      <c r="K6" s="327" t="s">
        <v>138</v>
      </c>
      <c r="L6" s="327" t="s">
        <v>139</v>
      </c>
      <c r="M6" s="327" t="s">
        <v>138</v>
      </c>
      <c r="N6" s="327" t="s">
        <v>139</v>
      </c>
      <c r="O6" s="327" t="s">
        <v>138</v>
      </c>
      <c r="P6" s="327" t="s">
        <v>139</v>
      </c>
      <c r="Q6" s="337" t="s">
        <v>138</v>
      </c>
      <c r="R6" s="338" t="s">
        <v>139</v>
      </c>
      <c r="S6" s="345" t="s">
        <v>138</v>
      </c>
      <c r="T6" s="380" t="s">
        <v>139</v>
      </c>
      <c r="U6" s="480"/>
    </row>
    <row r="7" spans="1:21" ht="17.25" thickTop="1" thickBot="1" x14ac:dyDescent="0.35">
      <c r="A7" s="328" t="s">
        <v>116</v>
      </c>
      <c r="B7" s="286" t="s">
        <v>117</v>
      </c>
      <c r="C7" s="287" t="s">
        <v>118</v>
      </c>
      <c r="D7" s="287" t="s">
        <v>119</v>
      </c>
      <c r="E7" s="287" t="s">
        <v>120</v>
      </c>
      <c r="F7" s="287" t="s">
        <v>121</v>
      </c>
      <c r="G7" s="287" t="s">
        <v>122</v>
      </c>
      <c r="H7" s="287" t="s">
        <v>123</v>
      </c>
      <c r="I7" s="287" t="s">
        <v>124</v>
      </c>
      <c r="J7" s="287" t="s">
        <v>125</v>
      </c>
      <c r="K7" s="287" t="s">
        <v>126</v>
      </c>
      <c r="L7" s="287" t="s">
        <v>127</v>
      </c>
      <c r="M7" s="287" t="s">
        <v>128</v>
      </c>
      <c r="N7" s="287" t="s">
        <v>129</v>
      </c>
      <c r="O7" s="287" t="s">
        <v>130</v>
      </c>
      <c r="P7" s="287" t="s">
        <v>131</v>
      </c>
      <c r="Q7" s="287" t="s">
        <v>132</v>
      </c>
      <c r="R7" s="339" t="s">
        <v>146</v>
      </c>
      <c r="S7" s="346" t="s">
        <v>148</v>
      </c>
      <c r="T7" s="384" t="s">
        <v>149</v>
      </c>
      <c r="U7" s="383" t="s">
        <v>174</v>
      </c>
    </row>
    <row r="8" spans="1:21" ht="15.75" thickTop="1" x14ac:dyDescent="0.25">
      <c r="A8" s="329">
        <v>1</v>
      </c>
      <c r="B8" s="241" t="s">
        <v>18</v>
      </c>
      <c r="C8" s="330">
        <f>'lap bulanan'!I8</f>
        <v>321</v>
      </c>
      <c r="D8" s="330">
        <v>196</v>
      </c>
      <c r="E8" s="330">
        <f>'lap bulanan'!J8</f>
        <v>0</v>
      </c>
      <c r="F8" s="330">
        <f>'okt-marbps'!J7</f>
        <v>2</v>
      </c>
      <c r="G8" s="330">
        <f>'lap bulanan'!K8</f>
        <v>0</v>
      </c>
      <c r="H8" s="330">
        <f>'okt-marbps'!K7</f>
        <v>17.46</v>
      </c>
      <c r="I8" s="330">
        <f>'lap bulanan'!L8</f>
        <v>0</v>
      </c>
      <c r="J8" s="330">
        <f>'okt-marbps'!L7</f>
        <v>7.76</v>
      </c>
      <c r="K8" s="330">
        <f>'lap bulanan'!M8</f>
        <v>0</v>
      </c>
      <c r="L8" s="330">
        <f>'okt-marbps'!M7</f>
        <v>0</v>
      </c>
      <c r="M8" s="330">
        <f>'lap bulanan'!N8</f>
        <v>0</v>
      </c>
      <c r="N8" s="330">
        <f>'lap bulanan'!N25</f>
        <v>0</v>
      </c>
      <c r="O8" s="330">
        <f>'lap bulanan'!O8</f>
        <v>0</v>
      </c>
      <c r="P8" s="330">
        <f>'lap bulanan'!O25</f>
        <v>0</v>
      </c>
      <c r="Q8" s="330">
        <f>SUM(E8,G8,I8,K8,M8,O8)</f>
        <v>0</v>
      </c>
      <c r="R8" s="340">
        <f>SUM(F8,H8,J8,L8,N8,P8)</f>
        <v>27.22</v>
      </c>
      <c r="S8" s="347">
        <f>SUM(C8,Q8)</f>
        <v>321</v>
      </c>
      <c r="T8" s="381">
        <f>SUM(D8,R8)</f>
        <v>223.22</v>
      </c>
      <c r="U8" s="385">
        <f>S8-T8</f>
        <v>97.78</v>
      </c>
    </row>
    <row r="9" spans="1:21" x14ac:dyDescent="0.25">
      <c r="A9" s="331">
        <v>2</v>
      </c>
      <c r="B9" s="249" t="s">
        <v>19</v>
      </c>
      <c r="C9" s="336">
        <f>'lap bulanan'!I9</f>
        <v>294</v>
      </c>
      <c r="D9" s="336">
        <v>268</v>
      </c>
      <c r="E9" s="336">
        <f>'lap bulanan'!J9</f>
        <v>0</v>
      </c>
      <c r="F9" s="336">
        <f>'okt-marbps'!J8</f>
        <v>28</v>
      </c>
      <c r="G9" s="336">
        <f>'lap bulanan'!K9</f>
        <v>11</v>
      </c>
      <c r="H9" s="336">
        <f>'okt-marbps'!K8</f>
        <v>6.79</v>
      </c>
      <c r="I9" s="336">
        <f>'lap bulanan'!L9</f>
        <v>0</v>
      </c>
      <c r="J9" s="336">
        <f>'okt-marbps'!L8</f>
        <v>63.05</v>
      </c>
      <c r="K9" s="336">
        <f>'lap bulanan'!M9</f>
        <v>0</v>
      </c>
      <c r="L9" s="336">
        <f>'okt-marbps'!M8</f>
        <v>0.96</v>
      </c>
      <c r="M9" s="336">
        <f>'lap bulanan'!N9</f>
        <v>0</v>
      </c>
      <c r="N9" s="336">
        <f>'lap bulanan'!N26</f>
        <v>0</v>
      </c>
      <c r="O9" s="336">
        <f>'lap bulanan'!O9</f>
        <v>0</v>
      </c>
      <c r="P9" s="336">
        <f>'lap bulanan'!O26</f>
        <v>0</v>
      </c>
      <c r="Q9" s="336">
        <f t="shared" ref="Q9:Q15" si="0">SUM(E9,G9,I9,K9,M9,O9)</f>
        <v>11</v>
      </c>
      <c r="R9" s="342">
        <f t="shared" ref="R9:R15" si="1">SUM(F9,H9,J9,L9,N9,P9)</f>
        <v>98.8</v>
      </c>
      <c r="S9" s="348">
        <f t="shared" ref="S9:S15" si="2">SUM(C9,Q9)</f>
        <v>305</v>
      </c>
      <c r="T9" s="382">
        <f t="shared" ref="T9:T15" si="3">SUM(D9,R9)</f>
        <v>366.8</v>
      </c>
      <c r="U9" s="386">
        <f t="shared" ref="U9:U15" si="4">S9-T9</f>
        <v>-61.800000000000011</v>
      </c>
    </row>
    <row r="10" spans="1:21" x14ac:dyDescent="0.25">
      <c r="A10" s="331">
        <v>3</v>
      </c>
      <c r="B10" s="249" t="s">
        <v>133</v>
      </c>
      <c r="C10" s="336">
        <f>'lap bulanan'!I10</f>
        <v>48</v>
      </c>
      <c r="D10" s="336">
        <v>47</v>
      </c>
      <c r="E10" s="336">
        <f>'lap bulanan'!J10</f>
        <v>0</v>
      </c>
      <c r="F10" s="336">
        <f>'okt-marbps'!J9</f>
        <v>5</v>
      </c>
      <c r="G10" s="336">
        <f>'lap bulanan'!K10</f>
        <v>10</v>
      </c>
      <c r="H10" s="336">
        <f>'okt-marbps'!K9</f>
        <v>9.6999999999999993</v>
      </c>
      <c r="I10" s="336">
        <f>'lap bulanan'!L10</f>
        <v>0</v>
      </c>
      <c r="J10" s="336">
        <f>'okt-marbps'!L9</f>
        <v>0</v>
      </c>
      <c r="K10" s="336">
        <f>'lap bulanan'!M10</f>
        <v>0</v>
      </c>
      <c r="L10" s="336">
        <f>'okt-marbps'!M9</f>
        <v>0</v>
      </c>
      <c r="M10" s="336">
        <f>'lap bulanan'!N10</f>
        <v>0</v>
      </c>
      <c r="N10" s="336">
        <f>'lap bulanan'!N27</f>
        <v>0</v>
      </c>
      <c r="O10" s="336">
        <f>'lap bulanan'!O10</f>
        <v>0</v>
      </c>
      <c r="P10" s="336">
        <f>'lap bulanan'!O27</f>
        <v>0</v>
      </c>
      <c r="Q10" s="336">
        <f t="shared" si="0"/>
        <v>10</v>
      </c>
      <c r="R10" s="342">
        <f t="shared" si="1"/>
        <v>14.7</v>
      </c>
      <c r="S10" s="348">
        <f t="shared" si="2"/>
        <v>58</v>
      </c>
      <c r="T10" s="382">
        <f t="shared" si="3"/>
        <v>61.7</v>
      </c>
      <c r="U10" s="386">
        <f t="shared" si="4"/>
        <v>-3.7000000000000028</v>
      </c>
    </row>
    <row r="11" spans="1:21" x14ac:dyDescent="0.25">
      <c r="A11" s="331">
        <v>4</v>
      </c>
      <c r="B11" s="249" t="s">
        <v>21</v>
      </c>
      <c r="C11" s="336">
        <f>'lap bulanan'!I11</f>
        <v>184</v>
      </c>
      <c r="D11" s="336">
        <v>177</v>
      </c>
      <c r="E11" s="336">
        <f>'lap bulanan'!J11</f>
        <v>5</v>
      </c>
      <c r="F11" s="336">
        <f>'okt-marbps'!J10</f>
        <v>0</v>
      </c>
      <c r="G11" s="336">
        <f>'lap bulanan'!K11</f>
        <v>10</v>
      </c>
      <c r="H11" s="336">
        <f>'okt-marbps'!K10</f>
        <v>6.79</v>
      </c>
      <c r="I11" s="336">
        <f>'lap bulanan'!L11</f>
        <v>0</v>
      </c>
      <c r="J11" s="336">
        <f>'okt-marbps'!L10</f>
        <v>6.79</v>
      </c>
      <c r="K11" s="336">
        <f>'lap bulanan'!M11</f>
        <v>0</v>
      </c>
      <c r="L11" s="336">
        <f>'okt-marbps'!M10</f>
        <v>0</v>
      </c>
      <c r="M11" s="336">
        <f>'lap bulanan'!N11</f>
        <v>0</v>
      </c>
      <c r="N11" s="336">
        <f>'lap bulanan'!N28</f>
        <v>0</v>
      </c>
      <c r="O11" s="336">
        <f>'lap bulanan'!O11</f>
        <v>10</v>
      </c>
      <c r="P11" s="336">
        <f>'lap bulanan'!O28</f>
        <v>0</v>
      </c>
      <c r="Q11" s="336">
        <f t="shared" si="0"/>
        <v>25</v>
      </c>
      <c r="R11" s="342">
        <f t="shared" si="1"/>
        <v>13.58</v>
      </c>
      <c r="S11" s="348">
        <f t="shared" si="2"/>
        <v>209</v>
      </c>
      <c r="T11" s="382">
        <f t="shared" si="3"/>
        <v>190.58</v>
      </c>
      <c r="U11" s="386">
        <f t="shared" si="4"/>
        <v>18.419999999999987</v>
      </c>
    </row>
    <row r="12" spans="1:21" x14ac:dyDescent="0.25">
      <c r="A12" s="331">
        <v>5</v>
      </c>
      <c r="B12" s="249" t="s">
        <v>134</v>
      </c>
      <c r="C12" s="336">
        <f>'lap bulanan'!I12</f>
        <v>260</v>
      </c>
      <c r="D12" s="336">
        <v>240</v>
      </c>
      <c r="E12" s="336">
        <f>'lap bulanan'!J12</f>
        <v>0</v>
      </c>
      <c r="F12" s="336">
        <f>'okt-marbps'!J11</f>
        <v>0</v>
      </c>
      <c r="G12" s="336">
        <f>'lap bulanan'!K12</f>
        <v>10</v>
      </c>
      <c r="H12" s="336">
        <f>'okt-marbps'!K11</f>
        <v>9.6999999999999993</v>
      </c>
      <c r="I12" s="336">
        <f>'lap bulanan'!L12</f>
        <v>0</v>
      </c>
      <c r="J12" s="336">
        <f>'okt-marbps'!L11</f>
        <v>9.6999999999999993</v>
      </c>
      <c r="K12" s="336">
        <f>'lap bulanan'!M12</f>
        <v>0</v>
      </c>
      <c r="L12" s="336">
        <f>'okt-marbps'!M11</f>
        <v>0</v>
      </c>
      <c r="M12" s="336">
        <f>'lap bulanan'!N12</f>
        <v>0</v>
      </c>
      <c r="N12" s="336">
        <f>'lap bulanan'!N29</f>
        <v>0</v>
      </c>
      <c r="O12" s="336">
        <f>'lap bulanan'!O12</f>
        <v>0</v>
      </c>
      <c r="P12" s="336">
        <f>'lap bulanan'!O29</f>
        <v>0</v>
      </c>
      <c r="Q12" s="336">
        <f t="shared" si="0"/>
        <v>10</v>
      </c>
      <c r="R12" s="342">
        <f t="shared" si="1"/>
        <v>19.399999999999999</v>
      </c>
      <c r="S12" s="348">
        <f t="shared" si="2"/>
        <v>270</v>
      </c>
      <c r="T12" s="382">
        <f t="shared" si="3"/>
        <v>259.39999999999998</v>
      </c>
      <c r="U12" s="386">
        <f t="shared" si="4"/>
        <v>10.600000000000023</v>
      </c>
    </row>
    <row r="13" spans="1:21" x14ac:dyDescent="0.25">
      <c r="A13" s="331">
        <v>6</v>
      </c>
      <c r="B13" s="249" t="s">
        <v>23</v>
      </c>
      <c r="C13" s="336">
        <f>'lap bulanan'!I13</f>
        <v>55</v>
      </c>
      <c r="D13" s="336">
        <v>43</v>
      </c>
      <c r="E13" s="336">
        <f>'lap bulanan'!J13</f>
        <v>0</v>
      </c>
      <c r="F13" s="336">
        <f>'okt-marbps'!J12</f>
        <v>6</v>
      </c>
      <c r="G13" s="336">
        <f>'lap bulanan'!K13</f>
        <v>10</v>
      </c>
      <c r="H13" s="336">
        <f>'okt-marbps'!K12</f>
        <v>14.549999999999999</v>
      </c>
      <c r="I13" s="336">
        <f>'lap bulanan'!L13</f>
        <v>0</v>
      </c>
      <c r="J13" s="336">
        <f>'okt-marbps'!L12</f>
        <v>9.6999999999999993</v>
      </c>
      <c r="K13" s="336">
        <f>'lap bulanan'!M13</f>
        <v>0</v>
      </c>
      <c r="L13" s="336">
        <f>'okt-marbps'!M12</f>
        <v>0</v>
      </c>
      <c r="M13" s="336">
        <f>'lap bulanan'!N13</f>
        <v>0</v>
      </c>
      <c r="N13" s="336">
        <f>'lap bulanan'!N30</f>
        <v>0</v>
      </c>
      <c r="O13" s="336">
        <f>'lap bulanan'!O13</f>
        <v>0</v>
      </c>
      <c r="P13" s="336">
        <f>'lap bulanan'!O30</f>
        <v>0</v>
      </c>
      <c r="Q13" s="336">
        <f t="shared" si="0"/>
        <v>10</v>
      </c>
      <c r="R13" s="342">
        <f t="shared" si="1"/>
        <v>30.249999999999996</v>
      </c>
      <c r="S13" s="348">
        <f t="shared" si="2"/>
        <v>65</v>
      </c>
      <c r="T13" s="382">
        <f t="shared" si="3"/>
        <v>73.25</v>
      </c>
      <c r="U13" s="386">
        <f t="shared" si="4"/>
        <v>-8.25</v>
      </c>
    </row>
    <row r="14" spans="1:21" x14ac:dyDescent="0.25">
      <c r="A14" s="331">
        <v>7</v>
      </c>
      <c r="B14" s="249" t="s">
        <v>24</v>
      </c>
      <c r="C14" s="336">
        <f>'lap bulanan'!I14</f>
        <v>402</v>
      </c>
      <c r="D14" s="336">
        <v>269</v>
      </c>
      <c r="E14" s="336">
        <f>'lap bulanan'!J14</f>
        <v>69</v>
      </c>
      <c r="F14" s="336">
        <f>'okt-marbps'!J13</f>
        <v>0</v>
      </c>
      <c r="G14" s="336">
        <f>'lap bulanan'!K14</f>
        <v>45</v>
      </c>
      <c r="H14" s="336">
        <f>'okt-marbps'!K13</f>
        <v>7.76</v>
      </c>
      <c r="I14" s="336">
        <f>'lap bulanan'!L14</f>
        <v>76</v>
      </c>
      <c r="J14" s="336">
        <f>'okt-marbps'!L13</f>
        <v>177.51</v>
      </c>
      <c r="K14" s="336">
        <f>'lap bulanan'!M14</f>
        <v>0</v>
      </c>
      <c r="L14" s="336">
        <v>104</v>
      </c>
      <c r="M14" s="336">
        <f>'lap bulanan'!N14</f>
        <v>0</v>
      </c>
      <c r="N14" s="336">
        <f>'lap bulanan'!N31</f>
        <v>0</v>
      </c>
      <c r="O14" s="336">
        <f>'lap bulanan'!O14</f>
        <v>5</v>
      </c>
      <c r="P14" s="336">
        <f>'lap bulanan'!O31</f>
        <v>0</v>
      </c>
      <c r="Q14" s="336">
        <f t="shared" si="0"/>
        <v>195</v>
      </c>
      <c r="R14" s="342">
        <f t="shared" si="1"/>
        <v>289.27</v>
      </c>
      <c r="S14" s="348">
        <f t="shared" si="2"/>
        <v>597</v>
      </c>
      <c r="T14" s="382">
        <f t="shared" si="3"/>
        <v>558.27</v>
      </c>
      <c r="U14" s="386">
        <f t="shared" si="4"/>
        <v>38.730000000000018</v>
      </c>
    </row>
    <row r="15" spans="1:21" ht="15.75" thickBot="1" x14ac:dyDescent="0.3">
      <c r="A15" s="333">
        <v>8</v>
      </c>
      <c r="B15" s="334" t="s">
        <v>25</v>
      </c>
      <c r="C15" s="335">
        <f>'lap bulanan'!I15</f>
        <v>370</v>
      </c>
      <c r="D15" s="335">
        <v>297</v>
      </c>
      <c r="E15" s="335">
        <f>'lap bulanan'!J15</f>
        <v>20</v>
      </c>
      <c r="F15" s="372">
        <f>'okt-marbps'!J14</f>
        <v>35</v>
      </c>
      <c r="G15" s="372">
        <f>'lap bulanan'!K15</f>
        <v>25</v>
      </c>
      <c r="H15" s="372">
        <f>'okt-marbps'!K14</f>
        <v>112.52</v>
      </c>
      <c r="I15" s="372">
        <f>'lap bulanan'!L15</f>
        <v>0</v>
      </c>
      <c r="J15" s="372">
        <f>'okt-marbps'!L14</f>
        <v>10.67</v>
      </c>
      <c r="K15" s="372">
        <f>'lap bulanan'!M15</f>
        <v>0</v>
      </c>
      <c r="L15" s="372">
        <f>'okt-marbps'!M14</f>
        <v>0.96</v>
      </c>
      <c r="M15" s="372">
        <f>'lap bulanan'!N15</f>
        <v>0</v>
      </c>
      <c r="N15" s="372">
        <f>'lap bulanan'!N32</f>
        <v>0</v>
      </c>
      <c r="O15" s="372">
        <f>'lap bulanan'!O15</f>
        <v>0</v>
      </c>
      <c r="P15" s="372">
        <f>'lap bulanan'!O32</f>
        <v>0</v>
      </c>
      <c r="Q15" s="330">
        <f t="shared" si="0"/>
        <v>45</v>
      </c>
      <c r="R15" s="340">
        <f t="shared" si="1"/>
        <v>159.14999999999998</v>
      </c>
      <c r="S15" s="347">
        <f t="shared" si="2"/>
        <v>415</v>
      </c>
      <c r="T15" s="381">
        <f t="shared" si="3"/>
        <v>456.15</v>
      </c>
      <c r="U15" s="387">
        <f t="shared" si="4"/>
        <v>-41.149999999999977</v>
      </c>
    </row>
    <row r="16" spans="1:21" ht="17.25" thickTop="1" thickBot="1" x14ac:dyDescent="0.35">
      <c r="A16" s="492" t="s">
        <v>26</v>
      </c>
      <c r="B16" s="493"/>
      <c r="C16" s="332">
        <f>'lap bulanan'!I16</f>
        <v>1934</v>
      </c>
      <c r="D16" s="332">
        <f>SUM(D8:D15)</f>
        <v>1537</v>
      </c>
      <c r="E16" s="332">
        <f t="shared" ref="E16:P16" si="5">SUM(E8:E15)</f>
        <v>94</v>
      </c>
      <c r="F16" s="332">
        <f t="shared" si="5"/>
        <v>76</v>
      </c>
      <c r="G16" s="332">
        <f t="shared" si="5"/>
        <v>121</v>
      </c>
      <c r="H16" s="332">
        <f t="shared" si="5"/>
        <v>185.26999999999998</v>
      </c>
      <c r="I16" s="332">
        <f t="shared" si="5"/>
        <v>76</v>
      </c>
      <c r="J16" s="332">
        <f t="shared" si="5"/>
        <v>285.18</v>
      </c>
      <c r="K16" s="332">
        <f t="shared" si="5"/>
        <v>0</v>
      </c>
      <c r="L16" s="332">
        <f t="shared" si="5"/>
        <v>105.91999999999999</v>
      </c>
      <c r="M16" s="332">
        <f t="shared" si="5"/>
        <v>0</v>
      </c>
      <c r="N16" s="332">
        <f t="shared" si="5"/>
        <v>0</v>
      </c>
      <c r="O16" s="332">
        <f t="shared" si="5"/>
        <v>15</v>
      </c>
      <c r="P16" s="332">
        <f t="shared" si="5"/>
        <v>0</v>
      </c>
      <c r="Q16" s="343">
        <f>SUM(Q8:Q15)</f>
        <v>306</v>
      </c>
      <c r="R16" s="344">
        <f>SUM(R8:R15)</f>
        <v>652.37</v>
      </c>
      <c r="S16" s="349">
        <f>SUM(C16,Q16)</f>
        <v>2240</v>
      </c>
      <c r="T16" s="344">
        <f>SUM(D16,R16)</f>
        <v>2189.37</v>
      </c>
      <c r="U16" s="388">
        <f>SUM(U8:U15)</f>
        <v>50.630000000000038</v>
      </c>
    </row>
    <row r="17" spans="1:21" ht="15.75" x14ac:dyDescent="0.3">
      <c r="A17" s="376" t="s">
        <v>171</v>
      </c>
      <c r="B17" s="373"/>
      <c r="C17" s="374"/>
      <c r="D17" s="374"/>
      <c r="E17" s="374"/>
      <c r="F17" s="374"/>
      <c r="G17" s="374"/>
      <c r="H17" s="374"/>
      <c r="I17" s="374"/>
      <c r="J17" s="374"/>
      <c r="K17" s="374"/>
      <c r="L17" s="374"/>
      <c r="M17" s="374"/>
      <c r="N17" s="374"/>
      <c r="O17" s="374"/>
      <c r="P17" s="374"/>
      <c r="Q17" s="375"/>
      <c r="R17" s="375"/>
      <c r="S17" s="375"/>
      <c r="T17" s="375"/>
      <c r="U17" s="110"/>
    </row>
    <row r="19" spans="1:21" x14ac:dyDescent="0.25">
      <c r="A19" t="s">
        <v>152</v>
      </c>
    </row>
    <row r="20" spans="1:21" ht="15.75" thickBot="1" x14ac:dyDescent="0.3">
      <c r="U20" s="397" t="s">
        <v>1</v>
      </c>
    </row>
    <row r="21" spans="1:21" ht="15.75" thickTop="1" x14ac:dyDescent="0.25">
      <c r="A21" s="494" t="s">
        <v>108</v>
      </c>
      <c r="B21" s="497" t="s">
        <v>109</v>
      </c>
      <c r="C21" s="500" t="s">
        <v>136</v>
      </c>
      <c r="D21" s="500" t="s">
        <v>137</v>
      </c>
      <c r="E21" s="485" t="s">
        <v>112</v>
      </c>
      <c r="F21" s="486"/>
      <c r="G21" s="486"/>
      <c r="H21" s="486"/>
      <c r="I21" s="486"/>
      <c r="J21" s="486"/>
      <c r="K21" s="486"/>
      <c r="L21" s="486"/>
      <c r="M21" s="486"/>
      <c r="N21" s="486"/>
      <c r="O21" s="486"/>
      <c r="P21" s="486"/>
      <c r="Q21" s="486"/>
      <c r="R21" s="486"/>
      <c r="S21" s="502" t="s">
        <v>150</v>
      </c>
      <c r="T21" s="503"/>
      <c r="U21" s="481" t="s">
        <v>173</v>
      </c>
    </row>
    <row r="22" spans="1:21" x14ac:dyDescent="0.25">
      <c r="A22" s="495"/>
      <c r="B22" s="498"/>
      <c r="C22" s="501"/>
      <c r="D22" s="501"/>
      <c r="E22" s="484" t="s">
        <v>140</v>
      </c>
      <c r="F22" s="484"/>
      <c r="G22" s="484" t="s">
        <v>141</v>
      </c>
      <c r="H22" s="484"/>
      <c r="I22" s="484" t="s">
        <v>142</v>
      </c>
      <c r="J22" s="484"/>
      <c r="K22" s="484" t="s">
        <v>143</v>
      </c>
      <c r="L22" s="484"/>
      <c r="M22" s="484" t="s">
        <v>144</v>
      </c>
      <c r="N22" s="484"/>
      <c r="O22" s="484" t="s">
        <v>145</v>
      </c>
      <c r="P22" s="484"/>
      <c r="Q22" s="487" t="s">
        <v>147</v>
      </c>
      <c r="R22" s="487"/>
      <c r="S22" s="490"/>
      <c r="T22" s="504"/>
      <c r="U22" s="482"/>
    </row>
    <row r="23" spans="1:21" ht="30.75" thickBot="1" x14ac:dyDescent="0.3">
      <c r="A23" s="496"/>
      <c r="B23" s="499"/>
      <c r="C23" s="326" t="s">
        <v>110</v>
      </c>
      <c r="D23" s="326" t="s">
        <v>110</v>
      </c>
      <c r="E23" s="327" t="s">
        <v>138</v>
      </c>
      <c r="F23" s="327" t="s">
        <v>139</v>
      </c>
      <c r="G23" s="327" t="s">
        <v>138</v>
      </c>
      <c r="H23" s="327" t="s">
        <v>139</v>
      </c>
      <c r="I23" s="327" t="s">
        <v>138</v>
      </c>
      <c r="J23" s="327" t="s">
        <v>139</v>
      </c>
      <c r="K23" s="327" t="s">
        <v>138</v>
      </c>
      <c r="L23" s="327" t="s">
        <v>139</v>
      </c>
      <c r="M23" s="327" t="s">
        <v>138</v>
      </c>
      <c r="N23" s="327" t="s">
        <v>139</v>
      </c>
      <c r="O23" s="327" t="s">
        <v>138</v>
      </c>
      <c r="P23" s="327" t="s">
        <v>139</v>
      </c>
      <c r="Q23" s="337" t="s">
        <v>138</v>
      </c>
      <c r="R23" s="338" t="s">
        <v>139</v>
      </c>
      <c r="S23" s="345" t="s">
        <v>138</v>
      </c>
      <c r="T23" s="393" t="s">
        <v>139</v>
      </c>
      <c r="U23" s="483"/>
    </row>
    <row r="24" spans="1:21" ht="17.25" thickTop="1" thickBot="1" x14ac:dyDescent="0.35">
      <c r="A24" s="328" t="s">
        <v>116</v>
      </c>
      <c r="B24" s="286" t="s">
        <v>117</v>
      </c>
      <c r="C24" s="287" t="s">
        <v>118</v>
      </c>
      <c r="D24" s="287" t="s">
        <v>119</v>
      </c>
      <c r="E24" s="287" t="s">
        <v>120</v>
      </c>
      <c r="F24" s="287" t="s">
        <v>121</v>
      </c>
      <c r="G24" s="287" t="s">
        <v>122</v>
      </c>
      <c r="H24" s="287" t="s">
        <v>123</v>
      </c>
      <c r="I24" s="287" t="s">
        <v>124</v>
      </c>
      <c r="J24" s="287" t="s">
        <v>125</v>
      </c>
      <c r="K24" s="287" t="s">
        <v>126</v>
      </c>
      <c r="L24" s="287" t="s">
        <v>127</v>
      </c>
      <c r="M24" s="287" t="s">
        <v>128</v>
      </c>
      <c r="N24" s="287" t="s">
        <v>129</v>
      </c>
      <c r="O24" s="287" t="s">
        <v>130</v>
      </c>
      <c r="P24" s="287" t="s">
        <v>131</v>
      </c>
      <c r="Q24" s="287" t="s">
        <v>132</v>
      </c>
      <c r="R24" s="339" t="s">
        <v>146</v>
      </c>
      <c r="S24" s="346" t="s">
        <v>148</v>
      </c>
      <c r="T24" s="384" t="s">
        <v>149</v>
      </c>
      <c r="U24" s="383" t="s">
        <v>174</v>
      </c>
    </row>
    <row r="25" spans="1:21" ht="15.75" thickTop="1" x14ac:dyDescent="0.25">
      <c r="A25" s="329">
        <v>1</v>
      </c>
      <c r="B25" s="378" t="s">
        <v>18</v>
      </c>
      <c r="C25" s="379">
        <f>'lap bulanan'!I44</f>
        <v>0</v>
      </c>
      <c r="D25" s="330">
        <f>'lap bulanan'!I61</f>
        <v>0</v>
      </c>
      <c r="E25" s="330">
        <f>'lap bulanan'!J44</f>
        <v>0</v>
      </c>
      <c r="F25" s="330">
        <f>'lap bulanan'!J61</f>
        <v>0</v>
      </c>
      <c r="G25" s="330">
        <f>'lap bulanan'!K44</f>
        <v>0</v>
      </c>
      <c r="H25" s="330">
        <f>'lap bulanan'!K61</f>
        <v>0</v>
      </c>
      <c r="I25" s="330">
        <f>'lap bulanan'!L44</f>
        <v>0</v>
      </c>
      <c r="J25" s="330">
        <f>'lap bulanan'!L61</f>
        <v>0</v>
      </c>
      <c r="K25" s="330">
        <f>'lap bulanan'!M44</f>
        <v>0</v>
      </c>
      <c r="L25" s="330">
        <f>'lap bulanan'!M61</f>
        <v>0</v>
      </c>
      <c r="M25" s="330">
        <f>'lap bulanan'!N44</f>
        <v>0</v>
      </c>
      <c r="N25" s="330">
        <f>'lap bulanan'!N61</f>
        <v>0</v>
      </c>
      <c r="O25" s="330">
        <f>'lap bulanan'!O44</f>
        <v>0</v>
      </c>
      <c r="P25" s="330">
        <f>'lap bulanan'!O61</f>
        <v>0</v>
      </c>
      <c r="Q25" s="330">
        <f>SUM(E25,G25,I25,K25,M25,O25)</f>
        <v>0</v>
      </c>
      <c r="R25" s="340">
        <f>SUM(F25,H25,J25,L25,N25,P25)</f>
        <v>0</v>
      </c>
      <c r="S25" s="347">
        <f>C25</f>
        <v>0</v>
      </c>
      <c r="T25" s="394">
        <f>SUM(D25,R25)</f>
        <v>0</v>
      </c>
      <c r="U25" s="389">
        <f>S25-T25</f>
        <v>0</v>
      </c>
    </row>
    <row r="26" spans="1:21" x14ac:dyDescent="0.25">
      <c r="A26" s="331">
        <v>2</v>
      </c>
      <c r="B26" s="377" t="s">
        <v>19</v>
      </c>
      <c r="C26" s="336">
        <f>'lap bulanan'!I45</f>
        <v>0</v>
      </c>
      <c r="D26" s="336">
        <f>'lap bulanan'!I62</f>
        <v>0</v>
      </c>
      <c r="E26" s="336">
        <f>'lap bulanan'!J45</f>
        <v>0</v>
      </c>
      <c r="F26" s="336">
        <f>'lap bulanan'!J62</f>
        <v>0</v>
      </c>
      <c r="G26" s="336">
        <f>'lap bulanan'!K45</f>
        <v>0</v>
      </c>
      <c r="H26" s="336">
        <f>'lap bulanan'!K62</f>
        <v>0</v>
      </c>
      <c r="I26" s="336">
        <f>'lap bulanan'!L45</f>
        <v>0</v>
      </c>
      <c r="J26" s="336">
        <f>'lap bulanan'!L62</f>
        <v>0</v>
      </c>
      <c r="K26" s="336">
        <f>'lap bulanan'!M45</f>
        <v>0</v>
      </c>
      <c r="L26" s="336">
        <f>'lap bulanan'!M62</f>
        <v>0</v>
      </c>
      <c r="M26" s="336">
        <f>'lap bulanan'!N45</f>
        <v>0</v>
      </c>
      <c r="N26" s="336">
        <f>'lap bulanan'!N62</f>
        <v>0</v>
      </c>
      <c r="O26" s="336">
        <f>'lap bulanan'!O45</f>
        <v>0</v>
      </c>
      <c r="P26" s="336">
        <f>'lap bulanan'!O62</f>
        <v>0</v>
      </c>
      <c r="Q26" s="336">
        <f t="shared" ref="Q26:Q32" si="6">SUM(E26,G26,I26,K26,M26,O26)</f>
        <v>0</v>
      </c>
      <c r="R26" s="342">
        <f t="shared" ref="R26:R32" si="7">SUM(F26,H26,J26,L26,N26,P26)</f>
        <v>0</v>
      </c>
      <c r="S26" s="348">
        <f t="shared" ref="S26:S32" si="8">C26</f>
        <v>0</v>
      </c>
      <c r="T26" s="395">
        <f t="shared" ref="T26:T32" si="9">SUM(D26,R26)</f>
        <v>0</v>
      </c>
      <c r="U26" s="390">
        <f t="shared" ref="U26:U32" si="10">S26-T26</f>
        <v>0</v>
      </c>
    </row>
    <row r="27" spans="1:21" x14ac:dyDescent="0.25">
      <c r="A27" s="331">
        <v>3</v>
      </c>
      <c r="B27" s="377" t="s">
        <v>133</v>
      </c>
      <c r="C27" s="336">
        <f>'lap bulanan'!I46</f>
        <v>30</v>
      </c>
      <c r="D27" s="336">
        <f>'lap bulanan'!I63</f>
        <v>25</v>
      </c>
      <c r="E27" s="336">
        <f>'lap bulanan'!J46</f>
        <v>0</v>
      </c>
      <c r="F27" s="336">
        <f>'lap bulanan'!J63</f>
        <v>0</v>
      </c>
      <c r="G27" s="336">
        <f>'lap bulanan'!K46</f>
        <v>0</v>
      </c>
      <c r="H27" s="336">
        <f>'lap bulanan'!K63</f>
        <v>0</v>
      </c>
      <c r="I27" s="336">
        <f>'lap bulanan'!L46</f>
        <v>0</v>
      </c>
      <c r="J27" s="336">
        <f>'lap bulanan'!L63</f>
        <v>0</v>
      </c>
      <c r="K27" s="336">
        <f>'lap bulanan'!M46</f>
        <v>0</v>
      </c>
      <c r="L27" s="336">
        <f>'lap bulanan'!M63</f>
        <v>0</v>
      </c>
      <c r="M27" s="336">
        <f>'lap bulanan'!N46</f>
        <v>0</v>
      </c>
      <c r="N27" s="336">
        <f>'lap bulanan'!N63</f>
        <v>0</v>
      </c>
      <c r="O27" s="336">
        <v>5</v>
      </c>
      <c r="P27" s="336">
        <f>'lap bulanan'!O63</f>
        <v>0</v>
      </c>
      <c r="Q27" s="336">
        <f t="shared" si="6"/>
        <v>5</v>
      </c>
      <c r="R27" s="342">
        <f t="shared" si="7"/>
        <v>0</v>
      </c>
      <c r="S27" s="348">
        <f t="shared" si="8"/>
        <v>30</v>
      </c>
      <c r="T27" s="395">
        <f t="shared" si="9"/>
        <v>25</v>
      </c>
      <c r="U27" s="390">
        <f t="shared" si="10"/>
        <v>5</v>
      </c>
    </row>
    <row r="28" spans="1:21" x14ac:dyDescent="0.25">
      <c r="A28" s="331">
        <v>4</v>
      </c>
      <c r="B28" s="377" t="s">
        <v>21</v>
      </c>
      <c r="C28" s="336">
        <f>'lap bulanan'!I47</f>
        <v>0</v>
      </c>
      <c r="D28" s="336">
        <f>'lap bulanan'!I64</f>
        <v>0</v>
      </c>
      <c r="E28" s="336">
        <f>'lap bulanan'!J47</f>
        <v>0</v>
      </c>
      <c r="F28" s="336">
        <f>'lap bulanan'!J64</f>
        <v>0</v>
      </c>
      <c r="G28" s="336">
        <f>'lap bulanan'!K47</f>
        <v>0</v>
      </c>
      <c r="H28" s="336">
        <f>'lap bulanan'!K64</f>
        <v>0</v>
      </c>
      <c r="I28" s="336">
        <f>'lap bulanan'!L47</f>
        <v>0</v>
      </c>
      <c r="J28" s="336">
        <f>'lap bulanan'!L64</f>
        <v>0</v>
      </c>
      <c r="K28" s="336">
        <f>'lap bulanan'!M47</f>
        <v>0</v>
      </c>
      <c r="L28" s="336">
        <f>'lap bulanan'!M64</f>
        <v>0</v>
      </c>
      <c r="M28" s="336">
        <f>'lap bulanan'!N47</f>
        <v>0</v>
      </c>
      <c r="N28" s="336">
        <f>'lap bulanan'!N64</f>
        <v>0</v>
      </c>
      <c r="O28" s="336">
        <f>'lap bulanan'!O47</f>
        <v>0</v>
      </c>
      <c r="P28" s="336">
        <f>'lap bulanan'!O64</f>
        <v>0</v>
      </c>
      <c r="Q28" s="336">
        <f t="shared" si="6"/>
        <v>0</v>
      </c>
      <c r="R28" s="342">
        <f t="shared" si="7"/>
        <v>0</v>
      </c>
      <c r="S28" s="348">
        <f t="shared" si="8"/>
        <v>0</v>
      </c>
      <c r="T28" s="395">
        <f t="shared" si="9"/>
        <v>0</v>
      </c>
      <c r="U28" s="390">
        <f t="shared" si="10"/>
        <v>0</v>
      </c>
    </row>
    <row r="29" spans="1:21" x14ac:dyDescent="0.25">
      <c r="A29" s="331">
        <v>5</v>
      </c>
      <c r="B29" s="377" t="s">
        <v>134</v>
      </c>
      <c r="C29" s="336">
        <f>'lap bulanan'!I48</f>
        <v>1</v>
      </c>
      <c r="D29" s="336">
        <f>'lap bulanan'!I65</f>
        <v>0</v>
      </c>
      <c r="E29" s="336">
        <f>'lap bulanan'!J48</f>
        <v>0</v>
      </c>
      <c r="F29" s="336">
        <f>'lap bulanan'!J65</f>
        <v>0</v>
      </c>
      <c r="G29" s="336">
        <f>'lap bulanan'!K48</f>
        <v>0</v>
      </c>
      <c r="H29" s="336">
        <f>'lap bulanan'!K65</f>
        <v>0</v>
      </c>
      <c r="I29" s="336">
        <f>'lap bulanan'!L48</f>
        <v>0</v>
      </c>
      <c r="J29" s="336">
        <f>'lap bulanan'!L65</f>
        <v>0</v>
      </c>
      <c r="K29" s="336">
        <f>'lap bulanan'!M48</f>
        <v>0</v>
      </c>
      <c r="L29" s="336">
        <f>'lap bulanan'!M65</f>
        <v>0</v>
      </c>
      <c r="M29" s="336">
        <f>'lap bulanan'!N48</f>
        <v>0</v>
      </c>
      <c r="N29" s="336">
        <f>'lap bulanan'!N65</f>
        <v>0</v>
      </c>
      <c r="O29" s="336">
        <v>1</v>
      </c>
      <c r="P29" s="336">
        <f>'lap bulanan'!O65</f>
        <v>0</v>
      </c>
      <c r="Q29" s="336">
        <f t="shared" si="6"/>
        <v>1</v>
      </c>
      <c r="R29" s="342">
        <f t="shared" si="7"/>
        <v>0</v>
      </c>
      <c r="S29" s="348">
        <f t="shared" si="8"/>
        <v>1</v>
      </c>
      <c r="T29" s="395">
        <f t="shared" si="9"/>
        <v>0</v>
      </c>
      <c r="U29" s="390">
        <f t="shared" si="10"/>
        <v>1</v>
      </c>
    </row>
    <row r="30" spans="1:21" x14ac:dyDescent="0.25">
      <c r="A30" s="331">
        <v>6</v>
      </c>
      <c r="B30" s="377" t="s">
        <v>23</v>
      </c>
      <c r="C30" s="336">
        <f>'lap bulanan'!I49</f>
        <v>0</v>
      </c>
      <c r="D30" s="336">
        <f>'lap bulanan'!I66</f>
        <v>0</v>
      </c>
      <c r="E30" s="336">
        <f>'lap bulanan'!J49</f>
        <v>0</v>
      </c>
      <c r="F30" s="336">
        <f>'lap bulanan'!J66</f>
        <v>0</v>
      </c>
      <c r="G30" s="336">
        <f>'lap bulanan'!K49</f>
        <v>0</v>
      </c>
      <c r="H30" s="336">
        <f>'lap bulanan'!K66</f>
        <v>0</v>
      </c>
      <c r="I30" s="336">
        <f>'lap bulanan'!L49</f>
        <v>0</v>
      </c>
      <c r="J30" s="336">
        <f>'lap bulanan'!L66</f>
        <v>0</v>
      </c>
      <c r="K30" s="336">
        <f>'lap bulanan'!M49</f>
        <v>0</v>
      </c>
      <c r="L30" s="336">
        <f>'lap bulanan'!M66</f>
        <v>0</v>
      </c>
      <c r="M30" s="336">
        <f>'lap bulanan'!N49</f>
        <v>0</v>
      </c>
      <c r="N30" s="336">
        <f>'lap bulanan'!N66</f>
        <v>0</v>
      </c>
      <c r="O30" s="336">
        <f>'lap bulanan'!O49</f>
        <v>0</v>
      </c>
      <c r="P30" s="336">
        <f>'lap bulanan'!O66</f>
        <v>0</v>
      </c>
      <c r="Q30" s="336">
        <f t="shared" si="6"/>
        <v>0</v>
      </c>
      <c r="R30" s="342">
        <f t="shared" si="7"/>
        <v>0</v>
      </c>
      <c r="S30" s="348">
        <f t="shared" si="8"/>
        <v>0</v>
      </c>
      <c r="T30" s="395">
        <f t="shared" si="9"/>
        <v>0</v>
      </c>
      <c r="U30" s="390">
        <f t="shared" si="10"/>
        <v>0</v>
      </c>
    </row>
    <row r="31" spans="1:21" x14ac:dyDescent="0.25">
      <c r="A31" s="331">
        <v>7</v>
      </c>
      <c r="B31" s="377" t="s">
        <v>24</v>
      </c>
      <c r="C31" s="336">
        <f>'lap bulanan'!I50</f>
        <v>0</v>
      </c>
      <c r="D31" s="336">
        <f>'lap bulanan'!I67</f>
        <v>0</v>
      </c>
      <c r="E31" s="336">
        <f>'lap bulanan'!J50</f>
        <v>0</v>
      </c>
      <c r="F31" s="336">
        <f>'lap bulanan'!J67</f>
        <v>0</v>
      </c>
      <c r="G31" s="336">
        <f>'lap bulanan'!K50</f>
        <v>0</v>
      </c>
      <c r="H31" s="336">
        <f>'lap bulanan'!K67</f>
        <v>0</v>
      </c>
      <c r="I31" s="336">
        <f>'lap bulanan'!L50</f>
        <v>0</v>
      </c>
      <c r="J31" s="336">
        <f>'lap bulanan'!L67</f>
        <v>0</v>
      </c>
      <c r="K31" s="336">
        <f>'lap bulanan'!M50</f>
        <v>0</v>
      </c>
      <c r="L31" s="336">
        <f>'lap bulanan'!M67</f>
        <v>0</v>
      </c>
      <c r="M31" s="336">
        <f>'lap bulanan'!N50</f>
        <v>0</v>
      </c>
      <c r="N31" s="336">
        <f>'lap bulanan'!N67</f>
        <v>0</v>
      </c>
      <c r="O31" s="336">
        <f>'lap bulanan'!O50</f>
        <v>0</v>
      </c>
      <c r="P31" s="336">
        <f>'lap bulanan'!O67</f>
        <v>0</v>
      </c>
      <c r="Q31" s="336">
        <f t="shared" si="6"/>
        <v>0</v>
      </c>
      <c r="R31" s="342">
        <f t="shared" si="7"/>
        <v>0</v>
      </c>
      <c r="S31" s="348">
        <f t="shared" si="8"/>
        <v>0</v>
      </c>
      <c r="T31" s="395">
        <f t="shared" si="9"/>
        <v>0</v>
      </c>
      <c r="U31" s="390">
        <f t="shared" si="10"/>
        <v>0</v>
      </c>
    </row>
    <row r="32" spans="1:21" ht="15.75" thickBot="1" x14ac:dyDescent="0.3">
      <c r="A32" s="333">
        <v>8</v>
      </c>
      <c r="B32" s="334" t="s">
        <v>25</v>
      </c>
      <c r="C32" s="330">
        <f>'lap bulanan'!I51</f>
        <v>0</v>
      </c>
      <c r="D32" s="330">
        <f>'lap bulanan'!I68</f>
        <v>0</v>
      </c>
      <c r="E32" s="330">
        <f>'lap bulanan'!J51</f>
        <v>0</v>
      </c>
      <c r="F32" s="330">
        <f>'lap bulanan'!J68</f>
        <v>0</v>
      </c>
      <c r="G32" s="330">
        <f>'lap bulanan'!K51</f>
        <v>0</v>
      </c>
      <c r="H32" s="330">
        <f>'lap bulanan'!K68</f>
        <v>0</v>
      </c>
      <c r="I32" s="330">
        <f>'lap bulanan'!L51</f>
        <v>0</v>
      </c>
      <c r="J32" s="330">
        <f>'lap bulanan'!L68</f>
        <v>0</v>
      </c>
      <c r="K32" s="330">
        <f>'lap bulanan'!M51</f>
        <v>0</v>
      </c>
      <c r="L32" s="330">
        <f>'lap bulanan'!M68</f>
        <v>0</v>
      </c>
      <c r="M32" s="330">
        <f>'lap bulanan'!N51</f>
        <v>0</v>
      </c>
      <c r="N32" s="330">
        <f>'lap bulanan'!N68</f>
        <v>0</v>
      </c>
      <c r="O32" s="330">
        <f>'lap bulanan'!O51</f>
        <v>0</v>
      </c>
      <c r="P32" s="330">
        <f>'lap bulanan'!O68</f>
        <v>0</v>
      </c>
      <c r="Q32" s="330">
        <f t="shared" si="6"/>
        <v>0</v>
      </c>
      <c r="R32" s="340">
        <f t="shared" si="7"/>
        <v>0</v>
      </c>
      <c r="S32" s="347">
        <f t="shared" si="8"/>
        <v>0</v>
      </c>
      <c r="T32" s="394">
        <f t="shared" si="9"/>
        <v>0</v>
      </c>
      <c r="U32" s="391">
        <f t="shared" si="10"/>
        <v>0</v>
      </c>
    </row>
    <row r="33" spans="1:21" ht="17.25" thickTop="1" thickBot="1" x14ac:dyDescent="0.35">
      <c r="A33" s="492" t="s">
        <v>26</v>
      </c>
      <c r="B33" s="493"/>
      <c r="C33" s="341">
        <f>'lap bulanan'!I52</f>
        <v>31</v>
      </c>
      <c r="D33" s="341">
        <f>'lap bulanan'!I69</f>
        <v>25</v>
      </c>
      <c r="E33" s="341">
        <f>'lap bulanan'!J52</f>
        <v>0</v>
      </c>
      <c r="F33" s="341">
        <f>'lap bulanan'!J69</f>
        <v>0</v>
      </c>
      <c r="G33" s="341">
        <f>'lap bulanan'!K52</f>
        <v>0</v>
      </c>
      <c r="H33" s="341">
        <f>'lap bulanan'!K69</f>
        <v>0</v>
      </c>
      <c r="I33" s="341">
        <f>'lap bulanan'!L52</f>
        <v>0</v>
      </c>
      <c r="J33" s="341">
        <f>'lap bulanan'!L69</f>
        <v>0</v>
      </c>
      <c r="K33" s="341">
        <f>'lap bulanan'!M52</f>
        <v>0</v>
      </c>
      <c r="L33" s="341">
        <f>'lap bulanan'!M69</f>
        <v>0</v>
      </c>
      <c r="M33" s="341">
        <f>'lap bulanan'!N52</f>
        <v>0</v>
      </c>
      <c r="N33" s="341">
        <f>'lap bulanan'!N69</f>
        <v>0</v>
      </c>
      <c r="O33" s="341">
        <f>SUM(O25:O32)</f>
        <v>6</v>
      </c>
      <c r="P33" s="341">
        <f>'lap bulanan'!O69</f>
        <v>0</v>
      </c>
      <c r="Q33" s="343">
        <f>SUM(Q25:Q32)</f>
        <v>6</v>
      </c>
      <c r="R33" s="344">
        <f>SUM(R25:R32)</f>
        <v>0</v>
      </c>
      <c r="S33" s="349">
        <f>SUM(S25:S32)</f>
        <v>31</v>
      </c>
      <c r="T33" s="396">
        <f>SUM(D33,R33)</f>
        <v>25</v>
      </c>
      <c r="U33" s="392">
        <f>SUM(U25:U32)</f>
        <v>6</v>
      </c>
    </row>
    <row r="38" spans="1:21" ht="15.75" x14ac:dyDescent="0.3">
      <c r="A38" s="477" t="s">
        <v>169</v>
      </c>
      <c r="B38" s="477"/>
      <c r="C38" s="477"/>
      <c r="D38" s="477"/>
      <c r="E38" s="477"/>
      <c r="F38" s="477"/>
      <c r="G38" s="477"/>
      <c r="H38" s="477"/>
      <c r="I38" s="477"/>
      <c r="J38" s="477"/>
      <c r="K38" s="477"/>
      <c r="L38" s="477"/>
      <c r="M38" s="477"/>
      <c r="N38" s="477"/>
      <c r="O38" s="477"/>
      <c r="P38" s="477"/>
      <c r="Q38" s="477"/>
    </row>
    <row r="39" spans="1:21" ht="15.75" x14ac:dyDescent="0.3">
      <c r="A39" s="477" t="s">
        <v>107</v>
      </c>
      <c r="B39" s="477"/>
      <c r="C39" s="477"/>
      <c r="D39" s="477"/>
      <c r="E39" s="477"/>
      <c r="F39" s="477"/>
      <c r="G39" s="477"/>
      <c r="H39" s="477"/>
      <c r="I39" s="477"/>
      <c r="J39" s="477"/>
      <c r="K39" s="477"/>
      <c r="L39" s="477"/>
      <c r="M39" s="477"/>
      <c r="N39" s="477"/>
      <c r="O39" s="477"/>
      <c r="P39" s="477"/>
      <c r="Q39" s="477"/>
    </row>
    <row r="40" spans="1:21" ht="15.75" x14ac:dyDescent="0.3">
      <c r="A40" s="477" t="s">
        <v>83</v>
      </c>
      <c r="B40" s="477"/>
      <c r="C40" s="477"/>
      <c r="D40" s="477"/>
      <c r="E40" s="477"/>
      <c r="F40" s="477"/>
      <c r="G40" s="477"/>
      <c r="H40" s="477"/>
      <c r="I40" s="477"/>
      <c r="J40" s="477"/>
      <c r="K40" s="477"/>
      <c r="L40" s="477"/>
      <c r="M40" s="477"/>
      <c r="N40" s="477"/>
      <c r="O40" s="477"/>
      <c r="P40" s="477"/>
      <c r="Q40" s="477"/>
    </row>
    <row r="41" spans="1:21" ht="16.5" thickBot="1" x14ac:dyDescent="0.35">
      <c r="A41" s="223"/>
      <c r="B41" s="223"/>
      <c r="C41" s="223"/>
      <c r="D41" s="223"/>
      <c r="E41" s="223"/>
      <c r="F41" s="223"/>
      <c r="G41" s="223"/>
      <c r="H41" s="223"/>
      <c r="I41" s="223"/>
      <c r="J41" s="223"/>
      <c r="K41" s="223"/>
      <c r="L41" s="223"/>
      <c r="M41" s="223"/>
      <c r="N41" s="223"/>
      <c r="O41" s="223"/>
      <c r="P41" s="223"/>
      <c r="Q41" s="224" t="s">
        <v>1</v>
      </c>
    </row>
    <row r="42" spans="1:21" ht="16.5" thickTop="1" x14ac:dyDescent="0.3">
      <c r="A42" s="461" t="s">
        <v>108</v>
      </c>
      <c r="B42" s="464" t="s">
        <v>109</v>
      </c>
      <c r="C42" s="467" t="s">
        <v>110</v>
      </c>
      <c r="D42" s="468"/>
      <c r="E42" s="468"/>
      <c r="F42" s="468"/>
      <c r="G42" s="468"/>
      <c r="H42" s="469"/>
      <c r="I42" s="470" t="s">
        <v>111</v>
      </c>
      <c r="J42" s="473" t="s">
        <v>112</v>
      </c>
      <c r="K42" s="468"/>
      <c r="L42" s="468"/>
      <c r="M42" s="468"/>
      <c r="N42" s="468"/>
      <c r="O42" s="469"/>
      <c r="P42" s="456" t="s">
        <v>113</v>
      </c>
      <c r="Q42" s="474" t="s">
        <v>114</v>
      </c>
    </row>
    <row r="43" spans="1:21" ht="15.75" x14ac:dyDescent="0.3">
      <c r="A43" s="462"/>
      <c r="B43" s="465"/>
      <c r="C43" s="225" t="s">
        <v>15</v>
      </c>
      <c r="D43" s="226" t="s">
        <v>16</v>
      </c>
      <c r="E43" s="226" t="s">
        <v>17</v>
      </c>
      <c r="F43" s="226" t="s">
        <v>6</v>
      </c>
      <c r="G43" s="226" t="s">
        <v>7</v>
      </c>
      <c r="H43" s="227" t="s">
        <v>8</v>
      </c>
      <c r="I43" s="471"/>
      <c r="J43" s="228" t="s">
        <v>80</v>
      </c>
      <c r="K43" s="229" t="s">
        <v>10</v>
      </c>
      <c r="L43" s="229" t="s">
        <v>11</v>
      </c>
      <c r="M43" s="229" t="s">
        <v>12</v>
      </c>
      <c r="N43" s="229" t="s">
        <v>115</v>
      </c>
      <c r="O43" s="230" t="s">
        <v>14</v>
      </c>
      <c r="P43" s="457"/>
      <c r="Q43" s="475"/>
    </row>
    <row r="44" spans="1:21" ht="16.5" thickBot="1" x14ac:dyDescent="0.35">
      <c r="A44" s="463"/>
      <c r="B44" s="466"/>
      <c r="C44" s="231"/>
      <c r="D44" s="232"/>
      <c r="E44" s="232"/>
      <c r="F44" s="232"/>
      <c r="G44" s="232"/>
      <c r="H44" s="233"/>
      <c r="I44" s="472"/>
      <c r="J44" s="234"/>
      <c r="K44" s="235"/>
      <c r="L44" s="235"/>
      <c r="M44" s="235"/>
      <c r="N44" s="235"/>
      <c r="O44" s="236"/>
      <c r="P44" s="458"/>
      <c r="Q44" s="476"/>
    </row>
    <row r="45" spans="1:21" ht="17.25" thickTop="1" thickBot="1" x14ac:dyDescent="0.35">
      <c r="A45" s="237" t="s">
        <v>116</v>
      </c>
      <c r="B45" s="238" t="s">
        <v>117</v>
      </c>
      <c r="C45" s="365" t="s">
        <v>118</v>
      </c>
      <c r="D45" s="365" t="s">
        <v>119</v>
      </c>
      <c r="E45" s="365" t="s">
        <v>120</v>
      </c>
      <c r="F45" s="365" t="s">
        <v>121</v>
      </c>
      <c r="G45" s="365" t="s">
        <v>122</v>
      </c>
      <c r="H45" s="366" t="s">
        <v>123</v>
      </c>
      <c r="I45" s="367" t="s">
        <v>124</v>
      </c>
      <c r="J45" s="368" t="s">
        <v>125</v>
      </c>
      <c r="K45" s="365" t="s">
        <v>126</v>
      </c>
      <c r="L45" s="365" t="s">
        <v>127</v>
      </c>
      <c r="M45" s="365" t="s">
        <v>128</v>
      </c>
      <c r="N45" s="365" t="s">
        <v>129</v>
      </c>
      <c r="O45" s="366" t="s">
        <v>130</v>
      </c>
      <c r="P45" s="367" t="s">
        <v>131</v>
      </c>
      <c r="Q45" s="239" t="s">
        <v>132</v>
      </c>
    </row>
    <row r="46" spans="1:21" ht="15.75" thickTop="1" x14ac:dyDescent="0.25">
      <c r="A46" s="240">
        <v>1</v>
      </c>
      <c r="B46" s="241" t="s">
        <v>18</v>
      </c>
      <c r="C46" s="242">
        <v>0</v>
      </c>
      <c r="D46" s="242">
        <v>31</v>
      </c>
      <c r="E46" s="243">
        <v>0</v>
      </c>
      <c r="F46" s="242">
        <v>247</v>
      </c>
      <c r="G46" s="242">
        <v>43</v>
      </c>
      <c r="H46" s="244">
        <v>0</v>
      </c>
      <c r="I46" s="325">
        <f t="shared" ref="I46:I53" si="11">SUM(C46:H46)</f>
        <v>321</v>
      </c>
      <c r="J46" s="245">
        <v>0</v>
      </c>
      <c r="K46" s="242">
        <v>0</v>
      </c>
      <c r="L46" s="242">
        <v>0</v>
      </c>
      <c r="M46" s="242">
        <v>0</v>
      </c>
      <c r="N46" s="242">
        <v>0</v>
      </c>
      <c r="O46" s="242">
        <v>0</v>
      </c>
      <c r="P46" s="246">
        <f>SUM(J46:O46)</f>
        <v>0</v>
      </c>
      <c r="Q46" s="369">
        <f>I46+P46</f>
        <v>321</v>
      </c>
    </row>
    <row r="47" spans="1:21" x14ac:dyDescent="0.25">
      <c r="A47" s="248">
        <v>2</v>
      </c>
      <c r="B47" s="249" t="s">
        <v>19</v>
      </c>
      <c r="C47" s="250">
        <v>29</v>
      </c>
      <c r="D47" s="251">
        <v>55</v>
      </c>
      <c r="E47" s="251">
        <v>55</v>
      </c>
      <c r="F47" s="251">
        <v>100</v>
      </c>
      <c r="G47" s="251">
        <v>55</v>
      </c>
      <c r="H47" s="252">
        <v>0</v>
      </c>
      <c r="I47" s="253">
        <f t="shared" si="11"/>
        <v>294</v>
      </c>
      <c r="J47" s="254">
        <v>0</v>
      </c>
      <c r="K47" s="251">
        <v>11</v>
      </c>
      <c r="L47" s="251">
        <v>0</v>
      </c>
      <c r="M47" s="251">
        <v>0</v>
      </c>
      <c r="N47" s="251">
        <v>0</v>
      </c>
      <c r="O47" s="252">
        <v>0</v>
      </c>
      <c r="P47" s="253">
        <f t="shared" ref="P47:P52" si="12">SUM(J47:O47)</f>
        <v>11</v>
      </c>
      <c r="Q47" s="255">
        <f t="shared" ref="Q47:Q53" si="13">SUM(I47,P47)</f>
        <v>305</v>
      </c>
    </row>
    <row r="48" spans="1:21" x14ac:dyDescent="0.25">
      <c r="A48" s="248">
        <v>3</v>
      </c>
      <c r="B48" s="249" t="s">
        <v>133</v>
      </c>
      <c r="C48" s="250">
        <v>0</v>
      </c>
      <c r="D48" s="251">
        <v>0</v>
      </c>
      <c r="E48" s="251">
        <v>10</v>
      </c>
      <c r="F48" s="251">
        <v>38</v>
      </c>
      <c r="G48" s="251">
        <v>0</v>
      </c>
      <c r="H48" s="252">
        <v>0</v>
      </c>
      <c r="I48" s="253">
        <f t="shared" si="11"/>
        <v>48</v>
      </c>
      <c r="J48" s="254">
        <v>0</v>
      </c>
      <c r="K48" s="251">
        <v>10</v>
      </c>
      <c r="L48" s="251">
        <v>0</v>
      </c>
      <c r="M48" s="251">
        <v>0</v>
      </c>
      <c r="N48" s="251">
        <v>0</v>
      </c>
      <c r="O48" s="252">
        <v>0</v>
      </c>
      <c r="P48" s="253">
        <f t="shared" si="12"/>
        <v>10</v>
      </c>
      <c r="Q48" s="255">
        <f t="shared" si="13"/>
        <v>58</v>
      </c>
    </row>
    <row r="49" spans="1:17" x14ac:dyDescent="0.25">
      <c r="A49" s="248">
        <v>4</v>
      </c>
      <c r="B49" s="249" t="s">
        <v>21</v>
      </c>
      <c r="C49" s="250">
        <v>0</v>
      </c>
      <c r="D49" s="251">
        <v>0</v>
      </c>
      <c r="E49" s="251">
        <v>60</v>
      </c>
      <c r="F49" s="251">
        <v>124</v>
      </c>
      <c r="G49" s="251">
        <v>0</v>
      </c>
      <c r="H49" s="252">
        <v>0</v>
      </c>
      <c r="I49" s="253">
        <f t="shared" si="11"/>
        <v>184</v>
      </c>
      <c r="J49" s="254">
        <v>5</v>
      </c>
      <c r="K49" s="251">
        <v>10</v>
      </c>
      <c r="L49" s="251">
        <v>0</v>
      </c>
      <c r="M49" s="251">
        <v>0</v>
      </c>
      <c r="N49" s="251">
        <v>0</v>
      </c>
      <c r="O49" s="252">
        <v>10</v>
      </c>
      <c r="P49" s="253">
        <f t="shared" si="12"/>
        <v>25</v>
      </c>
      <c r="Q49" s="255">
        <f t="shared" si="13"/>
        <v>209</v>
      </c>
    </row>
    <row r="50" spans="1:17" x14ac:dyDescent="0.25">
      <c r="A50" s="248">
        <v>5</v>
      </c>
      <c r="B50" s="249" t="s">
        <v>134</v>
      </c>
      <c r="C50" s="250">
        <v>0</v>
      </c>
      <c r="D50" s="251">
        <v>25</v>
      </c>
      <c r="E50" s="251">
        <v>50</v>
      </c>
      <c r="F50" s="251">
        <v>160</v>
      </c>
      <c r="G50" s="251">
        <v>25</v>
      </c>
      <c r="H50" s="252">
        <v>0</v>
      </c>
      <c r="I50" s="253">
        <f t="shared" si="11"/>
        <v>260</v>
      </c>
      <c r="J50" s="254">
        <v>0</v>
      </c>
      <c r="K50" s="251">
        <v>10</v>
      </c>
      <c r="L50" s="251">
        <v>0</v>
      </c>
      <c r="M50" s="251">
        <v>0</v>
      </c>
      <c r="N50" s="251">
        <v>0</v>
      </c>
      <c r="O50" s="252">
        <v>0</v>
      </c>
      <c r="P50" s="253">
        <f t="shared" si="12"/>
        <v>10</v>
      </c>
      <c r="Q50" s="255">
        <f t="shared" si="13"/>
        <v>270</v>
      </c>
    </row>
    <row r="51" spans="1:17" x14ac:dyDescent="0.25">
      <c r="A51" s="248">
        <v>6</v>
      </c>
      <c r="B51" s="249" t="s">
        <v>23</v>
      </c>
      <c r="C51" s="256">
        <v>0</v>
      </c>
      <c r="D51" s="257">
        <v>10</v>
      </c>
      <c r="E51" s="256">
        <v>25</v>
      </c>
      <c r="F51" s="257">
        <v>19</v>
      </c>
      <c r="G51" s="257">
        <v>1</v>
      </c>
      <c r="H51" s="258">
        <v>0</v>
      </c>
      <c r="I51" s="253">
        <f t="shared" si="11"/>
        <v>55</v>
      </c>
      <c r="J51" s="259">
        <v>0</v>
      </c>
      <c r="K51" s="257">
        <v>10</v>
      </c>
      <c r="L51" s="257">
        <v>0</v>
      </c>
      <c r="M51" s="257">
        <v>0</v>
      </c>
      <c r="N51" s="257">
        <v>0</v>
      </c>
      <c r="O51" s="258">
        <v>0</v>
      </c>
      <c r="P51" s="253">
        <f t="shared" si="12"/>
        <v>10</v>
      </c>
      <c r="Q51" s="255">
        <f t="shared" si="13"/>
        <v>65</v>
      </c>
    </row>
    <row r="52" spans="1:17" x14ac:dyDescent="0.25">
      <c r="A52" s="248">
        <v>7</v>
      </c>
      <c r="B52" s="249" t="s">
        <v>24</v>
      </c>
      <c r="C52" s="251">
        <v>0</v>
      </c>
      <c r="D52" s="251">
        <v>0</v>
      </c>
      <c r="E52" s="251">
        <v>122</v>
      </c>
      <c r="F52" s="251">
        <v>271</v>
      </c>
      <c r="G52" s="251">
        <v>0</v>
      </c>
      <c r="H52" s="252">
        <v>9</v>
      </c>
      <c r="I52" s="253">
        <f t="shared" si="11"/>
        <v>402</v>
      </c>
      <c r="J52" s="254">
        <v>69</v>
      </c>
      <c r="K52" s="251">
        <v>45</v>
      </c>
      <c r="L52" s="251">
        <v>76</v>
      </c>
      <c r="M52" s="251">
        <v>0</v>
      </c>
      <c r="N52" s="251">
        <v>0</v>
      </c>
      <c r="O52" s="252">
        <v>5</v>
      </c>
      <c r="P52" s="253">
        <f t="shared" si="12"/>
        <v>195</v>
      </c>
      <c r="Q52" s="255">
        <f t="shared" si="13"/>
        <v>597</v>
      </c>
    </row>
    <row r="53" spans="1:17" ht="15.75" thickBot="1" x14ac:dyDescent="0.3">
      <c r="A53" s="248">
        <v>8</v>
      </c>
      <c r="B53" s="249" t="s">
        <v>25</v>
      </c>
      <c r="C53" s="243">
        <v>0</v>
      </c>
      <c r="D53" s="260">
        <v>45</v>
      </c>
      <c r="E53" s="260">
        <v>120</v>
      </c>
      <c r="F53" s="260">
        <v>160</v>
      </c>
      <c r="G53" s="260">
        <v>25</v>
      </c>
      <c r="H53" s="261">
        <v>20</v>
      </c>
      <c r="I53" s="262">
        <f t="shared" si="11"/>
        <v>370</v>
      </c>
      <c r="J53" s="263">
        <v>20</v>
      </c>
      <c r="K53" s="260">
        <v>25</v>
      </c>
      <c r="L53" s="260">
        <v>0</v>
      </c>
      <c r="M53" s="260">
        <v>0</v>
      </c>
      <c r="N53" s="260">
        <v>0</v>
      </c>
      <c r="O53" s="261">
        <v>0</v>
      </c>
      <c r="P53" s="262">
        <f>SUM(J53:O53)</f>
        <v>45</v>
      </c>
      <c r="Q53" s="264">
        <f t="shared" si="13"/>
        <v>415</v>
      </c>
    </row>
    <row r="54" spans="1:17" ht="16.5" thickTop="1" thickBot="1" x14ac:dyDescent="0.3">
      <c r="A54" s="265"/>
      <c r="B54" s="266" t="s">
        <v>5</v>
      </c>
      <c r="C54" s="267">
        <f t="shared" ref="C54:Q54" si="14">SUM(C46:C53)</f>
        <v>29</v>
      </c>
      <c r="D54" s="267">
        <f t="shared" si="14"/>
        <v>166</v>
      </c>
      <c r="E54" s="267">
        <f t="shared" si="14"/>
        <v>442</v>
      </c>
      <c r="F54" s="267">
        <f t="shared" si="14"/>
        <v>1119</v>
      </c>
      <c r="G54" s="267">
        <f t="shared" si="14"/>
        <v>149</v>
      </c>
      <c r="H54" s="268">
        <f t="shared" si="14"/>
        <v>29</v>
      </c>
      <c r="I54" s="269">
        <f t="shared" si="14"/>
        <v>1934</v>
      </c>
      <c r="J54" s="270">
        <f t="shared" si="14"/>
        <v>94</v>
      </c>
      <c r="K54" s="267">
        <f t="shared" si="14"/>
        <v>121</v>
      </c>
      <c r="L54" s="267">
        <f t="shared" si="14"/>
        <v>76</v>
      </c>
      <c r="M54" s="267">
        <f t="shared" si="14"/>
        <v>0</v>
      </c>
      <c r="N54" s="267">
        <f>SUM(N46:N53)</f>
        <v>0</v>
      </c>
      <c r="O54" s="268">
        <f t="shared" si="14"/>
        <v>15</v>
      </c>
      <c r="P54" s="269">
        <f t="shared" si="14"/>
        <v>306</v>
      </c>
      <c r="Q54" s="271">
        <f t="shared" si="14"/>
        <v>2240</v>
      </c>
    </row>
    <row r="55" spans="1:17" ht="15.75" thickTop="1" x14ac:dyDescent="0.25"/>
    <row r="56" spans="1:17" ht="15.75" x14ac:dyDescent="0.3">
      <c r="A56" s="477" t="s">
        <v>172</v>
      </c>
      <c r="B56" s="477"/>
      <c r="C56" s="477"/>
      <c r="D56" s="477"/>
      <c r="E56" s="477"/>
      <c r="F56" s="477"/>
      <c r="G56" s="477"/>
      <c r="H56" s="477"/>
      <c r="I56" s="477"/>
      <c r="J56" s="477"/>
      <c r="K56" s="477"/>
      <c r="L56" s="477"/>
      <c r="M56" s="477"/>
      <c r="N56" s="477"/>
      <c r="O56" s="477"/>
      <c r="P56" s="477"/>
      <c r="Q56" s="477"/>
    </row>
    <row r="57" spans="1:17" ht="15.75" x14ac:dyDescent="0.3">
      <c r="A57" s="477" t="s">
        <v>135</v>
      </c>
      <c r="B57" s="477"/>
      <c r="C57" s="477"/>
      <c r="D57" s="477"/>
      <c r="E57" s="477"/>
      <c r="F57" s="477"/>
      <c r="G57" s="477"/>
      <c r="H57" s="477"/>
      <c r="I57" s="477"/>
      <c r="J57" s="477"/>
      <c r="K57" s="477"/>
      <c r="L57" s="477"/>
      <c r="M57" s="477"/>
      <c r="N57" s="477"/>
      <c r="O57" s="477"/>
      <c r="P57" s="477"/>
      <c r="Q57" s="477"/>
    </row>
    <row r="58" spans="1:17" ht="15.75" x14ac:dyDescent="0.3">
      <c r="A58" s="477" t="s">
        <v>83</v>
      </c>
      <c r="B58" s="477"/>
      <c r="C58" s="477"/>
      <c r="D58" s="477"/>
      <c r="E58" s="477"/>
      <c r="F58" s="477"/>
      <c r="G58" s="477"/>
      <c r="H58" s="477"/>
      <c r="I58" s="477"/>
      <c r="J58" s="477"/>
      <c r="K58" s="477"/>
      <c r="L58" s="477"/>
      <c r="M58" s="477"/>
      <c r="N58" s="477"/>
      <c r="O58" s="477"/>
      <c r="P58" s="477"/>
      <c r="Q58" s="477"/>
    </row>
    <row r="59" spans="1:17" ht="16.5" thickBot="1" x14ac:dyDescent="0.35">
      <c r="A59" s="223"/>
      <c r="B59" s="223"/>
      <c r="C59" s="223"/>
      <c r="D59" s="223"/>
      <c r="E59" s="223"/>
      <c r="F59" s="223"/>
      <c r="G59" s="223"/>
      <c r="H59" s="223"/>
      <c r="I59" s="223"/>
      <c r="J59" s="223"/>
      <c r="K59" s="223"/>
      <c r="L59" s="223"/>
      <c r="M59" s="223"/>
      <c r="N59" s="223"/>
      <c r="O59" s="223"/>
      <c r="P59" s="223"/>
      <c r="Q59" s="224" t="s">
        <v>1</v>
      </c>
    </row>
    <row r="60" spans="1:17" ht="16.5" thickTop="1" x14ac:dyDescent="0.3">
      <c r="A60" s="461" t="s">
        <v>108</v>
      </c>
      <c r="B60" s="464" t="s">
        <v>109</v>
      </c>
      <c r="C60" s="467" t="s">
        <v>110</v>
      </c>
      <c r="D60" s="468"/>
      <c r="E60" s="468"/>
      <c r="F60" s="468"/>
      <c r="G60" s="468"/>
      <c r="H60" s="469"/>
      <c r="I60" s="470" t="s">
        <v>111</v>
      </c>
      <c r="J60" s="473" t="s">
        <v>112</v>
      </c>
      <c r="K60" s="468"/>
      <c r="L60" s="468"/>
      <c r="M60" s="468"/>
      <c r="N60" s="468"/>
      <c r="O60" s="469"/>
      <c r="P60" s="456" t="s">
        <v>113</v>
      </c>
      <c r="Q60" s="474" t="s">
        <v>114</v>
      </c>
    </row>
    <row r="61" spans="1:17" ht="15.75" x14ac:dyDescent="0.3">
      <c r="A61" s="462"/>
      <c r="B61" s="465"/>
      <c r="C61" s="225" t="s">
        <v>15</v>
      </c>
      <c r="D61" s="226" t="s">
        <v>16</v>
      </c>
      <c r="E61" s="226" t="s">
        <v>17</v>
      </c>
      <c r="F61" s="226" t="s">
        <v>6</v>
      </c>
      <c r="G61" s="226" t="s">
        <v>7</v>
      </c>
      <c r="H61" s="227" t="s">
        <v>8</v>
      </c>
      <c r="I61" s="471"/>
      <c r="J61" s="228" t="s">
        <v>80</v>
      </c>
      <c r="K61" s="229" t="s">
        <v>10</v>
      </c>
      <c r="L61" s="229" t="s">
        <v>11</v>
      </c>
      <c r="M61" s="229" t="s">
        <v>12</v>
      </c>
      <c r="N61" s="229" t="s">
        <v>115</v>
      </c>
      <c r="O61" s="230" t="s">
        <v>14</v>
      </c>
      <c r="P61" s="457"/>
      <c r="Q61" s="475"/>
    </row>
    <row r="62" spans="1:17" ht="16.5" thickBot="1" x14ac:dyDescent="0.35">
      <c r="A62" s="463"/>
      <c r="B62" s="466"/>
      <c r="C62" s="231"/>
      <c r="D62" s="232"/>
      <c r="E62" s="232"/>
      <c r="F62" s="232"/>
      <c r="G62" s="232"/>
      <c r="H62" s="233"/>
      <c r="I62" s="472"/>
      <c r="J62" s="234"/>
      <c r="K62" s="235"/>
      <c r="L62" s="235"/>
      <c r="M62" s="235"/>
      <c r="N62" s="235"/>
      <c r="O62" s="236"/>
      <c r="P62" s="458"/>
      <c r="Q62" s="476"/>
    </row>
    <row r="63" spans="1:17" ht="17.25" thickTop="1" thickBot="1" x14ac:dyDescent="0.35">
      <c r="A63" s="237" t="s">
        <v>116</v>
      </c>
      <c r="B63" s="238" t="s">
        <v>117</v>
      </c>
      <c r="C63" s="293" t="s">
        <v>118</v>
      </c>
      <c r="D63" s="294" t="s">
        <v>119</v>
      </c>
      <c r="E63" s="294" t="s">
        <v>120</v>
      </c>
      <c r="F63" s="294" t="s">
        <v>121</v>
      </c>
      <c r="G63" s="294" t="s">
        <v>122</v>
      </c>
      <c r="H63" s="295" t="s">
        <v>123</v>
      </c>
      <c r="I63" s="296" t="s">
        <v>124</v>
      </c>
      <c r="J63" s="293" t="s">
        <v>125</v>
      </c>
      <c r="K63" s="294" t="s">
        <v>126</v>
      </c>
      <c r="L63" s="294" t="s">
        <v>127</v>
      </c>
      <c r="M63" s="294" t="s">
        <v>128</v>
      </c>
      <c r="N63" s="294" t="s">
        <v>129</v>
      </c>
      <c r="O63" s="295" t="s">
        <v>130</v>
      </c>
      <c r="P63" s="296" t="s">
        <v>131</v>
      </c>
      <c r="Q63" s="239" t="s">
        <v>132</v>
      </c>
    </row>
    <row r="64" spans="1:17" ht="15.75" thickTop="1" x14ac:dyDescent="0.25">
      <c r="A64" s="240">
        <v>1</v>
      </c>
      <c r="B64" s="241" t="s">
        <v>18</v>
      </c>
      <c r="C64" s="297">
        <v>0</v>
      </c>
      <c r="D64" s="297">
        <v>0</v>
      </c>
      <c r="E64" s="297">
        <v>0</v>
      </c>
      <c r="F64" s="297">
        <v>0</v>
      </c>
      <c r="G64" s="297">
        <v>0</v>
      </c>
      <c r="H64" s="298">
        <v>0</v>
      </c>
      <c r="I64" s="299">
        <f t="shared" ref="I64:I71" si="15">SUM(C64:H64)</f>
        <v>0</v>
      </c>
      <c r="J64" s="300">
        <v>0</v>
      </c>
      <c r="K64" s="297">
        <v>0</v>
      </c>
      <c r="L64" s="297">
        <v>0</v>
      </c>
      <c r="M64" s="297">
        <v>0</v>
      </c>
      <c r="N64" s="297">
        <v>0</v>
      </c>
      <c r="O64" s="301">
        <v>0</v>
      </c>
      <c r="P64" s="302">
        <f t="shared" ref="P64:P71" si="16">SUM(J64:O64)</f>
        <v>0</v>
      </c>
      <c r="Q64" s="303">
        <f t="shared" ref="Q64:Q71" si="17">I64+P64</f>
        <v>0</v>
      </c>
    </row>
    <row r="65" spans="1:17" x14ac:dyDescent="0.25">
      <c r="A65" s="248">
        <v>2</v>
      </c>
      <c r="B65" s="249" t="s">
        <v>19</v>
      </c>
      <c r="C65" s="304">
        <v>0</v>
      </c>
      <c r="D65" s="304">
        <v>0</v>
      </c>
      <c r="E65" s="304">
        <v>0</v>
      </c>
      <c r="F65" s="304">
        <v>0</v>
      </c>
      <c r="G65" s="304">
        <v>0</v>
      </c>
      <c r="H65" s="305">
        <v>0</v>
      </c>
      <c r="I65" s="306">
        <f t="shared" si="15"/>
        <v>0</v>
      </c>
      <c r="J65" s="307">
        <v>0</v>
      </c>
      <c r="K65" s="304">
        <v>0</v>
      </c>
      <c r="L65" s="304">
        <v>0</v>
      </c>
      <c r="M65" s="304">
        <v>0</v>
      </c>
      <c r="N65" s="304">
        <v>0</v>
      </c>
      <c r="O65" s="305">
        <v>0</v>
      </c>
      <c r="P65" s="306">
        <f t="shared" si="16"/>
        <v>0</v>
      </c>
      <c r="Q65" s="308">
        <f t="shared" si="17"/>
        <v>0</v>
      </c>
    </row>
    <row r="66" spans="1:17" x14ac:dyDescent="0.25">
      <c r="A66" s="248">
        <v>3</v>
      </c>
      <c r="B66" s="249" t="s">
        <v>133</v>
      </c>
      <c r="C66" s="256">
        <v>0</v>
      </c>
      <c r="D66" s="256">
        <v>0</v>
      </c>
      <c r="E66" s="256">
        <v>10</v>
      </c>
      <c r="F66" s="256">
        <v>20</v>
      </c>
      <c r="G66" s="256">
        <v>0</v>
      </c>
      <c r="H66" s="309">
        <v>0</v>
      </c>
      <c r="I66" s="310">
        <f>SUM(C66:H66)</f>
        <v>30</v>
      </c>
      <c r="J66" s="311">
        <v>0</v>
      </c>
      <c r="K66" s="256">
        <v>0</v>
      </c>
      <c r="L66" s="256">
        <v>0</v>
      </c>
      <c r="M66" s="256">
        <v>0</v>
      </c>
      <c r="N66" s="256">
        <v>0</v>
      </c>
      <c r="O66" s="309">
        <v>0</v>
      </c>
      <c r="P66" s="310">
        <f>SUM(J66:O66)</f>
        <v>0</v>
      </c>
      <c r="Q66" s="312">
        <f>SUM(I66,P66)</f>
        <v>30</v>
      </c>
    </row>
    <row r="67" spans="1:17" x14ac:dyDescent="0.25">
      <c r="A67" s="248">
        <v>4</v>
      </c>
      <c r="B67" s="249" t="s">
        <v>21</v>
      </c>
      <c r="C67" s="313">
        <v>0</v>
      </c>
      <c r="D67" s="313">
        <v>0</v>
      </c>
      <c r="E67" s="313">
        <v>0</v>
      </c>
      <c r="F67" s="313">
        <v>0</v>
      </c>
      <c r="G67" s="313">
        <v>0</v>
      </c>
      <c r="H67" s="314">
        <v>0</v>
      </c>
      <c r="I67" s="315">
        <f t="shared" si="15"/>
        <v>0</v>
      </c>
      <c r="J67" s="316">
        <v>0</v>
      </c>
      <c r="K67" s="313">
        <v>0</v>
      </c>
      <c r="L67" s="313">
        <v>0</v>
      </c>
      <c r="M67" s="313">
        <v>0</v>
      </c>
      <c r="N67" s="313">
        <v>0</v>
      </c>
      <c r="O67" s="314">
        <v>0</v>
      </c>
      <c r="P67" s="315">
        <f t="shared" si="16"/>
        <v>0</v>
      </c>
      <c r="Q67" s="317">
        <f t="shared" si="17"/>
        <v>0</v>
      </c>
    </row>
    <row r="68" spans="1:17" x14ac:dyDescent="0.25">
      <c r="A68" s="248">
        <v>5</v>
      </c>
      <c r="B68" s="249" t="s">
        <v>134</v>
      </c>
      <c r="C68" s="256">
        <v>0</v>
      </c>
      <c r="D68" s="256">
        <v>0</v>
      </c>
      <c r="E68" s="256">
        <v>0</v>
      </c>
      <c r="F68" s="256">
        <v>1</v>
      </c>
      <c r="G68" s="256">
        <v>0</v>
      </c>
      <c r="H68" s="309">
        <v>0</v>
      </c>
      <c r="I68" s="310">
        <f>SUM(C68:H68)</f>
        <v>1</v>
      </c>
      <c r="J68" s="311">
        <v>0</v>
      </c>
      <c r="K68" s="256">
        <v>0</v>
      </c>
      <c r="L68" s="256">
        <v>0</v>
      </c>
      <c r="M68" s="256">
        <v>0</v>
      </c>
      <c r="N68" s="256">
        <v>0</v>
      </c>
      <c r="O68" s="309">
        <v>0</v>
      </c>
      <c r="P68" s="310">
        <v>0</v>
      </c>
      <c r="Q68" s="312">
        <f>SUM(I68,P68)</f>
        <v>1</v>
      </c>
    </row>
    <row r="69" spans="1:17" x14ac:dyDescent="0.25">
      <c r="A69" s="248">
        <v>6</v>
      </c>
      <c r="B69" s="249" t="s">
        <v>23</v>
      </c>
      <c r="C69" s="318">
        <v>0</v>
      </c>
      <c r="D69" s="318">
        <v>0</v>
      </c>
      <c r="E69" s="318">
        <v>0</v>
      </c>
      <c r="F69" s="318">
        <v>0</v>
      </c>
      <c r="G69" s="318">
        <v>0</v>
      </c>
      <c r="H69" s="319">
        <v>0</v>
      </c>
      <c r="I69" s="320">
        <f t="shared" si="15"/>
        <v>0</v>
      </c>
      <c r="J69" s="321">
        <v>0</v>
      </c>
      <c r="K69" s="318">
        <v>0</v>
      </c>
      <c r="L69" s="318">
        <v>0</v>
      </c>
      <c r="M69" s="318">
        <v>0</v>
      </c>
      <c r="N69" s="318">
        <v>0</v>
      </c>
      <c r="O69" s="319"/>
      <c r="P69" s="320">
        <f t="shared" si="16"/>
        <v>0</v>
      </c>
      <c r="Q69" s="322">
        <f t="shared" si="17"/>
        <v>0</v>
      </c>
    </row>
    <row r="70" spans="1:17" x14ac:dyDescent="0.25">
      <c r="A70" s="248">
        <v>7</v>
      </c>
      <c r="B70" s="249" t="s">
        <v>24</v>
      </c>
      <c r="C70" s="313">
        <v>0</v>
      </c>
      <c r="D70" s="313">
        <v>0</v>
      </c>
      <c r="E70" s="313">
        <v>0</v>
      </c>
      <c r="F70" s="313">
        <v>0</v>
      </c>
      <c r="G70" s="313">
        <v>0</v>
      </c>
      <c r="H70" s="314">
        <v>0</v>
      </c>
      <c r="I70" s="315">
        <f t="shared" si="15"/>
        <v>0</v>
      </c>
      <c r="J70" s="316">
        <v>0</v>
      </c>
      <c r="K70" s="313">
        <v>0</v>
      </c>
      <c r="L70" s="313">
        <v>0</v>
      </c>
      <c r="M70" s="313">
        <v>0</v>
      </c>
      <c r="N70" s="313">
        <v>0</v>
      </c>
      <c r="O70" s="314">
        <v>0</v>
      </c>
      <c r="P70" s="315">
        <f t="shared" si="16"/>
        <v>0</v>
      </c>
      <c r="Q70" s="317">
        <f t="shared" si="17"/>
        <v>0</v>
      </c>
    </row>
    <row r="71" spans="1:17" ht="15.75" thickBot="1" x14ac:dyDescent="0.3">
      <c r="A71" s="248">
        <v>8</v>
      </c>
      <c r="B71" s="249" t="s">
        <v>25</v>
      </c>
      <c r="C71" s="313">
        <v>0</v>
      </c>
      <c r="D71" s="313">
        <v>0</v>
      </c>
      <c r="E71" s="313">
        <v>0</v>
      </c>
      <c r="F71" s="313">
        <v>0</v>
      </c>
      <c r="G71" s="313">
        <v>0</v>
      </c>
      <c r="H71" s="314">
        <v>0</v>
      </c>
      <c r="I71" s="315">
        <f t="shared" si="15"/>
        <v>0</v>
      </c>
      <c r="J71" s="316">
        <v>0</v>
      </c>
      <c r="K71" s="313">
        <v>0</v>
      </c>
      <c r="L71" s="313">
        <v>0</v>
      </c>
      <c r="M71" s="313">
        <v>0</v>
      </c>
      <c r="N71" s="313">
        <v>0</v>
      </c>
      <c r="O71" s="314">
        <v>0</v>
      </c>
      <c r="P71" s="315">
        <f t="shared" si="16"/>
        <v>0</v>
      </c>
      <c r="Q71" s="317">
        <f t="shared" si="17"/>
        <v>0</v>
      </c>
    </row>
    <row r="72" spans="1:17" ht="16.5" thickTop="1" thickBot="1" x14ac:dyDescent="0.3">
      <c r="A72" s="265"/>
      <c r="B72" s="266" t="s">
        <v>5</v>
      </c>
      <c r="C72" s="323">
        <f t="shared" ref="C72:Q72" si="18">SUM(C64:C71)</f>
        <v>0</v>
      </c>
      <c r="D72" s="267">
        <f t="shared" si="18"/>
        <v>0</v>
      </c>
      <c r="E72" s="267">
        <f t="shared" si="18"/>
        <v>10</v>
      </c>
      <c r="F72" s="267">
        <f t="shared" si="18"/>
        <v>21</v>
      </c>
      <c r="G72" s="267">
        <f t="shared" si="18"/>
        <v>0</v>
      </c>
      <c r="H72" s="268">
        <f t="shared" si="18"/>
        <v>0</v>
      </c>
      <c r="I72" s="269">
        <f t="shared" si="18"/>
        <v>31</v>
      </c>
      <c r="J72" s="270">
        <f t="shared" si="18"/>
        <v>0</v>
      </c>
      <c r="K72" s="267">
        <f t="shared" si="18"/>
        <v>0</v>
      </c>
      <c r="L72" s="267">
        <f t="shared" si="18"/>
        <v>0</v>
      </c>
      <c r="M72" s="267">
        <f t="shared" si="18"/>
        <v>0</v>
      </c>
      <c r="N72" s="267">
        <f t="shared" si="18"/>
        <v>0</v>
      </c>
      <c r="O72" s="268">
        <f t="shared" si="18"/>
        <v>0</v>
      </c>
      <c r="P72" s="269">
        <f t="shared" si="18"/>
        <v>0</v>
      </c>
      <c r="Q72" s="271">
        <f t="shared" si="18"/>
        <v>31</v>
      </c>
    </row>
    <row r="73" spans="1:17" ht="15.75" thickTop="1" x14ac:dyDescent="0.25"/>
  </sheetData>
  <mergeCells count="50">
    <mergeCell ref="A33:B33"/>
    <mergeCell ref="A21:A23"/>
    <mergeCell ref="B21:B23"/>
    <mergeCell ref="C21:C22"/>
    <mergeCell ref="D21:D22"/>
    <mergeCell ref="K5:L5"/>
    <mergeCell ref="I5:J5"/>
    <mergeCell ref="O5:P5"/>
    <mergeCell ref="S21:T22"/>
    <mergeCell ref="E22:F22"/>
    <mergeCell ref="G22:H22"/>
    <mergeCell ref="I22:J22"/>
    <mergeCell ref="K22:L22"/>
    <mergeCell ref="M22:N22"/>
    <mergeCell ref="O22:P22"/>
    <mergeCell ref="Q22:R22"/>
    <mergeCell ref="E21:R21"/>
    <mergeCell ref="E5:F5"/>
    <mergeCell ref="P60:P62"/>
    <mergeCell ref="Q60:Q62"/>
    <mergeCell ref="A38:Q38"/>
    <mergeCell ref="A39:Q39"/>
    <mergeCell ref="A40:Q40"/>
    <mergeCell ref="A42:A44"/>
    <mergeCell ref="B42:B44"/>
    <mergeCell ref="C42:H42"/>
    <mergeCell ref="I42:I44"/>
    <mergeCell ref="J42:O42"/>
    <mergeCell ref="P42:P44"/>
    <mergeCell ref="Q42:Q44"/>
    <mergeCell ref="A60:A62"/>
    <mergeCell ref="B60:B62"/>
    <mergeCell ref="C60:H60"/>
    <mergeCell ref="I60:I62"/>
    <mergeCell ref="J60:O60"/>
    <mergeCell ref="U4:U6"/>
    <mergeCell ref="U21:U23"/>
    <mergeCell ref="A56:Q56"/>
    <mergeCell ref="A57:Q57"/>
    <mergeCell ref="A58:Q58"/>
    <mergeCell ref="M5:N5"/>
    <mergeCell ref="E4:R4"/>
    <mergeCell ref="Q5:R5"/>
    <mergeCell ref="S4:T5"/>
    <mergeCell ref="A16:B16"/>
    <mergeCell ref="A4:A6"/>
    <mergeCell ref="B4:B6"/>
    <mergeCell ref="C4:C5"/>
    <mergeCell ref="D4:D5"/>
    <mergeCell ref="G5:H5"/>
  </mergeCells>
  <pageMargins left="0.59055118110236227" right="0.70866141732283472" top="0.74803149606299213" bottom="0.74803149606299213" header="0.31496062992125984" footer="0.31496062992125984"/>
  <pageSetup paperSize="5" scale="80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padi sawah</vt:lpstr>
      <vt:lpstr>puso</vt:lpstr>
      <vt:lpstr>padi ladang</vt:lpstr>
      <vt:lpstr>jagung</vt:lpstr>
      <vt:lpstr>kedelai</vt:lpstr>
      <vt:lpstr>kc tanah</vt:lpstr>
      <vt:lpstr>ubi kayu</vt:lpstr>
      <vt:lpstr>ubi jalar</vt:lpstr>
      <vt:lpstr>kc ijo</vt:lpstr>
      <vt:lpstr>rekap</vt:lpstr>
      <vt:lpstr>okt-mar</vt:lpstr>
      <vt:lpstr>okt-marbps</vt:lpstr>
      <vt:lpstr>lap bulanan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Acer</cp:lastModifiedBy>
  <cp:lastPrinted>2016-08-29T04:11:44Z</cp:lastPrinted>
  <dcterms:created xsi:type="dcterms:W3CDTF">2014-02-11T04:21:26Z</dcterms:created>
  <dcterms:modified xsi:type="dcterms:W3CDTF">2017-05-18T05:02:30Z</dcterms:modified>
</cp:coreProperties>
</file>