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E7E6A8CD-F2FD-4780-9437-3FA133471C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talas" sheetId="21" r:id="rId10"/>
    <sheet name="sorgum" sheetId="24" r:id="rId11"/>
    <sheet name="porang" sheetId="28" r:id="rId12"/>
    <sheet name="Sheet1" sheetId="32" r:id="rId13"/>
    <sheet name="rekap" sheetId="10" r:id="rId1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4" l="1"/>
  <c r="O10" i="1" l="1"/>
  <c r="M17" i="1"/>
  <c r="O80" i="1" l="1"/>
  <c r="AH14" i="32"/>
  <c r="AH13" i="32"/>
  <c r="AH12" i="32"/>
  <c r="AH11" i="32"/>
  <c r="AH10" i="32"/>
  <c r="AH9" i="32"/>
  <c r="AH8" i="32"/>
  <c r="AH7" i="32"/>
  <c r="AG15" i="32"/>
  <c r="AF15" i="32"/>
  <c r="AE15" i="32"/>
  <c r="AD15" i="32"/>
  <c r="AC15" i="32"/>
  <c r="AB15" i="32"/>
  <c r="AA15" i="32"/>
  <c r="Z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O111" i="6"/>
  <c r="C123" i="10"/>
  <c r="AH15" i="32" l="1"/>
  <c r="K116" i="4"/>
  <c r="J116" i="4"/>
  <c r="E116" i="4"/>
  <c r="I116" i="4"/>
  <c r="D116" i="4"/>
  <c r="F116" i="4"/>
  <c r="C116" i="4"/>
  <c r="G116" i="4"/>
  <c r="O45" i="4"/>
  <c r="O46" i="4"/>
  <c r="O47" i="4"/>
  <c r="O44" i="4"/>
  <c r="F17" i="1"/>
  <c r="O75" i="1"/>
  <c r="D83" i="1"/>
  <c r="C83" i="1"/>
  <c r="G83" i="1"/>
  <c r="F83" i="1"/>
  <c r="E83" i="1"/>
  <c r="H17" i="1" l="1"/>
  <c r="O49" i="4" l="1"/>
  <c r="O48" i="4"/>
  <c r="D42" i="10"/>
  <c r="O42" i="4"/>
  <c r="D40" i="10" s="1"/>
  <c r="D44" i="10"/>
  <c r="O43" i="4"/>
  <c r="D41" i="10" s="1"/>
  <c r="C17" i="1"/>
  <c r="O16" i="1"/>
  <c r="C9" i="10"/>
  <c r="O9" i="1"/>
  <c r="C8" i="10" s="1"/>
  <c r="D50" i="4"/>
  <c r="C50" i="4"/>
  <c r="C83" i="6"/>
  <c r="D83" i="6"/>
  <c r="J115" i="5"/>
  <c r="O81" i="5"/>
  <c r="O79" i="5"/>
  <c r="E95" i="10" s="1"/>
  <c r="O80" i="5"/>
  <c r="E96" i="10" s="1"/>
  <c r="C97" i="4"/>
  <c r="C130" i="4" s="1"/>
  <c r="G17" i="1"/>
  <c r="M82" i="5"/>
  <c r="M115" i="5"/>
  <c r="M116" i="7"/>
  <c r="L116" i="7"/>
  <c r="F193" i="10"/>
  <c r="E193" i="10"/>
  <c r="D193" i="10"/>
  <c r="C193" i="10"/>
  <c r="F192" i="10"/>
  <c r="E192" i="10"/>
  <c r="D192" i="10"/>
  <c r="C192" i="10"/>
  <c r="F191" i="10"/>
  <c r="E191" i="10"/>
  <c r="D191" i="10"/>
  <c r="C191" i="10"/>
  <c r="E190" i="10"/>
  <c r="D190" i="10"/>
  <c r="C190" i="10"/>
  <c r="E189" i="10"/>
  <c r="D189" i="10"/>
  <c r="C189" i="10"/>
  <c r="F188" i="10"/>
  <c r="E188" i="10"/>
  <c r="D188" i="10"/>
  <c r="C188" i="10"/>
  <c r="F187" i="10"/>
  <c r="E187" i="10"/>
  <c r="D187" i="10"/>
  <c r="C187" i="10"/>
  <c r="F186" i="10"/>
  <c r="E186" i="10"/>
  <c r="D186" i="10"/>
  <c r="C186" i="10"/>
  <c r="F179" i="10"/>
  <c r="E179" i="10"/>
  <c r="D179" i="10"/>
  <c r="C179" i="10"/>
  <c r="F178" i="10"/>
  <c r="E178" i="10"/>
  <c r="D178" i="10"/>
  <c r="C178" i="10"/>
  <c r="F177" i="10"/>
  <c r="E177" i="10"/>
  <c r="D177" i="10"/>
  <c r="C177" i="10"/>
  <c r="E176" i="10"/>
  <c r="D176" i="10"/>
  <c r="C176" i="10"/>
  <c r="E175" i="10"/>
  <c r="D175" i="10"/>
  <c r="C175" i="10"/>
  <c r="F174" i="10"/>
  <c r="E174" i="10"/>
  <c r="D174" i="10"/>
  <c r="C174" i="10"/>
  <c r="F173" i="10"/>
  <c r="E173" i="10"/>
  <c r="D173" i="10"/>
  <c r="C173" i="10"/>
  <c r="F172" i="10"/>
  <c r="E172" i="10"/>
  <c r="D172" i="10"/>
  <c r="C172" i="10"/>
  <c r="F158" i="10"/>
  <c r="F127" i="10"/>
  <c r="F110" i="10"/>
  <c r="F80" i="10"/>
  <c r="F79" i="10"/>
  <c r="F78" i="10"/>
  <c r="F77" i="10"/>
  <c r="F76" i="10"/>
  <c r="F75" i="10"/>
  <c r="F74" i="10"/>
  <c r="F73" i="10"/>
  <c r="C64" i="10"/>
  <c r="F26" i="10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Q82" i="28"/>
  <c r="O82" i="28"/>
  <c r="Q81" i="28"/>
  <c r="O81" i="28"/>
  <c r="Q80" i="28"/>
  <c r="O80" i="28"/>
  <c r="Q79" i="28"/>
  <c r="O79" i="28"/>
  <c r="Q78" i="28"/>
  <c r="O78" i="28"/>
  <c r="Q77" i="28"/>
  <c r="O77" i="28"/>
  <c r="Q76" i="28"/>
  <c r="O76" i="28"/>
  <c r="Q75" i="28"/>
  <c r="O75" i="28"/>
  <c r="P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Q49" i="28"/>
  <c r="O49" i="28"/>
  <c r="Q48" i="28"/>
  <c r="O48" i="28"/>
  <c r="Q47" i="28"/>
  <c r="O47" i="28"/>
  <c r="Q46" i="28"/>
  <c r="O46" i="28"/>
  <c r="Q45" i="28"/>
  <c r="O45" i="28"/>
  <c r="Q44" i="28"/>
  <c r="O44" i="28"/>
  <c r="Q43" i="28"/>
  <c r="O43" i="28"/>
  <c r="Q42" i="28"/>
  <c r="O42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Q16" i="28"/>
  <c r="O16" i="28"/>
  <c r="Q15" i="28"/>
  <c r="O15" i="28"/>
  <c r="Q14" i="28"/>
  <c r="O14" i="28"/>
  <c r="Q13" i="28"/>
  <c r="O13" i="28"/>
  <c r="Q12" i="28"/>
  <c r="O12" i="28"/>
  <c r="Q11" i="28"/>
  <c r="O11" i="28"/>
  <c r="Q10" i="28"/>
  <c r="O10" i="28"/>
  <c r="Q9" i="28"/>
  <c r="O9" i="28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Q82" i="24"/>
  <c r="O82" i="24"/>
  <c r="Q81" i="24"/>
  <c r="O81" i="24"/>
  <c r="Q80" i="24"/>
  <c r="O80" i="24"/>
  <c r="Q79" i="24"/>
  <c r="O79" i="24"/>
  <c r="Q78" i="24"/>
  <c r="O78" i="24"/>
  <c r="Q77" i="24"/>
  <c r="O77" i="24"/>
  <c r="Q76" i="24"/>
  <c r="O76" i="24"/>
  <c r="Q75" i="24"/>
  <c r="O75" i="24"/>
  <c r="P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Q49" i="24"/>
  <c r="O49" i="24"/>
  <c r="Q48" i="24"/>
  <c r="O48" i="24"/>
  <c r="Q47" i="24"/>
  <c r="O47" i="24"/>
  <c r="Q46" i="24"/>
  <c r="O46" i="24"/>
  <c r="Q45" i="24"/>
  <c r="O45" i="24"/>
  <c r="Q44" i="24"/>
  <c r="O44" i="24"/>
  <c r="Q43" i="24"/>
  <c r="O43" i="24"/>
  <c r="Q42" i="24"/>
  <c r="O42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0" i="24"/>
  <c r="O10" i="24"/>
  <c r="Q9" i="24"/>
  <c r="O9" i="24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O115" i="21"/>
  <c r="F165" i="10" s="1"/>
  <c r="O114" i="21"/>
  <c r="F164" i="10" s="1"/>
  <c r="O113" i="21"/>
  <c r="F163" i="10" s="1"/>
  <c r="O112" i="21"/>
  <c r="F162" i="10" s="1"/>
  <c r="O111" i="21"/>
  <c r="F161" i="10" s="1"/>
  <c r="O110" i="21"/>
  <c r="F160" i="10" s="1"/>
  <c r="O109" i="21"/>
  <c r="F159" i="10" s="1"/>
  <c r="N83" i="21"/>
  <c r="M83" i="21"/>
  <c r="L83" i="21"/>
  <c r="K83" i="21"/>
  <c r="J83" i="21"/>
  <c r="I83" i="21"/>
  <c r="H83" i="21"/>
  <c r="G83" i="21"/>
  <c r="F83" i="21"/>
  <c r="E83" i="21"/>
  <c r="D83" i="21"/>
  <c r="C83" i="21"/>
  <c r="Q82" i="21"/>
  <c r="O82" i="21"/>
  <c r="E165" i="10" s="1"/>
  <c r="Q81" i="21"/>
  <c r="O81" i="21"/>
  <c r="E164" i="10" s="1"/>
  <c r="Q80" i="21"/>
  <c r="O80" i="21"/>
  <c r="E163" i="10" s="1"/>
  <c r="Q79" i="21"/>
  <c r="O79" i="21"/>
  <c r="E162" i="10" s="1"/>
  <c r="Q78" i="21"/>
  <c r="O78" i="21"/>
  <c r="E161" i="10" s="1"/>
  <c r="Q77" i="21"/>
  <c r="O77" i="21"/>
  <c r="E160" i="10" s="1"/>
  <c r="Q76" i="21"/>
  <c r="O76" i="21"/>
  <c r="E159" i="10" s="1"/>
  <c r="Q75" i="21"/>
  <c r="O75" i="21"/>
  <c r="E158" i="10" s="1"/>
  <c r="P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Q49" i="21"/>
  <c r="O49" i="21"/>
  <c r="D165" i="10" s="1"/>
  <c r="Q48" i="21"/>
  <c r="O48" i="21"/>
  <c r="D164" i="10" s="1"/>
  <c r="Q47" i="21"/>
  <c r="O47" i="21"/>
  <c r="D163" i="10" s="1"/>
  <c r="Q46" i="21"/>
  <c r="O46" i="21"/>
  <c r="D162" i="10" s="1"/>
  <c r="Q45" i="21"/>
  <c r="O45" i="21"/>
  <c r="D161" i="10" s="1"/>
  <c r="Q44" i="21"/>
  <c r="O44" i="21"/>
  <c r="D160" i="10" s="1"/>
  <c r="Q43" i="21"/>
  <c r="O43" i="21"/>
  <c r="D159" i="10" s="1"/>
  <c r="Q42" i="21"/>
  <c r="O42" i="21"/>
  <c r="N17" i="21"/>
  <c r="M17" i="21"/>
  <c r="L17" i="21"/>
  <c r="K17" i="21"/>
  <c r="J17" i="21"/>
  <c r="I17" i="21"/>
  <c r="H17" i="21"/>
  <c r="G17" i="21"/>
  <c r="E17" i="21"/>
  <c r="D17" i="21"/>
  <c r="C17" i="21"/>
  <c r="Q16" i="21"/>
  <c r="O16" i="21"/>
  <c r="C165" i="10" s="1"/>
  <c r="Q15" i="21"/>
  <c r="O15" i="21"/>
  <c r="C164" i="10" s="1"/>
  <c r="Q14" i="21"/>
  <c r="O14" i="21"/>
  <c r="C163" i="10" s="1"/>
  <c r="Q13" i="21"/>
  <c r="O13" i="21"/>
  <c r="C162" i="10" s="1"/>
  <c r="Q12" i="21"/>
  <c r="O12" i="21"/>
  <c r="C161" i="10" s="1"/>
  <c r="Q11" i="21"/>
  <c r="O11" i="21"/>
  <c r="C160" i="10" s="1"/>
  <c r="Q10" i="21"/>
  <c r="O10" i="21"/>
  <c r="C159" i="10" s="1"/>
  <c r="Q9" i="21"/>
  <c r="O9" i="21"/>
  <c r="C158" i="10" s="1"/>
  <c r="N116" i="8"/>
  <c r="M116" i="8"/>
  <c r="L116" i="8"/>
  <c r="K116" i="8"/>
  <c r="J116" i="8"/>
  <c r="I116" i="8"/>
  <c r="H116" i="8"/>
  <c r="G116" i="8"/>
  <c r="F116" i="8"/>
  <c r="E116" i="8"/>
  <c r="D116" i="8"/>
  <c r="C116" i="8"/>
  <c r="N83" i="8"/>
  <c r="M83" i="8"/>
  <c r="L83" i="8"/>
  <c r="K83" i="8"/>
  <c r="J83" i="8"/>
  <c r="I83" i="8"/>
  <c r="H83" i="8"/>
  <c r="G83" i="8"/>
  <c r="F83" i="8"/>
  <c r="E83" i="8"/>
  <c r="D83" i="8"/>
  <c r="C83" i="8"/>
  <c r="O82" i="8"/>
  <c r="E146" i="10" s="1"/>
  <c r="O81" i="8"/>
  <c r="O80" i="8"/>
  <c r="E144" i="10" s="1"/>
  <c r="O79" i="8"/>
  <c r="O78" i="8"/>
  <c r="E142" i="10" s="1"/>
  <c r="O77" i="8"/>
  <c r="O76" i="8"/>
  <c r="E140" i="10" s="1"/>
  <c r="O75" i="8"/>
  <c r="N50" i="8"/>
  <c r="M50" i="8"/>
  <c r="L50" i="8"/>
  <c r="K50" i="8"/>
  <c r="J50" i="8"/>
  <c r="I50" i="8"/>
  <c r="H50" i="8"/>
  <c r="G50" i="8"/>
  <c r="F50" i="8"/>
  <c r="E50" i="8"/>
  <c r="D50" i="8"/>
  <c r="C50" i="8"/>
  <c r="O49" i="8"/>
  <c r="D146" i="10" s="1"/>
  <c r="O48" i="8"/>
  <c r="D145" i="10" s="1"/>
  <c r="O47" i="8"/>
  <c r="D144" i="10" s="1"/>
  <c r="O46" i="8"/>
  <c r="D143" i="10" s="1"/>
  <c r="O45" i="8"/>
  <c r="O44" i="8"/>
  <c r="D141" i="10" s="1"/>
  <c r="O43" i="8"/>
  <c r="D140" i="10" s="1"/>
  <c r="O42" i="8"/>
  <c r="D139" i="10" s="1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C146" i="10" s="1"/>
  <c r="O15" i="8"/>
  <c r="C145" i="10" s="1"/>
  <c r="O14" i="8"/>
  <c r="C144" i="10" s="1"/>
  <c r="O13" i="8"/>
  <c r="C143" i="10" s="1"/>
  <c r="O12" i="8"/>
  <c r="C142" i="10" s="1"/>
  <c r="O11" i="8"/>
  <c r="C141" i="10" s="1"/>
  <c r="O10" i="8"/>
  <c r="C140" i="10" s="1"/>
  <c r="O9" i="8"/>
  <c r="K116" i="7"/>
  <c r="C116" i="7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E130" i="10" s="1"/>
  <c r="O81" i="7"/>
  <c r="E129" i="10" s="1"/>
  <c r="O80" i="7"/>
  <c r="E128" i="10" s="1"/>
  <c r="O79" i="7"/>
  <c r="E127" i="10" s="1"/>
  <c r="O78" i="7"/>
  <c r="E126" i="10" s="1"/>
  <c r="O77" i="7"/>
  <c r="O76" i="7"/>
  <c r="E124" i="10" s="1"/>
  <c r="O75" i="7"/>
  <c r="E123" i="10" s="1"/>
  <c r="N50" i="7"/>
  <c r="M50" i="7"/>
  <c r="L50" i="7"/>
  <c r="K50" i="7"/>
  <c r="J50" i="7"/>
  <c r="I50" i="7"/>
  <c r="H50" i="7"/>
  <c r="G50" i="7"/>
  <c r="F50" i="7"/>
  <c r="E50" i="7"/>
  <c r="D50" i="7"/>
  <c r="C50" i="7"/>
  <c r="O49" i="7"/>
  <c r="D130" i="10" s="1"/>
  <c r="O48" i="7"/>
  <c r="D129" i="10" s="1"/>
  <c r="O47" i="7"/>
  <c r="D128" i="10" s="1"/>
  <c r="D131" i="10" s="1"/>
  <c r="O46" i="7"/>
  <c r="O45" i="7"/>
  <c r="O44" i="7"/>
  <c r="O43" i="7"/>
  <c r="O42" i="7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C130" i="10" s="1"/>
  <c r="O15" i="7"/>
  <c r="C129" i="10" s="1"/>
  <c r="O14" i="7"/>
  <c r="C128" i="10" s="1"/>
  <c r="O13" i="7"/>
  <c r="C127" i="10" s="1"/>
  <c r="O12" i="7"/>
  <c r="O11" i="7"/>
  <c r="O10" i="7"/>
  <c r="C124" i="10" s="1"/>
  <c r="O9" i="7"/>
  <c r="N83" i="6"/>
  <c r="M83" i="6"/>
  <c r="L83" i="6"/>
  <c r="K83" i="6"/>
  <c r="J83" i="6"/>
  <c r="I83" i="6"/>
  <c r="H83" i="6"/>
  <c r="G83" i="6"/>
  <c r="F83" i="6"/>
  <c r="E83" i="6"/>
  <c r="O82" i="6"/>
  <c r="E114" i="10" s="1"/>
  <c r="O81" i="6"/>
  <c r="O80" i="6"/>
  <c r="E112" i="10" s="1"/>
  <c r="O79" i="6"/>
  <c r="E111" i="10" s="1"/>
  <c r="O78" i="6"/>
  <c r="E110" i="10" s="1"/>
  <c r="O77" i="6"/>
  <c r="E109" i="10" s="1"/>
  <c r="O76" i="6"/>
  <c r="E108" i="10" s="1"/>
  <c r="O75" i="6"/>
  <c r="E107" i="10" s="1"/>
  <c r="N49" i="6"/>
  <c r="M49" i="6"/>
  <c r="L49" i="6"/>
  <c r="K49" i="6"/>
  <c r="J49" i="6"/>
  <c r="I49" i="6"/>
  <c r="H49" i="6"/>
  <c r="G49" i="6"/>
  <c r="F49" i="6"/>
  <c r="E49" i="6"/>
  <c r="D49" i="6"/>
  <c r="C49" i="6"/>
  <c r="O48" i="6"/>
  <c r="D114" i="10" s="1"/>
  <c r="O47" i="6"/>
  <c r="D113" i="10" s="1"/>
  <c r="O46" i="6"/>
  <c r="D112" i="10" s="1"/>
  <c r="O45" i="6"/>
  <c r="O44" i="6"/>
  <c r="O43" i="6"/>
  <c r="O42" i="6"/>
  <c r="D108" i="10" s="1"/>
  <c r="O41" i="6"/>
  <c r="D107" i="10" s="1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114" i="10" s="1"/>
  <c r="O15" i="6"/>
  <c r="C113" i="10" s="1"/>
  <c r="O14" i="6"/>
  <c r="C112" i="10" s="1"/>
  <c r="O13" i="6"/>
  <c r="C111" i="10" s="1"/>
  <c r="O12" i="6"/>
  <c r="C110" i="10" s="1"/>
  <c r="O11" i="6"/>
  <c r="C109" i="10" s="1"/>
  <c r="O10" i="6"/>
  <c r="C108" i="10" s="1"/>
  <c r="O9" i="6"/>
  <c r="R114" i="5"/>
  <c r="S114" i="5" s="1"/>
  <c r="R113" i="5"/>
  <c r="S113" i="5" s="1"/>
  <c r="R112" i="5"/>
  <c r="S112" i="5" s="1"/>
  <c r="R111" i="5"/>
  <c r="S111" i="5" s="1"/>
  <c r="R110" i="5"/>
  <c r="S110" i="5" s="1"/>
  <c r="R109" i="5"/>
  <c r="S109" i="5" s="1"/>
  <c r="R108" i="5"/>
  <c r="S108" i="5" s="1"/>
  <c r="R107" i="5"/>
  <c r="S107" i="5" s="1"/>
  <c r="A97" i="5"/>
  <c r="N82" i="5"/>
  <c r="L82" i="5"/>
  <c r="K82" i="5"/>
  <c r="J82" i="5"/>
  <c r="I82" i="5"/>
  <c r="H82" i="5"/>
  <c r="G82" i="5"/>
  <c r="F82" i="5"/>
  <c r="E82" i="5"/>
  <c r="D82" i="5"/>
  <c r="C82" i="5"/>
  <c r="Q81" i="5"/>
  <c r="Q80" i="5"/>
  <c r="Q79" i="5"/>
  <c r="Q78" i="5"/>
  <c r="O78" i="5"/>
  <c r="E94" i="10" s="1"/>
  <c r="Q77" i="5"/>
  <c r="O77" i="5"/>
  <c r="E93" i="10" s="1"/>
  <c r="Q76" i="5"/>
  <c r="O76" i="5"/>
  <c r="E92" i="10" s="1"/>
  <c r="Q75" i="5"/>
  <c r="O75" i="5"/>
  <c r="E91" i="10" s="1"/>
  <c r="Q74" i="5"/>
  <c r="O74" i="5"/>
  <c r="E90" i="10" s="1"/>
  <c r="N49" i="5"/>
  <c r="M49" i="5"/>
  <c r="L49" i="5"/>
  <c r="K49" i="5"/>
  <c r="J49" i="5"/>
  <c r="I49" i="5"/>
  <c r="H49" i="5"/>
  <c r="G49" i="5"/>
  <c r="F49" i="5"/>
  <c r="E49" i="5"/>
  <c r="D49" i="5"/>
  <c r="C49" i="5"/>
  <c r="Q48" i="5"/>
  <c r="O48" i="5"/>
  <c r="Q47" i="5"/>
  <c r="O47" i="5"/>
  <c r="D96" i="10" s="1"/>
  <c r="Q46" i="5"/>
  <c r="O46" i="5"/>
  <c r="D95" i="10" s="1"/>
  <c r="Q45" i="5"/>
  <c r="O45" i="5"/>
  <c r="D94" i="10" s="1"/>
  <c r="Q44" i="5"/>
  <c r="O44" i="5"/>
  <c r="D93" i="10" s="1"/>
  <c r="Q43" i="5"/>
  <c r="O43" i="5"/>
  <c r="D92" i="10" s="1"/>
  <c r="Q42" i="5"/>
  <c r="O42" i="5"/>
  <c r="D91" i="10" s="1"/>
  <c r="Q41" i="5"/>
  <c r="O41" i="5"/>
  <c r="D90" i="10" s="1"/>
  <c r="Q17" i="5"/>
  <c r="N17" i="5"/>
  <c r="M17" i="5"/>
  <c r="L17" i="5"/>
  <c r="K17" i="5"/>
  <c r="J17" i="5"/>
  <c r="I17" i="5"/>
  <c r="H17" i="5"/>
  <c r="G17" i="5"/>
  <c r="F17" i="5"/>
  <c r="E17" i="5"/>
  <c r="D17" i="5"/>
  <c r="C17" i="5"/>
  <c r="Q16" i="5"/>
  <c r="P16" i="5"/>
  <c r="O16" i="5"/>
  <c r="C97" i="10" s="1"/>
  <c r="Q15" i="5"/>
  <c r="P15" i="5"/>
  <c r="O15" i="5"/>
  <c r="C96" i="10" s="1"/>
  <c r="Q14" i="5"/>
  <c r="P14" i="5"/>
  <c r="O14" i="5"/>
  <c r="C95" i="10" s="1"/>
  <c r="Q13" i="5"/>
  <c r="P13" i="5"/>
  <c r="O13" i="5"/>
  <c r="C94" i="10" s="1"/>
  <c r="Q12" i="5"/>
  <c r="P12" i="5"/>
  <c r="O12" i="5"/>
  <c r="C93" i="10" s="1"/>
  <c r="Q11" i="5"/>
  <c r="P11" i="5"/>
  <c r="O11" i="5"/>
  <c r="C92" i="10" s="1"/>
  <c r="Q10" i="5"/>
  <c r="P10" i="5"/>
  <c r="O10" i="5"/>
  <c r="C91" i="10" s="1"/>
  <c r="Q9" i="5"/>
  <c r="P9" i="5"/>
  <c r="O9" i="5"/>
  <c r="C90" i="10" s="1"/>
  <c r="O116" i="9"/>
  <c r="F81" i="10" s="1"/>
  <c r="N116" i="9"/>
  <c r="M116" i="9"/>
  <c r="L116" i="9"/>
  <c r="K116" i="9"/>
  <c r="J116" i="9"/>
  <c r="I116" i="9"/>
  <c r="H116" i="9"/>
  <c r="G116" i="9"/>
  <c r="F116" i="9"/>
  <c r="E116" i="9"/>
  <c r="D116" i="9"/>
  <c r="N83" i="9"/>
  <c r="M83" i="9"/>
  <c r="L83" i="9"/>
  <c r="K83" i="9"/>
  <c r="J83" i="9"/>
  <c r="I83" i="9"/>
  <c r="H83" i="9"/>
  <c r="G83" i="9"/>
  <c r="F83" i="9"/>
  <c r="E83" i="9"/>
  <c r="D83" i="9"/>
  <c r="C83" i="9"/>
  <c r="Q82" i="9"/>
  <c r="O82" i="9"/>
  <c r="E80" i="10" s="1"/>
  <c r="Q81" i="9"/>
  <c r="O81" i="9"/>
  <c r="E79" i="10" s="1"/>
  <c r="Q80" i="9"/>
  <c r="O80" i="9"/>
  <c r="E78" i="10" s="1"/>
  <c r="Q79" i="9"/>
  <c r="O79" i="9"/>
  <c r="E77" i="10" s="1"/>
  <c r="Q78" i="9"/>
  <c r="O78" i="9"/>
  <c r="E76" i="10" s="1"/>
  <c r="Q77" i="9"/>
  <c r="O77" i="9"/>
  <c r="Q76" i="9"/>
  <c r="O76" i="9"/>
  <c r="E74" i="10" s="1"/>
  <c r="Q75" i="9"/>
  <c r="O75" i="9"/>
  <c r="E73" i="10" s="1"/>
  <c r="P50" i="9"/>
  <c r="N50" i="9"/>
  <c r="M50" i="9"/>
  <c r="L50" i="9"/>
  <c r="K50" i="9"/>
  <c r="J50" i="9"/>
  <c r="I50" i="9"/>
  <c r="H50" i="9"/>
  <c r="G50" i="9"/>
  <c r="F50" i="9"/>
  <c r="E50" i="9"/>
  <c r="D50" i="9"/>
  <c r="C50" i="9"/>
  <c r="Q49" i="9"/>
  <c r="O49" i="9"/>
  <c r="D80" i="10" s="1"/>
  <c r="Q48" i="9"/>
  <c r="O48" i="9"/>
  <c r="D79" i="10" s="1"/>
  <c r="Q47" i="9"/>
  <c r="O47" i="9"/>
  <c r="D78" i="10" s="1"/>
  <c r="Q46" i="9"/>
  <c r="O46" i="9"/>
  <c r="D77" i="10" s="1"/>
  <c r="Q45" i="9"/>
  <c r="O45" i="9"/>
  <c r="D76" i="10" s="1"/>
  <c r="Q44" i="9"/>
  <c r="O44" i="9"/>
  <c r="D75" i="10" s="1"/>
  <c r="Q43" i="9"/>
  <c r="O43" i="9"/>
  <c r="D74" i="10" s="1"/>
  <c r="Q42" i="9"/>
  <c r="O42" i="9"/>
  <c r="D73" i="10" s="1"/>
  <c r="N17" i="9"/>
  <c r="M17" i="9"/>
  <c r="L17" i="9"/>
  <c r="K17" i="9"/>
  <c r="J17" i="9"/>
  <c r="I17" i="9"/>
  <c r="H17" i="9"/>
  <c r="G17" i="9"/>
  <c r="F17" i="9"/>
  <c r="E17" i="9"/>
  <c r="D17" i="9"/>
  <c r="C17" i="9"/>
  <c r="Q16" i="9"/>
  <c r="O16" i="9"/>
  <c r="C80" i="10" s="1"/>
  <c r="Q15" i="9"/>
  <c r="O15" i="9"/>
  <c r="C79" i="10" s="1"/>
  <c r="Q14" i="9"/>
  <c r="O14" i="9"/>
  <c r="C78" i="10" s="1"/>
  <c r="Q13" i="9"/>
  <c r="O13" i="9"/>
  <c r="C77" i="10" s="1"/>
  <c r="Q12" i="9"/>
  <c r="O12" i="9"/>
  <c r="C76" i="10" s="1"/>
  <c r="Q11" i="9"/>
  <c r="O11" i="9"/>
  <c r="C75" i="10" s="1"/>
  <c r="Q10" i="9"/>
  <c r="O10" i="9"/>
  <c r="C74" i="10" s="1"/>
  <c r="Q9" i="9"/>
  <c r="O9" i="9"/>
  <c r="C73" i="10" s="1"/>
  <c r="H116" i="4"/>
  <c r="N97" i="4"/>
  <c r="M97" i="4"/>
  <c r="L97" i="4"/>
  <c r="K97" i="4"/>
  <c r="K130" i="4" s="1"/>
  <c r="J97" i="4"/>
  <c r="J130" i="4" s="1"/>
  <c r="I97" i="4"/>
  <c r="H97" i="4"/>
  <c r="H130" i="4" s="1"/>
  <c r="G97" i="4"/>
  <c r="F97" i="4"/>
  <c r="E97" i="4"/>
  <c r="D97" i="4"/>
  <c r="O96" i="4"/>
  <c r="O95" i="4"/>
  <c r="O94" i="4"/>
  <c r="O93" i="4"/>
  <c r="E60" i="10" s="1"/>
  <c r="O92" i="4"/>
  <c r="E59" i="10" s="1"/>
  <c r="O91" i="4"/>
  <c r="O90" i="4"/>
  <c r="O89" i="4"/>
  <c r="E56" i="10" s="1"/>
  <c r="M83" i="4"/>
  <c r="L83" i="4"/>
  <c r="K83" i="4"/>
  <c r="J83" i="4"/>
  <c r="I83" i="4"/>
  <c r="H83" i="4"/>
  <c r="G83" i="4"/>
  <c r="F83" i="4"/>
  <c r="E83" i="4"/>
  <c r="D83" i="4"/>
  <c r="C83" i="4"/>
  <c r="E47" i="10"/>
  <c r="O81" i="4"/>
  <c r="E46" i="10" s="1"/>
  <c r="O80" i="4"/>
  <c r="E45" i="10" s="1"/>
  <c r="O79" i="4"/>
  <c r="E44" i="10" s="1"/>
  <c r="O78" i="4"/>
  <c r="E43" i="10" s="1"/>
  <c r="O77" i="4"/>
  <c r="O76" i="4"/>
  <c r="E41" i="10" s="1"/>
  <c r="O75" i="4"/>
  <c r="E40" i="10" s="1"/>
  <c r="N64" i="4"/>
  <c r="M64" i="4"/>
  <c r="L64" i="4"/>
  <c r="K64" i="4"/>
  <c r="J64" i="4"/>
  <c r="I64" i="4"/>
  <c r="H64" i="4"/>
  <c r="G64" i="4"/>
  <c r="F64" i="4"/>
  <c r="E64" i="4"/>
  <c r="D64" i="4"/>
  <c r="C64" i="4"/>
  <c r="O63" i="4"/>
  <c r="D63" i="10" s="1"/>
  <c r="O62" i="4"/>
  <c r="O61" i="4"/>
  <c r="D61" i="10" s="1"/>
  <c r="O60" i="4"/>
  <c r="D60" i="10" s="1"/>
  <c r="O59" i="4"/>
  <c r="D59" i="10" s="1"/>
  <c r="O58" i="4"/>
  <c r="D58" i="10" s="1"/>
  <c r="O57" i="4"/>
  <c r="D57" i="10" s="1"/>
  <c r="O56" i="4"/>
  <c r="D56" i="10" s="1"/>
  <c r="N50" i="4"/>
  <c r="M50" i="4"/>
  <c r="L50" i="4"/>
  <c r="K50" i="4"/>
  <c r="J50" i="4"/>
  <c r="I50" i="4"/>
  <c r="H50" i="4"/>
  <c r="G50" i="4"/>
  <c r="F50" i="4"/>
  <c r="E50" i="4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O15" i="4"/>
  <c r="O14" i="4"/>
  <c r="O13" i="4"/>
  <c r="O12" i="4"/>
  <c r="O11" i="4"/>
  <c r="O10" i="4"/>
  <c r="O9" i="4"/>
  <c r="N116" i="3"/>
  <c r="M116" i="3"/>
  <c r="L116" i="3"/>
  <c r="K116" i="3"/>
  <c r="J116" i="3"/>
  <c r="I116" i="3"/>
  <c r="H116" i="3"/>
  <c r="G116" i="3"/>
  <c r="F116" i="3"/>
  <c r="E116" i="3"/>
  <c r="D116" i="3"/>
  <c r="C116" i="3"/>
  <c r="O115" i="3"/>
  <c r="F31" i="10" s="1"/>
  <c r="O114" i="3"/>
  <c r="F30" i="10" s="1"/>
  <c r="O113" i="3"/>
  <c r="F29" i="10" s="1"/>
  <c r="O112" i="3"/>
  <c r="F28" i="10" s="1"/>
  <c r="O111" i="3"/>
  <c r="O109" i="3"/>
  <c r="F25" i="10" s="1"/>
  <c r="O108" i="3"/>
  <c r="F24" i="10" s="1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31" i="10" s="1"/>
  <c r="O81" i="3"/>
  <c r="E30" i="10" s="1"/>
  <c r="O80" i="3"/>
  <c r="E29" i="10" s="1"/>
  <c r="O79" i="3"/>
  <c r="E28" i="10" s="1"/>
  <c r="O78" i="3"/>
  <c r="E27" i="10" s="1"/>
  <c r="O77" i="3"/>
  <c r="E26" i="10" s="1"/>
  <c r="O76" i="3"/>
  <c r="E25" i="10" s="1"/>
  <c r="O75" i="3"/>
  <c r="E24" i="10" s="1"/>
  <c r="N50" i="3"/>
  <c r="M50" i="3"/>
  <c r="L50" i="3"/>
  <c r="K50" i="3"/>
  <c r="J50" i="3"/>
  <c r="I50" i="3"/>
  <c r="H50" i="3"/>
  <c r="G50" i="3"/>
  <c r="F50" i="3"/>
  <c r="E50" i="3"/>
  <c r="D50" i="3"/>
  <c r="C50" i="3"/>
  <c r="O49" i="3"/>
  <c r="D31" i="10" s="1"/>
  <c r="O48" i="3"/>
  <c r="D30" i="10" s="1"/>
  <c r="O47" i="3"/>
  <c r="D29" i="10" s="1"/>
  <c r="O46" i="3"/>
  <c r="D28" i="10" s="1"/>
  <c r="O45" i="3"/>
  <c r="D27" i="10" s="1"/>
  <c r="O44" i="3"/>
  <c r="D26" i="10" s="1"/>
  <c r="O43" i="3"/>
  <c r="D25" i="10" s="1"/>
  <c r="O42" i="3"/>
  <c r="D24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31" i="10" s="1"/>
  <c r="O15" i="3"/>
  <c r="C30" i="10" s="1"/>
  <c r="O14" i="3"/>
  <c r="C29" i="10" s="1"/>
  <c r="O13" i="3"/>
  <c r="C28" i="10" s="1"/>
  <c r="O12" i="3"/>
  <c r="C27" i="10" s="1"/>
  <c r="O11" i="3"/>
  <c r="C26" i="10" s="1"/>
  <c r="O10" i="3"/>
  <c r="C25" i="10" s="1"/>
  <c r="O9" i="3"/>
  <c r="C24" i="10" s="1"/>
  <c r="N48" i="2"/>
  <c r="M48" i="2"/>
  <c r="L48" i="2"/>
  <c r="K48" i="2"/>
  <c r="J48" i="2"/>
  <c r="I48" i="2"/>
  <c r="H48" i="2"/>
  <c r="G48" i="2"/>
  <c r="F48" i="2"/>
  <c r="E48" i="2"/>
  <c r="D48" i="2"/>
  <c r="C48" i="2"/>
  <c r="O47" i="2"/>
  <c r="O46" i="2"/>
  <c r="O45" i="2"/>
  <c r="O44" i="2"/>
  <c r="O43" i="2"/>
  <c r="O42" i="2"/>
  <c r="O41" i="2"/>
  <c r="O40" i="2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Q111" i="1"/>
  <c r="N83" i="1"/>
  <c r="M83" i="1"/>
  <c r="L83" i="1"/>
  <c r="K83" i="1"/>
  <c r="J83" i="1"/>
  <c r="I83" i="1"/>
  <c r="H83" i="1"/>
  <c r="O82" i="1"/>
  <c r="O81" i="1"/>
  <c r="E13" i="10"/>
  <c r="O79" i="1"/>
  <c r="E12" i="10" s="1"/>
  <c r="O78" i="1"/>
  <c r="O77" i="1"/>
  <c r="E10" i="10" s="1"/>
  <c r="O76" i="1"/>
  <c r="E9" i="10" s="1"/>
  <c r="E8" i="10"/>
  <c r="N50" i="1"/>
  <c r="M50" i="1"/>
  <c r="L50" i="1"/>
  <c r="K50" i="1"/>
  <c r="J50" i="1"/>
  <c r="I50" i="1"/>
  <c r="H50" i="1"/>
  <c r="G50" i="1"/>
  <c r="G116" i="1" s="1"/>
  <c r="F50" i="1"/>
  <c r="F116" i="1" s="1"/>
  <c r="E50" i="1"/>
  <c r="D116" i="1" s="1"/>
  <c r="D50" i="1"/>
  <c r="C116" i="1" s="1"/>
  <c r="C50" i="1"/>
  <c r="O49" i="1"/>
  <c r="D15" i="10" s="1"/>
  <c r="O48" i="1"/>
  <c r="O47" i="1"/>
  <c r="D13" i="10" s="1"/>
  <c r="O46" i="1"/>
  <c r="D12" i="10" s="1"/>
  <c r="O45" i="1"/>
  <c r="D11" i="10" s="1"/>
  <c r="O44" i="1"/>
  <c r="D10" i="10" s="1"/>
  <c r="O43" i="1"/>
  <c r="D9" i="10" s="1"/>
  <c r="O42" i="1"/>
  <c r="N17" i="1"/>
  <c r="L17" i="1"/>
  <c r="K17" i="1"/>
  <c r="J17" i="1"/>
  <c r="I17" i="1"/>
  <c r="E17" i="1"/>
  <c r="D17" i="1"/>
  <c r="Q16" i="1"/>
  <c r="Q15" i="1"/>
  <c r="O15" i="1"/>
  <c r="C14" i="10" s="1"/>
  <c r="Q14" i="1"/>
  <c r="O14" i="1"/>
  <c r="C13" i="10" s="1"/>
  <c r="Q13" i="1"/>
  <c r="O13" i="1"/>
  <c r="C12" i="10" s="1"/>
  <c r="Q12" i="1"/>
  <c r="O12" i="1"/>
  <c r="C11" i="10" s="1"/>
  <c r="Q11" i="1"/>
  <c r="O11" i="1"/>
  <c r="C10" i="10" s="1"/>
  <c r="Q10" i="1"/>
  <c r="Q9" i="1"/>
  <c r="N115" i="5" l="1"/>
  <c r="D47" i="10"/>
  <c r="O50" i="4"/>
  <c r="D62" i="10"/>
  <c r="O128" i="4"/>
  <c r="D109" i="10"/>
  <c r="O110" i="6"/>
  <c r="D8" i="10"/>
  <c r="O108" i="1"/>
  <c r="F8" i="10" s="1"/>
  <c r="E116" i="7"/>
  <c r="D97" i="10"/>
  <c r="D98" i="10" s="1"/>
  <c r="O114" i="5"/>
  <c r="F97" i="10" s="1"/>
  <c r="O129" i="4"/>
  <c r="F63" i="10" s="1"/>
  <c r="E63" i="10"/>
  <c r="D116" i="6"/>
  <c r="L115" i="5"/>
  <c r="L116" i="4"/>
  <c r="O110" i="4"/>
  <c r="F42" i="10" s="1"/>
  <c r="M116" i="4"/>
  <c r="K115" i="5"/>
  <c r="C180" i="10"/>
  <c r="K116" i="6"/>
  <c r="C194" i="10"/>
  <c r="N116" i="4"/>
  <c r="N116" i="6"/>
  <c r="D116" i="7"/>
  <c r="O17" i="24"/>
  <c r="O50" i="24"/>
  <c r="E116" i="1"/>
  <c r="O83" i="9"/>
  <c r="H116" i="1"/>
  <c r="I130" i="4"/>
  <c r="E166" i="10"/>
  <c r="O17" i="28"/>
  <c r="D194" i="10"/>
  <c r="O15" i="2"/>
  <c r="O110" i="8"/>
  <c r="F141" i="10" s="1"/>
  <c r="E194" i="10"/>
  <c r="O113" i="5"/>
  <c r="Q113" i="5" s="1"/>
  <c r="O111" i="4"/>
  <c r="F43" i="10" s="1"/>
  <c r="O113" i="4"/>
  <c r="F45" i="10" s="1"/>
  <c r="O83" i="21"/>
  <c r="E75" i="10"/>
  <c r="E81" i="10" s="1"/>
  <c r="D180" i="10"/>
  <c r="F115" i="5"/>
  <c r="O109" i="8"/>
  <c r="F140" i="10" s="1"/>
  <c r="E180" i="10"/>
  <c r="O114" i="4"/>
  <c r="F46" i="10" s="1"/>
  <c r="N116" i="1"/>
  <c r="O50" i="28"/>
  <c r="O109" i="4"/>
  <c r="F41" i="10" s="1"/>
  <c r="L116" i="6"/>
  <c r="L116" i="1"/>
  <c r="O112" i="8"/>
  <c r="F143" i="10" s="1"/>
  <c r="I115" i="5"/>
  <c r="I116" i="7"/>
  <c r="I116" i="6"/>
  <c r="O108" i="8"/>
  <c r="F139" i="10" s="1"/>
  <c r="I116" i="1"/>
  <c r="E14" i="10"/>
  <c r="O83" i="1"/>
  <c r="H116" i="7"/>
  <c r="G130" i="4"/>
  <c r="F116" i="7"/>
  <c r="F130" i="4"/>
  <c r="O17" i="1"/>
  <c r="C15" i="10"/>
  <c r="C16" i="10" s="1"/>
  <c r="E115" i="5"/>
  <c r="O127" i="4"/>
  <c r="F61" i="10" s="1"/>
  <c r="E116" i="6"/>
  <c r="E130" i="4"/>
  <c r="O115" i="4"/>
  <c r="F47" i="10" s="1"/>
  <c r="O123" i="4"/>
  <c r="F57" i="10" s="1"/>
  <c r="D46" i="10"/>
  <c r="D130" i="4"/>
  <c r="D45" i="10"/>
  <c r="D115" i="5"/>
  <c r="F44" i="10"/>
  <c r="J116" i="7"/>
  <c r="G116" i="7"/>
  <c r="O111" i="7"/>
  <c r="F126" i="10" s="1"/>
  <c r="M116" i="6"/>
  <c r="H116" i="6"/>
  <c r="G116" i="6"/>
  <c r="J116" i="6"/>
  <c r="F116" i="6"/>
  <c r="F109" i="10"/>
  <c r="H115" i="5"/>
  <c r="Q82" i="5"/>
  <c r="C115" i="5"/>
  <c r="O82" i="5"/>
  <c r="R82" i="5" s="1"/>
  <c r="O110" i="5"/>
  <c r="Q49" i="5"/>
  <c r="G115" i="5"/>
  <c r="O108" i="5"/>
  <c r="F91" i="10" s="1"/>
  <c r="O107" i="5"/>
  <c r="F90" i="10" s="1"/>
  <c r="O111" i="5"/>
  <c r="F94" i="10" s="1"/>
  <c r="O109" i="5"/>
  <c r="F92" i="10" s="1"/>
  <c r="O112" i="5"/>
  <c r="F95" i="10" s="1"/>
  <c r="P17" i="5"/>
  <c r="M130" i="4"/>
  <c r="L130" i="4"/>
  <c r="N130" i="4"/>
  <c r="F62" i="10"/>
  <c r="O126" i="4"/>
  <c r="F60" i="10" s="1"/>
  <c r="O108" i="4"/>
  <c r="F40" i="10" s="1"/>
  <c r="O114" i="1"/>
  <c r="F14" i="10" s="1"/>
  <c r="O112" i="1"/>
  <c r="F12" i="10" s="1"/>
  <c r="D14" i="10"/>
  <c r="K116" i="1"/>
  <c r="O111" i="1"/>
  <c r="F11" i="10" s="1"/>
  <c r="O110" i="1"/>
  <c r="F10" i="10" s="1"/>
  <c r="Q17" i="1"/>
  <c r="Q50" i="4"/>
  <c r="O124" i="4"/>
  <c r="F58" i="10" s="1"/>
  <c r="O108" i="6"/>
  <c r="F107" i="10" s="1"/>
  <c r="O113" i="8"/>
  <c r="F144" i="10" s="1"/>
  <c r="E97" i="10"/>
  <c r="E98" i="10" s="1"/>
  <c r="O109" i="1"/>
  <c r="F9" i="10" s="1"/>
  <c r="M116" i="1"/>
  <c r="O113" i="7"/>
  <c r="F128" i="10" s="1"/>
  <c r="O97" i="4"/>
  <c r="D64" i="10"/>
  <c r="O112" i="6"/>
  <c r="F111" i="10" s="1"/>
  <c r="O109" i="7"/>
  <c r="F124" i="10" s="1"/>
  <c r="O17" i="4"/>
  <c r="C48" i="10"/>
  <c r="O122" i="4"/>
  <c r="F56" i="10" s="1"/>
  <c r="O50" i="7"/>
  <c r="O110" i="7"/>
  <c r="J116" i="1"/>
  <c r="C131" i="10"/>
  <c r="O17" i="7"/>
  <c r="E145" i="10"/>
  <c r="O114" i="8"/>
  <c r="F145" i="10" s="1"/>
  <c r="E42" i="10"/>
  <c r="O50" i="8"/>
  <c r="D142" i="10"/>
  <c r="D147" i="10" s="1"/>
  <c r="O115" i="1"/>
  <c r="F15" i="10" s="1"/>
  <c r="E15" i="10"/>
  <c r="E61" i="10"/>
  <c r="D32" i="10"/>
  <c r="D81" i="10"/>
  <c r="C139" i="10"/>
  <c r="C147" i="10" s="1"/>
  <c r="O17" i="8"/>
  <c r="O50" i="1"/>
  <c r="O48" i="2"/>
  <c r="O114" i="6"/>
  <c r="F113" i="10" s="1"/>
  <c r="E113" i="10"/>
  <c r="E115" i="10" s="1"/>
  <c r="C166" i="10"/>
  <c r="F27" i="10"/>
  <c r="O116" i="3"/>
  <c r="O49" i="6"/>
  <c r="D110" i="10"/>
  <c r="O111" i="8"/>
  <c r="F142" i="10" s="1"/>
  <c r="C32" i="10"/>
  <c r="C81" i="10"/>
  <c r="O17" i="6"/>
  <c r="C107" i="10"/>
  <c r="C115" i="10" s="1"/>
  <c r="O83" i="28"/>
  <c r="O50" i="3"/>
  <c r="E32" i="10"/>
  <c r="C98" i="10"/>
  <c r="D158" i="10"/>
  <c r="D166" i="10" s="1"/>
  <c r="O50" i="21"/>
  <c r="O83" i="24"/>
  <c r="O115" i="6"/>
  <c r="F114" i="10" s="1"/>
  <c r="E57" i="10"/>
  <c r="O113" i="1"/>
  <c r="F13" i="10" s="1"/>
  <c r="O83" i="3"/>
  <c r="O64" i="4"/>
  <c r="O83" i="6"/>
  <c r="E11" i="10"/>
  <c r="E62" i="10"/>
  <c r="E139" i="10"/>
  <c r="E141" i="10"/>
  <c r="E143" i="10"/>
  <c r="O83" i="7"/>
  <c r="O83" i="8"/>
  <c r="O115" i="8"/>
  <c r="F146" i="10" s="1"/>
  <c r="O116" i="21"/>
  <c r="D111" i="10"/>
  <c r="O17" i="9"/>
  <c r="O109" i="6"/>
  <c r="F108" i="10" s="1"/>
  <c r="O108" i="7"/>
  <c r="F123" i="10" s="1"/>
  <c r="O17" i="21"/>
  <c r="E58" i="10"/>
  <c r="E125" i="10"/>
  <c r="E131" i="10" s="1"/>
  <c r="F131" i="10" s="1"/>
  <c r="O49" i="5"/>
  <c r="O17" i="5"/>
  <c r="O113" i="6"/>
  <c r="F112" i="10" s="1"/>
  <c r="O17" i="3"/>
  <c r="O125" i="4"/>
  <c r="F59" i="10" s="1"/>
  <c r="O50" i="9"/>
  <c r="D16" i="10" l="1"/>
  <c r="O115" i="5"/>
  <c r="R115" i="5" s="1"/>
  <c r="Q114" i="5"/>
  <c r="O130" i="4"/>
  <c r="F64" i="10" s="1"/>
  <c r="F98" i="10"/>
  <c r="O116" i="1"/>
  <c r="Q110" i="5"/>
  <c r="F93" i="10"/>
  <c r="D48" i="10"/>
  <c r="E48" i="10"/>
  <c r="Q109" i="5"/>
  <c r="O116" i="7"/>
  <c r="D115" i="10"/>
  <c r="F115" i="10" s="1"/>
  <c r="Q107" i="5"/>
  <c r="Q108" i="5"/>
  <c r="Q111" i="5"/>
  <c r="Q112" i="5"/>
  <c r="E16" i="10"/>
  <c r="E64" i="10"/>
  <c r="O116" i="6"/>
  <c r="P82" i="5"/>
  <c r="E147" i="10"/>
  <c r="F147" i="10" s="1"/>
  <c r="Q50" i="1"/>
  <c r="R50" i="1" s="1"/>
  <c r="S50" i="1"/>
  <c r="F16" i="10" l="1"/>
  <c r="P115" i="5"/>
  <c r="Q116" i="1"/>
  <c r="R116" i="1"/>
  <c r="F112" i="7"/>
  <c r="Y15" i="32"/>
  <c r="O116" i="8"/>
</calcChain>
</file>

<file path=xl/sharedStrings.xml><?xml version="1.0" encoding="utf-8"?>
<sst xmlns="http://schemas.openxmlformats.org/spreadsheetml/2006/main" count="2174" uniqueCount="120">
  <si>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</si>
  <si>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</si>
  <si>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</si>
  <si>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</si>
  <si>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</si>
  <si>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</si>
  <si>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</si>
  <si>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</si>
  <si>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</si>
  <si>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</si>
  <si>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</si>
  <si>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</si>
  <si>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</si>
  <si>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</si>
  <si>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</si>
  <si>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</si>
  <si>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</si>
  <si>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</si>
  <si>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apr - juni</t>
  </si>
  <si>
    <t>CIWANDAN</t>
  </si>
  <si>
    <t>CITANGKIL</t>
  </si>
  <si>
    <t>PULOMERAK</t>
  </si>
  <si>
    <t>PURWAKARTA</t>
  </si>
  <si>
    <t>GROGOL</t>
  </si>
  <si>
    <t>CILEGON</t>
  </si>
  <si>
    <t>JOMBANG</t>
  </si>
  <si>
    <t>-</t>
  </si>
  <si>
    <t>CIBEBER</t>
  </si>
  <si>
    <t>JUMLAH</t>
  </si>
  <si>
    <t>DATA LUAS PANEN PADI (SAWAH) PER BULAN</t>
  </si>
  <si>
    <t xml:space="preserve"> </t>
  </si>
  <si>
    <t>DATA PRODUKSI PADI (SAWAH) PER BULAN</t>
  </si>
  <si>
    <t>(Ton GKG)</t>
  </si>
  <si>
    <t>DATA PRODUKTIVITAS PADI (SAWAH) PER BULAN</t>
  </si>
  <si>
    <t>(Ku/Ha)</t>
  </si>
  <si>
    <t>DATA LUAS PUSO PADI (SAWAH) PER BULAN</t>
  </si>
  <si>
    <t>DATA LUAS PUSO KEDELAI PER BULAN</t>
  </si>
  <si>
    <t>DATA LUAS TANAM PADI (DARAT) PER BULAN</t>
  </si>
  <si>
    <t>DATA LUAS PANEN PADI (DARAT) PER BULAN</t>
  </si>
  <si>
    <t>DATA PRODUKSI PADI (DARAT) PER BULAN</t>
  </si>
  <si>
    <t>(Ton)</t>
  </si>
  <si>
    <t>DATA PRODUKTIVITAS PADI (DARAT) PER BULAN</t>
  </si>
  <si>
    <t>DATA LUAS TANAM JAGUNG PER BULAN</t>
  </si>
  <si>
    <t>DATA LUAS PANEN JAGUNG PER BULAN</t>
  </si>
  <si>
    <t>(Ha Panen Muda)</t>
  </si>
  <si>
    <t>DATA PRODUKSI JAGUNG PER BULAN</t>
  </si>
  <si>
    <t>(Ton Tongkol Basah)</t>
  </si>
  <si>
    <t>DATA PRODUKTIVITAS JAGUNG PER BULAN</t>
  </si>
  <si>
    <t>(Ku/Ha Pipilan Kering)</t>
  </si>
  <si>
    <t>(Ku/Ha Tongkol Basah)</t>
  </si>
  <si>
    <t>DATA LUAS TANAM KEDELAI PER BULAN</t>
  </si>
  <si>
    <t>ok-nop</t>
  </si>
  <si>
    <t>DATA LUAS PANEN KEDELAI PER BULAN</t>
  </si>
  <si>
    <t>DATA PRODUKSI KEDELAI PER BULAN</t>
  </si>
  <si>
    <t>DATA PRODUKTIVITAS KEDELAI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</si>
  <si>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</si>
  <si>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</si>
  <si>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</si>
  <si>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</si>
  <si>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KAYU/SINGKONG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</si>
  <si>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</si>
  <si>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</si>
  <si>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</si>
  <si>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</si>
  <si>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</si>
  <si>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</si>
  <si>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</si>
  <si>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</si>
  <si>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</si>
  <si>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</si>
  <si>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</si>
  <si>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TALAS PER BULAN</t>
  </si>
  <si>
    <t>DATA LUAS PANEN TALAS PER BULAN</t>
  </si>
  <si>
    <t>DATA PRODUKSI TALAS PER BULAN</t>
  </si>
  <si>
    <t>DATA PRODUKTIVITAS TALAS PER BULAN</t>
  </si>
  <si>
    <t>DATA LUAS TANAM SORGUM PER BULAN</t>
  </si>
  <si>
    <t>DATA LUAS PANEN SORGUM PER BULAN</t>
  </si>
  <si>
    <t>DATA PRODUKSI SORGUM PER BULAN</t>
  </si>
  <si>
    <t>DATA PRODUKTIVITAS SORGUM PER BULAN</t>
  </si>
  <si>
    <t>DATA LUAS TANAM PORANG PER BULAN</t>
  </si>
  <si>
    <t>DATA LUAS PANEN PORANG PER BULAN</t>
  </si>
  <si>
    <t>DATA PRODUKSI PORANG PER BULAN</t>
  </si>
  <si>
    <t>DATA PRODUKTIVITAS PORANG PER BULAN</t>
  </si>
  <si>
    <t>REALISASI TANAM, PANEN, PRODUKSI DAN PRODUKTIVITAS PADI DAN PALAWIJA</t>
  </si>
  <si>
    <t>1. PADI SAWAH</t>
  </si>
  <si>
    <t>TANAM</t>
  </si>
  <si>
    <t>PANEN</t>
  </si>
  <si>
    <t>PRODUKSI</t>
  </si>
  <si>
    <t>PRODUKTIVITAS</t>
  </si>
  <si>
    <t>2. PADI LADANG</t>
  </si>
  <si>
    <t>3. JAGUNG</t>
  </si>
  <si>
    <t>Jagung Pulut</t>
  </si>
  <si>
    <t>4. KEDELAI</t>
  </si>
  <si>
    <t>5. KACANG TANAH</t>
  </si>
  <si>
    <t>6. UBI KAYU</t>
  </si>
  <si>
    <t>7. UBI JALAR</t>
  </si>
  <si>
    <t>8. KACANG HIJAU</t>
  </si>
  <si>
    <t>9. Talas</t>
  </si>
  <si>
    <t>10. Sorgum</t>
  </si>
  <si>
    <t>11. Porang</t>
  </si>
  <si>
    <t xml:space="preserve">Jagung </t>
  </si>
  <si>
    <t>q</t>
  </si>
  <si>
    <t>mei</t>
  </si>
  <si>
    <t>jun</t>
  </si>
  <si>
    <t>jul</t>
  </si>
  <si>
    <t>agst</t>
  </si>
  <si>
    <t>sep</t>
  </si>
  <si>
    <t xml:space="preserve">okt </t>
  </si>
  <si>
    <t>nov</t>
  </si>
  <si>
    <t>des</t>
  </si>
  <si>
    <t>p</t>
  </si>
  <si>
    <t>KOTA CILEGON TAHUN 2025</t>
  </si>
  <si>
    <t>KOTA CILEGON 2025</t>
  </si>
  <si>
    <t>MARET</t>
  </si>
  <si>
    <t xml:space="preserve">DATA REALISASI HARIAN TANAM PADI SAWAH </t>
  </si>
  <si>
    <t>0.3</t>
  </si>
  <si>
    <t>0.15</t>
  </si>
  <si>
    <t>0.1</t>
  </si>
  <si>
    <t>4.9</t>
  </si>
  <si>
    <t>(Ton Tongkol Kering)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</si>
</sst>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_);_(@_)"/>
    <numFmt numFmtId="166" formatCode="_(* #,##0.00_);_(* \(#,##0.00\);_(* &quot;-&quot;_);_(@_)"/>
    <numFmt numFmtId="167" formatCode="_(* #,##0.0_);_(* \(#,##0.0\);_(* &quot;-&quot;_);_(@_)"/>
    <numFmt numFmtId="168" formatCode="_(* #,##0.0000_);_(* \(#,##0.0000\);_(* &quot;-&quot;_);_(@_)"/>
    <numFmt numFmtId="169" formatCode="_(* #,##0.0_);_(* \(#,##0.0\);_(* &quot;-&quot;??_);_(@_)"/>
    <numFmt numFmtId="170" formatCode="_(* #,##0.000_);_(* \(#,##0.000\);_(* &quot;-&quot;_);_(@_)"/>
  </numFmts>
  <fonts count="11" x14ac:knownFonts="1">
    <font>
      <sz val="11"/>
      <color theme="1"/>
      <name val="Calibri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255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165" fontId="0" fillId="0" borderId="5" xfId="2" applyFont="1" applyBorder="1"/>
    <xf numFmtId="166" fontId="0" fillId="0" borderId="12" xfId="2" applyNumberFormat="1" applyFont="1" applyBorder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165" fontId="0" fillId="0" borderId="11" xfId="2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165" fontId="0" fillId="0" borderId="16" xfId="2" applyFont="1" applyBorder="1"/>
    <xf numFmtId="166" fontId="0" fillId="0" borderId="17" xfId="2" applyNumberFormat="1" applyFont="1" applyBorder="1"/>
    <xf numFmtId="165" fontId="1" fillId="0" borderId="20" xfId="2" applyFont="1" applyBorder="1"/>
    <xf numFmtId="166" fontId="1" fillId="0" borderId="21" xfId="2" applyNumberFormat="1" applyFont="1" applyBorder="1"/>
    <xf numFmtId="0" fontId="2" fillId="0" borderId="0" xfId="0" applyFont="1" applyAlignment="1">
      <alignment horizontal="center" vertical="center"/>
    </xf>
    <xf numFmtId="165" fontId="1" fillId="0" borderId="0" xfId="2" applyFont="1" applyBorder="1"/>
    <xf numFmtId="166" fontId="1" fillId="0" borderId="0" xfId="2" applyNumberFormat="1" applyFont="1" applyBorder="1"/>
    <xf numFmtId="165" fontId="0" fillId="0" borderId="22" xfId="2" applyFont="1" applyBorder="1"/>
    <xf numFmtId="166" fontId="3" fillId="0" borderId="23" xfId="2" applyNumberFormat="1" applyFont="1" applyBorder="1" applyAlignment="1">
      <alignment horizontal="center" vertical="center"/>
    </xf>
    <xf numFmtId="166" fontId="3" fillId="0" borderId="12" xfId="2" applyNumberFormat="1" applyFont="1" applyBorder="1" applyAlignment="1">
      <alignment horizontal="center" vertical="center"/>
    </xf>
    <xf numFmtId="166" fontId="3" fillId="0" borderId="17" xfId="2" applyNumberFormat="1" applyFont="1" applyBorder="1" applyAlignment="1">
      <alignment horizontal="center" vertical="center"/>
    </xf>
    <xf numFmtId="165" fontId="0" fillId="0" borderId="22" xfId="2" applyFont="1" applyBorder="1" applyAlignment="1">
      <alignment horizontal="right"/>
    </xf>
    <xf numFmtId="165" fontId="0" fillId="0" borderId="11" xfId="2" applyFont="1" applyBorder="1" applyAlignment="1">
      <alignment horizontal="right"/>
    </xf>
    <xf numFmtId="165" fontId="0" fillId="0" borderId="16" xfId="2" applyFont="1" applyBorder="1" applyAlignment="1">
      <alignment horizontal="right"/>
    </xf>
    <xf numFmtId="166" fontId="3" fillId="0" borderId="21" xfId="2" applyNumberFormat="1" applyFont="1" applyBorder="1" applyAlignment="1">
      <alignment horizontal="center" vertical="center"/>
    </xf>
    <xf numFmtId="166" fontId="3" fillId="0" borderId="0" xfId="2" applyNumberFormat="1" applyFont="1" applyBorder="1" applyAlignment="1">
      <alignment horizontal="center" vertical="center"/>
    </xf>
    <xf numFmtId="166" fontId="0" fillId="0" borderId="23" xfId="2" applyNumberFormat="1" applyFont="1" applyBorder="1" applyAlignment="1">
      <alignment horizontal="right"/>
    </xf>
    <xf numFmtId="166" fontId="0" fillId="0" borderId="12" xfId="2" applyNumberFormat="1" applyFont="1" applyBorder="1" applyAlignment="1">
      <alignment horizontal="right"/>
    </xf>
    <xf numFmtId="166" fontId="0" fillId="0" borderId="17" xfId="2" applyNumberFormat="1" applyFont="1" applyBorder="1" applyAlignment="1">
      <alignment horizontal="right"/>
    </xf>
    <xf numFmtId="166" fontId="0" fillId="0" borderId="21" xfId="2" applyNumberFormat="1" applyFont="1" applyBorder="1" applyAlignment="1">
      <alignment horizontal="right"/>
    </xf>
    <xf numFmtId="166" fontId="0" fillId="0" borderId="0" xfId="2" applyNumberFormat="1" applyFont="1" applyBorder="1" applyAlignment="1">
      <alignment horizontal="right"/>
    </xf>
    <xf numFmtId="165" fontId="0" fillId="0" borderId="24" xfId="2" applyFont="1" applyBorder="1"/>
    <xf numFmtId="165" fontId="0" fillId="0" borderId="24" xfId="2" applyFont="1" applyBorder="1" applyAlignment="1">
      <alignment horizontal="right"/>
    </xf>
    <xf numFmtId="166" fontId="0" fillId="0" borderId="25" xfId="2" applyNumberFormat="1" applyFont="1" applyBorder="1" applyAlignment="1">
      <alignment horizontal="right"/>
    </xf>
    <xf numFmtId="167" fontId="0" fillId="0" borderId="11" xfId="2" applyNumberFormat="1" applyFont="1" applyBorder="1" applyAlignment="1">
      <alignment horizontal="right"/>
    </xf>
    <xf numFmtId="165" fontId="0" fillId="0" borderId="5" xfId="2" applyFont="1" applyBorder="1" applyAlignment="1">
      <alignment horizontal="right"/>
    </xf>
    <xf numFmtId="166" fontId="0" fillId="0" borderId="6" xfId="2" applyNumberFormat="1" applyFont="1" applyBorder="1" applyAlignment="1">
      <alignment horizontal="right"/>
    </xf>
    <xf numFmtId="167" fontId="0" fillId="0" borderId="5" xfId="2" applyNumberFormat="1" applyFont="1" applyBorder="1" applyAlignment="1">
      <alignment horizontal="right"/>
    </xf>
    <xf numFmtId="165" fontId="0" fillId="0" borderId="26" xfId="2" applyFont="1" applyBorder="1"/>
    <xf numFmtId="165" fontId="0" fillId="0" borderId="26" xfId="2" applyFont="1" applyBorder="1" applyAlignment="1">
      <alignment horizontal="right"/>
    </xf>
    <xf numFmtId="167" fontId="0" fillId="0" borderId="26" xfId="2" applyNumberFormat="1" applyFont="1" applyBorder="1" applyAlignment="1">
      <alignment horizontal="right"/>
    </xf>
    <xf numFmtId="166" fontId="0" fillId="0" borderId="27" xfId="2" applyNumberFormat="1" applyFont="1" applyBorder="1" applyAlignment="1">
      <alignment horizontal="right"/>
    </xf>
    <xf numFmtId="167" fontId="1" fillId="0" borderId="20" xfId="2" applyNumberFormat="1" applyFont="1" applyBorder="1"/>
    <xf numFmtId="167" fontId="1" fillId="0" borderId="0" xfId="2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8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165" fontId="3" fillId="0" borderId="24" xfId="2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3" fillId="0" borderId="11" xfId="2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3" fillId="0" borderId="14" xfId="2" applyFont="1" applyBorder="1" applyAlignment="1">
      <alignment horizontal="center" vertical="center"/>
    </xf>
    <xf numFmtId="165" fontId="2" fillId="0" borderId="32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3" fillId="0" borderId="14" xfId="2" applyNumberFormat="1" applyFont="1" applyBorder="1" applyAlignment="1">
      <alignment horizontal="right" vertical="center"/>
    </xf>
    <xf numFmtId="167" fontId="2" fillId="0" borderId="32" xfId="2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/>
    <xf numFmtId="165" fontId="2" fillId="0" borderId="24" xfId="2" applyFont="1" applyBorder="1" applyAlignment="1">
      <alignment horizontal="center" vertical="center"/>
    </xf>
    <xf numFmtId="165" fontId="2" fillId="0" borderId="11" xfId="2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 vertical="center"/>
    </xf>
    <xf numFmtId="167" fontId="2" fillId="0" borderId="16" xfId="2" applyNumberFormat="1" applyFont="1" applyBorder="1" applyAlignment="1">
      <alignment horizontal="center" vertical="center"/>
    </xf>
    <xf numFmtId="165" fontId="0" fillId="0" borderId="0" xfId="2" applyFont="1"/>
    <xf numFmtId="165" fontId="2" fillId="0" borderId="5" xfId="2" applyFont="1" applyFill="1" applyBorder="1" applyAlignment="1">
      <alignment horizontal="center" vertical="center"/>
    </xf>
    <xf numFmtId="165" fontId="0" fillId="0" borderId="0" xfId="0" applyNumberFormat="1"/>
    <xf numFmtId="166" fontId="3" fillId="0" borderId="24" xfId="2" applyNumberFormat="1" applyFont="1" applyBorder="1" applyAlignment="1">
      <alignment horizontal="center" vertical="center"/>
    </xf>
    <xf numFmtId="166" fontId="3" fillId="0" borderId="11" xfId="2" applyNumberFormat="1" applyFont="1" applyBorder="1" applyAlignment="1">
      <alignment horizontal="center" vertical="center"/>
    </xf>
    <xf numFmtId="166" fontId="3" fillId="0" borderId="14" xfId="2" applyNumberFormat="1" applyFont="1" applyBorder="1" applyAlignment="1">
      <alignment horizontal="center" vertical="center"/>
    </xf>
    <xf numFmtId="166" fontId="2" fillId="0" borderId="32" xfId="2" applyNumberFormat="1" applyFont="1" applyBorder="1" applyAlignment="1">
      <alignment horizontal="center" vertical="center"/>
    </xf>
    <xf numFmtId="166" fontId="2" fillId="0" borderId="24" xfId="2" applyNumberFormat="1" applyFont="1" applyBorder="1" applyAlignment="1">
      <alignment horizontal="center" vertical="center"/>
    </xf>
    <xf numFmtId="166" fontId="2" fillId="0" borderId="11" xfId="2" applyNumberFormat="1" applyFont="1" applyBorder="1" applyAlignment="1">
      <alignment horizontal="center" vertical="center"/>
    </xf>
    <xf numFmtId="164" fontId="0" fillId="0" borderId="0" xfId="0" applyNumberFormat="1"/>
    <xf numFmtId="165" fontId="3" fillId="0" borderId="24" xfId="2" applyFont="1" applyBorder="1" applyAlignment="1">
      <alignment horizontal="right" vertical="center"/>
    </xf>
    <xf numFmtId="165" fontId="3" fillId="0" borderId="11" xfId="2" applyFont="1" applyBorder="1" applyAlignment="1">
      <alignment horizontal="right" vertical="center"/>
    </xf>
    <xf numFmtId="167" fontId="3" fillId="0" borderId="11" xfId="2" applyNumberFormat="1" applyFont="1" applyBorder="1" applyAlignment="1">
      <alignment horizontal="center" vertical="center"/>
    </xf>
    <xf numFmtId="165" fontId="3" fillId="0" borderId="14" xfId="2" applyFont="1" applyBorder="1" applyAlignment="1">
      <alignment horizontal="right" vertical="center"/>
    </xf>
    <xf numFmtId="167" fontId="2" fillId="0" borderId="24" xfId="2" applyNumberFormat="1" applyFont="1" applyBorder="1" applyAlignment="1">
      <alignment horizontal="center" vertical="center"/>
    </xf>
    <xf numFmtId="167" fontId="2" fillId="0" borderId="11" xfId="2" applyNumberFormat="1" applyFont="1" applyBorder="1" applyAlignment="1">
      <alignment horizontal="center" vertical="center"/>
    </xf>
    <xf numFmtId="165" fontId="2" fillId="0" borderId="16" xfId="2" applyFont="1" applyBorder="1" applyAlignment="1">
      <alignment horizontal="center" vertical="center"/>
    </xf>
    <xf numFmtId="167" fontId="3" fillId="0" borderId="24" xfId="2" applyNumberFormat="1" applyFont="1" applyBorder="1" applyAlignment="1">
      <alignment horizontal="center" vertical="center"/>
    </xf>
    <xf numFmtId="165" fontId="5" fillId="0" borderId="24" xfId="2" applyFont="1" applyFill="1" applyBorder="1" applyAlignment="1">
      <alignment horizontal="right" vertical="center"/>
    </xf>
    <xf numFmtId="165" fontId="5" fillId="0" borderId="11" xfId="2" applyFont="1" applyFill="1" applyBorder="1" applyAlignment="1">
      <alignment horizontal="right" vertical="center"/>
    </xf>
    <xf numFmtId="165" fontId="5" fillId="0" borderId="24" xfId="2" applyFont="1" applyFill="1" applyBorder="1" applyAlignment="1">
      <alignment horizontal="center" vertical="center"/>
    </xf>
    <xf numFmtId="167" fontId="3" fillId="0" borderId="24" xfId="2" applyNumberFormat="1" applyFont="1" applyBorder="1" applyAlignment="1">
      <alignment horizontal="right" vertical="center"/>
    </xf>
    <xf numFmtId="165" fontId="5" fillId="0" borderId="11" xfId="2" applyFont="1" applyFill="1" applyBorder="1" applyAlignment="1">
      <alignment horizontal="center" vertical="center"/>
    </xf>
    <xf numFmtId="167" fontId="5" fillId="0" borderId="24" xfId="2" applyNumberFormat="1" applyFont="1" applyFill="1" applyBorder="1" applyAlignment="1">
      <alignment horizontal="center" vertical="center"/>
    </xf>
    <xf numFmtId="167" fontId="5" fillId="0" borderId="11" xfId="2" applyNumberFormat="1" applyFont="1" applyFill="1" applyBorder="1" applyAlignment="1">
      <alignment horizontal="center" vertical="center"/>
    </xf>
    <xf numFmtId="167" fontId="5" fillId="0" borderId="11" xfId="2" applyNumberFormat="1" applyFont="1" applyFill="1" applyBorder="1" applyAlignment="1">
      <alignment horizontal="right" vertical="center"/>
    </xf>
    <xf numFmtId="167" fontId="3" fillId="0" borderId="11" xfId="2" applyNumberFormat="1" applyFont="1" applyBorder="1" applyAlignment="1">
      <alignment horizontal="right" vertical="center"/>
    </xf>
    <xf numFmtId="166" fontId="5" fillId="0" borderId="24" xfId="2" applyNumberFormat="1" applyFont="1" applyFill="1" applyBorder="1" applyAlignment="1">
      <alignment horizontal="center" vertical="center"/>
    </xf>
    <xf numFmtId="166" fontId="3" fillId="0" borderId="24" xfId="2" applyNumberFormat="1" applyFont="1" applyBorder="1" applyAlignment="1">
      <alignment horizontal="right" vertical="center"/>
    </xf>
    <xf numFmtId="166" fontId="3" fillId="0" borderId="11" xfId="2" applyNumberFormat="1" applyFont="1" applyBorder="1" applyAlignment="1">
      <alignment horizontal="right" vertical="center"/>
    </xf>
    <xf numFmtId="166" fontId="5" fillId="0" borderId="34" xfId="2" applyNumberFormat="1" applyFont="1" applyFill="1" applyBorder="1" applyAlignment="1">
      <alignment horizontal="center" vertical="center"/>
    </xf>
    <xf numFmtId="166" fontId="3" fillId="0" borderId="14" xfId="2" applyNumberFormat="1" applyFont="1" applyBorder="1" applyAlignment="1">
      <alignment horizontal="right" vertical="center"/>
    </xf>
    <xf numFmtId="166" fontId="0" fillId="0" borderId="24" xfId="2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right" vertical="center"/>
    </xf>
    <xf numFmtId="167" fontId="2" fillId="0" borderId="35" xfId="2" applyNumberFormat="1" applyFont="1" applyBorder="1" applyAlignment="1">
      <alignment horizontal="center" vertical="center"/>
    </xf>
    <xf numFmtId="168" fontId="3" fillId="0" borderId="11" xfId="2" applyNumberFormat="1" applyFont="1" applyBorder="1" applyAlignment="1">
      <alignment horizontal="right" vertical="center"/>
    </xf>
    <xf numFmtId="169" fontId="3" fillId="0" borderId="35" xfId="1" applyNumberFormat="1" applyFont="1" applyBorder="1" applyAlignment="1">
      <alignment horizontal="right" vertical="center"/>
    </xf>
    <xf numFmtId="166" fontId="3" fillId="0" borderId="35" xfId="2" applyNumberFormat="1" applyFont="1" applyBorder="1" applyAlignment="1">
      <alignment horizontal="center" vertical="center"/>
    </xf>
    <xf numFmtId="166" fontId="3" fillId="0" borderId="35" xfId="2" applyNumberFormat="1" applyFont="1" applyBorder="1" applyAlignment="1">
      <alignment horizontal="right" vertical="center"/>
    </xf>
    <xf numFmtId="167" fontId="2" fillId="0" borderId="14" xfId="2" applyNumberFormat="1" applyFont="1" applyBorder="1" applyAlignment="1">
      <alignment horizontal="center" vertical="center"/>
    </xf>
    <xf numFmtId="166" fontId="2" fillId="0" borderId="34" xfId="2" applyNumberFormat="1" applyFont="1" applyBorder="1" applyAlignment="1">
      <alignment horizontal="center" vertical="center"/>
    </xf>
    <xf numFmtId="166" fontId="2" fillId="0" borderId="32" xfId="2" applyNumberFormat="1" applyFont="1" applyBorder="1" applyAlignment="1">
      <alignment horizontal="right" vertical="center"/>
    </xf>
    <xf numFmtId="170" fontId="3" fillId="0" borderId="11" xfId="2" applyNumberFormat="1" applyFont="1" applyBorder="1" applyAlignment="1">
      <alignment horizontal="right" vertical="center"/>
    </xf>
    <xf numFmtId="165" fontId="2" fillId="0" borderId="35" xfId="2" applyFont="1" applyBorder="1" applyAlignment="1">
      <alignment horizontal="center" vertical="center"/>
    </xf>
    <xf numFmtId="166" fontId="2" fillId="0" borderId="22" xfId="2" applyNumberFormat="1" applyFont="1" applyBorder="1" applyAlignment="1">
      <alignment horizontal="center" vertical="center"/>
    </xf>
    <xf numFmtId="165" fontId="3" fillId="0" borderId="24" xfId="2" applyFont="1" applyFill="1" applyBorder="1" applyAlignment="1">
      <alignment horizontal="center" vertical="center"/>
    </xf>
    <xf numFmtId="165" fontId="3" fillId="0" borderId="11" xfId="2" applyFont="1" applyFill="1" applyBorder="1" applyAlignment="1">
      <alignment horizontal="center" vertical="center"/>
    </xf>
    <xf numFmtId="167" fontId="3" fillId="0" borderId="11" xfId="2" applyNumberFormat="1" applyFont="1" applyFill="1" applyBorder="1" applyAlignment="1">
      <alignment horizontal="center" vertical="center"/>
    </xf>
    <xf numFmtId="165" fontId="2" fillId="0" borderId="0" xfId="2" applyFont="1" applyBorder="1" applyAlignment="1">
      <alignment horizontal="center" vertical="center"/>
    </xf>
    <xf numFmtId="165" fontId="3" fillId="0" borderId="24" xfId="2" applyFont="1" applyFill="1" applyBorder="1" applyAlignment="1">
      <alignment horizontal="right" vertical="center"/>
    </xf>
    <xf numFmtId="165" fontId="3" fillId="0" borderId="11" xfId="2" applyFont="1" applyFill="1" applyBorder="1" applyAlignment="1">
      <alignment horizontal="right" vertical="center"/>
    </xf>
    <xf numFmtId="167" fontId="3" fillId="0" borderId="24" xfId="2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3" fillId="0" borderId="24" xfId="2" applyNumberFormat="1" applyFont="1" applyFill="1" applyBorder="1" applyAlignment="1">
      <alignment horizontal="center" vertical="center"/>
    </xf>
    <xf numFmtId="166" fontId="3" fillId="0" borderId="11" xfId="2" applyNumberFormat="1" applyFont="1" applyFill="1" applyBorder="1" applyAlignment="1">
      <alignment horizontal="center" vertical="center"/>
    </xf>
    <xf numFmtId="166" fontId="7" fillId="0" borderId="32" xfId="2" applyNumberFormat="1" applyFont="1" applyFill="1" applyBorder="1" applyAlignment="1">
      <alignment horizontal="center" vertical="center"/>
    </xf>
    <xf numFmtId="166" fontId="2" fillId="0" borderId="16" xfId="2" applyNumberFormat="1" applyFont="1" applyBorder="1" applyAlignment="1">
      <alignment horizontal="center" vertical="center"/>
    </xf>
    <xf numFmtId="166" fontId="2" fillId="0" borderId="33" xfId="2" applyNumberFormat="1" applyFont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166" fontId="0" fillId="0" borderId="0" xfId="0" applyNumberFormat="1"/>
    <xf numFmtId="2" fontId="0" fillId="0" borderId="0" xfId="0" applyNumberFormat="1"/>
    <xf numFmtId="167" fontId="5" fillId="0" borderId="24" xfId="2" applyNumberFormat="1" applyFont="1" applyBorder="1" applyAlignment="1">
      <alignment horizontal="center" vertical="center"/>
    </xf>
    <xf numFmtId="167" fontId="5" fillId="0" borderId="11" xfId="2" applyNumberFormat="1" applyFont="1" applyBorder="1" applyAlignment="1">
      <alignment horizontal="center" vertical="center"/>
    </xf>
    <xf numFmtId="167" fontId="5" fillId="0" borderId="16" xfId="2" applyNumberFormat="1" applyFont="1" applyBorder="1" applyAlignment="1">
      <alignment horizontal="center" vertical="center"/>
    </xf>
    <xf numFmtId="167" fontId="5" fillId="0" borderId="24" xfId="2" applyNumberFormat="1" applyFont="1" applyBorder="1" applyAlignment="1">
      <alignment horizontal="right" vertical="center"/>
    </xf>
    <xf numFmtId="165" fontId="5" fillId="0" borderId="24" xfId="2" applyFont="1" applyBorder="1" applyAlignment="1">
      <alignment horizontal="right" vertical="center"/>
    </xf>
    <xf numFmtId="165" fontId="5" fillId="0" borderId="11" xfId="2" applyFont="1" applyBorder="1" applyAlignment="1">
      <alignment horizontal="center" vertical="center"/>
    </xf>
    <xf numFmtId="167" fontId="5" fillId="0" borderId="11" xfId="2" applyNumberFormat="1" applyFont="1" applyBorder="1" applyAlignment="1">
      <alignment horizontal="right" vertical="center"/>
    </xf>
    <xf numFmtId="165" fontId="5" fillId="0" borderId="11" xfId="2" applyFont="1" applyBorder="1" applyAlignment="1">
      <alignment horizontal="right" vertical="center"/>
    </xf>
    <xf numFmtId="169" fontId="3" fillId="0" borderId="11" xfId="1" applyNumberFormat="1" applyFont="1" applyBorder="1" applyAlignment="1">
      <alignment horizontal="right" vertical="center"/>
    </xf>
    <xf numFmtId="165" fontId="5" fillId="0" borderId="16" xfId="2" applyFont="1" applyBorder="1" applyAlignment="1">
      <alignment horizontal="right" vertical="center"/>
    </xf>
    <xf numFmtId="169" fontId="5" fillId="0" borderId="24" xfId="1" applyNumberFormat="1" applyFont="1" applyBorder="1" applyAlignment="1">
      <alignment horizontal="center" vertical="center"/>
    </xf>
    <xf numFmtId="169" fontId="5" fillId="0" borderId="11" xfId="1" applyNumberFormat="1" applyFont="1" applyBorder="1" applyAlignment="1">
      <alignment horizontal="right" vertical="center"/>
    </xf>
    <xf numFmtId="169" fontId="5" fillId="0" borderId="11" xfId="1" applyNumberFormat="1" applyFont="1" applyBorder="1" applyAlignment="1">
      <alignment horizontal="center" vertical="center"/>
    </xf>
    <xf numFmtId="167" fontId="5" fillId="0" borderId="16" xfId="2" applyNumberFormat="1" applyFont="1" applyBorder="1" applyAlignment="1">
      <alignment horizontal="right" vertical="center"/>
    </xf>
    <xf numFmtId="169" fontId="5" fillId="0" borderId="16" xfId="1" applyNumberFormat="1" applyFont="1" applyBorder="1" applyAlignment="1">
      <alignment horizontal="right" vertical="center"/>
    </xf>
    <xf numFmtId="169" fontId="2" fillId="0" borderId="32" xfId="1" applyNumberFormat="1" applyFont="1" applyBorder="1" applyAlignment="1">
      <alignment horizontal="center" vertical="center"/>
    </xf>
    <xf numFmtId="165" fontId="5" fillId="0" borderId="24" xfId="2" applyFont="1" applyBorder="1" applyAlignment="1">
      <alignment horizontal="center" vertical="center"/>
    </xf>
    <xf numFmtId="165" fontId="2" fillId="0" borderId="11" xfId="2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167" fontId="2" fillId="0" borderId="11" xfId="2" applyNumberFormat="1" applyFont="1" applyBorder="1" applyAlignment="1">
      <alignment horizontal="right" vertical="center"/>
    </xf>
    <xf numFmtId="166" fontId="5" fillId="0" borderId="11" xfId="2" applyNumberFormat="1" applyFont="1" applyBorder="1" applyAlignment="1">
      <alignment horizontal="center" vertical="center"/>
    </xf>
    <xf numFmtId="166" fontId="5" fillId="0" borderId="24" xfId="2" applyNumberFormat="1" applyFont="1" applyBorder="1" applyAlignment="1">
      <alignment horizontal="center" vertical="center"/>
    </xf>
    <xf numFmtId="166" fontId="8" fillId="0" borderId="24" xfId="2" applyNumberFormat="1" applyFont="1" applyBorder="1" applyAlignment="1">
      <alignment horizontal="center" vertical="center"/>
    </xf>
    <xf numFmtId="166" fontId="5" fillId="0" borderId="11" xfId="2" applyNumberFormat="1" applyFont="1" applyBorder="1" applyAlignment="1">
      <alignment horizontal="right" vertical="center"/>
    </xf>
    <xf numFmtId="166" fontId="5" fillId="0" borderId="16" xfId="2" applyNumberFormat="1" applyFont="1" applyBorder="1" applyAlignment="1">
      <alignment horizontal="right" vertical="center"/>
    </xf>
    <xf numFmtId="166" fontId="3" fillId="0" borderId="16" xfId="2" applyNumberFormat="1" applyFont="1" applyBorder="1" applyAlignment="1">
      <alignment horizontal="right" vertical="center"/>
    </xf>
    <xf numFmtId="166" fontId="2" fillId="0" borderId="33" xfId="2" applyNumberFormat="1" applyFont="1" applyBorder="1" applyAlignment="1">
      <alignment horizontal="right" vertical="center"/>
    </xf>
    <xf numFmtId="166" fontId="8" fillId="0" borderId="24" xfId="2" applyNumberFormat="1" applyFont="1" applyBorder="1" applyAlignment="1">
      <alignment horizontal="right" vertical="center"/>
    </xf>
    <xf numFmtId="166" fontId="2" fillId="0" borderId="11" xfId="2" applyNumberFormat="1" applyFont="1" applyBorder="1" applyAlignment="1">
      <alignment horizontal="right" vertical="center"/>
    </xf>
    <xf numFmtId="166" fontId="5" fillId="0" borderId="16" xfId="2" applyNumberFormat="1" applyFont="1" applyBorder="1" applyAlignment="1">
      <alignment horizontal="center" vertical="center"/>
    </xf>
    <xf numFmtId="166" fontId="3" fillId="0" borderId="16" xfId="2" applyNumberFormat="1" applyFont="1" applyBorder="1" applyAlignment="1">
      <alignment horizontal="center" vertical="center"/>
    </xf>
    <xf numFmtId="166" fontId="2" fillId="0" borderId="5" xfId="2" applyNumberFormat="1" applyFont="1" applyBorder="1" applyAlignment="1">
      <alignment horizontal="center" vertical="center"/>
    </xf>
    <xf numFmtId="2" fontId="2" fillId="0" borderId="22" xfId="2" applyNumberFormat="1" applyFont="1" applyBorder="1" applyAlignment="1">
      <alignment horizontal="right" vertical="center"/>
    </xf>
    <xf numFmtId="166" fontId="2" fillId="0" borderId="16" xfId="2" applyNumberFormat="1" applyFont="1" applyBorder="1" applyAlignment="1">
      <alignment horizontal="right" vertical="center"/>
    </xf>
    <xf numFmtId="165" fontId="3" fillId="2" borderId="24" xfId="2" applyFont="1" applyFill="1" applyBorder="1" applyAlignment="1">
      <alignment horizontal="center" vertical="center"/>
    </xf>
    <xf numFmtId="165" fontId="3" fillId="2" borderId="11" xfId="2" applyFont="1" applyFill="1" applyBorder="1" applyAlignment="1">
      <alignment horizontal="center" vertical="center"/>
    </xf>
    <xf numFmtId="165" fontId="2" fillId="0" borderId="22" xfId="2" applyFont="1" applyBorder="1" applyAlignment="1">
      <alignment horizontal="center" vertical="center"/>
    </xf>
    <xf numFmtId="165" fontId="2" fillId="0" borderId="34" xfId="2" applyFont="1" applyBorder="1" applyAlignment="1">
      <alignment horizontal="center" vertical="center"/>
    </xf>
    <xf numFmtId="167" fontId="2" fillId="0" borderId="34" xfId="2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3" fillId="0" borderId="16" xfId="2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165" fontId="5" fillId="2" borderId="24" xfId="2" applyFont="1" applyFill="1" applyBorder="1" applyAlignment="1">
      <alignment horizontal="center" vertical="center"/>
    </xf>
    <xf numFmtId="165" fontId="5" fillId="2" borderId="24" xfId="2" applyFont="1" applyFill="1" applyBorder="1" applyAlignment="1">
      <alignment horizontal="right" vertical="center"/>
    </xf>
    <xf numFmtId="165" fontId="5" fillId="2" borderId="11" xfId="2" applyFont="1" applyFill="1" applyBorder="1" applyAlignment="1">
      <alignment horizontal="center" vertical="center"/>
    </xf>
    <xf numFmtId="165" fontId="3" fillId="2" borderId="11" xfId="2" applyFont="1" applyFill="1" applyBorder="1" applyAlignment="1">
      <alignment horizontal="right" vertical="center"/>
    </xf>
    <xf numFmtId="165" fontId="5" fillId="0" borderId="14" xfId="2" applyFont="1" applyBorder="1" applyAlignment="1">
      <alignment horizontal="right" vertical="center"/>
    </xf>
    <xf numFmtId="0" fontId="5" fillId="0" borderId="11" xfId="2" applyNumberFormat="1" applyFont="1" applyBorder="1" applyAlignment="1">
      <alignment horizontal="right" vertical="center"/>
    </xf>
    <xf numFmtId="165" fontId="5" fillId="0" borderId="16" xfId="2" applyFont="1" applyFill="1" applyBorder="1" applyAlignment="1">
      <alignment horizontal="center" vertical="center"/>
    </xf>
    <xf numFmtId="165" fontId="3" fillId="0" borderId="14" xfId="2" applyFont="1" applyFill="1" applyBorder="1" applyAlignment="1">
      <alignment horizontal="center" vertical="center"/>
    </xf>
    <xf numFmtId="165" fontId="5" fillId="0" borderId="14" xfId="2" applyFont="1" applyFill="1" applyBorder="1" applyAlignment="1">
      <alignment horizontal="center" vertical="center"/>
    </xf>
    <xf numFmtId="165" fontId="7" fillId="0" borderId="32" xfId="2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5" fontId="2" fillId="2" borderId="24" xfId="2" applyFont="1" applyFill="1" applyBorder="1" applyAlignment="1">
      <alignment horizontal="center" vertical="center"/>
    </xf>
    <xf numFmtId="165" fontId="2" fillId="2" borderId="11" xfId="2" applyFont="1" applyFill="1" applyBorder="1" applyAlignment="1">
      <alignment horizontal="center" vertical="center"/>
    </xf>
    <xf numFmtId="165" fontId="3" fillId="0" borderId="14" xfId="2" applyFont="1" applyFill="1" applyBorder="1" applyAlignment="1">
      <alignment horizontal="right" vertical="center"/>
    </xf>
    <xf numFmtId="165" fontId="2" fillId="0" borderId="16" xfId="2" applyFont="1" applyFill="1" applyBorder="1" applyAlignment="1">
      <alignment horizontal="center" vertical="center"/>
    </xf>
    <xf numFmtId="165" fontId="2" fillId="0" borderId="0" xfId="2" applyFont="1" applyFill="1" applyBorder="1" applyAlignment="1">
      <alignment horizontal="center" vertical="center"/>
    </xf>
    <xf numFmtId="165" fontId="2" fillId="0" borderId="32" xfId="2" applyFont="1" applyFill="1" applyBorder="1" applyAlignment="1">
      <alignment horizontal="center" vertical="center"/>
    </xf>
    <xf numFmtId="165" fontId="2" fillId="0" borderId="36" xfId="2" applyFont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69" fontId="3" fillId="0" borderId="11" xfId="1" applyNumberFormat="1" applyFont="1" applyFill="1" applyBorder="1" applyAlignment="1">
      <alignment horizontal="center" vertical="center"/>
    </xf>
    <xf numFmtId="169" fontId="3" fillId="0" borderId="11" xfId="1" applyNumberFormat="1" applyFont="1" applyBorder="1" applyAlignment="1">
      <alignment horizontal="center" vertical="center"/>
    </xf>
    <xf numFmtId="167" fontId="5" fillId="0" borderId="16" xfId="2" applyNumberFormat="1" applyFont="1" applyFill="1" applyBorder="1" applyAlignment="1">
      <alignment horizontal="center" vertical="center"/>
    </xf>
    <xf numFmtId="169" fontId="3" fillId="0" borderId="14" xfId="1" applyNumberFormat="1" applyFont="1" applyFill="1" applyBorder="1" applyAlignment="1">
      <alignment horizontal="center" vertical="center"/>
    </xf>
    <xf numFmtId="167" fontId="3" fillId="0" borderId="14" xfId="2" applyNumberFormat="1" applyFont="1" applyFill="1" applyBorder="1" applyAlignment="1">
      <alignment horizontal="center" vertical="center"/>
    </xf>
    <xf numFmtId="167" fontId="3" fillId="0" borderId="14" xfId="2" applyNumberFormat="1" applyFont="1" applyFill="1" applyBorder="1" applyAlignment="1">
      <alignment horizontal="right" vertical="center"/>
    </xf>
    <xf numFmtId="164" fontId="5" fillId="0" borderId="24" xfId="1" applyFont="1" applyBorder="1" applyAlignment="1">
      <alignment horizontal="center" vertical="center"/>
    </xf>
    <xf numFmtId="166" fontId="3" fillId="2" borderId="24" xfId="2" applyNumberFormat="1" applyFont="1" applyFill="1" applyBorder="1" applyAlignment="1">
      <alignment horizontal="center" vertical="center"/>
    </xf>
    <xf numFmtId="166" fontId="5" fillId="0" borderId="11" xfId="2" applyNumberFormat="1" applyFont="1" applyFill="1" applyBorder="1" applyAlignment="1">
      <alignment horizontal="center" vertical="center"/>
    </xf>
    <xf numFmtId="164" fontId="3" fillId="0" borderId="11" xfId="1" applyFont="1" applyFill="1" applyBorder="1" applyAlignment="1">
      <alignment horizontal="center" vertical="center"/>
    </xf>
    <xf numFmtId="164" fontId="3" fillId="0" borderId="11" xfId="1" applyFont="1" applyBorder="1" applyAlignment="1">
      <alignment horizontal="center" vertical="center"/>
    </xf>
    <xf numFmtId="166" fontId="5" fillId="0" borderId="16" xfId="2" applyNumberFormat="1" applyFont="1" applyFill="1" applyBorder="1" applyAlignment="1">
      <alignment horizontal="center" vertical="center"/>
    </xf>
    <xf numFmtId="164" fontId="3" fillId="0" borderId="14" xfId="1" applyFont="1" applyFill="1" applyBorder="1" applyAlignment="1">
      <alignment horizontal="center" vertical="center"/>
    </xf>
    <xf numFmtId="166" fontId="3" fillId="0" borderId="14" xfId="2" applyNumberFormat="1" applyFont="1" applyFill="1" applyBorder="1" applyAlignment="1">
      <alignment horizontal="center" vertical="center"/>
    </xf>
    <xf numFmtId="166" fontId="3" fillId="0" borderId="14" xfId="2" applyNumberFormat="1" applyFont="1" applyFill="1" applyBorder="1" applyAlignment="1">
      <alignment horizontal="right" vertical="center"/>
    </xf>
    <xf numFmtId="2" fontId="0" fillId="0" borderId="0" xfId="0" applyNumberFormat="1" applyAlignment="1">
      <alignment horizontal="center"/>
    </xf>
    <xf numFmtId="167" fontId="5" fillId="2" borderId="24" xfId="2" applyNumberFormat="1" applyFont="1" applyFill="1" applyBorder="1" applyAlignment="1">
      <alignment horizontal="center" vertical="center"/>
    </xf>
    <xf numFmtId="167" fontId="2" fillId="2" borderId="24" xfId="2" applyNumberFormat="1" applyFont="1" applyFill="1" applyBorder="1" applyAlignment="1">
      <alignment horizontal="center" vertical="center"/>
    </xf>
    <xf numFmtId="167" fontId="2" fillId="0" borderId="16" xfId="2" applyNumberFormat="1" applyFont="1" applyFill="1" applyBorder="1" applyAlignment="1">
      <alignment horizontal="center" vertical="center"/>
    </xf>
    <xf numFmtId="166" fontId="5" fillId="2" borderId="24" xfId="2" applyNumberFormat="1" applyFont="1" applyFill="1" applyBorder="1" applyAlignment="1">
      <alignment horizontal="center" vertical="center"/>
    </xf>
    <xf numFmtId="166" fontId="2" fillId="0" borderId="0" xfId="2" applyNumberFormat="1" applyFont="1" applyBorder="1" applyAlignment="1">
      <alignment horizontal="center" vertical="center"/>
    </xf>
    <xf numFmtId="166" fontId="2" fillId="0" borderId="16" xfId="2" applyNumberFormat="1" applyFont="1" applyFill="1" applyBorder="1" applyAlignment="1">
      <alignment horizontal="center" vertical="center"/>
    </xf>
    <xf numFmtId="166" fontId="2" fillId="0" borderId="0" xfId="2" applyNumberFormat="1" applyFont="1" applyFill="1" applyBorder="1" applyAlignment="1">
      <alignment horizontal="center" vertical="center"/>
    </xf>
    <xf numFmtId="2" fontId="2" fillId="0" borderId="32" xfId="2" applyNumberFormat="1" applyFont="1" applyBorder="1" applyAlignment="1">
      <alignment horizontal="center" vertical="center"/>
    </xf>
    <xf numFmtId="165" fontId="3" fillId="0" borderId="11" xfId="2" quotePrefix="1" applyFont="1" applyBorder="1" applyAlignment="1">
      <alignment horizontal="right" vertical="center"/>
    </xf>
    <xf numFmtId="167" fontId="3" fillId="0" borderId="11" xfId="2" applyNumberFormat="1" applyFont="1" applyFill="1" applyBorder="1" applyAlignment="1">
      <alignment horizontal="right" vertical="center"/>
    </xf>
    <xf numFmtId="166" fontId="3" fillId="0" borderId="11" xfId="2" applyNumberFormat="1" applyFont="1" applyFill="1" applyBorder="1" applyAlignment="1">
      <alignment horizontal="right" vertical="center"/>
    </xf>
    <xf numFmtId="0" fontId="3" fillId="2" borderId="34" xfId="0" applyFont="1" applyFill="1" applyBorder="1" applyAlignment="1">
      <alignment horizontal="left" vertical="center"/>
    </xf>
    <xf numFmtId="165" fontId="3" fillId="2" borderId="34" xfId="2" applyFont="1" applyFill="1" applyBorder="1" applyAlignment="1">
      <alignment horizontal="center" vertical="center"/>
    </xf>
    <xf numFmtId="164" fontId="2" fillId="0" borderId="32" xfId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"/>
  <sheetViews>
    <sheetView tabSelected="1" zoomScale="90" zoomScaleNormal="90" workbookViewId="0">
      <selection activeCell="N1" sqref="N1"/>
    </sheetView>
  </sheetViews>
  <sheetFormatPr defaultColWidth="9" defaultRowHeight="15" x14ac:dyDescent="0.25"/>
  <cols>
    <col min="1" max="1" width="4" customWidth="1"/>
    <col min="2" max="2" width="14.42578125" customWidth="1"/>
    <col min="3" max="14" width="8.5703125" customWidth="1"/>
    <col min="15" max="15" width="10.7109375" customWidth="1"/>
    <col min="16" max="16" width="8.5703125" customWidth="1"/>
    <col min="18" max="19" width="10" customWidth="1"/>
  </cols>
  <sheetData>
    <row r="1" spans="1:20" ht="15" customHeight="1" x14ac:dyDescent="0.25"/>
    <row r="2" spans="1:20" ht="18.75" x14ac:dyDescent="0.3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55"/>
    </row>
    <row r="3" spans="1:20" ht="18.75" x14ac:dyDescent="0.3">
      <c r="A3" s="242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55"/>
    </row>
    <row r="4" spans="1:20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20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  <c r="P5" s="69"/>
    </row>
    <row r="6" spans="1:20" x14ac:dyDescent="0.25">
      <c r="A6" s="237" t="s">
        <v>2</v>
      </c>
      <c r="B6" s="237" t="s">
        <v>3</v>
      </c>
      <c r="C6" s="243" t="s">
        <v>4</v>
      </c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37" t="s">
        <v>5</v>
      </c>
      <c r="P6" s="25"/>
      <c r="S6" t="s">
        <v>102</v>
      </c>
      <c r="T6">
        <v>130</v>
      </c>
    </row>
    <row r="7" spans="1:20" x14ac:dyDescent="0.25">
      <c r="A7" s="238"/>
      <c r="B7" s="238"/>
      <c r="C7" s="176" t="s">
        <v>6</v>
      </c>
      <c r="D7" s="176" t="s">
        <v>7</v>
      </c>
      <c r="E7" s="176" t="s">
        <v>8</v>
      </c>
      <c r="F7" s="183" t="s">
        <v>9</v>
      </c>
      <c r="G7" s="176" t="s">
        <v>10</v>
      </c>
      <c r="H7" s="176" t="s">
        <v>11</v>
      </c>
      <c r="I7" s="176" t="s">
        <v>12</v>
      </c>
      <c r="J7" s="176" t="s">
        <v>13</v>
      </c>
      <c r="K7" s="176" t="s">
        <v>14</v>
      </c>
      <c r="L7" s="176" t="s">
        <v>15</v>
      </c>
      <c r="M7" s="176" t="s">
        <v>16</v>
      </c>
      <c r="N7" s="176" t="s">
        <v>17</v>
      </c>
      <c r="O7" s="244"/>
      <c r="P7" s="25"/>
      <c r="Q7" s="204" t="s">
        <v>18</v>
      </c>
      <c r="S7" t="s">
        <v>103</v>
      </c>
      <c r="T7">
        <v>108</v>
      </c>
    </row>
    <row r="8" spans="1:20" x14ac:dyDescent="0.25">
      <c r="A8" s="177">
        <v>1</v>
      </c>
      <c r="B8" s="177">
        <v>2</v>
      </c>
      <c r="C8" s="177">
        <v>3</v>
      </c>
      <c r="D8" s="177">
        <v>4</v>
      </c>
      <c r="E8" s="177">
        <v>5</v>
      </c>
      <c r="F8" s="184">
        <v>6</v>
      </c>
      <c r="G8" s="177">
        <v>7</v>
      </c>
      <c r="H8" s="177">
        <v>8</v>
      </c>
      <c r="I8" s="177">
        <v>9</v>
      </c>
      <c r="J8" s="177">
        <v>10</v>
      </c>
      <c r="K8" s="177">
        <v>11</v>
      </c>
      <c r="L8" s="177">
        <v>12</v>
      </c>
      <c r="M8" s="177">
        <v>13</v>
      </c>
      <c r="N8" s="177">
        <v>14</v>
      </c>
      <c r="O8" s="177">
        <v>15</v>
      </c>
      <c r="P8" s="196"/>
      <c r="S8" t="s">
        <v>104</v>
      </c>
      <c r="T8">
        <v>35</v>
      </c>
    </row>
    <row r="9" spans="1:20" ht="18.75" customHeight="1" x14ac:dyDescent="0.25">
      <c r="A9" s="178">
        <v>1</v>
      </c>
      <c r="B9" s="11" t="s">
        <v>19</v>
      </c>
      <c r="C9" s="185">
        <v>145</v>
      </c>
      <c r="D9" s="172">
        <v>25</v>
      </c>
      <c r="E9" s="185">
        <v>0</v>
      </c>
      <c r="F9" s="185">
        <v>0</v>
      </c>
      <c r="G9" s="186">
        <v>20</v>
      </c>
      <c r="H9" s="171">
        <v>208</v>
      </c>
      <c r="I9" s="121">
        <v>40</v>
      </c>
      <c r="J9" s="171">
        <v>1</v>
      </c>
      <c r="K9" s="171">
        <v>2</v>
      </c>
      <c r="L9" s="185">
        <v>2</v>
      </c>
      <c r="M9" s="171">
        <v>1</v>
      </c>
      <c r="N9" s="171">
        <v>88</v>
      </c>
      <c r="O9" s="197">
        <f>SUM(C9:N9)</f>
        <v>532</v>
      </c>
      <c r="P9" s="124"/>
      <c r="Q9" s="76">
        <f>SUM(F9:H9)</f>
        <v>228</v>
      </c>
      <c r="R9">
        <v>9000</v>
      </c>
      <c r="S9" t="s">
        <v>105</v>
      </c>
    </row>
    <row r="10" spans="1:20" ht="18.75" customHeight="1" x14ac:dyDescent="0.25">
      <c r="A10" s="179">
        <v>2</v>
      </c>
      <c r="B10" s="15" t="s">
        <v>20</v>
      </c>
      <c r="C10" s="187">
        <v>45</v>
      </c>
      <c r="D10" s="172">
        <v>10</v>
      </c>
      <c r="E10" s="187">
        <v>1</v>
      </c>
      <c r="F10" s="187">
        <v>1</v>
      </c>
      <c r="G10" s="187">
        <v>23</v>
      </c>
      <c r="H10" s="172">
        <v>91</v>
      </c>
      <c r="I10" s="122">
        <v>0</v>
      </c>
      <c r="J10" s="172">
        <v>2</v>
      </c>
      <c r="K10" s="172">
        <v>5</v>
      </c>
      <c r="L10" s="142">
        <v>2</v>
      </c>
      <c r="M10" s="122">
        <v>10</v>
      </c>
      <c r="N10" s="172">
        <v>35</v>
      </c>
      <c r="O10" s="198">
        <f>SUM(C10:N10)</f>
        <v>225</v>
      </c>
      <c r="P10" s="124"/>
      <c r="Q10" s="76">
        <f>SUM(F10:H10)</f>
        <v>115</v>
      </c>
      <c r="R10">
        <v>8500</v>
      </c>
      <c r="S10" t="s">
        <v>106</v>
      </c>
    </row>
    <row r="11" spans="1:20" ht="18.75" customHeight="1" x14ac:dyDescent="0.25">
      <c r="A11" s="179">
        <v>3</v>
      </c>
      <c r="B11" s="11" t="s">
        <v>21</v>
      </c>
      <c r="C11" s="187">
        <v>11</v>
      </c>
      <c r="D11" s="172">
        <v>0</v>
      </c>
      <c r="E11" s="187">
        <v>0</v>
      </c>
      <c r="F11" s="187">
        <v>3</v>
      </c>
      <c r="G11" s="187">
        <v>7</v>
      </c>
      <c r="H11" s="188">
        <v>1</v>
      </c>
      <c r="I11" s="126">
        <v>0</v>
      </c>
      <c r="J11" s="172">
        <v>0</v>
      </c>
      <c r="K11" s="172">
        <v>0</v>
      </c>
      <c r="L11" s="142">
        <v>0</v>
      </c>
      <c r="M11" s="142">
        <v>0</v>
      </c>
      <c r="N11" s="172">
        <v>0</v>
      </c>
      <c r="O11" s="198">
        <f t="shared" ref="O11:O15" si="0">SUM(C11:N11)</f>
        <v>22</v>
      </c>
      <c r="P11" s="124"/>
      <c r="Q11" s="76">
        <f t="shared" ref="Q11:Q16" si="1">SUM(F11:H11)</f>
        <v>11</v>
      </c>
      <c r="S11" t="s">
        <v>107</v>
      </c>
    </row>
    <row r="12" spans="1:20" ht="18.75" customHeight="1" x14ac:dyDescent="0.25">
      <c r="A12" s="60">
        <v>4</v>
      </c>
      <c r="B12" s="18" t="s">
        <v>22</v>
      </c>
      <c r="C12" s="142">
        <v>97</v>
      </c>
      <c r="D12" s="61">
        <v>50</v>
      </c>
      <c r="E12" s="142">
        <v>0</v>
      </c>
      <c r="F12" s="142">
        <v>0</v>
      </c>
      <c r="G12" s="189">
        <v>17</v>
      </c>
      <c r="H12" s="85">
        <v>98</v>
      </c>
      <c r="I12" s="126">
        <v>0</v>
      </c>
      <c r="J12" s="85">
        <v>0</v>
      </c>
      <c r="K12" s="61">
        <v>0</v>
      </c>
      <c r="L12" s="142">
        <v>5</v>
      </c>
      <c r="M12" s="138">
        <v>3.5</v>
      </c>
      <c r="N12" s="61">
        <v>104</v>
      </c>
      <c r="O12" s="71">
        <f t="shared" si="0"/>
        <v>374.5</v>
      </c>
      <c r="P12" s="124"/>
      <c r="Q12" s="76">
        <f t="shared" si="1"/>
        <v>115</v>
      </c>
      <c r="S12" t="s">
        <v>108</v>
      </c>
    </row>
    <row r="13" spans="1:20" ht="18.75" customHeight="1" x14ac:dyDescent="0.25">
      <c r="A13" s="60">
        <v>5</v>
      </c>
      <c r="B13" s="19" t="s">
        <v>23</v>
      </c>
      <c r="C13" s="142">
        <v>78</v>
      </c>
      <c r="D13" s="61">
        <v>0</v>
      </c>
      <c r="E13" s="142">
        <v>0</v>
      </c>
      <c r="F13" s="142">
        <v>11</v>
      </c>
      <c r="G13" s="142">
        <v>5</v>
      </c>
      <c r="H13" s="85">
        <v>0</v>
      </c>
      <c r="I13" s="126">
        <v>0</v>
      </c>
      <c r="J13" s="85">
        <v>0</v>
      </c>
      <c r="K13" s="61">
        <v>0</v>
      </c>
      <c r="L13" s="86">
        <v>1</v>
      </c>
      <c r="M13" s="61">
        <v>2</v>
      </c>
      <c r="N13" s="61">
        <v>91</v>
      </c>
      <c r="O13" s="71">
        <f t="shared" si="0"/>
        <v>188</v>
      </c>
      <c r="P13" s="124"/>
      <c r="Q13" s="76">
        <f t="shared" si="1"/>
        <v>16</v>
      </c>
      <c r="S13" t="s">
        <v>109</v>
      </c>
    </row>
    <row r="14" spans="1:20" ht="18.75" customHeight="1" x14ac:dyDescent="0.25">
      <c r="A14" s="60">
        <v>6</v>
      </c>
      <c r="B14" s="19" t="s">
        <v>24</v>
      </c>
      <c r="C14" s="142">
        <v>10</v>
      </c>
      <c r="D14" s="61">
        <v>3</v>
      </c>
      <c r="E14" s="142">
        <v>0</v>
      </c>
      <c r="F14" s="142">
        <v>2</v>
      </c>
      <c r="G14" s="142">
        <v>21</v>
      </c>
      <c r="H14" s="61">
        <v>9</v>
      </c>
      <c r="I14" s="126">
        <v>3</v>
      </c>
      <c r="J14" s="61">
        <v>0</v>
      </c>
      <c r="K14" s="61">
        <v>8</v>
      </c>
      <c r="L14" s="86">
        <v>11.5</v>
      </c>
      <c r="M14" s="61">
        <v>3</v>
      </c>
      <c r="N14" s="61">
        <v>5</v>
      </c>
      <c r="O14" s="71">
        <f t="shared" si="0"/>
        <v>75.5</v>
      </c>
      <c r="P14" s="124"/>
      <c r="Q14" s="76">
        <f t="shared" si="1"/>
        <v>32</v>
      </c>
    </row>
    <row r="15" spans="1:20" ht="18.75" customHeight="1" x14ac:dyDescent="0.25">
      <c r="A15" s="60">
        <v>7</v>
      </c>
      <c r="B15" s="19" t="s">
        <v>25</v>
      </c>
      <c r="C15" s="142">
        <v>185</v>
      </c>
      <c r="D15" s="61">
        <v>31</v>
      </c>
      <c r="E15" s="142">
        <v>4</v>
      </c>
      <c r="F15" s="190">
        <v>81</v>
      </c>
      <c r="G15" s="142">
        <v>65</v>
      </c>
      <c r="H15" s="61">
        <v>78</v>
      </c>
      <c r="I15" s="122">
        <v>0</v>
      </c>
      <c r="J15" s="85">
        <v>59</v>
      </c>
      <c r="K15" s="61">
        <v>0</v>
      </c>
      <c r="L15" s="61">
        <v>8</v>
      </c>
      <c r="M15" s="61">
        <v>101</v>
      </c>
      <c r="N15" s="61">
        <v>120</v>
      </c>
      <c r="O15" s="71">
        <f t="shared" si="0"/>
        <v>732</v>
      </c>
      <c r="P15" s="124"/>
      <c r="Q15" s="76">
        <f t="shared" si="1"/>
        <v>224</v>
      </c>
    </row>
    <row r="16" spans="1:20" ht="18.75" customHeight="1" x14ac:dyDescent="0.25">
      <c r="A16" s="62">
        <v>8</v>
      </c>
      <c r="B16" s="18" t="s">
        <v>27</v>
      </c>
      <c r="C16" s="191">
        <v>65</v>
      </c>
      <c r="D16" s="192">
        <v>23</v>
      </c>
      <c r="E16" s="193">
        <v>0</v>
      </c>
      <c r="F16" s="193">
        <v>7</v>
      </c>
      <c r="G16" s="193">
        <v>63</v>
      </c>
      <c r="H16" s="192">
        <v>98</v>
      </c>
      <c r="I16" s="199">
        <v>11</v>
      </c>
      <c r="J16" s="199">
        <v>31</v>
      </c>
      <c r="K16" s="192">
        <v>16</v>
      </c>
      <c r="L16" s="192">
        <v>16</v>
      </c>
      <c r="M16" s="192">
        <v>40</v>
      </c>
      <c r="N16" s="192">
        <v>114</v>
      </c>
      <c r="O16" s="200">
        <f>SUM(C16:N16)</f>
        <v>484</v>
      </c>
      <c r="P16" s="201"/>
      <c r="Q16" s="76">
        <f t="shared" si="1"/>
        <v>168</v>
      </c>
    </row>
    <row r="17" spans="1:17" ht="18.75" customHeight="1" x14ac:dyDescent="0.25">
      <c r="A17" s="235" t="s">
        <v>28</v>
      </c>
      <c r="B17" s="236"/>
      <c r="C17" s="64">
        <f>SUM(C9:C16)</f>
        <v>636</v>
      </c>
      <c r="D17" s="64">
        <f t="shared" ref="D17:N17" si="2">SUM(D9:D16)</f>
        <v>142</v>
      </c>
      <c r="E17" s="194">
        <f t="shared" si="2"/>
        <v>5</v>
      </c>
      <c r="F17" s="194">
        <f>SUM(F9:F16)</f>
        <v>105</v>
      </c>
      <c r="G17" s="194">
        <f t="shared" si="2"/>
        <v>221</v>
      </c>
      <c r="H17" s="64">
        <f t="shared" si="2"/>
        <v>583</v>
      </c>
      <c r="I17" s="202">
        <f t="shared" si="2"/>
        <v>54</v>
      </c>
      <c r="J17" s="64">
        <f t="shared" si="2"/>
        <v>93</v>
      </c>
      <c r="K17" s="64">
        <f t="shared" si="2"/>
        <v>31</v>
      </c>
      <c r="L17" s="64">
        <f t="shared" si="2"/>
        <v>45.5</v>
      </c>
      <c r="M17" s="64">
        <f>SUM(M9:M16)</f>
        <v>160.5</v>
      </c>
      <c r="N17" s="64">
        <f t="shared" si="2"/>
        <v>557</v>
      </c>
      <c r="O17" s="64">
        <f>SUM(O9:O16)</f>
        <v>2633</v>
      </c>
      <c r="P17" s="203"/>
      <c r="Q17" s="76">
        <f>SUM(Q9:Q16)</f>
        <v>909</v>
      </c>
    </row>
    <row r="18" spans="1:17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</row>
    <row r="19" spans="1:17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</row>
    <row r="20" spans="1:17" x14ac:dyDescent="0.25">
      <c r="A20" s="65"/>
      <c r="B20" s="6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65"/>
    </row>
    <row r="21" spans="1:17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</row>
    <row r="22" spans="1:17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</row>
    <row r="23" spans="1:17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</row>
    <row r="24" spans="1:17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spans="1:17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</row>
    <row r="26" spans="1:17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</row>
    <row r="27" spans="1:17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</row>
    <row r="28" spans="1:17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</row>
    <row r="29" spans="1:17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1:17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</row>
    <row r="31" spans="1:17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</row>
    <row r="32" spans="1:17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</row>
    <row r="33" spans="1:16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</row>
    <row r="35" spans="1:16" ht="18.75" x14ac:dyDescent="0.3">
      <c r="A35" s="242" t="s">
        <v>29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55"/>
    </row>
    <row r="36" spans="1:16" ht="18.75" x14ac:dyDescent="0.3">
      <c r="A36" s="241" t="s">
        <v>111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55"/>
    </row>
    <row r="37" spans="1:16" ht="18.75" x14ac:dyDescent="0.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</row>
    <row r="38" spans="1:16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  <c r="P38" s="69"/>
    </row>
    <row r="39" spans="1:16" x14ac:dyDescent="0.25">
      <c r="A39" s="237" t="s">
        <v>2</v>
      </c>
      <c r="B39" s="237" t="s">
        <v>3</v>
      </c>
      <c r="C39" s="243" t="s">
        <v>4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37" t="s">
        <v>5</v>
      </c>
      <c r="P39" s="25"/>
    </row>
    <row r="40" spans="1:16" x14ac:dyDescent="0.25">
      <c r="A40" s="238"/>
      <c r="B40" s="238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44"/>
      <c r="P40" s="25"/>
    </row>
    <row r="41" spans="1:16" x14ac:dyDescent="0.2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  <c r="P41" s="196"/>
    </row>
    <row r="42" spans="1:16" ht="18.75" customHeight="1" x14ac:dyDescent="0.25">
      <c r="A42" s="58">
        <v>1</v>
      </c>
      <c r="B42" s="11" t="s">
        <v>19</v>
      </c>
      <c r="C42" s="153">
        <v>0</v>
      </c>
      <c r="D42" s="153">
        <v>0</v>
      </c>
      <c r="E42" s="59">
        <v>3</v>
      </c>
      <c r="F42" s="91">
        <v>245</v>
      </c>
      <c r="G42" s="59">
        <v>20</v>
      </c>
      <c r="H42" s="153">
        <v>0</v>
      </c>
      <c r="I42" s="84">
        <v>40</v>
      </c>
      <c r="J42" s="59">
        <v>20</v>
      </c>
      <c r="K42" s="59">
        <v>116</v>
      </c>
      <c r="L42" s="185">
        <v>135</v>
      </c>
      <c r="M42" s="153">
        <v>1</v>
      </c>
      <c r="N42" s="59">
        <v>0</v>
      </c>
      <c r="O42" s="70">
        <f>SUM(C42:N42)</f>
        <v>580</v>
      </c>
      <c r="P42" s="124"/>
    </row>
    <row r="43" spans="1:16" ht="18.75" customHeight="1" x14ac:dyDescent="0.25">
      <c r="A43" s="60">
        <v>2</v>
      </c>
      <c r="B43" s="15" t="s">
        <v>20</v>
      </c>
      <c r="C43" s="142">
        <v>0</v>
      </c>
      <c r="D43" s="61">
        <v>0</v>
      </c>
      <c r="E43" s="61">
        <v>51</v>
      </c>
      <c r="F43" s="61">
        <v>54</v>
      </c>
      <c r="G43" s="61">
        <v>10</v>
      </c>
      <c r="H43" s="61">
        <v>1</v>
      </c>
      <c r="I43" s="61">
        <v>0</v>
      </c>
      <c r="J43" s="61">
        <v>23</v>
      </c>
      <c r="K43" s="61">
        <v>81</v>
      </c>
      <c r="L43" s="142">
        <v>10</v>
      </c>
      <c r="M43" s="61">
        <v>0</v>
      </c>
      <c r="N43" s="61">
        <v>5</v>
      </c>
      <c r="O43" s="71">
        <f t="shared" ref="O43:O49" si="3">SUM(C43:N43)</f>
        <v>235</v>
      </c>
      <c r="P43" s="124"/>
    </row>
    <row r="44" spans="1:16" ht="18.75" customHeight="1" x14ac:dyDescent="0.25">
      <c r="A44" s="60">
        <v>3</v>
      </c>
      <c r="B44" s="11" t="s">
        <v>21</v>
      </c>
      <c r="C44" s="142">
        <v>0</v>
      </c>
      <c r="D44" s="61">
        <v>0</v>
      </c>
      <c r="E44" s="61">
        <v>0</v>
      </c>
      <c r="F44" s="61">
        <v>11</v>
      </c>
      <c r="G44" s="85" t="s">
        <v>26</v>
      </c>
      <c r="H44" s="85">
        <v>0</v>
      </c>
      <c r="I44" s="85" t="s">
        <v>26</v>
      </c>
      <c r="J44" s="61">
        <v>3</v>
      </c>
      <c r="K44" s="61">
        <v>5</v>
      </c>
      <c r="L44" s="142">
        <v>0</v>
      </c>
      <c r="M44" s="61">
        <v>0</v>
      </c>
      <c r="N44" s="61">
        <v>0</v>
      </c>
      <c r="O44" s="71">
        <f t="shared" si="3"/>
        <v>19</v>
      </c>
      <c r="P44" s="124"/>
    </row>
    <row r="45" spans="1:16" ht="18.75" customHeight="1" x14ac:dyDescent="0.25">
      <c r="A45" s="60">
        <v>4</v>
      </c>
      <c r="B45" s="18" t="s">
        <v>22</v>
      </c>
      <c r="C45" s="142">
        <v>0</v>
      </c>
      <c r="D45" s="61">
        <v>0</v>
      </c>
      <c r="E45" s="61">
        <v>0</v>
      </c>
      <c r="F45" s="61">
        <v>164</v>
      </c>
      <c r="G45" s="87">
        <v>2</v>
      </c>
      <c r="H45" s="85">
        <v>0</v>
      </c>
      <c r="I45" s="85">
        <v>0</v>
      </c>
      <c r="J45" s="61">
        <v>25</v>
      </c>
      <c r="K45" s="61">
        <v>90</v>
      </c>
      <c r="L45" s="142">
        <v>0</v>
      </c>
      <c r="M45" s="61">
        <v>0</v>
      </c>
      <c r="N45" s="61">
        <v>0</v>
      </c>
      <c r="O45" s="71">
        <f t="shared" si="3"/>
        <v>281</v>
      </c>
      <c r="P45" s="124"/>
    </row>
    <row r="46" spans="1:16" ht="18.75" customHeight="1" x14ac:dyDescent="0.25">
      <c r="A46" s="60">
        <v>5</v>
      </c>
      <c r="B46" s="19" t="s">
        <v>23</v>
      </c>
      <c r="C46" s="142">
        <v>0</v>
      </c>
      <c r="D46" s="61">
        <v>0</v>
      </c>
      <c r="E46" s="61">
        <v>30</v>
      </c>
      <c r="F46" s="61">
        <v>78.319999999999993</v>
      </c>
      <c r="G46" s="87" t="s">
        <v>26</v>
      </c>
      <c r="H46" s="85">
        <v>0</v>
      </c>
      <c r="I46" s="85" t="s">
        <v>26</v>
      </c>
      <c r="J46" s="61">
        <v>5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113.32</v>
      </c>
      <c r="P46" s="124"/>
    </row>
    <row r="47" spans="1:16" ht="18.75" customHeight="1" x14ac:dyDescent="0.25">
      <c r="A47" s="60">
        <v>6</v>
      </c>
      <c r="B47" s="19" t="s">
        <v>24</v>
      </c>
      <c r="C47" s="142">
        <v>5</v>
      </c>
      <c r="D47" s="61">
        <v>3</v>
      </c>
      <c r="E47" s="61">
        <v>18</v>
      </c>
      <c r="F47" s="61">
        <v>10</v>
      </c>
      <c r="G47" s="61">
        <v>0</v>
      </c>
      <c r="H47" s="61">
        <v>0</v>
      </c>
      <c r="I47" s="86">
        <v>5</v>
      </c>
      <c r="J47" s="61">
        <v>21</v>
      </c>
      <c r="K47" s="61">
        <v>7</v>
      </c>
      <c r="L47" s="61">
        <v>5</v>
      </c>
      <c r="M47" s="61">
        <v>5</v>
      </c>
      <c r="N47" s="61">
        <v>8</v>
      </c>
      <c r="O47" s="71">
        <f t="shared" si="3"/>
        <v>87</v>
      </c>
      <c r="P47" s="124"/>
    </row>
    <row r="48" spans="1:16" ht="18.75" customHeight="1" x14ac:dyDescent="0.25">
      <c r="A48" s="60">
        <v>7</v>
      </c>
      <c r="B48" s="19" t="s">
        <v>25</v>
      </c>
      <c r="C48" s="142">
        <v>45</v>
      </c>
      <c r="D48" s="61">
        <v>39</v>
      </c>
      <c r="E48" s="61">
        <v>110</v>
      </c>
      <c r="F48" s="61">
        <v>210</v>
      </c>
      <c r="G48" s="85">
        <v>118</v>
      </c>
      <c r="H48" s="85">
        <v>4</v>
      </c>
      <c r="I48" s="85" t="s">
        <v>26</v>
      </c>
      <c r="J48" s="61">
        <v>57</v>
      </c>
      <c r="K48" s="61">
        <v>100</v>
      </c>
      <c r="L48" s="61">
        <v>0</v>
      </c>
      <c r="M48" s="61">
        <v>59</v>
      </c>
      <c r="N48" s="61">
        <v>0</v>
      </c>
      <c r="O48" s="71">
        <f t="shared" si="3"/>
        <v>742</v>
      </c>
      <c r="P48" s="124"/>
    </row>
    <row r="49" spans="1:19" ht="18.75" customHeight="1" x14ac:dyDescent="0.25">
      <c r="A49" s="62">
        <v>8</v>
      </c>
      <c r="B49" s="18" t="s">
        <v>27</v>
      </c>
      <c r="C49" s="191">
        <v>10</v>
      </c>
      <c r="D49" s="192">
        <v>5</v>
      </c>
      <c r="E49" s="192">
        <v>35</v>
      </c>
      <c r="F49" s="192">
        <v>131</v>
      </c>
      <c r="G49" s="85">
        <v>0</v>
      </c>
      <c r="H49" s="192">
        <v>0</v>
      </c>
      <c r="I49" s="192">
        <v>3</v>
      </c>
      <c r="J49" s="192">
        <v>115</v>
      </c>
      <c r="K49" s="192">
        <v>55</v>
      </c>
      <c r="L49" s="192">
        <v>0</v>
      </c>
      <c r="M49" s="192">
        <v>1</v>
      </c>
      <c r="N49" s="192">
        <v>16</v>
      </c>
      <c r="O49" s="200">
        <f t="shared" si="3"/>
        <v>371</v>
      </c>
      <c r="P49" s="201"/>
    </row>
    <row r="50" spans="1:19" ht="18.75" customHeight="1" x14ac:dyDescent="0.25">
      <c r="A50" s="235" t="s">
        <v>28</v>
      </c>
      <c r="B50" s="236"/>
      <c r="C50" s="64">
        <f t="shared" ref="C50:O50" si="4">SUM(C42:C49)</f>
        <v>60</v>
      </c>
      <c r="D50" s="64">
        <f t="shared" si="4"/>
        <v>47</v>
      </c>
      <c r="E50" s="64">
        <f t="shared" si="4"/>
        <v>247</v>
      </c>
      <c r="F50" s="67">
        <f t="shared" si="4"/>
        <v>903.31999999999994</v>
      </c>
      <c r="G50" s="64">
        <f t="shared" si="4"/>
        <v>150</v>
      </c>
      <c r="H50" s="64">
        <f t="shared" si="4"/>
        <v>5</v>
      </c>
      <c r="I50" s="64">
        <f t="shared" si="4"/>
        <v>48</v>
      </c>
      <c r="J50" s="64">
        <f t="shared" si="4"/>
        <v>269</v>
      </c>
      <c r="K50" s="64">
        <f t="shared" si="4"/>
        <v>454</v>
      </c>
      <c r="L50" s="64">
        <f t="shared" si="4"/>
        <v>150</v>
      </c>
      <c r="M50" s="64">
        <f t="shared" si="4"/>
        <v>66</v>
      </c>
      <c r="N50" s="64">
        <f t="shared" si="4"/>
        <v>29</v>
      </c>
      <c r="O50" s="64">
        <f t="shared" si="4"/>
        <v>2428.3199999999997</v>
      </c>
      <c r="P50" s="124"/>
      <c r="Q50" s="83">
        <f>O50*5%</f>
        <v>121.416</v>
      </c>
      <c r="R50" s="83">
        <f>O50-Q50</f>
        <v>2306.9039999999995</v>
      </c>
      <c r="S50" s="83">
        <f>O50*95%</f>
        <v>2306.9039999999995</v>
      </c>
    </row>
    <row r="51" spans="1:19" x14ac:dyDescent="0.2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</row>
    <row r="52" spans="1:19" x14ac:dyDescent="0.25">
      <c r="J52" s="76"/>
    </row>
    <row r="56" spans="1:19" x14ac:dyDescent="0.25">
      <c r="L56" s="76"/>
    </row>
    <row r="57" spans="1:19" x14ac:dyDescent="0.25">
      <c r="L57" t="s">
        <v>30</v>
      </c>
    </row>
    <row r="68" spans="1:16" ht="18.75" x14ac:dyDescent="0.3">
      <c r="A68" s="242" t="s">
        <v>31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55"/>
    </row>
    <row r="69" spans="1:16" ht="18.75" x14ac:dyDescent="0.3">
      <c r="A69" s="241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55"/>
    </row>
    <row r="70" spans="1:16" ht="18.75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</row>
    <row r="71" spans="1:16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32</v>
      </c>
      <c r="P71" s="69"/>
    </row>
    <row r="72" spans="1:16" x14ac:dyDescent="0.25">
      <c r="A72" s="239" t="s">
        <v>2</v>
      </c>
      <c r="B72" s="239" t="s">
        <v>3</v>
      </c>
      <c r="C72" s="245" t="s">
        <v>4</v>
      </c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39" t="s">
        <v>5</v>
      </c>
      <c r="P72" s="25"/>
    </row>
    <row r="73" spans="1:16" x14ac:dyDescent="0.25">
      <c r="A73" s="240"/>
      <c r="B73" s="240"/>
      <c r="C73" s="176" t="s">
        <v>6</v>
      </c>
      <c r="D73" s="176" t="s">
        <v>7</v>
      </c>
      <c r="E73" s="176" t="s">
        <v>8</v>
      </c>
      <c r="F73" s="176" t="s">
        <v>9</v>
      </c>
      <c r="G73" s="176" t="s">
        <v>10</v>
      </c>
      <c r="H73" s="176" t="s">
        <v>11</v>
      </c>
      <c r="I73" s="176" t="s">
        <v>12</v>
      </c>
      <c r="J73" s="176" t="s">
        <v>13</v>
      </c>
      <c r="K73" s="176" t="s">
        <v>14</v>
      </c>
      <c r="L73" s="176" t="s">
        <v>15</v>
      </c>
      <c r="M73" s="176" t="s">
        <v>16</v>
      </c>
      <c r="N73" s="176" t="s">
        <v>17</v>
      </c>
      <c r="O73" s="246"/>
      <c r="P73" s="25"/>
    </row>
    <row r="74" spans="1:16" x14ac:dyDescent="0.25">
      <c r="A74" s="177">
        <v>1</v>
      </c>
      <c r="B74" s="177">
        <v>2</v>
      </c>
      <c r="C74" s="177">
        <v>3</v>
      </c>
      <c r="D74" s="177">
        <v>4</v>
      </c>
      <c r="E74" s="177">
        <v>5</v>
      </c>
      <c r="F74" s="177">
        <v>6</v>
      </c>
      <c r="G74" s="177">
        <v>7</v>
      </c>
      <c r="H74" s="177">
        <v>8</v>
      </c>
      <c r="I74" s="177">
        <v>9</v>
      </c>
      <c r="J74" s="177">
        <v>10</v>
      </c>
      <c r="K74" s="177">
        <v>11</v>
      </c>
      <c r="L74" s="177">
        <v>12</v>
      </c>
      <c r="M74" s="177">
        <v>13</v>
      </c>
      <c r="N74" s="177">
        <v>14</v>
      </c>
      <c r="O74" s="177">
        <v>15</v>
      </c>
      <c r="P74" s="196"/>
    </row>
    <row r="75" spans="1:16" ht="18.75" customHeight="1" x14ac:dyDescent="0.25">
      <c r="A75" s="178">
        <v>1</v>
      </c>
      <c r="B75" s="11" t="s">
        <v>19</v>
      </c>
      <c r="C75" s="137">
        <v>0</v>
      </c>
      <c r="D75" s="147">
        <v>0</v>
      </c>
      <c r="E75" s="91">
        <v>17.100000000000001</v>
      </c>
      <c r="F75" s="91">
        <v>1421</v>
      </c>
      <c r="G75" s="91">
        <v>116</v>
      </c>
      <c r="H75" s="137">
        <v>0</v>
      </c>
      <c r="I75" s="91" t="s">
        <v>26</v>
      </c>
      <c r="J75" s="91">
        <v>116</v>
      </c>
      <c r="K75" s="91">
        <v>672.8</v>
      </c>
      <c r="L75" s="221">
        <v>769.5</v>
      </c>
      <c r="M75" s="137">
        <v>5.7</v>
      </c>
      <c r="N75" s="91"/>
      <c r="O75" s="222">
        <f>SUM(C75:N75)</f>
        <v>3118.0999999999995</v>
      </c>
      <c r="P75" s="124"/>
    </row>
    <row r="76" spans="1:16" ht="18.75" customHeight="1" x14ac:dyDescent="0.25">
      <c r="A76" s="60">
        <v>2</v>
      </c>
      <c r="B76" s="15" t="s">
        <v>20</v>
      </c>
      <c r="C76" s="98">
        <v>0</v>
      </c>
      <c r="D76" s="205">
        <v>0</v>
      </c>
      <c r="E76" s="86">
        <v>290</v>
      </c>
      <c r="F76" s="86">
        <v>313.2</v>
      </c>
      <c r="G76" s="86">
        <v>58</v>
      </c>
      <c r="H76" s="86">
        <v>5.8</v>
      </c>
      <c r="I76" s="86">
        <v>5.8</v>
      </c>
      <c r="J76" s="86">
        <v>133.4</v>
      </c>
      <c r="K76" s="86">
        <v>469.8</v>
      </c>
      <c r="L76" s="138">
        <v>58</v>
      </c>
      <c r="M76" s="86">
        <v>0</v>
      </c>
      <c r="N76" s="86">
        <v>29</v>
      </c>
      <c r="O76" s="89">
        <f t="shared" ref="O76:O82" si="5">SUM(C76:N76)</f>
        <v>1363</v>
      </c>
      <c r="P76" s="124"/>
    </row>
    <row r="77" spans="1:16" ht="18.75" customHeight="1" x14ac:dyDescent="0.25">
      <c r="A77" s="60">
        <v>3</v>
      </c>
      <c r="B77" s="11" t="s">
        <v>21</v>
      </c>
      <c r="C77" s="138">
        <v>0</v>
      </c>
      <c r="D77" s="206">
        <v>0</v>
      </c>
      <c r="E77" s="86">
        <v>0</v>
      </c>
      <c r="F77" s="86">
        <v>63.8</v>
      </c>
      <c r="G77" s="100">
        <v>0</v>
      </c>
      <c r="H77" s="85">
        <v>0</v>
      </c>
      <c r="I77" s="86" t="s">
        <v>26</v>
      </c>
      <c r="J77" s="86">
        <v>17.399999999999999</v>
      </c>
      <c r="K77" s="86">
        <v>29</v>
      </c>
      <c r="L77" s="138">
        <v>0</v>
      </c>
      <c r="M77" s="86">
        <v>0</v>
      </c>
      <c r="N77" s="86"/>
      <c r="O77" s="89">
        <f t="shared" si="5"/>
        <v>110.19999999999999</v>
      </c>
      <c r="P77" s="124"/>
    </row>
    <row r="78" spans="1:16" ht="18.75" customHeight="1" x14ac:dyDescent="0.25">
      <c r="A78" s="60">
        <v>4</v>
      </c>
      <c r="B78" s="18" t="s">
        <v>22</v>
      </c>
      <c r="C78" s="138">
        <v>0</v>
      </c>
      <c r="D78" s="206">
        <v>0</v>
      </c>
      <c r="E78" s="86">
        <v>0</v>
      </c>
      <c r="F78" s="86">
        <v>951.2</v>
      </c>
      <c r="G78" s="66">
        <v>11.6</v>
      </c>
      <c r="H78" s="85">
        <v>0</v>
      </c>
      <c r="I78" s="86">
        <v>0</v>
      </c>
      <c r="J78" s="86">
        <v>145</v>
      </c>
      <c r="K78" s="86">
        <v>522</v>
      </c>
      <c r="L78" s="138">
        <v>0</v>
      </c>
      <c r="M78" s="86">
        <v>0</v>
      </c>
      <c r="N78" s="86"/>
      <c r="O78" s="89">
        <f t="shared" si="5"/>
        <v>1629.8000000000002</v>
      </c>
      <c r="P78" s="124"/>
    </row>
    <row r="79" spans="1:16" ht="18.75" customHeight="1" x14ac:dyDescent="0.25">
      <c r="A79" s="60">
        <v>5</v>
      </c>
      <c r="B79" s="19" t="s">
        <v>23</v>
      </c>
      <c r="C79" s="138">
        <v>0</v>
      </c>
      <c r="D79" s="206">
        <v>0</v>
      </c>
      <c r="E79" s="86">
        <v>171</v>
      </c>
      <c r="F79" s="100">
        <v>452</v>
      </c>
      <c r="G79" s="100">
        <v>0</v>
      </c>
      <c r="H79" s="85">
        <v>0</v>
      </c>
      <c r="I79" s="86" t="s">
        <v>26</v>
      </c>
      <c r="J79" s="86">
        <v>29</v>
      </c>
      <c r="K79" s="86">
        <v>0</v>
      </c>
      <c r="L79" s="86">
        <v>0</v>
      </c>
      <c r="M79" s="86">
        <v>0</v>
      </c>
      <c r="N79" s="86"/>
      <c r="O79" s="89">
        <f t="shared" si="5"/>
        <v>652</v>
      </c>
      <c r="P79" s="124"/>
    </row>
    <row r="80" spans="1:16" ht="18.75" customHeight="1" x14ac:dyDescent="0.25">
      <c r="A80" s="60">
        <v>6</v>
      </c>
      <c r="B80" s="19" t="s">
        <v>24</v>
      </c>
      <c r="C80" s="157">
        <v>28.5</v>
      </c>
      <c r="D80" s="206">
        <v>17.100000000000001</v>
      </c>
      <c r="E80" s="86">
        <v>102.6</v>
      </c>
      <c r="F80" s="100">
        <v>58</v>
      </c>
      <c r="G80" s="86">
        <v>0</v>
      </c>
      <c r="H80" s="86">
        <v>0</v>
      </c>
      <c r="I80" s="86">
        <v>0</v>
      </c>
      <c r="J80" s="86">
        <v>121.8</v>
      </c>
      <c r="K80" s="86">
        <v>40.6</v>
      </c>
      <c r="L80" s="86">
        <v>29</v>
      </c>
      <c r="M80" s="86">
        <v>29</v>
      </c>
      <c r="N80" s="86">
        <v>46.4</v>
      </c>
      <c r="O80" s="82">
        <f>SUM(C80:N80)</f>
        <v>473</v>
      </c>
      <c r="P80" s="124"/>
    </row>
    <row r="81" spans="1:16" ht="18.75" customHeight="1" x14ac:dyDescent="0.25">
      <c r="A81" s="60">
        <v>7</v>
      </c>
      <c r="B81" s="19" t="s">
        <v>25</v>
      </c>
      <c r="C81" s="138">
        <v>261</v>
      </c>
      <c r="D81" s="205">
        <v>226.2</v>
      </c>
      <c r="E81" s="86">
        <v>627</v>
      </c>
      <c r="F81" s="86">
        <v>1218</v>
      </c>
      <c r="G81" s="100">
        <v>684.4</v>
      </c>
      <c r="H81" s="85">
        <v>29</v>
      </c>
      <c r="I81" s="86" t="s">
        <v>26</v>
      </c>
      <c r="J81" s="86">
        <v>330.6</v>
      </c>
      <c r="K81" s="86">
        <v>580</v>
      </c>
      <c r="L81" s="86">
        <v>0</v>
      </c>
      <c r="M81" s="86">
        <v>342.2</v>
      </c>
      <c r="N81" s="86">
        <v>0</v>
      </c>
      <c r="O81" s="89">
        <f t="shared" si="5"/>
        <v>4298.3999999999996</v>
      </c>
      <c r="P81" s="124"/>
    </row>
    <row r="82" spans="1:16" ht="18.75" customHeight="1" x14ac:dyDescent="0.25">
      <c r="A82" s="62">
        <v>8</v>
      </c>
      <c r="B82" s="18" t="s">
        <v>27</v>
      </c>
      <c r="C82" s="207">
        <v>57</v>
      </c>
      <c r="D82" s="208">
        <v>28.5</v>
      </c>
      <c r="E82" s="209">
        <v>199.5</v>
      </c>
      <c r="F82" s="210">
        <v>759.8</v>
      </c>
      <c r="G82" s="210">
        <v>0</v>
      </c>
      <c r="H82" s="209">
        <v>0</v>
      </c>
      <c r="I82" s="209">
        <v>0</v>
      </c>
      <c r="J82" s="209">
        <v>667</v>
      </c>
      <c r="K82" s="209">
        <v>319</v>
      </c>
      <c r="L82" s="209">
        <v>0</v>
      </c>
      <c r="M82" s="209">
        <v>5.8</v>
      </c>
      <c r="N82" s="209">
        <v>91.2</v>
      </c>
      <c r="O82" s="223">
        <f t="shared" si="5"/>
        <v>2127.7999999999997</v>
      </c>
      <c r="P82" s="201"/>
    </row>
    <row r="83" spans="1:16" ht="18.75" customHeight="1" x14ac:dyDescent="0.25">
      <c r="A83" s="235" t="s">
        <v>28</v>
      </c>
      <c r="B83" s="236"/>
      <c r="C83" s="80">
        <f>SUM(C75:C82)</f>
        <v>346.5</v>
      </c>
      <c r="D83" s="67">
        <f>SUM(D75:D82)</f>
        <v>271.79999999999995</v>
      </c>
      <c r="E83" s="67">
        <f>SUM(E75:E82)</f>
        <v>1407.2</v>
      </c>
      <c r="F83" s="67">
        <f>SUM(F75:F82)</f>
        <v>5237</v>
      </c>
      <c r="G83" s="67">
        <f>SUM(G75:G82)</f>
        <v>870</v>
      </c>
      <c r="H83" s="67">
        <f t="shared" ref="H83:N83" si="6">SUM(H75:H82)</f>
        <v>34.799999999999997</v>
      </c>
      <c r="I83" s="67">
        <f t="shared" si="6"/>
        <v>5.8</v>
      </c>
      <c r="J83" s="67">
        <f t="shared" si="6"/>
        <v>1560.2</v>
      </c>
      <c r="K83" s="67">
        <f t="shared" si="6"/>
        <v>2633.2</v>
      </c>
      <c r="L83" s="67">
        <f t="shared" si="6"/>
        <v>856.5</v>
      </c>
      <c r="M83" s="67">
        <f t="shared" si="6"/>
        <v>382.7</v>
      </c>
      <c r="N83" s="67">
        <f t="shared" si="6"/>
        <v>166.60000000000002</v>
      </c>
      <c r="O83" s="80">
        <f>SUM(O75:O82)</f>
        <v>13772.3</v>
      </c>
      <c r="P83" s="124"/>
    </row>
    <row r="84" spans="1:16" x14ac:dyDescent="0.25">
      <c r="A84" s="65"/>
      <c r="B84" s="65"/>
      <c r="C84" s="128"/>
      <c r="D84" s="180"/>
      <c r="E84" s="65"/>
      <c r="F84" s="128"/>
      <c r="G84" s="65"/>
      <c r="H84" s="65"/>
      <c r="I84" s="128"/>
      <c r="J84" s="65"/>
      <c r="K84" s="65"/>
      <c r="L84" s="128"/>
      <c r="M84" s="65"/>
      <c r="N84" s="65"/>
      <c r="O84" s="128"/>
      <c r="P84" s="128"/>
    </row>
    <row r="101" spans="1:17" ht="18.75" x14ac:dyDescent="0.3">
      <c r="A101" s="242" t="s">
        <v>33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55"/>
    </row>
    <row r="102" spans="1:17" ht="18.75" x14ac:dyDescent="0.3">
      <c r="A102" s="241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55"/>
    </row>
    <row r="103" spans="1:17" ht="18.75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</row>
    <row r="104" spans="1:17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  <c r="P104" s="69"/>
    </row>
    <row r="105" spans="1:17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  <c r="P105" s="25"/>
    </row>
    <row r="106" spans="1:17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  <c r="P106" s="25"/>
    </row>
    <row r="107" spans="1:17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  <c r="P107" s="196"/>
    </row>
    <row r="108" spans="1:17" ht="18.75" customHeight="1" thickTop="1" x14ac:dyDescent="0.25">
      <c r="A108" s="58">
        <v>1</v>
      </c>
      <c r="B108" s="11" t="s">
        <v>19</v>
      </c>
      <c r="C108" s="158">
        <v>0</v>
      </c>
      <c r="D108" s="211">
        <v>0</v>
      </c>
      <c r="E108" s="212">
        <v>57</v>
      </c>
      <c r="F108" s="77">
        <v>58</v>
      </c>
      <c r="G108" s="77">
        <v>58</v>
      </c>
      <c r="H108" s="158">
        <v>0</v>
      </c>
      <c r="I108" s="102" t="s">
        <v>26</v>
      </c>
      <c r="J108" s="77">
        <v>58</v>
      </c>
      <c r="K108" s="77">
        <v>58</v>
      </c>
      <c r="L108" s="224">
        <v>57</v>
      </c>
      <c r="M108" s="158">
        <v>57</v>
      </c>
      <c r="N108" s="77"/>
      <c r="O108" s="81">
        <f>O75/O42*10</f>
        <v>53.760344827586195</v>
      </c>
      <c r="P108" s="225"/>
    </row>
    <row r="109" spans="1:17" ht="18.75" customHeight="1" x14ac:dyDescent="0.25">
      <c r="A109" s="60">
        <v>2</v>
      </c>
      <c r="B109" s="15" t="s">
        <v>20</v>
      </c>
      <c r="C109" s="213">
        <v>0</v>
      </c>
      <c r="D109" s="214">
        <v>0</v>
      </c>
      <c r="E109" s="78">
        <v>57</v>
      </c>
      <c r="F109" s="78">
        <v>58</v>
      </c>
      <c r="G109" s="78">
        <v>58</v>
      </c>
      <c r="H109" s="78">
        <v>58</v>
      </c>
      <c r="I109" s="78">
        <v>58</v>
      </c>
      <c r="J109" s="78">
        <v>58</v>
      </c>
      <c r="K109" s="78">
        <v>58</v>
      </c>
      <c r="L109" s="157">
        <v>58</v>
      </c>
      <c r="M109" s="78">
        <v>0</v>
      </c>
      <c r="N109" s="78">
        <v>58</v>
      </c>
      <c r="O109" s="82">
        <f t="shared" ref="O109:O115" si="7">O76/O43*10</f>
        <v>58</v>
      </c>
      <c r="P109" s="225"/>
    </row>
    <row r="110" spans="1:17" ht="18.75" customHeight="1" x14ac:dyDescent="0.25">
      <c r="A110" s="60">
        <v>3</v>
      </c>
      <c r="B110" s="11" t="s">
        <v>21</v>
      </c>
      <c r="C110" s="157">
        <v>0</v>
      </c>
      <c r="D110" s="215">
        <v>0</v>
      </c>
      <c r="E110" s="78">
        <v>0</v>
      </c>
      <c r="F110" s="78">
        <v>58</v>
      </c>
      <c r="G110" s="103">
        <v>0</v>
      </c>
      <c r="H110" s="85">
        <v>0</v>
      </c>
      <c r="I110" s="103" t="s">
        <v>26</v>
      </c>
      <c r="J110" s="78">
        <v>58</v>
      </c>
      <c r="K110" s="78">
        <v>58</v>
      </c>
      <c r="L110" s="157">
        <v>0</v>
      </c>
      <c r="M110" s="78">
        <v>0</v>
      </c>
      <c r="N110" s="78"/>
      <c r="O110" s="82">
        <f t="shared" si="7"/>
        <v>58</v>
      </c>
      <c r="P110" s="225"/>
    </row>
    <row r="111" spans="1:17" ht="18.75" customHeight="1" x14ac:dyDescent="0.25">
      <c r="A111" s="60">
        <v>4</v>
      </c>
      <c r="B111" s="18" t="s">
        <v>22</v>
      </c>
      <c r="C111" s="157">
        <v>0</v>
      </c>
      <c r="D111" s="215">
        <v>0</v>
      </c>
      <c r="E111" s="78">
        <v>0</v>
      </c>
      <c r="F111" s="78">
        <v>58</v>
      </c>
      <c r="G111" s="105">
        <v>58</v>
      </c>
      <c r="H111" s="85">
        <v>0</v>
      </c>
      <c r="I111" s="103">
        <v>0</v>
      </c>
      <c r="J111" s="78">
        <v>58</v>
      </c>
      <c r="K111" s="78">
        <v>58</v>
      </c>
      <c r="L111" s="157">
        <v>0</v>
      </c>
      <c r="M111" s="78">
        <v>0</v>
      </c>
      <c r="N111" s="78"/>
      <c r="O111" s="82">
        <f t="shared" si="7"/>
        <v>58.000000000000007</v>
      </c>
      <c r="P111" s="225"/>
      <c r="Q111">
        <f>(I111+J111)/2</f>
        <v>29</v>
      </c>
    </row>
    <row r="112" spans="1:17" ht="18.75" customHeight="1" x14ac:dyDescent="0.25">
      <c r="A112" s="60">
        <v>5</v>
      </c>
      <c r="B112" s="19" t="s">
        <v>23</v>
      </c>
      <c r="C112" s="157">
        <v>0</v>
      </c>
      <c r="D112" s="215">
        <v>0</v>
      </c>
      <c r="E112" s="78">
        <v>57</v>
      </c>
      <c r="F112" s="103">
        <v>58</v>
      </c>
      <c r="G112" s="103">
        <v>0</v>
      </c>
      <c r="H112" s="85">
        <v>0</v>
      </c>
      <c r="I112" s="103" t="s">
        <v>26</v>
      </c>
      <c r="J112" s="78">
        <v>58</v>
      </c>
      <c r="K112" s="78">
        <v>0</v>
      </c>
      <c r="L112" s="78">
        <v>0</v>
      </c>
      <c r="M112" s="78">
        <v>0</v>
      </c>
      <c r="N112" s="78"/>
      <c r="O112" s="82">
        <f t="shared" si="7"/>
        <v>57.536180727144377</v>
      </c>
      <c r="P112" s="225"/>
    </row>
    <row r="113" spans="1:18" ht="18.75" customHeight="1" x14ac:dyDescent="0.25">
      <c r="A113" s="60">
        <v>6</v>
      </c>
      <c r="B113" s="19" t="s">
        <v>24</v>
      </c>
      <c r="C113" s="157">
        <v>57</v>
      </c>
      <c r="D113" s="215">
        <v>57</v>
      </c>
      <c r="E113" s="78">
        <v>57</v>
      </c>
      <c r="F113" s="103">
        <v>58</v>
      </c>
      <c r="G113" s="78">
        <v>0</v>
      </c>
      <c r="H113" s="78">
        <v>0</v>
      </c>
      <c r="I113" s="78">
        <v>0</v>
      </c>
      <c r="J113" s="78">
        <v>58</v>
      </c>
      <c r="K113" s="78">
        <v>58</v>
      </c>
      <c r="L113" s="78">
        <v>58</v>
      </c>
      <c r="M113" s="78">
        <v>58</v>
      </c>
      <c r="N113" s="78">
        <v>58</v>
      </c>
      <c r="O113" s="82">
        <f t="shared" si="7"/>
        <v>54.367816091954026</v>
      </c>
      <c r="P113" s="225"/>
    </row>
    <row r="114" spans="1:18" ht="18.75" customHeight="1" x14ac:dyDescent="0.25">
      <c r="A114" s="60">
        <v>7</v>
      </c>
      <c r="B114" s="19" t="s">
        <v>25</v>
      </c>
      <c r="C114" s="157">
        <v>58</v>
      </c>
      <c r="D114" s="214">
        <v>58</v>
      </c>
      <c r="E114" s="78">
        <v>58</v>
      </c>
      <c r="F114" s="78">
        <v>58</v>
      </c>
      <c r="G114" s="103">
        <v>58</v>
      </c>
      <c r="H114" s="103">
        <v>58</v>
      </c>
      <c r="I114" s="103" t="s">
        <v>26</v>
      </c>
      <c r="J114" s="78">
        <v>58</v>
      </c>
      <c r="K114" s="78">
        <v>58</v>
      </c>
      <c r="L114" s="78">
        <v>0</v>
      </c>
      <c r="M114" s="78">
        <v>58</v>
      </c>
      <c r="N114" s="78">
        <v>0</v>
      </c>
      <c r="O114" s="82">
        <f t="shared" si="7"/>
        <v>57.9299191374663</v>
      </c>
      <c r="P114" s="225"/>
    </row>
    <row r="115" spans="1:18" ht="18.75" customHeight="1" thickBot="1" x14ac:dyDescent="0.3">
      <c r="A115" s="62">
        <v>8</v>
      </c>
      <c r="B115" s="18" t="s">
        <v>27</v>
      </c>
      <c r="C115" s="216">
        <v>57</v>
      </c>
      <c r="D115" s="217">
        <v>57</v>
      </c>
      <c r="E115" s="218">
        <v>57</v>
      </c>
      <c r="F115" s="219">
        <v>58</v>
      </c>
      <c r="G115" s="219">
        <v>0</v>
      </c>
      <c r="H115" s="218">
        <v>0</v>
      </c>
      <c r="I115" s="218">
        <v>0</v>
      </c>
      <c r="J115" s="79">
        <v>58</v>
      </c>
      <c r="K115" s="218">
        <v>58</v>
      </c>
      <c r="L115" s="218">
        <v>0</v>
      </c>
      <c r="M115" s="218">
        <v>58</v>
      </c>
      <c r="N115" s="218">
        <v>57</v>
      </c>
      <c r="O115" s="226">
        <f t="shared" si="7"/>
        <v>57.353099730458219</v>
      </c>
      <c r="P115" s="227"/>
    </row>
    <row r="116" spans="1:18" ht="18.75" customHeight="1" thickTop="1" x14ac:dyDescent="0.25">
      <c r="A116" s="235" t="s">
        <v>28</v>
      </c>
      <c r="B116" s="236"/>
      <c r="C116" s="80">
        <f>D83/D50*10</f>
        <v>57.829787234042549</v>
      </c>
      <c r="D116" s="80">
        <f>E83/E50*10</f>
        <v>56.971659919028347</v>
      </c>
      <c r="E116" s="80">
        <f>E83/E50*10</f>
        <v>56.971659919028347</v>
      </c>
      <c r="F116" s="80">
        <f>F83/F50*10</f>
        <v>57.975025461630437</v>
      </c>
      <c r="G116" s="80">
        <f>G83/G50*10</f>
        <v>58</v>
      </c>
      <c r="H116" s="80">
        <f>H83/H50*10</f>
        <v>69.599999999999994</v>
      </c>
      <c r="I116" s="228">
        <f t="shared" ref="I116:M116" si="8">I83/I50*10</f>
        <v>1.2083333333333333</v>
      </c>
      <c r="J116" s="80">
        <f t="shared" si="8"/>
        <v>58</v>
      </c>
      <c r="K116" s="80">
        <f t="shared" si="8"/>
        <v>58</v>
      </c>
      <c r="L116" s="80">
        <f t="shared" si="8"/>
        <v>57.1</v>
      </c>
      <c r="M116" s="80">
        <f t="shared" si="8"/>
        <v>57.984848484848477</v>
      </c>
      <c r="N116" s="80">
        <f t="shared" ref="N116" si="9">N83/N50*10</f>
        <v>57.448275862068968</v>
      </c>
      <c r="O116" s="80">
        <f>O83/O50*10</f>
        <v>56.715342294261063</v>
      </c>
      <c r="P116" s="225"/>
      <c r="Q116" s="227">
        <f>O116*95%</f>
        <v>53.879575179548006</v>
      </c>
      <c r="R116">
        <f>13*O116/10</f>
        <v>73.729944982539379</v>
      </c>
    </row>
    <row r="117" spans="1:18" x14ac:dyDescent="0.25">
      <c r="A117" s="65"/>
      <c r="B117" s="65"/>
      <c r="C117" s="65"/>
      <c r="D117" s="65"/>
      <c r="E117" s="65"/>
      <c r="F117" s="65"/>
      <c r="G117" s="65"/>
      <c r="H117" s="220"/>
      <c r="I117" s="65"/>
      <c r="J117" s="65"/>
      <c r="K117" s="65"/>
      <c r="L117" s="65"/>
      <c r="M117" s="65"/>
      <c r="N117" s="65"/>
      <c r="O117" s="65"/>
      <c r="P117" s="65"/>
    </row>
    <row r="118" spans="1:18" x14ac:dyDescent="0.25">
      <c r="L118" s="65"/>
    </row>
    <row r="119" spans="1:18" x14ac:dyDescent="0.25">
      <c r="L119" s="65"/>
    </row>
    <row r="120" spans="1:18" ht="24" customHeight="1" x14ac:dyDescent="0.25">
      <c r="L120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topLeftCell="A60" zoomScale="90" zoomScaleNormal="90" workbookViewId="0">
      <selection activeCell="A82" sqref="A82"/>
    </sheetView>
  </sheetViews>
  <sheetFormatPr defaultColWidth="9" defaultRowHeight="15" x14ac:dyDescent="0.25"/>
  <cols>
    <col min="1" max="1" width="4" customWidth="1"/>
    <col min="2" max="2" width="17.42578125" customWidth="1"/>
    <col min="3" max="15" width="8.5703125" customWidth="1"/>
  </cols>
  <sheetData>
    <row r="1" spans="1:15" ht="18.75" x14ac:dyDescent="0.3">
      <c r="A1" s="242" t="s">
        <v>35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</row>
    <row r="2" spans="1:15" ht="18.75" x14ac:dyDescent="0.3">
      <c r="A2" s="241" t="s">
        <v>111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5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69" t="s">
        <v>1</v>
      </c>
    </row>
    <row r="4" spans="1:15" x14ac:dyDescent="0.25">
      <c r="A4" s="237" t="s">
        <v>2</v>
      </c>
      <c r="B4" s="237" t="s">
        <v>3</v>
      </c>
      <c r="C4" s="243" t="s">
        <v>4</v>
      </c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37" t="s">
        <v>5</v>
      </c>
    </row>
    <row r="5" spans="1:15" x14ac:dyDescent="0.25">
      <c r="A5" s="238"/>
      <c r="B5" s="238"/>
      <c r="C5" s="176" t="s">
        <v>6</v>
      </c>
      <c r="D5" s="176" t="s">
        <v>7</v>
      </c>
      <c r="E5" s="176" t="s">
        <v>8</v>
      </c>
      <c r="F5" s="176" t="s">
        <v>9</v>
      </c>
      <c r="G5" s="176" t="s">
        <v>10</v>
      </c>
      <c r="H5" s="176" t="s">
        <v>11</v>
      </c>
      <c r="I5" s="176" t="s">
        <v>12</v>
      </c>
      <c r="J5" s="176" t="s">
        <v>13</v>
      </c>
      <c r="K5" s="176" t="s">
        <v>14</v>
      </c>
      <c r="L5" s="176" t="s">
        <v>15</v>
      </c>
      <c r="M5" s="176" t="s">
        <v>16</v>
      </c>
      <c r="N5" s="176" t="s">
        <v>17</v>
      </c>
      <c r="O5" s="244"/>
    </row>
    <row r="6" spans="1:15" x14ac:dyDescent="0.25">
      <c r="A6" s="177">
        <v>1</v>
      </c>
      <c r="B6" s="177">
        <v>2</v>
      </c>
      <c r="C6" s="177">
        <v>3</v>
      </c>
      <c r="D6" s="177">
        <v>4</v>
      </c>
      <c r="E6" s="177">
        <v>5</v>
      </c>
      <c r="F6" s="177">
        <v>6</v>
      </c>
      <c r="G6" s="177">
        <v>7</v>
      </c>
      <c r="H6" s="177">
        <v>8</v>
      </c>
      <c r="I6" s="177">
        <v>9</v>
      </c>
      <c r="J6" s="177">
        <v>10</v>
      </c>
      <c r="K6" s="177">
        <v>11</v>
      </c>
      <c r="L6" s="177">
        <v>12</v>
      </c>
      <c r="M6" s="177">
        <v>13</v>
      </c>
      <c r="N6" s="177">
        <v>14</v>
      </c>
      <c r="O6" s="177">
        <v>15</v>
      </c>
    </row>
    <row r="7" spans="1:15" ht="18.75" customHeight="1" x14ac:dyDescent="0.25">
      <c r="A7" s="178">
        <v>1</v>
      </c>
      <c r="B7" s="11" t="s">
        <v>19</v>
      </c>
      <c r="C7" s="171">
        <v>0</v>
      </c>
      <c r="D7" s="171">
        <v>0</v>
      </c>
      <c r="E7" s="171">
        <v>0</v>
      </c>
      <c r="F7" s="171">
        <v>0</v>
      </c>
      <c r="G7" s="171">
        <v>0</v>
      </c>
      <c r="H7" s="171">
        <v>0</v>
      </c>
      <c r="I7" s="171">
        <v>0</v>
      </c>
      <c r="J7" s="171">
        <v>0</v>
      </c>
      <c r="K7" s="171">
        <v>0</v>
      </c>
      <c r="L7" s="171">
        <v>0</v>
      </c>
      <c r="M7" s="171">
        <v>0</v>
      </c>
      <c r="N7" s="171">
        <v>0</v>
      </c>
      <c r="O7" s="171">
        <f>SUM(C7:N7)</f>
        <v>0</v>
      </c>
    </row>
    <row r="8" spans="1:15" ht="18.75" customHeight="1" x14ac:dyDescent="0.25">
      <c r="A8" s="179">
        <v>2</v>
      </c>
      <c r="B8" s="15" t="s">
        <v>20</v>
      </c>
      <c r="C8" s="172">
        <v>0</v>
      </c>
      <c r="D8" s="172">
        <v>0</v>
      </c>
      <c r="E8" s="172">
        <v>0</v>
      </c>
      <c r="F8" s="172">
        <v>0</v>
      </c>
      <c r="G8" s="172">
        <v>0</v>
      </c>
      <c r="H8" s="172">
        <v>0</v>
      </c>
      <c r="I8" s="172">
        <v>0</v>
      </c>
      <c r="J8" s="172">
        <v>0</v>
      </c>
      <c r="K8" s="172">
        <v>0</v>
      </c>
      <c r="L8" s="172">
        <v>0</v>
      </c>
      <c r="M8" s="172">
        <v>0</v>
      </c>
      <c r="N8" s="172">
        <v>0</v>
      </c>
      <c r="O8" s="172">
        <f t="shared" ref="O8:O14" si="0">SUM(C8:N8)</f>
        <v>0</v>
      </c>
    </row>
    <row r="9" spans="1:15" ht="18.75" customHeight="1" x14ac:dyDescent="0.25">
      <c r="A9" s="179">
        <v>3</v>
      </c>
      <c r="B9" s="11" t="s">
        <v>21</v>
      </c>
      <c r="C9" s="172">
        <v>0</v>
      </c>
      <c r="D9" s="172">
        <v>0</v>
      </c>
      <c r="E9" s="172">
        <v>0</v>
      </c>
      <c r="F9" s="172">
        <v>0</v>
      </c>
      <c r="G9" s="172">
        <v>0</v>
      </c>
      <c r="H9" s="172">
        <v>0</v>
      </c>
      <c r="I9" s="172">
        <v>0</v>
      </c>
      <c r="J9" s="172">
        <v>0</v>
      </c>
      <c r="K9" s="172">
        <v>0</v>
      </c>
      <c r="L9" s="172">
        <v>0</v>
      </c>
      <c r="M9" s="172">
        <v>0</v>
      </c>
      <c r="N9" s="172">
        <v>0</v>
      </c>
      <c r="O9" s="172">
        <f t="shared" si="0"/>
        <v>0</v>
      </c>
    </row>
    <row r="10" spans="1:15" ht="18.75" customHeight="1" x14ac:dyDescent="0.25">
      <c r="A10" s="60">
        <v>4</v>
      </c>
      <c r="B10" s="18" t="s">
        <v>22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1">
        <f t="shared" si="0"/>
        <v>0</v>
      </c>
    </row>
    <row r="11" spans="1:15" ht="18.75" customHeight="1" x14ac:dyDescent="0.25">
      <c r="A11" s="60">
        <v>5</v>
      </c>
      <c r="B11" s="19" t="s">
        <v>23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f t="shared" si="0"/>
        <v>0</v>
      </c>
    </row>
    <row r="12" spans="1:15" ht="18.75" customHeight="1" x14ac:dyDescent="0.25">
      <c r="A12" s="60">
        <v>6</v>
      </c>
      <c r="B12" s="19" t="s">
        <v>24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f t="shared" si="0"/>
        <v>0</v>
      </c>
    </row>
    <row r="13" spans="1:15" ht="18.75" customHeight="1" x14ac:dyDescent="0.25">
      <c r="A13" s="60">
        <v>7</v>
      </c>
      <c r="B13" s="19" t="s">
        <v>25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f t="shared" si="0"/>
        <v>0</v>
      </c>
    </row>
    <row r="14" spans="1:15" ht="18.75" customHeight="1" x14ac:dyDescent="0.25">
      <c r="A14" s="62">
        <v>8</v>
      </c>
      <c r="B14" s="18" t="s">
        <v>27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182">
        <f t="shared" si="0"/>
        <v>0</v>
      </c>
    </row>
    <row r="15" spans="1:15" ht="18.75" customHeight="1" x14ac:dyDescent="0.25">
      <c r="A15" s="235" t="s">
        <v>28</v>
      </c>
      <c r="B15" s="236"/>
      <c r="C15" s="64">
        <f t="shared" ref="C15:O15" si="1">SUM(C7:C14)</f>
        <v>0</v>
      </c>
      <c r="D15" s="64">
        <f t="shared" si="1"/>
        <v>0</v>
      </c>
      <c r="E15" s="64">
        <f t="shared" si="1"/>
        <v>0</v>
      </c>
      <c r="F15" s="64">
        <f t="shared" si="1"/>
        <v>0</v>
      </c>
      <c r="G15" s="64">
        <f t="shared" si="1"/>
        <v>0</v>
      </c>
      <c r="H15" s="64">
        <f t="shared" si="1"/>
        <v>0</v>
      </c>
      <c r="I15" s="64">
        <f t="shared" si="1"/>
        <v>0</v>
      </c>
      <c r="J15" s="64">
        <f t="shared" si="1"/>
        <v>0</v>
      </c>
      <c r="K15" s="64">
        <f t="shared" si="1"/>
        <v>0</v>
      </c>
      <c r="L15" s="64">
        <f t="shared" si="1"/>
        <v>0</v>
      </c>
      <c r="M15" s="64">
        <f t="shared" si="1"/>
        <v>0</v>
      </c>
      <c r="N15" s="64">
        <f t="shared" si="1"/>
        <v>0</v>
      </c>
      <c r="O15" s="64">
        <f t="shared" si="1"/>
        <v>0</v>
      </c>
    </row>
    <row r="16" spans="1:15" ht="18.75" customHeight="1" x14ac:dyDescent="0.25">
      <c r="A16" s="180"/>
      <c r="B16" s="181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</row>
    <row r="17" spans="1:15" ht="18.75" customHeight="1" x14ac:dyDescent="0.25">
      <c r="A17" s="180"/>
      <c r="B17" s="181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</row>
    <row r="34" spans="1:15" ht="18.75" x14ac:dyDescent="0.3">
      <c r="A34" s="242" t="s">
        <v>36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</row>
    <row r="35" spans="1:15" ht="18.75" x14ac:dyDescent="0.3">
      <c r="A35" s="241" t="s">
        <v>111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5" x14ac:dyDescent="0.2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69" t="s">
        <v>1</v>
      </c>
    </row>
    <row r="37" spans="1:15" x14ac:dyDescent="0.25">
      <c r="A37" s="237" t="s">
        <v>2</v>
      </c>
      <c r="B37" s="237" t="s">
        <v>3</v>
      </c>
      <c r="C37" s="243" t="s">
        <v>4</v>
      </c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37" t="s">
        <v>5</v>
      </c>
    </row>
    <row r="38" spans="1:15" x14ac:dyDescent="0.25">
      <c r="A38" s="238"/>
      <c r="B38" s="238"/>
      <c r="C38" s="176" t="s">
        <v>6</v>
      </c>
      <c r="D38" s="176" t="s">
        <v>7</v>
      </c>
      <c r="E38" s="176" t="s">
        <v>8</v>
      </c>
      <c r="F38" s="176" t="s">
        <v>9</v>
      </c>
      <c r="G38" s="176" t="s">
        <v>10</v>
      </c>
      <c r="H38" s="176" t="s">
        <v>11</v>
      </c>
      <c r="I38" s="176" t="s">
        <v>12</v>
      </c>
      <c r="J38" s="176" t="s">
        <v>13</v>
      </c>
      <c r="K38" s="176" t="s">
        <v>14</v>
      </c>
      <c r="L38" s="176" t="s">
        <v>15</v>
      </c>
      <c r="M38" s="176" t="s">
        <v>16</v>
      </c>
      <c r="N38" s="176" t="s">
        <v>17</v>
      </c>
      <c r="O38" s="244"/>
    </row>
    <row r="39" spans="1:15" x14ac:dyDescent="0.25">
      <c r="A39" s="177">
        <v>1</v>
      </c>
      <c r="B39" s="177">
        <v>2</v>
      </c>
      <c r="C39" s="177">
        <v>3</v>
      </c>
      <c r="D39" s="177">
        <v>4</v>
      </c>
      <c r="E39" s="177">
        <v>5</v>
      </c>
      <c r="F39" s="177">
        <v>6</v>
      </c>
      <c r="G39" s="177">
        <v>7</v>
      </c>
      <c r="H39" s="177">
        <v>8</v>
      </c>
      <c r="I39" s="177">
        <v>9</v>
      </c>
      <c r="J39" s="177">
        <v>10</v>
      </c>
      <c r="K39" s="177">
        <v>11</v>
      </c>
      <c r="L39" s="177">
        <v>12</v>
      </c>
      <c r="M39" s="177">
        <v>13</v>
      </c>
      <c r="N39" s="177">
        <v>14</v>
      </c>
      <c r="O39" s="177">
        <v>15</v>
      </c>
    </row>
    <row r="40" spans="1:15" ht="18.75" customHeight="1" x14ac:dyDescent="0.25">
      <c r="A40" s="178">
        <v>1</v>
      </c>
      <c r="B40" s="11" t="s">
        <v>19</v>
      </c>
      <c r="C40" s="171">
        <v>0</v>
      </c>
      <c r="D40" s="171">
        <v>0</v>
      </c>
      <c r="E40" s="171">
        <v>0</v>
      </c>
      <c r="F40" s="171">
        <v>0</v>
      </c>
      <c r="G40" s="171">
        <v>0</v>
      </c>
      <c r="H40" s="171">
        <v>0</v>
      </c>
      <c r="I40" s="171">
        <v>0</v>
      </c>
      <c r="J40" s="171">
        <v>0</v>
      </c>
      <c r="K40" s="171">
        <v>0</v>
      </c>
      <c r="L40" s="171">
        <v>0</v>
      </c>
      <c r="M40" s="171">
        <v>0</v>
      </c>
      <c r="N40" s="171">
        <v>0</v>
      </c>
      <c r="O40" s="171">
        <f>SUM(C40:N40)</f>
        <v>0</v>
      </c>
    </row>
    <row r="41" spans="1:15" ht="18.75" customHeight="1" x14ac:dyDescent="0.25">
      <c r="A41" s="179">
        <v>2</v>
      </c>
      <c r="B41" s="15" t="s">
        <v>20</v>
      </c>
      <c r="C41" s="172">
        <v>0</v>
      </c>
      <c r="D41" s="172">
        <v>0</v>
      </c>
      <c r="E41" s="172">
        <v>0</v>
      </c>
      <c r="F41" s="172">
        <v>0</v>
      </c>
      <c r="G41" s="172">
        <v>0</v>
      </c>
      <c r="H41" s="172">
        <v>0</v>
      </c>
      <c r="I41" s="172">
        <v>0</v>
      </c>
      <c r="J41" s="172">
        <v>0</v>
      </c>
      <c r="K41" s="172">
        <v>0</v>
      </c>
      <c r="L41" s="172">
        <v>0</v>
      </c>
      <c r="M41" s="172">
        <v>0</v>
      </c>
      <c r="N41" s="172">
        <v>0</v>
      </c>
      <c r="O41" s="172">
        <f t="shared" ref="O41:O47" si="2">SUM(C41:N41)</f>
        <v>0</v>
      </c>
    </row>
    <row r="42" spans="1:15" ht="18.75" customHeight="1" x14ac:dyDescent="0.25">
      <c r="A42" s="179">
        <v>3</v>
      </c>
      <c r="B42" s="11" t="s">
        <v>21</v>
      </c>
      <c r="C42" s="172">
        <v>0</v>
      </c>
      <c r="D42" s="172">
        <v>0</v>
      </c>
      <c r="E42" s="172">
        <v>0</v>
      </c>
      <c r="F42" s="172">
        <v>0</v>
      </c>
      <c r="G42" s="172">
        <v>0</v>
      </c>
      <c r="H42" s="172">
        <v>0</v>
      </c>
      <c r="I42" s="172">
        <v>0</v>
      </c>
      <c r="J42" s="172">
        <v>0</v>
      </c>
      <c r="K42" s="172">
        <v>0</v>
      </c>
      <c r="L42" s="172">
        <v>0</v>
      </c>
      <c r="M42" s="172">
        <v>0</v>
      </c>
      <c r="N42" s="172">
        <v>0</v>
      </c>
      <c r="O42" s="172">
        <f t="shared" si="2"/>
        <v>0</v>
      </c>
    </row>
    <row r="43" spans="1:15" ht="18.75" customHeight="1" x14ac:dyDescent="0.25">
      <c r="A43" s="60">
        <v>4</v>
      </c>
      <c r="B43" s="18" t="s">
        <v>22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1">
        <f t="shared" si="2"/>
        <v>0</v>
      </c>
    </row>
    <row r="44" spans="1:15" ht="18.75" customHeight="1" x14ac:dyDescent="0.25">
      <c r="A44" s="60">
        <v>5</v>
      </c>
      <c r="B44" s="19" t="s">
        <v>23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f t="shared" si="2"/>
        <v>0</v>
      </c>
    </row>
    <row r="45" spans="1:15" ht="18.75" customHeight="1" x14ac:dyDescent="0.25">
      <c r="A45" s="60">
        <v>6</v>
      </c>
      <c r="B45" s="19" t="s">
        <v>24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f t="shared" si="2"/>
        <v>0</v>
      </c>
    </row>
    <row r="46" spans="1:15" ht="18.75" customHeight="1" x14ac:dyDescent="0.25">
      <c r="A46" s="60">
        <v>7</v>
      </c>
      <c r="B46" s="19" t="s">
        <v>25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f t="shared" si="2"/>
        <v>0</v>
      </c>
    </row>
    <row r="47" spans="1:15" ht="18.75" customHeight="1" x14ac:dyDescent="0.25">
      <c r="A47" s="62">
        <v>8</v>
      </c>
      <c r="B47" s="18" t="s">
        <v>27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182">
        <f t="shared" si="2"/>
        <v>0</v>
      </c>
    </row>
    <row r="48" spans="1:15" ht="18.75" customHeight="1" x14ac:dyDescent="0.25">
      <c r="A48" s="235" t="s">
        <v>28</v>
      </c>
      <c r="B48" s="236"/>
      <c r="C48" s="64">
        <f t="shared" ref="C48:O48" si="3">SUM(C40:C47)</f>
        <v>0</v>
      </c>
      <c r="D48" s="64">
        <f t="shared" si="3"/>
        <v>0</v>
      </c>
      <c r="E48" s="64">
        <f t="shared" si="3"/>
        <v>0</v>
      </c>
      <c r="F48" s="64">
        <f t="shared" si="3"/>
        <v>0</v>
      </c>
      <c r="G48" s="64">
        <f t="shared" si="3"/>
        <v>0</v>
      </c>
      <c r="H48" s="64">
        <f t="shared" si="3"/>
        <v>0</v>
      </c>
      <c r="I48" s="64">
        <f t="shared" si="3"/>
        <v>0</v>
      </c>
      <c r="J48" s="64">
        <f t="shared" si="3"/>
        <v>0</v>
      </c>
      <c r="K48" s="64">
        <f t="shared" si="3"/>
        <v>0</v>
      </c>
      <c r="L48" s="64">
        <f t="shared" si="3"/>
        <v>0</v>
      </c>
      <c r="M48" s="64">
        <f t="shared" si="3"/>
        <v>0</v>
      </c>
      <c r="N48" s="64">
        <f t="shared" si="3"/>
        <v>0</v>
      </c>
      <c r="O48" s="64">
        <f t="shared" si="3"/>
        <v>0</v>
      </c>
    </row>
    <row r="50" spans="12:12" x14ac:dyDescent="0.25">
      <c r="L50" s="65"/>
    </row>
    <row r="51" spans="12:12" x14ac:dyDescent="0.25">
      <c r="L51" s="65"/>
    </row>
    <row r="52" spans="12:12" x14ac:dyDescent="0.25">
      <c r="L52" s="65"/>
    </row>
  </sheetData>
  <mergeCells count="14">
    <mergeCell ref="A1:O1"/>
    <mergeCell ref="A2:O2"/>
    <mergeCell ref="C4:N4"/>
    <mergeCell ref="A15:B15"/>
    <mergeCell ref="A34:O34"/>
    <mergeCell ref="A35:O35"/>
    <mergeCell ref="C37:N37"/>
    <mergeCell ref="A48:B48"/>
    <mergeCell ref="A4:A5"/>
    <mergeCell ref="A37:A38"/>
    <mergeCell ref="B4:B5"/>
    <mergeCell ref="B37:B38"/>
    <mergeCell ref="O4:O5"/>
    <mergeCell ref="O37:O38"/>
  </mergeCells>
  <pageMargins left="1.5748031496063" right="0.70866141732283505" top="0.94488188976377996" bottom="0.55118110236220497" header="0.31496062992126" footer="0.31496062992126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21"/>
  <sheetViews>
    <sheetView zoomScale="90" zoomScaleNormal="90" workbookViewId="0">
      <selection activeCell="A9" sqref="A9"/>
    </sheetView>
  </sheetViews>
  <sheetFormatPr defaultColWidth="9" defaultRowHeight="15" x14ac:dyDescent="0.25"/>
  <cols>
    <col min="1" max="1" width="4" customWidth="1"/>
    <col min="2" max="2" width="14.85546875" customWidth="1"/>
    <col min="3" max="15" width="8.5703125" customWidth="1"/>
  </cols>
  <sheetData>
    <row r="2" spans="1:15" ht="18.75" x14ac:dyDescent="0.3">
      <c r="A2" s="242" t="s">
        <v>37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5" ht="18.75" x14ac:dyDescent="0.3">
      <c r="A3" s="241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5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 x14ac:dyDescent="0.25">
      <c r="A6" s="237" t="s">
        <v>2</v>
      </c>
      <c r="B6" s="237" t="s">
        <v>3</v>
      </c>
      <c r="C6" s="243" t="s">
        <v>4</v>
      </c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37" t="s">
        <v>5</v>
      </c>
    </row>
    <row r="7" spans="1:15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5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 x14ac:dyDescent="0.25">
      <c r="A9" s="58">
        <v>1</v>
      </c>
      <c r="B9" s="11" t="s">
        <v>19</v>
      </c>
      <c r="C9" s="59">
        <v>0</v>
      </c>
      <c r="D9" s="59">
        <v>0</v>
      </c>
      <c r="E9" s="171">
        <v>0</v>
      </c>
      <c r="F9" s="171">
        <v>0</v>
      </c>
      <c r="G9" s="171">
        <v>0</v>
      </c>
      <c r="H9" s="171">
        <v>0</v>
      </c>
      <c r="I9" s="171">
        <v>0</v>
      </c>
      <c r="J9" s="171">
        <v>0</v>
      </c>
      <c r="K9" s="171">
        <v>0</v>
      </c>
      <c r="L9" s="171">
        <v>0</v>
      </c>
      <c r="M9" s="171">
        <v>0</v>
      </c>
      <c r="N9" s="171">
        <v>0</v>
      </c>
      <c r="O9" s="173">
        <f>SUM(C9:N9)</f>
        <v>0</v>
      </c>
    </row>
    <row r="10" spans="1:15" ht="18.75" customHeight="1" x14ac:dyDescent="0.25">
      <c r="A10" s="60">
        <v>2</v>
      </c>
      <c r="B10" s="15" t="s">
        <v>20</v>
      </c>
      <c r="C10" s="61">
        <v>0</v>
      </c>
      <c r="D10" s="61">
        <v>0</v>
      </c>
      <c r="E10" s="172">
        <v>0</v>
      </c>
      <c r="F10" s="172">
        <v>0</v>
      </c>
      <c r="G10" s="172">
        <v>0</v>
      </c>
      <c r="H10" s="172">
        <v>0</v>
      </c>
      <c r="I10" s="172">
        <v>0</v>
      </c>
      <c r="J10" s="172">
        <v>0</v>
      </c>
      <c r="K10" s="172">
        <v>0</v>
      </c>
      <c r="L10" s="172">
        <v>0</v>
      </c>
      <c r="M10" s="172">
        <v>0</v>
      </c>
      <c r="N10" s="172">
        <v>0</v>
      </c>
      <c r="O10" s="71">
        <f t="shared" ref="O10:O16" si="0">SUM(C10:N10)</f>
        <v>0</v>
      </c>
    </row>
    <row r="11" spans="1:15" ht="18.75" customHeight="1" x14ac:dyDescent="0.25">
      <c r="A11" s="60">
        <v>3</v>
      </c>
      <c r="B11" s="11" t="s">
        <v>21</v>
      </c>
      <c r="C11" s="61">
        <v>0</v>
      </c>
      <c r="D11" s="61">
        <v>0</v>
      </c>
      <c r="E11" s="172">
        <v>0</v>
      </c>
      <c r="F11" s="172">
        <v>0</v>
      </c>
      <c r="G11" s="172">
        <v>0</v>
      </c>
      <c r="H11" s="172">
        <v>0</v>
      </c>
      <c r="I11" s="172">
        <v>0</v>
      </c>
      <c r="J11" s="172">
        <v>0</v>
      </c>
      <c r="K11" s="172">
        <v>0</v>
      </c>
      <c r="L11" s="172">
        <v>0</v>
      </c>
      <c r="M11" s="172">
        <v>0</v>
      </c>
      <c r="N11" s="172">
        <v>0</v>
      </c>
      <c r="O11" s="71">
        <f t="shared" si="0"/>
        <v>0</v>
      </c>
    </row>
    <row r="12" spans="1:15" ht="18.75" customHeight="1" x14ac:dyDescent="0.25">
      <c r="A12" s="60">
        <v>4</v>
      </c>
      <c r="B12" s="18" t="s">
        <v>22</v>
      </c>
      <c r="C12" s="61">
        <v>0</v>
      </c>
      <c r="D12" s="61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71">
        <f t="shared" si="0"/>
        <v>0</v>
      </c>
    </row>
    <row r="13" spans="1:15" ht="18.75" customHeight="1" x14ac:dyDescent="0.25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</row>
    <row r="14" spans="1:15" ht="18.75" customHeight="1" x14ac:dyDescent="0.25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</row>
    <row r="15" spans="1:15" ht="18.75" customHeight="1" x14ac:dyDescent="0.25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</row>
    <row r="16" spans="1:15" ht="18.75" customHeight="1" x14ac:dyDescent="0.25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87" t="s">
        <v>26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174">
        <f t="shared" si="0"/>
        <v>0</v>
      </c>
    </row>
    <row r="17" spans="1:15" ht="18.75" customHeight="1" x14ac:dyDescent="0.25">
      <c r="A17" s="235" t="s">
        <v>28</v>
      </c>
      <c r="B17" s="236"/>
      <c r="C17" s="64">
        <f t="shared" ref="C17:O17" si="1">SUM(C9:C16)</f>
        <v>0</v>
      </c>
      <c r="D17" s="64">
        <f t="shared" si="1"/>
        <v>0</v>
      </c>
      <c r="E17" s="64">
        <f t="shared" si="1"/>
        <v>0</v>
      </c>
      <c r="F17" s="64">
        <f t="shared" si="1"/>
        <v>0</v>
      </c>
      <c r="G17" s="64">
        <f t="shared" si="1"/>
        <v>0</v>
      </c>
      <c r="H17" s="64">
        <f t="shared" si="1"/>
        <v>0</v>
      </c>
      <c r="I17" s="64">
        <f t="shared" si="1"/>
        <v>0</v>
      </c>
      <c r="J17" s="64">
        <f t="shared" si="1"/>
        <v>0</v>
      </c>
      <c r="K17" s="64">
        <f t="shared" si="1"/>
        <v>0</v>
      </c>
      <c r="L17" s="64">
        <f t="shared" si="1"/>
        <v>0</v>
      </c>
      <c r="M17" s="64">
        <f t="shared" si="1"/>
        <v>0</v>
      </c>
      <c r="N17" s="64">
        <f t="shared" si="1"/>
        <v>0</v>
      </c>
      <c r="O17" s="64">
        <f t="shared" si="1"/>
        <v>0</v>
      </c>
    </row>
    <row r="18" spans="1:15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 x14ac:dyDescent="0.2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</row>
    <row r="35" spans="1:15" ht="18.75" x14ac:dyDescent="0.3">
      <c r="A35" s="242" t="s">
        <v>38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5" ht="18.75" x14ac:dyDescent="0.3">
      <c r="A36" s="241" t="s">
        <v>111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</row>
    <row r="37" spans="1:15" ht="18.75" x14ac:dyDescent="0.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5" x14ac:dyDescent="0.25">
      <c r="A39" s="237" t="s">
        <v>2</v>
      </c>
      <c r="B39" s="237" t="s">
        <v>3</v>
      </c>
      <c r="C39" s="243" t="s">
        <v>4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37" t="s">
        <v>5</v>
      </c>
    </row>
    <row r="40" spans="1:15" x14ac:dyDescent="0.25">
      <c r="A40" s="238"/>
      <c r="B40" s="238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44"/>
    </row>
    <row r="41" spans="1:15" x14ac:dyDescent="0.2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8.75" customHeight="1" x14ac:dyDescent="0.25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59">
        <v>0</v>
      </c>
      <c r="G42" s="171">
        <v>0</v>
      </c>
      <c r="H42" s="171">
        <v>0</v>
      </c>
      <c r="I42" s="171">
        <v>0</v>
      </c>
      <c r="J42" s="171">
        <v>0</v>
      </c>
      <c r="K42" s="171">
        <v>0</v>
      </c>
      <c r="L42" s="171">
        <v>0</v>
      </c>
      <c r="M42" s="171">
        <v>0</v>
      </c>
      <c r="N42" s="171">
        <v>0</v>
      </c>
      <c r="O42" s="173">
        <f>SUM(C42:N42)</f>
        <v>0</v>
      </c>
    </row>
    <row r="43" spans="1:15" ht="18.75" customHeight="1" x14ac:dyDescent="0.25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61">
        <v>0</v>
      </c>
      <c r="G43" s="172">
        <v>0</v>
      </c>
      <c r="H43" s="172">
        <v>0</v>
      </c>
      <c r="I43" s="172">
        <v>0</v>
      </c>
      <c r="J43" s="172">
        <v>0</v>
      </c>
      <c r="K43" s="172">
        <v>0</v>
      </c>
      <c r="L43" s="172">
        <v>0</v>
      </c>
      <c r="M43" s="172">
        <v>0</v>
      </c>
      <c r="N43" s="172">
        <v>0</v>
      </c>
      <c r="O43" s="71">
        <f t="shared" ref="O43:O49" si="2">SUM(C43:N43)</f>
        <v>0</v>
      </c>
    </row>
    <row r="44" spans="1:15" ht="18.75" customHeight="1" x14ac:dyDescent="0.25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61">
        <v>0</v>
      </c>
      <c r="G44" s="172">
        <v>0</v>
      </c>
      <c r="H44" s="172">
        <v>0</v>
      </c>
      <c r="I44" s="172">
        <v>0</v>
      </c>
      <c r="J44" s="172">
        <v>0</v>
      </c>
      <c r="K44" s="172">
        <v>0</v>
      </c>
      <c r="L44" s="172">
        <v>0</v>
      </c>
      <c r="M44" s="172">
        <v>0</v>
      </c>
      <c r="N44" s="172">
        <v>0</v>
      </c>
      <c r="O44" s="71">
        <f t="shared" si="2"/>
        <v>0</v>
      </c>
    </row>
    <row r="45" spans="1:15" ht="18.75" customHeight="1" x14ac:dyDescent="0.25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61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71">
        <f t="shared" si="2"/>
        <v>0</v>
      </c>
    </row>
    <row r="46" spans="1:15" ht="18.75" customHeight="1" x14ac:dyDescent="0.25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2"/>
        <v>0</v>
      </c>
    </row>
    <row r="47" spans="1:15" ht="18.75" customHeight="1" x14ac:dyDescent="0.25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2"/>
        <v>0</v>
      </c>
    </row>
    <row r="48" spans="1:15" ht="18.75" customHeight="1" x14ac:dyDescent="0.25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2"/>
        <v>0</v>
      </c>
    </row>
    <row r="49" spans="1:15" ht="18.75" customHeight="1" x14ac:dyDescent="0.25">
      <c r="A49" s="62">
        <v>8</v>
      </c>
      <c r="B49" s="18" t="s">
        <v>27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87" t="s">
        <v>26</v>
      </c>
      <c r="L49" s="63">
        <v>0</v>
      </c>
      <c r="M49" s="63">
        <v>0</v>
      </c>
      <c r="N49" s="63">
        <v>0</v>
      </c>
      <c r="O49" s="174">
        <f t="shared" si="2"/>
        <v>0</v>
      </c>
    </row>
    <row r="50" spans="1:15" ht="18.75" customHeight="1" x14ac:dyDescent="0.25">
      <c r="A50" s="235" t="s">
        <v>28</v>
      </c>
      <c r="B50" s="236"/>
      <c r="C50" s="64">
        <f t="shared" ref="C50:O50" si="3">SUM(C42:C49)</f>
        <v>0</v>
      </c>
      <c r="D50" s="64">
        <f t="shared" si="3"/>
        <v>0</v>
      </c>
      <c r="E50" s="64">
        <f t="shared" si="3"/>
        <v>0</v>
      </c>
      <c r="F50" s="64">
        <f t="shared" si="3"/>
        <v>0</v>
      </c>
      <c r="G50" s="64">
        <f t="shared" si="3"/>
        <v>0</v>
      </c>
      <c r="H50" s="64">
        <f t="shared" si="3"/>
        <v>0</v>
      </c>
      <c r="I50" s="64">
        <f t="shared" si="3"/>
        <v>0</v>
      </c>
      <c r="J50" s="64">
        <f t="shared" si="3"/>
        <v>0</v>
      </c>
      <c r="K50" s="64">
        <f t="shared" si="3"/>
        <v>0</v>
      </c>
      <c r="L50" s="64">
        <f t="shared" si="3"/>
        <v>0</v>
      </c>
      <c r="M50" s="64">
        <f t="shared" si="3"/>
        <v>0</v>
      </c>
      <c r="N50" s="64">
        <f t="shared" si="3"/>
        <v>0</v>
      </c>
      <c r="O50" s="64">
        <f t="shared" si="3"/>
        <v>0</v>
      </c>
    </row>
    <row r="51" spans="1:15" x14ac:dyDescent="0.2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5" ht="18.75" x14ac:dyDescent="0.3">
      <c r="A68" s="242" t="s">
        <v>39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5" ht="18.75" x14ac:dyDescent="0.3">
      <c r="A69" s="241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</row>
    <row r="70" spans="1:15" ht="18.75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5" x14ac:dyDescent="0.25">
      <c r="A72" s="237" t="s">
        <v>2</v>
      </c>
      <c r="B72" s="237" t="s">
        <v>3</v>
      </c>
      <c r="C72" s="243" t="s">
        <v>4</v>
      </c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37" t="s">
        <v>5</v>
      </c>
    </row>
    <row r="73" spans="1:15" x14ac:dyDescent="0.25">
      <c r="A73" s="238"/>
      <c r="B73" s="23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44"/>
    </row>
    <row r="74" spans="1:15" x14ac:dyDescent="0.2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 x14ac:dyDescent="0.25">
      <c r="A75" s="58">
        <v>1</v>
      </c>
      <c r="B75" s="11" t="s">
        <v>19</v>
      </c>
      <c r="C75" s="59">
        <v>0</v>
      </c>
      <c r="D75" s="59">
        <v>0</v>
      </c>
      <c r="E75" s="59">
        <v>0</v>
      </c>
      <c r="F75" s="59">
        <v>0</v>
      </c>
      <c r="G75" s="171">
        <v>0</v>
      </c>
      <c r="H75" s="171">
        <v>0</v>
      </c>
      <c r="I75" s="171">
        <v>0</v>
      </c>
      <c r="J75" s="171">
        <v>0</v>
      </c>
      <c r="K75" s="171">
        <v>0</v>
      </c>
      <c r="L75" s="171">
        <v>0</v>
      </c>
      <c r="M75" s="171">
        <v>0</v>
      </c>
      <c r="N75" s="171">
        <v>0</v>
      </c>
      <c r="O75" s="173">
        <f>SUM(C75:N75)</f>
        <v>0</v>
      </c>
    </row>
    <row r="76" spans="1:15" ht="18.75" customHeight="1" x14ac:dyDescent="0.25">
      <c r="A76" s="60">
        <v>2</v>
      </c>
      <c r="B76" s="15" t="s">
        <v>20</v>
      </c>
      <c r="C76" s="61">
        <v>0</v>
      </c>
      <c r="D76" s="61">
        <v>0</v>
      </c>
      <c r="E76" s="61">
        <v>0</v>
      </c>
      <c r="F76" s="61">
        <v>0</v>
      </c>
      <c r="G76" s="172">
        <v>0</v>
      </c>
      <c r="H76" s="172">
        <v>0</v>
      </c>
      <c r="I76" s="172">
        <v>0</v>
      </c>
      <c r="J76" s="172">
        <v>0</v>
      </c>
      <c r="K76" s="172">
        <v>0</v>
      </c>
      <c r="L76" s="172">
        <v>0</v>
      </c>
      <c r="M76" s="172">
        <v>0</v>
      </c>
      <c r="N76" s="172">
        <v>0</v>
      </c>
      <c r="O76" s="71">
        <f t="shared" ref="O76:O82" si="4">SUM(C76:N76)</f>
        <v>0</v>
      </c>
    </row>
    <row r="77" spans="1:15" ht="18.75" customHeight="1" x14ac:dyDescent="0.25">
      <c r="A77" s="60">
        <v>3</v>
      </c>
      <c r="B77" s="11" t="s">
        <v>21</v>
      </c>
      <c r="C77" s="61">
        <v>0</v>
      </c>
      <c r="D77" s="61">
        <v>0</v>
      </c>
      <c r="E77" s="61">
        <v>0</v>
      </c>
      <c r="F77" s="61">
        <v>0</v>
      </c>
      <c r="G77" s="172">
        <v>0</v>
      </c>
      <c r="H77" s="172">
        <v>0</v>
      </c>
      <c r="I77" s="172">
        <v>0</v>
      </c>
      <c r="J77" s="172">
        <v>0</v>
      </c>
      <c r="K77" s="172">
        <v>0</v>
      </c>
      <c r="L77" s="172">
        <v>0</v>
      </c>
      <c r="M77" s="172">
        <v>0</v>
      </c>
      <c r="N77" s="172">
        <v>0</v>
      </c>
      <c r="O77" s="71">
        <f t="shared" si="4"/>
        <v>0</v>
      </c>
    </row>
    <row r="78" spans="1:15" ht="18.75" customHeight="1" x14ac:dyDescent="0.25">
      <c r="A78" s="60">
        <v>4</v>
      </c>
      <c r="B78" s="18" t="s">
        <v>22</v>
      </c>
      <c r="C78" s="61">
        <v>0</v>
      </c>
      <c r="D78" s="61">
        <v>0</v>
      </c>
      <c r="E78" s="61">
        <v>0</v>
      </c>
      <c r="F78" s="61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71">
        <f t="shared" si="4"/>
        <v>0</v>
      </c>
    </row>
    <row r="79" spans="1:15" ht="18.75" customHeight="1" x14ac:dyDescent="0.25">
      <c r="A79" s="60">
        <v>5</v>
      </c>
      <c r="B79" s="19" t="s">
        <v>23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71">
        <f t="shared" si="4"/>
        <v>0</v>
      </c>
    </row>
    <row r="80" spans="1:15" ht="18.75" customHeight="1" x14ac:dyDescent="0.25">
      <c r="A80" s="60">
        <v>6</v>
      </c>
      <c r="B80" s="19" t="s">
        <v>24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71">
        <f t="shared" si="4"/>
        <v>0</v>
      </c>
    </row>
    <row r="81" spans="1:15" ht="18.75" customHeight="1" x14ac:dyDescent="0.25">
      <c r="A81" s="60">
        <v>7</v>
      </c>
      <c r="B81" s="19" t="s">
        <v>25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71">
        <f t="shared" si="4"/>
        <v>0</v>
      </c>
    </row>
    <row r="82" spans="1:15" ht="18.75" customHeight="1" x14ac:dyDescent="0.25">
      <c r="A82" s="62">
        <v>8</v>
      </c>
      <c r="B82" s="18" t="s">
        <v>27</v>
      </c>
      <c r="C82" s="63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6" t="s">
        <v>26</v>
      </c>
      <c r="L82" s="63">
        <v>0</v>
      </c>
      <c r="M82" s="63">
        <v>0</v>
      </c>
      <c r="N82" s="63">
        <v>0</v>
      </c>
      <c r="O82" s="175">
        <f t="shared" si="4"/>
        <v>0</v>
      </c>
    </row>
    <row r="83" spans="1:15" ht="18.75" customHeight="1" x14ac:dyDescent="0.25">
      <c r="A83" s="235" t="s">
        <v>28</v>
      </c>
      <c r="B83" s="236"/>
      <c r="C83" s="64">
        <f t="shared" ref="C83:O83" si="5">SUM(C75:C82)</f>
        <v>0</v>
      </c>
      <c r="D83" s="64">
        <f t="shared" si="5"/>
        <v>0</v>
      </c>
      <c r="E83" s="64">
        <f t="shared" si="5"/>
        <v>0</v>
      </c>
      <c r="F83" s="64">
        <f t="shared" si="5"/>
        <v>0</v>
      </c>
      <c r="G83" s="64">
        <f t="shared" si="5"/>
        <v>0</v>
      </c>
      <c r="H83" s="64">
        <f t="shared" si="5"/>
        <v>0</v>
      </c>
      <c r="I83" s="64">
        <f t="shared" si="5"/>
        <v>0</v>
      </c>
      <c r="J83" s="64">
        <f t="shared" si="5"/>
        <v>0</v>
      </c>
      <c r="K83" s="67">
        <f t="shared" si="5"/>
        <v>0</v>
      </c>
      <c r="L83" s="64">
        <f t="shared" si="5"/>
        <v>0</v>
      </c>
      <c r="M83" s="64">
        <f t="shared" si="5"/>
        <v>0</v>
      </c>
      <c r="N83" s="64">
        <f t="shared" si="5"/>
        <v>0</v>
      </c>
      <c r="O83" s="67">
        <f t="shared" si="5"/>
        <v>0</v>
      </c>
    </row>
    <row r="84" spans="1:15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 x14ac:dyDescent="0.3">
      <c r="A101" s="242" t="s">
        <v>41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5" ht="18.75" x14ac:dyDescent="0.3">
      <c r="A102" s="241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</row>
    <row r="103" spans="1:15" ht="18.75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</row>
    <row r="106" spans="1:15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</row>
    <row r="107" spans="1:15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 x14ac:dyDescent="0.25">
      <c r="A108" s="58">
        <v>1</v>
      </c>
      <c r="B108" s="11" t="s">
        <v>19</v>
      </c>
      <c r="C108" s="59">
        <v>0</v>
      </c>
      <c r="D108" s="59">
        <v>0</v>
      </c>
      <c r="E108" s="59">
        <v>0</v>
      </c>
      <c r="F108" s="59">
        <v>0</v>
      </c>
      <c r="G108" s="171">
        <v>0</v>
      </c>
      <c r="H108" s="171">
        <v>0</v>
      </c>
      <c r="I108" s="171">
        <v>0</v>
      </c>
      <c r="J108" s="171">
        <v>0</v>
      </c>
      <c r="K108" s="171">
        <v>0</v>
      </c>
      <c r="L108" s="171">
        <v>0</v>
      </c>
      <c r="M108" s="171">
        <v>0</v>
      </c>
      <c r="N108" s="171">
        <v>0</v>
      </c>
      <c r="O108" s="120">
        <f>SUM(C108:N108)</f>
        <v>0</v>
      </c>
    </row>
    <row r="109" spans="1:15" ht="18.75" customHeight="1" x14ac:dyDescent="0.25">
      <c r="A109" s="60">
        <v>2</v>
      </c>
      <c r="B109" s="15" t="s">
        <v>20</v>
      </c>
      <c r="C109" s="61">
        <v>0</v>
      </c>
      <c r="D109" s="61">
        <v>0</v>
      </c>
      <c r="E109" s="61">
        <v>0</v>
      </c>
      <c r="F109" s="61">
        <v>0</v>
      </c>
      <c r="G109" s="172">
        <v>0</v>
      </c>
      <c r="H109" s="172">
        <v>0</v>
      </c>
      <c r="I109" s="172">
        <v>0</v>
      </c>
      <c r="J109" s="172">
        <v>0</v>
      </c>
      <c r="K109" s="172">
        <v>0</v>
      </c>
      <c r="L109" s="172">
        <v>0</v>
      </c>
      <c r="M109" s="172">
        <v>0</v>
      </c>
      <c r="N109" s="172">
        <v>0</v>
      </c>
      <c r="O109" s="82">
        <f t="shared" ref="O109:O115" si="6">SUM(C109:N109)</f>
        <v>0</v>
      </c>
    </row>
    <row r="110" spans="1:15" ht="18.75" customHeight="1" x14ac:dyDescent="0.25">
      <c r="A110" s="60">
        <v>3</v>
      </c>
      <c r="B110" s="11" t="s">
        <v>21</v>
      </c>
      <c r="C110" s="61">
        <v>0</v>
      </c>
      <c r="D110" s="78">
        <v>0</v>
      </c>
      <c r="E110" s="78">
        <v>0</v>
      </c>
      <c r="F110" s="78">
        <v>0</v>
      </c>
      <c r="G110" s="172">
        <v>0</v>
      </c>
      <c r="H110" s="172">
        <v>0</v>
      </c>
      <c r="I110" s="172">
        <v>0</v>
      </c>
      <c r="J110" s="172">
        <v>0</v>
      </c>
      <c r="K110" s="172">
        <v>0</v>
      </c>
      <c r="L110" s="172">
        <v>0</v>
      </c>
      <c r="M110" s="172">
        <v>0</v>
      </c>
      <c r="N110" s="172">
        <v>0</v>
      </c>
      <c r="O110" s="82">
        <v>0</v>
      </c>
    </row>
    <row r="111" spans="1:15" ht="18.75" customHeight="1" x14ac:dyDescent="0.25">
      <c r="A111" s="60">
        <v>4</v>
      </c>
      <c r="B111" s="18" t="s">
        <v>22</v>
      </c>
      <c r="C111" s="61">
        <v>0</v>
      </c>
      <c r="D111" s="61">
        <v>0</v>
      </c>
      <c r="E111" s="61">
        <v>0</v>
      </c>
      <c r="F111" s="61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82">
        <f t="shared" si="6"/>
        <v>0</v>
      </c>
    </row>
    <row r="112" spans="1:15" ht="18.75" customHeight="1" x14ac:dyDescent="0.25">
      <c r="A112" s="60">
        <v>5</v>
      </c>
      <c r="B112" s="19" t="s">
        <v>23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f t="shared" si="6"/>
        <v>0</v>
      </c>
    </row>
    <row r="113" spans="1:15" ht="18.75" customHeight="1" x14ac:dyDescent="0.25">
      <c r="A113" s="60">
        <v>6</v>
      </c>
      <c r="B113" s="19" t="s">
        <v>24</v>
      </c>
      <c r="C113" s="61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f t="shared" si="6"/>
        <v>0</v>
      </c>
    </row>
    <row r="114" spans="1:15" ht="18.75" customHeight="1" x14ac:dyDescent="0.25">
      <c r="A114" s="60">
        <v>7</v>
      </c>
      <c r="B114" s="19" t="s">
        <v>25</v>
      </c>
      <c r="C114" s="61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f t="shared" si="6"/>
        <v>0</v>
      </c>
    </row>
    <row r="115" spans="1:15" ht="18.75" customHeight="1" x14ac:dyDescent="0.25">
      <c r="A115" s="62">
        <v>8</v>
      </c>
      <c r="B115" s="18" t="s">
        <v>27</v>
      </c>
      <c r="C115" s="63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79" t="s">
        <v>26</v>
      </c>
      <c r="M115" s="63">
        <v>0</v>
      </c>
      <c r="N115" s="63">
        <v>0</v>
      </c>
      <c r="O115" s="168">
        <f t="shared" si="6"/>
        <v>0</v>
      </c>
    </row>
    <row r="116" spans="1:15" ht="18.75" customHeight="1" x14ac:dyDescent="0.25">
      <c r="A116" s="235" t="s">
        <v>28</v>
      </c>
      <c r="B116" s="236"/>
      <c r="C116" s="80">
        <f t="shared" ref="C116:O116" si="7">SUM(C108:C115)</f>
        <v>0</v>
      </c>
      <c r="D116" s="80">
        <f t="shared" si="7"/>
        <v>0</v>
      </c>
      <c r="E116" s="80">
        <f t="shared" si="7"/>
        <v>0</v>
      </c>
      <c r="F116" s="80">
        <f t="shared" si="7"/>
        <v>0</v>
      </c>
      <c r="G116" s="80">
        <f t="shared" si="7"/>
        <v>0</v>
      </c>
      <c r="H116" s="80">
        <f t="shared" si="7"/>
        <v>0</v>
      </c>
      <c r="I116" s="80">
        <f t="shared" si="7"/>
        <v>0</v>
      </c>
      <c r="J116" s="80">
        <f t="shared" si="7"/>
        <v>0</v>
      </c>
      <c r="K116" s="80">
        <f t="shared" si="7"/>
        <v>0</v>
      </c>
      <c r="L116" s="80">
        <f t="shared" si="7"/>
        <v>0</v>
      </c>
      <c r="M116" s="80">
        <f t="shared" si="7"/>
        <v>0</v>
      </c>
      <c r="N116" s="80">
        <f t="shared" si="7"/>
        <v>0</v>
      </c>
      <c r="O116" s="80">
        <f t="shared" si="7"/>
        <v>0</v>
      </c>
    </row>
    <row r="119" spans="1:15" x14ac:dyDescent="0.25">
      <c r="L119" s="65"/>
    </row>
    <row r="120" spans="1:15" x14ac:dyDescent="0.25">
      <c r="L120" s="65"/>
    </row>
    <row r="121" spans="1:15" ht="50.25" customHeight="1" x14ac:dyDescent="0.25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70866141732283505" top="0.94488188976377996" bottom="0.74803149606299202" header="0.31496062992126" footer="0.31496062992126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30"/>
  <sheetViews>
    <sheetView zoomScale="85" zoomScaleNormal="85" workbookViewId="0">
      <selection activeCell="N1" sqref="N1"/>
    </sheetView>
  </sheetViews>
  <sheetFormatPr defaultColWidth="9" defaultRowHeight="15" x14ac:dyDescent="0.25"/>
  <cols>
    <col min="1" max="1" width="4" customWidth="1"/>
    <col min="2" max="2" width="13.42578125" customWidth="1"/>
    <col min="3" max="14" width="8.5703125" customWidth="1"/>
    <col min="15" max="15" width="12.28515625" customWidth="1"/>
  </cols>
  <sheetData>
    <row r="2" spans="1:15" ht="18.75" x14ac:dyDescent="0.3">
      <c r="A2" s="242" t="s">
        <v>42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5" ht="18.75" x14ac:dyDescent="0.3">
      <c r="A3" s="241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5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 x14ac:dyDescent="0.25">
      <c r="A6" s="237" t="s">
        <v>2</v>
      </c>
      <c r="B6" s="237" t="s">
        <v>3</v>
      </c>
      <c r="C6" s="243" t="s">
        <v>4</v>
      </c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37" t="s">
        <v>5</v>
      </c>
    </row>
    <row r="7" spans="1:15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5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 x14ac:dyDescent="0.25">
      <c r="A9" s="58">
        <v>1</v>
      </c>
      <c r="B9" s="11" t="s">
        <v>19</v>
      </c>
      <c r="C9" s="137">
        <v>0</v>
      </c>
      <c r="D9" s="91">
        <v>0</v>
      </c>
      <c r="E9" s="91">
        <v>0</v>
      </c>
      <c r="F9" s="95">
        <v>0</v>
      </c>
      <c r="G9" s="95">
        <v>0</v>
      </c>
      <c r="H9" s="95">
        <v>0.2</v>
      </c>
      <c r="I9" s="95">
        <v>0</v>
      </c>
      <c r="J9" s="95">
        <v>4.1500000000000004</v>
      </c>
      <c r="K9" s="91">
        <v>0.4</v>
      </c>
      <c r="L9" s="91">
        <v>0</v>
      </c>
      <c r="M9" s="91">
        <v>3.15</v>
      </c>
      <c r="N9" s="91"/>
      <c r="O9" s="88">
        <f>SUM(C9:N9)</f>
        <v>7.9</v>
      </c>
    </row>
    <row r="10" spans="1:15" ht="18.75" customHeight="1" x14ac:dyDescent="0.25">
      <c r="A10" s="60">
        <v>2</v>
      </c>
      <c r="B10" s="15" t="s">
        <v>20</v>
      </c>
      <c r="C10" s="138">
        <v>0.2</v>
      </c>
      <c r="D10" s="100">
        <v>0.25</v>
      </c>
      <c r="E10" s="86">
        <v>0</v>
      </c>
      <c r="F10" s="100">
        <v>0.2</v>
      </c>
      <c r="G10" s="100" t="s">
        <v>115</v>
      </c>
      <c r="H10" s="103">
        <v>0.1</v>
      </c>
      <c r="I10" s="95">
        <v>0</v>
      </c>
      <c r="J10" s="100">
        <v>0.6</v>
      </c>
      <c r="K10" s="86">
        <v>0.1</v>
      </c>
      <c r="L10" s="86">
        <v>0.3</v>
      </c>
      <c r="M10" s="86">
        <v>0.1</v>
      </c>
      <c r="N10" s="86">
        <v>0.1</v>
      </c>
      <c r="O10" s="89">
        <f t="shared" ref="O10:O16" si="0">SUM(C10:N10)</f>
        <v>1.9500000000000004</v>
      </c>
    </row>
    <row r="11" spans="1:15" ht="18.75" customHeight="1" x14ac:dyDescent="0.25">
      <c r="A11" s="60">
        <v>3</v>
      </c>
      <c r="B11" s="11" t="s">
        <v>21</v>
      </c>
      <c r="C11" s="138">
        <v>2</v>
      </c>
      <c r="D11" s="86">
        <v>0</v>
      </c>
      <c r="E11" s="86">
        <v>0</v>
      </c>
      <c r="F11" s="100">
        <v>3</v>
      </c>
      <c r="G11" s="100">
        <v>0</v>
      </c>
      <c r="H11" s="100">
        <v>0</v>
      </c>
      <c r="I11" s="95">
        <v>0</v>
      </c>
      <c r="J11" s="100">
        <v>0</v>
      </c>
      <c r="K11" s="86">
        <v>0</v>
      </c>
      <c r="L11" s="86">
        <v>0.5</v>
      </c>
      <c r="M11" s="86">
        <v>0.5</v>
      </c>
      <c r="N11" s="86">
        <v>0</v>
      </c>
      <c r="O11" s="89">
        <f t="shared" si="0"/>
        <v>6</v>
      </c>
    </row>
    <row r="12" spans="1:15" ht="18.75" customHeight="1" x14ac:dyDescent="0.25">
      <c r="A12" s="60">
        <v>4</v>
      </c>
      <c r="B12" s="18" t="s">
        <v>22</v>
      </c>
      <c r="C12" s="138">
        <v>0.15</v>
      </c>
      <c r="D12" s="86">
        <v>0</v>
      </c>
      <c r="E12" s="86">
        <v>0</v>
      </c>
      <c r="F12" s="86">
        <v>0</v>
      </c>
      <c r="G12" s="86">
        <v>0</v>
      </c>
      <c r="H12" s="100">
        <v>0</v>
      </c>
      <c r="I12" s="95" t="s">
        <v>26</v>
      </c>
      <c r="J12" s="100">
        <v>0</v>
      </c>
      <c r="K12" s="86">
        <v>0</v>
      </c>
      <c r="L12" s="86">
        <v>0</v>
      </c>
      <c r="M12" s="86">
        <v>1</v>
      </c>
      <c r="N12" s="86">
        <v>0</v>
      </c>
      <c r="O12" s="89">
        <f t="shared" si="0"/>
        <v>1.1499999999999999</v>
      </c>
    </row>
    <row r="13" spans="1:15" ht="18.75" customHeight="1" x14ac:dyDescent="0.25">
      <c r="A13" s="60">
        <v>5</v>
      </c>
      <c r="B13" s="19" t="s">
        <v>23</v>
      </c>
      <c r="C13" s="138">
        <v>0</v>
      </c>
      <c r="D13" s="86">
        <v>0</v>
      </c>
      <c r="E13" s="86">
        <v>1</v>
      </c>
      <c r="F13" s="100">
        <v>0</v>
      </c>
      <c r="G13" s="100">
        <v>0</v>
      </c>
      <c r="H13" s="100">
        <v>1</v>
      </c>
      <c r="I13" s="95" t="s">
        <v>26</v>
      </c>
      <c r="J13" s="100">
        <v>0.2</v>
      </c>
      <c r="K13" s="86">
        <v>1</v>
      </c>
      <c r="L13" s="86">
        <v>0</v>
      </c>
      <c r="M13" s="86">
        <v>0.1</v>
      </c>
      <c r="N13" s="86"/>
      <c r="O13" s="89">
        <f t="shared" si="0"/>
        <v>3.3000000000000003</v>
      </c>
    </row>
    <row r="14" spans="1:15" ht="18.75" customHeight="1" x14ac:dyDescent="0.25">
      <c r="A14" s="60">
        <v>6</v>
      </c>
      <c r="B14" s="19" t="s">
        <v>24</v>
      </c>
      <c r="C14" s="138">
        <v>0.2</v>
      </c>
      <c r="D14" s="86">
        <v>0.1</v>
      </c>
      <c r="E14" s="86">
        <v>0</v>
      </c>
      <c r="F14" s="86">
        <v>0.2</v>
      </c>
      <c r="G14" s="100">
        <v>0.1</v>
      </c>
      <c r="H14" s="86">
        <v>0</v>
      </c>
      <c r="I14" s="95">
        <v>0</v>
      </c>
      <c r="J14" s="100">
        <v>4</v>
      </c>
      <c r="K14" s="86">
        <v>0</v>
      </c>
      <c r="L14" s="86">
        <v>0.3</v>
      </c>
      <c r="M14" s="100">
        <v>0.5</v>
      </c>
      <c r="N14" s="86">
        <v>0.2</v>
      </c>
      <c r="O14" s="89">
        <f t="shared" si="0"/>
        <v>5.6</v>
      </c>
    </row>
    <row r="15" spans="1:15" ht="18.75" customHeight="1" x14ac:dyDescent="0.25">
      <c r="A15" s="60">
        <v>7</v>
      </c>
      <c r="B15" s="19" t="s">
        <v>25</v>
      </c>
      <c r="C15" s="138">
        <v>0.5</v>
      </c>
      <c r="D15" s="86">
        <v>0</v>
      </c>
      <c r="E15" s="86">
        <v>0</v>
      </c>
      <c r="F15" s="100">
        <v>0.5</v>
      </c>
      <c r="G15" s="86">
        <v>0.5</v>
      </c>
      <c r="H15" s="86">
        <v>0</v>
      </c>
      <c r="I15" s="95" t="s">
        <v>26</v>
      </c>
      <c r="J15" s="100">
        <v>1</v>
      </c>
      <c r="K15" s="86">
        <v>0</v>
      </c>
      <c r="L15" s="86">
        <v>1</v>
      </c>
      <c r="M15" s="86">
        <v>1</v>
      </c>
      <c r="N15" s="86">
        <v>1</v>
      </c>
      <c r="O15" s="89">
        <f t="shared" si="0"/>
        <v>5.5</v>
      </c>
    </row>
    <row r="16" spans="1:15" ht="18.75" customHeight="1" x14ac:dyDescent="0.25">
      <c r="A16" s="62">
        <v>8</v>
      </c>
      <c r="B16" s="18" t="s">
        <v>27</v>
      </c>
      <c r="C16" s="139">
        <v>0</v>
      </c>
      <c r="D16" s="72">
        <v>1</v>
      </c>
      <c r="E16" s="72">
        <v>0</v>
      </c>
      <c r="F16" s="66">
        <v>1</v>
      </c>
      <c r="G16" s="72">
        <v>0</v>
      </c>
      <c r="H16" s="66">
        <v>1</v>
      </c>
      <c r="I16" s="72">
        <v>0</v>
      </c>
      <c r="J16" s="72">
        <v>1</v>
      </c>
      <c r="K16" s="72">
        <v>1</v>
      </c>
      <c r="L16" s="72">
        <v>2</v>
      </c>
      <c r="M16" s="72">
        <v>1</v>
      </c>
      <c r="N16" s="72">
        <v>0</v>
      </c>
      <c r="O16" s="73">
        <f t="shared" si="0"/>
        <v>8</v>
      </c>
    </row>
    <row r="17" spans="1:15" ht="18.75" customHeight="1" x14ac:dyDescent="0.25">
      <c r="A17" s="235" t="s">
        <v>28</v>
      </c>
      <c r="B17" s="236"/>
      <c r="C17" s="67">
        <f t="shared" ref="C17:O17" si="1">SUM(C9:C16)</f>
        <v>3.0500000000000003</v>
      </c>
      <c r="D17" s="67">
        <f t="shared" si="1"/>
        <v>1.35</v>
      </c>
      <c r="E17" s="67">
        <f t="shared" si="1"/>
        <v>1</v>
      </c>
      <c r="F17" s="67">
        <f t="shared" si="1"/>
        <v>4.9000000000000004</v>
      </c>
      <c r="G17" s="67">
        <f t="shared" si="1"/>
        <v>0.6</v>
      </c>
      <c r="H17" s="67">
        <f t="shared" si="1"/>
        <v>2.2999999999999998</v>
      </c>
      <c r="I17" s="67">
        <f t="shared" si="1"/>
        <v>0</v>
      </c>
      <c r="J17" s="67">
        <f t="shared" si="1"/>
        <v>10.95</v>
      </c>
      <c r="K17" s="67">
        <f t="shared" si="1"/>
        <v>2.5</v>
      </c>
      <c r="L17" s="67">
        <f t="shared" si="1"/>
        <v>4.0999999999999996</v>
      </c>
      <c r="M17" s="67">
        <f t="shared" si="1"/>
        <v>7.35</v>
      </c>
      <c r="N17" s="67">
        <f t="shared" si="1"/>
        <v>1.3</v>
      </c>
      <c r="O17" s="67">
        <f t="shared" si="1"/>
        <v>39.4</v>
      </c>
    </row>
    <row r="18" spans="1:15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128"/>
      <c r="O19" s="65"/>
    </row>
    <row r="20" spans="1:15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 x14ac:dyDescent="0.2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</row>
    <row r="35" spans="1:15" ht="18.75" x14ac:dyDescent="0.3">
      <c r="A35" s="242" t="s">
        <v>43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5" ht="18.75" x14ac:dyDescent="0.3">
      <c r="A36" s="241" t="s">
        <v>111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</row>
    <row r="37" spans="1:15" ht="16.5" customHeight="1" x14ac:dyDescent="0.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 ht="16.5" customHeight="1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5" ht="16.5" customHeight="1" x14ac:dyDescent="0.25">
      <c r="A39" s="237" t="s">
        <v>2</v>
      </c>
      <c r="B39" s="237" t="s">
        <v>3</v>
      </c>
      <c r="C39" s="243" t="s">
        <v>4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37" t="s">
        <v>5</v>
      </c>
    </row>
    <row r="40" spans="1:15" ht="16.5" customHeight="1" x14ac:dyDescent="0.25">
      <c r="A40" s="238"/>
      <c r="B40" s="238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44"/>
    </row>
    <row r="41" spans="1:15" ht="16.5" customHeight="1" x14ac:dyDescent="0.2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6.5" customHeight="1" x14ac:dyDescent="0.25">
      <c r="A42" s="58">
        <v>1</v>
      </c>
      <c r="B42" s="11" t="s">
        <v>19</v>
      </c>
      <c r="C42" s="137">
        <v>0</v>
      </c>
      <c r="D42" s="140">
        <v>0</v>
      </c>
      <c r="E42" s="95">
        <v>0</v>
      </c>
      <c r="F42" s="95">
        <v>0</v>
      </c>
      <c r="G42" s="84">
        <v>0</v>
      </c>
      <c r="H42" s="141" t="s">
        <v>26</v>
      </c>
      <c r="I42" s="84" t="s">
        <v>26</v>
      </c>
      <c r="J42" s="140">
        <v>0</v>
      </c>
      <c r="K42" s="153">
        <v>0</v>
      </c>
      <c r="L42" s="59">
        <v>0</v>
      </c>
      <c r="M42" s="59">
        <v>0</v>
      </c>
      <c r="N42" s="59"/>
      <c r="O42" s="154">
        <f t="shared" ref="O42:O49" si="2">SUM(C42:N42)</f>
        <v>0</v>
      </c>
    </row>
    <row r="43" spans="1:15" ht="16.5" customHeight="1" x14ac:dyDescent="0.25">
      <c r="A43" s="60">
        <v>2</v>
      </c>
      <c r="B43" s="15" t="s">
        <v>20</v>
      </c>
      <c r="C43" s="138">
        <v>0</v>
      </c>
      <c r="D43" s="138">
        <v>0</v>
      </c>
      <c r="E43" s="61">
        <v>0</v>
      </c>
      <c r="F43" s="100">
        <v>0</v>
      </c>
      <c r="G43" s="85">
        <v>0</v>
      </c>
      <c r="H43" s="143">
        <v>0</v>
      </c>
      <c r="I43" s="100">
        <v>0</v>
      </c>
      <c r="J43" s="144" t="s">
        <v>26</v>
      </c>
      <c r="K43" s="142">
        <v>0</v>
      </c>
      <c r="L43" s="85">
        <v>0</v>
      </c>
      <c r="M43" s="61">
        <v>0</v>
      </c>
      <c r="N43" s="85"/>
      <c r="O43" s="154">
        <f t="shared" si="2"/>
        <v>0</v>
      </c>
    </row>
    <row r="44" spans="1:15" ht="16.5" customHeight="1" x14ac:dyDescent="0.25">
      <c r="A44" s="60">
        <v>3</v>
      </c>
      <c r="B44" s="11" t="s">
        <v>21</v>
      </c>
      <c r="C44" s="142">
        <v>0</v>
      </c>
      <c r="D44" s="142">
        <v>0</v>
      </c>
      <c r="E44" s="61">
        <v>0</v>
      </c>
      <c r="F44" s="78">
        <v>0</v>
      </c>
      <c r="G44" s="85" t="s">
        <v>26</v>
      </c>
      <c r="H44" s="144" t="s">
        <v>26</v>
      </c>
      <c r="I44" s="85" t="s">
        <v>26</v>
      </c>
      <c r="J44" s="144" t="s">
        <v>26</v>
      </c>
      <c r="K44" s="142">
        <v>0</v>
      </c>
      <c r="L44" s="61">
        <v>0</v>
      </c>
      <c r="M44" s="61">
        <v>0</v>
      </c>
      <c r="N44" s="61"/>
      <c r="O44" s="154">
        <f t="shared" si="2"/>
        <v>0</v>
      </c>
    </row>
    <row r="45" spans="1:15" ht="16.5" customHeight="1" x14ac:dyDescent="0.25">
      <c r="A45" s="60">
        <v>4</v>
      </c>
      <c r="B45" s="18" t="s">
        <v>22</v>
      </c>
      <c r="C45" s="142">
        <v>0</v>
      </c>
      <c r="D45" s="142">
        <v>0</v>
      </c>
      <c r="E45" s="85">
        <v>0</v>
      </c>
      <c r="F45" s="85" t="s">
        <v>26</v>
      </c>
      <c r="G45" s="85" t="s">
        <v>26</v>
      </c>
      <c r="H45" s="144">
        <v>0</v>
      </c>
      <c r="I45" s="61">
        <v>0</v>
      </c>
      <c r="J45" s="144" t="s">
        <v>26</v>
      </c>
      <c r="K45" s="142">
        <v>0</v>
      </c>
      <c r="L45" s="100">
        <v>0.2</v>
      </c>
      <c r="M45" s="61">
        <v>0</v>
      </c>
      <c r="N45" s="85">
        <v>0</v>
      </c>
      <c r="O45" s="154">
        <f t="shared" si="2"/>
        <v>0.2</v>
      </c>
    </row>
    <row r="46" spans="1:15" ht="16.5" customHeight="1" x14ac:dyDescent="0.25">
      <c r="A46" s="60">
        <v>5</v>
      </c>
      <c r="B46" s="19" t="s">
        <v>23</v>
      </c>
      <c r="C46" s="142">
        <v>0</v>
      </c>
      <c r="D46" s="142">
        <v>0</v>
      </c>
      <c r="E46" s="61">
        <v>0</v>
      </c>
      <c r="F46" s="85">
        <v>0</v>
      </c>
      <c r="G46" s="85" t="s">
        <v>26</v>
      </c>
      <c r="H46" s="144" t="s">
        <v>26</v>
      </c>
      <c r="I46" s="85" t="s">
        <v>26</v>
      </c>
      <c r="J46" s="144" t="s">
        <v>26</v>
      </c>
      <c r="K46" s="142">
        <v>0</v>
      </c>
      <c r="L46" s="61">
        <v>0</v>
      </c>
      <c r="M46" s="61">
        <v>0</v>
      </c>
      <c r="N46" s="61"/>
      <c r="O46" s="154">
        <f t="shared" si="2"/>
        <v>0</v>
      </c>
    </row>
    <row r="47" spans="1:15" ht="16.5" customHeight="1" x14ac:dyDescent="0.25">
      <c r="A47" s="60">
        <v>6</v>
      </c>
      <c r="B47" s="19" t="s">
        <v>24</v>
      </c>
      <c r="C47" s="138">
        <v>0</v>
      </c>
      <c r="D47" s="138">
        <v>0</v>
      </c>
      <c r="E47" s="61">
        <v>0</v>
      </c>
      <c r="F47" s="85" t="s">
        <v>26</v>
      </c>
      <c r="G47" s="145">
        <v>0</v>
      </c>
      <c r="H47" s="144">
        <v>0</v>
      </c>
      <c r="I47" s="85" t="s">
        <v>26</v>
      </c>
      <c r="J47" s="144" t="s">
        <v>26</v>
      </c>
      <c r="K47" s="142">
        <v>0</v>
      </c>
      <c r="L47" s="61">
        <v>0</v>
      </c>
      <c r="M47" s="61">
        <v>0</v>
      </c>
      <c r="N47" s="86">
        <v>0</v>
      </c>
      <c r="O47" s="154">
        <f t="shared" si="2"/>
        <v>0</v>
      </c>
    </row>
    <row r="48" spans="1:15" ht="16.5" customHeight="1" x14ac:dyDescent="0.25">
      <c r="A48" s="60">
        <v>7</v>
      </c>
      <c r="B48" s="19" t="s">
        <v>25</v>
      </c>
      <c r="C48" s="142">
        <v>0</v>
      </c>
      <c r="D48" s="142">
        <v>0</v>
      </c>
      <c r="E48" s="61">
        <v>0</v>
      </c>
      <c r="F48" s="85" t="s">
        <v>26</v>
      </c>
      <c r="G48" s="85" t="s">
        <v>26</v>
      </c>
      <c r="H48" s="144" t="s">
        <v>26</v>
      </c>
      <c r="I48" s="85">
        <v>0</v>
      </c>
      <c r="J48" s="144" t="s">
        <v>26</v>
      </c>
      <c r="K48" s="142">
        <v>0</v>
      </c>
      <c r="L48" s="61">
        <v>0</v>
      </c>
      <c r="M48" s="85">
        <v>0</v>
      </c>
      <c r="N48" s="61"/>
      <c r="O48" s="154">
        <f t="shared" si="2"/>
        <v>0</v>
      </c>
    </row>
    <row r="49" spans="1:17" ht="16.5" customHeight="1" x14ac:dyDescent="0.25">
      <c r="A49" s="62">
        <v>8</v>
      </c>
      <c r="B49" s="18" t="s">
        <v>27</v>
      </c>
      <c r="C49" s="146">
        <v>0</v>
      </c>
      <c r="D49" s="146">
        <v>0</v>
      </c>
      <c r="E49" s="87">
        <v>0</v>
      </c>
      <c r="F49" s="85">
        <v>0</v>
      </c>
      <c r="G49" s="72">
        <v>0</v>
      </c>
      <c r="H49" s="144" t="s">
        <v>26</v>
      </c>
      <c r="I49" s="63">
        <v>0</v>
      </c>
      <c r="J49" s="146" t="s">
        <v>26</v>
      </c>
      <c r="K49" s="146">
        <v>0</v>
      </c>
      <c r="L49" s="72">
        <v>0</v>
      </c>
      <c r="M49" s="63">
        <v>0</v>
      </c>
      <c r="N49" s="63">
        <v>1</v>
      </c>
      <c r="O49" s="154">
        <f t="shared" si="2"/>
        <v>1</v>
      </c>
    </row>
    <row r="50" spans="1:17" ht="16.5" customHeight="1" x14ac:dyDescent="0.25">
      <c r="A50" s="235" t="s">
        <v>28</v>
      </c>
      <c r="B50" s="236"/>
      <c r="C50" s="80">
        <f>SUM(C42:C49)</f>
        <v>0</v>
      </c>
      <c r="D50" s="64">
        <f>SUM(D42:D49)</f>
        <v>0</v>
      </c>
      <c r="E50" s="64">
        <f t="shared" ref="E50:N50" si="3">SUM(E42:E49)</f>
        <v>0</v>
      </c>
      <c r="F50" s="64">
        <f t="shared" si="3"/>
        <v>0</v>
      </c>
      <c r="G50" s="67">
        <f t="shared" si="3"/>
        <v>0</v>
      </c>
      <c r="H50" s="64">
        <f t="shared" si="3"/>
        <v>0</v>
      </c>
      <c r="I50" s="64">
        <f t="shared" si="3"/>
        <v>0</v>
      </c>
      <c r="J50" s="67">
        <f t="shared" si="3"/>
        <v>0</v>
      </c>
      <c r="K50" s="64">
        <f t="shared" si="3"/>
        <v>0</v>
      </c>
      <c r="L50" s="67">
        <f t="shared" si="3"/>
        <v>0.2</v>
      </c>
      <c r="M50" s="64">
        <f t="shared" si="3"/>
        <v>0</v>
      </c>
      <c r="N50" s="64">
        <f t="shared" si="3"/>
        <v>1</v>
      </c>
      <c r="O50" s="64">
        <f>SUM(O42:O49)</f>
        <v>1.2</v>
      </c>
      <c r="Q50" s="76">
        <f>SUM(C50:N50)</f>
        <v>1.2</v>
      </c>
    </row>
    <row r="51" spans="1:17" ht="16.5" customHeight="1" x14ac:dyDescent="0.25"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7" ht="16.5" customHeight="1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155" t="s">
        <v>44</v>
      </c>
    </row>
    <row r="53" spans="1:17" ht="16.5" customHeight="1" x14ac:dyDescent="0.25">
      <c r="A53" s="237" t="s">
        <v>2</v>
      </c>
      <c r="B53" s="237" t="s">
        <v>3</v>
      </c>
      <c r="C53" s="243" t="s">
        <v>4</v>
      </c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37" t="s">
        <v>5</v>
      </c>
    </row>
    <row r="54" spans="1:17" ht="16.5" customHeight="1" x14ac:dyDescent="0.25">
      <c r="A54" s="238"/>
      <c r="B54" s="238"/>
      <c r="C54" s="4" t="s">
        <v>6</v>
      </c>
      <c r="D54" s="4" t="s">
        <v>7</v>
      </c>
      <c r="E54" s="4" t="s">
        <v>8</v>
      </c>
      <c r="F54" s="4" t="s">
        <v>9</v>
      </c>
      <c r="G54" s="4" t="s">
        <v>10</v>
      </c>
      <c r="H54" s="4" t="s">
        <v>11</v>
      </c>
      <c r="I54" s="4" t="s">
        <v>12</v>
      </c>
      <c r="J54" s="4" t="s">
        <v>13</v>
      </c>
      <c r="K54" s="4" t="s">
        <v>14</v>
      </c>
      <c r="L54" s="4" t="s">
        <v>15</v>
      </c>
      <c r="M54" s="4" t="s">
        <v>16</v>
      </c>
      <c r="N54" s="4" t="s">
        <v>17</v>
      </c>
      <c r="O54" s="244"/>
    </row>
    <row r="55" spans="1:17" ht="16.5" customHeight="1" x14ac:dyDescent="0.25">
      <c r="A55" s="57">
        <v>1</v>
      </c>
      <c r="B55" s="57">
        <v>2</v>
      </c>
      <c r="C55" s="57">
        <v>3</v>
      </c>
      <c r="D55" s="57">
        <v>4</v>
      </c>
      <c r="E55" s="57">
        <v>5</v>
      </c>
      <c r="F55" s="57">
        <v>6</v>
      </c>
      <c r="G55" s="57">
        <v>7</v>
      </c>
      <c r="H55" s="57">
        <v>8</v>
      </c>
      <c r="I55" s="57">
        <v>9</v>
      </c>
      <c r="J55" s="57">
        <v>10</v>
      </c>
      <c r="K55" s="57">
        <v>11</v>
      </c>
      <c r="L55" s="57">
        <v>12</v>
      </c>
      <c r="M55" s="57">
        <v>13</v>
      </c>
      <c r="N55" s="57">
        <v>14</v>
      </c>
      <c r="O55" s="57">
        <v>15</v>
      </c>
    </row>
    <row r="56" spans="1:17" ht="16.5" customHeight="1" x14ac:dyDescent="0.25">
      <c r="A56" s="58">
        <v>1</v>
      </c>
      <c r="B56" s="11" t="s">
        <v>19</v>
      </c>
      <c r="C56" s="137">
        <v>0</v>
      </c>
      <c r="D56" s="147">
        <v>0</v>
      </c>
      <c r="E56" s="95">
        <v>0</v>
      </c>
      <c r="F56" s="95">
        <v>0</v>
      </c>
      <c r="G56" s="95">
        <v>0</v>
      </c>
      <c r="H56" s="141" t="s">
        <v>26</v>
      </c>
      <c r="I56" s="84" t="s">
        <v>26</v>
      </c>
      <c r="J56" s="140">
        <v>0.2</v>
      </c>
      <c r="K56" s="153">
        <v>0</v>
      </c>
      <c r="L56" s="91">
        <v>0</v>
      </c>
      <c r="M56" s="91">
        <v>0</v>
      </c>
      <c r="N56" s="91">
        <v>1.1499999999999999</v>
      </c>
      <c r="O56" s="156">
        <f>SUM(C56:N56)</f>
        <v>1.3499999999999999</v>
      </c>
    </row>
    <row r="57" spans="1:17" ht="16.5" customHeight="1" x14ac:dyDescent="0.25">
      <c r="A57" s="60">
        <v>2</v>
      </c>
      <c r="B57" s="15" t="s">
        <v>20</v>
      </c>
      <c r="C57" s="138">
        <v>0.2</v>
      </c>
      <c r="D57" s="148">
        <v>0.2</v>
      </c>
      <c r="E57" s="86">
        <v>0</v>
      </c>
      <c r="F57" s="103">
        <v>0.25</v>
      </c>
      <c r="G57" s="86">
        <v>0</v>
      </c>
      <c r="H57" s="143">
        <v>0.2</v>
      </c>
      <c r="I57" s="100">
        <v>0</v>
      </c>
      <c r="J57" s="143">
        <v>0.1</v>
      </c>
      <c r="K57" s="138">
        <v>0.79</v>
      </c>
      <c r="L57" s="100">
        <v>0.6</v>
      </c>
      <c r="M57" s="86">
        <v>0.1</v>
      </c>
      <c r="N57" s="100">
        <v>0.3</v>
      </c>
      <c r="O57" s="156">
        <f t="shared" ref="O57:O63" si="4">SUM(C57:N57)</f>
        <v>2.74</v>
      </c>
    </row>
    <row r="58" spans="1:17" ht="16.5" customHeight="1" x14ac:dyDescent="0.25">
      <c r="A58" s="60">
        <v>3</v>
      </c>
      <c r="B58" s="11" t="s">
        <v>21</v>
      </c>
      <c r="C58" s="138">
        <v>0</v>
      </c>
      <c r="D58" s="149">
        <v>0</v>
      </c>
      <c r="E58" s="86">
        <v>0</v>
      </c>
      <c r="F58" s="100">
        <v>0</v>
      </c>
      <c r="G58" s="100">
        <v>4</v>
      </c>
      <c r="H58" s="144">
        <v>4</v>
      </c>
      <c r="I58" s="100">
        <v>0</v>
      </c>
      <c r="J58" s="144">
        <v>1</v>
      </c>
      <c r="K58" s="138">
        <v>0</v>
      </c>
      <c r="L58" s="86">
        <v>0</v>
      </c>
      <c r="M58" s="61">
        <v>0</v>
      </c>
      <c r="N58" s="61">
        <v>0</v>
      </c>
      <c r="O58" s="156">
        <f t="shared" si="4"/>
        <v>9</v>
      </c>
    </row>
    <row r="59" spans="1:17" ht="16.5" customHeight="1" x14ac:dyDescent="0.25">
      <c r="A59" s="60">
        <v>4</v>
      </c>
      <c r="B59" s="18" t="s">
        <v>22</v>
      </c>
      <c r="C59" s="142">
        <v>0</v>
      </c>
      <c r="D59" s="149">
        <v>0</v>
      </c>
      <c r="E59" s="100">
        <v>0</v>
      </c>
      <c r="F59" s="85"/>
      <c r="G59" s="85">
        <v>1</v>
      </c>
      <c r="H59" s="144" t="s">
        <v>26</v>
      </c>
      <c r="I59" s="85" t="s">
        <v>26</v>
      </c>
      <c r="J59" s="144" t="s">
        <v>26</v>
      </c>
      <c r="K59" s="138">
        <v>0</v>
      </c>
      <c r="L59" s="100">
        <v>0</v>
      </c>
      <c r="M59" s="61">
        <v>0</v>
      </c>
      <c r="N59" s="85">
        <v>0</v>
      </c>
      <c r="O59" s="156">
        <f t="shared" si="4"/>
        <v>1</v>
      </c>
    </row>
    <row r="60" spans="1:17" ht="16.5" customHeight="1" x14ac:dyDescent="0.25">
      <c r="A60" s="60">
        <v>5</v>
      </c>
      <c r="B60" s="19" t="s">
        <v>23</v>
      </c>
      <c r="C60" s="138">
        <v>0</v>
      </c>
      <c r="D60" s="149">
        <v>0</v>
      </c>
      <c r="E60" s="86">
        <v>0</v>
      </c>
      <c r="F60" s="85"/>
      <c r="G60" s="86">
        <v>0</v>
      </c>
      <c r="H60" s="144" t="s">
        <v>26</v>
      </c>
      <c r="I60" s="85">
        <v>0</v>
      </c>
      <c r="J60" s="143">
        <v>0</v>
      </c>
      <c r="K60" s="138">
        <v>4.9000000000000004</v>
      </c>
      <c r="L60" s="86">
        <v>0</v>
      </c>
      <c r="M60" s="86">
        <v>0</v>
      </c>
      <c r="N60" s="61"/>
      <c r="O60" s="156">
        <f t="shared" si="4"/>
        <v>4.9000000000000004</v>
      </c>
    </row>
    <row r="61" spans="1:17" ht="16.5" customHeight="1" x14ac:dyDescent="0.25">
      <c r="A61" s="60">
        <v>6</v>
      </c>
      <c r="B61" s="19" t="s">
        <v>24</v>
      </c>
      <c r="C61" s="138">
        <v>0.2</v>
      </c>
      <c r="D61" s="148">
        <v>0</v>
      </c>
      <c r="E61" s="86">
        <v>0</v>
      </c>
      <c r="F61" s="86">
        <v>0.3</v>
      </c>
      <c r="G61" s="86">
        <v>0</v>
      </c>
      <c r="H61" s="143">
        <v>0</v>
      </c>
      <c r="I61" s="85" t="s">
        <v>26</v>
      </c>
      <c r="J61" s="144" t="s">
        <v>26</v>
      </c>
      <c r="K61" s="138">
        <v>0</v>
      </c>
      <c r="L61" s="86">
        <v>0</v>
      </c>
      <c r="M61" s="86">
        <v>0.4</v>
      </c>
      <c r="N61" s="86">
        <v>0.3</v>
      </c>
      <c r="O61" s="156">
        <f t="shared" si="4"/>
        <v>1.2</v>
      </c>
    </row>
    <row r="62" spans="1:17" ht="16.5" customHeight="1" x14ac:dyDescent="0.25">
      <c r="A62" s="60">
        <v>7</v>
      </c>
      <c r="B62" s="19" t="s">
        <v>25</v>
      </c>
      <c r="C62" s="142">
        <v>0</v>
      </c>
      <c r="D62" s="149">
        <v>0</v>
      </c>
      <c r="E62" s="86">
        <v>0</v>
      </c>
      <c r="F62" s="86">
        <v>0</v>
      </c>
      <c r="G62" s="100">
        <v>1</v>
      </c>
      <c r="H62" s="143">
        <v>0</v>
      </c>
      <c r="I62" s="86">
        <v>0</v>
      </c>
      <c r="J62" s="138">
        <v>0</v>
      </c>
      <c r="K62" s="142">
        <v>0</v>
      </c>
      <c r="L62" s="61">
        <v>1</v>
      </c>
      <c r="M62" s="85">
        <v>0</v>
      </c>
      <c r="N62" s="61"/>
      <c r="O62" s="156">
        <f t="shared" si="4"/>
        <v>2</v>
      </c>
    </row>
    <row r="63" spans="1:17" ht="16.5" customHeight="1" x14ac:dyDescent="0.25">
      <c r="A63" s="62">
        <v>8</v>
      </c>
      <c r="B63" s="18" t="s">
        <v>27</v>
      </c>
      <c r="C63" s="150">
        <v>1</v>
      </c>
      <c r="D63" s="151">
        <v>0</v>
      </c>
      <c r="E63" s="66">
        <v>0</v>
      </c>
      <c r="F63" s="100">
        <v>1</v>
      </c>
      <c r="G63" s="66">
        <v>0</v>
      </c>
      <c r="H63" s="144">
        <v>1</v>
      </c>
      <c r="I63" s="66">
        <v>0</v>
      </c>
      <c r="J63" s="146">
        <v>1</v>
      </c>
      <c r="K63" s="146">
        <v>1</v>
      </c>
      <c r="L63" s="63">
        <v>1</v>
      </c>
      <c r="M63" s="63">
        <v>1</v>
      </c>
      <c r="N63" s="72">
        <v>0</v>
      </c>
      <c r="O63" s="156">
        <f t="shared" si="4"/>
        <v>7</v>
      </c>
    </row>
    <row r="64" spans="1:17" ht="16.5" customHeight="1" x14ac:dyDescent="0.25">
      <c r="A64" s="235" t="s">
        <v>28</v>
      </c>
      <c r="B64" s="236"/>
      <c r="C64" s="64">
        <f>SUM(C56:C63)</f>
        <v>1.4</v>
      </c>
      <c r="D64" s="152">
        <f t="shared" ref="D64:O64" si="5">SUM(D56:D63)</f>
        <v>0.2</v>
      </c>
      <c r="E64" s="152">
        <f t="shared" si="5"/>
        <v>0</v>
      </c>
      <c r="F64" s="234">
        <f t="shared" si="5"/>
        <v>1.55</v>
      </c>
      <c r="G64" s="152">
        <f t="shared" si="5"/>
        <v>6</v>
      </c>
      <c r="H64" s="152">
        <f t="shared" si="5"/>
        <v>5.2</v>
      </c>
      <c r="I64" s="152">
        <f t="shared" si="5"/>
        <v>0</v>
      </c>
      <c r="J64" s="152">
        <f t="shared" si="5"/>
        <v>2.2999999999999998</v>
      </c>
      <c r="K64" s="152">
        <f t="shared" si="5"/>
        <v>6.69</v>
      </c>
      <c r="L64" s="152">
        <f t="shared" si="5"/>
        <v>2.6</v>
      </c>
      <c r="M64" s="152">
        <f t="shared" si="5"/>
        <v>1.5</v>
      </c>
      <c r="N64" s="152">
        <f t="shared" si="5"/>
        <v>1.75</v>
      </c>
      <c r="O64" s="152">
        <f t="shared" si="5"/>
        <v>29.19</v>
      </c>
    </row>
    <row r="68" spans="1:15" ht="18.75" x14ac:dyDescent="0.3">
      <c r="A68" s="242" t="s">
        <v>45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5" ht="18.75" x14ac:dyDescent="0.3">
      <c r="A69" s="241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</row>
    <row r="70" spans="1:15" ht="16.5" customHeight="1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 ht="16.5" customHeight="1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69" t="s">
        <v>119</v>
      </c>
    </row>
    <row r="72" spans="1:15" ht="16.5" customHeight="1" x14ac:dyDescent="0.25">
      <c r="A72" s="237" t="s">
        <v>2</v>
      </c>
      <c r="B72" s="237" t="s">
        <v>3</v>
      </c>
      <c r="C72" s="243" t="s">
        <v>4</v>
      </c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37" t="s">
        <v>5</v>
      </c>
    </row>
    <row r="73" spans="1:15" ht="16.5" customHeight="1" x14ac:dyDescent="0.25">
      <c r="A73" s="238"/>
      <c r="B73" s="23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44"/>
    </row>
    <row r="74" spans="1:15" ht="16.5" customHeight="1" x14ac:dyDescent="0.2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6.5" customHeight="1" x14ac:dyDescent="0.25">
      <c r="A75" s="58">
        <v>1</v>
      </c>
      <c r="B75" s="11" t="s">
        <v>19</v>
      </c>
      <c r="C75" s="137">
        <v>0</v>
      </c>
      <c r="D75" s="137">
        <v>0</v>
      </c>
      <c r="E75" s="95">
        <v>0</v>
      </c>
      <c r="F75" s="95">
        <v>0</v>
      </c>
      <c r="G75" s="95" t="s">
        <v>26</v>
      </c>
      <c r="H75" s="140" t="s">
        <v>26</v>
      </c>
      <c r="I75" s="141" t="s">
        <v>26</v>
      </c>
      <c r="J75" s="140">
        <v>0</v>
      </c>
      <c r="K75" s="153">
        <v>0</v>
      </c>
      <c r="L75" s="153">
        <v>0</v>
      </c>
      <c r="M75" s="91">
        <v>0</v>
      </c>
      <c r="N75" s="153"/>
      <c r="O75" s="88">
        <f>SUM(C75:N75)</f>
        <v>0</v>
      </c>
    </row>
    <row r="76" spans="1:15" ht="16.5" customHeight="1" x14ac:dyDescent="0.25">
      <c r="A76" s="60">
        <v>2</v>
      </c>
      <c r="B76" s="15" t="s">
        <v>20</v>
      </c>
      <c r="C76" s="138">
        <v>0</v>
      </c>
      <c r="D76" s="138">
        <v>0</v>
      </c>
      <c r="E76" s="86">
        <v>0</v>
      </c>
      <c r="F76" s="100" t="s">
        <v>26</v>
      </c>
      <c r="G76" s="100" t="s">
        <v>26</v>
      </c>
      <c r="H76" s="143">
        <v>0</v>
      </c>
      <c r="I76" s="144" t="s">
        <v>26</v>
      </c>
      <c r="J76" s="143" t="s">
        <v>26</v>
      </c>
      <c r="K76" s="142">
        <v>0</v>
      </c>
      <c r="L76" s="142">
        <v>0</v>
      </c>
      <c r="M76" s="86">
        <v>0</v>
      </c>
      <c r="N76" s="142"/>
      <c r="O76" s="89">
        <f t="shared" ref="O76:O81" si="6">SUM(C76:N76)</f>
        <v>0</v>
      </c>
    </row>
    <row r="77" spans="1:15" ht="16.5" customHeight="1" x14ac:dyDescent="0.25">
      <c r="A77" s="60">
        <v>3</v>
      </c>
      <c r="B77" s="11" t="s">
        <v>21</v>
      </c>
      <c r="C77" s="138">
        <v>0</v>
      </c>
      <c r="D77" s="138">
        <v>0</v>
      </c>
      <c r="E77" s="86">
        <v>0</v>
      </c>
      <c r="F77" s="86">
        <v>0</v>
      </c>
      <c r="G77" s="85" t="s">
        <v>26</v>
      </c>
      <c r="H77" s="143" t="s">
        <v>26</v>
      </c>
      <c r="I77" s="144" t="s">
        <v>26</v>
      </c>
      <c r="J77" s="143" t="s">
        <v>26</v>
      </c>
      <c r="K77" s="142">
        <v>0</v>
      </c>
      <c r="L77" s="142">
        <v>0</v>
      </c>
      <c r="M77" s="86">
        <v>0</v>
      </c>
      <c r="N77" s="142"/>
      <c r="O77" s="89">
        <f t="shared" si="6"/>
        <v>0</v>
      </c>
    </row>
    <row r="78" spans="1:15" ht="16.5" customHeight="1" x14ac:dyDescent="0.25">
      <c r="A78" s="60">
        <v>4</v>
      </c>
      <c r="B78" s="18" t="s">
        <v>22</v>
      </c>
      <c r="C78" s="138">
        <v>0</v>
      </c>
      <c r="D78" s="138">
        <v>0</v>
      </c>
      <c r="E78" s="100">
        <v>0</v>
      </c>
      <c r="F78" s="61"/>
      <c r="G78" s="85">
        <v>0</v>
      </c>
      <c r="H78" s="143" t="s">
        <v>26</v>
      </c>
      <c r="I78" s="138">
        <v>0</v>
      </c>
      <c r="J78" s="143" t="s">
        <v>26</v>
      </c>
      <c r="K78" s="142">
        <v>0</v>
      </c>
      <c r="L78" s="142">
        <v>0.98</v>
      </c>
      <c r="M78" s="86">
        <v>0</v>
      </c>
      <c r="N78" s="142">
        <v>0</v>
      </c>
      <c r="O78" s="89">
        <f t="shared" si="6"/>
        <v>0.98</v>
      </c>
    </row>
    <row r="79" spans="1:15" ht="16.5" customHeight="1" x14ac:dyDescent="0.25">
      <c r="A79" s="60">
        <v>5</v>
      </c>
      <c r="B79" s="19" t="s">
        <v>23</v>
      </c>
      <c r="C79" s="138">
        <v>0</v>
      </c>
      <c r="D79" s="138">
        <v>0</v>
      </c>
      <c r="E79" s="86">
        <v>0</v>
      </c>
      <c r="F79" s="100">
        <v>0</v>
      </c>
      <c r="G79" s="85" t="s">
        <v>26</v>
      </c>
      <c r="H79" s="143" t="s">
        <v>26</v>
      </c>
      <c r="I79" s="144" t="s">
        <v>26</v>
      </c>
      <c r="J79" s="143" t="s">
        <v>26</v>
      </c>
      <c r="K79" s="142">
        <v>0</v>
      </c>
      <c r="L79" s="142">
        <v>0</v>
      </c>
      <c r="M79" s="86">
        <v>0</v>
      </c>
      <c r="N79" s="142"/>
      <c r="O79" s="89">
        <f t="shared" si="6"/>
        <v>0</v>
      </c>
    </row>
    <row r="80" spans="1:15" ht="16.5" customHeight="1" x14ac:dyDescent="0.25">
      <c r="A80" s="60">
        <v>6</v>
      </c>
      <c r="B80" s="19" t="s">
        <v>24</v>
      </c>
      <c r="C80" s="138">
        <v>0</v>
      </c>
      <c r="D80" s="138">
        <v>0</v>
      </c>
      <c r="E80" s="86">
        <v>0</v>
      </c>
      <c r="F80" s="85" t="s">
        <v>26</v>
      </c>
      <c r="G80" s="85" t="s">
        <v>26</v>
      </c>
      <c r="H80" s="143" t="s">
        <v>26</v>
      </c>
      <c r="I80" s="144" t="s">
        <v>26</v>
      </c>
      <c r="J80" s="143" t="s">
        <v>26</v>
      </c>
      <c r="K80" s="142">
        <v>0</v>
      </c>
      <c r="L80" s="142">
        <v>0</v>
      </c>
      <c r="M80" s="86">
        <v>0</v>
      </c>
      <c r="N80" s="142"/>
      <c r="O80" s="89">
        <f t="shared" si="6"/>
        <v>0</v>
      </c>
    </row>
    <row r="81" spans="1:15" ht="16.5" customHeight="1" x14ac:dyDescent="0.25">
      <c r="A81" s="60">
        <v>7</v>
      </c>
      <c r="B81" s="19" t="s">
        <v>25</v>
      </c>
      <c r="C81" s="138">
        <v>0</v>
      </c>
      <c r="D81" s="138">
        <v>0</v>
      </c>
      <c r="E81" s="86">
        <v>0</v>
      </c>
      <c r="F81" s="85" t="s">
        <v>26</v>
      </c>
      <c r="G81" s="85" t="s">
        <v>26</v>
      </c>
      <c r="H81" s="143" t="s">
        <v>26</v>
      </c>
      <c r="I81" s="144">
        <v>0</v>
      </c>
      <c r="J81" s="143" t="s">
        <v>26</v>
      </c>
      <c r="K81" s="142">
        <v>0</v>
      </c>
      <c r="L81" s="142">
        <v>0</v>
      </c>
      <c r="M81" s="86">
        <v>0</v>
      </c>
      <c r="N81" s="142"/>
      <c r="O81" s="89">
        <f t="shared" si="6"/>
        <v>0</v>
      </c>
    </row>
    <row r="82" spans="1:15" ht="16.5" customHeight="1" x14ac:dyDescent="0.25">
      <c r="A82" s="62">
        <v>8</v>
      </c>
      <c r="B82" s="18" t="s">
        <v>27</v>
      </c>
      <c r="C82" s="150">
        <v>0</v>
      </c>
      <c r="D82" s="150">
        <v>0</v>
      </c>
      <c r="E82" s="66">
        <v>0</v>
      </c>
      <c r="F82" s="87">
        <v>0</v>
      </c>
      <c r="G82" s="72">
        <v>0</v>
      </c>
      <c r="H82" s="150" t="s">
        <v>26</v>
      </c>
      <c r="I82" s="150">
        <v>0</v>
      </c>
      <c r="J82" s="150" t="s">
        <v>26</v>
      </c>
      <c r="K82" s="150">
        <v>0</v>
      </c>
      <c r="L82" s="150">
        <v>0</v>
      </c>
      <c r="M82" s="72">
        <v>0</v>
      </c>
      <c r="N82" s="146" t="s">
        <v>118</v>
      </c>
      <c r="O82" s="73">
        <v>4.9000000000000004</v>
      </c>
    </row>
    <row r="83" spans="1:15" ht="16.5" customHeight="1" x14ac:dyDescent="0.25">
      <c r="A83" s="235" t="s">
        <v>28</v>
      </c>
      <c r="B83" s="236"/>
      <c r="C83" s="67">
        <f t="shared" ref="C83:M83" si="7">SUM(C75:C82)</f>
        <v>0</v>
      </c>
      <c r="D83" s="67">
        <f t="shared" si="7"/>
        <v>0</v>
      </c>
      <c r="E83" s="67">
        <f t="shared" si="7"/>
        <v>0</v>
      </c>
      <c r="F83" s="67">
        <f t="shared" si="7"/>
        <v>0</v>
      </c>
      <c r="G83" s="67">
        <f t="shared" si="7"/>
        <v>0</v>
      </c>
      <c r="H83" s="67">
        <f t="shared" si="7"/>
        <v>0</v>
      </c>
      <c r="I83" s="67">
        <f t="shared" si="7"/>
        <v>0</v>
      </c>
      <c r="J83" s="67">
        <f t="shared" si="7"/>
        <v>0</v>
      </c>
      <c r="K83" s="67">
        <f t="shared" si="7"/>
        <v>0</v>
      </c>
      <c r="L83" s="67">
        <f t="shared" si="7"/>
        <v>0.98</v>
      </c>
      <c r="M83" s="67">
        <f t="shared" si="7"/>
        <v>0</v>
      </c>
      <c r="N83" s="67">
        <v>4.9000000000000004</v>
      </c>
      <c r="O83" s="67">
        <f>SUM(O75:O82)</f>
        <v>5.8800000000000008</v>
      </c>
    </row>
    <row r="84" spans="1:15" ht="16.5" customHeight="1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spans="1:15" ht="16.5" customHeight="1" x14ac:dyDescent="0.2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69" t="s">
        <v>46</v>
      </c>
    </row>
    <row r="86" spans="1:15" ht="16.5" customHeight="1" x14ac:dyDescent="0.25">
      <c r="A86" s="237" t="s">
        <v>2</v>
      </c>
      <c r="B86" s="237" t="s">
        <v>3</v>
      </c>
      <c r="C86" s="243" t="s">
        <v>4</v>
      </c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37" t="s">
        <v>5</v>
      </c>
    </row>
    <row r="87" spans="1:15" ht="16.5" customHeight="1" x14ac:dyDescent="0.25">
      <c r="A87" s="238"/>
      <c r="B87" s="238"/>
      <c r="C87" s="4" t="s">
        <v>6</v>
      </c>
      <c r="D87" s="4" t="s">
        <v>7</v>
      </c>
      <c r="E87" s="4" t="s">
        <v>8</v>
      </c>
      <c r="F87" s="4" t="s">
        <v>9</v>
      </c>
      <c r="G87" s="4" t="s">
        <v>10</v>
      </c>
      <c r="H87" s="4" t="s">
        <v>11</v>
      </c>
      <c r="I87" s="4" t="s">
        <v>12</v>
      </c>
      <c r="J87" s="4" t="s">
        <v>13</v>
      </c>
      <c r="K87" s="4" t="s">
        <v>14</v>
      </c>
      <c r="L87" s="4" t="s">
        <v>15</v>
      </c>
      <c r="M87" s="4" t="s">
        <v>16</v>
      </c>
      <c r="N87" s="4" t="s">
        <v>17</v>
      </c>
      <c r="O87" s="244"/>
    </row>
    <row r="88" spans="1:15" ht="16.5" customHeight="1" x14ac:dyDescent="0.25">
      <c r="A88" s="57">
        <v>1</v>
      </c>
      <c r="B88" s="57">
        <v>2</v>
      </c>
      <c r="C88" s="57">
        <v>3</v>
      </c>
      <c r="D88" s="57">
        <v>4</v>
      </c>
      <c r="E88" s="57">
        <v>5</v>
      </c>
      <c r="F88" s="57">
        <v>6</v>
      </c>
      <c r="G88" s="57">
        <v>7</v>
      </c>
      <c r="H88" s="57">
        <v>8</v>
      </c>
      <c r="I88" s="57">
        <v>9</v>
      </c>
      <c r="J88" s="57">
        <v>10</v>
      </c>
      <c r="K88" s="57">
        <v>11</v>
      </c>
      <c r="L88" s="57">
        <v>12</v>
      </c>
      <c r="M88" s="57">
        <v>13</v>
      </c>
      <c r="N88" s="57">
        <v>14</v>
      </c>
      <c r="O88" s="57">
        <v>15</v>
      </c>
    </row>
    <row r="89" spans="1:15" ht="16.5" customHeight="1" x14ac:dyDescent="0.25">
      <c r="A89" s="58">
        <v>1</v>
      </c>
      <c r="B89" s="11" t="s">
        <v>19</v>
      </c>
      <c r="C89" s="137">
        <v>0</v>
      </c>
      <c r="D89" s="137">
        <v>0</v>
      </c>
      <c r="E89" s="95">
        <v>0</v>
      </c>
      <c r="F89" s="95">
        <v>0</v>
      </c>
      <c r="G89" s="95">
        <v>0</v>
      </c>
      <c r="H89" s="140" t="s">
        <v>26</v>
      </c>
      <c r="I89" s="141" t="s">
        <v>26</v>
      </c>
      <c r="J89" s="140">
        <v>0.9</v>
      </c>
      <c r="K89" s="153">
        <v>0</v>
      </c>
      <c r="L89" s="153">
        <v>0</v>
      </c>
      <c r="M89" s="91">
        <v>0</v>
      </c>
      <c r="N89" s="153">
        <v>5.6</v>
      </c>
      <c r="O89" s="88">
        <f>SUM(C89:N89)</f>
        <v>6.5</v>
      </c>
    </row>
    <row r="90" spans="1:15" ht="16.5" customHeight="1" x14ac:dyDescent="0.25">
      <c r="A90" s="60">
        <v>2</v>
      </c>
      <c r="B90" s="15" t="s">
        <v>20</v>
      </c>
      <c r="C90" s="138">
        <v>0.98</v>
      </c>
      <c r="D90" s="138">
        <v>0.9</v>
      </c>
      <c r="E90" s="86">
        <v>0</v>
      </c>
      <c r="F90" s="86">
        <v>1.2</v>
      </c>
      <c r="G90" s="86">
        <v>0</v>
      </c>
      <c r="H90" s="143">
        <v>0.9</v>
      </c>
      <c r="I90" s="143">
        <v>0</v>
      </c>
      <c r="J90" s="143">
        <v>0.49</v>
      </c>
      <c r="K90" s="138">
        <v>3.8</v>
      </c>
      <c r="L90" s="138">
        <v>2.9</v>
      </c>
      <c r="M90" s="86">
        <v>0.49</v>
      </c>
      <c r="N90" s="157">
        <v>1.47</v>
      </c>
      <c r="O90" s="89">
        <f>SUM(C90:N90)</f>
        <v>13.13</v>
      </c>
    </row>
    <row r="91" spans="1:15" ht="16.5" customHeight="1" x14ac:dyDescent="0.25">
      <c r="A91" s="60">
        <v>3</v>
      </c>
      <c r="B91" s="11" t="s">
        <v>21</v>
      </c>
      <c r="C91" s="138">
        <v>0</v>
      </c>
      <c r="D91" s="138">
        <v>0</v>
      </c>
      <c r="E91" s="86">
        <v>0</v>
      </c>
      <c r="F91" s="100">
        <v>0</v>
      </c>
      <c r="G91" s="100">
        <v>19.600000000000001</v>
      </c>
      <c r="H91" s="143">
        <v>19.600000000000001</v>
      </c>
      <c r="I91" s="143">
        <v>0</v>
      </c>
      <c r="J91" s="143">
        <v>4.9000000000000004</v>
      </c>
      <c r="K91" s="142">
        <v>0</v>
      </c>
      <c r="L91" s="142">
        <v>0</v>
      </c>
      <c r="M91" s="86">
        <v>0</v>
      </c>
      <c r="N91" s="142"/>
      <c r="O91" s="89">
        <f t="shared" ref="O91:O96" si="8">SUM(C91:N91)</f>
        <v>44.1</v>
      </c>
    </row>
    <row r="92" spans="1:15" ht="16.5" customHeight="1" x14ac:dyDescent="0.25">
      <c r="A92" s="60">
        <v>4</v>
      </c>
      <c r="B92" s="18" t="s">
        <v>22</v>
      </c>
      <c r="C92" s="138">
        <v>0</v>
      </c>
      <c r="D92" s="138">
        <v>0</v>
      </c>
      <c r="E92" s="100">
        <v>0</v>
      </c>
      <c r="F92" s="85">
        <v>0</v>
      </c>
      <c r="G92" s="85">
        <v>0</v>
      </c>
      <c r="H92" s="143" t="s">
        <v>26</v>
      </c>
      <c r="I92" s="143" t="s">
        <v>26</v>
      </c>
      <c r="J92" s="143" t="s">
        <v>26</v>
      </c>
      <c r="K92" s="138">
        <v>0</v>
      </c>
      <c r="L92" s="138">
        <v>0</v>
      </c>
      <c r="M92" s="86">
        <v>0</v>
      </c>
      <c r="N92" s="142">
        <v>0</v>
      </c>
      <c r="O92" s="89">
        <f t="shared" si="8"/>
        <v>0</v>
      </c>
    </row>
    <row r="93" spans="1:15" ht="16.5" customHeight="1" x14ac:dyDescent="0.25">
      <c r="A93" s="60">
        <v>5</v>
      </c>
      <c r="B93" s="19" t="s">
        <v>23</v>
      </c>
      <c r="C93" s="138">
        <v>0</v>
      </c>
      <c r="D93" s="138">
        <v>0</v>
      </c>
      <c r="E93" s="86">
        <v>0</v>
      </c>
      <c r="F93" s="85" t="s">
        <v>26</v>
      </c>
      <c r="G93" s="86">
        <v>4.9000000000000004</v>
      </c>
      <c r="H93" s="143" t="s">
        <v>26</v>
      </c>
      <c r="I93" s="143">
        <v>0</v>
      </c>
      <c r="J93" s="143">
        <v>0</v>
      </c>
      <c r="K93" s="142">
        <v>24</v>
      </c>
      <c r="L93" s="138">
        <v>0</v>
      </c>
      <c r="M93" s="86">
        <v>0</v>
      </c>
      <c r="N93" s="142"/>
      <c r="O93" s="89">
        <f t="shared" si="8"/>
        <v>28.9</v>
      </c>
    </row>
    <row r="94" spans="1:15" ht="16.5" customHeight="1" x14ac:dyDescent="0.25">
      <c r="A94" s="60">
        <v>6</v>
      </c>
      <c r="B94" s="19" t="s">
        <v>24</v>
      </c>
      <c r="C94" s="138">
        <v>0.98</v>
      </c>
      <c r="D94" s="138">
        <v>0</v>
      </c>
      <c r="E94" s="86">
        <v>0</v>
      </c>
      <c r="F94" s="78">
        <v>1.5</v>
      </c>
      <c r="G94" s="86">
        <v>0</v>
      </c>
      <c r="H94" s="143">
        <v>0</v>
      </c>
      <c r="I94" s="144" t="s">
        <v>26</v>
      </c>
      <c r="J94" s="143" t="s">
        <v>26</v>
      </c>
      <c r="K94" s="138">
        <v>0</v>
      </c>
      <c r="L94" s="142">
        <v>0</v>
      </c>
      <c r="M94" s="86">
        <v>1.9</v>
      </c>
      <c r="N94" s="138">
        <v>1.47</v>
      </c>
      <c r="O94" s="89">
        <f t="shared" si="8"/>
        <v>5.85</v>
      </c>
    </row>
    <row r="95" spans="1:15" ht="16.5" customHeight="1" x14ac:dyDescent="0.25">
      <c r="A95" s="60">
        <v>7</v>
      </c>
      <c r="B95" s="19" t="s">
        <v>25</v>
      </c>
      <c r="C95" s="138">
        <v>0</v>
      </c>
      <c r="D95" s="138">
        <v>0</v>
      </c>
      <c r="E95" s="86">
        <v>0</v>
      </c>
      <c r="F95" s="86">
        <v>0</v>
      </c>
      <c r="G95" s="100">
        <v>4.9000000000000004</v>
      </c>
      <c r="H95" s="143">
        <v>0</v>
      </c>
      <c r="I95" s="143">
        <v>0</v>
      </c>
      <c r="J95" s="138">
        <v>0</v>
      </c>
      <c r="K95" s="142">
        <v>0</v>
      </c>
      <c r="L95" s="138">
        <v>4.9000000000000004</v>
      </c>
      <c r="M95" s="86">
        <v>0</v>
      </c>
      <c r="N95" s="142"/>
      <c r="O95" s="89">
        <f t="shared" si="8"/>
        <v>9.8000000000000007</v>
      </c>
    </row>
    <row r="96" spans="1:15" ht="16.5" customHeight="1" x14ac:dyDescent="0.25">
      <c r="A96" s="62">
        <v>8</v>
      </c>
      <c r="B96" s="18" t="s">
        <v>27</v>
      </c>
      <c r="C96" s="150">
        <v>4.9000000000000004</v>
      </c>
      <c r="D96" s="150">
        <v>0</v>
      </c>
      <c r="E96" s="66">
        <v>0</v>
      </c>
      <c r="F96" s="66">
        <v>4.9000000000000004</v>
      </c>
      <c r="G96" s="66">
        <v>0</v>
      </c>
      <c r="H96" s="150" t="s">
        <v>118</v>
      </c>
      <c r="I96" s="150">
        <v>0</v>
      </c>
      <c r="J96" s="150">
        <v>4.9000000000000004</v>
      </c>
      <c r="K96" s="150">
        <v>4.9000000000000004</v>
      </c>
      <c r="L96" s="150">
        <v>4.9000000000000004</v>
      </c>
      <c r="M96" s="72">
        <v>4.9000000000000004</v>
      </c>
      <c r="N96" s="161">
        <v>0</v>
      </c>
      <c r="O96" s="73">
        <f t="shared" si="8"/>
        <v>29.4</v>
      </c>
    </row>
    <row r="97" spans="1:15" ht="16.5" customHeight="1" x14ac:dyDescent="0.25">
      <c r="A97" s="235" t="s">
        <v>28</v>
      </c>
      <c r="B97" s="236"/>
      <c r="C97" s="67">
        <f>SUM(C89:C96)</f>
        <v>6.86</v>
      </c>
      <c r="D97" s="67">
        <f t="shared" ref="D97:O97" si="9">SUM(D89:D96)</f>
        <v>0.9</v>
      </c>
      <c r="E97" s="67">
        <f t="shared" si="9"/>
        <v>0</v>
      </c>
      <c r="F97" s="67">
        <f t="shared" si="9"/>
        <v>7.6000000000000005</v>
      </c>
      <c r="G97" s="67">
        <f t="shared" si="9"/>
        <v>29.4</v>
      </c>
      <c r="H97" s="67">
        <f t="shared" si="9"/>
        <v>20.5</v>
      </c>
      <c r="I97" s="67">
        <f t="shared" si="9"/>
        <v>0</v>
      </c>
      <c r="J97" s="67">
        <f t="shared" si="9"/>
        <v>11.190000000000001</v>
      </c>
      <c r="K97" s="67">
        <f t="shared" si="9"/>
        <v>32.700000000000003</v>
      </c>
      <c r="L97" s="67">
        <f t="shared" si="9"/>
        <v>12.700000000000001</v>
      </c>
      <c r="M97" s="67">
        <f t="shared" si="9"/>
        <v>7.29</v>
      </c>
      <c r="N97" s="67">
        <f t="shared" si="9"/>
        <v>8.5399999999999991</v>
      </c>
      <c r="O97" s="67">
        <f t="shared" si="9"/>
        <v>137.67999999999998</v>
      </c>
    </row>
    <row r="101" spans="1:15" ht="18.75" x14ac:dyDescent="0.3">
      <c r="A101" s="242" t="s">
        <v>47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5" ht="18.75" x14ac:dyDescent="0.3">
      <c r="A102" s="241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</row>
    <row r="103" spans="1:15" ht="16.5" customHeight="1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ht="16.5" customHeight="1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69" t="s">
        <v>48</v>
      </c>
    </row>
    <row r="105" spans="1:15" ht="16.5" customHeight="1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</row>
    <row r="106" spans="1:15" ht="16.5" customHeight="1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</row>
    <row r="107" spans="1:15" ht="16.5" customHeight="1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6.5" customHeight="1" x14ac:dyDescent="0.25">
      <c r="A108" s="58">
        <v>1</v>
      </c>
      <c r="B108" s="11" t="s">
        <v>19</v>
      </c>
      <c r="C108" s="158">
        <v>0</v>
      </c>
      <c r="D108" s="158">
        <v>0</v>
      </c>
      <c r="E108" s="102">
        <v>0</v>
      </c>
      <c r="F108" s="159">
        <v>0</v>
      </c>
      <c r="G108" s="102">
        <v>0</v>
      </c>
      <c r="H108" s="102" t="s">
        <v>26</v>
      </c>
      <c r="I108" s="102" t="s">
        <v>26</v>
      </c>
      <c r="J108" s="102">
        <v>0</v>
      </c>
      <c r="K108" s="153">
        <v>0</v>
      </c>
      <c r="L108" s="153">
        <v>0</v>
      </c>
      <c r="M108" s="59">
        <v>0</v>
      </c>
      <c r="N108" s="153"/>
      <c r="O108" s="120" t="e">
        <f t="shared" ref="O108:O114" si="10">O75/O42*10</f>
        <v>#DIV/0!</v>
      </c>
    </row>
    <row r="109" spans="1:15" ht="16.5" customHeight="1" x14ac:dyDescent="0.25">
      <c r="A109" s="60">
        <v>2</v>
      </c>
      <c r="B109" s="15" t="s">
        <v>20</v>
      </c>
      <c r="C109" s="157">
        <v>0</v>
      </c>
      <c r="D109" s="142">
        <v>0</v>
      </c>
      <c r="E109" s="78">
        <v>0</v>
      </c>
      <c r="F109" s="157">
        <v>0</v>
      </c>
      <c r="G109" s="144" t="s">
        <v>26</v>
      </c>
      <c r="H109" s="160">
        <v>0</v>
      </c>
      <c r="I109" s="160" t="s">
        <v>26</v>
      </c>
      <c r="J109" s="160" t="s">
        <v>26</v>
      </c>
      <c r="K109" s="142">
        <v>0</v>
      </c>
      <c r="L109" s="142">
        <v>0</v>
      </c>
      <c r="M109" s="78">
        <v>0</v>
      </c>
      <c r="N109" s="142"/>
      <c r="O109" s="82" t="e">
        <f t="shared" si="10"/>
        <v>#DIV/0!</v>
      </c>
    </row>
    <row r="110" spans="1:15" ht="16.5" customHeight="1" x14ac:dyDescent="0.25">
      <c r="A110" s="60">
        <v>3</v>
      </c>
      <c r="B110" s="11" t="s">
        <v>21</v>
      </c>
      <c r="C110" s="157">
        <v>0</v>
      </c>
      <c r="D110" s="142">
        <v>0</v>
      </c>
      <c r="E110" s="78">
        <v>0</v>
      </c>
      <c r="F110" s="157">
        <v>0</v>
      </c>
      <c r="G110" s="144" t="s">
        <v>26</v>
      </c>
      <c r="H110" s="160" t="s">
        <v>26</v>
      </c>
      <c r="I110" s="160" t="s">
        <v>26</v>
      </c>
      <c r="J110" s="160" t="s">
        <v>26</v>
      </c>
      <c r="K110" s="142">
        <v>0</v>
      </c>
      <c r="L110" s="142">
        <v>0</v>
      </c>
      <c r="M110" s="61">
        <v>0</v>
      </c>
      <c r="N110" s="142"/>
      <c r="O110" s="82" t="e">
        <f t="shared" si="10"/>
        <v>#DIV/0!</v>
      </c>
    </row>
    <row r="111" spans="1:15" ht="16.5" customHeight="1" x14ac:dyDescent="0.25">
      <c r="A111" s="60">
        <v>4</v>
      </c>
      <c r="B111" s="18" t="s">
        <v>22</v>
      </c>
      <c r="C111" s="157">
        <v>0</v>
      </c>
      <c r="D111" s="142">
        <v>0</v>
      </c>
      <c r="E111" s="103">
        <v>0</v>
      </c>
      <c r="F111" s="144" t="s">
        <v>26</v>
      </c>
      <c r="G111" s="160">
        <v>0</v>
      </c>
      <c r="H111" s="160" t="s">
        <v>26</v>
      </c>
      <c r="I111" s="160">
        <v>0</v>
      </c>
      <c r="J111" s="160" t="s">
        <v>26</v>
      </c>
      <c r="K111" s="142">
        <v>0</v>
      </c>
      <c r="L111" s="157">
        <v>49.01</v>
      </c>
      <c r="M111" s="78">
        <v>0</v>
      </c>
      <c r="N111" s="157">
        <v>0</v>
      </c>
      <c r="O111" s="82">
        <f t="shared" si="10"/>
        <v>48.999999999999993</v>
      </c>
    </row>
    <row r="112" spans="1:15" ht="16.5" customHeight="1" x14ac:dyDescent="0.25">
      <c r="A112" s="60">
        <v>5</v>
      </c>
      <c r="B112" s="19" t="s">
        <v>23</v>
      </c>
      <c r="C112" s="157">
        <v>0</v>
      </c>
      <c r="D112" s="157">
        <v>0</v>
      </c>
      <c r="E112" s="78">
        <v>0</v>
      </c>
      <c r="F112" s="160">
        <v>0</v>
      </c>
      <c r="G112" s="144" t="s">
        <v>26</v>
      </c>
      <c r="H112" s="160" t="s">
        <v>26</v>
      </c>
      <c r="I112" s="160" t="s">
        <v>26</v>
      </c>
      <c r="J112" s="160" t="s">
        <v>26</v>
      </c>
      <c r="K112" s="142">
        <v>0</v>
      </c>
      <c r="L112" s="142">
        <v>0</v>
      </c>
      <c r="M112" s="61">
        <v>0</v>
      </c>
      <c r="N112" s="142"/>
      <c r="O112" s="165">
        <v>0</v>
      </c>
    </row>
    <row r="113" spans="1:15" ht="16.5" customHeight="1" x14ac:dyDescent="0.25">
      <c r="A113" s="60">
        <v>6</v>
      </c>
      <c r="B113" s="19" t="s">
        <v>24</v>
      </c>
      <c r="C113" s="157">
        <v>0</v>
      </c>
      <c r="D113" s="157">
        <v>0</v>
      </c>
      <c r="E113" s="78">
        <v>0</v>
      </c>
      <c r="F113" s="144" t="s">
        <v>26</v>
      </c>
      <c r="G113" s="144" t="s">
        <v>26</v>
      </c>
      <c r="H113" s="160" t="s">
        <v>26</v>
      </c>
      <c r="I113" s="160" t="s">
        <v>26</v>
      </c>
      <c r="J113" s="160" t="s">
        <v>26</v>
      </c>
      <c r="K113" s="142">
        <v>0</v>
      </c>
      <c r="L113" s="142">
        <v>0</v>
      </c>
      <c r="M113" s="61">
        <v>0</v>
      </c>
      <c r="N113" s="142"/>
      <c r="O113" s="165" t="e">
        <f t="shared" si="10"/>
        <v>#DIV/0!</v>
      </c>
    </row>
    <row r="114" spans="1:15" ht="16.5" customHeight="1" x14ac:dyDescent="0.25">
      <c r="A114" s="60">
        <v>7</v>
      </c>
      <c r="B114" s="19" t="s">
        <v>25</v>
      </c>
      <c r="C114" s="157">
        <v>0</v>
      </c>
      <c r="D114" s="142">
        <v>0</v>
      </c>
      <c r="E114" s="78">
        <v>0</v>
      </c>
      <c r="F114" s="144" t="s">
        <v>26</v>
      </c>
      <c r="G114" s="144" t="s">
        <v>26</v>
      </c>
      <c r="H114" s="160" t="s">
        <v>26</v>
      </c>
      <c r="I114" s="160">
        <v>0</v>
      </c>
      <c r="J114" s="160" t="s">
        <v>26</v>
      </c>
      <c r="K114" s="142">
        <v>0</v>
      </c>
      <c r="L114" s="142">
        <v>0</v>
      </c>
      <c r="M114" s="61">
        <v>0</v>
      </c>
      <c r="N114" s="142"/>
      <c r="O114" s="82" t="e">
        <f t="shared" si="10"/>
        <v>#DIV/0!</v>
      </c>
    </row>
    <row r="115" spans="1:15" ht="16.5" customHeight="1" x14ac:dyDescent="0.25">
      <c r="A115" s="62">
        <v>8</v>
      </c>
      <c r="B115" s="18" t="s">
        <v>27</v>
      </c>
      <c r="C115" s="161">
        <v>0</v>
      </c>
      <c r="D115" s="161">
        <v>0</v>
      </c>
      <c r="E115" s="162">
        <v>0</v>
      </c>
      <c r="F115" s="161">
        <v>0</v>
      </c>
      <c r="G115" s="161">
        <v>0</v>
      </c>
      <c r="H115" s="161" t="s">
        <v>26</v>
      </c>
      <c r="I115" s="166">
        <v>0</v>
      </c>
      <c r="J115" s="161" t="s">
        <v>26</v>
      </c>
      <c r="K115" s="161">
        <v>0</v>
      </c>
      <c r="L115" s="161">
        <v>0</v>
      </c>
      <c r="M115" s="167">
        <v>0</v>
      </c>
      <c r="N115" s="161">
        <v>49.01</v>
      </c>
      <c r="O115" s="168">
        <f>O82/O49*10</f>
        <v>49</v>
      </c>
    </row>
    <row r="116" spans="1:15" ht="16.5" customHeight="1" x14ac:dyDescent="0.25">
      <c r="A116" s="235" t="s">
        <v>28</v>
      </c>
      <c r="B116" s="236"/>
      <c r="C116" s="133">
        <f t="shared" ref="C116:H116" si="11">SUM(C108:C115)</f>
        <v>0</v>
      </c>
      <c r="D116" s="133">
        <f t="shared" si="11"/>
        <v>0</v>
      </c>
      <c r="E116" s="133">
        <f t="shared" si="11"/>
        <v>0</v>
      </c>
      <c r="F116" s="133">
        <f t="shared" si="11"/>
        <v>0</v>
      </c>
      <c r="G116" s="133">
        <f t="shared" si="11"/>
        <v>0</v>
      </c>
      <c r="H116" s="163">
        <f t="shared" si="11"/>
        <v>0</v>
      </c>
      <c r="I116" s="133" t="e">
        <f>I83/I50*10</f>
        <v>#DIV/0!</v>
      </c>
      <c r="J116" s="133" t="e">
        <f>J83/J50*10</f>
        <v>#DIV/0!</v>
      </c>
      <c r="K116" s="133" t="e">
        <f>K83/K50*10</f>
        <v>#DIV/0!</v>
      </c>
      <c r="L116" s="133">
        <f t="shared" ref="L116:N116" si="12">L83/L50*10</f>
        <v>48.999999999999993</v>
      </c>
      <c r="M116" s="163" t="e">
        <f t="shared" si="12"/>
        <v>#DIV/0!</v>
      </c>
      <c r="N116" s="163">
        <f t="shared" si="12"/>
        <v>49</v>
      </c>
      <c r="O116" s="80">
        <v>49.01</v>
      </c>
    </row>
    <row r="117" spans="1:15" ht="16.5" customHeight="1" x14ac:dyDescent="0.25">
      <c r="G117" s="76"/>
      <c r="J117" s="135"/>
    </row>
    <row r="118" spans="1:15" ht="16.5" customHeight="1" x14ac:dyDescent="0.2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69" t="s">
        <v>49</v>
      </c>
    </row>
    <row r="119" spans="1:15" ht="16.5" customHeight="1" x14ac:dyDescent="0.25">
      <c r="A119" s="237" t="s">
        <v>2</v>
      </c>
      <c r="B119" s="237" t="s">
        <v>3</v>
      </c>
      <c r="C119" s="243" t="s">
        <v>4</v>
      </c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37" t="s">
        <v>5</v>
      </c>
    </row>
    <row r="120" spans="1:15" ht="16.5" customHeight="1" x14ac:dyDescent="0.25">
      <c r="A120" s="238"/>
      <c r="B120" s="238"/>
      <c r="C120" s="4" t="s">
        <v>6</v>
      </c>
      <c r="D120" s="4" t="s">
        <v>7</v>
      </c>
      <c r="E120" s="4" t="s">
        <v>8</v>
      </c>
      <c r="F120" s="4" t="s">
        <v>9</v>
      </c>
      <c r="G120" s="4" t="s">
        <v>10</v>
      </c>
      <c r="H120" s="4" t="s">
        <v>11</v>
      </c>
      <c r="I120" s="4" t="s">
        <v>12</v>
      </c>
      <c r="J120" s="4" t="s">
        <v>13</v>
      </c>
      <c r="K120" s="4" t="s">
        <v>14</v>
      </c>
      <c r="L120" s="4" t="s">
        <v>15</v>
      </c>
      <c r="M120" s="4" t="s">
        <v>16</v>
      </c>
      <c r="N120" s="4" t="s">
        <v>17</v>
      </c>
      <c r="O120" s="244"/>
    </row>
    <row r="121" spans="1:15" ht="16.5" customHeight="1" x14ac:dyDescent="0.25">
      <c r="A121" s="57">
        <v>1</v>
      </c>
      <c r="B121" s="57">
        <v>2</v>
      </c>
      <c r="C121" s="57">
        <v>3</v>
      </c>
      <c r="D121" s="57">
        <v>4</v>
      </c>
      <c r="E121" s="57">
        <v>5</v>
      </c>
      <c r="F121" s="57">
        <v>6</v>
      </c>
      <c r="G121" s="57">
        <v>7</v>
      </c>
      <c r="H121" s="57">
        <v>8</v>
      </c>
      <c r="I121" s="57">
        <v>9</v>
      </c>
      <c r="J121" s="57">
        <v>10</v>
      </c>
      <c r="K121" s="57">
        <v>11</v>
      </c>
      <c r="L121" s="57">
        <v>12</v>
      </c>
      <c r="M121" s="57">
        <v>13</v>
      </c>
      <c r="N121" s="57">
        <v>14</v>
      </c>
      <c r="O121" s="57">
        <v>15</v>
      </c>
    </row>
    <row r="122" spans="1:15" ht="16.5" customHeight="1" x14ac:dyDescent="0.25">
      <c r="A122" s="58">
        <v>1</v>
      </c>
      <c r="B122" s="11" t="s">
        <v>19</v>
      </c>
      <c r="C122" s="77">
        <v>0</v>
      </c>
      <c r="D122" s="158">
        <v>0</v>
      </c>
      <c r="E122" s="102">
        <v>0</v>
      </c>
      <c r="F122" s="164">
        <v>0</v>
      </c>
      <c r="G122" s="102">
        <v>0</v>
      </c>
      <c r="H122" s="102" t="s">
        <v>26</v>
      </c>
      <c r="I122" s="102" t="s">
        <v>26</v>
      </c>
      <c r="J122" s="102">
        <v>49.01</v>
      </c>
      <c r="K122" s="153">
        <v>0</v>
      </c>
      <c r="L122" s="158">
        <v>0</v>
      </c>
      <c r="M122" s="77">
        <v>0</v>
      </c>
      <c r="N122" s="158">
        <v>49.01</v>
      </c>
      <c r="O122" s="169">
        <f t="shared" ref="O122:O126" si="13">O89/O56*10</f>
        <v>48.148148148148152</v>
      </c>
    </row>
    <row r="123" spans="1:15" ht="16.5" customHeight="1" x14ac:dyDescent="0.25">
      <c r="A123" s="60">
        <v>2</v>
      </c>
      <c r="B123" s="15" t="s">
        <v>20</v>
      </c>
      <c r="C123" s="78">
        <v>49.01</v>
      </c>
      <c r="D123" s="157">
        <v>49.01</v>
      </c>
      <c r="E123" s="78">
        <v>0</v>
      </c>
      <c r="F123" s="157">
        <v>49.01</v>
      </c>
      <c r="G123" s="157">
        <v>0</v>
      </c>
      <c r="H123" s="160">
        <v>49.01</v>
      </c>
      <c r="I123" s="160">
        <v>0</v>
      </c>
      <c r="J123" s="160">
        <v>49.01</v>
      </c>
      <c r="K123" s="157">
        <v>49.01</v>
      </c>
      <c r="L123" s="157">
        <v>49.01</v>
      </c>
      <c r="M123" s="78">
        <v>49.01</v>
      </c>
      <c r="N123" s="157">
        <v>49.01</v>
      </c>
      <c r="O123" s="82">
        <f>O90/O57*10</f>
        <v>47.919708029197075</v>
      </c>
    </row>
    <row r="124" spans="1:15" ht="16.5" customHeight="1" x14ac:dyDescent="0.25">
      <c r="A124" s="60">
        <v>3</v>
      </c>
      <c r="B124" s="11" t="s">
        <v>21</v>
      </c>
      <c r="C124" s="78">
        <v>0</v>
      </c>
      <c r="D124" s="157">
        <v>0</v>
      </c>
      <c r="E124" s="78">
        <v>0</v>
      </c>
      <c r="F124" s="160">
        <v>0</v>
      </c>
      <c r="G124" s="160">
        <v>49.01</v>
      </c>
      <c r="H124" s="160">
        <v>49.01</v>
      </c>
      <c r="I124" s="160">
        <v>0</v>
      </c>
      <c r="J124" s="160">
        <v>49.01</v>
      </c>
      <c r="K124" s="157">
        <v>0</v>
      </c>
      <c r="L124" s="157">
        <v>0</v>
      </c>
      <c r="M124" s="61">
        <v>0</v>
      </c>
      <c r="N124" s="142"/>
      <c r="O124" s="156">
        <f t="shared" si="13"/>
        <v>49</v>
      </c>
    </row>
    <row r="125" spans="1:15" ht="16.5" customHeight="1" x14ac:dyDescent="0.25">
      <c r="A125" s="60">
        <v>4</v>
      </c>
      <c r="B125" s="18" t="s">
        <v>22</v>
      </c>
      <c r="C125" s="78">
        <v>0</v>
      </c>
      <c r="D125" s="157">
        <v>0</v>
      </c>
      <c r="E125" s="103">
        <v>0</v>
      </c>
      <c r="F125" s="144" t="s">
        <v>26</v>
      </c>
      <c r="G125" s="144">
        <v>0</v>
      </c>
      <c r="H125" s="160" t="s">
        <v>26</v>
      </c>
      <c r="I125" s="160" t="s">
        <v>26</v>
      </c>
      <c r="J125" s="160" t="s">
        <v>26</v>
      </c>
      <c r="K125" s="157">
        <v>0</v>
      </c>
      <c r="L125" s="157">
        <v>0</v>
      </c>
      <c r="M125" s="78">
        <v>0</v>
      </c>
      <c r="N125" s="157">
        <v>0</v>
      </c>
      <c r="O125" s="82">
        <f t="shared" si="13"/>
        <v>0</v>
      </c>
    </row>
    <row r="126" spans="1:15" ht="16.5" customHeight="1" x14ac:dyDescent="0.25">
      <c r="A126" s="60">
        <v>5</v>
      </c>
      <c r="B126" s="19" t="s">
        <v>23</v>
      </c>
      <c r="C126" s="78">
        <v>0</v>
      </c>
      <c r="D126" s="157">
        <v>0</v>
      </c>
      <c r="E126" s="78">
        <v>0</v>
      </c>
      <c r="F126" s="144" t="s">
        <v>26</v>
      </c>
      <c r="G126" s="157">
        <v>49.01</v>
      </c>
      <c r="H126" s="160" t="s">
        <v>26</v>
      </c>
      <c r="I126" s="160">
        <v>0</v>
      </c>
      <c r="J126" s="160">
        <v>0</v>
      </c>
      <c r="K126" s="157">
        <v>49.01</v>
      </c>
      <c r="L126" s="157">
        <v>0</v>
      </c>
      <c r="M126" s="78">
        <v>0</v>
      </c>
      <c r="N126" s="142"/>
      <c r="O126" s="82">
        <f t="shared" si="13"/>
        <v>58.979591836734684</v>
      </c>
    </row>
    <row r="127" spans="1:15" ht="16.5" customHeight="1" x14ac:dyDescent="0.25">
      <c r="A127" s="60">
        <v>6</v>
      </c>
      <c r="B127" s="19" t="s">
        <v>24</v>
      </c>
      <c r="C127" s="78">
        <v>49.01</v>
      </c>
      <c r="D127" s="157">
        <v>0</v>
      </c>
      <c r="E127" s="78">
        <v>0</v>
      </c>
      <c r="F127" s="157">
        <v>49.01</v>
      </c>
      <c r="G127" s="157">
        <v>0</v>
      </c>
      <c r="H127" s="160">
        <v>0</v>
      </c>
      <c r="I127" s="160" t="s">
        <v>26</v>
      </c>
      <c r="J127" s="160" t="s">
        <v>26</v>
      </c>
      <c r="K127" s="157">
        <v>0</v>
      </c>
      <c r="L127" s="157">
        <v>0</v>
      </c>
      <c r="M127" s="78">
        <v>49.01</v>
      </c>
      <c r="N127" s="157">
        <v>49.01</v>
      </c>
      <c r="O127" s="82">
        <f>O94/O61*10</f>
        <v>48.75</v>
      </c>
    </row>
    <row r="128" spans="1:15" ht="16.5" customHeight="1" x14ac:dyDescent="0.25">
      <c r="A128" s="60">
        <v>7</v>
      </c>
      <c r="B128" s="19" t="s">
        <v>25</v>
      </c>
      <c r="C128" s="78">
        <v>0</v>
      </c>
      <c r="D128" s="157">
        <v>0</v>
      </c>
      <c r="E128" s="78">
        <v>0</v>
      </c>
      <c r="F128" s="157">
        <v>0</v>
      </c>
      <c r="G128" s="160">
        <v>49.01</v>
      </c>
      <c r="H128" s="160">
        <v>0</v>
      </c>
      <c r="I128" s="160">
        <v>0</v>
      </c>
      <c r="J128" s="157">
        <v>0</v>
      </c>
      <c r="K128" s="142">
        <v>0</v>
      </c>
      <c r="L128" s="157">
        <v>49.01</v>
      </c>
      <c r="M128" s="78">
        <v>0</v>
      </c>
      <c r="N128" s="142"/>
      <c r="O128" s="82">
        <f>O95/O62*10</f>
        <v>49</v>
      </c>
    </row>
    <row r="129" spans="1:15" ht="16.5" customHeight="1" x14ac:dyDescent="0.25">
      <c r="A129" s="62">
        <v>8</v>
      </c>
      <c r="B129" s="18" t="s">
        <v>27</v>
      </c>
      <c r="C129" s="166">
        <v>49.01</v>
      </c>
      <c r="D129" s="161">
        <v>0</v>
      </c>
      <c r="E129" s="162">
        <v>0</v>
      </c>
      <c r="F129" s="161">
        <v>49.01</v>
      </c>
      <c r="G129" s="161">
        <v>0</v>
      </c>
      <c r="H129" s="161">
        <v>49.01</v>
      </c>
      <c r="I129" s="161">
        <v>0</v>
      </c>
      <c r="J129" s="161">
        <v>49.01</v>
      </c>
      <c r="K129" s="161">
        <v>49.01</v>
      </c>
      <c r="L129" s="161">
        <v>49.01</v>
      </c>
      <c r="M129" s="167">
        <v>49.01</v>
      </c>
      <c r="N129" s="161">
        <v>0</v>
      </c>
      <c r="O129" s="170">
        <f>O96/O63*10</f>
        <v>42</v>
      </c>
    </row>
    <row r="130" spans="1:15" ht="16.5" customHeight="1" x14ac:dyDescent="0.25">
      <c r="A130" s="235" t="s">
        <v>28</v>
      </c>
      <c r="B130" s="236"/>
      <c r="C130" s="133">
        <f>C97/C64*10</f>
        <v>49</v>
      </c>
      <c r="D130" s="133">
        <f>D97/D64*10</f>
        <v>45</v>
      </c>
      <c r="E130" s="133" t="e">
        <f t="shared" ref="E130:I130" si="14">E97/E64*10</f>
        <v>#DIV/0!</v>
      </c>
      <c r="F130" s="133">
        <f>F97/F64*10</f>
        <v>49.032258064516128</v>
      </c>
      <c r="G130" s="133">
        <f>G97/G64*10</f>
        <v>48.999999999999993</v>
      </c>
      <c r="H130" s="163">
        <f>H97/H64*10</f>
        <v>39.42307692307692</v>
      </c>
      <c r="I130" s="133" t="e">
        <f t="shared" si="14"/>
        <v>#DIV/0!</v>
      </c>
      <c r="J130" s="163">
        <f>J97/J64*10</f>
        <v>48.652173913043484</v>
      </c>
      <c r="K130" s="163">
        <f>K97/K64*10</f>
        <v>48.878923766816143</v>
      </c>
      <c r="L130" s="163">
        <f t="shared" ref="L130:N130" si="15">L97/L64*10</f>
        <v>48.846153846153854</v>
      </c>
      <c r="M130" s="163">
        <f t="shared" si="15"/>
        <v>48.6</v>
      </c>
      <c r="N130" s="163">
        <f t="shared" si="15"/>
        <v>48.8</v>
      </c>
      <c r="O130" s="133">
        <f>O97/O64*10</f>
        <v>47.166837958204859</v>
      </c>
    </row>
  </sheetData>
  <mergeCells count="43">
    <mergeCell ref="A2:O2"/>
    <mergeCell ref="A3:O3"/>
    <mergeCell ref="C6:N6"/>
    <mergeCell ref="A17:B17"/>
    <mergeCell ref="A35:O35"/>
    <mergeCell ref="O6:O7"/>
    <mergeCell ref="A36:O36"/>
    <mergeCell ref="C39:N39"/>
    <mergeCell ref="A50:B50"/>
    <mergeCell ref="C53:N53"/>
    <mergeCell ref="A64:B64"/>
    <mergeCell ref="O39:O40"/>
    <mergeCell ref="O53:O54"/>
    <mergeCell ref="O119:O120"/>
    <mergeCell ref="C119:N119"/>
    <mergeCell ref="A68:O68"/>
    <mergeCell ref="A69:O69"/>
    <mergeCell ref="C72:N72"/>
    <mergeCell ref="A83:B83"/>
    <mergeCell ref="C86:N86"/>
    <mergeCell ref="O72:O73"/>
    <mergeCell ref="O86:O87"/>
    <mergeCell ref="A101:O101"/>
    <mergeCell ref="A102:O102"/>
    <mergeCell ref="C105:N105"/>
    <mergeCell ref="A116:B116"/>
    <mergeCell ref="O105:O106"/>
    <mergeCell ref="A130:B130"/>
    <mergeCell ref="A6:A7"/>
    <mergeCell ref="A39:A40"/>
    <mergeCell ref="A53:A54"/>
    <mergeCell ref="A72:A73"/>
    <mergeCell ref="A86:A87"/>
    <mergeCell ref="A105:A106"/>
    <mergeCell ref="A119:A120"/>
    <mergeCell ref="B6:B7"/>
    <mergeCell ref="B39:B40"/>
    <mergeCell ref="B53:B54"/>
    <mergeCell ref="B72:B73"/>
    <mergeCell ref="B86:B87"/>
    <mergeCell ref="B105:B106"/>
    <mergeCell ref="B119:B120"/>
    <mergeCell ref="A97:B97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121"/>
  <sheetViews>
    <sheetView topLeftCell="A115" zoomScale="90" zoomScaleNormal="90" workbookViewId="0">
      <selection activeCell="A135" sqref="A135"/>
    </sheetView>
  </sheetViews>
  <sheetFormatPr defaultColWidth="9"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242" t="s">
        <v>50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7" ht="18.75" x14ac:dyDescent="0.3">
      <c r="A3" s="241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7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 x14ac:dyDescent="0.25">
      <c r="A6" s="237" t="s">
        <v>2</v>
      </c>
      <c r="B6" s="237" t="s">
        <v>3</v>
      </c>
      <c r="C6" s="247" t="s">
        <v>4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37" t="s">
        <v>5</v>
      </c>
    </row>
    <row r="7" spans="1:17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7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51</v>
      </c>
    </row>
    <row r="9" spans="1:17" ht="18.75" customHeight="1" x14ac:dyDescent="0.25">
      <c r="A9" s="58">
        <v>1</v>
      </c>
      <c r="B9" s="11" t="s">
        <v>19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70">
        <f>SUM(C9:N9)</f>
        <v>0</v>
      </c>
      <c r="Q9" s="76">
        <f>SUM(L9:M9)</f>
        <v>0</v>
      </c>
    </row>
    <row r="10" spans="1:17" ht="18.75" customHeight="1" x14ac:dyDescent="0.25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71">
        <f t="shared" ref="O10:O16" si="0">SUM(C10:N10)</f>
        <v>0</v>
      </c>
      <c r="Q10" s="76">
        <f t="shared" ref="Q10:Q16" si="1">SUM(L10:M10)</f>
        <v>0</v>
      </c>
    </row>
    <row r="11" spans="1:17" ht="18.75" customHeight="1" x14ac:dyDescent="0.25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71">
        <f t="shared" si="0"/>
        <v>0</v>
      </c>
      <c r="Q11" s="76">
        <f t="shared" si="1"/>
        <v>0</v>
      </c>
    </row>
    <row r="12" spans="1:17" ht="18.75" customHeight="1" x14ac:dyDescent="0.25">
      <c r="A12" s="60">
        <v>4</v>
      </c>
      <c r="B12" s="18" t="s">
        <v>22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71">
        <f t="shared" si="0"/>
        <v>0</v>
      </c>
      <c r="Q12" s="76">
        <f t="shared" si="1"/>
        <v>0</v>
      </c>
    </row>
    <row r="13" spans="1:17" ht="18.75" customHeight="1" x14ac:dyDescent="0.25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  <c r="Q13" s="76">
        <f t="shared" si="1"/>
        <v>0</v>
      </c>
    </row>
    <row r="14" spans="1:17" ht="18.75" customHeight="1" x14ac:dyDescent="0.25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  <c r="Q14" s="76">
        <f t="shared" si="1"/>
        <v>0</v>
      </c>
    </row>
    <row r="15" spans="1:17" ht="18.75" customHeight="1" x14ac:dyDescent="0.25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  <c r="Q15" s="76">
        <f t="shared" si="1"/>
        <v>0</v>
      </c>
    </row>
    <row r="16" spans="1:17" ht="18.75" customHeight="1" x14ac:dyDescent="0.25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90">
        <f t="shared" si="0"/>
        <v>0</v>
      </c>
      <c r="Q16" s="76">
        <f t="shared" si="1"/>
        <v>0</v>
      </c>
    </row>
    <row r="17" spans="1:15" ht="18.75" customHeight="1" x14ac:dyDescent="0.25">
      <c r="A17" s="235" t="s">
        <v>28</v>
      </c>
      <c r="B17" s="236"/>
      <c r="C17" s="64">
        <f t="shared" ref="C17:O17" si="2">SUM(C9:C16)</f>
        <v>0</v>
      </c>
      <c r="D17" s="64">
        <f t="shared" si="2"/>
        <v>0</v>
      </c>
      <c r="E17" s="64">
        <f t="shared" si="2"/>
        <v>0</v>
      </c>
      <c r="F17" s="64">
        <f t="shared" si="2"/>
        <v>0</v>
      </c>
      <c r="G17" s="64">
        <f t="shared" si="2"/>
        <v>0</v>
      </c>
      <c r="H17" s="64">
        <f t="shared" si="2"/>
        <v>0</v>
      </c>
      <c r="I17" s="64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4">
        <f t="shared" si="2"/>
        <v>0</v>
      </c>
    </row>
    <row r="18" spans="1:15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.75" x14ac:dyDescent="0.3">
      <c r="A35" s="242" t="s">
        <v>52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7" ht="18.75" x14ac:dyDescent="0.3">
      <c r="A36" s="241" t="s">
        <v>111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</row>
    <row r="37" spans="1:17" ht="18.75" x14ac:dyDescent="0.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7" x14ac:dyDescent="0.25">
      <c r="A39" s="237" t="s">
        <v>2</v>
      </c>
      <c r="B39" s="237" t="s">
        <v>3</v>
      </c>
      <c r="C39" s="243" t="s">
        <v>4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37" t="s">
        <v>5</v>
      </c>
    </row>
    <row r="40" spans="1:17" x14ac:dyDescent="0.25">
      <c r="A40" s="238"/>
      <c r="B40" s="238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44"/>
    </row>
    <row r="41" spans="1:17" x14ac:dyDescent="0.2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 x14ac:dyDescent="0.25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70">
        <f t="shared" ref="O42:O49" si="3">SUM(C42:N42)</f>
        <v>0</v>
      </c>
      <c r="Q42" s="76">
        <f>SUM(C42:E42)</f>
        <v>0</v>
      </c>
    </row>
    <row r="43" spans="1:17" ht="18.75" customHeight="1" x14ac:dyDescent="0.25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71">
        <f t="shared" si="3"/>
        <v>0</v>
      </c>
      <c r="Q43" s="76">
        <f t="shared" ref="Q43:Q49" si="4">SUM(C43:E43)</f>
        <v>0</v>
      </c>
    </row>
    <row r="44" spans="1:17" ht="18.75" customHeight="1" x14ac:dyDescent="0.25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71">
        <f t="shared" si="3"/>
        <v>0</v>
      </c>
      <c r="Q44" s="76">
        <f t="shared" si="4"/>
        <v>0</v>
      </c>
    </row>
    <row r="45" spans="1:17" ht="18.75" customHeight="1" x14ac:dyDescent="0.25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71">
        <f t="shared" si="3"/>
        <v>0</v>
      </c>
      <c r="Q45" s="76">
        <f t="shared" si="4"/>
        <v>0</v>
      </c>
    </row>
    <row r="46" spans="1:17" ht="18.75" customHeight="1" x14ac:dyDescent="0.25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0</v>
      </c>
      <c r="Q46" s="76">
        <f t="shared" si="4"/>
        <v>0</v>
      </c>
    </row>
    <row r="47" spans="1:17" ht="18.75" customHeight="1" x14ac:dyDescent="0.25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3"/>
        <v>0</v>
      </c>
      <c r="Q47" s="76">
        <f t="shared" si="4"/>
        <v>0</v>
      </c>
    </row>
    <row r="48" spans="1:17" ht="18.75" customHeight="1" x14ac:dyDescent="0.25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3"/>
        <v>0</v>
      </c>
      <c r="Q48" s="76">
        <f t="shared" si="4"/>
        <v>0</v>
      </c>
    </row>
    <row r="49" spans="1:17" ht="18.75" customHeight="1" x14ac:dyDescent="0.25">
      <c r="A49" s="62">
        <v>8</v>
      </c>
      <c r="B49" s="18" t="s">
        <v>27</v>
      </c>
      <c r="C49" s="87">
        <v>0</v>
      </c>
      <c r="D49" s="87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90">
        <f t="shared" si="3"/>
        <v>0</v>
      </c>
      <c r="P49" s="74">
        <v>15</v>
      </c>
      <c r="Q49" s="76">
        <f t="shared" si="4"/>
        <v>0</v>
      </c>
    </row>
    <row r="50" spans="1:17" ht="18.75" customHeight="1" x14ac:dyDescent="0.25">
      <c r="A50" s="235" t="s">
        <v>28</v>
      </c>
      <c r="B50" s="236"/>
      <c r="C50" s="64">
        <f>SUM(C42:C49)</f>
        <v>0</v>
      </c>
      <c r="D50" s="64">
        <f t="shared" ref="D50:P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si="5"/>
        <v>0</v>
      </c>
      <c r="O50" s="64">
        <f t="shared" si="5"/>
        <v>0</v>
      </c>
      <c r="P50" s="75">
        <f t="shared" si="5"/>
        <v>15</v>
      </c>
    </row>
    <row r="51" spans="1:17" x14ac:dyDescent="0.25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.75" x14ac:dyDescent="0.3">
      <c r="A68" s="242" t="s">
        <v>53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7" ht="18.75" x14ac:dyDescent="0.3">
      <c r="A69" s="241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</row>
    <row r="70" spans="1:17" ht="18.75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7" x14ac:dyDescent="0.25">
      <c r="A72" s="237" t="s">
        <v>2</v>
      </c>
      <c r="B72" s="237" t="s">
        <v>3</v>
      </c>
      <c r="C72" s="243" t="s">
        <v>4</v>
      </c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37" t="s">
        <v>5</v>
      </c>
    </row>
    <row r="73" spans="1:17" x14ac:dyDescent="0.25">
      <c r="A73" s="238"/>
      <c r="B73" s="23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44"/>
      <c r="Q73" s="25"/>
    </row>
    <row r="74" spans="1:17" x14ac:dyDescent="0.2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 x14ac:dyDescent="0.25">
      <c r="A75" s="58">
        <v>1</v>
      </c>
      <c r="B75" s="11" t="s">
        <v>19</v>
      </c>
      <c r="C75" s="91">
        <v>0</v>
      </c>
      <c r="D75" s="91">
        <v>0</v>
      </c>
      <c r="E75" s="91">
        <v>0</v>
      </c>
      <c r="F75" s="91">
        <v>0</v>
      </c>
      <c r="G75" s="91">
        <v>0</v>
      </c>
      <c r="H75" s="91">
        <v>0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88">
        <f>SUM(C75:N75)</f>
        <v>0</v>
      </c>
      <c r="Q75" s="76">
        <f>SUM(C75:E75)</f>
        <v>0</v>
      </c>
    </row>
    <row r="76" spans="1:17" ht="18.75" customHeight="1" x14ac:dyDescent="0.25">
      <c r="A76" s="60">
        <v>2</v>
      </c>
      <c r="B76" s="15" t="s">
        <v>20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  <c r="N76" s="86">
        <v>0</v>
      </c>
      <c r="O76" s="89">
        <f t="shared" ref="O76:O82" si="6">SUM(C76:N76)</f>
        <v>0</v>
      </c>
      <c r="Q76" s="76">
        <f t="shared" ref="Q76:Q82" si="7">SUM(C76:E76)</f>
        <v>0</v>
      </c>
    </row>
    <row r="77" spans="1:17" ht="18.75" customHeight="1" x14ac:dyDescent="0.25">
      <c r="A77" s="60">
        <v>3</v>
      </c>
      <c r="B77" s="11" t="s">
        <v>21</v>
      </c>
      <c r="C77" s="86">
        <v>0</v>
      </c>
      <c r="D77" s="86">
        <v>0</v>
      </c>
      <c r="E77" s="86">
        <v>0</v>
      </c>
      <c r="F77" s="86">
        <v>0</v>
      </c>
      <c r="G77" s="86">
        <v>0</v>
      </c>
      <c r="H77" s="86">
        <v>0</v>
      </c>
      <c r="I77" s="86">
        <v>0</v>
      </c>
      <c r="J77" s="86">
        <v>0</v>
      </c>
      <c r="K77" s="86">
        <v>0</v>
      </c>
      <c r="L77" s="86">
        <v>0</v>
      </c>
      <c r="M77" s="86">
        <v>0</v>
      </c>
      <c r="N77" s="86">
        <v>0</v>
      </c>
      <c r="O77" s="89">
        <f t="shared" si="6"/>
        <v>0</v>
      </c>
      <c r="Q77" s="76">
        <f t="shared" si="7"/>
        <v>0</v>
      </c>
    </row>
    <row r="78" spans="1:17" ht="18.75" customHeight="1" x14ac:dyDescent="0.25">
      <c r="A78" s="60">
        <v>4</v>
      </c>
      <c r="B78" s="18" t="s">
        <v>22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9">
        <f t="shared" si="6"/>
        <v>0</v>
      </c>
      <c r="Q78" s="76">
        <f t="shared" si="7"/>
        <v>0</v>
      </c>
    </row>
    <row r="79" spans="1:17" ht="18.75" customHeight="1" x14ac:dyDescent="0.25">
      <c r="A79" s="60">
        <v>5</v>
      </c>
      <c r="B79" s="19" t="s">
        <v>23</v>
      </c>
      <c r="C79" s="86">
        <v>0</v>
      </c>
      <c r="D79" s="86">
        <v>0</v>
      </c>
      <c r="E79" s="86">
        <v>0</v>
      </c>
      <c r="F79" s="86">
        <v>0</v>
      </c>
      <c r="G79" s="86">
        <v>0</v>
      </c>
      <c r="H79" s="86">
        <v>0</v>
      </c>
      <c r="I79" s="86">
        <v>0</v>
      </c>
      <c r="J79" s="86">
        <v>0</v>
      </c>
      <c r="K79" s="86">
        <v>0</v>
      </c>
      <c r="L79" s="86">
        <v>0</v>
      </c>
      <c r="M79" s="86">
        <v>0</v>
      </c>
      <c r="N79" s="86">
        <v>0</v>
      </c>
      <c r="O79" s="89">
        <f t="shared" si="6"/>
        <v>0</v>
      </c>
      <c r="Q79" s="76">
        <f t="shared" si="7"/>
        <v>0</v>
      </c>
    </row>
    <row r="80" spans="1:17" ht="18.75" customHeight="1" x14ac:dyDescent="0.25">
      <c r="A80" s="60">
        <v>6</v>
      </c>
      <c r="B80" s="19" t="s">
        <v>24</v>
      </c>
      <c r="C80" s="86">
        <v>0</v>
      </c>
      <c r="D80" s="86">
        <v>0</v>
      </c>
      <c r="E80" s="86">
        <v>0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0</v>
      </c>
      <c r="L80" s="86">
        <v>0</v>
      </c>
      <c r="M80" s="86">
        <v>0</v>
      </c>
      <c r="N80" s="86">
        <v>0</v>
      </c>
      <c r="O80" s="89">
        <f t="shared" si="6"/>
        <v>0</v>
      </c>
      <c r="Q80" s="76">
        <f t="shared" si="7"/>
        <v>0</v>
      </c>
    </row>
    <row r="81" spans="1:17" ht="18.75" customHeight="1" x14ac:dyDescent="0.25">
      <c r="A81" s="60">
        <v>7</v>
      </c>
      <c r="B81" s="19" t="s">
        <v>25</v>
      </c>
      <c r="C81" s="86">
        <v>0</v>
      </c>
      <c r="D81" s="86">
        <v>0</v>
      </c>
      <c r="E81" s="86">
        <v>0</v>
      </c>
      <c r="F81" s="86">
        <v>0</v>
      </c>
      <c r="G81" s="86">
        <v>0</v>
      </c>
      <c r="H81" s="86">
        <v>0</v>
      </c>
      <c r="I81" s="86">
        <v>0</v>
      </c>
      <c r="J81" s="86">
        <v>0</v>
      </c>
      <c r="K81" s="86">
        <v>0</v>
      </c>
      <c r="L81" s="86">
        <v>0</v>
      </c>
      <c r="M81" s="86">
        <v>0</v>
      </c>
      <c r="N81" s="86">
        <v>0</v>
      </c>
      <c r="O81" s="89">
        <f t="shared" si="6"/>
        <v>0</v>
      </c>
      <c r="Q81" s="76">
        <f t="shared" si="7"/>
        <v>0</v>
      </c>
    </row>
    <row r="82" spans="1:17" ht="18.75" customHeight="1" x14ac:dyDescent="0.25">
      <c r="A82" s="62">
        <v>8</v>
      </c>
      <c r="B82" s="18" t="s">
        <v>27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72">
        <v>0</v>
      </c>
      <c r="O82" s="73">
        <f t="shared" si="6"/>
        <v>0</v>
      </c>
      <c r="Q82" s="76">
        <f t="shared" si="7"/>
        <v>0</v>
      </c>
    </row>
    <row r="83" spans="1:17" ht="18.75" customHeight="1" x14ac:dyDescent="0.25">
      <c r="A83" s="235" t="s">
        <v>28</v>
      </c>
      <c r="B83" s="236"/>
      <c r="C83" s="67">
        <f t="shared" ref="C83:O83" si="8">SUM(C75:C82)</f>
        <v>0</v>
      </c>
      <c r="D83" s="67">
        <f t="shared" si="8"/>
        <v>0</v>
      </c>
      <c r="E83" s="67">
        <f t="shared" si="8"/>
        <v>0</v>
      </c>
      <c r="F83" s="67">
        <f t="shared" si="8"/>
        <v>0</v>
      </c>
      <c r="G83" s="67">
        <f t="shared" si="8"/>
        <v>0</v>
      </c>
      <c r="H83" s="67">
        <f t="shared" si="8"/>
        <v>0</v>
      </c>
      <c r="I83" s="67">
        <f t="shared" si="8"/>
        <v>0</v>
      </c>
      <c r="J83" s="67">
        <f t="shared" si="8"/>
        <v>0</v>
      </c>
      <c r="K83" s="67">
        <f t="shared" si="8"/>
        <v>0</v>
      </c>
      <c r="L83" s="67">
        <f t="shared" si="8"/>
        <v>0</v>
      </c>
      <c r="M83" s="67">
        <f t="shared" si="8"/>
        <v>0</v>
      </c>
      <c r="N83" s="67">
        <f t="shared" si="8"/>
        <v>0</v>
      </c>
      <c r="O83" s="67">
        <f t="shared" si="8"/>
        <v>0</v>
      </c>
    </row>
    <row r="84" spans="1:17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 x14ac:dyDescent="0.3">
      <c r="A101" s="242" t="s">
        <v>54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5" ht="18.75" x14ac:dyDescent="0.3">
      <c r="A102" s="241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</row>
    <row r="103" spans="1:15" ht="18.75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</row>
    <row r="106" spans="1:15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</row>
    <row r="107" spans="1:15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 x14ac:dyDescent="0.25">
      <c r="A108" s="58">
        <v>1</v>
      </c>
      <c r="B108" s="11" t="s">
        <v>19</v>
      </c>
      <c r="C108" s="77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81">
        <v>0</v>
      </c>
    </row>
    <row r="109" spans="1:15" ht="18.75" customHeight="1" x14ac:dyDescent="0.25">
      <c r="A109" s="60">
        <v>2</v>
      </c>
      <c r="B109" s="15" t="s">
        <v>20</v>
      </c>
      <c r="C109" s="78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82">
        <v>0</v>
      </c>
    </row>
    <row r="110" spans="1:15" ht="18.75" customHeight="1" x14ac:dyDescent="0.25">
      <c r="A110" s="60">
        <v>3</v>
      </c>
      <c r="B110" s="11" t="s">
        <v>21</v>
      </c>
      <c r="C110" s="78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82">
        <v>0</v>
      </c>
    </row>
    <row r="111" spans="1:15" ht="18.75" customHeight="1" x14ac:dyDescent="0.25">
      <c r="A111" s="60">
        <v>4</v>
      </c>
      <c r="B111" s="18" t="s">
        <v>22</v>
      </c>
      <c r="C111" s="78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82">
        <v>0</v>
      </c>
    </row>
    <row r="112" spans="1:15" ht="18.75" customHeight="1" x14ac:dyDescent="0.25">
      <c r="A112" s="60">
        <v>5</v>
      </c>
      <c r="B112" s="19" t="s">
        <v>23</v>
      </c>
      <c r="C112" s="78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v>0</v>
      </c>
    </row>
    <row r="113" spans="1:16" ht="18.75" customHeight="1" x14ac:dyDescent="0.25">
      <c r="A113" s="60">
        <v>6</v>
      </c>
      <c r="B113" s="19" t="s">
        <v>24</v>
      </c>
      <c r="C113" s="78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v>0</v>
      </c>
    </row>
    <row r="114" spans="1:16" ht="18.75" customHeight="1" x14ac:dyDescent="0.25">
      <c r="A114" s="60">
        <v>7</v>
      </c>
      <c r="B114" s="19" t="s">
        <v>25</v>
      </c>
      <c r="C114" s="78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v>0</v>
      </c>
    </row>
    <row r="115" spans="1:16" ht="18.75" customHeight="1" x14ac:dyDescent="0.25">
      <c r="A115" s="62">
        <v>8</v>
      </c>
      <c r="B115" s="18" t="s">
        <v>27</v>
      </c>
      <c r="C115" s="79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82">
        <v>0</v>
      </c>
    </row>
    <row r="116" spans="1:16" ht="18.75" customHeight="1" x14ac:dyDescent="0.25">
      <c r="A116" s="235" t="s">
        <v>28</v>
      </c>
      <c r="B116" s="236"/>
      <c r="C116" s="80">
        <v>0</v>
      </c>
      <c r="D116" s="80">
        <f>SUM(D108:D115)</f>
        <v>0</v>
      </c>
      <c r="E116" s="80">
        <f t="shared" ref="E116:O116" si="9">SUM(E108:E115)</f>
        <v>0</v>
      </c>
      <c r="F116" s="80">
        <f t="shared" si="9"/>
        <v>0</v>
      </c>
      <c r="G116" s="80">
        <f t="shared" si="9"/>
        <v>0</v>
      </c>
      <c r="H116" s="80">
        <f t="shared" si="9"/>
        <v>0</v>
      </c>
      <c r="I116" s="80">
        <f t="shared" si="9"/>
        <v>0</v>
      </c>
      <c r="J116" s="80">
        <f t="shared" si="9"/>
        <v>0</v>
      </c>
      <c r="K116" s="80">
        <f t="shared" si="9"/>
        <v>0</v>
      </c>
      <c r="L116" s="80">
        <f t="shared" si="9"/>
        <v>0</v>
      </c>
      <c r="M116" s="80">
        <f t="shared" si="9"/>
        <v>0</v>
      </c>
      <c r="N116" s="80">
        <f t="shared" si="9"/>
        <v>0</v>
      </c>
      <c r="O116" s="80">
        <f t="shared" si="9"/>
        <v>0</v>
      </c>
      <c r="P116" s="83"/>
    </row>
    <row r="117" spans="1:16" x14ac:dyDescent="0.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9" spans="1:16" x14ac:dyDescent="0.25">
      <c r="L119" s="65"/>
    </row>
    <row r="120" spans="1:16" x14ac:dyDescent="0.25">
      <c r="L120" s="65"/>
    </row>
    <row r="121" spans="1:16" ht="34.5" customHeight="1" x14ac:dyDescent="0.25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120"/>
  <sheetViews>
    <sheetView topLeftCell="A73" zoomScale="90" zoomScaleNormal="90" workbookViewId="0">
      <selection activeCell="N76" sqref="N76"/>
    </sheetView>
  </sheetViews>
  <sheetFormatPr defaultColWidth="9" defaultRowHeight="15" x14ac:dyDescent="0.25"/>
  <cols>
    <col min="1" max="1" width="4" customWidth="1"/>
    <col min="2" max="2" width="14.28515625" customWidth="1"/>
    <col min="3" max="15" width="8.5703125" customWidth="1"/>
    <col min="16" max="16" width="10" customWidth="1"/>
  </cols>
  <sheetData>
    <row r="2" spans="1:17" ht="18.75" x14ac:dyDescent="0.3">
      <c r="A2" s="248" t="s">
        <v>55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</row>
    <row r="3" spans="1:17" ht="18.75" x14ac:dyDescent="0.3">
      <c r="A3" s="241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7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 x14ac:dyDescent="0.25">
      <c r="A6" s="237" t="s">
        <v>2</v>
      </c>
      <c r="B6" s="237" t="s">
        <v>3</v>
      </c>
      <c r="C6" s="243" t="s">
        <v>4</v>
      </c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37" t="s">
        <v>5</v>
      </c>
    </row>
    <row r="7" spans="1:17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7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7" ht="18.75" customHeight="1" x14ac:dyDescent="0.25">
      <c r="A9" s="58">
        <v>1</v>
      </c>
      <c r="B9" s="11" t="s">
        <v>19</v>
      </c>
      <c r="C9" s="59">
        <v>0</v>
      </c>
      <c r="D9" s="59">
        <v>0</v>
      </c>
      <c r="E9" s="59">
        <v>0</v>
      </c>
      <c r="F9" s="84">
        <v>10</v>
      </c>
      <c r="G9" s="84" t="s">
        <v>26</v>
      </c>
      <c r="H9" s="84" t="s">
        <v>26</v>
      </c>
      <c r="I9" s="84" t="s">
        <v>26</v>
      </c>
      <c r="J9" s="84">
        <v>0</v>
      </c>
      <c r="K9" s="59">
        <v>0</v>
      </c>
      <c r="L9" s="121">
        <v>0</v>
      </c>
      <c r="M9" s="59">
        <v>0</v>
      </c>
      <c r="N9" s="59">
        <v>0</v>
      </c>
      <c r="O9" s="70">
        <f>SUM(C9:N9)</f>
        <v>10</v>
      </c>
      <c r="P9" s="76">
        <f>SUM(I9:K9)</f>
        <v>0</v>
      </c>
      <c r="Q9" s="76">
        <f>SUM(F9:K9)</f>
        <v>10</v>
      </c>
    </row>
    <row r="10" spans="1:17" ht="18.75" customHeight="1" x14ac:dyDescent="0.25">
      <c r="A10" s="60">
        <v>2</v>
      </c>
      <c r="B10" s="15" t="s">
        <v>20</v>
      </c>
      <c r="C10" s="61">
        <v>0</v>
      </c>
      <c r="D10" s="61">
        <v>25</v>
      </c>
      <c r="E10" s="61">
        <v>125</v>
      </c>
      <c r="F10" s="85">
        <v>0</v>
      </c>
      <c r="G10" s="85">
        <v>0</v>
      </c>
      <c r="H10" s="85">
        <v>10</v>
      </c>
      <c r="I10" s="85">
        <v>0</v>
      </c>
      <c r="J10" s="84">
        <v>1</v>
      </c>
      <c r="K10" s="61">
        <v>0</v>
      </c>
      <c r="L10" s="123">
        <v>30</v>
      </c>
      <c r="M10" s="61">
        <v>70</v>
      </c>
      <c r="N10" s="61">
        <v>25</v>
      </c>
      <c r="O10" s="71">
        <f t="shared" ref="O10:O16" si="0">SUM(C10:N10)</f>
        <v>286</v>
      </c>
      <c r="P10" s="76">
        <f t="shared" ref="P10:P16" si="1">SUM(I10:K10)</f>
        <v>1</v>
      </c>
      <c r="Q10" s="76">
        <f t="shared" ref="Q10:Q16" si="2">SUM(F10:K10)</f>
        <v>11</v>
      </c>
    </row>
    <row r="11" spans="1:17" ht="18.75" customHeight="1" x14ac:dyDescent="0.25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85">
        <v>4</v>
      </c>
      <c r="G11" s="85" t="s">
        <v>26</v>
      </c>
      <c r="H11" s="85" t="s">
        <v>26</v>
      </c>
      <c r="I11" s="85">
        <v>0</v>
      </c>
      <c r="J11" s="84"/>
      <c r="K11" s="61">
        <v>0</v>
      </c>
      <c r="L11" s="61">
        <v>50</v>
      </c>
      <c r="M11" s="61">
        <v>0</v>
      </c>
      <c r="N11" s="61">
        <v>0</v>
      </c>
      <c r="O11" s="71">
        <f t="shared" si="0"/>
        <v>54</v>
      </c>
      <c r="P11" s="76">
        <f t="shared" si="1"/>
        <v>0</v>
      </c>
      <c r="Q11" s="76">
        <f t="shared" si="2"/>
        <v>4</v>
      </c>
    </row>
    <row r="12" spans="1:17" ht="18.75" customHeight="1" x14ac:dyDescent="0.25">
      <c r="A12" s="60">
        <v>4</v>
      </c>
      <c r="B12" s="18" t="s">
        <v>22</v>
      </c>
      <c r="C12" s="61">
        <v>0</v>
      </c>
      <c r="D12" s="61">
        <v>0</v>
      </c>
      <c r="E12" s="61">
        <v>0</v>
      </c>
      <c r="F12" s="85">
        <v>10</v>
      </c>
      <c r="G12" s="85">
        <v>10</v>
      </c>
      <c r="H12" s="85">
        <v>0</v>
      </c>
      <c r="I12" s="85">
        <v>0</v>
      </c>
      <c r="J12" s="84" t="s">
        <v>26</v>
      </c>
      <c r="K12" s="61">
        <v>0</v>
      </c>
      <c r="L12" s="61">
        <v>0</v>
      </c>
      <c r="M12" s="61">
        <v>0</v>
      </c>
      <c r="N12" s="61">
        <v>1</v>
      </c>
      <c r="O12" s="71">
        <f t="shared" si="0"/>
        <v>21</v>
      </c>
      <c r="P12" s="76">
        <f t="shared" si="1"/>
        <v>0</v>
      </c>
      <c r="Q12" s="76">
        <f t="shared" si="2"/>
        <v>20</v>
      </c>
    </row>
    <row r="13" spans="1:17" ht="18.75" customHeight="1" x14ac:dyDescent="0.25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85">
        <v>15</v>
      </c>
      <c r="G13" s="85">
        <v>0</v>
      </c>
      <c r="H13" s="85">
        <v>5</v>
      </c>
      <c r="I13" s="85">
        <v>0</v>
      </c>
      <c r="J13" s="84" t="s">
        <v>26</v>
      </c>
      <c r="K13" s="61">
        <v>0</v>
      </c>
      <c r="L13" s="61">
        <v>0</v>
      </c>
      <c r="M13" s="61">
        <v>0</v>
      </c>
      <c r="N13" s="61">
        <v>235</v>
      </c>
      <c r="O13" s="71">
        <f t="shared" si="0"/>
        <v>255</v>
      </c>
      <c r="P13" s="76">
        <f t="shared" si="1"/>
        <v>0</v>
      </c>
      <c r="Q13" s="76">
        <f t="shared" si="2"/>
        <v>20</v>
      </c>
    </row>
    <row r="14" spans="1:17" ht="18.75" customHeight="1" x14ac:dyDescent="0.25">
      <c r="A14" s="60">
        <v>6</v>
      </c>
      <c r="B14" s="19" t="s">
        <v>24</v>
      </c>
      <c r="C14" s="61">
        <v>0</v>
      </c>
      <c r="D14" s="86">
        <v>0</v>
      </c>
      <c r="E14" s="61">
        <v>0</v>
      </c>
      <c r="F14" s="85">
        <v>0</v>
      </c>
      <c r="G14" s="85">
        <v>14</v>
      </c>
      <c r="H14" s="61">
        <v>5</v>
      </c>
      <c r="I14" s="85">
        <v>0</v>
      </c>
      <c r="J14" s="84">
        <v>4</v>
      </c>
      <c r="K14" s="61">
        <v>0</v>
      </c>
      <c r="L14" s="61">
        <v>0</v>
      </c>
      <c r="M14" s="61">
        <v>5</v>
      </c>
      <c r="N14" s="61">
        <v>0</v>
      </c>
      <c r="O14" s="71">
        <f t="shared" si="0"/>
        <v>28</v>
      </c>
      <c r="P14" s="76">
        <f t="shared" si="1"/>
        <v>4</v>
      </c>
      <c r="Q14" s="76">
        <f t="shared" si="2"/>
        <v>23</v>
      </c>
    </row>
    <row r="15" spans="1:17" ht="18.75" customHeight="1" x14ac:dyDescent="0.25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85">
        <v>0</v>
      </c>
      <c r="G15" s="85" t="s">
        <v>26</v>
      </c>
      <c r="H15" s="85" t="s">
        <v>26</v>
      </c>
      <c r="I15" s="85">
        <v>0</v>
      </c>
      <c r="J15" s="84" t="s">
        <v>26</v>
      </c>
      <c r="K15" s="61">
        <v>0</v>
      </c>
      <c r="L15" s="61">
        <v>0</v>
      </c>
      <c r="M15" s="61">
        <v>2</v>
      </c>
      <c r="N15" s="61">
        <v>0</v>
      </c>
      <c r="O15" s="71">
        <f t="shared" si="0"/>
        <v>2</v>
      </c>
      <c r="P15" s="76">
        <f t="shared" si="1"/>
        <v>0</v>
      </c>
      <c r="Q15" s="76">
        <f t="shared" si="2"/>
        <v>0</v>
      </c>
    </row>
    <row r="16" spans="1:17" ht="18.75" customHeight="1" x14ac:dyDescent="0.25">
      <c r="A16" s="62">
        <v>8</v>
      </c>
      <c r="B16" s="18" t="s">
        <v>27</v>
      </c>
      <c r="C16" s="63">
        <v>0</v>
      </c>
      <c r="D16" s="63">
        <v>15</v>
      </c>
      <c r="E16" s="63">
        <v>0</v>
      </c>
      <c r="F16" s="63">
        <v>10</v>
      </c>
      <c r="G16" s="63">
        <v>0</v>
      </c>
      <c r="H16" s="87">
        <v>25</v>
      </c>
      <c r="I16" s="63">
        <v>0</v>
      </c>
      <c r="J16" s="84">
        <v>30</v>
      </c>
      <c r="K16" s="63">
        <v>1</v>
      </c>
      <c r="L16" s="63">
        <v>45</v>
      </c>
      <c r="M16" s="63">
        <v>15</v>
      </c>
      <c r="N16" s="63">
        <v>0</v>
      </c>
      <c r="O16" s="90">
        <f t="shared" si="0"/>
        <v>141</v>
      </c>
      <c r="P16" s="76">
        <f t="shared" si="1"/>
        <v>31</v>
      </c>
      <c r="Q16" s="76">
        <f t="shared" si="2"/>
        <v>66</v>
      </c>
    </row>
    <row r="17" spans="1:17" ht="18.75" customHeight="1" x14ac:dyDescent="0.25">
      <c r="A17" s="235" t="s">
        <v>28</v>
      </c>
      <c r="B17" s="236"/>
      <c r="C17" s="64">
        <f t="shared" ref="C17:P17" si="3">SUM(C9:C16)</f>
        <v>0</v>
      </c>
      <c r="D17" s="64">
        <f t="shared" si="3"/>
        <v>40</v>
      </c>
      <c r="E17" s="64">
        <f t="shared" si="3"/>
        <v>125</v>
      </c>
      <c r="F17" s="64">
        <f t="shared" si="3"/>
        <v>49</v>
      </c>
      <c r="G17" s="64">
        <f t="shared" si="3"/>
        <v>24</v>
      </c>
      <c r="H17" s="64">
        <f t="shared" si="3"/>
        <v>45</v>
      </c>
      <c r="I17" s="64">
        <f t="shared" si="3"/>
        <v>0</v>
      </c>
      <c r="J17" s="64">
        <f t="shared" si="3"/>
        <v>35</v>
      </c>
      <c r="K17" s="64">
        <f t="shared" si="3"/>
        <v>1</v>
      </c>
      <c r="L17" s="64">
        <f t="shared" si="3"/>
        <v>125</v>
      </c>
      <c r="M17" s="64">
        <f t="shared" si="3"/>
        <v>92</v>
      </c>
      <c r="N17" s="64">
        <f t="shared" si="3"/>
        <v>261</v>
      </c>
      <c r="O17" s="64">
        <f t="shared" si="3"/>
        <v>797</v>
      </c>
      <c r="P17" s="124">
        <f t="shared" si="3"/>
        <v>36</v>
      </c>
      <c r="Q17" s="76">
        <f>SUM(I9:K9)</f>
        <v>0</v>
      </c>
    </row>
    <row r="18" spans="1:17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7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7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7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7" x14ac:dyDescent="0.25">
      <c r="A22" s="65"/>
      <c r="B22" s="65"/>
      <c r="C22" s="65"/>
      <c r="D22" s="65"/>
      <c r="E22" s="65"/>
      <c r="F22" s="65"/>
      <c r="G22" s="65"/>
      <c r="H22" s="65" t="s">
        <v>30</v>
      </c>
      <c r="I22" s="65"/>
      <c r="J22" s="65"/>
      <c r="K22" s="65"/>
      <c r="L22" s="65"/>
      <c r="M22" s="65"/>
      <c r="N22" s="65"/>
      <c r="O22" s="65"/>
    </row>
    <row r="23" spans="1:17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7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7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7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7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7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7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7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7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7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7" ht="18.75" x14ac:dyDescent="0.3">
      <c r="A34" s="242" t="s">
        <v>56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</row>
    <row r="35" spans="1:17" ht="18.75" x14ac:dyDescent="0.3">
      <c r="A35" s="241" t="s">
        <v>111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7" ht="18.75" x14ac:dyDescent="0.3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1:17" x14ac:dyDescent="0.2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69" t="s">
        <v>1</v>
      </c>
    </row>
    <row r="38" spans="1:17" x14ac:dyDescent="0.25">
      <c r="A38" s="237" t="s">
        <v>2</v>
      </c>
      <c r="B38" s="237" t="s">
        <v>3</v>
      </c>
      <c r="C38" s="243" t="s">
        <v>4</v>
      </c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37" t="s">
        <v>5</v>
      </c>
    </row>
    <row r="39" spans="1:17" x14ac:dyDescent="0.25">
      <c r="A39" s="238"/>
      <c r="B39" s="238"/>
      <c r="C39" s="4" t="s">
        <v>6</v>
      </c>
      <c r="D39" s="4" t="s">
        <v>7</v>
      </c>
      <c r="E39" s="4" t="s">
        <v>8</v>
      </c>
      <c r="F39" s="4" t="s">
        <v>9</v>
      </c>
      <c r="G39" s="4" t="s">
        <v>10</v>
      </c>
      <c r="H39" s="4" t="s">
        <v>11</v>
      </c>
      <c r="I39" s="4" t="s">
        <v>12</v>
      </c>
      <c r="J39" s="4" t="s">
        <v>13</v>
      </c>
      <c r="K39" s="4" t="s">
        <v>14</v>
      </c>
      <c r="L39" s="4" t="s">
        <v>15</v>
      </c>
      <c r="M39" s="4" t="s">
        <v>16</v>
      </c>
      <c r="N39" s="4" t="s">
        <v>17</v>
      </c>
      <c r="O39" s="244"/>
    </row>
    <row r="40" spans="1:17" x14ac:dyDescent="0.25">
      <c r="A40" s="57">
        <v>1</v>
      </c>
      <c r="B40" s="57">
        <v>2</v>
      </c>
      <c r="C40" s="57">
        <v>3</v>
      </c>
      <c r="D40" s="57">
        <v>4</v>
      </c>
      <c r="E40" s="57">
        <v>5</v>
      </c>
      <c r="F40" s="57">
        <v>6</v>
      </c>
      <c r="G40" s="57">
        <v>7</v>
      </c>
      <c r="H40" s="57">
        <v>8</v>
      </c>
      <c r="I40" s="57">
        <v>9</v>
      </c>
      <c r="J40" s="57">
        <v>10</v>
      </c>
      <c r="K40" s="57">
        <v>11</v>
      </c>
      <c r="L40" s="57">
        <v>12</v>
      </c>
      <c r="M40" s="57">
        <v>13</v>
      </c>
      <c r="N40" s="57">
        <v>14</v>
      </c>
      <c r="O40" s="57">
        <v>15</v>
      </c>
    </row>
    <row r="41" spans="1:17" ht="18.75" customHeight="1" x14ac:dyDescent="0.25">
      <c r="A41" s="58">
        <v>1</v>
      </c>
      <c r="B41" s="11" t="s">
        <v>19</v>
      </c>
      <c r="C41" s="121">
        <v>0</v>
      </c>
      <c r="D41" s="59">
        <v>10</v>
      </c>
      <c r="E41" s="59">
        <v>0</v>
      </c>
      <c r="F41" s="84">
        <v>0</v>
      </c>
      <c r="G41" s="59">
        <v>0</v>
      </c>
      <c r="H41" s="84" t="s">
        <v>26</v>
      </c>
      <c r="I41" s="84" t="s">
        <v>26</v>
      </c>
      <c r="J41" s="125" t="s">
        <v>26</v>
      </c>
      <c r="K41" s="59">
        <v>0</v>
      </c>
      <c r="L41" s="59">
        <v>0</v>
      </c>
      <c r="M41" s="59">
        <v>0</v>
      </c>
      <c r="N41" s="59"/>
      <c r="O41" s="70">
        <f>SUM(C41:N41)</f>
        <v>10</v>
      </c>
      <c r="Q41" s="76">
        <f>SUM(F41:K41)</f>
        <v>0</v>
      </c>
    </row>
    <row r="42" spans="1:17" ht="18.75" customHeight="1" x14ac:dyDescent="0.25">
      <c r="A42" s="60">
        <v>2</v>
      </c>
      <c r="B42" s="15" t="s">
        <v>20</v>
      </c>
      <c r="C42" s="122">
        <v>6</v>
      </c>
      <c r="D42" s="61">
        <v>164</v>
      </c>
      <c r="E42" s="61">
        <v>0</v>
      </c>
      <c r="F42" s="85">
        <v>0</v>
      </c>
      <c r="G42" s="61">
        <v>25</v>
      </c>
      <c r="H42" s="61">
        <v>125</v>
      </c>
      <c r="I42" s="85">
        <v>0</v>
      </c>
      <c r="J42" s="126">
        <v>0</v>
      </c>
      <c r="K42" s="61">
        <v>10</v>
      </c>
      <c r="L42" s="61">
        <v>0</v>
      </c>
      <c r="M42" s="61">
        <v>1</v>
      </c>
      <c r="N42" s="61">
        <v>1</v>
      </c>
      <c r="O42" s="71">
        <f t="shared" ref="O42:O48" si="4">SUM(C42:N42)</f>
        <v>332</v>
      </c>
      <c r="Q42" s="76">
        <f t="shared" ref="Q42:Q49" si="5">SUM(F42:K42)</f>
        <v>160</v>
      </c>
    </row>
    <row r="43" spans="1:17" ht="18.75" customHeight="1" x14ac:dyDescent="0.25">
      <c r="A43" s="60">
        <v>3</v>
      </c>
      <c r="B43" s="11" t="s">
        <v>21</v>
      </c>
      <c r="C43" s="61">
        <v>15</v>
      </c>
      <c r="D43" s="61">
        <v>0</v>
      </c>
      <c r="E43" s="61">
        <v>0</v>
      </c>
      <c r="F43" s="61">
        <v>0</v>
      </c>
      <c r="G43" s="85">
        <v>0</v>
      </c>
      <c r="H43" s="61">
        <v>0</v>
      </c>
      <c r="I43" s="85">
        <v>0</v>
      </c>
      <c r="J43" s="85">
        <v>4</v>
      </c>
      <c r="K43" s="61">
        <v>0</v>
      </c>
      <c r="L43" s="61">
        <v>0</v>
      </c>
      <c r="M43" s="61">
        <v>0</v>
      </c>
      <c r="N43" s="61"/>
      <c r="O43" s="71">
        <f t="shared" si="4"/>
        <v>19</v>
      </c>
      <c r="Q43" s="76">
        <f t="shared" si="5"/>
        <v>4</v>
      </c>
    </row>
    <row r="44" spans="1:17" ht="18.75" customHeight="1" x14ac:dyDescent="0.25">
      <c r="A44" s="60">
        <v>4</v>
      </c>
      <c r="B44" s="18" t="s">
        <v>22</v>
      </c>
      <c r="C44" s="61">
        <v>10</v>
      </c>
      <c r="D44" s="61">
        <v>15</v>
      </c>
      <c r="E44" s="61">
        <v>0</v>
      </c>
      <c r="F44" s="85">
        <v>15</v>
      </c>
      <c r="G44" s="85">
        <v>0</v>
      </c>
      <c r="H44" s="85">
        <v>10</v>
      </c>
      <c r="I44" s="85" t="s">
        <v>26</v>
      </c>
      <c r="J44" s="85" t="s">
        <v>26</v>
      </c>
      <c r="K44" s="61">
        <v>10</v>
      </c>
      <c r="L44" s="61">
        <v>0</v>
      </c>
      <c r="M44" s="61">
        <v>0</v>
      </c>
      <c r="N44" s="61"/>
      <c r="O44" s="71">
        <f t="shared" si="4"/>
        <v>60</v>
      </c>
      <c r="Q44" s="76">
        <f t="shared" si="5"/>
        <v>35</v>
      </c>
    </row>
    <row r="45" spans="1:17" ht="18.75" customHeight="1" x14ac:dyDescent="0.25">
      <c r="A45" s="60">
        <v>5</v>
      </c>
      <c r="B45" s="19" t="s">
        <v>23</v>
      </c>
      <c r="C45" s="61">
        <v>0</v>
      </c>
      <c r="D45" s="61">
        <v>0</v>
      </c>
      <c r="E45" s="61">
        <v>0</v>
      </c>
      <c r="F45" s="85">
        <v>0</v>
      </c>
      <c r="G45" s="61">
        <v>0</v>
      </c>
      <c r="H45" s="85">
        <v>0</v>
      </c>
      <c r="I45" s="85">
        <v>0</v>
      </c>
      <c r="J45" s="85">
        <v>0</v>
      </c>
      <c r="K45" s="61">
        <v>5</v>
      </c>
      <c r="L45" s="61">
        <v>0</v>
      </c>
      <c r="M45" s="61">
        <v>0</v>
      </c>
      <c r="N45" s="61"/>
      <c r="O45" s="71">
        <f t="shared" si="4"/>
        <v>5</v>
      </c>
      <c r="Q45" s="76">
        <f t="shared" si="5"/>
        <v>5</v>
      </c>
    </row>
    <row r="46" spans="1:17" ht="18.75" customHeight="1" x14ac:dyDescent="0.25">
      <c r="A46" s="60">
        <v>6</v>
      </c>
      <c r="B46" s="19" t="s">
        <v>24</v>
      </c>
      <c r="C46" s="61">
        <v>0</v>
      </c>
      <c r="D46" s="61">
        <v>23</v>
      </c>
      <c r="E46" s="61">
        <v>0</v>
      </c>
      <c r="F46" s="85">
        <v>0</v>
      </c>
      <c r="G46" s="61">
        <v>0</v>
      </c>
      <c r="H46" s="61">
        <v>0</v>
      </c>
      <c r="I46" s="85">
        <v>0</v>
      </c>
      <c r="J46" s="85">
        <v>0</v>
      </c>
      <c r="K46" s="61">
        <v>5</v>
      </c>
      <c r="L46" s="61">
        <v>0</v>
      </c>
      <c r="M46" s="61">
        <v>4</v>
      </c>
      <c r="N46" s="61"/>
      <c r="O46" s="71">
        <f t="shared" si="4"/>
        <v>32</v>
      </c>
      <c r="Q46" s="76">
        <f t="shared" si="5"/>
        <v>5</v>
      </c>
    </row>
    <row r="47" spans="1:17" ht="18.75" customHeight="1" x14ac:dyDescent="0.25">
      <c r="A47" s="60">
        <v>7</v>
      </c>
      <c r="B47" s="19" t="s">
        <v>25</v>
      </c>
      <c r="C47" s="61">
        <v>0</v>
      </c>
      <c r="D47" s="61">
        <v>0</v>
      </c>
      <c r="E47" s="61">
        <v>0</v>
      </c>
      <c r="F47" s="85">
        <v>0</v>
      </c>
      <c r="G47" s="85">
        <v>0</v>
      </c>
      <c r="H47" s="85" t="s">
        <v>26</v>
      </c>
      <c r="I47" s="85" t="s">
        <v>26</v>
      </c>
      <c r="J47" s="85" t="s">
        <v>26</v>
      </c>
      <c r="K47" s="61">
        <v>0</v>
      </c>
      <c r="L47" s="61">
        <v>0</v>
      </c>
      <c r="M47" s="61">
        <v>0</v>
      </c>
      <c r="N47" s="61"/>
      <c r="O47" s="71">
        <f t="shared" si="4"/>
        <v>0</v>
      </c>
      <c r="Q47" s="76">
        <f t="shared" si="5"/>
        <v>0</v>
      </c>
    </row>
    <row r="48" spans="1:17" ht="18.75" customHeight="1" x14ac:dyDescent="0.25">
      <c r="A48" s="62">
        <v>8</v>
      </c>
      <c r="B48" s="18" t="s">
        <v>27</v>
      </c>
      <c r="C48" s="63">
        <v>49</v>
      </c>
      <c r="D48" s="63">
        <v>25</v>
      </c>
      <c r="E48" s="63">
        <v>0</v>
      </c>
      <c r="F48" s="87">
        <v>0</v>
      </c>
      <c r="G48" s="87">
        <v>15</v>
      </c>
      <c r="H48" s="63">
        <v>0</v>
      </c>
      <c r="I48" s="87">
        <v>0</v>
      </c>
      <c r="J48" s="87">
        <v>25</v>
      </c>
      <c r="K48" s="63">
        <v>0</v>
      </c>
      <c r="L48" s="63">
        <v>25</v>
      </c>
      <c r="M48" s="63">
        <v>30</v>
      </c>
      <c r="N48" s="63">
        <v>45</v>
      </c>
      <c r="O48" s="90">
        <f t="shared" si="4"/>
        <v>214</v>
      </c>
      <c r="Q48" s="76">
        <f t="shared" si="5"/>
        <v>40</v>
      </c>
    </row>
    <row r="49" spans="1:17" ht="18.75" customHeight="1" x14ac:dyDescent="0.25">
      <c r="A49" s="235" t="s">
        <v>28</v>
      </c>
      <c r="B49" s="236"/>
      <c r="C49" s="64">
        <f t="shared" ref="C49:O49" si="6">SUM(C41:C48)</f>
        <v>80</v>
      </c>
      <c r="D49" s="64">
        <f t="shared" si="6"/>
        <v>237</v>
      </c>
      <c r="E49" s="64">
        <f t="shared" si="6"/>
        <v>0</v>
      </c>
      <c r="F49" s="64">
        <f t="shared" si="6"/>
        <v>15</v>
      </c>
      <c r="G49" s="64">
        <f t="shared" si="6"/>
        <v>40</v>
      </c>
      <c r="H49" s="64">
        <f t="shared" si="6"/>
        <v>135</v>
      </c>
      <c r="I49" s="64">
        <f t="shared" si="6"/>
        <v>0</v>
      </c>
      <c r="J49" s="64">
        <f t="shared" si="6"/>
        <v>29</v>
      </c>
      <c r="K49" s="64">
        <f t="shared" si="6"/>
        <v>30</v>
      </c>
      <c r="L49" s="64">
        <f t="shared" si="6"/>
        <v>25</v>
      </c>
      <c r="M49" s="64">
        <f t="shared" si="6"/>
        <v>35</v>
      </c>
      <c r="N49" s="64">
        <f t="shared" si="6"/>
        <v>46</v>
      </c>
      <c r="O49" s="64">
        <f t="shared" si="6"/>
        <v>672</v>
      </c>
      <c r="Q49" s="76">
        <f t="shared" si="5"/>
        <v>249</v>
      </c>
    </row>
    <row r="50" spans="1:17" x14ac:dyDescent="0.25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67" spans="1:17" ht="18.75" x14ac:dyDescent="0.3">
      <c r="A67" s="242" t="s">
        <v>57</v>
      </c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</row>
    <row r="68" spans="1:17" ht="18.75" x14ac:dyDescent="0.3">
      <c r="A68" s="241" t="s">
        <v>111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7" ht="18.75" x14ac:dyDescent="0.3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</row>
    <row r="70" spans="1:17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69" t="s">
        <v>40</v>
      </c>
    </row>
    <row r="71" spans="1:17" x14ac:dyDescent="0.25">
      <c r="A71" s="237" t="s">
        <v>2</v>
      </c>
      <c r="B71" s="237" t="s">
        <v>3</v>
      </c>
      <c r="C71" s="243" t="s">
        <v>4</v>
      </c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37" t="s">
        <v>5</v>
      </c>
    </row>
    <row r="72" spans="1:17" x14ac:dyDescent="0.25">
      <c r="A72" s="238"/>
      <c r="B72" s="238"/>
      <c r="C72" s="4" t="s">
        <v>6</v>
      </c>
      <c r="D72" s="4" t="s">
        <v>7</v>
      </c>
      <c r="E72" s="4" t="s">
        <v>8</v>
      </c>
      <c r="F72" s="4" t="s">
        <v>9</v>
      </c>
      <c r="G72" s="4" t="s">
        <v>10</v>
      </c>
      <c r="H72" s="4" t="s">
        <v>11</v>
      </c>
      <c r="I72" s="4" t="s">
        <v>12</v>
      </c>
      <c r="J72" s="4" t="s">
        <v>13</v>
      </c>
      <c r="K72" s="4" t="s">
        <v>14</v>
      </c>
      <c r="L72" s="4" t="s">
        <v>15</v>
      </c>
      <c r="M72" s="4" t="s">
        <v>16</v>
      </c>
      <c r="N72" s="4" t="s">
        <v>17</v>
      </c>
      <c r="O72" s="244"/>
    </row>
    <row r="73" spans="1:17" x14ac:dyDescent="0.25">
      <c r="A73" s="57">
        <v>1</v>
      </c>
      <c r="B73" s="57">
        <v>2</v>
      </c>
      <c r="C73" s="57">
        <v>3</v>
      </c>
      <c r="D73" s="57">
        <v>4</v>
      </c>
      <c r="E73" s="57">
        <v>5</v>
      </c>
      <c r="F73" s="57">
        <v>6</v>
      </c>
      <c r="G73" s="57">
        <v>7</v>
      </c>
      <c r="H73" s="57">
        <v>8</v>
      </c>
      <c r="I73" s="57">
        <v>9</v>
      </c>
      <c r="J73" s="57">
        <v>10</v>
      </c>
      <c r="K73" s="57">
        <v>11</v>
      </c>
      <c r="L73" s="57">
        <v>12</v>
      </c>
      <c r="M73" s="57">
        <v>13</v>
      </c>
      <c r="N73" s="57">
        <v>14</v>
      </c>
      <c r="O73" s="57">
        <v>15</v>
      </c>
    </row>
    <row r="74" spans="1:17" ht="18.75" customHeight="1" x14ac:dyDescent="0.25">
      <c r="A74" s="58">
        <v>1</v>
      </c>
      <c r="B74" s="11" t="s">
        <v>19</v>
      </c>
      <c r="C74" s="127">
        <v>0</v>
      </c>
      <c r="D74" s="91">
        <v>12</v>
      </c>
      <c r="E74" s="91">
        <v>0</v>
      </c>
      <c r="F74" s="95">
        <v>0</v>
      </c>
      <c r="G74" s="91">
        <v>0</v>
      </c>
      <c r="H74" s="95" t="s">
        <v>26</v>
      </c>
      <c r="I74" s="95" t="s">
        <v>26</v>
      </c>
      <c r="J74" s="125" t="s">
        <v>26</v>
      </c>
      <c r="K74" s="91">
        <v>0</v>
      </c>
      <c r="L74" s="59">
        <v>0</v>
      </c>
      <c r="M74" s="59">
        <v>0</v>
      </c>
      <c r="N74" s="91"/>
      <c r="O74" s="88">
        <f>SUM(C74:N74)</f>
        <v>12</v>
      </c>
      <c r="Q74" s="76">
        <f>SUM(F74:K74)</f>
        <v>0</v>
      </c>
    </row>
    <row r="75" spans="1:17" ht="18.75" customHeight="1" x14ac:dyDescent="0.25">
      <c r="A75" s="60">
        <v>2</v>
      </c>
      <c r="B75" s="15" t="s">
        <v>20</v>
      </c>
      <c r="C75" s="123">
        <v>7.2</v>
      </c>
      <c r="D75" s="86">
        <v>196.8</v>
      </c>
      <c r="E75" s="86">
        <v>0</v>
      </c>
      <c r="F75" s="100">
        <v>0</v>
      </c>
      <c r="G75" s="86">
        <v>30</v>
      </c>
      <c r="H75" s="86">
        <v>150</v>
      </c>
      <c r="I75" s="100">
        <v>0</v>
      </c>
      <c r="J75" s="230">
        <v>0</v>
      </c>
      <c r="K75" s="86">
        <v>120</v>
      </c>
      <c r="L75" s="61">
        <v>0</v>
      </c>
      <c r="M75" s="61">
        <v>12</v>
      </c>
      <c r="N75" s="86">
        <v>12</v>
      </c>
      <c r="O75" s="89">
        <f t="shared" ref="O75:O78" si="7">SUM(C75:N75)</f>
        <v>528</v>
      </c>
      <c r="Q75" s="76">
        <f t="shared" ref="Q75:Q82" si="8">SUM(F75:K75)</f>
        <v>300</v>
      </c>
    </row>
    <row r="76" spans="1:17" ht="18.75" customHeight="1" x14ac:dyDescent="0.25">
      <c r="A76" s="60">
        <v>3</v>
      </c>
      <c r="B76" s="11" t="s">
        <v>21</v>
      </c>
      <c r="C76" s="86">
        <v>18</v>
      </c>
      <c r="D76" s="86">
        <v>0</v>
      </c>
      <c r="E76" s="86">
        <v>0</v>
      </c>
      <c r="F76" s="86">
        <v>0</v>
      </c>
      <c r="G76" s="100">
        <v>0</v>
      </c>
      <c r="H76" s="100">
        <v>0</v>
      </c>
      <c r="I76" s="100">
        <v>0</v>
      </c>
      <c r="J76" s="85">
        <v>4.8</v>
      </c>
      <c r="K76" s="86">
        <v>0</v>
      </c>
      <c r="L76" s="86">
        <v>0</v>
      </c>
      <c r="M76" s="61">
        <v>0</v>
      </c>
      <c r="N76" s="86"/>
      <c r="O76" s="89">
        <f t="shared" si="7"/>
        <v>22.8</v>
      </c>
      <c r="Q76" s="76">
        <f t="shared" si="8"/>
        <v>4.8</v>
      </c>
    </row>
    <row r="77" spans="1:17" ht="18.75" customHeight="1" x14ac:dyDescent="0.25">
      <c r="A77" s="60">
        <v>4</v>
      </c>
      <c r="B77" s="18" t="s">
        <v>22</v>
      </c>
      <c r="C77" s="86">
        <v>12</v>
      </c>
      <c r="D77" s="86">
        <v>18</v>
      </c>
      <c r="E77" s="86">
        <v>0</v>
      </c>
      <c r="F77" s="100">
        <v>18</v>
      </c>
      <c r="G77" s="100">
        <v>0</v>
      </c>
      <c r="H77" s="100">
        <v>12</v>
      </c>
      <c r="I77" s="100" t="s">
        <v>26</v>
      </c>
      <c r="J77" s="85">
        <v>0</v>
      </c>
      <c r="K77" s="86">
        <v>12</v>
      </c>
      <c r="L77" s="86">
        <v>0</v>
      </c>
      <c r="M77" s="61">
        <v>2</v>
      </c>
      <c r="N77" s="86"/>
      <c r="O77" s="89">
        <f t="shared" si="7"/>
        <v>74</v>
      </c>
      <c r="Q77" s="76">
        <f t="shared" si="8"/>
        <v>42</v>
      </c>
    </row>
    <row r="78" spans="1:17" ht="18.75" customHeight="1" x14ac:dyDescent="0.25">
      <c r="A78" s="60">
        <v>5</v>
      </c>
      <c r="B78" s="19" t="s">
        <v>23</v>
      </c>
      <c r="C78" s="86">
        <v>0</v>
      </c>
      <c r="D78" s="86">
        <v>0</v>
      </c>
      <c r="E78" s="86">
        <v>0</v>
      </c>
      <c r="F78" s="100">
        <v>0</v>
      </c>
      <c r="G78" s="86">
        <v>0</v>
      </c>
      <c r="H78" s="100">
        <v>0</v>
      </c>
      <c r="I78" s="100">
        <v>0</v>
      </c>
      <c r="J78" s="85">
        <v>0</v>
      </c>
      <c r="K78" s="86">
        <v>6</v>
      </c>
      <c r="L78" s="86">
        <v>0</v>
      </c>
      <c r="M78" s="61">
        <v>1</v>
      </c>
      <c r="N78" s="86"/>
      <c r="O78" s="89">
        <f t="shared" si="7"/>
        <v>7</v>
      </c>
      <c r="Q78" s="76">
        <f t="shared" si="8"/>
        <v>6</v>
      </c>
    </row>
    <row r="79" spans="1:17" ht="18.75" customHeight="1" x14ac:dyDescent="0.25">
      <c r="A79" s="60">
        <v>6</v>
      </c>
      <c r="B79" s="19" t="s">
        <v>24</v>
      </c>
      <c r="C79" s="86">
        <v>0</v>
      </c>
      <c r="D79" s="86">
        <v>27.6</v>
      </c>
      <c r="E79" s="86">
        <v>0</v>
      </c>
      <c r="F79" s="100">
        <v>0</v>
      </c>
      <c r="G79" s="86">
        <v>0</v>
      </c>
      <c r="H79" s="86">
        <v>0</v>
      </c>
      <c r="I79" s="100">
        <v>0</v>
      </c>
      <c r="J79" s="100">
        <v>0</v>
      </c>
      <c r="K79" s="86">
        <v>6</v>
      </c>
      <c r="L79" s="86">
        <v>0</v>
      </c>
      <c r="M79" s="61">
        <v>4.8</v>
      </c>
      <c r="N79" s="86"/>
      <c r="O79" s="89">
        <f>SUM(C79:N79)</f>
        <v>38.4</v>
      </c>
      <c r="Q79" s="76">
        <f t="shared" si="8"/>
        <v>6</v>
      </c>
    </row>
    <row r="80" spans="1:17" ht="18.75" customHeight="1" x14ac:dyDescent="0.25">
      <c r="A80" s="60">
        <v>7</v>
      </c>
      <c r="B80" s="19" t="s">
        <v>25</v>
      </c>
      <c r="C80" s="86">
        <v>0</v>
      </c>
      <c r="D80" s="86">
        <v>0</v>
      </c>
      <c r="E80" s="86">
        <v>0</v>
      </c>
      <c r="F80" s="100">
        <v>0</v>
      </c>
      <c r="G80" s="100">
        <v>0</v>
      </c>
      <c r="H80" s="100">
        <v>0</v>
      </c>
      <c r="I80" s="100" t="s">
        <v>26</v>
      </c>
      <c r="J80" s="85" t="s">
        <v>26</v>
      </c>
      <c r="K80" s="86">
        <v>0</v>
      </c>
      <c r="L80" s="86">
        <v>0</v>
      </c>
      <c r="M80" s="61">
        <v>0</v>
      </c>
      <c r="N80" s="86"/>
      <c r="O80" s="89">
        <f>SUM(C80:N80)</f>
        <v>0</v>
      </c>
      <c r="Q80" s="76">
        <f t="shared" si="8"/>
        <v>0</v>
      </c>
    </row>
    <row r="81" spans="1:18" ht="18.75" customHeight="1" x14ac:dyDescent="0.25">
      <c r="A81" s="62">
        <v>8</v>
      </c>
      <c r="B81" s="18" t="s">
        <v>27</v>
      </c>
      <c r="C81" s="72">
        <v>48</v>
      </c>
      <c r="D81" s="72">
        <v>30</v>
      </c>
      <c r="E81" s="72">
        <v>0</v>
      </c>
      <c r="F81" s="66">
        <v>0</v>
      </c>
      <c r="G81" s="66">
        <v>18</v>
      </c>
      <c r="H81" s="72">
        <v>0</v>
      </c>
      <c r="I81" s="66">
        <v>0</v>
      </c>
      <c r="J81" s="72">
        <v>30</v>
      </c>
      <c r="K81" s="72">
        <v>0</v>
      </c>
      <c r="L81" s="72">
        <v>30</v>
      </c>
      <c r="M81" s="72">
        <v>36</v>
      </c>
      <c r="N81" s="72">
        <v>54</v>
      </c>
      <c r="O81" s="73">
        <f>SUM(C81:N81)</f>
        <v>246</v>
      </c>
      <c r="Q81" s="76">
        <f t="shared" si="8"/>
        <v>48</v>
      </c>
    </row>
    <row r="82" spans="1:18" ht="18.75" customHeight="1" x14ac:dyDescent="0.25">
      <c r="A82" s="235" t="s">
        <v>28</v>
      </c>
      <c r="B82" s="236"/>
      <c r="C82" s="67">
        <f t="shared" ref="C82:N82" si="9">SUM(C74:C81)</f>
        <v>85.2</v>
      </c>
      <c r="D82" s="67">
        <f t="shared" si="9"/>
        <v>284.39999999999998</v>
      </c>
      <c r="E82" s="67">
        <f t="shared" si="9"/>
        <v>0</v>
      </c>
      <c r="F82" s="67">
        <f t="shared" si="9"/>
        <v>18</v>
      </c>
      <c r="G82" s="67">
        <f t="shared" si="9"/>
        <v>48</v>
      </c>
      <c r="H82" s="67">
        <f t="shared" si="9"/>
        <v>162</v>
      </c>
      <c r="I82" s="67">
        <f t="shared" si="9"/>
        <v>0</v>
      </c>
      <c r="J82" s="67">
        <f t="shared" si="9"/>
        <v>34.799999999999997</v>
      </c>
      <c r="K82" s="67">
        <f t="shared" si="9"/>
        <v>144</v>
      </c>
      <c r="L82" s="67">
        <f t="shared" si="9"/>
        <v>30</v>
      </c>
      <c r="M82" s="67">
        <f>SUM(M74:M81)</f>
        <v>55.8</v>
      </c>
      <c r="N82" s="67">
        <f t="shared" si="9"/>
        <v>66</v>
      </c>
      <c r="O82" s="67">
        <f>SUM(O74:O81)</f>
        <v>928.19999999999993</v>
      </c>
      <c r="P82" s="83">
        <f>O82/0.32</f>
        <v>2900.6249999999995</v>
      </c>
      <c r="Q82" s="76">
        <f t="shared" si="8"/>
        <v>406.8</v>
      </c>
      <c r="R82" s="76">
        <f>O82/0.32</f>
        <v>2900.6249999999995</v>
      </c>
    </row>
    <row r="83" spans="1:18" x14ac:dyDescent="0.25">
      <c r="A83" s="65"/>
      <c r="B83" s="65"/>
      <c r="C83" s="128"/>
      <c r="D83" s="65"/>
      <c r="E83" s="65"/>
      <c r="F83" s="128"/>
      <c r="G83" s="65"/>
      <c r="H83" s="65"/>
      <c r="I83" s="128"/>
      <c r="J83" s="65"/>
      <c r="K83" s="65"/>
      <c r="L83" s="128"/>
      <c r="M83" s="65"/>
      <c r="N83" s="65"/>
      <c r="O83" s="65"/>
    </row>
    <row r="97" spans="1:19" x14ac:dyDescent="0.25">
      <c r="A97" s="76">
        <f>-J9</f>
        <v>0</v>
      </c>
    </row>
    <row r="100" spans="1:19" ht="18.75" x14ac:dyDescent="0.3">
      <c r="A100" s="242" t="s">
        <v>58</v>
      </c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</row>
    <row r="101" spans="1:19" ht="18.75" x14ac:dyDescent="0.3">
      <c r="A101" s="241" t="s">
        <v>111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9" ht="18.75" x14ac:dyDescent="0.3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</row>
    <row r="103" spans="1:19" x14ac:dyDescent="0.2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69" t="s">
        <v>34</v>
      </c>
    </row>
    <row r="104" spans="1:19" x14ac:dyDescent="0.25">
      <c r="A104" s="237" t="s">
        <v>2</v>
      </c>
      <c r="B104" s="237" t="s">
        <v>3</v>
      </c>
      <c r="C104" s="243" t="s">
        <v>4</v>
      </c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37" t="s">
        <v>5</v>
      </c>
    </row>
    <row r="105" spans="1:19" x14ac:dyDescent="0.25">
      <c r="A105" s="238"/>
      <c r="B105" s="238"/>
      <c r="C105" s="4" t="s">
        <v>6</v>
      </c>
      <c r="D105" s="4" t="s">
        <v>7</v>
      </c>
      <c r="E105" s="4" t="s">
        <v>8</v>
      </c>
      <c r="F105" s="4" t="s">
        <v>9</v>
      </c>
      <c r="G105" s="4" t="s">
        <v>10</v>
      </c>
      <c r="H105" s="4" t="s">
        <v>11</v>
      </c>
      <c r="I105" s="4" t="s">
        <v>12</v>
      </c>
      <c r="J105" s="4" t="s">
        <v>13</v>
      </c>
      <c r="K105" s="4" t="s">
        <v>14</v>
      </c>
      <c r="L105" s="4" t="s">
        <v>15</v>
      </c>
      <c r="M105" s="4" t="s">
        <v>16</v>
      </c>
      <c r="N105" s="4" t="s">
        <v>17</v>
      </c>
      <c r="O105" s="244"/>
    </row>
    <row r="106" spans="1:19" x14ac:dyDescent="0.25">
      <c r="A106" s="57">
        <v>1</v>
      </c>
      <c r="B106" s="57">
        <v>2</v>
      </c>
      <c r="C106" s="57">
        <v>3</v>
      </c>
      <c r="D106" s="57">
        <v>4</v>
      </c>
      <c r="E106" s="57">
        <v>5</v>
      </c>
      <c r="F106" s="57">
        <v>6</v>
      </c>
      <c r="G106" s="57">
        <v>7</v>
      </c>
      <c r="H106" s="57">
        <v>8</v>
      </c>
      <c r="I106" s="57">
        <v>9</v>
      </c>
      <c r="J106" s="57">
        <v>10</v>
      </c>
      <c r="K106" s="57">
        <v>11</v>
      </c>
      <c r="L106" s="57">
        <v>12</v>
      </c>
      <c r="M106" s="57">
        <v>13</v>
      </c>
      <c r="N106" s="57">
        <v>14</v>
      </c>
      <c r="O106" s="57">
        <v>15</v>
      </c>
    </row>
    <row r="107" spans="1:19" ht="18.75" customHeight="1" x14ac:dyDescent="0.25">
      <c r="A107" s="58">
        <v>1</v>
      </c>
      <c r="B107" s="11" t="s">
        <v>19</v>
      </c>
      <c r="C107" s="129">
        <v>0</v>
      </c>
      <c r="D107" s="77">
        <v>12</v>
      </c>
      <c r="E107" s="77">
        <v>0</v>
      </c>
      <c r="F107" s="77">
        <v>0</v>
      </c>
      <c r="G107" s="77">
        <v>0</v>
      </c>
      <c r="H107" s="102" t="s">
        <v>26</v>
      </c>
      <c r="I107" s="102" t="s">
        <v>26</v>
      </c>
      <c r="J107" s="125" t="s">
        <v>26</v>
      </c>
      <c r="K107" s="77">
        <v>0</v>
      </c>
      <c r="L107" s="77">
        <v>0</v>
      </c>
      <c r="M107" s="121">
        <v>0</v>
      </c>
      <c r="N107" s="77"/>
      <c r="O107" s="81">
        <f t="shared" ref="O107:O112" si="10">O74/O41*10</f>
        <v>12</v>
      </c>
      <c r="Q107" s="83">
        <f>O107/0.32</f>
        <v>37.5</v>
      </c>
      <c r="R107" s="136">
        <f>E107/0.32</f>
        <v>0</v>
      </c>
      <c r="S107">
        <f>R107*0.53</f>
        <v>0</v>
      </c>
    </row>
    <row r="108" spans="1:19" ht="18.75" customHeight="1" x14ac:dyDescent="0.25">
      <c r="A108" s="60">
        <v>2</v>
      </c>
      <c r="B108" s="15" t="s">
        <v>20</v>
      </c>
      <c r="C108" s="130">
        <v>12</v>
      </c>
      <c r="D108" s="78">
        <v>12</v>
      </c>
      <c r="E108" s="78">
        <v>0</v>
      </c>
      <c r="F108" s="78">
        <v>0</v>
      </c>
      <c r="G108" s="78">
        <v>12</v>
      </c>
      <c r="H108" s="78">
        <v>12</v>
      </c>
      <c r="I108" s="103">
        <v>0</v>
      </c>
      <c r="J108" s="231">
        <v>0</v>
      </c>
      <c r="K108" s="78">
        <v>12</v>
      </c>
      <c r="L108" s="78">
        <v>0</v>
      </c>
      <c r="M108" s="130">
        <v>12</v>
      </c>
      <c r="N108" s="78">
        <v>12</v>
      </c>
      <c r="O108" s="82">
        <f t="shared" si="10"/>
        <v>15.903614457831326</v>
      </c>
      <c r="Q108" s="83">
        <f t="shared" ref="Q108:Q114" si="11">O108/0.32</f>
        <v>49.69879518072289</v>
      </c>
      <c r="R108" s="136">
        <f t="shared" ref="R108:R114" si="12">E108/0.32</f>
        <v>0</v>
      </c>
      <c r="S108">
        <f t="shared" ref="S108:S114" si="13">R108*0.53</f>
        <v>0</v>
      </c>
    </row>
    <row r="109" spans="1:19" ht="18.75" customHeight="1" x14ac:dyDescent="0.25">
      <c r="A109" s="60">
        <v>3</v>
      </c>
      <c r="B109" s="11" t="s">
        <v>21</v>
      </c>
      <c r="C109" s="78">
        <v>12</v>
      </c>
      <c r="D109" s="78">
        <v>0</v>
      </c>
      <c r="E109" s="78">
        <v>0</v>
      </c>
      <c r="F109" s="78">
        <v>0</v>
      </c>
      <c r="G109" s="103">
        <v>0</v>
      </c>
      <c r="H109" s="78">
        <v>0</v>
      </c>
      <c r="I109" s="103">
        <v>0</v>
      </c>
      <c r="J109" s="103">
        <v>12</v>
      </c>
      <c r="K109" s="78">
        <v>12</v>
      </c>
      <c r="L109" s="78">
        <v>0</v>
      </c>
      <c r="M109" s="61">
        <v>0</v>
      </c>
      <c r="N109" s="78"/>
      <c r="O109" s="82">
        <f t="shared" si="10"/>
        <v>12</v>
      </c>
      <c r="Q109" s="83">
        <f t="shared" si="11"/>
        <v>37.5</v>
      </c>
      <c r="R109" s="136">
        <f t="shared" si="12"/>
        <v>0</v>
      </c>
      <c r="S109">
        <f t="shared" si="13"/>
        <v>0</v>
      </c>
    </row>
    <row r="110" spans="1:19" ht="18.75" customHeight="1" x14ac:dyDescent="0.25">
      <c r="A110" s="60">
        <v>4</v>
      </c>
      <c r="B110" s="18" t="s">
        <v>22</v>
      </c>
      <c r="C110" s="78">
        <v>12</v>
      </c>
      <c r="D110" s="78">
        <v>12</v>
      </c>
      <c r="E110" s="78">
        <v>0</v>
      </c>
      <c r="F110" s="78">
        <v>12</v>
      </c>
      <c r="G110" s="103">
        <v>0</v>
      </c>
      <c r="H110" s="103">
        <v>12</v>
      </c>
      <c r="I110" s="103">
        <v>0</v>
      </c>
      <c r="J110" s="85" t="s">
        <v>26</v>
      </c>
      <c r="K110" s="78">
        <v>0</v>
      </c>
      <c r="L110" s="78">
        <v>0</v>
      </c>
      <c r="M110" s="61">
        <v>0</v>
      </c>
      <c r="N110" s="78"/>
      <c r="O110" s="82">
        <f t="shared" si="10"/>
        <v>12.333333333333334</v>
      </c>
      <c r="Q110" s="83">
        <f t="shared" si="11"/>
        <v>38.541666666666664</v>
      </c>
      <c r="R110" s="136">
        <f t="shared" si="12"/>
        <v>0</v>
      </c>
      <c r="S110">
        <f t="shared" si="13"/>
        <v>0</v>
      </c>
    </row>
    <row r="111" spans="1:19" ht="18.75" customHeight="1" x14ac:dyDescent="0.25">
      <c r="A111" s="60">
        <v>5</v>
      </c>
      <c r="B111" s="19" t="s">
        <v>23</v>
      </c>
      <c r="C111" s="78">
        <v>0</v>
      </c>
      <c r="D111" s="78">
        <v>0</v>
      </c>
      <c r="E111" s="78">
        <v>0</v>
      </c>
      <c r="F111" s="78">
        <v>0</v>
      </c>
      <c r="G111" s="78">
        <v>0</v>
      </c>
      <c r="H111" s="103">
        <v>0</v>
      </c>
      <c r="I111" s="103">
        <v>0</v>
      </c>
      <c r="J111" s="103">
        <v>0</v>
      </c>
      <c r="K111" s="78">
        <v>12</v>
      </c>
      <c r="L111" s="78">
        <v>0</v>
      </c>
      <c r="M111" s="61">
        <v>0</v>
      </c>
      <c r="N111" s="78"/>
      <c r="O111" s="82">
        <f t="shared" si="10"/>
        <v>14</v>
      </c>
      <c r="Q111" s="83">
        <f t="shared" si="11"/>
        <v>43.75</v>
      </c>
      <c r="R111" s="136">
        <f t="shared" si="12"/>
        <v>0</v>
      </c>
      <c r="S111">
        <f t="shared" si="13"/>
        <v>0</v>
      </c>
    </row>
    <row r="112" spans="1:19" ht="18.75" customHeight="1" x14ac:dyDescent="0.25">
      <c r="A112" s="60">
        <v>6</v>
      </c>
      <c r="B112" s="19" t="s">
        <v>24</v>
      </c>
      <c r="C112" s="78">
        <v>0</v>
      </c>
      <c r="D112" s="78">
        <v>12</v>
      </c>
      <c r="E112" s="78">
        <v>0</v>
      </c>
      <c r="F112" s="78">
        <v>0</v>
      </c>
      <c r="G112" s="78">
        <v>0</v>
      </c>
      <c r="H112" s="78">
        <v>0</v>
      </c>
      <c r="I112" s="103">
        <v>0</v>
      </c>
      <c r="J112" s="103">
        <v>0</v>
      </c>
      <c r="K112" s="78">
        <v>12</v>
      </c>
      <c r="L112" s="78">
        <v>0</v>
      </c>
      <c r="M112" s="78">
        <v>12</v>
      </c>
      <c r="N112" s="78"/>
      <c r="O112" s="82">
        <f t="shared" si="10"/>
        <v>12</v>
      </c>
      <c r="Q112" s="83">
        <f t="shared" si="11"/>
        <v>37.5</v>
      </c>
      <c r="R112" s="136">
        <f t="shared" si="12"/>
        <v>0</v>
      </c>
      <c r="S112">
        <f t="shared" si="13"/>
        <v>0</v>
      </c>
    </row>
    <row r="113" spans="1:19" ht="18.75" customHeight="1" x14ac:dyDescent="0.25">
      <c r="A113" s="60">
        <v>7</v>
      </c>
      <c r="B113" s="19" t="s">
        <v>25</v>
      </c>
      <c r="C113" s="78">
        <v>0</v>
      </c>
      <c r="D113" s="78">
        <v>0</v>
      </c>
      <c r="E113" s="78">
        <v>0</v>
      </c>
      <c r="F113" s="78">
        <v>0</v>
      </c>
      <c r="G113" s="103">
        <v>0</v>
      </c>
      <c r="H113" s="103" t="s">
        <v>26</v>
      </c>
      <c r="I113" s="103">
        <v>0</v>
      </c>
      <c r="J113" s="85">
        <v>0</v>
      </c>
      <c r="K113" s="78">
        <v>0</v>
      </c>
      <c r="L113" s="78">
        <v>0</v>
      </c>
      <c r="M113" s="61">
        <v>0</v>
      </c>
      <c r="N113" s="78"/>
      <c r="O113" s="82" t="e">
        <f>O80/O47*10</f>
        <v>#DIV/0!</v>
      </c>
      <c r="Q113" s="83" t="e">
        <f t="shared" si="11"/>
        <v>#DIV/0!</v>
      </c>
      <c r="R113" s="136">
        <f t="shared" si="12"/>
        <v>0</v>
      </c>
      <c r="S113">
        <f t="shared" si="13"/>
        <v>0</v>
      </c>
    </row>
    <row r="114" spans="1:19" ht="18.75" customHeight="1" x14ac:dyDescent="0.25">
      <c r="A114" s="62">
        <v>8</v>
      </c>
      <c r="B114" s="18" t="s">
        <v>27</v>
      </c>
      <c r="C114" s="79">
        <v>12</v>
      </c>
      <c r="D114" s="79">
        <v>12</v>
      </c>
      <c r="E114" s="79">
        <v>0</v>
      </c>
      <c r="F114" s="79">
        <v>0</v>
      </c>
      <c r="G114" s="105">
        <v>12</v>
      </c>
      <c r="H114" s="79">
        <v>0</v>
      </c>
      <c r="I114" s="105">
        <v>0</v>
      </c>
      <c r="J114" s="79">
        <v>12</v>
      </c>
      <c r="K114" s="79">
        <v>0</v>
      </c>
      <c r="L114" s="79">
        <v>12</v>
      </c>
      <c r="M114" s="79">
        <v>12</v>
      </c>
      <c r="N114" s="79">
        <v>12</v>
      </c>
      <c r="O114" s="132">
        <f>O81/O48*10</f>
        <v>11.495327102803738</v>
      </c>
      <c r="Q114" s="83">
        <f t="shared" si="11"/>
        <v>35.92289719626168</v>
      </c>
      <c r="R114" s="136">
        <f t="shared" si="12"/>
        <v>0</v>
      </c>
      <c r="S114">
        <f t="shared" si="13"/>
        <v>0</v>
      </c>
    </row>
    <row r="115" spans="1:19" ht="18.75" customHeight="1" x14ac:dyDescent="0.25">
      <c r="A115" s="235" t="s">
        <v>28</v>
      </c>
      <c r="B115" s="236"/>
      <c r="C115" s="131">
        <f t="shared" ref="C115:I115" si="14">C82/C49*10</f>
        <v>10.649999999999999</v>
      </c>
      <c r="D115" s="131">
        <f>D82/D49*10</f>
        <v>12</v>
      </c>
      <c r="E115" s="131" t="e">
        <f t="shared" si="14"/>
        <v>#DIV/0!</v>
      </c>
      <c r="F115" s="131">
        <f t="shared" si="14"/>
        <v>12</v>
      </c>
      <c r="G115" s="131">
        <f t="shared" si="14"/>
        <v>12</v>
      </c>
      <c r="H115" s="131">
        <f t="shared" si="14"/>
        <v>12</v>
      </c>
      <c r="I115" s="131" t="e">
        <f t="shared" si="14"/>
        <v>#DIV/0!</v>
      </c>
      <c r="J115" s="131">
        <f>SUM(J107:J114)</f>
        <v>24</v>
      </c>
      <c r="K115" s="131">
        <f>K82/K49*10</f>
        <v>48</v>
      </c>
      <c r="L115" s="131">
        <f>L82/L49*10</f>
        <v>12</v>
      </c>
      <c r="M115" s="131">
        <f>SUM(M107:M114)</f>
        <v>36</v>
      </c>
      <c r="N115" s="131">
        <f>N82/N49*10</f>
        <v>14.347826086956522</v>
      </c>
      <c r="O115" s="133">
        <f>O82/O49*10</f>
        <v>13.812499999999998</v>
      </c>
      <c r="P115" s="134">
        <f>O115/0.32</f>
        <v>43.164062499999993</v>
      </c>
      <c r="Q115">
        <v>0</v>
      </c>
      <c r="R115">
        <f>O115/0.32</f>
        <v>43.164062499999993</v>
      </c>
    </row>
    <row r="116" spans="1:19" x14ac:dyDescent="0.25">
      <c r="D116" s="83"/>
      <c r="H116" s="83"/>
    </row>
    <row r="117" spans="1:19" x14ac:dyDescent="0.25">
      <c r="K117" s="135"/>
    </row>
    <row r="118" spans="1:19" x14ac:dyDescent="0.25">
      <c r="L118" s="65"/>
    </row>
    <row r="119" spans="1:19" x14ac:dyDescent="0.25">
      <c r="L119" s="65"/>
    </row>
    <row r="120" spans="1:19" ht="44.25" customHeight="1" x14ac:dyDescent="0.25">
      <c r="L120" s="65"/>
    </row>
  </sheetData>
  <mergeCells count="28">
    <mergeCell ref="A2:O2"/>
    <mergeCell ref="A3:O3"/>
    <mergeCell ref="C6:N6"/>
    <mergeCell ref="A17:B17"/>
    <mergeCell ref="A34:O34"/>
    <mergeCell ref="O6:O7"/>
    <mergeCell ref="A82:B82"/>
    <mergeCell ref="A100:O100"/>
    <mergeCell ref="A101:O101"/>
    <mergeCell ref="C104:N104"/>
    <mergeCell ref="O71:O72"/>
    <mergeCell ref="O104:O105"/>
    <mergeCell ref="A115:B115"/>
    <mergeCell ref="A6:A7"/>
    <mergeCell ref="A38:A39"/>
    <mergeCell ref="A71:A72"/>
    <mergeCell ref="A104:A105"/>
    <mergeCell ref="B6:B7"/>
    <mergeCell ref="B38:B39"/>
    <mergeCell ref="B71:B72"/>
    <mergeCell ref="B104:B105"/>
    <mergeCell ref="A35:O35"/>
    <mergeCell ref="C38:N38"/>
    <mergeCell ref="A49:B49"/>
    <mergeCell ref="A67:O67"/>
    <mergeCell ref="A68:O68"/>
    <mergeCell ref="O38:O39"/>
    <mergeCell ref="C71:N71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22"/>
  <sheetViews>
    <sheetView topLeftCell="A69" zoomScale="90" zoomScaleNormal="90" workbookViewId="0">
      <selection activeCell="N88" sqref="N88"/>
    </sheetView>
  </sheetViews>
  <sheetFormatPr defaultColWidth="9" defaultRowHeight="15" x14ac:dyDescent="0.25"/>
  <cols>
    <col min="1" max="1" width="4" customWidth="1"/>
    <col min="2" max="2" width="15" customWidth="1"/>
    <col min="3" max="5" width="8.5703125" customWidth="1"/>
    <col min="6" max="6" width="8.42578125" customWidth="1"/>
    <col min="7" max="15" width="8.5703125" customWidth="1"/>
  </cols>
  <sheetData>
    <row r="2" spans="1:15" ht="18.75" x14ac:dyDescent="0.3">
      <c r="A2" s="242" t="s">
        <v>59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5" ht="18.75" x14ac:dyDescent="0.3">
      <c r="A3" s="241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5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 x14ac:dyDescent="0.25">
      <c r="A6" s="237" t="s">
        <v>2</v>
      </c>
      <c r="B6" s="237" t="s">
        <v>3</v>
      </c>
      <c r="C6" s="243" t="s">
        <v>4</v>
      </c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37" t="s">
        <v>5</v>
      </c>
    </row>
    <row r="7" spans="1:15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5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 x14ac:dyDescent="0.25">
      <c r="A9" s="58">
        <v>1</v>
      </c>
      <c r="B9" s="11" t="s">
        <v>19</v>
      </c>
      <c r="C9" s="86">
        <v>1</v>
      </c>
      <c r="D9" s="91">
        <v>0</v>
      </c>
      <c r="E9" s="91">
        <v>0</v>
      </c>
      <c r="F9" s="95">
        <v>0</v>
      </c>
      <c r="G9" s="95">
        <v>1</v>
      </c>
      <c r="H9" s="91">
        <v>0</v>
      </c>
      <c r="I9" s="91">
        <v>0</v>
      </c>
      <c r="J9" s="95" t="s">
        <v>26</v>
      </c>
      <c r="K9" s="91">
        <v>1</v>
      </c>
      <c r="L9" s="91">
        <v>0</v>
      </c>
      <c r="M9" s="91">
        <v>0</v>
      </c>
      <c r="N9" s="91"/>
      <c r="O9" s="88">
        <f>SUM(C9:N9)</f>
        <v>3</v>
      </c>
    </row>
    <row r="10" spans="1:15" ht="18.75" customHeight="1" x14ac:dyDescent="0.25">
      <c r="A10" s="60">
        <v>2</v>
      </c>
      <c r="B10" s="15" t="s">
        <v>20</v>
      </c>
      <c r="C10" s="72">
        <v>0</v>
      </c>
      <c r="D10" s="86">
        <v>2</v>
      </c>
      <c r="E10" s="86">
        <v>0</v>
      </c>
      <c r="F10" s="100">
        <v>0</v>
      </c>
      <c r="G10" s="86">
        <v>1</v>
      </c>
      <c r="H10" s="100">
        <v>0</v>
      </c>
      <c r="I10" s="100">
        <v>0</v>
      </c>
      <c r="J10" s="100">
        <v>0</v>
      </c>
      <c r="K10" s="86">
        <v>1</v>
      </c>
      <c r="L10" s="86">
        <v>0</v>
      </c>
      <c r="M10" s="86">
        <v>0.2</v>
      </c>
      <c r="N10" s="86">
        <v>0</v>
      </c>
      <c r="O10" s="89">
        <f t="shared" ref="O10:O16" si="0">SUM(C10:N10)</f>
        <v>4.2</v>
      </c>
    </row>
    <row r="11" spans="1:15" ht="18.75" customHeight="1" x14ac:dyDescent="0.25">
      <c r="A11" s="60">
        <v>3</v>
      </c>
      <c r="B11" s="11" t="s">
        <v>21</v>
      </c>
      <c r="C11" s="86">
        <v>0</v>
      </c>
      <c r="D11" s="86">
        <v>0</v>
      </c>
      <c r="E11" s="86">
        <v>0</v>
      </c>
      <c r="F11" s="86">
        <v>4</v>
      </c>
      <c r="G11" s="86">
        <v>0</v>
      </c>
      <c r="H11" s="100" t="s">
        <v>26</v>
      </c>
      <c r="I11" s="86">
        <v>0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  <c r="O11" s="89">
        <f t="shared" si="0"/>
        <v>4</v>
      </c>
    </row>
    <row r="12" spans="1:15" ht="18.75" customHeight="1" x14ac:dyDescent="0.25">
      <c r="A12" s="60">
        <v>4</v>
      </c>
      <c r="B12" s="18" t="s">
        <v>22</v>
      </c>
      <c r="C12" s="72">
        <v>2</v>
      </c>
      <c r="D12" s="86">
        <v>0</v>
      </c>
      <c r="E12" s="86">
        <v>0</v>
      </c>
      <c r="F12" s="86">
        <v>0</v>
      </c>
      <c r="G12" s="100">
        <v>0</v>
      </c>
      <c r="H12" s="100" t="s">
        <v>26</v>
      </c>
      <c r="I12" s="100" t="s">
        <v>26</v>
      </c>
      <c r="J12" s="100" t="s">
        <v>26</v>
      </c>
      <c r="K12" s="86">
        <v>0</v>
      </c>
      <c r="L12" s="86">
        <v>0</v>
      </c>
      <c r="M12" s="86">
        <v>3</v>
      </c>
      <c r="N12" s="86">
        <v>3</v>
      </c>
      <c r="O12" s="89">
        <f t="shared" si="0"/>
        <v>8</v>
      </c>
    </row>
    <row r="13" spans="1:15" ht="18.75" customHeight="1" x14ac:dyDescent="0.25">
      <c r="A13" s="60">
        <v>5</v>
      </c>
      <c r="B13" s="19" t="s">
        <v>23</v>
      </c>
      <c r="C13" s="86">
        <v>0</v>
      </c>
      <c r="D13" s="86">
        <v>0</v>
      </c>
      <c r="E13" s="86">
        <v>0</v>
      </c>
      <c r="F13" s="100">
        <v>0</v>
      </c>
      <c r="G13" s="100" t="s">
        <v>26</v>
      </c>
      <c r="H13" s="100" t="s">
        <v>26</v>
      </c>
      <c r="I13" s="100" t="s">
        <v>26</v>
      </c>
      <c r="J13" s="100" t="s">
        <v>26</v>
      </c>
      <c r="K13" s="86">
        <v>0</v>
      </c>
      <c r="L13" s="86">
        <v>0</v>
      </c>
      <c r="M13" s="86">
        <v>0.1</v>
      </c>
      <c r="N13" s="86">
        <v>2</v>
      </c>
      <c r="O13" s="89">
        <f t="shared" si="0"/>
        <v>2.1</v>
      </c>
    </row>
    <row r="14" spans="1:15" ht="18.75" customHeight="1" x14ac:dyDescent="0.25">
      <c r="A14" s="60">
        <v>6</v>
      </c>
      <c r="B14" s="19" t="s">
        <v>24</v>
      </c>
      <c r="C14" s="86">
        <v>0</v>
      </c>
      <c r="D14" s="100">
        <v>0.3</v>
      </c>
      <c r="E14" s="86">
        <v>0</v>
      </c>
      <c r="F14" s="100" t="s">
        <v>26</v>
      </c>
      <c r="G14" s="100" t="s">
        <v>117</v>
      </c>
      <c r="H14" s="100" t="s">
        <v>26</v>
      </c>
      <c r="I14" s="100">
        <v>0</v>
      </c>
      <c r="J14" s="100" t="s">
        <v>26</v>
      </c>
      <c r="K14" s="86">
        <v>0</v>
      </c>
      <c r="L14" s="86">
        <v>0.2</v>
      </c>
      <c r="M14" s="86">
        <v>0</v>
      </c>
      <c r="N14" s="86">
        <v>0</v>
      </c>
      <c r="O14" s="89">
        <f t="shared" si="0"/>
        <v>0.5</v>
      </c>
    </row>
    <row r="15" spans="1:15" ht="18.75" customHeight="1" x14ac:dyDescent="0.25">
      <c r="A15" s="60">
        <v>7</v>
      </c>
      <c r="B15" s="19" t="s">
        <v>25</v>
      </c>
      <c r="C15" s="86">
        <v>0</v>
      </c>
      <c r="D15" s="86">
        <v>0</v>
      </c>
      <c r="E15" s="86">
        <v>0</v>
      </c>
      <c r="F15" s="100" t="s">
        <v>26</v>
      </c>
      <c r="G15" s="100" t="s">
        <v>26</v>
      </c>
      <c r="H15" s="100" t="s">
        <v>26</v>
      </c>
      <c r="I15" s="100" t="s">
        <v>26</v>
      </c>
      <c r="J15" s="100" t="s">
        <v>26</v>
      </c>
      <c r="K15" s="86">
        <v>1</v>
      </c>
      <c r="L15" s="86">
        <v>0</v>
      </c>
      <c r="M15" s="86">
        <v>0</v>
      </c>
      <c r="N15" s="86">
        <v>0</v>
      </c>
      <c r="O15" s="89">
        <f t="shared" si="0"/>
        <v>1</v>
      </c>
    </row>
    <row r="16" spans="1:15" ht="18.75" customHeight="1" x14ac:dyDescent="0.25">
      <c r="A16" s="62">
        <v>8</v>
      </c>
      <c r="B16" s="18" t="s">
        <v>27</v>
      </c>
      <c r="C16" s="72">
        <v>0</v>
      </c>
      <c r="D16" s="72">
        <v>0</v>
      </c>
      <c r="E16" s="72">
        <v>0</v>
      </c>
      <c r="F16" s="66">
        <v>0</v>
      </c>
      <c r="G16" s="66">
        <v>0</v>
      </c>
      <c r="H16" s="66">
        <v>1</v>
      </c>
      <c r="I16" s="72">
        <v>0</v>
      </c>
      <c r="J16" s="66">
        <v>1</v>
      </c>
      <c r="K16" s="72">
        <v>1</v>
      </c>
      <c r="L16" s="72">
        <v>2</v>
      </c>
      <c r="M16" s="72">
        <v>2</v>
      </c>
      <c r="N16" s="72">
        <v>0</v>
      </c>
      <c r="O16" s="115">
        <f t="shared" si="0"/>
        <v>7</v>
      </c>
    </row>
    <row r="17" spans="1:15" ht="18.75" customHeight="1" x14ac:dyDescent="0.25">
      <c r="A17" s="235" t="s">
        <v>28</v>
      </c>
      <c r="B17" s="236"/>
      <c r="C17" s="67">
        <f t="shared" ref="C17:O17" si="1">SUM(C9:C16)</f>
        <v>3</v>
      </c>
      <c r="D17" s="67">
        <f t="shared" si="1"/>
        <v>2.2999999999999998</v>
      </c>
      <c r="E17" s="67">
        <f t="shared" si="1"/>
        <v>0</v>
      </c>
      <c r="F17" s="67">
        <f t="shared" si="1"/>
        <v>4</v>
      </c>
      <c r="G17" s="67">
        <f t="shared" si="1"/>
        <v>2</v>
      </c>
      <c r="H17" s="67">
        <f t="shared" si="1"/>
        <v>1</v>
      </c>
      <c r="I17" s="67">
        <f t="shared" si="1"/>
        <v>0</v>
      </c>
      <c r="J17" s="67">
        <f t="shared" si="1"/>
        <v>1</v>
      </c>
      <c r="K17" s="67">
        <f t="shared" si="1"/>
        <v>4</v>
      </c>
      <c r="L17" s="67">
        <f t="shared" si="1"/>
        <v>2.2000000000000002</v>
      </c>
      <c r="M17" s="67">
        <f t="shared" si="1"/>
        <v>5.3000000000000007</v>
      </c>
      <c r="N17" s="67">
        <f t="shared" si="1"/>
        <v>5</v>
      </c>
      <c r="O17" s="67">
        <f t="shared" si="1"/>
        <v>29.8</v>
      </c>
    </row>
    <row r="18" spans="1:15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8.75" x14ac:dyDescent="0.3">
      <c r="A34" s="242" t="s">
        <v>60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</row>
    <row r="35" spans="1:15" ht="18.75" x14ac:dyDescent="0.3">
      <c r="A35" s="241" t="s">
        <v>111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5" ht="18.75" x14ac:dyDescent="0.3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1:15" x14ac:dyDescent="0.2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69" t="s">
        <v>1</v>
      </c>
    </row>
    <row r="38" spans="1:15" x14ac:dyDescent="0.25">
      <c r="A38" s="237" t="s">
        <v>2</v>
      </c>
      <c r="B38" s="237" t="s">
        <v>3</v>
      </c>
      <c r="C38" s="243" t="s">
        <v>4</v>
      </c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37" t="s">
        <v>5</v>
      </c>
    </row>
    <row r="39" spans="1:15" x14ac:dyDescent="0.25">
      <c r="A39" s="238"/>
      <c r="B39" s="238"/>
      <c r="C39" s="4" t="s">
        <v>6</v>
      </c>
      <c r="D39" s="4" t="s">
        <v>7</v>
      </c>
      <c r="E39" s="4" t="s">
        <v>8</v>
      </c>
      <c r="F39" s="4" t="s">
        <v>9</v>
      </c>
      <c r="G39" s="4" t="s">
        <v>10</v>
      </c>
      <c r="H39" s="4" t="s">
        <v>11</v>
      </c>
      <c r="I39" s="4" t="s">
        <v>12</v>
      </c>
      <c r="J39" s="4" t="s">
        <v>13</v>
      </c>
      <c r="K39" s="4" t="s">
        <v>14</v>
      </c>
      <c r="L39" s="4" t="s">
        <v>15</v>
      </c>
      <c r="M39" s="4" t="s">
        <v>16</v>
      </c>
      <c r="N39" s="4" t="s">
        <v>17</v>
      </c>
      <c r="O39" s="244"/>
    </row>
    <row r="40" spans="1:15" x14ac:dyDescent="0.25">
      <c r="A40" s="57">
        <v>1</v>
      </c>
      <c r="B40" s="57">
        <v>2</v>
      </c>
      <c r="C40" s="57">
        <v>3</v>
      </c>
      <c r="D40" s="57">
        <v>4</v>
      </c>
      <c r="E40" s="57">
        <v>5</v>
      </c>
      <c r="F40" s="57">
        <v>6</v>
      </c>
      <c r="G40" s="57">
        <v>7</v>
      </c>
      <c r="H40" s="57">
        <v>8</v>
      </c>
      <c r="I40" s="57">
        <v>9</v>
      </c>
      <c r="J40" s="57">
        <v>10</v>
      </c>
      <c r="K40" s="57">
        <v>11</v>
      </c>
      <c r="L40" s="57">
        <v>12</v>
      </c>
      <c r="M40" s="57">
        <v>13</v>
      </c>
      <c r="N40" s="57">
        <v>14</v>
      </c>
      <c r="O40" s="57">
        <v>15</v>
      </c>
    </row>
    <row r="41" spans="1:15" ht="18.75" customHeight="1" x14ac:dyDescent="0.25">
      <c r="A41" s="58">
        <v>1</v>
      </c>
      <c r="B41" s="11" t="s">
        <v>19</v>
      </c>
      <c r="C41" s="91">
        <v>1</v>
      </c>
      <c r="D41" s="91">
        <v>0</v>
      </c>
      <c r="E41" s="91">
        <v>0</v>
      </c>
      <c r="F41" s="91">
        <v>0</v>
      </c>
      <c r="G41" s="91">
        <v>0</v>
      </c>
      <c r="H41" s="84" t="s">
        <v>26</v>
      </c>
      <c r="I41" s="91">
        <v>0</v>
      </c>
      <c r="J41" s="91">
        <v>0</v>
      </c>
      <c r="K41" s="91">
        <v>0</v>
      </c>
      <c r="L41" s="59">
        <v>0</v>
      </c>
      <c r="M41" s="91">
        <v>0</v>
      </c>
      <c r="N41" s="59">
        <v>0</v>
      </c>
      <c r="O41" s="70">
        <f>SUM(C41:N41)</f>
        <v>1</v>
      </c>
    </row>
    <row r="42" spans="1:15" ht="18.75" customHeight="1" x14ac:dyDescent="0.25">
      <c r="A42" s="60">
        <v>2</v>
      </c>
      <c r="B42" s="15" t="s">
        <v>20</v>
      </c>
      <c r="C42" s="86">
        <v>0</v>
      </c>
      <c r="D42" s="86">
        <v>1</v>
      </c>
      <c r="E42" s="61">
        <v>0</v>
      </c>
      <c r="F42" s="61">
        <v>1</v>
      </c>
      <c r="G42" s="86">
        <v>1</v>
      </c>
      <c r="H42" s="85">
        <v>0</v>
      </c>
      <c r="I42" s="85" t="s">
        <v>26</v>
      </c>
      <c r="J42" s="86">
        <v>0</v>
      </c>
      <c r="K42" s="61">
        <v>0</v>
      </c>
      <c r="L42" s="61">
        <v>0</v>
      </c>
      <c r="M42" s="86">
        <v>0</v>
      </c>
      <c r="N42" s="61">
        <v>1</v>
      </c>
      <c r="O42" s="71">
        <f t="shared" ref="O42:O48" si="2">SUM(C42:N42)</f>
        <v>4</v>
      </c>
    </row>
    <row r="43" spans="1:15" ht="18.75" customHeight="1" x14ac:dyDescent="0.25">
      <c r="A43" s="60">
        <v>3</v>
      </c>
      <c r="B43" s="11" t="s">
        <v>21</v>
      </c>
      <c r="C43" s="86">
        <v>0</v>
      </c>
      <c r="D43" s="86">
        <v>0</v>
      </c>
      <c r="E43" s="86">
        <v>0</v>
      </c>
      <c r="F43" s="86">
        <v>0</v>
      </c>
      <c r="G43" s="86">
        <v>3</v>
      </c>
      <c r="H43" s="85">
        <v>3</v>
      </c>
      <c r="I43" s="100">
        <v>0</v>
      </c>
      <c r="J43" s="86">
        <v>2</v>
      </c>
      <c r="K43" s="86">
        <v>0</v>
      </c>
      <c r="L43" s="86">
        <v>0</v>
      </c>
      <c r="M43" s="86">
        <v>0</v>
      </c>
      <c r="N43" s="61"/>
      <c r="O43" s="71">
        <f t="shared" si="2"/>
        <v>8</v>
      </c>
    </row>
    <row r="44" spans="1:15" ht="18.75" customHeight="1" x14ac:dyDescent="0.25">
      <c r="A44" s="60">
        <v>4</v>
      </c>
      <c r="B44" s="18" t="s">
        <v>22</v>
      </c>
      <c r="C44" s="72">
        <v>1</v>
      </c>
      <c r="D44" s="72">
        <v>0</v>
      </c>
      <c r="E44" s="72">
        <v>0</v>
      </c>
      <c r="F44" s="63">
        <v>0</v>
      </c>
      <c r="G44" s="100">
        <v>0</v>
      </c>
      <c r="H44" s="85" t="s">
        <v>26</v>
      </c>
      <c r="I44" s="86">
        <v>0</v>
      </c>
      <c r="J44" s="87" t="s">
        <v>26</v>
      </c>
      <c r="K44" s="72">
        <v>0</v>
      </c>
      <c r="L44" s="61">
        <v>0</v>
      </c>
      <c r="M44" s="72">
        <v>0</v>
      </c>
      <c r="N44" s="61"/>
      <c r="O44" s="71">
        <f t="shared" si="2"/>
        <v>1</v>
      </c>
    </row>
    <row r="45" spans="1:15" ht="18.75" customHeight="1" x14ac:dyDescent="0.25">
      <c r="A45" s="60">
        <v>5</v>
      </c>
      <c r="B45" s="19" t="s">
        <v>23</v>
      </c>
      <c r="C45" s="86">
        <v>0</v>
      </c>
      <c r="D45" s="86">
        <v>0</v>
      </c>
      <c r="E45" s="86">
        <v>0</v>
      </c>
      <c r="F45" s="86">
        <v>0</v>
      </c>
      <c r="G45" s="85" t="s">
        <v>26</v>
      </c>
      <c r="H45" s="100">
        <v>0</v>
      </c>
      <c r="I45" s="85">
        <v>0</v>
      </c>
      <c r="J45" s="85">
        <v>4</v>
      </c>
      <c r="K45" s="61">
        <v>0</v>
      </c>
      <c r="L45" s="86">
        <v>0</v>
      </c>
      <c r="M45" s="86">
        <v>0</v>
      </c>
      <c r="N45" s="61">
        <v>0</v>
      </c>
      <c r="O45" s="71">
        <f t="shared" si="2"/>
        <v>4</v>
      </c>
    </row>
    <row r="46" spans="1:15" ht="18.75" customHeight="1" x14ac:dyDescent="0.25">
      <c r="A46" s="60">
        <v>6</v>
      </c>
      <c r="B46" s="19" t="s">
        <v>24</v>
      </c>
      <c r="C46" s="86">
        <v>0</v>
      </c>
      <c r="D46" s="86">
        <v>0</v>
      </c>
      <c r="E46" s="86">
        <v>0</v>
      </c>
      <c r="F46" s="86">
        <v>0.2</v>
      </c>
      <c r="G46" s="85" t="s">
        <v>26</v>
      </c>
      <c r="H46" s="85" t="s">
        <v>26</v>
      </c>
      <c r="I46" s="100">
        <v>0</v>
      </c>
      <c r="J46" s="100">
        <v>0</v>
      </c>
      <c r="K46" s="86">
        <v>0</v>
      </c>
      <c r="L46" s="86">
        <v>0.1</v>
      </c>
      <c r="M46" s="86">
        <v>0</v>
      </c>
      <c r="N46" s="61"/>
      <c r="O46" s="71">
        <f t="shared" si="2"/>
        <v>0.30000000000000004</v>
      </c>
    </row>
    <row r="47" spans="1:15" ht="18.75" customHeight="1" x14ac:dyDescent="0.25">
      <c r="A47" s="60">
        <v>7</v>
      </c>
      <c r="B47" s="19" t="s">
        <v>25</v>
      </c>
      <c r="C47" s="86">
        <v>0</v>
      </c>
      <c r="D47" s="86">
        <v>0</v>
      </c>
      <c r="E47" s="61">
        <v>0</v>
      </c>
      <c r="F47" s="118" t="s">
        <v>26</v>
      </c>
      <c r="G47" s="85" t="s">
        <v>26</v>
      </c>
      <c r="H47" s="85" t="s">
        <v>26</v>
      </c>
      <c r="I47" s="85" t="s">
        <v>26</v>
      </c>
      <c r="J47" s="85" t="s">
        <v>26</v>
      </c>
      <c r="K47" s="61">
        <v>0</v>
      </c>
      <c r="L47" s="61">
        <v>0</v>
      </c>
      <c r="M47" s="86">
        <v>0</v>
      </c>
      <c r="N47" s="61"/>
      <c r="O47" s="71">
        <f t="shared" si="2"/>
        <v>0</v>
      </c>
    </row>
    <row r="48" spans="1:15" ht="18.75" customHeight="1" x14ac:dyDescent="0.25">
      <c r="A48" s="107">
        <v>8</v>
      </c>
      <c r="B48" s="18" t="s">
        <v>27</v>
      </c>
      <c r="C48" s="72">
        <v>85</v>
      </c>
      <c r="D48" s="72">
        <v>22</v>
      </c>
      <c r="E48" s="72">
        <v>0</v>
      </c>
      <c r="F48" s="66">
        <v>12</v>
      </c>
      <c r="G48" s="87">
        <v>8</v>
      </c>
      <c r="H48" s="87">
        <v>5</v>
      </c>
      <c r="I48" s="72">
        <v>0</v>
      </c>
      <c r="J48" s="87">
        <v>10</v>
      </c>
      <c r="K48" s="63">
        <v>2</v>
      </c>
      <c r="L48" s="63">
        <v>1</v>
      </c>
      <c r="M48" s="72">
        <v>3</v>
      </c>
      <c r="N48" s="63">
        <v>1</v>
      </c>
      <c r="O48" s="119">
        <f t="shared" si="2"/>
        <v>149</v>
      </c>
    </row>
    <row r="49" spans="1:15" ht="18.75" customHeight="1" x14ac:dyDescent="0.25">
      <c r="A49" s="235" t="s">
        <v>28</v>
      </c>
      <c r="B49" s="236"/>
      <c r="C49" s="67">
        <f t="shared" ref="C49:O49" si="3">SUM(C41:C48)</f>
        <v>87</v>
      </c>
      <c r="D49" s="67">
        <f t="shared" si="3"/>
        <v>23</v>
      </c>
      <c r="E49" s="64">
        <f t="shared" si="3"/>
        <v>0</v>
      </c>
      <c r="F49" s="64">
        <f t="shared" si="3"/>
        <v>13.2</v>
      </c>
      <c r="G49" s="64">
        <f t="shared" si="3"/>
        <v>12</v>
      </c>
      <c r="H49" s="64">
        <f t="shared" si="3"/>
        <v>8</v>
      </c>
      <c r="I49" s="64">
        <f t="shared" si="3"/>
        <v>0</v>
      </c>
      <c r="J49" s="64">
        <f t="shared" si="3"/>
        <v>16</v>
      </c>
      <c r="K49" s="64">
        <f t="shared" si="3"/>
        <v>2</v>
      </c>
      <c r="L49" s="64">
        <f t="shared" si="3"/>
        <v>1.1000000000000001</v>
      </c>
      <c r="M49" s="64">
        <f t="shared" si="3"/>
        <v>3</v>
      </c>
      <c r="N49" s="64">
        <f t="shared" si="3"/>
        <v>2</v>
      </c>
      <c r="O49" s="64">
        <f t="shared" si="3"/>
        <v>167.3</v>
      </c>
    </row>
    <row r="50" spans="1:15" x14ac:dyDescent="0.25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68" spans="1:15" ht="18.75" x14ac:dyDescent="0.3">
      <c r="A68" s="242" t="s">
        <v>61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5" ht="18.75" x14ac:dyDescent="0.3">
      <c r="A69" s="241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</row>
    <row r="70" spans="1:15" ht="18.75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5" x14ac:dyDescent="0.25">
      <c r="A72" s="237" t="s">
        <v>2</v>
      </c>
      <c r="B72" s="237" t="s">
        <v>3</v>
      </c>
      <c r="C72" s="243" t="s">
        <v>4</v>
      </c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37" t="s">
        <v>5</v>
      </c>
    </row>
    <row r="73" spans="1:15" x14ac:dyDescent="0.25">
      <c r="A73" s="238"/>
      <c r="B73" s="23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44"/>
    </row>
    <row r="74" spans="1:15" x14ac:dyDescent="0.2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 x14ac:dyDescent="0.25">
      <c r="A75" s="58">
        <v>1</v>
      </c>
      <c r="B75" s="11" t="s">
        <v>19</v>
      </c>
      <c r="C75" s="91">
        <v>12</v>
      </c>
      <c r="D75" s="91">
        <v>0</v>
      </c>
      <c r="E75" s="91">
        <v>0</v>
      </c>
      <c r="F75" s="91">
        <v>0</v>
      </c>
      <c r="G75" s="91">
        <v>0</v>
      </c>
      <c r="H75" s="95">
        <v>0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88">
        <f>SUM(C75:N75)</f>
        <v>12</v>
      </c>
    </row>
    <row r="76" spans="1:15" ht="18.75" customHeight="1" x14ac:dyDescent="0.25">
      <c r="A76" s="60">
        <v>2</v>
      </c>
      <c r="B76" s="15" t="s">
        <v>20</v>
      </c>
      <c r="C76" s="86">
        <v>0</v>
      </c>
      <c r="D76" s="86">
        <v>12</v>
      </c>
      <c r="E76" s="86">
        <v>0</v>
      </c>
      <c r="F76" s="85">
        <v>12</v>
      </c>
      <c r="G76" s="86">
        <v>12</v>
      </c>
      <c r="H76" s="100">
        <v>0</v>
      </c>
      <c r="I76" s="100">
        <v>0</v>
      </c>
      <c r="J76" s="86">
        <v>0</v>
      </c>
      <c r="K76" s="61">
        <v>0</v>
      </c>
      <c r="L76" s="86">
        <v>0</v>
      </c>
      <c r="M76" s="86">
        <v>0</v>
      </c>
      <c r="N76" s="86">
        <v>12</v>
      </c>
      <c r="O76" s="89">
        <f>SUM(C76:N76)</f>
        <v>48</v>
      </c>
    </row>
    <row r="77" spans="1:15" ht="18.75" customHeight="1" x14ac:dyDescent="0.25">
      <c r="A77" s="60">
        <v>3</v>
      </c>
      <c r="B77" s="11" t="s">
        <v>21</v>
      </c>
      <c r="C77" s="86">
        <v>0</v>
      </c>
      <c r="D77" s="86">
        <v>0</v>
      </c>
      <c r="E77" s="86">
        <v>0</v>
      </c>
      <c r="F77" s="86">
        <v>0</v>
      </c>
      <c r="G77" s="86">
        <v>36</v>
      </c>
      <c r="H77" s="100">
        <v>36</v>
      </c>
      <c r="I77" s="100">
        <v>0</v>
      </c>
      <c r="J77" s="86">
        <v>24</v>
      </c>
      <c r="K77" s="61">
        <v>0</v>
      </c>
      <c r="L77" s="86">
        <v>0</v>
      </c>
      <c r="M77" s="61">
        <v>0</v>
      </c>
      <c r="N77" s="86"/>
      <c r="O77" s="89">
        <f t="shared" ref="O77:O82" si="4">SUM(C77:N77)</f>
        <v>96</v>
      </c>
    </row>
    <row r="78" spans="1:15" ht="18.75" customHeight="1" x14ac:dyDescent="0.25">
      <c r="A78" s="60">
        <v>4</v>
      </c>
      <c r="B78" s="18" t="s">
        <v>22</v>
      </c>
      <c r="C78" s="72">
        <v>12</v>
      </c>
      <c r="D78" s="72">
        <v>0</v>
      </c>
      <c r="E78" s="72">
        <v>0</v>
      </c>
      <c r="F78" s="87">
        <v>0</v>
      </c>
      <c r="G78" s="100">
        <v>0</v>
      </c>
      <c r="H78" s="100">
        <v>0</v>
      </c>
      <c r="I78" s="86">
        <v>0</v>
      </c>
      <c r="J78" s="100" t="s">
        <v>26</v>
      </c>
      <c r="K78" s="72">
        <v>0</v>
      </c>
      <c r="L78" s="86">
        <v>0</v>
      </c>
      <c r="M78" s="72">
        <v>0</v>
      </c>
      <c r="N78" s="86"/>
      <c r="O78" s="89">
        <f t="shared" si="4"/>
        <v>12</v>
      </c>
    </row>
    <row r="79" spans="1:15" ht="18.75" customHeight="1" x14ac:dyDescent="0.25">
      <c r="A79" s="60">
        <v>5</v>
      </c>
      <c r="B79" s="19" t="s">
        <v>23</v>
      </c>
      <c r="C79" s="86">
        <v>0</v>
      </c>
      <c r="D79" s="86">
        <v>0</v>
      </c>
      <c r="E79" s="86">
        <v>0</v>
      </c>
      <c r="F79" s="86">
        <v>0</v>
      </c>
      <c r="G79" s="100">
        <v>0</v>
      </c>
      <c r="H79" s="100">
        <v>0</v>
      </c>
      <c r="I79" s="100">
        <v>0</v>
      </c>
      <c r="J79" s="100">
        <v>48</v>
      </c>
      <c r="K79" s="61">
        <v>0</v>
      </c>
      <c r="L79" s="86">
        <v>0</v>
      </c>
      <c r="M79" s="86">
        <v>0</v>
      </c>
      <c r="N79" s="86">
        <v>0</v>
      </c>
      <c r="O79" s="89">
        <f t="shared" si="4"/>
        <v>48</v>
      </c>
    </row>
    <row r="80" spans="1:15" ht="18.75" customHeight="1" x14ac:dyDescent="0.25">
      <c r="A80" s="60">
        <v>6</v>
      </c>
      <c r="B80" s="19" t="s">
        <v>24</v>
      </c>
      <c r="C80" s="86">
        <v>0</v>
      </c>
      <c r="D80" s="86">
        <v>0</v>
      </c>
      <c r="E80" s="86">
        <v>0</v>
      </c>
      <c r="F80" s="86">
        <v>2.4</v>
      </c>
      <c r="G80" s="100">
        <v>0</v>
      </c>
      <c r="H80" s="100" t="s">
        <v>26</v>
      </c>
      <c r="I80" s="100">
        <v>0</v>
      </c>
      <c r="J80" s="100">
        <v>0</v>
      </c>
      <c r="K80" s="86">
        <v>0</v>
      </c>
      <c r="L80" s="86">
        <v>1.2</v>
      </c>
      <c r="M80" s="61">
        <v>0</v>
      </c>
      <c r="N80" s="86"/>
      <c r="O80" s="89">
        <f t="shared" si="4"/>
        <v>3.5999999999999996</v>
      </c>
    </row>
    <row r="81" spans="1:15" ht="18.75" customHeight="1" x14ac:dyDescent="0.25">
      <c r="A81" s="60">
        <v>7</v>
      </c>
      <c r="B81" s="19" t="s">
        <v>25</v>
      </c>
      <c r="C81" s="86">
        <v>0</v>
      </c>
      <c r="D81" s="86">
        <v>0</v>
      </c>
      <c r="E81" s="86">
        <v>0</v>
      </c>
      <c r="F81" s="111">
        <v>0</v>
      </c>
      <c r="G81" s="100">
        <v>0</v>
      </c>
      <c r="H81" s="100" t="s">
        <v>26</v>
      </c>
      <c r="I81" s="100">
        <v>0</v>
      </c>
      <c r="J81" s="100" t="s">
        <v>26</v>
      </c>
      <c r="K81" s="85" t="s">
        <v>26</v>
      </c>
      <c r="L81" s="86">
        <v>0</v>
      </c>
      <c r="M81" s="86">
        <v>0</v>
      </c>
      <c r="N81" s="86"/>
      <c r="O81" s="89">
        <f t="shared" si="4"/>
        <v>0</v>
      </c>
    </row>
    <row r="82" spans="1:15" ht="18.75" customHeight="1" x14ac:dyDescent="0.25">
      <c r="A82" s="107">
        <v>8</v>
      </c>
      <c r="B82" s="18" t="s">
        <v>27</v>
      </c>
      <c r="C82" s="72">
        <v>1020</v>
      </c>
      <c r="D82" s="72">
        <v>264</v>
      </c>
      <c r="E82" s="72">
        <v>0</v>
      </c>
      <c r="F82" s="87">
        <v>144</v>
      </c>
      <c r="G82" s="66">
        <v>96</v>
      </c>
      <c r="H82" s="66">
        <v>60</v>
      </c>
      <c r="I82" s="72">
        <v>0</v>
      </c>
      <c r="J82" s="66">
        <v>120</v>
      </c>
      <c r="K82" s="87">
        <v>24</v>
      </c>
      <c r="L82" s="72">
        <v>12</v>
      </c>
      <c r="M82" s="72">
        <v>36</v>
      </c>
      <c r="N82" s="72">
        <v>12</v>
      </c>
      <c r="O82" s="89">
        <f t="shared" si="4"/>
        <v>1788</v>
      </c>
    </row>
    <row r="83" spans="1:15" ht="18.75" customHeight="1" x14ac:dyDescent="0.25">
      <c r="A83" s="235" t="s">
        <v>28</v>
      </c>
      <c r="B83" s="236"/>
      <c r="C83" s="67">
        <f>SUM(C75:C82)</f>
        <v>1044</v>
      </c>
      <c r="D83" s="67">
        <f>SUM(D75:D82)</f>
        <v>276</v>
      </c>
      <c r="E83" s="67">
        <f t="shared" ref="E83:O83" si="5">SUM(E75:E82)</f>
        <v>0</v>
      </c>
      <c r="F83" s="67">
        <f t="shared" si="5"/>
        <v>158.4</v>
      </c>
      <c r="G83" s="67">
        <f t="shared" si="5"/>
        <v>144</v>
      </c>
      <c r="H83" s="67">
        <f t="shared" si="5"/>
        <v>96</v>
      </c>
      <c r="I83" s="67">
        <f t="shared" si="5"/>
        <v>0</v>
      </c>
      <c r="J83" s="67">
        <f t="shared" si="5"/>
        <v>192</v>
      </c>
      <c r="K83" s="67">
        <f t="shared" si="5"/>
        <v>24</v>
      </c>
      <c r="L83" s="67">
        <f t="shared" si="5"/>
        <v>13.2</v>
      </c>
      <c r="M83" s="67">
        <f t="shared" si="5"/>
        <v>36</v>
      </c>
      <c r="N83" s="67">
        <f t="shared" si="5"/>
        <v>24</v>
      </c>
      <c r="O83" s="67">
        <f t="shared" si="5"/>
        <v>2007.6</v>
      </c>
    </row>
    <row r="84" spans="1:15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 x14ac:dyDescent="0.3">
      <c r="A101" s="242" t="s">
        <v>62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5" ht="18.75" x14ac:dyDescent="0.3">
      <c r="A102" s="241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</row>
    <row r="103" spans="1:15" ht="18.75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</row>
    <row r="106" spans="1:15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</row>
    <row r="107" spans="1:15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" customHeight="1" x14ac:dyDescent="0.25">
      <c r="A108" s="58">
        <v>1</v>
      </c>
      <c r="B108" s="11" t="s">
        <v>19</v>
      </c>
      <c r="C108" s="77">
        <v>120</v>
      </c>
      <c r="D108" s="77">
        <v>0</v>
      </c>
      <c r="E108" s="77">
        <v>0</v>
      </c>
      <c r="F108" s="77">
        <v>0</v>
      </c>
      <c r="G108" s="77">
        <v>0</v>
      </c>
      <c r="H108" s="102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120">
        <f>O75/O41*10</f>
        <v>120</v>
      </c>
    </row>
    <row r="109" spans="1:15" ht="18" customHeight="1" x14ac:dyDescent="0.25">
      <c r="A109" s="60">
        <v>2</v>
      </c>
      <c r="B109" s="15" t="s">
        <v>20</v>
      </c>
      <c r="C109" s="78">
        <v>0</v>
      </c>
      <c r="D109" s="78">
        <v>120</v>
      </c>
      <c r="E109" s="78">
        <v>0</v>
      </c>
      <c r="F109" s="103">
        <v>120</v>
      </c>
      <c r="G109" s="78">
        <v>120</v>
      </c>
      <c r="H109" s="103">
        <v>0</v>
      </c>
      <c r="I109" s="103">
        <v>0</v>
      </c>
      <c r="J109" s="78">
        <v>0</v>
      </c>
      <c r="K109" s="61">
        <v>0</v>
      </c>
      <c r="L109" s="78">
        <v>0</v>
      </c>
      <c r="M109" s="78">
        <v>0</v>
      </c>
      <c r="N109" s="78">
        <v>120</v>
      </c>
      <c r="O109" s="82">
        <f>(O76/O42)*10</f>
        <v>120</v>
      </c>
    </row>
    <row r="110" spans="1:15" ht="18" customHeight="1" x14ac:dyDescent="0.25">
      <c r="A110" s="60">
        <v>3</v>
      </c>
      <c r="B110" s="11" t="s">
        <v>21</v>
      </c>
      <c r="C110" s="78">
        <v>0</v>
      </c>
      <c r="D110" s="78">
        <v>0</v>
      </c>
      <c r="E110" s="78">
        <v>0</v>
      </c>
      <c r="F110" s="78">
        <v>0</v>
      </c>
      <c r="G110" s="78">
        <v>120</v>
      </c>
      <c r="H110" s="103">
        <v>120</v>
      </c>
      <c r="I110" s="103">
        <v>0</v>
      </c>
      <c r="J110" s="78">
        <v>120</v>
      </c>
      <c r="K110" s="78">
        <v>0</v>
      </c>
      <c r="L110" s="78">
        <v>0</v>
      </c>
      <c r="M110" s="78">
        <v>0</v>
      </c>
      <c r="N110" s="78"/>
      <c r="O110" s="82">
        <f>O77/O43*10</f>
        <v>120</v>
      </c>
    </row>
    <row r="111" spans="1:15" ht="18" customHeight="1" x14ac:dyDescent="0.25">
      <c r="A111" s="60">
        <v>4</v>
      </c>
      <c r="B111" s="18" t="s">
        <v>22</v>
      </c>
      <c r="C111" s="79">
        <v>120</v>
      </c>
      <c r="D111" s="79">
        <v>0</v>
      </c>
      <c r="E111" s="79">
        <v>0</v>
      </c>
      <c r="F111" s="87">
        <v>0</v>
      </c>
      <c r="G111" s="103">
        <v>0</v>
      </c>
      <c r="H111" s="103" t="s">
        <v>26</v>
      </c>
      <c r="I111" s="78">
        <v>0</v>
      </c>
      <c r="J111" s="87">
        <v>0</v>
      </c>
      <c r="K111" s="79">
        <v>0</v>
      </c>
      <c r="L111" s="78">
        <v>0</v>
      </c>
      <c r="M111" s="79">
        <v>0</v>
      </c>
      <c r="N111" s="78"/>
      <c r="O111" s="82">
        <f>O78/O44*10</f>
        <v>120</v>
      </c>
    </row>
    <row r="112" spans="1:15" ht="18" customHeight="1" x14ac:dyDescent="0.25">
      <c r="A112" s="60">
        <v>5</v>
      </c>
      <c r="B112" s="19" t="s">
        <v>23</v>
      </c>
      <c r="C112" s="78">
        <v>0</v>
      </c>
      <c r="D112" s="78">
        <v>0</v>
      </c>
      <c r="E112" s="78">
        <v>0</v>
      </c>
      <c r="F112" s="78">
        <v>0</v>
      </c>
      <c r="G112" s="103" t="s">
        <v>26</v>
      </c>
      <c r="H112" s="103">
        <v>0</v>
      </c>
      <c r="I112" s="103">
        <v>0</v>
      </c>
      <c r="J112" s="103">
        <v>120</v>
      </c>
      <c r="K112" s="78">
        <v>0</v>
      </c>
      <c r="L112" s="78">
        <v>0</v>
      </c>
      <c r="M112" s="78">
        <v>0</v>
      </c>
      <c r="N112" s="78">
        <v>0</v>
      </c>
      <c r="O112" s="82">
        <f>(O79/O45)*10</f>
        <v>120</v>
      </c>
    </row>
    <row r="113" spans="1:15" ht="18" customHeight="1" x14ac:dyDescent="0.25">
      <c r="A113" s="60">
        <v>6</v>
      </c>
      <c r="B113" s="19" t="s">
        <v>24</v>
      </c>
      <c r="C113" s="78">
        <v>0</v>
      </c>
      <c r="D113" s="78">
        <v>0</v>
      </c>
      <c r="E113" s="78">
        <v>0</v>
      </c>
      <c r="F113" s="78">
        <v>120</v>
      </c>
      <c r="G113" s="103" t="s">
        <v>26</v>
      </c>
      <c r="H113" s="103" t="s">
        <v>26</v>
      </c>
      <c r="I113" s="103">
        <v>0</v>
      </c>
      <c r="J113" s="103">
        <v>0</v>
      </c>
      <c r="K113" s="78">
        <v>0</v>
      </c>
      <c r="L113" s="78">
        <v>120</v>
      </c>
      <c r="M113" s="78">
        <v>0</v>
      </c>
      <c r="N113" s="78"/>
      <c r="O113" s="82">
        <f>(O80/O46)*10</f>
        <v>119.99999999999997</v>
      </c>
    </row>
    <row r="114" spans="1:15" ht="18" customHeight="1" x14ac:dyDescent="0.25">
      <c r="A114" s="60">
        <v>7</v>
      </c>
      <c r="B114" s="19" t="s">
        <v>25</v>
      </c>
      <c r="C114" s="78">
        <v>0</v>
      </c>
      <c r="D114" s="78">
        <v>0</v>
      </c>
      <c r="E114" s="78">
        <v>0</v>
      </c>
      <c r="F114" s="85">
        <v>0</v>
      </c>
      <c r="G114" s="103" t="s">
        <v>26</v>
      </c>
      <c r="H114" s="103" t="s">
        <v>26</v>
      </c>
      <c r="I114" s="103">
        <v>0</v>
      </c>
      <c r="J114" s="85">
        <v>0</v>
      </c>
      <c r="K114" s="61">
        <v>0</v>
      </c>
      <c r="L114" s="78">
        <v>0</v>
      </c>
      <c r="M114" s="78">
        <v>0</v>
      </c>
      <c r="N114" s="78"/>
      <c r="O114" s="82" t="e">
        <f t="shared" ref="O114:O115" si="6">(O81/O47)*10</f>
        <v>#DIV/0!</v>
      </c>
    </row>
    <row r="115" spans="1:15" ht="18" customHeight="1" x14ac:dyDescent="0.25">
      <c r="A115" s="107">
        <v>8</v>
      </c>
      <c r="B115" s="18" t="s">
        <v>27</v>
      </c>
      <c r="C115" s="79">
        <v>120</v>
      </c>
      <c r="D115" s="79">
        <v>120</v>
      </c>
      <c r="E115" s="79">
        <v>0</v>
      </c>
      <c r="F115" s="105">
        <v>120</v>
      </c>
      <c r="G115" s="105">
        <v>120</v>
      </c>
      <c r="H115" s="105">
        <v>120</v>
      </c>
      <c r="I115" s="79">
        <v>0</v>
      </c>
      <c r="J115" s="114">
        <v>120</v>
      </c>
      <c r="K115" s="79">
        <v>120</v>
      </c>
      <c r="L115" s="79">
        <v>120</v>
      </c>
      <c r="M115" s="79">
        <v>120</v>
      </c>
      <c r="N115" s="79">
        <v>120</v>
      </c>
      <c r="O115" s="82">
        <f t="shared" si="6"/>
        <v>120</v>
      </c>
    </row>
    <row r="116" spans="1:15" ht="18" customHeight="1" x14ac:dyDescent="0.25">
      <c r="A116" s="235" t="s">
        <v>28</v>
      </c>
      <c r="B116" s="236"/>
      <c r="C116" s="80">
        <v>120.01</v>
      </c>
      <c r="D116" s="80">
        <f>D83/D49*10</f>
        <v>120</v>
      </c>
      <c r="E116" s="80" t="e">
        <f t="shared" ref="E116:K116" si="7">E83/E49*10</f>
        <v>#DIV/0!</v>
      </c>
      <c r="F116" s="80">
        <f t="shared" si="7"/>
        <v>120.00000000000001</v>
      </c>
      <c r="G116" s="80">
        <f t="shared" si="7"/>
        <v>120</v>
      </c>
      <c r="H116" s="80">
        <f t="shared" si="7"/>
        <v>120</v>
      </c>
      <c r="I116" s="80" t="e">
        <f t="shared" si="7"/>
        <v>#DIV/0!</v>
      </c>
      <c r="J116" s="117">
        <f t="shared" si="7"/>
        <v>120</v>
      </c>
      <c r="K116" s="80">
        <f t="shared" si="7"/>
        <v>120</v>
      </c>
      <c r="L116" s="80">
        <f>L83/L49*10</f>
        <v>119.99999999999999</v>
      </c>
      <c r="M116" s="80">
        <f>M83/M49*10</f>
        <v>120</v>
      </c>
      <c r="N116" s="117">
        <f>N83/N49*10</f>
        <v>120</v>
      </c>
      <c r="O116" s="80">
        <f>O83/O49*10</f>
        <v>119.99999999999999</v>
      </c>
    </row>
    <row r="119" spans="1:15" x14ac:dyDescent="0.25">
      <c r="L119" s="65"/>
    </row>
    <row r="120" spans="1:15" x14ac:dyDescent="0.25">
      <c r="L120" s="65"/>
    </row>
    <row r="121" spans="1:15" x14ac:dyDescent="0.25">
      <c r="L121" s="65"/>
    </row>
    <row r="122" spans="1:15" x14ac:dyDescent="0.25">
      <c r="L122" s="65"/>
    </row>
  </sheetData>
  <mergeCells count="28">
    <mergeCell ref="A2:O2"/>
    <mergeCell ref="A3:O3"/>
    <mergeCell ref="C6:N6"/>
    <mergeCell ref="A17:B17"/>
    <mergeCell ref="A34:O34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8:A39"/>
    <mergeCell ref="A72:A73"/>
    <mergeCell ref="A105:A106"/>
    <mergeCell ref="B6:B7"/>
    <mergeCell ref="B38:B39"/>
    <mergeCell ref="B72:B73"/>
    <mergeCell ref="B105:B106"/>
    <mergeCell ref="A35:O35"/>
    <mergeCell ref="C38:N38"/>
    <mergeCell ref="A49:B49"/>
    <mergeCell ref="A68:O68"/>
    <mergeCell ref="A69:O69"/>
    <mergeCell ref="O38:O39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22"/>
  <sheetViews>
    <sheetView zoomScale="90" zoomScaleNormal="90" workbookViewId="0">
      <selection activeCell="N1" sqref="N1"/>
    </sheetView>
  </sheetViews>
  <sheetFormatPr defaultColWidth="9" defaultRowHeight="15" x14ac:dyDescent="0.25"/>
  <cols>
    <col min="1" max="1" width="4.140625" customWidth="1"/>
    <col min="2" max="2" width="14.28515625" customWidth="1"/>
    <col min="3" max="12" width="8.5703125" customWidth="1"/>
    <col min="13" max="13" width="9.140625" customWidth="1"/>
    <col min="14" max="15" width="8.5703125" customWidth="1"/>
  </cols>
  <sheetData>
    <row r="2" spans="1:15" ht="18.75" x14ac:dyDescent="0.3">
      <c r="A2" s="242" t="s">
        <v>63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5" ht="18.75" x14ac:dyDescent="0.3">
      <c r="A3" s="241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5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 x14ac:dyDescent="0.25">
      <c r="A6" s="237" t="s">
        <v>2</v>
      </c>
      <c r="B6" s="237" t="s">
        <v>3</v>
      </c>
      <c r="C6" s="243" t="s">
        <v>4</v>
      </c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37" t="s">
        <v>5</v>
      </c>
    </row>
    <row r="7" spans="1:15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5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 x14ac:dyDescent="0.25">
      <c r="A9" s="58">
        <v>1</v>
      </c>
      <c r="B9" s="11" t="s">
        <v>19</v>
      </c>
      <c r="C9" s="91">
        <v>0</v>
      </c>
      <c r="D9" s="91">
        <v>0</v>
      </c>
      <c r="E9" s="91">
        <v>0</v>
      </c>
      <c r="F9" s="91">
        <v>0</v>
      </c>
      <c r="G9" s="95">
        <v>0</v>
      </c>
      <c r="H9" s="95">
        <v>0</v>
      </c>
      <c r="I9" s="91">
        <v>0</v>
      </c>
      <c r="J9" s="95" t="s">
        <v>26</v>
      </c>
      <c r="K9" s="91">
        <v>0</v>
      </c>
      <c r="L9" s="91">
        <v>0</v>
      </c>
      <c r="M9" s="91">
        <v>0</v>
      </c>
      <c r="N9" s="91"/>
      <c r="O9" s="88">
        <f>SUM(C9:N9)</f>
        <v>0</v>
      </c>
    </row>
    <row r="10" spans="1:15" ht="18.75" customHeight="1" x14ac:dyDescent="0.25">
      <c r="A10" s="60">
        <v>2</v>
      </c>
      <c r="B10" s="15" t="s">
        <v>20</v>
      </c>
      <c r="C10" s="86">
        <v>0</v>
      </c>
      <c r="D10" s="86">
        <v>0.1</v>
      </c>
      <c r="E10" s="86">
        <v>0</v>
      </c>
      <c r="F10" s="100">
        <v>0</v>
      </c>
      <c r="G10" s="100" t="s">
        <v>116</v>
      </c>
      <c r="H10" s="100" t="s">
        <v>26</v>
      </c>
      <c r="I10" s="100">
        <v>0</v>
      </c>
      <c r="J10" s="86">
        <v>0.2</v>
      </c>
      <c r="K10" s="86">
        <v>0</v>
      </c>
      <c r="L10" s="86">
        <v>0</v>
      </c>
      <c r="M10" s="86">
        <v>0</v>
      </c>
      <c r="N10" s="86">
        <v>0.1</v>
      </c>
      <c r="O10" s="89">
        <f t="shared" ref="O10:O16" si="0">SUM(C10:N10)</f>
        <v>0.4</v>
      </c>
    </row>
    <row r="11" spans="1:15" ht="18.75" customHeight="1" x14ac:dyDescent="0.25">
      <c r="A11" s="60">
        <v>3</v>
      </c>
      <c r="B11" s="11" t="s">
        <v>21</v>
      </c>
      <c r="C11" s="86">
        <v>0</v>
      </c>
      <c r="D11" s="86">
        <v>0</v>
      </c>
      <c r="E11" s="86">
        <v>0</v>
      </c>
      <c r="F11" s="100">
        <v>0</v>
      </c>
      <c r="G11" s="100">
        <v>0</v>
      </c>
      <c r="H11" s="100" t="s">
        <v>26</v>
      </c>
      <c r="I11" s="100">
        <v>0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  <c r="O11" s="89">
        <f t="shared" si="0"/>
        <v>0</v>
      </c>
    </row>
    <row r="12" spans="1:15" ht="18.75" customHeight="1" x14ac:dyDescent="0.25">
      <c r="A12" s="60">
        <v>4</v>
      </c>
      <c r="B12" s="18" t="s">
        <v>22</v>
      </c>
      <c r="C12" s="86">
        <v>0</v>
      </c>
      <c r="D12" s="86">
        <v>0.5</v>
      </c>
      <c r="E12" s="86">
        <v>0</v>
      </c>
      <c r="F12" s="86">
        <v>0</v>
      </c>
      <c r="G12" s="100" t="s">
        <v>26</v>
      </c>
      <c r="H12" s="100">
        <v>0</v>
      </c>
      <c r="I12" s="100" t="s">
        <v>26</v>
      </c>
      <c r="J12" s="100">
        <v>0</v>
      </c>
      <c r="K12" s="86">
        <v>0</v>
      </c>
      <c r="L12" s="86">
        <v>0</v>
      </c>
      <c r="M12" s="86">
        <v>0</v>
      </c>
      <c r="N12" s="86">
        <v>0.5</v>
      </c>
      <c r="O12" s="89">
        <f t="shared" si="0"/>
        <v>1</v>
      </c>
    </row>
    <row r="13" spans="1:15" ht="18.75" customHeight="1" x14ac:dyDescent="0.25">
      <c r="A13" s="60">
        <v>5</v>
      </c>
      <c r="B13" s="19" t="s">
        <v>23</v>
      </c>
      <c r="C13" s="86">
        <v>0</v>
      </c>
      <c r="D13" s="86">
        <v>0</v>
      </c>
      <c r="E13" s="86">
        <v>0</v>
      </c>
      <c r="F13" s="100">
        <v>0</v>
      </c>
      <c r="G13" s="100" t="s">
        <v>26</v>
      </c>
      <c r="H13" s="100">
        <v>1</v>
      </c>
      <c r="I13" s="100" t="s">
        <v>26</v>
      </c>
      <c r="J13" s="100" t="s">
        <v>26</v>
      </c>
      <c r="K13" s="86">
        <v>0</v>
      </c>
      <c r="L13" s="86">
        <v>0</v>
      </c>
      <c r="M13" s="86">
        <v>0</v>
      </c>
      <c r="N13" s="86">
        <v>2</v>
      </c>
      <c r="O13" s="89">
        <f t="shared" si="0"/>
        <v>3</v>
      </c>
    </row>
    <row r="14" spans="1:15" ht="18.75" customHeight="1" x14ac:dyDescent="0.25">
      <c r="A14" s="60">
        <v>6</v>
      </c>
      <c r="B14" s="19" t="s">
        <v>24</v>
      </c>
      <c r="C14" s="86">
        <v>0</v>
      </c>
      <c r="D14" s="86">
        <v>0.1</v>
      </c>
      <c r="E14" s="86">
        <v>0</v>
      </c>
      <c r="F14" s="100">
        <v>0.2</v>
      </c>
      <c r="G14" s="100">
        <v>0.3</v>
      </c>
      <c r="H14" s="86">
        <v>0.1</v>
      </c>
      <c r="I14" s="100">
        <v>0</v>
      </c>
      <c r="J14" s="100" t="s">
        <v>26</v>
      </c>
      <c r="K14" s="86">
        <v>0</v>
      </c>
      <c r="L14" s="86">
        <v>0.3</v>
      </c>
      <c r="M14" s="86">
        <v>0</v>
      </c>
      <c r="N14" s="86">
        <v>0.2</v>
      </c>
      <c r="O14" s="89">
        <f t="shared" si="0"/>
        <v>1.2</v>
      </c>
    </row>
    <row r="15" spans="1:15" ht="18.75" customHeight="1" x14ac:dyDescent="0.25">
      <c r="A15" s="60">
        <v>7</v>
      </c>
      <c r="B15" s="19" t="s">
        <v>25</v>
      </c>
      <c r="C15" s="86">
        <v>0</v>
      </c>
      <c r="D15" s="86">
        <v>0</v>
      </c>
      <c r="E15" s="86">
        <v>0</v>
      </c>
      <c r="F15" s="100">
        <v>0</v>
      </c>
      <c r="G15" s="100" t="s">
        <v>26</v>
      </c>
      <c r="H15" s="100" t="s">
        <v>26</v>
      </c>
      <c r="I15" s="100" t="s">
        <v>26</v>
      </c>
      <c r="J15" s="100" t="s">
        <v>26</v>
      </c>
      <c r="K15" s="86">
        <v>1</v>
      </c>
      <c r="L15" s="86">
        <v>0</v>
      </c>
      <c r="M15" s="86">
        <v>1</v>
      </c>
      <c r="N15" s="86">
        <v>1</v>
      </c>
      <c r="O15" s="89">
        <f t="shared" si="0"/>
        <v>3</v>
      </c>
    </row>
    <row r="16" spans="1:15" ht="18.75" customHeight="1" x14ac:dyDescent="0.25">
      <c r="A16" s="107">
        <v>8</v>
      </c>
      <c r="B16" s="18" t="s">
        <v>27</v>
      </c>
      <c r="C16" s="108">
        <v>0</v>
      </c>
      <c r="D16" s="108">
        <v>0</v>
      </c>
      <c r="E16" s="108">
        <v>0</v>
      </c>
      <c r="F16" s="109">
        <v>1</v>
      </c>
      <c r="G16" s="66">
        <v>0</v>
      </c>
      <c r="H16" s="109">
        <v>0</v>
      </c>
      <c r="I16" s="108">
        <v>0</v>
      </c>
      <c r="J16" s="66">
        <v>1</v>
      </c>
      <c r="K16" s="72">
        <v>0</v>
      </c>
      <c r="L16" s="72">
        <v>1</v>
      </c>
      <c r="M16" s="72">
        <v>0</v>
      </c>
      <c r="N16" s="108">
        <v>0</v>
      </c>
      <c r="O16" s="110">
        <f t="shared" si="0"/>
        <v>3</v>
      </c>
    </row>
    <row r="17" spans="1:15" ht="18.75" customHeight="1" x14ac:dyDescent="0.25">
      <c r="A17" s="235" t="s">
        <v>28</v>
      </c>
      <c r="B17" s="236"/>
      <c r="C17" s="67">
        <f t="shared" ref="C17:O17" si="1">SUM(C9:C16)</f>
        <v>0</v>
      </c>
      <c r="D17" s="67">
        <f t="shared" si="1"/>
        <v>0.7</v>
      </c>
      <c r="E17" s="67">
        <f t="shared" si="1"/>
        <v>0</v>
      </c>
      <c r="F17" s="67">
        <f t="shared" si="1"/>
        <v>1.2</v>
      </c>
      <c r="G17" s="67">
        <f t="shared" si="1"/>
        <v>0.3</v>
      </c>
      <c r="H17" s="67">
        <f t="shared" si="1"/>
        <v>1.1000000000000001</v>
      </c>
      <c r="I17" s="67">
        <f t="shared" si="1"/>
        <v>0</v>
      </c>
      <c r="J17" s="67">
        <f t="shared" si="1"/>
        <v>1.2</v>
      </c>
      <c r="K17" s="67">
        <f t="shared" si="1"/>
        <v>1</v>
      </c>
      <c r="L17" s="67">
        <f t="shared" si="1"/>
        <v>1.3</v>
      </c>
      <c r="M17" s="67">
        <f t="shared" si="1"/>
        <v>1</v>
      </c>
      <c r="N17" s="67">
        <f t="shared" si="1"/>
        <v>3.8000000000000003</v>
      </c>
      <c r="O17" s="67">
        <f t="shared" si="1"/>
        <v>11.600000000000001</v>
      </c>
    </row>
    <row r="18" spans="1:15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5" ht="18.75" x14ac:dyDescent="0.3">
      <c r="A35" s="242" t="s">
        <v>64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5" ht="18.75" x14ac:dyDescent="0.3">
      <c r="A36" s="241" t="s">
        <v>111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</row>
    <row r="37" spans="1:15" ht="18.75" x14ac:dyDescent="0.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5" x14ac:dyDescent="0.25">
      <c r="A39" s="237" t="s">
        <v>2</v>
      </c>
      <c r="B39" s="237" t="s">
        <v>3</v>
      </c>
      <c r="C39" s="243" t="s">
        <v>4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37" t="s">
        <v>5</v>
      </c>
    </row>
    <row r="40" spans="1:15" x14ac:dyDescent="0.25">
      <c r="A40" s="238"/>
      <c r="B40" s="238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44"/>
    </row>
    <row r="41" spans="1:15" x14ac:dyDescent="0.2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8.75" customHeight="1" x14ac:dyDescent="0.25">
      <c r="A42" s="58">
        <v>1</v>
      </c>
      <c r="B42" s="11" t="s">
        <v>19</v>
      </c>
      <c r="C42" s="91">
        <v>0</v>
      </c>
      <c r="D42" s="91">
        <v>0</v>
      </c>
      <c r="E42" s="91">
        <v>0</v>
      </c>
      <c r="F42" s="91"/>
      <c r="G42" s="95" t="s">
        <v>26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/>
      <c r="O42" s="88">
        <f>SUM(C42:N42)</f>
        <v>0</v>
      </c>
    </row>
    <row r="43" spans="1:15" ht="18.75" customHeight="1" x14ac:dyDescent="0.25">
      <c r="A43" s="60">
        <v>2</v>
      </c>
      <c r="B43" s="15" t="s">
        <v>20</v>
      </c>
      <c r="C43" s="86">
        <v>0</v>
      </c>
      <c r="D43" s="86">
        <v>0</v>
      </c>
      <c r="E43" s="86">
        <v>0</v>
      </c>
      <c r="F43" s="100">
        <v>0.15</v>
      </c>
      <c r="G43" s="86" t="s">
        <v>117</v>
      </c>
      <c r="H43" s="100" t="s">
        <v>26</v>
      </c>
      <c r="I43" s="100">
        <v>0</v>
      </c>
      <c r="J43" s="100">
        <v>0.1</v>
      </c>
      <c r="K43" s="86">
        <v>0.15</v>
      </c>
      <c r="L43" s="86">
        <v>0</v>
      </c>
      <c r="M43" s="86">
        <v>0</v>
      </c>
      <c r="N43" s="86">
        <v>0.2</v>
      </c>
      <c r="O43" s="89">
        <f t="shared" ref="O43:O49" si="2">SUM(C43:N43)</f>
        <v>0.60000000000000009</v>
      </c>
    </row>
    <row r="44" spans="1:15" ht="18.75" customHeight="1" x14ac:dyDescent="0.25">
      <c r="A44" s="60">
        <v>3</v>
      </c>
      <c r="B44" s="11" t="s">
        <v>21</v>
      </c>
      <c r="C44" s="86">
        <v>0</v>
      </c>
      <c r="D44" s="86">
        <v>0</v>
      </c>
      <c r="E44" s="86">
        <v>0</v>
      </c>
      <c r="F44" s="100">
        <v>0</v>
      </c>
      <c r="G44" s="100" t="s">
        <v>26</v>
      </c>
      <c r="H44" s="100" t="s">
        <v>26</v>
      </c>
      <c r="I44" s="86">
        <v>0</v>
      </c>
      <c r="J44" s="100">
        <v>0</v>
      </c>
      <c r="K44" s="86">
        <v>0</v>
      </c>
      <c r="L44" s="86">
        <v>0</v>
      </c>
      <c r="M44" s="86">
        <v>0</v>
      </c>
      <c r="N44" s="86"/>
      <c r="O44" s="89">
        <f t="shared" si="2"/>
        <v>0</v>
      </c>
    </row>
    <row r="45" spans="1:15" ht="18.75" customHeight="1" x14ac:dyDescent="0.25">
      <c r="A45" s="60">
        <v>4</v>
      </c>
      <c r="B45" s="18" t="s">
        <v>22</v>
      </c>
      <c r="C45" s="86">
        <v>1</v>
      </c>
      <c r="D45" s="86">
        <v>0</v>
      </c>
      <c r="E45" s="86">
        <v>0</v>
      </c>
      <c r="F45" s="100"/>
      <c r="G45" s="100">
        <v>0</v>
      </c>
      <c r="H45" s="100">
        <v>0</v>
      </c>
      <c r="I45" s="100" t="s">
        <v>26</v>
      </c>
      <c r="J45" s="100">
        <v>0</v>
      </c>
      <c r="K45" s="86">
        <v>0</v>
      </c>
      <c r="L45" s="86">
        <v>0</v>
      </c>
      <c r="M45" s="86">
        <v>0</v>
      </c>
      <c r="N45" s="86"/>
      <c r="O45" s="89">
        <f t="shared" si="2"/>
        <v>1</v>
      </c>
    </row>
    <row r="46" spans="1:15" ht="18.75" customHeight="1" x14ac:dyDescent="0.25">
      <c r="A46" s="60">
        <v>5</v>
      </c>
      <c r="B46" s="19" t="s">
        <v>23</v>
      </c>
      <c r="C46" s="86">
        <v>0</v>
      </c>
      <c r="D46" s="86">
        <v>0</v>
      </c>
      <c r="E46" s="86">
        <v>441</v>
      </c>
      <c r="F46" s="100"/>
      <c r="G46" s="100" t="s">
        <v>26</v>
      </c>
      <c r="H46" s="100" t="s">
        <v>26</v>
      </c>
      <c r="I46" s="100">
        <v>0</v>
      </c>
      <c r="J46" s="100">
        <v>0</v>
      </c>
      <c r="K46" s="86">
        <v>0</v>
      </c>
      <c r="L46" s="86">
        <v>0</v>
      </c>
      <c r="M46" s="86">
        <v>0</v>
      </c>
      <c r="N46" s="86"/>
      <c r="O46" s="89">
        <f t="shared" si="2"/>
        <v>441</v>
      </c>
    </row>
    <row r="47" spans="1:15" ht="18.75" customHeight="1" x14ac:dyDescent="0.25">
      <c r="A47" s="60">
        <v>6</v>
      </c>
      <c r="B47" s="19" t="s">
        <v>24</v>
      </c>
      <c r="C47" s="86">
        <v>0</v>
      </c>
      <c r="D47" s="100">
        <v>0.2</v>
      </c>
      <c r="E47" s="86">
        <v>0</v>
      </c>
      <c r="F47" s="86">
        <v>0.3</v>
      </c>
      <c r="G47" s="86">
        <v>0.1</v>
      </c>
      <c r="H47" s="86">
        <v>0</v>
      </c>
      <c r="I47" s="86">
        <v>0</v>
      </c>
      <c r="J47" s="100">
        <v>0.2</v>
      </c>
      <c r="K47" s="86">
        <v>0</v>
      </c>
      <c r="L47" s="86">
        <v>0.2</v>
      </c>
      <c r="M47" s="86">
        <v>0</v>
      </c>
      <c r="N47" s="86">
        <v>0.2</v>
      </c>
      <c r="O47" s="89">
        <f t="shared" si="2"/>
        <v>1.2</v>
      </c>
    </row>
    <row r="48" spans="1:15" ht="18.75" customHeight="1" x14ac:dyDescent="0.25">
      <c r="A48" s="60">
        <v>7</v>
      </c>
      <c r="B48" s="19" t="s">
        <v>25</v>
      </c>
      <c r="C48" s="86">
        <v>0</v>
      </c>
      <c r="D48" s="86">
        <v>0</v>
      </c>
      <c r="E48" s="86">
        <v>0</v>
      </c>
      <c r="F48" s="100"/>
      <c r="G48" s="100" t="s">
        <v>26</v>
      </c>
      <c r="H48" s="100" t="s">
        <v>26</v>
      </c>
      <c r="I48" s="100" t="s">
        <v>26</v>
      </c>
      <c r="J48" s="100" t="s">
        <v>26</v>
      </c>
      <c r="K48" s="86">
        <v>0</v>
      </c>
      <c r="L48" s="86">
        <v>0</v>
      </c>
      <c r="M48" s="86">
        <v>0</v>
      </c>
      <c r="N48" s="86"/>
      <c r="O48" s="89">
        <f t="shared" si="2"/>
        <v>0</v>
      </c>
    </row>
    <row r="49" spans="1:15" ht="18.75" customHeight="1" x14ac:dyDescent="0.25">
      <c r="A49" s="107">
        <v>8</v>
      </c>
      <c r="B49" s="18" t="s">
        <v>27</v>
      </c>
      <c r="C49" s="108">
        <v>0</v>
      </c>
      <c r="D49" s="108">
        <v>0</v>
      </c>
      <c r="E49" s="108">
        <v>0</v>
      </c>
      <c r="F49" s="109">
        <v>0</v>
      </c>
      <c r="G49" s="66">
        <v>0</v>
      </c>
      <c r="H49" s="72">
        <v>0</v>
      </c>
      <c r="I49" s="66">
        <v>0</v>
      </c>
      <c r="J49" s="109">
        <v>1</v>
      </c>
      <c r="K49" s="108">
        <v>0</v>
      </c>
      <c r="L49" s="72">
        <v>0</v>
      </c>
      <c r="M49" s="108">
        <v>1</v>
      </c>
      <c r="N49" s="108"/>
      <c r="O49" s="110">
        <f t="shared" si="2"/>
        <v>2</v>
      </c>
    </row>
    <row r="50" spans="1:15" ht="18.75" customHeight="1" x14ac:dyDescent="0.25">
      <c r="A50" s="235" t="s">
        <v>28</v>
      </c>
      <c r="B50" s="236"/>
      <c r="C50" s="67">
        <f t="shared" ref="C50:O50" si="3">SUM(C42:C49)</f>
        <v>1</v>
      </c>
      <c r="D50" s="67">
        <f t="shared" si="3"/>
        <v>0.2</v>
      </c>
      <c r="E50" s="67">
        <f t="shared" si="3"/>
        <v>441</v>
      </c>
      <c r="F50" s="67">
        <f t="shared" si="3"/>
        <v>0.44999999999999996</v>
      </c>
      <c r="G50" s="67">
        <f t="shared" si="3"/>
        <v>0.1</v>
      </c>
      <c r="H50" s="67">
        <f t="shared" si="3"/>
        <v>0</v>
      </c>
      <c r="I50" s="67">
        <f t="shared" si="3"/>
        <v>0</v>
      </c>
      <c r="J50" s="67">
        <f t="shared" si="3"/>
        <v>1.3</v>
      </c>
      <c r="K50" s="67">
        <f t="shared" si="3"/>
        <v>0.15</v>
      </c>
      <c r="L50" s="67">
        <f t="shared" si="3"/>
        <v>0.2</v>
      </c>
      <c r="M50" s="67">
        <f t="shared" si="3"/>
        <v>1</v>
      </c>
      <c r="N50" s="67">
        <f t="shared" si="3"/>
        <v>0.4</v>
      </c>
      <c r="O50" s="67">
        <f t="shared" si="3"/>
        <v>445.8</v>
      </c>
    </row>
    <row r="51" spans="1:15" x14ac:dyDescent="0.2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5" ht="18.75" x14ac:dyDescent="0.3">
      <c r="A68" s="242" t="s">
        <v>65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5" ht="18.75" x14ac:dyDescent="0.3">
      <c r="A69" s="241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</row>
    <row r="70" spans="1:15" ht="18.75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5" x14ac:dyDescent="0.25">
      <c r="A72" s="237" t="s">
        <v>2</v>
      </c>
      <c r="B72" s="237" t="s">
        <v>3</v>
      </c>
      <c r="C72" s="243" t="s">
        <v>4</v>
      </c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37" t="s">
        <v>5</v>
      </c>
    </row>
    <row r="73" spans="1:15" x14ac:dyDescent="0.25">
      <c r="A73" s="238"/>
      <c r="B73" s="23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44"/>
    </row>
    <row r="74" spans="1:15" x14ac:dyDescent="0.2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 x14ac:dyDescent="0.25">
      <c r="A75" s="58">
        <v>1</v>
      </c>
      <c r="B75" s="11" t="s">
        <v>19</v>
      </c>
      <c r="C75" s="91">
        <v>0</v>
      </c>
      <c r="D75" s="91">
        <v>0</v>
      </c>
      <c r="E75" s="91">
        <v>0</v>
      </c>
      <c r="F75" s="91">
        <v>0</v>
      </c>
      <c r="G75" s="95" t="s">
        <v>26</v>
      </c>
      <c r="H75" s="91">
        <v>0</v>
      </c>
      <c r="I75" s="91">
        <v>0</v>
      </c>
      <c r="J75" s="91">
        <v>0</v>
      </c>
      <c r="K75" s="91">
        <v>0</v>
      </c>
      <c r="L75" s="59">
        <v>0</v>
      </c>
      <c r="M75" s="59">
        <v>0</v>
      </c>
      <c r="N75" s="91"/>
      <c r="O75" s="88">
        <f>SUM(C75:N75)</f>
        <v>0</v>
      </c>
    </row>
    <row r="76" spans="1:15" ht="18.75" customHeight="1" x14ac:dyDescent="0.25">
      <c r="A76" s="60">
        <v>2</v>
      </c>
      <c r="B76" s="15" t="s">
        <v>20</v>
      </c>
      <c r="C76" s="86">
        <v>0</v>
      </c>
      <c r="D76" s="86">
        <v>0</v>
      </c>
      <c r="E76" s="86">
        <v>0</v>
      </c>
      <c r="F76" s="100">
        <v>1.5</v>
      </c>
      <c r="G76" s="86">
        <v>1.05</v>
      </c>
      <c r="H76" s="85" t="s">
        <v>26</v>
      </c>
      <c r="I76" s="100">
        <v>0</v>
      </c>
      <c r="J76" s="100">
        <v>1.5</v>
      </c>
      <c r="K76" s="86">
        <v>2.1</v>
      </c>
      <c r="L76" s="61">
        <v>0</v>
      </c>
      <c r="M76" s="86">
        <v>0</v>
      </c>
      <c r="N76" s="86">
        <v>2.1</v>
      </c>
      <c r="O76" s="89">
        <f t="shared" ref="O76:O82" si="4">SUM(C76:N76)</f>
        <v>8.25</v>
      </c>
    </row>
    <row r="77" spans="1:15" ht="18.75" customHeight="1" x14ac:dyDescent="0.25">
      <c r="A77" s="60">
        <v>3</v>
      </c>
      <c r="B77" s="11" t="s">
        <v>21</v>
      </c>
      <c r="C77" s="86">
        <v>0</v>
      </c>
      <c r="D77" s="86">
        <v>0</v>
      </c>
      <c r="E77" s="86">
        <v>0</v>
      </c>
      <c r="F77" s="100">
        <v>0</v>
      </c>
      <c r="G77" s="100" t="s">
        <v>26</v>
      </c>
      <c r="H77" s="85" t="s">
        <v>26</v>
      </c>
      <c r="I77" s="86">
        <v>0</v>
      </c>
      <c r="J77" s="100">
        <v>0</v>
      </c>
      <c r="K77" s="86">
        <v>0</v>
      </c>
      <c r="L77" s="86">
        <v>0</v>
      </c>
      <c r="M77" s="86">
        <v>0</v>
      </c>
      <c r="N77" s="86"/>
      <c r="O77" s="89">
        <f t="shared" si="4"/>
        <v>0</v>
      </c>
    </row>
    <row r="78" spans="1:15" ht="18.75" customHeight="1" x14ac:dyDescent="0.25">
      <c r="A78" s="60">
        <v>4</v>
      </c>
      <c r="B78" s="18" t="s">
        <v>22</v>
      </c>
      <c r="C78" s="86">
        <v>10.5</v>
      </c>
      <c r="D78" s="86">
        <v>0</v>
      </c>
      <c r="E78" s="86">
        <v>0</v>
      </c>
      <c r="F78" s="100" t="s">
        <v>26</v>
      </c>
      <c r="G78" s="100">
        <v>0</v>
      </c>
      <c r="H78" s="85" t="s">
        <v>26</v>
      </c>
      <c r="I78" s="85" t="s">
        <v>26</v>
      </c>
      <c r="J78" s="85">
        <v>0</v>
      </c>
      <c r="K78" s="61">
        <v>0</v>
      </c>
      <c r="L78" s="61">
        <v>0</v>
      </c>
      <c r="M78" s="61">
        <v>2</v>
      </c>
      <c r="N78" s="86"/>
      <c r="O78" s="89">
        <f t="shared" si="4"/>
        <v>12.5</v>
      </c>
    </row>
    <row r="79" spans="1:15" ht="18.75" customHeight="1" x14ac:dyDescent="0.25">
      <c r="A79" s="60">
        <v>5</v>
      </c>
      <c r="B79" s="19" t="s">
        <v>23</v>
      </c>
      <c r="C79" s="86">
        <v>0</v>
      </c>
      <c r="D79" s="86">
        <v>0</v>
      </c>
      <c r="E79" s="86">
        <v>4360.5</v>
      </c>
      <c r="F79" s="85" t="s">
        <v>26</v>
      </c>
      <c r="G79" s="100" t="s">
        <v>26</v>
      </c>
      <c r="H79" s="85" t="s">
        <v>26</v>
      </c>
      <c r="I79" s="85">
        <v>0</v>
      </c>
      <c r="J79" s="100">
        <v>0</v>
      </c>
      <c r="K79" s="61">
        <v>0</v>
      </c>
      <c r="L79" s="86">
        <v>0</v>
      </c>
      <c r="M79" s="78">
        <v>0</v>
      </c>
      <c r="N79" s="86"/>
      <c r="O79" s="89">
        <f t="shared" si="4"/>
        <v>4360.5</v>
      </c>
    </row>
    <row r="80" spans="1:15" ht="18.75" customHeight="1" x14ac:dyDescent="0.25">
      <c r="A80" s="60">
        <v>6</v>
      </c>
      <c r="B80" s="19" t="s">
        <v>24</v>
      </c>
      <c r="C80" s="86">
        <v>0</v>
      </c>
      <c r="D80" s="86">
        <v>2.1</v>
      </c>
      <c r="E80" s="86">
        <v>0</v>
      </c>
      <c r="F80" s="86">
        <v>3.1</v>
      </c>
      <c r="G80" s="86">
        <v>1.05</v>
      </c>
      <c r="H80" s="86">
        <v>0</v>
      </c>
      <c r="I80" s="86">
        <v>0</v>
      </c>
      <c r="J80" s="85">
        <v>2.1</v>
      </c>
      <c r="K80" s="86">
        <v>0</v>
      </c>
      <c r="L80" s="86">
        <v>2.1</v>
      </c>
      <c r="M80" s="61">
        <v>0</v>
      </c>
      <c r="N80" s="86">
        <v>2.4</v>
      </c>
      <c r="O80" s="89">
        <f t="shared" si="4"/>
        <v>12.85</v>
      </c>
    </row>
    <row r="81" spans="1:15" ht="18.75" customHeight="1" x14ac:dyDescent="0.25">
      <c r="A81" s="60">
        <v>7</v>
      </c>
      <c r="B81" s="19" t="s">
        <v>25</v>
      </c>
      <c r="C81" s="86">
        <v>0</v>
      </c>
      <c r="D81" s="86">
        <v>0</v>
      </c>
      <c r="E81" s="86">
        <v>0</v>
      </c>
      <c r="F81" s="111" t="s">
        <v>26</v>
      </c>
      <c r="G81" s="100" t="s">
        <v>26</v>
      </c>
      <c r="H81" s="85" t="s">
        <v>26</v>
      </c>
      <c r="I81" s="85" t="s">
        <v>26</v>
      </c>
      <c r="J81" s="85" t="s">
        <v>26</v>
      </c>
      <c r="K81" s="61">
        <v>0</v>
      </c>
      <c r="L81" s="61">
        <v>0</v>
      </c>
      <c r="M81" s="61">
        <v>0</v>
      </c>
      <c r="N81" s="86"/>
      <c r="O81" s="89">
        <f t="shared" si="4"/>
        <v>0</v>
      </c>
    </row>
    <row r="82" spans="1:15" ht="18.75" customHeight="1" x14ac:dyDescent="0.25">
      <c r="A82" s="62">
        <v>8</v>
      </c>
      <c r="B82" s="18" t="s">
        <v>27</v>
      </c>
      <c r="C82" s="108">
        <v>0</v>
      </c>
      <c r="D82" s="108">
        <v>0</v>
      </c>
      <c r="E82" s="108">
        <v>0</v>
      </c>
      <c r="F82" s="112">
        <v>0</v>
      </c>
      <c r="G82" s="66">
        <v>0</v>
      </c>
      <c r="H82" s="72">
        <v>0</v>
      </c>
      <c r="I82" s="66">
        <v>0</v>
      </c>
      <c r="J82" s="87">
        <v>10.5</v>
      </c>
      <c r="K82" s="63">
        <v>0</v>
      </c>
      <c r="L82" s="63">
        <v>0</v>
      </c>
      <c r="M82" s="108">
        <v>10.5</v>
      </c>
      <c r="N82" s="108"/>
      <c r="O82" s="115">
        <f t="shared" si="4"/>
        <v>21</v>
      </c>
    </row>
    <row r="83" spans="1:15" ht="18.75" customHeight="1" x14ac:dyDescent="0.25">
      <c r="A83" s="235" t="s">
        <v>28</v>
      </c>
      <c r="B83" s="236"/>
      <c r="C83" s="67">
        <f t="shared" ref="C83:O83" si="5">SUM(C75:C82)</f>
        <v>10.5</v>
      </c>
      <c r="D83" s="67">
        <f t="shared" si="5"/>
        <v>2.1</v>
      </c>
      <c r="E83" s="67">
        <f t="shared" si="5"/>
        <v>4360.5</v>
      </c>
      <c r="F83" s="67">
        <f t="shared" si="5"/>
        <v>4.5999999999999996</v>
      </c>
      <c r="G83" s="67">
        <f t="shared" si="5"/>
        <v>2.1</v>
      </c>
      <c r="H83" s="67">
        <f t="shared" si="5"/>
        <v>0</v>
      </c>
      <c r="I83" s="67">
        <f t="shared" si="5"/>
        <v>0</v>
      </c>
      <c r="J83" s="67">
        <f t="shared" si="5"/>
        <v>14.1</v>
      </c>
      <c r="K83" s="67">
        <f t="shared" si="5"/>
        <v>2.1</v>
      </c>
      <c r="L83" s="67">
        <f t="shared" si="5"/>
        <v>2.1</v>
      </c>
      <c r="M83" s="67">
        <f t="shared" si="5"/>
        <v>12.5</v>
      </c>
      <c r="N83" s="67">
        <f t="shared" si="5"/>
        <v>4.5</v>
      </c>
      <c r="O83" s="67">
        <f t="shared" si="5"/>
        <v>4415.1000000000004</v>
      </c>
    </row>
    <row r="84" spans="1:15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90" spans="1:15" x14ac:dyDescent="0.25">
      <c r="E90" t="s">
        <v>101</v>
      </c>
    </row>
    <row r="101" spans="1:15" ht="18.75" x14ac:dyDescent="0.3">
      <c r="A101" s="242" t="s">
        <v>66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5" ht="18.75" x14ac:dyDescent="0.3">
      <c r="A102" s="241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</row>
    <row r="103" spans="1:15" ht="18.75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</row>
    <row r="106" spans="1:15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</row>
    <row r="107" spans="1:15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 thickTop="1" x14ac:dyDescent="0.25">
      <c r="A108" s="58">
        <v>1</v>
      </c>
      <c r="B108" s="11" t="s">
        <v>19</v>
      </c>
      <c r="C108" s="77">
        <v>0</v>
      </c>
      <c r="D108" s="77">
        <v>0</v>
      </c>
      <c r="E108" s="77">
        <v>0</v>
      </c>
      <c r="F108" s="77">
        <v>0</v>
      </c>
      <c r="G108" s="102" t="s">
        <v>26</v>
      </c>
      <c r="H108" s="77">
        <v>0</v>
      </c>
      <c r="I108" s="77">
        <v>0</v>
      </c>
      <c r="J108" s="77">
        <v>0</v>
      </c>
      <c r="K108" s="77">
        <v>0</v>
      </c>
      <c r="L108" s="59">
        <v>0</v>
      </c>
      <c r="M108" s="59">
        <v>0</v>
      </c>
      <c r="N108" s="77"/>
      <c r="O108" s="81" t="e">
        <f>O75/O42*10</f>
        <v>#DIV/0!</v>
      </c>
    </row>
    <row r="109" spans="1:15" ht="18.75" customHeight="1" x14ac:dyDescent="0.25">
      <c r="A109" s="60">
        <v>2</v>
      </c>
      <c r="B109" s="15" t="s">
        <v>20</v>
      </c>
      <c r="C109" s="78">
        <v>0</v>
      </c>
      <c r="D109" s="78">
        <v>0</v>
      </c>
      <c r="E109" s="78">
        <v>0</v>
      </c>
      <c r="F109" s="103">
        <v>105</v>
      </c>
      <c r="G109" s="78">
        <v>105</v>
      </c>
      <c r="H109" s="85" t="s">
        <v>26</v>
      </c>
      <c r="I109" s="78">
        <v>0</v>
      </c>
      <c r="J109" s="103">
        <v>105</v>
      </c>
      <c r="K109" s="78">
        <v>105</v>
      </c>
      <c r="L109" s="78">
        <v>0</v>
      </c>
      <c r="M109" s="78">
        <v>0</v>
      </c>
      <c r="N109" s="78">
        <v>105</v>
      </c>
      <c r="O109" s="116">
        <f>O76/O43*10</f>
        <v>137.49999999999997</v>
      </c>
    </row>
    <row r="110" spans="1:15" ht="18.75" customHeight="1" x14ac:dyDescent="0.25">
      <c r="A110" s="60">
        <v>3</v>
      </c>
      <c r="B110" s="11" t="s">
        <v>21</v>
      </c>
      <c r="C110" s="78">
        <v>0</v>
      </c>
      <c r="D110" s="78">
        <v>0</v>
      </c>
      <c r="E110" s="78">
        <v>0</v>
      </c>
      <c r="F110" s="103">
        <v>0</v>
      </c>
      <c r="G110" s="103" t="s">
        <v>26</v>
      </c>
      <c r="H110" s="85" t="s">
        <v>26</v>
      </c>
      <c r="I110" s="78">
        <v>0</v>
      </c>
      <c r="J110" s="103">
        <v>0</v>
      </c>
      <c r="K110" s="78">
        <v>0</v>
      </c>
      <c r="L110" s="78">
        <v>0</v>
      </c>
      <c r="M110" s="78">
        <v>0</v>
      </c>
      <c r="N110" s="78"/>
      <c r="O110" s="116" t="e">
        <f>O77/O44*10</f>
        <v>#DIV/0!</v>
      </c>
    </row>
    <row r="111" spans="1:15" ht="18.75" customHeight="1" x14ac:dyDescent="0.25">
      <c r="A111" s="60">
        <v>4</v>
      </c>
      <c r="B111" s="18" t="s">
        <v>22</v>
      </c>
      <c r="C111" s="78">
        <v>105</v>
      </c>
      <c r="D111" s="78">
        <v>0</v>
      </c>
      <c r="E111" s="78">
        <v>0</v>
      </c>
      <c r="F111" s="85" t="s">
        <v>26</v>
      </c>
      <c r="G111" s="103">
        <v>0</v>
      </c>
      <c r="H111" s="85" t="s">
        <v>26</v>
      </c>
      <c r="I111" s="103" t="s">
        <v>26</v>
      </c>
      <c r="J111" s="85">
        <v>0</v>
      </c>
      <c r="K111" s="61">
        <v>0</v>
      </c>
      <c r="L111" s="78">
        <v>0</v>
      </c>
      <c r="M111" s="61">
        <v>0</v>
      </c>
      <c r="N111" s="78"/>
      <c r="O111" s="116">
        <f>O78/O45*10</f>
        <v>125</v>
      </c>
    </row>
    <row r="112" spans="1:15" ht="18.75" customHeight="1" x14ac:dyDescent="0.25">
      <c r="A112" s="60">
        <v>5</v>
      </c>
      <c r="B112" s="19" t="s">
        <v>23</v>
      </c>
      <c r="C112" s="78">
        <v>0</v>
      </c>
      <c r="D112" s="78">
        <v>0</v>
      </c>
      <c r="E112" s="78">
        <v>105</v>
      </c>
      <c r="F112" s="61">
        <f ca="1">-F109:F112</f>
        <v>0</v>
      </c>
      <c r="G112" s="103" t="s">
        <v>26</v>
      </c>
      <c r="H112" s="85" t="s">
        <v>26</v>
      </c>
      <c r="I112" s="103">
        <v>0</v>
      </c>
      <c r="J112" s="103">
        <v>0</v>
      </c>
      <c r="K112" s="61">
        <v>0</v>
      </c>
      <c r="L112" s="78">
        <v>0</v>
      </c>
      <c r="M112" s="78">
        <v>0</v>
      </c>
      <c r="N112" s="78"/>
      <c r="O112" s="116">
        <v>0</v>
      </c>
    </row>
    <row r="113" spans="1:15" ht="18.75" customHeight="1" x14ac:dyDescent="0.25">
      <c r="A113" s="60">
        <v>6</v>
      </c>
      <c r="B113" s="19" t="s">
        <v>24</v>
      </c>
      <c r="C113" s="78">
        <v>0</v>
      </c>
      <c r="D113" s="78">
        <v>105</v>
      </c>
      <c r="E113" s="78">
        <v>0</v>
      </c>
      <c r="F113" s="78">
        <v>105</v>
      </c>
      <c r="G113" s="78">
        <v>105</v>
      </c>
      <c r="H113" s="78">
        <v>0</v>
      </c>
      <c r="I113" s="78">
        <v>0</v>
      </c>
      <c r="J113" s="103">
        <v>105</v>
      </c>
      <c r="K113" s="78">
        <v>0</v>
      </c>
      <c r="L113" s="78">
        <v>105</v>
      </c>
      <c r="M113" s="78">
        <v>0</v>
      </c>
      <c r="N113" s="78">
        <v>105</v>
      </c>
      <c r="O113" s="116">
        <f>O80/O47*10</f>
        <v>107.08333333333334</v>
      </c>
    </row>
    <row r="114" spans="1:15" ht="18.75" customHeight="1" x14ac:dyDescent="0.25">
      <c r="A114" s="60">
        <v>7</v>
      </c>
      <c r="B114" s="19" t="s">
        <v>25</v>
      </c>
      <c r="C114" s="78">
        <v>0</v>
      </c>
      <c r="D114" s="78">
        <v>0</v>
      </c>
      <c r="E114" s="78">
        <v>0</v>
      </c>
      <c r="F114" s="85" t="s">
        <v>26</v>
      </c>
      <c r="G114" s="103" t="s">
        <v>26</v>
      </c>
      <c r="H114" s="85" t="s">
        <v>26</v>
      </c>
      <c r="I114" s="103" t="s">
        <v>26</v>
      </c>
      <c r="J114" s="85" t="s">
        <v>26</v>
      </c>
      <c r="K114" s="61">
        <v>0</v>
      </c>
      <c r="L114" s="61">
        <v>0</v>
      </c>
      <c r="M114" s="61">
        <v>0</v>
      </c>
      <c r="N114" s="78"/>
      <c r="O114" s="116">
        <v>0</v>
      </c>
    </row>
    <row r="115" spans="1:15" ht="18.75" customHeight="1" thickBot="1" x14ac:dyDescent="0.3">
      <c r="A115" s="62">
        <v>8</v>
      </c>
      <c r="B115" s="18" t="s">
        <v>27</v>
      </c>
      <c r="C115" s="113">
        <v>0</v>
      </c>
      <c r="D115" s="113">
        <v>0</v>
      </c>
      <c r="E115" s="113">
        <v>0</v>
      </c>
      <c r="F115" s="114">
        <v>0</v>
      </c>
      <c r="G115" s="105">
        <v>0</v>
      </c>
      <c r="H115" s="79">
        <v>0</v>
      </c>
      <c r="I115" s="105">
        <v>0</v>
      </c>
      <c r="J115" s="105">
        <v>105</v>
      </c>
      <c r="K115" s="79">
        <v>0</v>
      </c>
      <c r="L115" s="79">
        <v>0</v>
      </c>
      <c r="M115" s="113">
        <v>105</v>
      </c>
      <c r="N115" s="113"/>
      <c r="O115" s="82">
        <v>105</v>
      </c>
    </row>
    <row r="116" spans="1:15" ht="18.75" customHeight="1" thickTop="1" x14ac:dyDescent="0.25">
      <c r="A116" s="235" t="s">
        <v>28</v>
      </c>
      <c r="B116" s="236"/>
      <c r="C116" s="80">
        <f>SUM(C108:C115)</f>
        <v>105</v>
      </c>
      <c r="D116" s="80">
        <f t="shared" ref="D116:J116" si="6">D83/D50*10</f>
        <v>105</v>
      </c>
      <c r="E116" s="80">
        <f>E83/E50*10</f>
        <v>98.877551020408163</v>
      </c>
      <c r="F116" s="80">
        <f t="shared" si="6"/>
        <v>102.22222222222223</v>
      </c>
      <c r="G116" s="80">
        <f t="shared" si="6"/>
        <v>210</v>
      </c>
      <c r="H116" s="80" t="e">
        <f>H83/H50*10</f>
        <v>#DIV/0!</v>
      </c>
      <c r="I116" s="80" t="e">
        <f t="shared" si="6"/>
        <v>#DIV/0!</v>
      </c>
      <c r="J116" s="117">
        <f t="shared" si="6"/>
        <v>108.46153846153845</v>
      </c>
      <c r="K116" s="80">
        <f>SUM(K108:K115)</f>
        <v>105</v>
      </c>
      <c r="L116" s="80">
        <f>SUM(L108:L115)</f>
        <v>105</v>
      </c>
      <c r="M116" s="80">
        <f>SUM(M108:M115)</f>
        <v>105</v>
      </c>
      <c r="N116" s="80" t="s">
        <v>26</v>
      </c>
      <c r="O116" s="80">
        <f>O83/O50*10</f>
        <v>99.037685060565281</v>
      </c>
    </row>
    <row r="118" spans="1:15" x14ac:dyDescent="0.25">
      <c r="H118" s="83"/>
    </row>
    <row r="119" spans="1:15" x14ac:dyDescent="0.25">
      <c r="H119" s="83"/>
    </row>
    <row r="120" spans="1:15" x14ac:dyDescent="0.25">
      <c r="L120" s="65"/>
    </row>
    <row r="121" spans="1:15" x14ac:dyDescent="0.25">
      <c r="L121" s="65"/>
    </row>
    <row r="122" spans="1:15" x14ac:dyDescent="0.25">
      <c r="L122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121"/>
  <sheetViews>
    <sheetView topLeftCell="A62" zoomScale="85" zoomScaleNormal="85" workbookViewId="0">
      <selection activeCell="R80" sqref="R80"/>
    </sheetView>
  </sheetViews>
  <sheetFormatPr defaultColWidth="9" defaultRowHeight="15" x14ac:dyDescent="0.25"/>
  <cols>
    <col min="1" max="1" width="4" customWidth="1"/>
    <col min="2" max="2" width="14.140625" customWidth="1"/>
    <col min="3" max="15" width="8.5703125" customWidth="1"/>
  </cols>
  <sheetData>
    <row r="2" spans="1:15" ht="18.75" x14ac:dyDescent="0.3">
      <c r="A2" s="242" t="s">
        <v>67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5" ht="18.75" x14ac:dyDescent="0.3">
      <c r="A3" s="241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5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 x14ac:dyDescent="0.25">
      <c r="A6" s="237" t="s">
        <v>2</v>
      </c>
      <c r="B6" s="237" t="s">
        <v>3</v>
      </c>
      <c r="C6" s="247" t="s">
        <v>4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37" t="s">
        <v>5</v>
      </c>
    </row>
    <row r="7" spans="1:15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5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 x14ac:dyDescent="0.25">
      <c r="A9" s="58">
        <v>1</v>
      </c>
      <c r="B9" s="11" t="s">
        <v>19</v>
      </c>
      <c r="C9" s="91">
        <v>0</v>
      </c>
      <c r="D9" s="59">
        <v>0</v>
      </c>
      <c r="E9" s="59">
        <v>0</v>
      </c>
      <c r="F9" s="84" t="s">
        <v>26</v>
      </c>
      <c r="G9" s="84" t="s">
        <v>26</v>
      </c>
      <c r="H9" s="92" t="s">
        <v>26</v>
      </c>
      <c r="I9" s="84" t="s">
        <v>26</v>
      </c>
      <c r="J9" s="84" t="s">
        <v>26</v>
      </c>
      <c r="K9" s="94">
        <v>0</v>
      </c>
      <c r="L9" s="94">
        <v>0</v>
      </c>
      <c r="M9" s="97">
        <v>0</v>
      </c>
      <c r="N9" s="94"/>
      <c r="O9" s="88">
        <f>SUM(C9:N9)</f>
        <v>0</v>
      </c>
    </row>
    <row r="10" spans="1:15" ht="18.75" customHeight="1" x14ac:dyDescent="0.25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85" t="s">
        <v>26</v>
      </c>
      <c r="G10" s="85" t="s">
        <v>26</v>
      </c>
      <c r="H10" s="93" t="s">
        <v>26</v>
      </c>
      <c r="I10" s="85" t="s">
        <v>26</v>
      </c>
      <c r="J10" s="85" t="s">
        <v>26</v>
      </c>
      <c r="K10" s="96">
        <v>0</v>
      </c>
      <c r="L10" s="96">
        <v>0</v>
      </c>
      <c r="M10" s="96">
        <v>0</v>
      </c>
      <c r="N10" s="96"/>
      <c r="O10" s="71">
        <f t="shared" ref="O10:O16" si="0">SUM(C10:N10)</f>
        <v>0</v>
      </c>
    </row>
    <row r="11" spans="1:15" ht="18.75" customHeight="1" x14ac:dyDescent="0.25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85" t="s">
        <v>26</v>
      </c>
      <c r="G11" s="85" t="s">
        <v>26</v>
      </c>
      <c r="H11" s="85" t="s">
        <v>26</v>
      </c>
      <c r="I11" s="85" t="s">
        <v>26</v>
      </c>
      <c r="J11" s="85" t="s">
        <v>26</v>
      </c>
      <c r="K11" s="61">
        <v>0</v>
      </c>
      <c r="L11" s="61">
        <v>0</v>
      </c>
      <c r="M11" s="61">
        <v>0</v>
      </c>
      <c r="N11" s="61"/>
      <c r="O11" s="71">
        <f t="shared" si="0"/>
        <v>0</v>
      </c>
    </row>
    <row r="12" spans="1:15" ht="18.75" customHeight="1" x14ac:dyDescent="0.25">
      <c r="A12" s="60">
        <v>4</v>
      </c>
      <c r="B12" s="18" t="s">
        <v>22</v>
      </c>
      <c r="C12" s="61">
        <v>0</v>
      </c>
      <c r="D12" s="61">
        <v>0</v>
      </c>
      <c r="E12" s="61">
        <v>0</v>
      </c>
      <c r="F12" s="61">
        <v>0</v>
      </c>
      <c r="G12" s="85" t="s">
        <v>26</v>
      </c>
      <c r="H12" s="85">
        <v>0</v>
      </c>
      <c r="I12" s="85" t="s">
        <v>26</v>
      </c>
      <c r="J12" s="86">
        <v>0</v>
      </c>
      <c r="K12" s="61">
        <v>0</v>
      </c>
      <c r="L12" s="61">
        <v>0</v>
      </c>
      <c r="M12" s="61">
        <v>0</v>
      </c>
      <c r="N12" s="61"/>
      <c r="O12" s="71">
        <f t="shared" si="0"/>
        <v>0</v>
      </c>
    </row>
    <row r="13" spans="1:15" ht="18.75" customHeight="1" x14ac:dyDescent="0.25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85">
        <v>0</v>
      </c>
      <c r="G13" s="85">
        <v>0</v>
      </c>
      <c r="H13" s="85" t="s">
        <v>26</v>
      </c>
      <c r="I13" s="85" t="s">
        <v>26</v>
      </c>
      <c r="J13" s="85" t="s">
        <v>26</v>
      </c>
      <c r="K13" s="61">
        <v>0</v>
      </c>
      <c r="L13" s="61">
        <v>0</v>
      </c>
      <c r="M13" s="61">
        <v>0</v>
      </c>
      <c r="N13" s="61"/>
      <c r="O13" s="71">
        <f t="shared" si="0"/>
        <v>0</v>
      </c>
    </row>
    <row r="14" spans="1:15" ht="18.75" customHeight="1" x14ac:dyDescent="0.25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85" t="s">
        <v>26</v>
      </c>
      <c r="G14" s="85" t="s">
        <v>26</v>
      </c>
      <c r="H14" s="85" t="s">
        <v>26</v>
      </c>
      <c r="I14" s="85" t="s">
        <v>26</v>
      </c>
      <c r="J14" s="85" t="s">
        <v>26</v>
      </c>
      <c r="K14" s="61">
        <v>0</v>
      </c>
      <c r="L14" s="61">
        <v>0</v>
      </c>
      <c r="M14" s="61">
        <v>0</v>
      </c>
      <c r="N14" s="61"/>
      <c r="O14" s="71">
        <f t="shared" si="0"/>
        <v>0</v>
      </c>
    </row>
    <row r="15" spans="1:15" ht="18.75" customHeight="1" x14ac:dyDescent="0.25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85" t="s">
        <v>26</v>
      </c>
      <c r="G15" s="85" t="s">
        <v>26</v>
      </c>
      <c r="H15" s="85" t="s">
        <v>26</v>
      </c>
      <c r="I15" s="85" t="s">
        <v>26</v>
      </c>
      <c r="J15" s="85" t="s">
        <v>26</v>
      </c>
      <c r="K15" s="61">
        <v>0</v>
      </c>
      <c r="L15" s="61">
        <v>0</v>
      </c>
      <c r="M15" s="61">
        <v>0</v>
      </c>
      <c r="N15" s="61"/>
      <c r="O15" s="71">
        <f t="shared" si="0"/>
        <v>0</v>
      </c>
    </row>
    <row r="16" spans="1:15" ht="18.75" customHeight="1" x14ac:dyDescent="0.25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87">
        <v>1</v>
      </c>
      <c r="G16" s="87">
        <v>0</v>
      </c>
      <c r="H16" s="87">
        <v>0</v>
      </c>
      <c r="I16" s="87" t="s">
        <v>26</v>
      </c>
      <c r="J16" s="87">
        <v>1</v>
      </c>
      <c r="K16" s="63">
        <v>0</v>
      </c>
      <c r="L16" s="63">
        <v>1</v>
      </c>
      <c r="M16" s="63">
        <v>0</v>
      </c>
      <c r="N16" s="63"/>
      <c r="O16" s="90">
        <f t="shared" si="0"/>
        <v>3</v>
      </c>
    </row>
    <row r="17" spans="1:15" ht="18.75" customHeight="1" x14ac:dyDescent="0.25">
      <c r="A17" s="235" t="s">
        <v>28</v>
      </c>
      <c r="B17" s="236"/>
      <c r="C17" s="67">
        <f>SUM(C9:C16)</f>
        <v>0</v>
      </c>
      <c r="D17" s="64">
        <f t="shared" ref="D17:O17" si="1">SUM(D9:D16)</f>
        <v>0</v>
      </c>
      <c r="E17" s="64">
        <f t="shared" si="1"/>
        <v>0</v>
      </c>
      <c r="F17" s="64">
        <f t="shared" si="1"/>
        <v>1</v>
      </c>
      <c r="G17" s="64">
        <f t="shared" si="1"/>
        <v>0</v>
      </c>
      <c r="H17" s="64">
        <f t="shared" si="1"/>
        <v>0</v>
      </c>
      <c r="I17" s="67">
        <f t="shared" si="1"/>
        <v>0</v>
      </c>
      <c r="J17" s="64">
        <f t="shared" si="1"/>
        <v>1</v>
      </c>
      <c r="K17" s="64">
        <f t="shared" si="1"/>
        <v>0</v>
      </c>
      <c r="L17" s="64">
        <f t="shared" si="1"/>
        <v>1</v>
      </c>
      <c r="M17" s="64">
        <f t="shared" si="1"/>
        <v>0</v>
      </c>
      <c r="N17" s="64">
        <f t="shared" si="1"/>
        <v>0</v>
      </c>
      <c r="O17" s="67">
        <f t="shared" si="1"/>
        <v>3</v>
      </c>
    </row>
    <row r="18" spans="1:15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5" ht="18.75" x14ac:dyDescent="0.3">
      <c r="A35" s="242" t="s">
        <v>68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5" ht="18.75" x14ac:dyDescent="0.3">
      <c r="A36" s="241" t="s">
        <v>111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</row>
    <row r="37" spans="1:15" ht="18.75" x14ac:dyDescent="0.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5" x14ac:dyDescent="0.25">
      <c r="A39" s="237" t="s">
        <v>2</v>
      </c>
      <c r="B39" s="237" t="s">
        <v>3</v>
      </c>
      <c r="C39" s="243" t="s">
        <v>4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37" t="s">
        <v>5</v>
      </c>
    </row>
    <row r="40" spans="1:15" x14ac:dyDescent="0.25">
      <c r="A40" s="238"/>
      <c r="B40" s="238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44"/>
    </row>
    <row r="41" spans="1:15" x14ac:dyDescent="0.2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8.75" customHeight="1" x14ac:dyDescent="0.25">
      <c r="A42" s="58">
        <v>1</v>
      </c>
      <c r="B42" s="11" t="s">
        <v>19</v>
      </c>
      <c r="C42" s="94">
        <v>0</v>
      </c>
      <c r="D42" s="94">
        <v>0</v>
      </c>
      <c r="E42" s="94">
        <v>0</v>
      </c>
      <c r="F42" s="95">
        <v>0</v>
      </c>
      <c r="G42" s="84" t="s">
        <v>26</v>
      </c>
      <c r="H42" s="84" t="s">
        <v>26</v>
      </c>
      <c r="I42" s="84">
        <v>0</v>
      </c>
      <c r="J42" s="92" t="s">
        <v>26</v>
      </c>
      <c r="K42" s="94">
        <v>0</v>
      </c>
      <c r="L42" s="94">
        <v>0</v>
      </c>
      <c r="M42" s="94">
        <v>0</v>
      </c>
      <c r="N42" s="59"/>
      <c r="O42" s="88">
        <f>SUM(C42:N42)</f>
        <v>0</v>
      </c>
    </row>
    <row r="43" spans="1:15" ht="18.75" customHeight="1" x14ac:dyDescent="0.25">
      <c r="A43" s="60">
        <v>2</v>
      </c>
      <c r="B43" s="15" t="s">
        <v>20</v>
      </c>
      <c r="C43" s="96">
        <v>0</v>
      </c>
      <c r="D43" s="96">
        <v>0</v>
      </c>
      <c r="E43" s="96">
        <v>0</v>
      </c>
      <c r="F43" s="93" t="s">
        <v>26</v>
      </c>
      <c r="G43" s="93" t="s">
        <v>26</v>
      </c>
      <c r="H43" s="85" t="s">
        <v>26</v>
      </c>
      <c r="I43" s="85" t="s">
        <v>26</v>
      </c>
      <c r="J43" s="93" t="s">
        <v>26</v>
      </c>
      <c r="K43" s="96">
        <v>0</v>
      </c>
      <c r="L43" s="96">
        <v>0</v>
      </c>
      <c r="M43" s="96">
        <v>0</v>
      </c>
      <c r="N43" s="61"/>
      <c r="O43" s="71">
        <f t="shared" ref="O43:O49" si="2">SUM(C43:N43)</f>
        <v>0</v>
      </c>
    </row>
    <row r="44" spans="1:15" ht="18.75" customHeight="1" x14ac:dyDescent="0.25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85" t="s">
        <v>26</v>
      </c>
      <c r="G44" s="85" t="s">
        <v>26</v>
      </c>
      <c r="H44" s="85" t="s">
        <v>26</v>
      </c>
      <c r="I44" s="85" t="s">
        <v>26</v>
      </c>
      <c r="J44" s="85" t="s">
        <v>26</v>
      </c>
      <c r="K44" s="61">
        <v>0</v>
      </c>
      <c r="L44" s="61">
        <v>0</v>
      </c>
      <c r="M44" s="61">
        <v>0</v>
      </c>
      <c r="N44" s="61"/>
      <c r="O44" s="71">
        <f t="shared" si="2"/>
        <v>0</v>
      </c>
    </row>
    <row r="45" spans="1:15" ht="18.75" customHeight="1" x14ac:dyDescent="0.25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85">
        <v>0</v>
      </c>
      <c r="G45" s="61">
        <v>0</v>
      </c>
      <c r="H45" s="85">
        <v>0</v>
      </c>
      <c r="I45" s="85">
        <v>0</v>
      </c>
      <c r="J45" s="61">
        <v>0</v>
      </c>
      <c r="K45" s="61">
        <v>0</v>
      </c>
      <c r="L45" s="86">
        <v>0</v>
      </c>
      <c r="M45" s="61">
        <v>0</v>
      </c>
      <c r="N45" s="61"/>
      <c r="O45" s="71">
        <f t="shared" si="2"/>
        <v>0</v>
      </c>
    </row>
    <row r="46" spans="1:15" ht="18.75" customHeight="1" x14ac:dyDescent="0.25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85" t="s">
        <v>26</v>
      </c>
      <c r="G46" s="85" t="s">
        <v>26</v>
      </c>
      <c r="H46" s="85" t="s">
        <v>26</v>
      </c>
      <c r="I46" s="85">
        <v>0</v>
      </c>
      <c r="J46" s="85" t="s">
        <v>26</v>
      </c>
      <c r="K46" s="61">
        <v>0</v>
      </c>
      <c r="L46" s="61">
        <v>0</v>
      </c>
      <c r="M46" s="61">
        <v>0</v>
      </c>
      <c r="N46" s="61"/>
      <c r="O46" s="71">
        <f t="shared" si="2"/>
        <v>0</v>
      </c>
    </row>
    <row r="47" spans="1:15" ht="18.75" customHeight="1" x14ac:dyDescent="0.25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85" t="s">
        <v>26</v>
      </c>
      <c r="G47" s="85" t="s">
        <v>26</v>
      </c>
      <c r="H47" s="85" t="s">
        <v>26</v>
      </c>
      <c r="I47" s="85" t="s">
        <v>26</v>
      </c>
      <c r="J47" s="85" t="s">
        <v>26</v>
      </c>
      <c r="K47" s="61">
        <v>0</v>
      </c>
      <c r="L47" s="61">
        <v>0</v>
      </c>
      <c r="M47" s="61">
        <v>0</v>
      </c>
      <c r="N47" s="86">
        <v>0</v>
      </c>
      <c r="O47" s="71">
        <f t="shared" si="2"/>
        <v>0</v>
      </c>
    </row>
    <row r="48" spans="1:15" ht="18.75" customHeight="1" x14ac:dyDescent="0.25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85" t="s">
        <v>26</v>
      </c>
      <c r="G48" s="85" t="s">
        <v>26</v>
      </c>
      <c r="H48" s="85" t="s">
        <v>26</v>
      </c>
      <c r="I48" s="85" t="s">
        <v>26</v>
      </c>
      <c r="J48" s="85" t="s">
        <v>26</v>
      </c>
      <c r="K48" s="61">
        <v>0</v>
      </c>
      <c r="L48" s="61">
        <v>0</v>
      </c>
      <c r="M48" s="61">
        <v>0</v>
      </c>
      <c r="N48" s="61"/>
      <c r="O48" s="71">
        <f t="shared" si="2"/>
        <v>0</v>
      </c>
    </row>
    <row r="49" spans="1:15" ht="18.75" customHeight="1" x14ac:dyDescent="0.25">
      <c r="A49" s="62">
        <v>8</v>
      </c>
      <c r="B49" s="18" t="s">
        <v>27</v>
      </c>
      <c r="C49" s="63">
        <v>0</v>
      </c>
      <c r="D49" s="63">
        <v>0</v>
      </c>
      <c r="E49" s="63">
        <v>0</v>
      </c>
      <c r="F49" s="87">
        <v>0</v>
      </c>
      <c r="G49" s="87">
        <v>0</v>
      </c>
      <c r="H49" s="87">
        <v>0</v>
      </c>
      <c r="I49" s="87" t="s">
        <v>26</v>
      </c>
      <c r="J49" s="87">
        <v>1</v>
      </c>
      <c r="K49" s="63">
        <v>0</v>
      </c>
      <c r="L49" s="63">
        <v>0</v>
      </c>
      <c r="M49" s="63">
        <v>1</v>
      </c>
      <c r="N49" s="63"/>
      <c r="O49" s="90">
        <f t="shared" si="2"/>
        <v>2</v>
      </c>
    </row>
    <row r="50" spans="1:15" ht="18.75" customHeight="1" x14ac:dyDescent="0.25">
      <c r="A50" s="235" t="s">
        <v>28</v>
      </c>
      <c r="B50" s="236"/>
      <c r="C50" s="64">
        <f t="shared" ref="C50:O50" si="3">SUM(C42:C49)</f>
        <v>0</v>
      </c>
      <c r="D50" s="64">
        <f t="shared" si="3"/>
        <v>0</v>
      </c>
      <c r="E50" s="64">
        <f t="shared" si="3"/>
        <v>0</v>
      </c>
      <c r="F50" s="67">
        <f t="shared" si="3"/>
        <v>0</v>
      </c>
      <c r="G50" s="64">
        <f t="shared" si="3"/>
        <v>0</v>
      </c>
      <c r="H50" s="64">
        <f t="shared" si="3"/>
        <v>0</v>
      </c>
      <c r="I50" s="64">
        <f t="shared" si="3"/>
        <v>0</v>
      </c>
      <c r="J50" s="64">
        <f t="shared" si="3"/>
        <v>1</v>
      </c>
      <c r="K50" s="64">
        <f t="shared" si="3"/>
        <v>0</v>
      </c>
      <c r="L50" s="67">
        <f t="shared" si="3"/>
        <v>0</v>
      </c>
      <c r="M50" s="64">
        <f t="shared" si="3"/>
        <v>1</v>
      </c>
      <c r="N50" s="64">
        <f t="shared" si="3"/>
        <v>0</v>
      </c>
      <c r="O50" s="67">
        <f t="shared" si="3"/>
        <v>2</v>
      </c>
    </row>
    <row r="51" spans="1:15" x14ac:dyDescent="0.2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5" ht="18.75" x14ac:dyDescent="0.3">
      <c r="A68" s="242" t="s">
        <v>69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5" ht="18.75" x14ac:dyDescent="0.3">
      <c r="A69" s="241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</row>
    <row r="70" spans="1:15" ht="18.75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5" x14ac:dyDescent="0.25">
      <c r="A72" s="237" t="s">
        <v>2</v>
      </c>
      <c r="B72" s="237" t="s">
        <v>3</v>
      </c>
      <c r="C72" s="243" t="s">
        <v>4</v>
      </c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37" t="s">
        <v>5</v>
      </c>
    </row>
    <row r="73" spans="1:15" x14ac:dyDescent="0.25">
      <c r="A73" s="238"/>
      <c r="B73" s="23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44"/>
    </row>
    <row r="74" spans="1:15" x14ac:dyDescent="0.2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 x14ac:dyDescent="0.25">
      <c r="A75" s="58">
        <v>1</v>
      </c>
      <c r="B75" s="11" t="s">
        <v>19</v>
      </c>
      <c r="C75" s="97">
        <v>0</v>
      </c>
      <c r="D75" s="94">
        <v>0</v>
      </c>
      <c r="E75" s="97">
        <v>0</v>
      </c>
      <c r="F75" s="95">
        <v>0</v>
      </c>
      <c r="G75" s="95" t="s">
        <v>26</v>
      </c>
      <c r="H75" s="95" t="s">
        <v>26</v>
      </c>
      <c r="I75" s="95">
        <v>0</v>
      </c>
      <c r="J75" s="92" t="s">
        <v>26</v>
      </c>
      <c r="K75" s="94">
        <v>0</v>
      </c>
      <c r="L75" s="94">
        <v>0</v>
      </c>
      <c r="M75" s="94">
        <v>0</v>
      </c>
      <c r="N75" s="59"/>
      <c r="O75" s="88">
        <f>SUM(C75:N75)</f>
        <v>0</v>
      </c>
    </row>
    <row r="76" spans="1:15" ht="18.75" customHeight="1" x14ac:dyDescent="0.25">
      <c r="A76" s="60">
        <v>2</v>
      </c>
      <c r="B76" s="15" t="s">
        <v>20</v>
      </c>
      <c r="C76" s="98">
        <v>0</v>
      </c>
      <c r="D76" s="96">
        <v>0</v>
      </c>
      <c r="E76" s="98">
        <v>0</v>
      </c>
      <c r="F76" s="99" t="s">
        <v>26</v>
      </c>
      <c r="G76" s="93" t="s">
        <v>26</v>
      </c>
      <c r="H76" s="100" t="s">
        <v>26</v>
      </c>
      <c r="I76" s="100" t="s">
        <v>26</v>
      </c>
      <c r="J76" s="93" t="s">
        <v>26</v>
      </c>
      <c r="K76" s="96">
        <v>0</v>
      </c>
      <c r="L76" s="96">
        <v>0</v>
      </c>
      <c r="M76" s="96">
        <v>0</v>
      </c>
      <c r="N76" s="61"/>
      <c r="O76" s="89">
        <f t="shared" ref="O76:O82" si="4">SUM(C76:N76)</f>
        <v>0</v>
      </c>
    </row>
    <row r="77" spans="1:15" ht="18.75" customHeight="1" x14ac:dyDescent="0.25">
      <c r="A77" s="60">
        <v>3</v>
      </c>
      <c r="B77" s="11" t="s">
        <v>21</v>
      </c>
      <c r="C77" s="86">
        <v>0</v>
      </c>
      <c r="D77" s="61">
        <v>0</v>
      </c>
      <c r="E77" s="86">
        <v>0</v>
      </c>
      <c r="F77" s="100" t="s">
        <v>26</v>
      </c>
      <c r="G77" s="85" t="s">
        <v>26</v>
      </c>
      <c r="H77" s="100" t="s">
        <v>26</v>
      </c>
      <c r="I77" s="100" t="s">
        <v>26</v>
      </c>
      <c r="J77" s="85" t="s">
        <v>26</v>
      </c>
      <c r="K77" s="61">
        <v>0</v>
      </c>
      <c r="L77" s="61">
        <v>0</v>
      </c>
      <c r="M77" s="61">
        <v>0</v>
      </c>
      <c r="N77" s="61"/>
      <c r="O77" s="89">
        <f t="shared" si="4"/>
        <v>0</v>
      </c>
    </row>
    <row r="78" spans="1:15" ht="18.75" customHeight="1" x14ac:dyDescent="0.25">
      <c r="A78" s="60">
        <v>4</v>
      </c>
      <c r="B78" s="18" t="s">
        <v>22</v>
      </c>
      <c r="C78" s="86">
        <v>0</v>
      </c>
      <c r="D78" s="86">
        <v>0</v>
      </c>
      <c r="E78" s="86">
        <v>0</v>
      </c>
      <c r="F78" s="100">
        <v>0</v>
      </c>
      <c r="G78" s="86">
        <v>0</v>
      </c>
      <c r="H78" s="100">
        <v>0</v>
      </c>
      <c r="I78" s="100">
        <v>0</v>
      </c>
      <c r="J78" s="86">
        <v>0</v>
      </c>
      <c r="K78" s="61">
        <v>0</v>
      </c>
      <c r="L78" s="86">
        <v>0</v>
      </c>
      <c r="M78" s="86">
        <v>0</v>
      </c>
      <c r="N78" s="86"/>
      <c r="O78" s="89">
        <f t="shared" si="4"/>
        <v>0</v>
      </c>
    </row>
    <row r="79" spans="1:15" ht="18.75" customHeight="1" x14ac:dyDescent="0.25">
      <c r="A79" s="60">
        <v>5</v>
      </c>
      <c r="B79" s="19" t="s">
        <v>23</v>
      </c>
      <c r="C79" s="86">
        <v>0</v>
      </c>
      <c r="D79" s="86">
        <v>0</v>
      </c>
      <c r="E79" s="86">
        <v>0</v>
      </c>
      <c r="F79" s="100" t="s">
        <v>26</v>
      </c>
      <c r="G79" s="85" t="s">
        <v>26</v>
      </c>
      <c r="H79" s="100" t="s">
        <v>26</v>
      </c>
      <c r="I79" s="100">
        <v>0</v>
      </c>
      <c r="J79" s="85" t="s">
        <v>26</v>
      </c>
      <c r="K79" s="61">
        <v>0</v>
      </c>
      <c r="L79" s="61">
        <v>0</v>
      </c>
      <c r="M79" s="61">
        <v>0</v>
      </c>
      <c r="N79" s="61"/>
      <c r="O79" s="89">
        <f t="shared" si="4"/>
        <v>0</v>
      </c>
    </row>
    <row r="80" spans="1:15" ht="18.75" customHeight="1" x14ac:dyDescent="0.25">
      <c r="A80" s="60">
        <v>6</v>
      </c>
      <c r="B80" s="19" t="s">
        <v>24</v>
      </c>
      <c r="C80" s="86">
        <v>0</v>
      </c>
      <c r="D80" s="86">
        <v>0</v>
      </c>
      <c r="E80" s="86">
        <v>0</v>
      </c>
      <c r="F80" s="100" t="s">
        <v>26</v>
      </c>
      <c r="G80" s="85" t="s">
        <v>26</v>
      </c>
      <c r="H80" s="100" t="s">
        <v>26</v>
      </c>
      <c r="I80" s="100" t="s">
        <v>26</v>
      </c>
      <c r="J80" s="85" t="s">
        <v>26</v>
      </c>
      <c r="K80" s="61">
        <v>0</v>
      </c>
      <c r="L80" s="61">
        <v>0</v>
      </c>
      <c r="M80" s="61">
        <v>0</v>
      </c>
      <c r="N80" s="86">
        <v>0</v>
      </c>
      <c r="O80" s="89">
        <f t="shared" si="4"/>
        <v>0</v>
      </c>
    </row>
    <row r="81" spans="1:15" ht="18.75" customHeight="1" x14ac:dyDescent="0.25">
      <c r="A81" s="60">
        <v>7</v>
      </c>
      <c r="B81" s="19" t="s">
        <v>25</v>
      </c>
      <c r="C81" s="86">
        <v>0</v>
      </c>
      <c r="D81" s="86">
        <v>0</v>
      </c>
      <c r="E81" s="86">
        <v>0</v>
      </c>
      <c r="F81" s="100" t="s">
        <v>26</v>
      </c>
      <c r="G81" s="85" t="s">
        <v>26</v>
      </c>
      <c r="H81" s="100" t="s">
        <v>26</v>
      </c>
      <c r="I81" s="100" t="s">
        <v>26</v>
      </c>
      <c r="J81" s="85" t="s">
        <v>26</v>
      </c>
      <c r="K81" s="61">
        <v>0</v>
      </c>
      <c r="L81" s="61">
        <v>0</v>
      </c>
      <c r="M81" s="61">
        <v>0</v>
      </c>
      <c r="N81" s="61"/>
      <c r="O81" s="89">
        <f t="shared" si="4"/>
        <v>0</v>
      </c>
    </row>
    <row r="82" spans="1:15" ht="18.75" customHeight="1" x14ac:dyDescent="0.25">
      <c r="A82" s="62">
        <v>8</v>
      </c>
      <c r="B82" s="18" t="s">
        <v>27</v>
      </c>
      <c r="C82" s="72">
        <v>0</v>
      </c>
      <c r="D82" s="72">
        <v>0</v>
      </c>
      <c r="E82" s="72">
        <v>0</v>
      </c>
      <c r="F82" s="66">
        <v>0</v>
      </c>
      <c r="G82" s="66">
        <v>0</v>
      </c>
      <c r="H82" s="66">
        <v>0</v>
      </c>
      <c r="I82" s="66" t="s">
        <v>26</v>
      </c>
      <c r="J82" s="66">
        <v>1.2</v>
      </c>
      <c r="K82" s="63">
        <v>0</v>
      </c>
      <c r="L82" s="72">
        <v>0</v>
      </c>
      <c r="M82" s="72">
        <v>1.2</v>
      </c>
      <c r="N82" s="63">
        <v>0</v>
      </c>
      <c r="O82" s="73">
        <f t="shared" si="4"/>
        <v>2.4</v>
      </c>
    </row>
    <row r="83" spans="1:15" ht="18.75" customHeight="1" x14ac:dyDescent="0.25">
      <c r="A83" s="235" t="s">
        <v>28</v>
      </c>
      <c r="B83" s="236"/>
      <c r="C83" s="67">
        <f t="shared" ref="C83:O83" si="5">SUM(C75:C82)</f>
        <v>0</v>
      </c>
      <c r="D83" s="67">
        <f t="shared" si="5"/>
        <v>0</v>
      </c>
      <c r="E83" s="67">
        <f t="shared" si="5"/>
        <v>0</v>
      </c>
      <c r="F83" s="67">
        <f t="shared" si="5"/>
        <v>0</v>
      </c>
      <c r="G83" s="67">
        <f t="shared" si="5"/>
        <v>0</v>
      </c>
      <c r="H83" s="67">
        <f t="shared" si="5"/>
        <v>0</v>
      </c>
      <c r="I83" s="67">
        <f t="shared" si="5"/>
        <v>0</v>
      </c>
      <c r="J83" s="67">
        <f t="shared" si="5"/>
        <v>1.2</v>
      </c>
      <c r="K83" s="67">
        <f t="shared" si="5"/>
        <v>0</v>
      </c>
      <c r="L83" s="67">
        <f t="shared" si="5"/>
        <v>0</v>
      </c>
      <c r="M83" s="64">
        <f t="shared" si="5"/>
        <v>1.2</v>
      </c>
      <c r="N83" s="67">
        <f t="shared" si="5"/>
        <v>0</v>
      </c>
      <c r="O83" s="67">
        <f t="shared" si="5"/>
        <v>2.4</v>
      </c>
    </row>
    <row r="84" spans="1:15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spans="1:15" x14ac:dyDescent="0.2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101" spans="1:15" ht="18.75" x14ac:dyDescent="0.3">
      <c r="A101" s="242" t="s">
        <v>70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5" ht="18.75" x14ac:dyDescent="0.3">
      <c r="A102" s="241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</row>
    <row r="103" spans="1:15" ht="18.75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</row>
    <row r="106" spans="1:15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</row>
    <row r="107" spans="1:15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 x14ac:dyDescent="0.25">
      <c r="A108" s="58">
        <v>1</v>
      </c>
      <c r="B108" s="11" t="s">
        <v>19</v>
      </c>
      <c r="C108" s="94">
        <v>0</v>
      </c>
      <c r="D108" s="101">
        <v>0</v>
      </c>
      <c r="E108" s="101">
        <v>0</v>
      </c>
      <c r="F108" s="102">
        <v>0</v>
      </c>
      <c r="G108" s="102" t="s">
        <v>26</v>
      </c>
      <c r="H108" s="102" t="s">
        <v>26</v>
      </c>
      <c r="I108" s="102">
        <v>0</v>
      </c>
      <c r="J108" s="92" t="s">
        <v>26</v>
      </c>
      <c r="K108" s="94">
        <v>0</v>
      </c>
      <c r="L108" s="94">
        <v>0</v>
      </c>
      <c r="M108" s="94">
        <v>0</v>
      </c>
      <c r="N108" s="91"/>
      <c r="O108" s="106" t="e">
        <f>O75/O42*10</f>
        <v>#DIV/0!</v>
      </c>
    </row>
    <row r="109" spans="1:15" ht="18.75" customHeight="1" x14ac:dyDescent="0.25">
      <c r="A109" s="60">
        <v>2</v>
      </c>
      <c r="B109" s="15" t="s">
        <v>20</v>
      </c>
      <c r="C109" s="96">
        <v>0</v>
      </c>
      <c r="D109" s="96">
        <v>0</v>
      </c>
      <c r="E109" s="96">
        <v>0</v>
      </c>
      <c r="F109" s="99" t="s">
        <v>26</v>
      </c>
      <c r="G109" s="93" t="s">
        <v>26</v>
      </c>
      <c r="H109" s="103" t="s">
        <v>26</v>
      </c>
      <c r="I109" s="103">
        <v>0</v>
      </c>
      <c r="J109" s="93" t="s">
        <v>26</v>
      </c>
      <c r="K109" s="96">
        <v>0</v>
      </c>
      <c r="L109" s="96">
        <v>0</v>
      </c>
      <c r="M109" s="96">
        <v>0</v>
      </c>
      <c r="N109" s="86"/>
      <c r="O109" s="82" t="e">
        <f>O76/O43*10</f>
        <v>#DIV/0!</v>
      </c>
    </row>
    <row r="110" spans="1:15" ht="18.75" customHeight="1" x14ac:dyDescent="0.25">
      <c r="A110" s="60">
        <v>3</v>
      </c>
      <c r="B110" s="11" t="s">
        <v>21</v>
      </c>
      <c r="C110" s="61">
        <v>0</v>
      </c>
      <c r="D110" s="61">
        <v>0</v>
      </c>
      <c r="E110" s="61">
        <v>0</v>
      </c>
      <c r="F110" s="100" t="s">
        <v>26</v>
      </c>
      <c r="G110" s="85" t="s">
        <v>26</v>
      </c>
      <c r="H110" s="103" t="s">
        <v>26</v>
      </c>
      <c r="I110" s="103" t="s">
        <v>26</v>
      </c>
      <c r="J110" s="85" t="s">
        <v>26</v>
      </c>
      <c r="K110" s="61">
        <v>0</v>
      </c>
      <c r="L110" s="61">
        <v>0</v>
      </c>
      <c r="M110" s="61">
        <v>0</v>
      </c>
      <c r="N110" s="86"/>
      <c r="O110" s="82" t="e">
        <f>O77/O44*10</f>
        <v>#DIV/0!</v>
      </c>
    </row>
    <row r="111" spans="1:15" ht="18.75" customHeight="1" x14ac:dyDescent="0.25">
      <c r="A111" s="60">
        <v>4</v>
      </c>
      <c r="B111" s="18" t="s">
        <v>22</v>
      </c>
      <c r="C111" s="78">
        <v>0</v>
      </c>
      <c r="D111" s="104">
        <v>0</v>
      </c>
      <c r="E111" s="104">
        <v>0</v>
      </c>
      <c r="F111" s="103">
        <v>0</v>
      </c>
      <c r="G111" s="78">
        <v>0</v>
      </c>
      <c r="H111" s="103">
        <v>0</v>
      </c>
      <c r="I111" s="103">
        <v>0</v>
      </c>
      <c r="J111" s="78">
        <v>0</v>
      </c>
      <c r="K111" s="61">
        <v>0</v>
      </c>
      <c r="L111" s="78">
        <v>0</v>
      </c>
      <c r="M111" s="78">
        <v>0</v>
      </c>
      <c r="N111" s="78">
        <v>0</v>
      </c>
      <c r="O111" s="82" t="e">
        <f>O78/O45*10</f>
        <v>#DIV/0!</v>
      </c>
    </row>
    <row r="112" spans="1:15" ht="18.75" customHeight="1" x14ac:dyDescent="0.25">
      <c r="A112" s="60">
        <v>5</v>
      </c>
      <c r="B112" s="19" t="s">
        <v>23</v>
      </c>
      <c r="C112" s="61">
        <v>0</v>
      </c>
      <c r="D112" s="61">
        <v>0</v>
      </c>
      <c r="E112" s="61">
        <v>0</v>
      </c>
      <c r="F112" s="100" t="s">
        <v>26</v>
      </c>
      <c r="G112" s="85" t="s">
        <v>26</v>
      </c>
      <c r="H112" s="103" t="s">
        <v>26</v>
      </c>
      <c r="I112" s="103">
        <v>0</v>
      </c>
      <c r="J112" s="61">
        <v>0</v>
      </c>
      <c r="K112" s="61">
        <v>0</v>
      </c>
      <c r="L112" s="61">
        <v>0</v>
      </c>
      <c r="M112" s="61">
        <v>0</v>
      </c>
      <c r="N112" s="86"/>
      <c r="O112" s="82" t="e">
        <f>O79/O46*10</f>
        <v>#DIV/0!</v>
      </c>
    </row>
    <row r="113" spans="1:15" ht="18.75" customHeight="1" x14ac:dyDescent="0.25">
      <c r="A113" s="60">
        <v>6</v>
      </c>
      <c r="B113" s="19" t="s">
        <v>24</v>
      </c>
      <c r="C113" s="61">
        <v>0</v>
      </c>
      <c r="D113" s="78">
        <v>0</v>
      </c>
      <c r="E113" s="78">
        <v>0</v>
      </c>
      <c r="F113" s="100" t="s">
        <v>26</v>
      </c>
      <c r="G113" s="85" t="s">
        <v>26</v>
      </c>
      <c r="H113" s="103" t="s">
        <v>26</v>
      </c>
      <c r="I113" s="103" t="s">
        <v>26</v>
      </c>
      <c r="J113" s="61">
        <v>0</v>
      </c>
      <c r="K113" s="61">
        <v>0</v>
      </c>
      <c r="L113" s="61">
        <v>0</v>
      </c>
      <c r="M113" s="61">
        <v>0</v>
      </c>
      <c r="N113" s="78">
        <v>0</v>
      </c>
      <c r="O113" s="82" t="e">
        <f t="shared" ref="O113:O115" si="6">O80/O47*10</f>
        <v>#DIV/0!</v>
      </c>
    </row>
    <row r="114" spans="1:15" ht="18.75" customHeight="1" x14ac:dyDescent="0.25">
      <c r="A114" s="60">
        <v>7</v>
      </c>
      <c r="B114" s="19" t="s">
        <v>25</v>
      </c>
      <c r="C114" s="61">
        <v>0</v>
      </c>
      <c r="D114" s="61">
        <v>0</v>
      </c>
      <c r="E114" s="61">
        <v>0</v>
      </c>
      <c r="F114" s="100" t="s">
        <v>26</v>
      </c>
      <c r="G114" s="85" t="s">
        <v>26</v>
      </c>
      <c r="H114" s="103" t="s">
        <v>26</v>
      </c>
      <c r="I114" s="103" t="s">
        <v>26</v>
      </c>
      <c r="J114" s="61">
        <v>0</v>
      </c>
      <c r="K114" s="61">
        <v>0</v>
      </c>
      <c r="L114" s="61">
        <v>0</v>
      </c>
      <c r="M114" s="61">
        <v>0</v>
      </c>
      <c r="N114" s="86"/>
      <c r="O114" s="82" t="e">
        <f t="shared" si="6"/>
        <v>#DIV/0!</v>
      </c>
    </row>
    <row r="115" spans="1:15" ht="18.75" customHeight="1" x14ac:dyDescent="0.25">
      <c r="A115" s="62">
        <v>8</v>
      </c>
      <c r="B115" s="18" t="s">
        <v>27</v>
      </c>
      <c r="C115" s="79">
        <v>0</v>
      </c>
      <c r="D115" s="79">
        <v>0</v>
      </c>
      <c r="E115" s="79">
        <v>0</v>
      </c>
      <c r="F115" s="105">
        <v>0</v>
      </c>
      <c r="G115" s="105">
        <v>0</v>
      </c>
      <c r="H115" s="105">
        <v>0</v>
      </c>
      <c r="I115" s="105" t="s">
        <v>26</v>
      </c>
      <c r="J115" s="63">
        <v>12</v>
      </c>
      <c r="K115" s="63">
        <v>0</v>
      </c>
      <c r="L115" s="79">
        <v>0</v>
      </c>
      <c r="M115" s="63">
        <v>12</v>
      </c>
      <c r="N115" s="72"/>
      <c r="O115" s="82">
        <f t="shared" si="6"/>
        <v>12</v>
      </c>
    </row>
    <row r="116" spans="1:15" ht="18.75" customHeight="1" x14ac:dyDescent="0.25">
      <c r="A116" s="235" t="s">
        <v>28</v>
      </c>
      <c r="B116" s="236"/>
      <c r="C116" s="80">
        <f t="shared" ref="C116:H116" si="7">SUM(C108:C115)</f>
        <v>0</v>
      </c>
      <c r="D116" s="80">
        <f t="shared" si="7"/>
        <v>0</v>
      </c>
      <c r="E116" s="80">
        <f t="shared" si="7"/>
        <v>0</v>
      </c>
      <c r="F116" s="80">
        <f t="shared" si="7"/>
        <v>0</v>
      </c>
      <c r="G116" s="80">
        <f t="shared" si="7"/>
        <v>0</v>
      </c>
      <c r="H116" s="80">
        <f t="shared" si="7"/>
        <v>0</v>
      </c>
      <c r="I116" s="80">
        <f t="shared" ref="I116:N116" si="8">SUM(I108:I115)</f>
        <v>0</v>
      </c>
      <c r="J116" s="80">
        <f t="shared" si="8"/>
        <v>12</v>
      </c>
      <c r="K116" s="80">
        <f t="shared" si="8"/>
        <v>0</v>
      </c>
      <c r="L116" s="80">
        <f t="shared" si="8"/>
        <v>0</v>
      </c>
      <c r="M116" s="80">
        <f t="shared" si="8"/>
        <v>12</v>
      </c>
      <c r="N116" s="80">
        <f t="shared" si="8"/>
        <v>0</v>
      </c>
      <c r="O116" s="80">
        <f ca="1">O108:O116</f>
        <v>0</v>
      </c>
    </row>
    <row r="117" spans="1:15" x14ac:dyDescent="0.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8" spans="1:15" x14ac:dyDescent="0.25">
      <c r="E118" s="83"/>
    </row>
    <row r="119" spans="1:15" x14ac:dyDescent="0.25">
      <c r="L119" s="65"/>
    </row>
    <row r="120" spans="1:15" x14ac:dyDescent="0.25">
      <c r="L120" s="65"/>
    </row>
    <row r="121" spans="1:15" x14ac:dyDescent="0.25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121"/>
  <sheetViews>
    <sheetView topLeftCell="A126" zoomScale="90" zoomScaleNormal="90" workbookViewId="0">
      <selection activeCell="A148" sqref="A148"/>
    </sheetView>
  </sheetViews>
  <sheetFormatPr defaultColWidth="9"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242" t="s">
        <v>71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7" ht="18.75" x14ac:dyDescent="0.3">
      <c r="A3" s="241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7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 x14ac:dyDescent="0.25">
      <c r="A6" s="237" t="s">
        <v>2</v>
      </c>
      <c r="B6" s="237" t="s">
        <v>3</v>
      </c>
      <c r="C6" s="247" t="s">
        <v>4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37" t="s">
        <v>5</v>
      </c>
    </row>
    <row r="7" spans="1:17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7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51</v>
      </c>
    </row>
    <row r="9" spans="1:17" ht="18.75" customHeight="1" x14ac:dyDescent="0.25">
      <c r="A9" s="58">
        <v>1</v>
      </c>
      <c r="B9" s="11" t="s">
        <v>19</v>
      </c>
      <c r="C9" s="59">
        <v>0</v>
      </c>
      <c r="D9" s="59">
        <v>0</v>
      </c>
      <c r="E9" s="59">
        <v>0</v>
      </c>
      <c r="F9" s="84" t="s">
        <v>26</v>
      </c>
      <c r="G9" s="84" t="s">
        <v>26</v>
      </c>
      <c r="H9" s="84" t="s">
        <v>26</v>
      </c>
      <c r="I9" s="84" t="s">
        <v>26</v>
      </c>
      <c r="J9" s="84" t="s">
        <v>26</v>
      </c>
      <c r="K9" s="59">
        <v>0</v>
      </c>
      <c r="L9" s="59">
        <v>0</v>
      </c>
      <c r="M9" s="59">
        <v>0</v>
      </c>
      <c r="N9" s="59"/>
      <c r="O9" s="88">
        <f>SUM(C9:N9)</f>
        <v>0</v>
      </c>
      <c r="Q9" s="76">
        <f>SUM(L9:M9)</f>
        <v>0</v>
      </c>
    </row>
    <row r="10" spans="1:17" ht="18.75" customHeight="1" x14ac:dyDescent="0.25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85" t="s">
        <v>26</v>
      </c>
      <c r="G10" s="85" t="s">
        <v>26</v>
      </c>
      <c r="H10" s="85" t="s">
        <v>26</v>
      </c>
      <c r="I10" s="85" t="s">
        <v>26</v>
      </c>
      <c r="J10" s="85" t="s">
        <v>26</v>
      </c>
      <c r="K10" s="61">
        <v>0</v>
      </c>
      <c r="L10" s="61">
        <v>0</v>
      </c>
      <c r="M10" s="61">
        <v>0</v>
      </c>
      <c r="N10" s="61"/>
      <c r="O10" s="89">
        <f t="shared" ref="O10:O16" si="0">SUM(C10:N10)</f>
        <v>0</v>
      </c>
      <c r="Q10" s="76">
        <f t="shared" ref="Q10:Q16" si="1">SUM(L10:M10)</f>
        <v>0</v>
      </c>
    </row>
    <row r="11" spans="1:17" ht="18.75" customHeight="1" x14ac:dyDescent="0.25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85" t="s">
        <v>26</v>
      </c>
      <c r="G11" s="85" t="s">
        <v>26</v>
      </c>
      <c r="H11" s="85" t="s">
        <v>26</v>
      </c>
      <c r="I11" s="85" t="s">
        <v>26</v>
      </c>
      <c r="J11" s="85" t="s">
        <v>26</v>
      </c>
      <c r="K11" s="61">
        <v>0</v>
      </c>
      <c r="L11" s="61">
        <v>0</v>
      </c>
      <c r="M11" s="61">
        <v>0</v>
      </c>
      <c r="N11" s="61"/>
      <c r="O11" s="89">
        <f t="shared" si="0"/>
        <v>0</v>
      </c>
      <c r="Q11" s="76">
        <f t="shared" si="1"/>
        <v>0</v>
      </c>
    </row>
    <row r="12" spans="1:17" ht="18.75" customHeight="1" x14ac:dyDescent="0.25">
      <c r="A12" s="60">
        <v>4</v>
      </c>
      <c r="B12" s="18" t="s">
        <v>22</v>
      </c>
      <c r="C12" s="61">
        <v>0</v>
      </c>
      <c r="D12" s="86">
        <v>0</v>
      </c>
      <c r="E12" s="61">
        <v>0</v>
      </c>
      <c r="F12" s="85" t="s">
        <v>26</v>
      </c>
      <c r="G12" s="85" t="s">
        <v>26</v>
      </c>
      <c r="H12" s="85" t="s">
        <v>26</v>
      </c>
      <c r="I12" s="85" t="s">
        <v>26</v>
      </c>
      <c r="J12" s="85" t="s">
        <v>26</v>
      </c>
      <c r="K12" s="61">
        <v>0</v>
      </c>
      <c r="L12" s="61">
        <v>0</v>
      </c>
      <c r="M12" s="61">
        <v>0</v>
      </c>
      <c r="N12" s="61"/>
      <c r="O12" s="89">
        <f t="shared" si="0"/>
        <v>0</v>
      </c>
      <c r="Q12" s="76">
        <f t="shared" si="1"/>
        <v>0</v>
      </c>
    </row>
    <row r="13" spans="1:17" ht="18.75" customHeight="1" x14ac:dyDescent="0.25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85" t="s">
        <v>26</v>
      </c>
      <c r="G13" s="85" t="s">
        <v>26</v>
      </c>
      <c r="H13" s="85" t="s">
        <v>26</v>
      </c>
      <c r="I13" s="85" t="s">
        <v>26</v>
      </c>
      <c r="J13" s="85" t="s">
        <v>26</v>
      </c>
      <c r="K13" s="61">
        <v>0</v>
      </c>
      <c r="L13" s="61">
        <v>0</v>
      </c>
      <c r="M13" s="61">
        <v>0</v>
      </c>
      <c r="N13" s="61"/>
      <c r="O13" s="89">
        <f t="shared" si="0"/>
        <v>0</v>
      </c>
      <c r="Q13" s="76">
        <f t="shared" si="1"/>
        <v>0</v>
      </c>
    </row>
    <row r="14" spans="1:17" ht="18.75" customHeight="1" x14ac:dyDescent="0.25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85" t="s">
        <v>26</v>
      </c>
      <c r="G14" s="85" t="s">
        <v>26</v>
      </c>
      <c r="H14" s="85" t="s">
        <v>26</v>
      </c>
      <c r="I14" s="85" t="s">
        <v>26</v>
      </c>
      <c r="J14" s="85" t="s">
        <v>26</v>
      </c>
      <c r="K14" s="61">
        <v>0</v>
      </c>
      <c r="L14" s="61">
        <v>0</v>
      </c>
      <c r="M14" s="61">
        <v>0</v>
      </c>
      <c r="N14" s="61"/>
      <c r="O14" s="89">
        <f t="shared" si="0"/>
        <v>0</v>
      </c>
      <c r="Q14" s="76">
        <f t="shared" si="1"/>
        <v>0</v>
      </c>
    </row>
    <row r="15" spans="1:17" ht="18.75" customHeight="1" x14ac:dyDescent="0.25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85" t="s">
        <v>26</v>
      </c>
      <c r="G15" s="85" t="s">
        <v>26</v>
      </c>
      <c r="H15" s="85" t="s">
        <v>26</v>
      </c>
      <c r="I15" s="85" t="s">
        <v>26</v>
      </c>
      <c r="J15" s="85" t="s">
        <v>26</v>
      </c>
      <c r="K15" s="61">
        <v>0</v>
      </c>
      <c r="L15" s="61">
        <v>0</v>
      </c>
      <c r="M15" s="61">
        <v>0</v>
      </c>
      <c r="N15" s="61"/>
      <c r="O15" s="89">
        <f t="shared" si="0"/>
        <v>0</v>
      </c>
      <c r="Q15" s="76">
        <f t="shared" si="1"/>
        <v>0</v>
      </c>
    </row>
    <row r="16" spans="1:17" ht="18.75" customHeight="1" x14ac:dyDescent="0.25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87" t="s">
        <v>26</v>
      </c>
      <c r="G16" s="87" t="s">
        <v>26</v>
      </c>
      <c r="H16" s="87" t="s">
        <v>26</v>
      </c>
      <c r="I16" s="87" t="s">
        <v>26</v>
      </c>
      <c r="J16" s="87" t="s">
        <v>26</v>
      </c>
      <c r="K16" s="63">
        <v>0</v>
      </c>
      <c r="L16" s="63">
        <v>0</v>
      </c>
      <c r="M16" s="63">
        <v>0</v>
      </c>
      <c r="N16" s="63"/>
      <c r="O16" s="73">
        <f t="shared" si="0"/>
        <v>0</v>
      </c>
      <c r="Q16" s="76">
        <f t="shared" si="1"/>
        <v>0</v>
      </c>
    </row>
    <row r="17" spans="1:15" ht="18.75" customHeight="1" x14ac:dyDescent="0.25">
      <c r="A17" s="235" t="s">
        <v>28</v>
      </c>
      <c r="B17" s="236"/>
      <c r="C17" s="64">
        <f t="shared" ref="C17:O17" si="2">SUM(C9:C16)</f>
        <v>0</v>
      </c>
      <c r="D17" s="67">
        <f t="shared" si="2"/>
        <v>0</v>
      </c>
      <c r="E17" s="64">
        <f t="shared" si="2"/>
        <v>0</v>
      </c>
      <c r="F17" s="64" t="s">
        <v>26</v>
      </c>
      <c r="G17" s="64">
        <f t="shared" si="2"/>
        <v>0</v>
      </c>
      <c r="H17" s="64">
        <f t="shared" si="2"/>
        <v>0</v>
      </c>
      <c r="I17" s="64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7">
        <f t="shared" si="2"/>
        <v>0</v>
      </c>
    </row>
    <row r="18" spans="1:15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.75" x14ac:dyDescent="0.3">
      <c r="A35" s="242" t="s">
        <v>72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7" ht="18.75" x14ac:dyDescent="0.3">
      <c r="A36" s="241" t="s">
        <v>111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</row>
    <row r="37" spans="1:17" ht="18.75" x14ac:dyDescent="0.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7" x14ac:dyDescent="0.25">
      <c r="A39" s="237" t="s">
        <v>2</v>
      </c>
      <c r="B39" s="237" t="s">
        <v>3</v>
      </c>
      <c r="C39" s="243" t="s">
        <v>4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37" t="s">
        <v>5</v>
      </c>
    </row>
    <row r="40" spans="1:17" x14ac:dyDescent="0.25">
      <c r="A40" s="238"/>
      <c r="B40" s="238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44"/>
    </row>
    <row r="41" spans="1:17" x14ac:dyDescent="0.2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 x14ac:dyDescent="0.25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84" t="s">
        <v>26</v>
      </c>
      <c r="G42" s="84" t="s">
        <v>26</v>
      </c>
      <c r="H42" s="84" t="s">
        <v>26</v>
      </c>
      <c r="I42" s="84" t="s">
        <v>26</v>
      </c>
      <c r="J42" s="84" t="s">
        <v>26</v>
      </c>
      <c r="K42" s="59">
        <v>0</v>
      </c>
      <c r="L42" s="59">
        <v>0</v>
      </c>
      <c r="M42" s="59">
        <v>0</v>
      </c>
      <c r="N42" s="59"/>
      <c r="O42" s="70">
        <f t="shared" ref="O42:O49" si="3">SUM(C42:N42)</f>
        <v>0</v>
      </c>
      <c r="Q42" s="76">
        <f>SUM(C42:E42)</f>
        <v>0</v>
      </c>
    </row>
    <row r="43" spans="1:17" ht="18.75" customHeight="1" x14ac:dyDescent="0.25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85" t="s">
        <v>26</v>
      </c>
      <c r="G43" s="85" t="s">
        <v>26</v>
      </c>
      <c r="H43" s="85" t="s">
        <v>26</v>
      </c>
      <c r="I43" s="85" t="s">
        <v>26</v>
      </c>
      <c r="J43" s="85" t="s">
        <v>26</v>
      </c>
      <c r="K43" s="61">
        <v>0</v>
      </c>
      <c r="L43" s="61">
        <v>0</v>
      </c>
      <c r="M43" s="61">
        <v>0</v>
      </c>
      <c r="N43" s="61"/>
      <c r="O43" s="71">
        <f t="shared" si="3"/>
        <v>0</v>
      </c>
      <c r="Q43" s="76">
        <f t="shared" ref="Q43:Q49" si="4">SUM(C43:E43)</f>
        <v>0</v>
      </c>
    </row>
    <row r="44" spans="1:17" ht="18.75" customHeight="1" x14ac:dyDescent="0.25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85" t="s">
        <v>26</v>
      </c>
      <c r="G44" s="85" t="s">
        <v>26</v>
      </c>
      <c r="H44" s="85" t="s">
        <v>26</v>
      </c>
      <c r="I44" s="85" t="s">
        <v>26</v>
      </c>
      <c r="J44" s="85" t="s">
        <v>26</v>
      </c>
      <c r="K44" s="61">
        <v>0</v>
      </c>
      <c r="L44" s="61">
        <v>0</v>
      </c>
      <c r="M44" s="61">
        <v>0</v>
      </c>
      <c r="N44" s="61"/>
      <c r="O44" s="71">
        <f t="shared" si="3"/>
        <v>0</v>
      </c>
      <c r="Q44" s="76">
        <f t="shared" si="4"/>
        <v>0</v>
      </c>
    </row>
    <row r="45" spans="1:17" ht="18.75" customHeight="1" x14ac:dyDescent="0.25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85" t="s">
        <v>26</v>
      </c>
      <c r="G45" s="85" t="s">
        <v>26</v>
      </c>
      <c r="H45" s="85" t="s">
        <v>26</v>
      </c>
      <c r="I45" s="85" t="s">
        <v>26</v>
      </c>
      <c r="J45" s="85" t="s">
        <v>26</v>
      </c>
      <c r="K45" s="61">
        <v>0</v>
      </c>
      <c r="L45" s="61">
        <v>0</v>
      </c>
      <c r="M45" s="61">
        <v>0</v>
      </c>
      <c r="N45" s="61"/>
      <c r="O45" s="71">
        <f t="shared" si="3"/>
        <v>0</v>
      </c>
      <c r="Q45" s="76">
        <f t="shared" si="4"/>
        <v>0</v>
      </c>
    </row>
    <row r="46" spans="1:17" ht="18.75" customHeight="1" x14ac:dyDescent="0.25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85" t="s">
        <v>26</v>
      </c>
      <c r="G46" s="85" t="s">
        <v>26</v>
      </c>
      <c r="H46" s="85" t="s">
        <v>26</v>
      </c>
      <c r="I46" s="85" t="s">
        <v>26</v>
      </c>
      <c r="J46" s="85" t="s">
        <v>26</v>
      </c>
      <c r="K46" s="61">
        <v>0</v>
      </c>
      <c r="L46" s="61">
        <v>0</v>
      </c>
      <c r="M46" s="61">
        <v>0</v>
      </c>
      <c r="N46" s="61"/>
      <c r="O46" s="71">
        <f t="shared" si="3"/>
        <v>0</v>
      </c>
      <c r="Q46" s="76">
        <f t="shared" si="4"/>
        <v>0</v>
      </c>
    </row>
    <row r="47" spans="1:17" ht="18.75" customHeight="1" x14ac:dyDescent="0.25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85" t="s">
        <v>26</v>
      </c>
      <c r="G47" s="85" t="s">
        <v>26</v>
      </c>
      <c r="H47" s="85" t="s">
        <v>26</v>
      </c>
      <c r="I47" s="85" t="s">
        <v>26</v>
      </c>
      <c r="J47" s="85" t="s">
        <v>26</v>
      </c>
      <c r="K47" s="61">
        <v>0</v>
      </c>
      <c r="L47" s="61">
        <v>0</v>
      </c>
      <c r="M47" s="61">
        <v>0</v>
      </c>
      <c r="N47" s="61"/>
      <c r="O47" s="71">
        <f t="shared" si="3"/>
        <v>0</v>
      </c>
      <c r="Q47" s="76">
        <f t="shared" si="4"/>
        <v>0</v>
      </c>
    </row>
    <row r="48" spans="1:17" ht="18.75" customHeight="1" x14ac:dyDescent="0.25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85" t="s">
        <v>26</v>
      </c>
      <c r="G48" s="85" t="s">
        <v>26</v>
      </c>
      <c r="H48" s="85" t="s">
        <v>26</v>
      </c>
      <c r="I48" s="85" t="s">
        <v>26</v>
      </c>
      <c r="J48" s="85" t="s">
        <v>26</v>
      </c>
      <c r="K48" s="61">
        <v>0</v>
      </c>
      <c r="L48" s="61">
        <v>0</v>
      </c>
      <c r="M48" s="61">
        <v>0</v>
      </c>
      <c r="N48" s="61"/>
      <c r="O48" s="71">
        <f t="shared" si="3"/>
        <v>0</v>
      </c>
      <c r="Q48" s="76">
        <f t="shared" si="4"/>
        <v>0</v>
      </c>
    </row>
    <row r="49" spans="1:17" ht="18.75" customHeight="1" x14ac:dyDescent="0.25">
      <c r="A49" s="62">
        <v>8</v>
      </c>
      <c r="B49" s="18" t="s">
        <v>27</v>
      </c>
      <c r="C49" s="87">
        <v>0</v>
      </c>
      <c r="D49" s="87">
        <v>0</v>
      </c>
      <c r="E49" s="87">
        <v>0</v>
      </c>
      <c r="F49" s="87" t="s">
        <v>26</v>
      </c>
      <c r="G49" s="87" t="s">
        <v>26</v>
      </c>
      <c r="H49" s="87" t="s">
        <v>26</v>
      </c>
      <c r="I49" s="87" t="s">
        <v>26</v>
      </c>
      <c r="J49" s="87" t="s">
        <v>26</v>
      </c>
      <c r="K49" s="63">
        <v>0</v>
      </c>
      <c r="L49" s="63">
        <v>0</v>
      </c>
      <c r="M49" s="63">
        <v>0</v>
      </c>
      <c r="N49" s="63"/>
      <c r="O49" s="90">
        <f t="shared" si="3"/>
        <v>0</v>
      </c>
      <c r="P49" s="74">
        <v>15</v>
      </c>
      <c r="Q49" s="76">
        <f t="shared" si="4"/>
        <v>0</v>
      </c>
    </row>
    <row r="50" spans="1:17" ht="18.75" customHeight="1" x14ac:dyDescent="0.25">
      <c r="A50" s="235" t="s">
        <v>28</v>
      </c>
      <c r="B50" s="236"/>
      <c r="C50" s="64">
        <f>SUM(C42:C49)</f>
        <v>0</v>
      </c>
      <c r="D50" s="64">
        <f t="shared" ref="D50:M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ref="N50:P50" si="6">SUM(N42:N49)</f>
        <v>0</v>
      </c>
      <c r="O50" s="64">
        <f t="shared" si="6"/>
        <v>0</v>
      </c>
      <c r="P50" s="75">
        <f t="shared" si="6"/>
        <v>15</v>
      </c>
    </row>
    <row r="51" spans="1:17" x14ac:dyDescent="0.25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.75" x14ac:dyDescent="0.3">
      <c r="A68" s="242" t="s">
        <v>73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7" ht="18.75" x14ac:dyDescent="0.3">
      <c r="A69" s="241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</row>
    <row r="70" spans="1:17" ht="18.75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7" x14ac:dyDescent="0.25">
      <c r="A72" s="237" t="s">
        <v>2</v>
      </c>
      <c r="B72" s="237" t="s">
        <v>3</v>
      </c>
      <c r="C72" s="243" t="s">
        <v>4</v>
      </c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37" t="s">
        <v>5</v>
      </c>
    </row>
    <row r="73" spans="1:17" x14ac:dyDescent="0.25">
      <c r="A73" s="238"/>
      <c r="B73" s="23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44"/>
      <c r="Q73" s="25"/>
    </row>
    <row r="74" spans="1:17" x14ac:dyDescent="0.2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 x14ac:dyDescent="0.25">
      <c r="A75" s="58">
        <v>1</v>
      </c>
      <c r="B75" s="11" t="s">
        <v>19</v>
      </c>
      <c r="C75" s="59">
        <v>0</v>
      </c>
      <c r="D75" s="59">
        <v>0</v>
      </c>
      <c r="E75" s="59">
        <v>0</v>
      </c>
      <c r="F75" s="84" t="s">
        <v>26</v>
      </c>
      <c r="G75" s="84" t="s">
        <v>26</v>
      </c>
      <c r="H75" s="84" t="s">
        <v>26</v>
      </c>
      <c r="I75" s="84" t="s">
        <v>26</v>
      </c>
      <c r="J75" s="84" t="s">
        <v>26</v>
      </c>
      <c r="K75" s="59">
        <v>0</v>
      </c>
      <c r="L75" s="59">
        <v>0</v>
      </c>
      <c r="M75" s="59">
        <v>0</v>
      </c>
      <c r="N75" s="59"/>
      <c r="O75" s="70">
        <f>SUM(C75:N75)</f>
        <v>0</v>
      </c>
      <c r="Q75" s="76">
        <f>SUM(C75:E75)</f>
        <v>0</v>
      </c>
    </row>
    <row r="76" spans="1:17" ht="18.75" customHeight="1" x14ac:dyDescent="0.25">
      <c r="A76" s="60">
        <v>2</v>
      </c>
      <c r="B76" s="15" t="s">
        <v>20</v>
      </c>
      <c r="C76" s="86">
        <v>0</v>
      </c>
      <c r="D76" s="61">
        <v>0</v>
      </c>
      <c r="E76" s="61">
        <v>0</v>
      </c>
      <c r="F76" s="85" t="s">
        <v>26</v>
      </c>
      <c r="G76" s="85" t="s">
        <v>26</v>
      </c>
      <c r="H76" s="85" t="s">
        <v>26</v>
      </c>
      <c r="I76" s="85" t="s">
        <v>26</v>
      </c>
      <c r="J76" s="85" t="s">
        <v>26</v>
      </c>
      <c r="K76" s="61">
        <v>0</v>
      </c>
      <c r="L76" s="61">
        <v>0</v>
      </c>
      <c r="M76" s="61">
        <v>0</v>
      </c>
      <c r="N76" s="61"/>
      <c r="O76" s="71">
        <f t="shared" ref="O76:O82" si="7">SUM(C76:N76)</f>
        <v>0</v>
      </c>
      <c r="Q76" s="76">
        <f t="shared" ref="Q76:Q82" si="8">SUM(C76:E76)</f>
        <v>0</v>
      </c>
    </row>
    <row r="77" spans="1:17" ht="18.75" customHeight="1" x14ac:dyDescent="0.25">
      <c r="A77" s="60">
        <v>3</v>
      </c>
      <c r="B77" s="11" t="s">
        <v>21</v>
      </c>
      <c r="C77" s="61">
        <v>0</v>
      </c>
      <c r="D77" s="61">
        <v>0</v>
      </c>
      <c r="E77" s="61">
        <v>0</v>
      </c>
      <c r="F77" s="85" t="s">
        <v>26</v>
      </c>
      <c r="G77" s="85" t="s">
        <v>26</v>
      </c>
      <c r="H77" s="85" t="s">
        <v>26</v>
      </c>
      <c r="I77" s="85" t="s">
        <v>26</v>
      </c>
      <c r="J77" s="85" t="s">
        <v>26</v>
      </c>
      <c r="K77" s="61">
        <v>0</v>
      </c>
      <c r="L77" s="61">
        <v>0</v>
      </c>
      <c r="M77" s="61">
        <v>0</v>
      </c>
      <c r="N77" s="61"/>
      <c r="O77" s="71">
        <f t="shared" si="7"/>
        <v>0</v>
      </c>
      <c r="Q77" s="76">
        <f t="shared" si="8"/>
        <v>0</v>
      </c>
    </row>
    <row r="78" spans="1:17" ht="18.75" customHeight="1" x14ac:dyDescent="0.25">
      <c r="A78" s="60">
        <v>4</v>
      </c>
      <c r="B78" s="18" t="s">
        <v>22</v>
      </c>
      <c r="C78" s="61">
        <v>0</v>
      </c>
      <c r="D78" s="61">
        <v>0</v>
      </c>
      <c r="E78" s="61">
        <v>0</v>
      </c>
      <c r="F78" s="85" t="s">
        <v>26</v>
      </c>
      <c r="G78" s="85" t="s">
        <v>26</v>
      </c>
      <c r="H78" s="85" t="s">
        <v>26</v>
      </c>
      <c r="I78" s="85" t="s">
        <v>26</v>
      </c>
      <c r="J78" s="85" t="s">
        <v>26</v>
      </c>
      <c r="K78" s="61">
        <v>0</v>
      </c>
      <c r="L78" s="61">
        <v>0</v>
      </c>
      <c r="M78" s="61">
        <v>0</v>
      </c>
      <c r="N78" s="61"/>
      <c r="O78" s="71">
        <f t="shared" si="7"/>
        <v>0</v>
      </c>
      <c r="Q78" s="76">
        <f t="shared" si="8"/>
        <v>0</v>
      </c>
    </row>
    <row r="79" spans="1:17" ht="18.75" customHeight="1" x14ac:dyDescent="0.25">
      <c r="A79" s="60">
        <v>5</v>
      </c>
      <c r="B79" s="19" t="s">
        <v>23</v>
      </c>
      <c r="C79" s="61">
        <v>0</v>
      </c>
      <c r="D79" s="61">
        <v>0</v>
      </c>
      <c r="E79" s="61">
        <v>0</v>
      </c>
      <c r="F79" s="85" t="s">
        <v>26</v>
      </c>
      <c r="G79" s="85" t="s">
        <v>26</v>
      </c>
      <c r="H79" s="85" t="s">
        <v>26</v>
      </c>
      <c r="I79" s="85" t="s">
        <v>26</v>
      </c>
      <c r="J79" s="85" t="s">
        <v>26</v>
      </c>
      <c r="K79" s="61">
        <v>0</v>
      </c>
      <c r="L79" s="61">
        <v>0</v>
      </c>
      <c r="M79" s="61">
        <v>0</v>
      </c>
      <c r="N79" s="61"/>
      <c r="O79" s="71">
        <f t="shared" si="7"/>
        <v>0</v>
      </c>
      <c r="Q79" s="76">
        <f t="shared" si="8"/>
        <v>0</v>
      </c>
    </row>
    <row r="80" spans="1:17" ht="18.75" customHeight="1" x14ac:dyDescent="0.25">
      <c r="A80" s="60">
        <v>6</v>
      </c>
      <c r="B80" s="19" t="s">
        <v>24</v>
      </c>
      <c r="C80" s="61">
        <v>0</v>
      </c>
      <c r="D80" s="61">
        <v>0</v>
      </c>
      <c r="E80" s="61">
        <v>0</v>
      </c>
      <c r="F80" s="85" t="s">
        <v>26</v>
      </c>
      <c r="G80" s="85" t="s">
        <v>26</v>
      </c>
      <c r="H80" s="85" t="s">
        <v>26</v>
      </c>
      <c r="I80" s="85" t="s">
        <v>26</v>
      </c>
      <c r="J80" s="85" t="s">
        <v>26</v>
      </c>
      <c r="K80" s="61">
        <v>0</v>
      </c>
      <c r="L80" s="61">
        <v>0</v>
      </c>
      <c r="M80" s="61">
        <v>0</v>
      </c>
      <c r="N80" s="61"/>
      <c r="O80" s="71">
        <f t="shared" si="7"/>
        <v>0</v>
      </c>
      <c r="Q80" s="76">
        <f t="shared" si="8"/>
        <v>0</v>
      </c>
    </row>
    <row r="81" spans="1:17" ht="18.75" customHeight="1" x14ac:dyDescent="0.25">
      <c r="A81" s="60">
        <v>7</v>
      </c>
      <c r="B81" s="19" t="s">
        <v>25</v>
      </c>
      <c r="C81" s="61">
        <v>0</v>
      </c>
      <c r="D81" s="61">
        <v>0</v>
      </c>
      <c r="E81" s="61">
        <v>0</v>
      </c>
      <c r="F81" s="85" t="s">
        <v>26</v>
      </c>
      <c r="G81" s="85" t="s">
        <v>26</v>
      </c>
      <c r="H81" s="85" t="s">
        <v>26</v>
      </c>
      <c r="I81" s="85" t="s">
        <v>26</v>
      </c>
      <c r="J81" s="85" t="s">
        <v>26</v>
      </c>
      <c r="K81" s="61">
        <v>0</v>
      </c>
      <c r="L81" s="61">
        <v>0</v>
      </c>
      <c r="M81" s="61">
        <v>0</v>
      </c>
      <c r="N81" s="61"/>
      <c r="O81" s="71">
        <f t="shared" si="7"/>
        <v>0</v>
      </c>
      <c r="Q81" s="76">
        <f t="shared" si="8"/>
        <v>0</v>
      </c>
    </row>
    <row r="82" spans="1:17" ht="18.75" customHeight="1" x14ac:dyDescent="0.25">
      <c r="A82" s="62">
        <v>8</v>
      </c>
      <c r="B82" s="18" t="s">
        <v>27</v>
      </c>
      <c r="C82" s="63">
        <v>0</v>
      </c>
      <c r="D82" s="87">
        <v>0</v>
      </c>
      <c r="E82" s="87">
        <v>0</v>
      </c>
      <c r="F82" s="87" t="s">
        <v>26</v>
      </c>
      <c r="G82" s="87" t="s">
        <v>26</v>
      </c>
      <c r="H82" s="87" t="s">
        <v>26</v>
      </c>
      <c r="I82" s="87" t="s">
        <v>26</v>
      </c>
      <c r="J82" s="87" t="s">
        <v>26</v>
      </c>
      <c r="K82" s="63">
        <v>0</v>
      </c>
      <c r="L82" s="63">
        <v>0</v>
      </c>
      <c r="M82" s="63">
        <v>0</v>
      </c>
      <c r="N82" s="63"/>
      <c r="O82" s="90">
        <f t="shared" si="7"/>
        <v>0</v>
      </c>
      <c r="Q82" s="76">
        <f t="shared" si="8"/>
        <v>0</v>
      </c>
    </row>
    <row r="83" spans="1:17" ht="18.75" customHeight="1" x14ac:dyDescent="0.25">
      <c r="A83" s="235" t="s">
        <v>28</v>
      </c>
      <c r="B83" s="236"/>
      <c r="C83" s="67">
        <f t="shared" ref="C83:O83" si="9">SUM(C75:C82)</f>
        <v>0</v>
      </c>
      <c r="D83" s="67">
        <f t="shared" si="9"/>
        <v>0</v>
      </c>
      <c r="E83" s="64">
        <f t="shared" si="9"/>
        <v>0</v>
      </c>
      <c r="F83" s="67">
        <f t="shared" si="9"/>
        <v>0</v>
      </c>
      <c r="G83" s="64">
        <f t="shared" si="9"/>
        <v>0</v>
      </c>
      <c r="H83" s="64">
        <f t="shared" si="9"/>
        <v>0</v>
      </c>
      <c r="I83" s="64">
        <f t="shared" si="9"/>
        <v>0</v>
      </c>
      <c r="J83" s="64">
        <f t="shared" si="9"/>
        <v>0</v>
      </c>
      <c r="K83" s="64">
        <f t="shared" si="9"/>
        <v>0</v>
      </c>
      <c r="L83" s="64">
        <f t="shared" si="9"/>
        <v>0</v>
      </c>
      <c r="M83" s="67">
        <f t="shared" si="9"/>
        <v>0</v>
      </c>
      <c r="N83" s="67">
        <f t="shared" si="9"/>
        <v>0</v>
      </c>
      <c r="O83" s="64">
        <f t="shared" si="9"/>
        <v>0</v>
      </c>
    </row>
    <row r="84" spans="1:17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 x14ac:dyDescent="0.3">
      <c r="A101" s="242" t="s">
        <v>74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5" ht="18.75" x14ac:dyDescent="0.3">
      <c r="A102" s="241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</row>
    <row r="103" spans="1:15" ht="18.75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</row>
    <row r="106" spans="1:15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</row>
    <row r="107" spans="1:15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 x14ac:dyDescent="0.25">
      <c r="A108" s="58">
        <v>1</v>
      </c>
      <c r="B108" s="11" t="s">
        <v>19</v>
      </c>
      <c r="C108" s="77">
        <v>0</v>
      </c>
      <c r="D108" s="59">
        <v>0</v>
      </c>
      <c r="E108" s="59">
        <v>0</v>
      </c>
      <c r="F108" s="84" t="s">
        <v>26</v>
      </c>
      <c r="G108" s="84" t="s">
        <v>26</v>
      </c>
      <c r="H108" s="84" t="s">
        <v>26</v>
      </c>
      <c r="I108" s="84" t="s">
        <v>26</v>
      </c>
      <c r="J108" s="84" t="s">
        <v>26</v>
      </c>
      <c r="K108" s="59">
        <v>0</v>
      </c>
      <c r="L108" s="59">
        <v>0</v>
      </c>
      <c r="M108" s="59">
        <v>0</v>
      </c>
      <c r="N108" s="59"/>
      <c r="O108" s="81">
        <v>0</v>
      </c>
    </row>
    <row r="109" spans="1:15" ht="18.75" customHeight="1" x14ac:dyDescent="0.25">
      <c r="A109" s="60">
        <v>2</v>
      </c>
      <c r="B109" s="15" t="s">
        <v>20</v>
      </c>
      <c r="C109" s="78">
        <v>0</v>
      </c>
      <c r="D109" s="61">
        <v>0</v>
      </c>
      <c r="E109" s="61">
        <v>0</v>
      </c>
      <c r="F109" s="85" t="s">
        <v>26</v>
      </c>
      <c r="G109" s="85" t="s">
        <v>26</v>
      </c>
      <c r="H109" s="85" t="s">
        <v>26</v>
      </c>
      <c r="I109" s="85" t="s">
        <v>26</v>
      </c>
      <c r="J109" s="85" t="s">
        <v>26</v>
      </c>
      <c r="K109" s="61">
        <v>0</v>
      </c>
      <c r="L109" s="61">
        <v>0</v>
      </c>
      <c r="M109" s="61">
        <v>0</v>
      </c>
      <c r="N109" s="61"/>
      <c r="O109" s="82">
        <f>SUM(C109:N109)</f>
        <v>0</v>
      </c>
    </row>
    <row r="110" spans="1:15" ht="18.75" customHeight="1" x14ac:dyDescent="0.25">
      <c r="A110" s="60">
        <v>3</v>
      </c>
      <c r="B110" s="11" t="s">
        <v>21</v>
      </c>
      <c r="C110" s="78">
        <v>0</v>
      </c>
      <c r="D110" s="61">
        <v>0</v>
      </c>
      <c r="E110" s="61">
        <v>0</v>
      </c>
      <c r="F110" s="85" t="s">
        <v>26</v>
      </c>
      <c r="G110" s="85" t="s">
        <v>26</v>
      </c>
      <c r="H110" s="85" t="s">
        <v>26</v>
      </c>
      <c r="I110" s="85" t="s">
        <v>26</v>
      </c>
      <c r="J110" s="85" t="s">
        <v>26</v>
      </c>
      <c r="K110" s="61">
        <v>0</v>
      </c>
      <c r="L110" s="61">
        <v>0</v>
      </c>
      <c r="M110" s="61">
        <v>0</v>
      </c>
      <c r="N110" s="61"/>
      <c r="O110" s="82">
        <f t="shared" ref="O110:O115" si="10">SUM(C110:N110)</f>
        <v>0</v>
      </c>
    </row>
    <row r="111" spans="1:15" ht="18.75" customHeight="1" x14ac:dyDescent="0.25">
      <c r="A111" s="60">
        <v>4</v>
      </c>
      <c r="B111" s="18" t="s">
        <v>22</v>
      </c>
      <c r="C111" s="78">
        <v>0</v>
      </c>
      <c r="D111" s="61">
        <v>0</v>
      </c>
      <c r="E111" s="61">
        <v>0</v>
      </c>
      <c r="F111" s="85" t="s">
        <v>26</v>
      </c>
      <c r="G111" s="85" t="s">
        <v>26</v>
      </c>
      <c r="H111" s="229" t="s">
        <v>26</v>
      </c>
      <c r="I111" s="85" t="s">
        <v>26</v>
      </c>
      <c r="J111" s="85" t="s">
        <v>26</v>
      </c>
      <c r="K111" s="61">
        <v>0</v>
      </c>
      <c r="L111" s="61">
        <v>0</v>
      </c>
      <c r="M111" s="61">
        <v>0</v>
      </c>
      <c r="N111" s="61"/>
      <c r="O111" s="82">
        <f t="shared" si="10"/>
        <v>0</v>
      </c>
    </row>
    <row r="112" spans="1:15" ht="18.75" customHeight="1" x14ac:dyDescent="0.25">
      <c r="A112" s="60">
        <v>5</v>
      </c>
      <c r="B112" s="19" t="s">
        <v>23</v>
      </c>
      <c r="C112" s="78">
        <v>0</v>
      </c>
      <c r="D112" s="61">
        <v>0</v>
      </c>
      <c r="E112" s="61">
        <v>0</v>
      </c>
      <c r="F112" s="85" t="s">
        <v>26</v>
      </c>
      <c r="G112" s="85" t="s">
        <v>26</v>
      </c>
      <c r="H112" s="85" t="s">
        <v>26</v>
      </c>
      <c r="I112" s="85" t="s">
        <v>26</v>
      </c>
      <c r="J112" s="85" t="s">
        <v>26</v>
      </c>
      <c r="K112" s="61">
        <v>0</v>
      </c>
      <c r="L112" s="61">
        <v>0</v>
      </c>
      <c r="M112" s="61">
        <v>0</v>
      </c>
      <c r="N112" s="61"/>
      <c r="O112" s="82">
        <f t="shared" si="10"/>
        <v>0</v>
      </c>
    </row>
    <row r="113" spans="1:16" ht="18.75" customHeight="1" x14ac:dyDescent="0.25">
      <c r="A113" s="60">
        <v>6</v>
      </c>
      <c r="B113" s="19" t="s">
        <v>24</v>
      </c>
      <c r="C113" s="78">
        <v>0</v>
      </c>
      <c r="D113" s="61">
        <v>0</v>
      </c>
      <c r="E113" s="61">
        <v>0</v>
      </c>
      <c r="F113" s="85" t="s">
        <v>26</v>
      </c>
      <c r="G113" s="85" t="s">
        <v>26</v>
      </c>
      <c r="H113" s="85" t="s">
        <v>26</v>
      </c>
      <c r="I113" s="85" t="s">
        <v>26</v>
      </c>
      <c r="J113" s="85" t="s">
        <v>26</v>
      </c>
      <c r="K113" s="61">
        <v>0</v>
      </c>
      <c r="L113" s="61">
        <v>0</v>
      </c>
      <c r="M113" s="61">
        <v>0</v>
      </c>
      <c r="N113" s="61"/>
      <c r="O113" s="82">
        <f t="shared" si="10"/>
        <v>0</v>
      </c>
    </row>
    <row r="114" spans="1:16" ht="18.75" customHeight="1" x14ac:dyDescent="0.25">
      <c r="A114" s="60">
        <v>7</v>
      </c>
      <c r="B114" s="19" t="s">
        <v>25</v>
      </c>
      <c r="C114" s="78">
        <v>0</v>
      </c>
      <c r="D114" s="61">
        <v>0</v>
      </c>
      <c r="E114" s="61">
        <v>0</v>
      </c>
      <c r="F114" s="85" t="s">
        <v>26</v>
      </c>
      <c r="G114" s="85" t="s">
        <v>26</v>
      </c>
      <c r="H114" s="85" t="s">
        <v>26</v>
      </c>
      <c r="I114" s="85" t="s">
        <v>26</v>
      </c>
      <c r="J114" s="85" t="s">
        <v>26</v>
      </c>
      <c r="K114" s="61">
        <v>0</v>
      </c>
      <c r="L114" s="61">
        <v>0</v>
      </c>
      <c r="M114" s="61">
        <v>0</v>
      </c>
      <c r="N114" s="61"/>
      <c r="O114" s="82">
        <f t="shared" si="10"/>
        <v>0</v>
      </c>
    </row>
    <row r="115" spans="1:16" ht="18.75" customHeight="1" x14ac:dyDescent="0.25">
      <c r="A115" s="62">
        <v>8</v>
      </c>
      <c r="B115" s="18" t="s">
        <v>27</v>
      </c>
      <c r="C115" s="79">
        <v>0</v>
      </c>
      <c r="D115" s="87">
        <v>0</v>
      </c>
      <c r="E115" s="87">
        <v>0</v>
      </c>
      <c r="F115" s="87" t="s">
        <v>26</v>
      </c>
      <c r="G115" s="87" t="s">
        <v>26</v>
      </c>
      <c r="H115" s="87" t="s">
        <v>26</v>
      </c>
      <c r="I115" s="87" t="s">
        <v>26</v>
      </c>
      <c r="J115" s="87" t="s">
        <v>26</v>
      </c>
      <c r="K115" s="63">
        <v>0</v>
      </c>
      <c r="L115" s="63">
        <v>0</v>
      </c>
      <c r="M115" s="63">
        <v>0</v>
      </c>
      <c r="N115" s="63"/>
      <c r="O115" s="82">
        <f t="shared" si="10"/>
        <v>0</v>
      </c>
    </row>
    <row r="116" spans="1:16" ht="18.75" customHeight="1" x14ac:dyDescent="0.25">
      <c r="A116" s="235" t="s">
        <v>28</v>
      </c>
      <c r="B116" s="236"/>
      <c r="C116" s="80">
        <f>SUM(C108:C115)</f>
        <v>0</v>
      </c>
      <c r="D116" s="80">
        <f>SUM(D108:D115)</f>
        <v>0</v>
      </c>
      <c r="E116" s="80">
        <f t="shared" ref="E116:O116" si="11">SUM(E108:E115)</f>
        <v>0</v>
      </c>
      <c r="F116" s="80">
        <f t="shared" si="11"/>
        <v>0</v>
      </c>
      <c r="G116" s="80">
        <f t="shared" si="11"/>
        <v>0</v>
      </c>
      <c r="H116" s="80">
        <f t="shared" si="11"/>
        <v>0</v>
      </c>
      <c r="I116" s="80">
        <f t="shared" si="11"/>
        <v>0</v>
      </c>
      <c r="J116" s="80">
        <f t="shared" si="11"/>
        <v>0</v>
      </c>
      <c r="K116" s="80">
        <f t="shared" si="11"/>
        <v>0</v>
      </c>
      <c r="L116" s="80">
        <f t="shared" si="11"/>
        <v>0</v>
      </c>
      <c r="M116" s="80">
        <f t="shared" si="11"/>
        <v>0</v>
      </c>
      <c r="N116" s="80">
        <f t="shared" si="11"/>
        <v>0</v>
      </c>
      <c r="O116" s="80">
        <f t="shared" si="11"/>
        <v>0</v>
      </c>
      <c r="P116" s="83"/>
    </row>
    <row r="117" spans="1:16" x14ac:dyDescent="0.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9" spans="1:16" x14ac:dyDescent="0.25">
      <c r="L119" s="65"/>
    </row>
    <row r="120" spans="1:16" x14ac:dyDescent="0.25">
      <c r="L120" s="65"/>
    </row>
    <row r="121" spans="1:16" x14ac:dyDescent="0.25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20"/>
  <sheetViews>
    <sheetView topLeftCell="A107" zoomScale="90" zoomScaleNormal="90" workbookViewId="0">
      <selection activeCell="A127" sqref="A127"/>
    </sheetView>
  </sheetViews>
  <sheetFormatPr defaultColWidth="9"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242" t="s">
        <v>75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7" ht="18.75" x14ac:dyDescent="0.3">
      <c r="A3" s="241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7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 x14ac:dyDescent="0.25">
      <c r="A6" s="237" t="s">
        <v>2</v>
      </c>
      <c r="B6" s="237" t="s">
        <v>3</v>
      </c>
      <c r="C6" s="247" t="s">
        <v>4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37" t="s">
        <v>5</v>
      </c>
    </row>
    <row r="7" spans="1:17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7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51</v>
      </c>
    </row>
    <row r="9" spans="1:17" ht="18.75" customHeight="1" x14ac:dyDescent="0.25">
      <c r="A9" s="58">
        <v>1</v>
      </c>
      <c r="B9" s="11" t="s">
        <v>19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70">
        <f>SUM(C9:N9)</f>
        <v>0</v>
      </c>
      <c r="Q9" s="76">
        <f>SUM(L9:M9)</f>
        <v>0</v>
      </c>
    </row>
    <row r="10" spans="1:17" ht="18.75" customHeight="1" x14ac:dyDescent="0.25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71">
        <f t="shared" ref="O10:O16" si="0">SUM(C10:N10)</f>
        <v>0</v>
      </c>
      <c r="Q10" s="76">
        <f t="shared" ref="Q10:Q16" si="1">SUM(L10:M10)</f>
        <v>0</v>
      </c>
    </row>
    <row r="11" spans="1:17" ht="18.75" customHeight="1" x14ac:dyDescent="0.25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71">
        <f t="shared" si="0"/>
        <v>0</v>
      </c>
      <c r="Q11" s="76">
        <f t="shared" si="1"/>
        <v>0</v>
      </c>
    </row>
    <row r="12" spans="1:17" ht="18.75" customHeight="1" x14ac:dyDescent="0.25">
      <c r="A12" s="60">
        <v>4</v>
      </c>
      <c r="B12" s="18" t="s">
        <v>22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71">
        <f t="shared" si="0"/>
        <v>0</v>
      </c>
      <c r="Q12" s="76">
        <f t="shared" si="1"/>
        <v>0</v>
      </c>
    </row>
    <row r="13" spans="1:17" ht="18.75" customHeight="1" x14ac:dyDescent="0.25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  <c r="Q13" s="76">
        <f t="shared" si="1"/>
        <v>0</v>
      </c>
    </row>
    <row r="14" spans="1:17" ht="18.75" customHeight="1" x14ac:dyDescent="0.25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  <c r="Q14" s="76">
        <f t="shared" si="1"/>
        <v>0</v>
      </c>
    </row>
    <row r="15" spans="1:17" ht="18.75" customHeight="1" x14ac:dyDescent="0.25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  <c r="Q15" s="76">
        <f t="shared" si="1"/>
        <v>0</v>
      </c>
    </row>
    <row r="16" spans="1:17" ht="18.75" customHeight="1" x14ac:dyDescent="0.25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72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73">
        <f t="shared" si="0"/>
        <v>0</v>
      </c>
      <c r="Q16" s="76">
        <f t="shared" si="1"/>
        <v>0</v>
      </c>
    </row>
    <row r="17" spans="1:15" ht="18.75" customHeight="1" x14ac:dyDescent="0.25">
      <c r="A17" s="235" t="s">
        <v>28</v>
      </c>
      <c r="B17" s="236"/>
      <c r="C17" s="64">
        <f t="shared" ref="C17:O17" si="2">SUM(C9:C16)</f>
        <v>0</v>
      </c>
      <c r="D17" s="64">
        <f t="shared" si="2"/>
        <v>0</v>
      </c>
      <c r="E17" s="64">
        <f t="shared" si="2"/>
        <v>0</v>
      </c>
      <c r="F17" s="64">
        <f t="shared" si="2"/>
        <v>0</v>
      </c>
      <c r="G17" s="64">
        <f t="shared" si="2"/>
        <v>0</v>
      </c>
      <c r="H17" s="64">
        <f t="shared" si="2"/>
        <v>0</v>
      </c>
      <c r="I17" s="67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7">
        <f t="shared" si="2"/>
        <v>0</v>
      </c>
    </row>
    <row r="18" spans="1:15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.75" x14ac:dyDescent="0.3">
      <c r="A35" s="242" t="s">
        <v>76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7" ht="18.75" x14ac:dyDescent="0.3">
      <c r="A36" s="241" t="s">
        <v>111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</row>
    <row r="37" spans="1:17" ht="18.75" x14ac:dyDescent="0.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7" x14ac:dyDescent="0.25">
      <c r="A39" s="237" t="s">
        <v>2</v>
      </c>
      <c r="B39" s="237" t="s">
        <v>3</v>
      </c>
      <c r="C39" s="243" t="s">
        <v>4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37" t="s">
        <v>5</v>
      </c>
    </row>
    <row r="40" spans="1:17" x14ac:dyDescent="0.25">
      <c r="A40" s="238"/>
      <c r="B40" s="238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44"/>
    </row>
    <row r="41" spans="1:17" x14ac:dyDescent="0.2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 x14ac:dyDescent="0.25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70">
        <f t="shared" ref="O42:O49" si="3">SUM(C42:N42)</f>
        <v>0</v>
      </c>
      <c r="Q42" s="76">
        <f>SUM(C42:E42)</f>
        <v>0</v>
      </c>
    </row>
    <row r="43" spans="1:17" ht="18.75" customHeight="1" x14ac:dyDescent="0.25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71">
        <f t="shared" si="3"/>
        <v>0</v>
      </c>
      <c r="Q43" s="76">
        <f t="shared" ref="Q43:Q49" si="4">SUM(C43:E43)</f>
        <v>0</v>
      </c>
    </row>
    <row r="44" spans="1:17" ht="18.75" customHeight="1" x14ac:dyDescent="0.25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71">
        <f t="shared" si="3"/>
        <v>0</v>
      </c>
      <c r="Q44" s="76">
        <f t="shared" si="4"/>
        <v>0</v>
      </c>
    </row>
    <row r="45" spans="1:17" ht="18.75" customHeight="1" x14ac:dyDescent="0.25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71">
        <f t="shared" si="3"/>
        <v>0</v>
      </c>
      <c r="Q45" s="76">
        <f t="shared" si="4"/>
        <v>0</v>
      </c>
    </row>
    <row r="46" spans="1:17" ht="18.75" customHeight="1" x14ac:dyDescent="0.25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0</v>
      </c>
      <c r="Q46" s="76">
        <f t="shared" si="4"/>
        <v>0</v>
      </c>
    </row>
    <row r="47" spans="1:17" ht="18.75" customHeight="1" x14ac:dyDescent="0.25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3"/>
        <v>0</v>
      </c>
      <c r="Q47" s="76">
        <f t="shared" si="4"/>
        <v>0</v>
      </c>
    </row>
    <row r="48" spans="1:17" ht="18.75" customHeight="1" x14ac:dyDescent="0.25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3"/>
        <v>0</v>
      </c>
      <c r="Q48" s="76">
        <f t="shared" si="4"/>
        <v>0</v>
      </c>
    </row>
    <row r="49" spans="1:17" ht="18.75" customHeight="1" x14ac:dyDescent="0.25">
      <c r="A49" s="62">
        <v>8</v>
      </c>
      <c r="B49" s="18" t="s">
        <v>27</v>
      </c>
      <c r="C49" s="66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73">
        <f t="shared" si="3"/>
        <v>0</v>
      </c>
      <c r="P49" s="74">
        <v>15</v>
      </c>
      <c r="Q49" s="76">
        <f t="shared" si="4"/>
        <v>0</v>
      </c>
    </row>
    <row r="50" spans="1:17" ht="18.75" customHeight="1" x14ac:dyDescent="0.25">
      <c r="A50" s="235" t="s">
        <v>28</v>
      </c>
      <c r="B50" s="236"/>
      <c r="C50" s="67">
        <f>SUM(C42:C49)</f>
        <v>0</v>
      </c>
      <c r="D50" s="64">
        <f t="shared" ref="D50:P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si="5"/>
        <v>0</v>
      </c>
      <c r="O50" s="67">
        <f t="shared" si="5"/>
        <v>0</v>
      </c>
      <c r="P50" s="75">
        <f t="shared" si="5"/>
        <v>15</v>
      </c>
    </row>
    <row r="51" spans="1:17" x14ac:dyDescent="0.25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.75" x14ac:dyDescent="0.3">
      <c r="A68" s="242" t="s">
        <v>77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7" ht="18.75" x14ac:dyDescent="0.3">
      <c r="A69" s="241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</row>
    <row r="70" spans="1:17" ht="18.75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7" x14ac:dyDescent="0.25">
      <c r="A72" s="237" t="s">
        <v>2</v>
      </c>
      <c r="B72" s="237" t="s">
        <v>3</v>
      </c>
      <c r="C72" s="243" t="s">
        <v>4</v>
      </c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37" t="s">
        <v>5</v>
      </c>
    </row>
    <row r="73" spans="1:17" x14ac:dyDescent="0.25">
      <c r="A73" s="238"/>
      <c r="B73" s="23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44"/>
      <c r="Q73" s="25"/>
    </row>
    <row r="74" spans="1:17" x14ac:dyDescent="0.2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 x14ac:dyDescent="0.25">
      <c r="A75" s="58">
        <v>1</v>
      </c>
      <c r="B75" s="11" t="s">
        <v>19</v>
      </c>
      <c r="C75" s="59">
        <v>0</v>
      </c>
      <c r="D75" s="59">
        <v>0</v>
      </c>
      <c r="E75" s="59">
        <v>0</v>
      </c>
      <c r="F75" s="59">
        <v>0</v>
      </c>
      <c r="G75" s="59">
        <v>0</v>
      </c>
      <c r="H75" s="59">
        <v>0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0</v>
      </c>
      <c r="O75" s="70">
        <f>SUM(C75:N75)</f>
        <v>0</v>
      </c>
      <c r="Q75" s="76">
        <f>SUM(C75:E75)</f>
        <v>0</v>
      </c>
    </row>
    <row r="76" spans="1:17" ht="18.75" customHeight="1" x14ac:dyDescent="0.25">
      <c r="A76" s="60">
        <v>2</v>
      </c>
      <c r="B76" s="15" t="s">
        <v>20</v>
      </c>
      <c r="C76" s="61">
        <v>0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71">
        <f t="shared" ref="O76:O82" si="6">SUM(C76:N76)</f>
        <v>0</v>
      </c>
      <c r="Q76" s="76">
        <f t="shared" ref="Q76:Q82" si="7">SUM(C76:E76)</f>
        <v>0</v>
      </c>
    </row>
    <row r="77" spans="1:17" ht="18.75" customHeight="1" x14ac:dyDescent="0.25">
      <c r="A77" s="60">
        <v>3</v>
      </c>
      <c r="B77" s="11" t="s">
        <v>21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71">
        <f t="shared" si="6"/>
        <v>0</v>
      </c>
      <c r="Q77" s="76">
        <f t="shared" si="7"/>
        <v>0</v>
      </c>
    </row>
    <row r="78" spans="1:17" ht="18.75" customHeight="1" x14ac:dyDescent="0.25">
      <c r="A78" s="60">
        <v>4</v>
      </c>
      <c r="B78" s="18" t="s">
        <v>22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71">
        <f t="shared" si="6"/>
        <v>0</v>
      </c>
      <c r="Q78" s="76">
        <f t="shared" si="7"/>
        <v>0</v>
      </c>
    </row>
    <row r="79" spans="1:17" ht="18.75" customHeight="1" x14ac:dyDescent="0.25">
      <c r="A79" s="60">
        <v>5</v>
      </c>
      <c r="B79" s="19" t="s">
        <v>23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71">
        <f t="shared" si="6"/>
        <v>0</v>
      </c>
      <c r="Q79" s="76">
        <f t="shared" si="7"/>
        <v>0</v>
      </c>
    </row>
    <row r="80" spans="1:17" ht="18.75" customHeight="1" x14ac:dyDescent="0.25">
      <c r="A80" s="60">
        <v>6</v>
      </c>
      <c r="B80" s="19" t="s">
        <v>24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71">
        <f t="shared" si="6"/>
        <v>0</v>
      </c>
      <c r="Q80" s="76">
        <f t="shared" si="7"/>
        <v>0</v>
      </c>
    </row>
    <row r="81" spans="1:17" ht="18.75" customHeight="1" x14ac:dyDescent="0.25">
      <c r="A81" s="60">
        <v>7</v>
      </c>
      <c r="B81" s="19" t="s">
        <v>25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71">
        <f t="shared" si="6"/>
        <v>0</v>
      </c>
      <c r="Q81" s="76">
        <f t="shared" si="7"/>
        <v>0</v>
      </c>
    </row>
    <row r="82" spans="1:17" ht="18.75" customHeight="1" x14ac:dyDescent="0.25">
      <c r="A82" s="62">
        <v>8</v>
      </c>
      <c r="B82" s="18" t="s">
        <v>27</v>
      </c>
      <c r="C82" s="72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73">
        <f t="shared" si="6"/>
        <v>0</v>
      </c>
      <c r="Q82" s="76">
        <f t="shared" si="7"/>
        <v>0</v>
      </c>
    </row>
    <row r="83" spans="1:17" ht="18.75" customHeight="1" x14ac:dyDescent="0.25">
      <c r="A83" s="235" t="s">
        <v>28</v>
      </c>
      <c r="B83" s="236"/>
      <c r="C83" s="67">
        <f t="shared" ref="C83:O83" si="8">SUM(C75:C82)</f>
        <v>0</v>
      </c>
      <c r="D83" s="64">
        <f t="shared" si="8"/>
        <v>0</v>
      </c>
      <c r="E83" s="64">
        <f t="shared" si="8"/>
        <v>0</v>
      </c>
      <c r="F83" s="64">
        <f t="shared" si="8"/>
        <v>0</v>
      </c>
      <c r="G83" s="64">
        <f t="shared" si="8"/>
        <v>0</v>
      </c>
      <c r="H83" s="64">
        <f t="shared" si="8"/>
        <v>0</v>
      </c>
      <c r="I83" s="64">
        <f t="shared" si="8"/>
        <v>0</v>
      </c>
      <c r="J83" s="64">
        <f t="shared" si="8"/>
        <v>0</v>
      </c>
      <c r="K83" s="64">
        <f t="shared" si="8"/>
        <v>0</v>
      </c>
      <c r="L83" s="64">
        <f t="shared" si="8"/>
        <v>0</v>
      </c>
      <c r="M83" s="64">
        <f t="shared" si="8"/>
        <v>0</v>
      </c>
      <c r="N83" s="64">
        <f t="shared" si="8"/>
        <v>0</v>
      </c>
      <c r="O83" s="67">
        <f t="shared" si="8"/>
        <v>0</v>
      </c>
    </row>
    <row r="84" spans="1:17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 x14ac:dyDescent="0.3">
      <c r="A101" s="242" t="s">
        <v>78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5" ht="18.75" x14ac:dyDescent="0.3">
      <c r="A102" s="242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</row>
    <row r="103" spans="1:15" ht="18.75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</row>
    <row r="106" spans="1:15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</row>
    <row r="107" spans="1:15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 x14ac:dyDescent="0.25">
      <c r="A108" s="58">
        <v>1</v>
      </c>
      <c r="B108" s="11" t="s">
        <v>19</v>
      </c>
      <c r="C108" s="77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81">
        <v>0</v>
      </c>
    </row>
    <row r="109" spans="1:15" ht="18.75" customHeight="1" x14ac:dyDescent="0.25">
      <c r="A109" s="60">
        <v>2</v>
      </c>
      <c r="B109" s="15" t="s">
        <v>20</v>
      </c>
      <c r="C109" s="78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82">
        <v>0</v>
      </c>
    </row>
    <row r="110" spans="1:15" ht="18.75" customHeight="1" x14ac:dyDescent="0.25">
      <c r="A110" s="60">
        <v>3</v>
      </c>
      <c r="B110" s="11" t="s">
        <v>21</v>
      </c>
      <c r="C110" s="78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82">
        <v>0</v>
      </c>
    </row>
    <row r="111" spans="1:15" ht="18.75" customHeight="1" x14ac:dyDescent="0.25">
      <c r="A111" s="60">
        <v>4</v>
      </c>
      <c r="B111" s="18" t="s">
        <v>22</v>
      </c>
      <c r="C111" s="78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82">
        <v>0</v>
      </c>
    </row>
    <row r="112" spans="1:15" ht="18.75" customHeight="1" x14ac:dyDescent="0.25">
      <c r="A112" s="60">
        <v>5</v>
      </c>
      <c r="B112" s="19" t="s">
        <v>23</v>
      </c>
      <c r="C112" s="78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v>0</v>
      </c>
    </row>
    <row r="113" spans="1:16" ht="18.75" customHeight="1" x14ac:dyDescent="0.25">
      <c r="A113" s="60">
        <v>6</v>
      </c>
      <c r="B113" s="19" t="s">
        <v>24</v>
      </c>
      <c r="C113" s="78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v>0</v>
      </c>
    </row>
    <row r="114" spans="1:16" ht="18.75" customHeight="1" x14ac:dyDescent="0.25">
      <c r="A114" s="60">
        <v>7</v>
      </c>
      <c r="B114" s="19" t="s">
        <v>25</v>
      </c>
      <c r="C114" s="78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v>0</v>
      </c>
    </row>
    <row r="115" spans="1:16" ht="18.75" customHeight="1" x14ac:dyDescent="0.25">
      <c r="A115" s="62">
        <v>8</v>
      </c>
      <c r="B115" s="18" t="s">
        <v>27</v>
      </c>
      <c r="C115" s="79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82">
        <v>0</v>
      </c>
    </row>
    <row r="116" spans="1:16" ht="18.75" customHeight="1" x14ac:dyDescent="0.25">
      <c r="A116" s="235" t="s">
        <v>28</v>
      </c>
      <c r="B116" s="236"/>
      <c r="C116" s="80">
        <v>0</v>
      </c>
      <c r="D116" s="80">
        <f>SUM(D108:D115)</f>
        <v>0</v>
      </c>
      <c r="E116" s="80">
        <f t="shared" ref="E116:O116" si="9">SUM(E108:E115)</f>
        <v>0</v>
      </c>
      <c r="F116" s="80">
        <f t="shared" si="9"/>
        <v>0</v>
      </c>
      <c r="G116" s="80">
        <f t="shared" si="9"/>
        <v>0</v>
      </c>
      <c r="H116" s="80">
        <f t="shared" si="9"/>
        <v>0</v>
      </c>
      <c r="I116" s="80">
        <f t="shared" si="9"/>
        <v>0</v>
      </c>
      <c r="J116" s="80">
        <f t="shared" si="9"/>
        <v>0</v>
      </c>
      <c r="K116" s="80">
        <f t="shared" si="9"/>
        <v>0</v>
      </c>
      <c r="L116" s="80">
        <f t="shared" si="9"/>
        <v>0</v>
      </c>
      <c r="M116" s="80">
        <f t="shared" si="9"/>
        <v>0</v>
      </c>
      <c r="N116" s="80">
        <f t="shared" si="9"/>
        <v>0</v>
      </c>
      <c r="O116" s="80">
        <f t="shared" si="9"/>
        <v>0</v>
      </c>
      <c r="P116" s="83"/>
    </row>
    <row r="117" spans="1:16" x14ac:dyDescent="0.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9" spans="1:16" ht="15.75" customHeight="1" x14ac:dyDescent="0.25"/>
    <row r="120" spans="1:16" ht="16.5" customHeight="1" x14ac:dyDescent="0.25"/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Q117"/>
  <sheetViews>
    <sheetView zoomScale="90" zoomScaleNormal="90" workbookViewId="0"/>
  </sheetViews>
  <sheetFormatPr defaultColWidth="9"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242" t="s">
        <v>79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7" ht="18.75" x14ac:dyDescent="0.3">
      <c r="A3" s="242" t="s">
        <v>111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</row>
    <row r="4" spans="1:17" ht="18.75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 x14ac:dyDescent="0.25">
      <c r="A6" s="237" t="s">
        <v>2</v>
      </c>
      <c r="B6" s="237" t="s">
        <v>3</v>
      </c>
      <c r="C6" s="247" t="s">
        <v>4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37" t="s">
        <v>5</v>
      </c>
    </row>
    <row r="7" spans="1:17" x14ac:dyDescent="0.25">
      <c r="A7" s="238"/>
      <c r="B7" s="238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44"/>
    </row>
    <row r="8" spans="1:17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51</v>
      </c>
    </row>
    <row r="9" spans="1:17" ht="18.75" customHeight="1" x14ac:dyDescent="0.25">
      <c r="A9" s="58">
        <v>1</v>
      </c>
      <c r="B9" s="11" t="s">
        <v>19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70">
        <f>SUM(C9:N9)</f>
        <v>0</v>
      </c>
      <c r="Q9" s="76">
        <f>SUM(L9:M9)</f>
        <v>0</v>
      </c>
    </row>
    <row r="10" spans="1:17" ht="18.75" customHeight="1" x14ac:dyDescent="0.25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71">
        <f t="shared" ref="O10:O16" si="0">SUM(C10:N10)</f>
        <v>0</v>
      </c>
      <c r="Q10" s="76">
        <f t="shared" ref="Q10:Q16" si="1">SUM(L10:M10)</f>
        <v>0</v>
      </c>
    </row>
    <row r="11" spans="1:17" ht="18.75" customHeight="1" x14ac:dyDescent="0.25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71">
        <f t="shared" si="0"/>
        <v>0</v>
      </c>
      <c r="Q11" s="76">
        <f t="shared" si="1"/>
        <v>0</v>
      </c>
    </row>
    <row r="12" spans="1:17" ht="18.75" customHeight="1" x14ac:dyDescent="0.25">
      <c r="A12" s="60">
        <v>4</v>
      </c>
      <c r="B12" s="18" t="s">
        <v>22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71">
        <f t="shared" si="0"/>
        <v>0</v>
      </c>
      <c r="Q12" s="76">
        <f t="shared" si="1"/>
        <v>0</v>
      </c>
    </row>
    <row r="13" spans="1:17" ht="18.75" customHeight="1" x14ac:dyDescent="0.25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  <c r="Q13" s="76">
        <f t="shared" si="1"/>
        <v>0</v>
      </c>
    </row>
    <row r="14" spans="1:17" ht="18.75" customHeight="1" x14ac:dyDescent="0.25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  <c r="Q14" s="76">
        <f t="shared" si="1"/>
        <v>0</v>
      </c>
    </row>
    <row r="15" spans="1:17" ht="18.75" customHeight="1" x14ac:dyDescent="0.25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  <c r="Q15" s="76">
        <f t="shared" si="1"/>
        <v>0</v>
      </c>
    </row>
    <row r="16" spans="1:17" ht="18.75" customHeight="1" x14ac:dyDescent="0.25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72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73">
        <f t="shared" si="0"/>
        <v>0</v>
      </c>
      <c r="Q16" s="76">
        <f t="shared" si="1"/>
        <v>0</v>
      </c>
    </row>
    <row r="17" spans="1:15" ht="18.75" customHeight="1" x14ac:dyDescent="0.25">
      <c r="A17" s="235" t="s">
        <v>28</v>
      </c>
      <c r="B17" s="236"/>
      <c r="C17" s="64">
        <f t="shared" ref="C17:O17" si="2">SUM(C9:C16)</f>
        <v>0</v>
      </c>
      <c r="D17" s="64">
        <f t="shared" si="2"/>
        <v>0</v>
      </c>
      <c r="E17" s="64">
        <f t="shared" si="2"/>
        <v>0</v>
      </c>
      <c r="F17" s="64">
        <f t="shared" si="2"/>
        <v>0</v>
      </c>
      <c r="G17" s="64">
        <f t="shared" si="2"/>
        <v>0</v>
      </c>
      <c r="H17" s="64">
        <f t="shared" si="2"/>
        <v>0</v>
      </c>
      <c r="I17" s="67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7">
        <f t="shared" si="2"/>
        <v>0</v>
      </c>
    </row>
    <row r="18" spans="1:15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.75" x14ac:dyDescent="0.3">
      <c r="A35" s="242" t="s">
        <v>80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</row>
    <row r="36" spans="1:17" ht="18.75" x14ac:dyDescent="0.3">
      <c r="A36" s="242" t="s">
        <v>111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</row>
    <row r="37" spans="1:17" ht="18.75" x14ac:dyDescent="0.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7" x14ac:dyDescent="0.25">
      <c r="A39" s="237" t="s">
        <v>2</v>
      </c>
      <c r="B39" s="237" t="s">
        <v>3</v>
      </c>
      <c r="C39" s="243" t="s">
        <v>4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37" t="s">
        <v>5</v>
      </c>
    </row>
    <row r="40" spans="1:17" x14ac:dyDescent="0.25">
      <c r="A40" s="238"/>
      <c r="B40" s="238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44"/>
    </row>
    <row r="41" spans="1:17" x14ac:dyDescent="0.2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 x14ac:dyDescent="0.25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70">
        <f t="shared" ref="O42:O49" si="3">SUM(C42:N42)</f>
        <v>0</v>
      </c>
      <c r="Q42" s="76">
        <f>SUM(C42:E42)</f>
        <v>0</v>
      </c>
    </row>
    <row r="43" spans="1:17" ht="18.75" customHeight="1" x14ac:dyDescent="0.25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71">
        <f t="shared" si="3"/>
        <v>0</v>
      </c>
      <c r="Q43" s="76">
        <f t="shared" ref="Q43:Q49" si="4">SUM(C43:E43)</f>
        <v>0</v>
      </c>
    </row>
    <row r="44" spans="1:17" ht="18.75" customHeight="1" x14ac:dyDescent="0.25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71">
        <f t="shared" si="3"/>
        <v>0</v>
      </c>
      <c r="Q44" s="76">
        <f t="shared" si="4"/>
        <v>0</v>
      </c>
    </row>
    <row r="45" spans="1:17" ht="18.75" customHeight="1" x14ac:dyDescent="0.25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71">
        <f t="shared" si="3"/>
        <v>0</v>
      </c>
      <c r="Q45" s="76">
        <f t="shared" si="4"/>
        <v>0</v>
      </c>
    </row>
    <row r="46" spans="1:17" ht="18.75" customHeight="1" x14ac:dyDescent="0.25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0</v>
      </c>
      <c r="Q46" s="76">
        <f t="shared" si="4"/>
        <v>0</v>
      </c>
    </row>
    <row r="47" spans="1:17" ht="18.75" customHeight="1" x14ac:dyDescent="0.25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3"/>
        <v>0</v>
      </c>
      <c r="Q47" s="76">
        <f t="shared" si="4"/>
        <v>0</v>
      </c>
    </row>
    <row r="48" spans="1:17" ht="18.75" customHeight="1" x14ac:dyDescent="0.25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3"/>
        <v>0</v>
      </c>
      <c r="Q48" s="76">
        <f t="shared" si="4"/>
        <v>0</v>
      </c>
    </row>
    <row r="49" spans="1:17" ht="18.75" customHeight="1" x14ac:dyDescent="0.25">
      <c r="A49" s="62">
        <v>8</v>
      </c>
      <c r="B49" s="18" t="s">
        <v>27</v>
      </c>
      <c r="C49" s="66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73">
        <f t="shared" si="3"/>
        <v>0</v>
      </c>
      <c r="P49" s="74">
        <v>15</v>
      </c>
      <c r="Q49" s="76">
        <f t="shared" si="4"/>
        <v>0</v>
      </c>
    </row>
    <row r="50" spans="1:17" ht="18.75" customHeight="1" x14ac:dyDescent="0.25">
      <c r="A50" s="235" t="s">
        <v>28</v>
      </c>
      <c r="B50" s="236"/>
      <c r="C50" s="67">
        <f>SUM(C42:C49)</f>
        <v>0</v>
      </c>
      <c r="D50" s="64">
        <f t="shared" ref="D50:P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si="5"/>
        <v>0</v>
      </c>
      <c r="O50" s="67">
        <f t="shared" si="5"/>
        <v>0</v>
      </c>
      <c r="P50" s="75">
        <f t="shared" si="5"/>
        <v>15</v>
      </c>
    </row>
    <row r="51" spans="1:17" x14ac:dyDescent="0.25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.75" x14ac:dyDescent="0.3">
      <c r="A68" s="242" t="s">
        <v>81</v>
      </c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</row>
    <row r="69" spans="1:17" ht="18.75" x14ac:dyDescent="0.3">
      <c r="A69" s="242" t="s">
        <v>111</v>
      </c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</row>
    <row r="70" spans="1:17" ht="18.75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7" x14ac:dyDescent="0.25">
      <c r="A72" s="237" t="s">
        <v>2</v>
      </c>
      <c r="B72" s="237" t="s">
        <v>3</v>
      </c>
      <c r="C72" s="243" t="s">
        <v>4</v>
      </c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37" t="s">
        <v>5</v>
      </c>
    </row>
    <row r="73" spans="1:17" x14ac:dyDescent="0.25">
      <c r="A73" s="238"/>
      <c r="B73" s="238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44"/>
      <c r="Q73" s="25"/>
    </row>
    <row r="74" spans="1:17" x14ac:dyDescent="0.2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 x14ac:dyDescent="0.25">
      <c r="A75" s="58">
        <v>1</v>
      </c>
      <c r="B75" s="11" t="s">
        <v>19</v>
      </c>
      <c r="C75" s="59">
        <v>0</v>
      </c>
      <c r="D75" s="59">
        <v>0</v>
      </c>
      <c r="E75" s="59">
        <v>0</v>
      </c>
      <c r="F75" s="59">
        <v>0</v>
      </c>
      <c r="G75" s="59">
        <v>0</v>
      </c>
      <c r="H75" s="59">
        <v>0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0</v>
      </c>
      <c r="O75" s="70">
        <f>SUM(C75:N75)</f>
        <v>0</v>
      </c>
      <c r="Q75" s="76">
        <f>SUM(C75:E75)</f>
        <v>0</v>
      </c>
    </row>
    <row r="76" spans="1:17" ht="18.75" customHeight="1" x14ac:dyDescent="0.25">
      <c r="A76" s="60">
        <v>2</v>
      </c>
      <c r="B76" s="15" t="s">
        <v>20</v>
      </c>
      <c r="C76" s="61">
        <v>0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71">
        <f t="shared" ref="O76:O82" si="6">SUM(C76:N76)</f>
        <v>0</v>
      </c>
      <c r="Q76" s="76">
        <f t="shared" ref="Q76:Q82" si="7">SUM(C76:E76)</f>
        <v>0</v>
      </c>
    </row>
    <row r="77" spans="1:17" ht="18.75" customHeight="1" x14ac:dyDescent="0.25">
      <c r="A77" s="60">
        <v>3</v>
      </c>
      <c r="B77" s="11" t="s">
        <v>21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71">
        <f t="shared" si="6"/>
        <v>0</v>
      </c>
      <c r="Q77" s="76">
        <f t="shared" si="7"/>
        <v>0</v>
      </c>
    </row>
    <row r="78" spans="1:17" ht="18.75" customHeight="1" x14ac:dyDescent="0.25">
      <c r="A78" s="60">
        <v>4</v>
      </c>
      <c r="B78" s="18" t="s">
        <v>22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71">
        <f t="shared" si="6"/>
        <v>0</v>
      </c>
      <c r="Q78" s="76">
        <f t="shared" si="7"/>
        <v>0</v>
      </c>
    </row>
    <row r="79" spans="1:17" ht="18.75" customHeight="1" x14ac:dyDescent="0.25">
      <c r="A79" s="60">
        <v>5</v>
      </c>
      <c r="B79" s="19" t="s">
        <v>23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71">
        <f t="shared" si="6"/>
        <v>0</v>
      </c>
      <c r="Q79" s="76">
        <f t="shared" si="7"/>
        <v>0</v>
      </c>
    </row>
    <row r="80" spans="1:17" ht="18.75" customHeight="1" x14ac:dyDescent="0.25">
      <c r="A80" s="60">
        <v>6</v>
      </c>
      <c r="B80" s="19" t="s">
        <v>24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71">
        <f t="shared" si="6"/>
        <v>0</v>
      </c>
      <c r="Q80" s="76">
        <f t="shared" si="7"/>
        <v>0</v>
      </c>
    </row>
    <row r="81" spans="1:17" ht="18.75" customHeight="1" x14ac:dyDescent="0.25">
      <c r="A81" s="60">
        <v>7</v>
      </c>
      <c r="B81" s="19" t="s">
        <v>25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71">
        <f t="shared" si="6"/>
        <v>0</v>
      </c>
      <c r="Q81" s="76">
        <f t="shared" si="7"/>
        <v>0</v>
      </c>
    </row>
    <row r="82" spans="1:17" ht="18.75" customHeight="1" x14ac:dyDescent="0.25">
      <c r="A82" s="62">
        <v>8</v>
      </c>
      <c r="B82" s="18" t="s">
        <v>27</v>
      </c>
      <c r="C82" s="72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73">
        <f t="shared" si="6"/>
        <v>0</v>
      </c>
      <c r="Q82" s="76">
        <f t="shared" si="7"/>
        <v>0</v>
      </c>
    </row>
    <row r="83" spans="1:17" ht="18.75" customHeight="1" x14ac:dyDescent="0.25">
      <c r="A83" s="235" t="s">
        <v>28</v>
      </c>
      <c r="B83" s="236"/>
      <c r="C83" s="67">
        <f t="shared" ref="C83:O83" si="8">SUM(C75:C82)</f>
        <v>0</v>
      </c>
      <c r="D83" s="64">
        <f t="shared" si="8"/>
        <v>0</v>
      </c>
      <c r="E83" s="64">
        <f t="shared" si="8"/>
        <v>0</v>
      </c>
      <c r="F83" s="64">
        <f t="shared" si="8"/>
        <v>0</v>
      </c>
      <c r="G83" s="64">
        <f t="shared" si="8"/>
        <v>0</v>
      </c>
      <c r="H83" s="64">
        <f t="shared" si="8"/>
        <v>0</v>
      </c>
      <c r="I83" s="64">
        <f t="shared" si="8"/>
        <v>0</v>
      </c>
      <c r="J83" s="64">
        <f t="shared" si="8"/>
        <v>0</v>
      </c>
      <c r="K83" s="64">
        <f t="shared" si="8"/>
        <v>0</v>
      </c>
      <c r="L83" s="64">
        <f t="shared" si="8"/>
        <v>0</v>
      </c>
      <c r="M83" s="64">
        <f t="shared" si="8"/>
        <v>0</v>
      </c>
      <c r="N83" s="64">
        <f t="shared" si="8"/>
        <v>0</v>
      </c>
      <c r="O83" s="67">
        <f t="shared" si="8"/>
        <v>0</v>
      </c>
    </row>
    <row r="84" spans="1:17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 x14ac:dyDescent="0.3">
      <c r="A101" s="242" t="s">
        <v>82</v>
      </c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</row>
    <row r="102" spans="1:15" ht="18.75" x14ac:dyDescent="0.3">
      <c r="A102" s="242" t="s">
        <v>111</v>
      </c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</row>
    <row r="103" spans="1:15" ht="18.75" x14ac:dyDescent="0.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 x14ac:dyDescent="0.25">
      <c r="A105" s="237" t="s">
        <v>2</v>
      </c>
      <c r="B105" s="237" t="s">
        <v>3</v>
      </c>
      <c r="C105" s="243" t="s">
        <v>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37" t="s">
        <v>5</v>
      </c>
    </row>
    <row r="106" spans="1:15" x14ac:dyDescent="0.25">
      <c r="A106" s="238"/>
      <c r="B106" s="238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44"/>
    </row>
    <row r="107" spans="1:15" x14ac:dyDescent="0.2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 x14ac:dyDescent="0.25">
      <c r="A108" s="58">
        <v>1</v>
      </c>
      <c r="B108" s="11" t="s">
        <v>19</v>
      </c>
      <c r="C108" s="77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81">
        <v>0</v>
      </c>
    </row>
    <row r="109" spans="1:15" ht="18.75" customHeight="1" x14ac:dyDescent="0.25">
      <c r="A109" s="60">
        <v>2</v>
      </c>
      <c r="B109" s="15" t="s">
        <v>20</v>
      </c>
      <c r="C109" s="78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82">
        <v>0</v>
      </c>
    </row>
    <row r="110" spans="1:15" ht="18.75" customHeight="1" x14ac:dyDescent="0.25">
      <c r="A110" s="60">
        <v>3</v>
      </c>
      <c r="B110" s="11" t="s">
        <v>21</v>
      </c>
      <c r="C110" s="78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82">
        <v>0</v>
      </c>
    </row>
    <row r="111" spans="1:15" ht="18.75" customHeight="1" x14ac:dyDescent="0.25">
      <c r="A111" s="60">
        <v>4</v>
      </c>
      <c r="B111" s="18" t="s">
        <v>22</v>
      </c>
      <c r="C111" s="78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82">
        <v>0</v>
      </c>
    </row>
    <row r="112" spans="1:15" ht="18.75" customHeight="1" x14ac:dyDescent="0.25">
      <c r="A112" s="60">
        <v>5</v>
      </c>
      <c r="B112" s="19" t="s">
        <v>23</v>
      </c>
      <c r="C112" s="78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v>0</v>
      </c>
    </row>
    <row r="113" spans="1:16" ht="18.75" customHeight="1" x14ac:dyDescent="0.25">
      <c r="A113" s="60">
        <v>6</v>
      </c>
      <c r="B113" s="19" t="s">
        <v>24</v>
      </c>
      <c r="C113" s="78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v>0</v>
      </c>
    </row>
    <row r="114" spans="1:16" ht="18.75" customHeight="1" x14ac:dyDescent="0.25">
      <c r="A114" s="60">
        <v>7</v>
      </c>
      <c r="B114" s="19" t="s">
        <v>25</v>
      </c>
      <c r="C114" s="78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v>0</v>
      </c>
    </row>
    <row r="115" spans="1:16" ht="18.75" customHeight="1" x14ac:dyDescent="0.25">
      <c r="A115" s="62">
        <v>8</v>
      </c>
      <c r="B115" s="18" t="s">
        <v>27</v>
      </c>
      <c r="C115" s="79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82">
        <v>0</v>
      </c>
    </row>
    <row r="116" spans="1:16" ht="18.75" customHeight="1" x14ac:dyDescent="0.25">
      <c r="A116" s="235" t="s">
        <v>28</v>
      </c>
      <c r="B116" s="236"/>
      <c r="C116" s="80">
        <v>0</v>
      </c>
      <c r="D116" s="80">
        <f>SUM(D108:D115)</f>
        <v>0</v>
      </c>
      <c r="E116" s="80">
        <f t="shared" ref="E116:O116" si="9">SUM(E108:E115)</f>
        <v>0</v>
      </c>
      <c r="F116" s="80">
        <f t="shared" si="9"/>
        <v>0</v>
      </c>
      <c r="G116" s="80">
        <f t="shared" si="9"/>
        <v>0</v>
      </c>
      <c r="H116" s="80">
        <f t="shared" si="9"/>
        <v>0</v>
      </c>
      <c r="I116" s="80">
        <f t="shared" si="9"/>
        <v>0</v>
      </c>
      <c r="J116" s="80">
        <f t="shared" si="9"/>
        <v>0</v>
      </c>
      <c r="K116" s="80">
        <f t="shared" si="9"/>
        <v>0</v>
      </c>
      <c r="L116" s="80">
        <f t="shared" si="9"/>
        <v>0</v>
      </c>
      <c r="M116" s="80">
        <f t="shared" si="9"/>
        <v>0</v>
      </c>
      <c r="N116" s="80">
        <f t="shared" si="9"/>
        <v>0</v>
      </c>
      <c r="O116" s="80">
        <f t="shared" si="9"/>
        <v>0</v>
      </c>
      <c r="P116" s="83"/>
    </row>
    <row r="117" spans="1:16" x14ac:dyDescent="0.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D35F-C4BE-4C86-AF61-355AD16A8BA1}">
  <dimension ref="A1:AH15"/>
  <sheetViews>
    <sheetView workbookViewId="0">
      <selection activeCell="H18" sqref="H18"/>
    </sheetView>
  </sheetViews>
  <sheetFormatPr defaultRowHeight="15" x14ac:dyDescent="0.25"/>
  <cols>
    <col min="2" max="2" width="15.5703125" customWidth="1"/>
  </cols>
  <sheetData>
    <row r="1" spans="1:34" ht="18.75" x14ac:dyDescent="0.3">
      <c r="A1" s="242" t="s">
        <v>114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</row>
    <row r="2" spans="1:34" ht="18.75" x14ac:dyDescent="0.3">
      <c r="A2" s="242" t="s">
        <v>111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4" ht="18.75" x14ac:dyDescent="0.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</row>
    <row r="4" spans="1:34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69" t="s">
        <v>1</v>
      </c>
    </row>
    <row r="5" spans="1:34" x14ac:dyDescent="0.25">
      <c r="A5" s="237" t="s">
        <v>2</v>
      </c>
      <c r="B5" s="237" t="s">
        <v>3</v>
      </c>
      <c r="C5" s="243" t="s">
        <v>113</v>
      </c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37" t="s">
        <v>5</v>
      </c>
    </row>
    <row r="6" spans="1:34" ht="15.75" thickBot="1" x14ac:dyDescent="0.3">
      <c r="A6" s="238"/>
      <c r="B6" s="249"/>
      <c r="C6" s="176">
        <v>1</v>
      </c>
      <c r="D6" s="8">
        <v>2</v>
      </c>
      <c r="E6" s="176">
        <v>3</v>
      </c>
      <c r="F6" s="183">
        <v>4</v>
      </c>
      <c r="G6" s="176">
        <v>5</v>
      </c>
      <c r="H6" s="176">
        <v>6</v>
      </c>
      <c r="I6" s="176">
        <v>7</v>
      </c>
      <c r="J6" s="176">
        <v>8</v>
      </c>
      <c r="K6" s="176">
        <v>9</v>
      </c>
      <c r="L6" s="176">
        <v>10</v>
      </c>
      <c r="M6" s="176">
        <v>11</v>
      </c>
      <c r="N6" s="176">
        <v>12</v>
      </c>
      <c r="O6" s="176">
        <v>13</v>
      </c>
      <c r="P6" s="176">
        <v>14</v>
      </c>
      <c r="Q6" s="176">
        <v>15</v>
      </c>
      <c r="R6" s="176">
        <v>16</v>
      </c>
      <c r="S6" s="176">
        <v>17</v>
      </c>
      <c r="T6" s="176">
        <v>18</v>
      </c>
      <c r="U6" s="176">
        <v>19</v>
      </c>
      <c r="V6" s="176">
        <v>20</v>
      </c>
      <c r="W6" s="176">
        <v>21</v>
      </c>
      <c r="X6" s="176">
        <v>22</v>
      </c>
      <c r="Y6" s="176">
        <v>23</v>
      </c>
      <c r="Z6" s="176">
        <v>24</v>
      </c>
      <c r="AA6" s="176">
        <v>25</v>
      </c>
      <c r="AB6" s="176">
        <v>26</v>
      </c>
      <c r="AC6" s="176">
        <v>27</v>
      </c>
      <c r="AD6" s="176">
        <v>28</v>
      </c>
      <c r="AE6" s="176">
        <v>29</v>
      </c>
      <c r="AF6" s="176">
        <v>30</v>
      </c>
      <c r="AG6" s="176">
        <v>31</v>
      </c>
      <c r="AH6" s="244"/>
    </row>
    <row r="7" spans="1:34" ht="15.75" thickTop="1" x14ac:dyDescent="0.25">
      <c r="A7" s="178">
        <v>1</v>
      </c>
      <c r="B7" s="232" t="s">
        <v>19</v>
      </c>
      <c r="C7" s="185">
        <v>0</v>
      </c>
      <c r="D7" s="233">
        <v>0</v>
      </c>
      <c r="E7" s="185">
        <v>0</v>
      </c>
      <c r="F7" s="185">
        <v>0</v>
      </c>
      <c r="G7" s="186">
        <v>0</v>
      </c>
      <c r="H7" s="171">
        <v>0</v>
      </c>
      <c r="I7" s="121">
        <v>0</v>
      </c>
      <c r="J7" s="171">
        <v>0</v>
      </c>
      <c r="K7" s="171">
        <v>0</v>
      </c>
      <c r="L7" s="185">
        <v>0</v>
      </c>
      <c r="M7" s="171">
        <v>0</v>
      </c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>
        <v>0</v>
      </c>
      <c r="AH7" s="197">
        <f t="shared" ref="AH7:AH14" si="0">SUM(C7:AG7)</f>
        <v>0</v>
      </c>
    </row>
    <row r="8" spans="1:34" x14ac:dyDescent="0.25">
      <c r="A8" s="179">
        <v>2</v>
      </c>
      <c r="B8" s="15" t="s">
        <v>20</v>
      </c>
      <c r="C8" s="187">
        <v>0</v>
      </c>
      <c r="D8" s="172">
        <v>0</v>
      </c>
      <c r="E8" s="187">
        <v>0</v>
      </c>
      <c r="F8" s="187">
        <v>0</v>
      </c>
      <c r="G8" s="187">
        <v>0</v>
      </c>
      <c r="H8" s="172">
        <v>0</v>
      </c>
      <c r="I8" s="122">
        <v>0</v>
      </c>
      <c r="J8" s="172">
        <v>0</v>
      </c>
      <c r="K8" s="172">
        <v>0</v>
      </c>
      <c r="L8" s="142">
        <v>0</v>
      </c>
      <c r="M8" s="122">
        <v>0</v>
      </c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72">
        <v>0</v>
      </c>
      <c r="AH8" s="198">
        <f t="shared" si="0"/>
        <v>0</v>
      </c>
    </row>
    <row r="9" spans="1:34" x14ac:dyDescent="0.25">
      <c r="A9" s="179" t="s">
        <v>110</v>
      </c>
      <c r="B9" s="11" t="s">
        <v>21</v>
      </c>
      <c r="C9" s="187">
        <v>0</v>
      </c>
      <c r="D9" s="172">
        <v>0</v>
      </c>
      <c r="E9" s="187">
        <v>0</v>
      </c>
      <c r="F9" s="187">
        <v>0</v>
      </c>
      <c r="G9" s="187">
        <v>0</v>
      </c>
      <c r="H9" s="188">
        <v>0</v>
      </c>
      <c r="I9" s="126">
        <v>0</v>
      </c>
      <c r="J9" s="172">
        <v>0</v>
      </c>
      <c r="K9" s="172">
        <v>0</v>
      </c>
      <c r="L9" s="142">
        <v>0</v>
      </c>
      <c r="M9" s="142">
        <v>0</v>
      </c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72">
        <v>0</v>
      </c>
      <c r="AH9" s="198">
        <f t="shared" si="0"/>
        <v>0</v>
      </c>
    </row>
    <row r="10" spans="1:34" x14ac:dyDescent="0.25">
      <c r="A10" s="60">
        <v>4</v>
      </c>
      <c r="B10" s="18" t="s">
        <v>22</v>
      </c>
      <c r="C10" s="142">
        <v>0</v>
      </c>
      <c r="D10" s="61">
        <v>0</v>
      </c>
      <c r="E10" s="142">
        <v>0</v>
      </c>
      <c r="F10" s="142">
        <v>0</v>
      </c>
      <c r="G10" s="189">
        <v>0</v>
      </c>
      <c r="H10" s="85">
        <v>0</v>
      </c>
      <c r="I10" s="126">
        <v>0</v>
      </c>
      <c r="J10" s="85">
        <v>0</v>
      </c>
      <c r="K10" s="61">
        <v>0</v>
      </c>
      <c r="L10" s="142">
        <v>0</v>
      </c>
      <c r="M10" s="142">
        <v>0</v>
      </c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61">
        <v>0</v>
      </c>
      <c r="AH10" s="71">
        <f t="shared" si="0"/>
        <v>0</v>
      </c>
    </row>
    <row r="11" spans="1:34" x14ac:dyDescent="0.25">
      <c r="A11" s="60">
        <v>5</v>
      </c>
      <c r="B11" s="19" t="s">
        <v>23</v>
      </c>
      <c r="C11" s="142">
        <v>0</v>
      </c>
      <c r="D11" s="61">
        <v>0</v>
      </c>
      <c r="E11" s="142">
        <v>0</v>
      </c>
      <c r="F11" s="142">
        <v>0</v>
      </c>
      <c r="G11" s="142">
        <v>0</v>
      </c>
      <c r="H11" s="85">
        <v>0</v>
      </c>
      <c r="I11" s="126">
        <v>0</v>
      </c>
      <c r="J11" s="85">
        <v>0</v>
      </c>
      <c r="K11" s="61">
        <v>0</v>
      </c>
      <c r="L11" s="86">
        <v>0</v>
      </c>
      <c r="M11" s="61">
        <v>0</v>
      </c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>
        <v>0</v>
      </c>
      <c r="AH11" s="71">
        <f t="shared" si="0"/>
        <v>0</v>
      </c>
    </row>
    <row r="12" spans="1:34" x14ac:dyDescent="0.25">
      <c r="A12" s="60">
        <v>6</v>
      </c>
      <c r="B12" s="19" t="s">
        <v>24</v>
      </c>
      <c r="C12" s="142">
        <v>0</v>
      </c>
      <c r="D12" s="61">
        <v>0</v>
      </c>
      <c r="E12" s="142">
        <v>0</v>
      </c>
      <c r="F12" s="142">
        <v>0</v>
      </c>
      <c r="G12" s="142">
        <v>0</v>
      </c>
      <c r="H12" s="61">
        <v>0</v>
      </c>
      <c r="I12" s="126">
        <v>0</v>
      </c>
      <c r="J12" s="61">
        <v>0</v>
      </c>
      <c r="K12" s="61">
        <v>0</v>
      </c>
      <c r="L12" s="61">
        <v>0</v>
      </c>
      <c r="M12" s="61">
        <v>0</v>
      </c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>
        <v>0</v>
      </c>
      <c r="AH12" s="71">
        <f t="shared" si="0"/>
        <v>0</v>
      </c>
    </row>
    <row r="13" spans="1:34" x14ac:dyDescent="0.25">
      <c r="A13" s="60">
        <v>7</v>
      </c>
      <c r="B13" s="19" t="s">
        <v>25</v>
      </c>
      <c r="C13" s="142">
        <v>0</v>
      </c>
      <c r="D13" s="61">
        <v>0</v>
      </c>
      <c r="E13" s="142">
        <v>0</v>
      </c>
      <c r="F13" s="190">
        <v>0</v>
      </c>
      <c r="G13" s="142">
        <v>0</v>
      </c>
      <c r="H13" s="61">
        <v>0</v>
      </c>
      <c r="I13" s="122">
        <v>0</v>
      </c>
      <c r="J13" s="85">
        <v>0</v>
      </c>
      <c r="K13" s="61">
        <v>0</v>
      </c>
      <c r="L13" s="61">
        <v>0</v>
      </c>
      <c r="M13" s="61">
        <v>0</v>
      </c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>
        <v>0</v>
      </c>
      <c r="AH13" s="71">
        <f t="shared" si="0"/>
        <v>0</v>
      </c>
    </row>
    <row r="14" spans="1:34" ht="15.75" thickBot="1" x14ac:dyDescent="0.3">
      <c r="A14" s="62">
        <v>8</v>
      </c>
      <c r="B14" s="18" t="s">
        <v>27</v>
      </c>
      <c r="C14" s="191">
        <v>0</v>
      </c>
      <c r="D14" s="192">
        <v>0</v>
      </c>
      <c r="E14" s="193">
        <v>0</v>
      </c>
      <c r="F14" s="193">
        <v>0</v>
      </c>
      <c r="G14" s="193">
        <v>0</v>
      </c>
      <c r="H14" s="192">
        <v>0</v>
      </c>
      <c r="I14" s="199">
        <v>0</v>
      </c>
      <c r="J14" s="199">
        <v>0</v>
      </c>
      <c r="K14" s="192">
        <v>0</v>
      </c>
      <c r="L14" s="192">
        <v>0</v>
      </c>
      <c r="M14" s="192">
        <v>0</v>
      </c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>
        <v>0</v>
      </c>
      <c r="AH14" s="200">
        <f t="shared" si="0"/>
        <v>0</v>
      </c>
    </row>
    <row r="15" spans="1:34" ht="15.75" thickTop="1" x14ac:dyDescent="0.25">
      <c r="A15" s="235" t="s">
        <v>28</v>
      </c>
      <c r="B15" s="236"/>
      <c r="C15" s="64">
        <f>SUM(C7:C14)</f>
        <v>0</v>
      </c>
      <c r="D15" s="64">
        <f t="shared" ref="D15:K15" si="1">SUM(D7:D14)</f>
        <v>0</v>
      </c>
      <c r="E15" s="194">
        <f t="shared" si="1"/>
        <v>0</v>
      </c>
      <c r="F15" s="194">
        <f>SUM(F7:F14)</f>
        <v>0</v>
      </c>
      <c r="G15" s="194">
        <f t="shared" si="1"/>
        <v>0</v>
      </c>
      <c r="H15" s="64">
        <f t="shared" si="1"/>
        <v>0</v>
      </c>
      <c r="I15" s="202">
        <f t="shared" si="1"/>
        <v>0</v>
      </c>
      <c r="J15" s="64">
        <f t="shared" si="1"/>
        <v>0</v>
      </c>
      <c r="K15" s="64">
        <f t="shared" si="1"/>
        <v>0</v>
      </c>
      <c r="L15" s="64">
        <f t="shared" ref="L15:X15" si="2">SUM(L7:L14)</f>
        <v>0</v>
      </c>
      <c r="M15" s="64">
        <f t="shared" si="2"/>
        <v>0</v>
      </c>
      <c r="N15" s="64">
        <f t="shared" si="2"/>
        <v>0</v>
      </c>
      <c r="O15" s="64">
        <f t="shared" si="2"/>
        <v>0</v>
      </c>
      <c r="P15" s="64">
        <f t="shared" si="2"/>
        <v>0</v>
      </c>
      <c r="Q15" s="64">
        <f t="shared" si="2"/>
        <v>0</v>
      </c>
      <c r="R15" s="64">
        <f t="shared" si="2"/>
        <v>0</v>
      </c>
      <c r="S15" s="64">
        <f t="shared" si="2"/>
        <v>0</v>
      </c>
      <c r="T15" s="64">
        <f t="shared" si="2"/>
        <v>0</v>
      </c>
      <c r="U15" s="64">
        <f t="shared" si="2"/>
        <v>0</v>
      </c>
      <c r="V15" s="64">
        <f t="shared" si="2"/>
        <v>0</v>
      </c>
      <c r="W15" s="64">
        <f t="shared" si="2"/>
        <v>0</v>
      </c>
      <c r="X15" s="64">
        <f t="shared" si="2"/>
        <v>0</v>
      </c>
      <c r="Y15" s="64">
        <f ca="1">SUM(Y7:Y15)</f>
        <v>0</v>
      </c>
      <c r="Z15" s="64">
        <f t="shared" ref="Z15:AH15" si="3">SUM(Z7:Z14)</f>
        <v>0</v>
      </c>
      <c r="AA15" s="64">
        <f t="shared" si="3"/>
        <v>0</v>
      </c>
      <c r="AB15" s="64">
        <f t="shared" si="3"/>
        <v>0</v>
      </c>
      <c r="AC15" s="64">
        <f t="shared" si="3"/>
        <v>0</v>
      </c>
      <c r="AD15" s="64">
        <f t="shared" si="3"/>
        <v>0</v>
      </c>
      <c r="AE15" s="64">
        <f t="shared" si="3"/>
        <v>0</v>
      </c>
      <c r="AF15" s="64">
        <f t="shared" si="3"/>
        <v>0</v>
      </c>
      <c r="AG15" s="64">
        <f t="shared" si="3"/>
        <v>0</v>
      </c>
      <c r="AH15" s="64">
        <f t="shared" si="3"/>
        <v>0</v>
      </c>
    </row>
  </sheetData>
  <mergeCells count="7">
    <mergeCell ref="A15:B15"/>
    <mergeCell ref="A1:AH1"/>
    <mergeCell ref="A2:AH2"/>
    <mergeCell ref="A5:A6"/>
    <mergeCell ref="B5:B6"/>
    <mergeCell ref="C5:AG5"/>
    <mergeCell ref="AH5:AH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4"/>
  <sheetViews>
    <sheetView workbookViewId="0">
      <selection activeCell="I2" sqref="I2"/>
    </sheetView>
  </sheetViews>
  <sheetFormatPr defaultColWidth="9" defaultRowHeight="15" x14ac:dyDescent="0.25"/>
  <cols>
    <col min="1" max="1" width="3.7109375" customWidth="1"/>
    <col min="2" max="2" width="17" customWidth="1"/>
    <col min="3" max="6" width="15.140625" customWidth="1"/>
    <col min="7" max="7" width="4.140625" customWidth="1"/>
    <col min="8" max="9" width="9" customWidth="1"/>
    <col min="12" max="12" width="9" customWidth="1"/>
  </cols>
  <sheetData>
    <row r="1" spans="1:6" x14ac:dyDescent="0.25">
      <c r="A1" s="1" t="s">
        <v>83</v>
      </c>
    </row>
    <row r="2" spans="1:6" x14ac:dyDescent="0.25">
      <c r="A2" s="1" t="s">
        <v>112</v>
      </c>
    </row>
    <row r="3" spans="1:6" ht="13.5" customHeight="1" x14ac:dyDescent="0.25">
      <c r="A3" s="1"/>
    </row>
    <row r="4" spans="1:6" x14ac:dyDescent="0.25">
      <c r="A4" s="1" t="s">
        <v>84</v>
      </c>
    </row>
    <row r="5" spans="1:6" x14ac:dyDescent="0.25">
      <c r="A5" s="253" t="s">
        <v>2</v>
      </c>
      <c r="B5" s="250" t="s">
        <v>3</v>
      </c>
      <c r="C5" s="2" t="s">
        <v>85</v>
      </c>
      <c r="D5" s="2" t="s">
        <v>86</v>
      </c>
      <c r="E5" s="2" t="s">
        <v>87</v>
      </c>
      <c r="F5" s="3" t="s">
        <v>88</v>
      </c>
    </row>
    <row r="6" spans="1:6" x14ac:dyDescent="0.25">
      <c r="A6" s="254"/>
      <c r="B6" s="238"/>
      <c r="C6" s="5" t="s">
        <v>1</v>
      </c>
      <c r="D6" s="5" t="s">
        <v>1</v>
      </c>
      <c r="E6" s="5" t="s">
        <v>40</v>
      </c>
      <c r="F6" s="6" t="s">
        <v>34</v>
      </c>
    </row>
    <row r="7" spans="1:6" x14ac:dyDescent="0.25">
      <c r="A7" s="7">
        <v>1</v>
      </c>
      <c r="B7" s="8">
        <v>2</v>
      </c>
      <c r="C7" s="8">
        <v>3</v>
      </c>
      <c r="D7" s="8">
        <v>4</v>
      </c>
      <c r="E7" s="8">
        <v>5</v>
      </c>
      <c r="F7" s="9">
        <v>6</v>
      </c>
    </row>
    <row r="8" spans="1:6" x14ac:dyDescent="0.25">
      <c r="A8" s="10">
        <v>1</v>
      </c>
      <c r="B8" s="11" t="s">
        <v>19</v>
      </c>
      <c r="C8" s="12">
        <f>'padi sawah'!O9</f>
        <v>532</v>
      </c>
      <c r="D8" s="12">
        <f>'padi sawah'!O42</f>
        <v>580</v>
      </c>
      <c r="E8" s="12">
        <f>'padi sawah'!O75</f>
        <v>3118.0999999999995</v>
      </c>
      <c r="F8" s="13">
        <f>'padi sawah'!O108</f>
        <v>53.760344827586195</v>
      </c>
    </row>
    <row r="9" spans="1:6" x14ac:dyDescent="0.25">
      <c r="A9" s="14">
        <v>2</v>
      </c>
      <c r="B9" s="15" t="s">
        <v>20</v>
      </c>
      <c r="C9" s="16">
        <f>'padi sawah'!O10</f>
        <v>225</v>
      </c>
      <c r="D9" s="16">
        <f>'padi sawah'!O43</f>
        <v>235</v>
      </c>
      <c r="E9" s="16">
        <f>'padi sawah'!O76</f>
        <v>1363</v>
      </c>
      <c r="F9" s="13">
        <f>'padi sawah'!O109</f>
        <v>58</v>
      </c>
    </row>
    <row r="10" spans="1:6" x14ac:dyDescent="0.25">
      <c r="A10" s="14">
        <v>3</v>
      </c>
      <c r="B10" s="11" t="s">
        <v>21</v>
      </c>
      <c r="C10" s="16">
        <f>'padi sawah'!O11</f>
        <v>22</v>
      </c>
      <c r="D10" s="16">
        <f>'padi sawah'!O44</f>
        <v>19</v>
      </c>
      <c r="E10" s="16">
        <f>'padi sawah'!O77</f>
        <v>110.19999999999999</v>
      </c>
      <c r="F10" s="13">
        <f>'padi sawah'!O110</f>
        <v>58</v>
      </c>
    </row>
    <row r="11" spans="1:6" x14ac:dyDescent="0.25">
      <c r="A11" s="17">
        <v>4</v>
      </c>
      <c r="B11" s="18" t="s">
        <v>22</v>
      </c>
      <c r="C11" s="16">
        <f>'padi sawah'!O12</f>
        <v>374.5</v>
      </c>
      <c r="D11" s="16">
        <f>'padi sawah'!O45</f>
        <v>281</v>
      </c>
      <c r="E11" s="16">
        <f>'padi sawah'!O78</f>
        <v>1629.8000000000002</v>
      </c>
      <c r="F11" s="13">
        <f>'padi sawah'!O111</f>
        <v>58.000000000000007</v>
      </c>
    </row>
    <row r="12" spans="1:6" x14ac:dyDescent="0.25">
      <c r="A12" s="17">
        <v>5</v>
      </c>
      <c r="B12" s="19" t="s">
        <v>23</v>
      </c>
      <c r="C12" s="16">
        <f>'padi sawah'!O13</f>
        <v>188</v>
      </c>
      <c r="D12" s="16">
        <f>'padi sawah'!O46</f>
        <v>113.32</v>
      </c>
      <c r="E12" s="16">
        <f>'padi sawah'!O79</f>
        <v>652</v>
      </c>
      <c r="F12" s="13">
        <f>'padi sawah'!O112</f>
        <v>57.536180727144377</v>
      </c>
    </row>
    <row r="13" spans="1:6" x14ac:dyDescent="0.25">
      <c r="A13" s="17">
        <v>6</v>
      </c>
      <c r="B13" s="19" t="s">
        <v>24</v>
      </c>
      <c r="C13" s="16">
        <f>'padi sawah'!O14</f>
        <v>75.5</v>
      </c>
      <c r="D13" s="16">
        <f>'padi sawah'!O47</f>
        <v>87</v>
      </c>
      <c r="E13" s="16">
        <f>'padi sawah'!O80</f>
        <v>473</v>
      </c>
      <c r="F13" s="13">
        <f>'padi sawah'!O113</f>
        <v>54.367816091954026</v>
      </c>
    </row>
    <row r="14" spans="1:6" x14ac:dyDescent="0.25">
      <c r="A14" s="17">
        <v>7</v>
      </c>
      <c r="B14" s="19" t="s">
        <v>25</v>
      </c>
      <c r="C14" s="16">
        <f>'padi sawah'!O15</f>
        <v>732</v>
      </c>
      <c r="D14" s="16">
        <f>'padi sawah'!O48</f>
        <v>742</v>
      </c>
      <c r="E14" s="16">
        <f>'padi sawah'!O81</f>
        <v>4298.3999999999996</v>
      </c>
      <c r="F14" s="13">
        <f>'padi sawah'!O114</f>
        <v>57.9299191374663</v>
      </c>
    </row>
    <row r="15" spans="1:6" x14ac:dyDescent="0.25">
      <c r="A15" s="20">
        <v>8</v>
      </c>
      <c r="B15" s="18" t="s">
        <v>27</v>
      </c>
      <c r="C15" s="21">
        <f>'padi sawah'!O16</f>
        <v>484</v>
      </c>
      <c r="D15" s="21">
        <f>'padi sawah'!O49</f>
        <v>371</v>
      </c>
      <c r="E15" s="21">
        <f>'padi sawah'!O82</f>
        <v>2127.7999999999997</v>
      </c>
      <c r="F15" s="22">
        <f>'padi sawah'!O115</f>
        <v>57.353099730458219</v>
      </c>
    </row>
    <row r="16" spans="1:6" x14ac:dyDescent="0.25">
      <c r="A16" s="251" t="s">
        <v>28</v>
      </c>
      <c r="B16" s="252"/>
      <c r="C16" s="23">
        <f>SUM(C8:C15)</f>
        <v>2633</v>
      </c>
      <c r="D16" s="23">
        <f>SUM(D8:D15)</f>
        <v>2428.3199999999997</v>
      </c>
      <c r="E16" s="23">
        <f>SUM(E8:E15)</f>
        <v>13772.3</v>
      </c>
      <c r="F16" s="24">
        <f>E16/D16*10</f>
        <v>56.715342294261063</v>
      </c>
    </row>
    <row r="17" spans="1:6" x14ac:dyDescent="0.25">
      <c r="A17" s="25"/>
      <c r="B17" s="25"/>
      <c r="C17" s="26"/>
      <c r="D17" s="26"/>
      <c r="E17" s="26"/>
      <c r="F17" s="27"/>
    </row>
    <row r="18" spans="1:6" x14ac:dyDescent="0.25">
      <c r="A18" s="25"/>
      <c r="B18" s="25"/>
      <c r="C18" s="26"/>
      <c r="D18" s="26"/>
      <c r="E18" s="26"/>
      <c r="F18" s="27"/>
    </row>
    <row r="20" spans="1:6" x14ac:dyDescent="0.25">
      <c r="A20" s="1" t="s">
        <v>89</v>
      </c>
    </row>
    <row r="21" spans="1:6" x14ac:dyDescent="0.25">
      <c r="A21" s="253" t="s">
        <v>2</v>
      </c>
      <c r="B21" s="250" t="s">
        <v>3</v>
      </c>
      <c r="C21" s="2" t="s">
        <v>85</v>
      </c>
      <c r="D21" s="2" t="s">
        <v>86</v>
      </c>
      <c r="E21" s="2" t="s">
        <v>87</v>
      </c>
      <c r="F21" s="3" t="s">
        <v>88</v>
      </c>
    </row>
    <row r="22" spans="1:6" ht="15.75" customHeight="1" x14ac:dyDescent="0.25">
      <c r="A22" s="254"/>
      <c r="B22" s="238"/>
      <c r="C22" s="5" t="s">
        <v>1</v>
      </c>
      <c r="D22" s="5" t="s">
        <v>1</v>
      </c>
      <c r="E22" s="5" t="s">
        <v>40</v>
      </c>
      <c r="F22" s="6" t="s">
        <v>34</v>
      </c>
    </row>
    <row r="23" spans="1:6" x14ac:dyDescent="0.25">
      <c r="A23" s="7">
        <v>1</v>
      </c>
      <c r="B23" s="8">
        <v>2</v>
      </c>
      <c r="C23" s="8">
        <v>3</v>
      </c>
      <c r="D23" s="8">
        <v>4</v>
      </c>
      <c r="E23" s="8">
        <v>5</v>
      </c>
      <c r="F23" s="9">
        <v>6</v>
      </c>
    </row>
    <row r="24" spans="1:6" x14ac:dyDescent="0.25">
      <c r="A24" s="10">
        <v>1</v>
      </c>
      <c r="B24" s="11" t="s">
        <v>19</v>
      </c>
      <c r="C24" s="28">
        <f>'padi ladang'!O9</f>
        <v>0</v>
      </c>
      <c r="D24" s="28">
        <f>'padi ladang'!O42</f>
        <v>0</v>
      </c>
      <c r="E24" s="28">
        <f>'padi ladang'!O75</f>
        <v>0</v>
      </c>
      <c r="F24" s="29">
        <f>'padi ladang'!O108</f>
        <v>0</v>
      </c>
    </row>
    <row r="25" spans="1:6" x14ac:dyDescent="0.25">
      <c r="A25" s="14">
        <v>2</v>
      </c>
      <c r="B25" s="15" t="s">
        <v>20</v>
      </c>
      <c r="C25" s="16">
        <f>'padi ladang'!O10</f>
        <v>0</v>
      </c>
      <c r="D25" s="16">
        <f>'padi ladang'!O43</f>
        <v>0</v>
      </c>
      <c r="E25" s="16">
        <f>'padi ladang'!O76</f>
        <v>0</v>
      </c>
      <c r="F25" s="30">
        <f>'padi ladang'!O109</f>
        <v>0</v>
      </c>
    </row>
    <row r="26" spans="1:6" x14ac:dyDescent="0.25">
      <c r="A26" s="14">
        <v>3</v>
      </c>
      <c r="B26" s="11" t="s">
        <v>21</v>
      </c>
      <c r="C26" s="16">
        <f>'padi ladang'!O11</f>
        <v>0</v>
      </c>
      <c r="D26" s="16">
        <f>'padi ladang'!O44</f>
        <v>0</v>
      </c>
      <c r="E26" s="16">
        <f>'padi ladang'!O77</f>
        <v>0</v>
      </c>
      <c r="F26" s="30">
        <f>'padi ladang'!O110</f>
        <v>0</v>
      </c>
    </row>
    <row r="27" spans="1:6" x14ac:dyDescent="0.25">
      <c r="A27" s="17">
        <v>4</v>
      </c>
      <c r="B27" s="18" t="s">
        <v>22</v>
      </c>
      <c r="C27" s="16">
        <f>'padi ladang'!O12</f>
        <v>0</v>
      </c>
      <c r="D27" s="16">
        <f>'padi ladang'!O45</f>
        <v>0</v>
      </c>
      <c r="E27" s="16">
        <f>'padi ladang'!O78</f>
        <v>0</v>
      </c>
      <c r="F27" s="30">
        <f>'padi ladang'!O111</f>
        <v>0</v>
      </c>
    </row>
    <row r="28" spans="1:6" x14ac:dyDescent="0.25">
      <c r="A28" s="17">
        <v>5</v>
      </c>
      <c r="B28" s="19" t="s">
        <v>23</v>
      </c>
      <c r="C28" s="16">
        <f>'padi ladang'!O13</f>
        <v>0</v>
      </c>
      <c r="D28" s="16">
        <f>'padi ladang'!O46</f>
        <v>0</v>
      </c>
      <c r="E28" s="16">
        <f>'padi ladang'!O79</f>
        <v>0</v>
      </c>
      <c r="F28" s="30">
        <f>'padi ladang'!O112</f>
        <v>0</v>
      </c>
    </row>
    <row r="29" spans="1:6" x14ac:dyDescent="0.25">
      <c r="A29" s="17">
        <v>6</v>
      </c>
      <c r="B29" s="19" t="s">
        <v>24</v>
      </c>
      <c r="C29" s="16">
        <f>'padi ladang'!O14</f>
        <v>0</v>
      </c>
      <c r="D29" s="16">
        <f>'padi ladang'!O47</f>
        <v>0</v>
      </c>
      <c r="E29" s="16">
        <f>'padi ladang'!O80</f>
        <v>0</v>
      </c>
      <c r="F29" s="30">
        <f>'padi ladang'!O113</f>
        <v>0</v>
      </c>
    </row>
    <row r="30" spans="1:6" x14ac:dyDescent="0.25">
      <c r="A30" s="17">
        <v>7</v>
      </c>
      <c r="B30" s="19" t="s">
        <v>25</v>
      </c>
      <c r="C30" s="16">
        <f>'padi ladang'!O15</f>
        <v>0</v>
      </c>
      <c r="D30" s="16">
        <f>'padi ladang'!O48</f>
        <v>0</v>
      </c>
      <c r="E30" s="16">
        <f>'padi ladang'!O81</f>
        <v>0</v>
      </c>
      <c r="F30" s="30">
        <f>'padi ladang'!O114</f>
        <v>0</v>
      </c>
    </row>
    <row r="31" spans="1:6" x14ac:dyDescent="0.25">
      <c r="A31" s="20">
        <v>8</v>
      </c>
      <c r="B31" s="18" t="s">
        <v>27</v>
      </c>
      <c r="C31" s="21">
        <f>'padi ladang'!O16</f>
        <v>0</v>
      </c>
      <c r="D31" s="21">
        <f>'padi ladang'!O49</f>
        <v>0</v>
      </c>
      <c r="E31" s="21">
        <f>'padi ladang'!O82</f>
        <v>0</v>
      </c>
      <c r="F31" s="31">
        <f>'padi ladang'!O115</f>
        <v>0</v>
      </c>
    </row>
    <row r="32" spans="1:6" x14ac:dyDescent="0.25">
      <c r="A32" s="251" t="s">
        <v>28</v>
      </c>
      <c r="B32" s="252"/>
      <c r="C32" s="23">
        <f>SUM(C24:C31)</f>
        <v>0</v>
      </c>
      <c r="D32" s="23">
        <f>SUM(D24:D31)</f>
        <v>0</v>
      </c>
      <c r="E32" s="23">
        <f>SUM(E24:E31)</f>
        <v>0</v>
      </c>
      <c r="F32" s="24">
        <v>0</v>
      </c>
    </row>
    <row r="33" spans="1:6" x14ac:dyDescent="0.25">
      <c r="A33" s="25"/>
      <c r="B33" s="25"/>
      <c r="C33" s="26"/>
      <c r="D33" s="26"/>
      <c r="E33" s="26"/>
      <c r="F33" s="27"/>
    </row>
    <row r="34" spans="1:6" x14ac:dyDescent="0.25">
      <c r="A34" s="25"/>
      <c r="B34" s="25"/>
      <c r="C34" s="26"/>
      <c r="D34" s="26"/>
      <c r="E34" s="26"/>
      <c r="F34" s="27"/>
    </row>
    <row r="36" spans="1:6" x14ac:dyDescent="0.25">
      <c r="A36" s="1" t="s">
        <v>90</v>
      </c>
      <c r="F36" s="1" t="s">
        <v>100</v>
      </c>
    </row>
    <row r="37" spans="1:6" x14ac:dyDescent="0.25">
      <c r="A37" s="253" t="s">
        <v>2</v>
      </c>
      <c r="B37" s="250" t="s">
        <v>3</v>
      </c>
      <c r="C37" s="2" t="s">
        <v>85</v>
      </c>
      <c r="D37" s="2" t="s">
        <v>86</v>
      </c>
      <c r="E37" s="2" t="s">
        <v>87</v>
      </c>
      <c r="F37" s="3" t="s">
        <v>88</v>
      </c>
    </row>
    <row r="38" spans="1:6" x14ac:dyDescent="0.25">
      <c r="A38" s="254"/>
      <c r="B38" s="238"/>
      <c r="C38" s="5" t="s">
        <v>1</v>
      </c>
      <c r="D38" s="5" t="s">
        <v>1</v>
      </c>
      <c r="E38" s="5" t="s">
        <v>40</v>
      </c>
      <c r="F38" s="6" t="s">
        <v>34</v>
      </c>
    </row>
    <row r="39" spans="1:6" x14ac:dyDescent="0.25">
      <c r="A39" s="7">
        <v>1</v>
      </c>
      <c r="B39" s="8">
        <v>2</v>
      </c>
      <c r="C39" s="8">
        <v>3</v>
      </c>
      <c r="D39" s="8">
        <v>4</v>
      </c>
      <c r="E39" s="8">
        <v>5</v>
      </c>
      <c r="F39" s="9">
        <v>6</v>
      </c>
    </row>
    <row r="40" spans="1:6" x14ac:dyDescent="0.25">
      <c r="A40" s="10">
        <v>1</v>
      </c>
      <c r="B40" s="11" t="s">
        <v>19</v>
      </c>
      <c r="C40" s="28">
        <v>1</v>
      </c>
      <c r="D40" s="32">
        <f>jagung!O42</f>
        <v>0</v>
      </c>
      <c r="E40" s="28">
        <f>jagung!O75</f>
        <v>0</v>
      </c>
      <c r="F40" s="29" t="e">
        <f>jagung!O108</f>
        <v>#DIV/0!</v>
      </c>
    </row>
    <row r="41" spans="1:6" x14ac:dyDescent="0.25">
      <c r="A41" s="14">
        <v>2</v>
      </c>
      <c r="B41" s="15" t="s">
        <v>20</v>
      </c>
      <c r="C41" s="16">
        <v>1</v>
      </c>
      <c r="D41" s="33">
        <f>jagung!O43</f>
        <v>0</v>
      </c>
      <c r="E41" s="16">
        <f>jagung!O76</f>
        <v>0</v>
      </c>
      <c r="F41" s="30" t="e">
        <f>jagung!O109</f>
        <v>#DIV/0!</v>
      </c>
    </row>
    <row r="42" spans="1:6" x14ac:dyDescent="0.25">
      <c r="A42" s="14">
        <v>3</v>
      </c>
      <c r="B42" s="11" t="s">
        <v>21</v>
      </c>
      <c r="C42" s="16">
        <v>0</v>
      </c>
      <c r="D42" s="33">
        <f>jagung!O44</f>
        <v>0</v>
      </c>
      <c r="E42" s="16">
        <f>jagung!O77</f>
        <v>0</v>
      </c>
      <c r="F42" s="30" t="e">
        <f>jagung!O110</f>
        <v>#DIV/0!</v>
      </c>
    </row>
    <row r="43" spans="1:6" x14ac:dyDescent="0.25">
      <c r="A43" s="17">
        <v>4</v>
      </c>
      <c r="B43" s="18" t="s">
        <v>22</v>
      </c>
      <c r="C43" s="16">
        <v>3</v>
      </c>
      <c r="D43" s="33">
        <v>0</v>
      </c>
      <c r="E43" s="16">
        <f>jagung!O78</f>
        <v>0.98</v>
      </c>
      <c r="F43" s="30">
        <f>jagung!O111</f>
        <v>48.999999999999993</v>
      </c>
    </row>
    <row r="44" spans="1:6" x14ac:dyDescent="0.25">
      <c r="A44" s="17">
        <v>5</v>
      </c>
      <c r="B44" s="19" t="s">
        <v>23</v>
      </c>
      <c r="C44" s="16">
        <v>1</v>
      </c>
      <c r="D44" s="33">
        <f>jagung!O46</f>
        <v>0</v>
      </c>
      <c r="E44" s="16">
        <f>jagung!O79</f>
        <v>0</v>
      </c>
      <c r="F44" s="30">
        <f>jagung!O112</f>
        <v>0</v>
      </c>
    </row>
    <row r="45" spans="1:6" x14ac:dyDescent="0.25">
      <c r="A45" s="17">
        <v>6</v>
      </c>
      <c r="B45" s="19" t="s">
        <v>24</v>
      </c>
      <c r="C45" s="16">
        <v>0</v>
      </c>
      <c r="D45" s="33">
        <f>jagung!O47</f>
        <v>0</v>
      </c>
      <c r="E45" s="16">
        <f>jagung!O80</f>
        <v>0</v>
      </c>
      <c r="F45" s="30" t="e">
        <f>jagung!O113</f>
        <v>#DIV/0!</v>
      </c>
    </row>
    <row r="46" spans="1:6" x14ac:dyDescent="0.25">
      <c r="A46" s="17">
        <v>7</v>
      </c>
      <c r="B46" s="19" t="s">
        <v>25</v>
      </c>
      <c r="C46" s="16">
        <v>0</v>
      </c>
      <c r="D46" s="33">
        <f>jagung!O48</f>
        <v>0</v>
      </c>
      <c r="E46" s="16">
        <f>jagung!O81</f>
        <v>0</v>
      </c>
      <c r="F46" s="30" t="e">
        <f>jagung!O114</f>
        <v>#DIV/0!</v>
      </c>
    </row>
    <row r="47" spans="1:6" x14ac:dyDescent="0.25">
      <c r="A47" s="20">
        <v>8</v>
      </c>
      <c r="B47" s="18" t="s">
        <v>27</v>
      </c>
      <c r="C47" s="21">
        <v>0</v>
      </c>
      <c r="D47" s="34">
        <f>jagung!O49</f>
        <v>1</v>
      </c>
      <c r="E47" s="21">
        <f>jagung!O82</f>
        <v>4.9000000000000004</v>
      </c>
      <c r="F47" s="31">
        <f>jagung!O115</f>
        <v>49</v>
      </c>
    </row>
    <row r="48" spans="1:6" x14ac:dyDescent="0.25">
      <c r="A48" s="251" t="s">
        <v>28</v>
      </c>
      <c r="B48" s="252"/>
      <c r="C48" s="23">
        <f>SUM(C40:C47)</f>
        <v>6</v>
      </c>
      <c r="D48" s="23">
        <f>SUM(D40:D47)</f>
        <v>1</v>
      </c>
      <c r="E48" s="23">
        <f>SUM(E40:E47)</f>
        <v>5.8800000000000008</v>
      </c>
      <c r="F48" s="35">
        <v>3.6</v>
      </c>
    </row>
    <row r="49" spans="1:6" x14ac:dyDescent="0.25">
      <c r="A49" s="25"/>
      <c r="B49" s="25"/>
      <c r="C49" s="26"/>
      <c r="D49" s="26"/>
      <c r="E49" s="26"/>
      <c r="F49" s="36"/>
    </row>
    <row r="50" spans="1:6" x14ac:dyDescent="0.25">
      <c r="A50" s="25"/>
      <c r="B50" s="25"/>
      <c r="C50" s="26"/>
      <c r="D50" s="26"/>
      <c r="E50" s="26"/>
      <c r="F50" s="36"/>
    </row>
    <row r="51" spans="1:6" x14ac:dyDescent="0.25">
      <c r="A51" s="25"/>
      <c r="B51" s="25"/>
      <c r="C51" s="26"/>
      <c r="D51" s="26"/>
      <c r="E51" s="26"/>
      <c r="F51" s="36"/>
    </row>
    <row r="52" spans="1:6" x14ac:dyDescent="0.25">
      <c r="A52" s="1" t="s">
        <v>90</v>
      </c>
      <c r="F52" s="1" t="s">
        <v>91</v>
      </c>
    </row>
    <row r="53" spans="1:6" x14ac:dyDescent="0.25">
      <c r="A53" s="253" t="s">
        <v>2</v>
      </c>
      <c r="B53" s="250" t="s">
        <v>3</v>
      </c>
      <c r="C53" s="2" t="s">
        <v>85</v>
      </c>
      <c r="D53" s="2" t="s">
        <v>86</v>
      </c>
      <c r="E53" s="2" t="s">
        <v>87</v>
      </c>
      <c r="F53" s="3" t="s">
        <v>88</v>
      </c>
    </row>
    <row r="54" spans="1:6" x14ac:dyDescent="0.25">
      <c r="A54" s="254"/>
      <c r="B54" s="238"/>
      <c r="C54" s="5" t="s">
        <v>1</v>
      </c>
      <c r="D54" s="5" t="s">
        <v>1</v>
      </c>
      <c r="E54" s="5" t="s">
        <v>40</v>
      </c>
      <c r="F54" s="6" t="s">
        <v>34</v>
      </c>
    </row>
    <row r="55" spans="1:6" x14ac:dyDescent="0.25">
      <c r="A55" s="7">
        <v>1</v>
      </c>
      <c r="B55" s="8">
        <v>2</v>
      </c>
      <c r="C55" s="8">
        <v>3</v>
      </c>
      <c r="D55" s="8">
        <v>4</v>
      </c>
      <c r="E55" s="8">
        <v>5</v>
      </c>
      <c r="F55" s="9">
        <v>6</v>
      </c>
    </row>
    <row r="56" spans="1:6" x14ac:dyDescent="0.25">
      <c r="A56" s="10">
        <v>1</v>
      </c>
      <c r="B56" s="11" t="s">
        <v>19</v>
      </c>
      <c r="C56" s="28">
        <v>1</v>
      </c>
      <c r="D56" s="32">
        <f>jagung!O56</f>
        <v>1.3499999999999999</v>
      </c>
      <c r="E56" s="28">
        <f>jagung!O89</f>
        <v>6.5</v>
      </c>
      <c r="F56" s="29">
        <f>jagung!O122</f>
        <v>48.148148148148152</v>
      </c>
    </row>
    <row r="57" spans="1:6" x14ac:dyDescent="0.25">
      <c r="A57" s="14">
        <v>2</v>
      </c>
      <c r="B57" s="15" t="s">
        <v>20</v>
      </c>
      <c r="C57" s="16">
        <v>1</v>
      </c>
      <c r="D57" s="33">
        <f>jagung!O57</f>
        <v>2.74</v>
      </c>
      <c r="E57" s="16">
        <f>jagung!O90</f>
        <v>13.13</v>
      </c>
      <c r="F57" s="30">
        <f>jagung!O123</f>
        <v>47.919708029197075</v>
      </c>
    </row>
    <row r="58" spans="1:6" x14ac:dyDescent="0.25">
      <c r="A58" s="14">
        <v>3</v>
      </c>
      <c r="B58" s="11" t="s">
        <v>21</v>
      </c>
      <c r="C58" s="16">
        <v>2.2000000000000002</v>
      </c>
      <c r="D58" s="33">
        <f>jagung!O58</f>
        <v>9</v>
      </c>
      <c r="E58" s="16">
        <f>jagung!O91</f>
        <v>44.1</v>
      </c>
      <c r="F58" s="30">
        <f>jagung!O124</f>
        <v>49</v>
      </c>
    </row>
    <row r="59" spans="1:6" x14ac:dyDescent="0.25">
      <c r="A59" s="17">
        <v>4</v>
      </c>
      <c r="B59" s="18" t="s">
        <v>22</v>
      </c>
      <c r="C59" s="16">
        <v>6</v>
      </c>
      <c r="D59" s="33">
        <f>jagung!O59</f>
        <v>1</v>
      </c>
      <c r="E59" s="16">
        <f>jagung!O92</f>
        <v>0</v>
      </c>
      <c r="F59" s="30">
        <f>jagung!O125</f>
        <v>0</v>
      </c>
    </row>
    <row r="60" spans="1:6" x14ac:dyDescent="0.25">
      <c r="A60" s="17">
        <v>5</v>
      </c>
      <c r="B60" s="19" t="s">
        <v>23</v>
      </c>
      <c r="C60" s="16">
        <v>2</v>
      </c>
      <c r="D60" s="33">
        <f>jagung!O60</f>
        <v>4.9000000000000004</v>
      </c>
      <c r="E60" s="16">
        <f>jagung!O93</f>
        <v>28.9</v>
      </c>
      <c r="F60" s="30">
        <f>jagung!O126</f>
        <v>58.979591836734684</v>
      </c>
    </row>
    <row r="61" spans="1:6" x14ac:dyDescent="0.25">
      <c r="A61" s="17">
        <v>6</v>
      </c>
      <c r="B61" s="19" t="s">
        <v>24</v>
      </c>
      <c r="C61" s="16">
        <v>1.2</v>
      </c>
      <c r="D61" s="33">
        <f>jagung!O61</f>
        <v>1.2</v>
      </c>
      <c r="E61" s="16">
        <f>jagung!O94</f>
        <v>5.85</v>
      </c>
      <c r="F61" s="30">
        <f>jagung!O127</f>
        <v>48.75</v>
      </c>
    </row>
    <row r="62" spans="1:6" x14ac:dyDescent="0.25">
      <c r="A62" s="17">
        <v>7</v>
      </c>
      <c r="B62" s="19" t="s">
        <v>25</v>
      </c>
      <c r="C62" s="16">
        <v>2</v>
      </c>
      <c r="D62" s="33">
        <f>jagung!O62</f>
        <v>2</v>
      </c>
      <c r="E62" s="16">
        <f>jagung!O95</f>
        <v>9.8000000000000007</v>
      </c>
      <c r="F62" s="30">
        <f>jagung!O128</f>
        <v>49</v>
      </c>
    </row>
    <row r="63" spans="1:6" x14ac:dyDescent="0.25">
      <c r="A63" s="20">
        <v>8</v>
      </c>
      <c r="B63" s="18" t="s">
        <v>27</v>
      </c>
      <c r="C63" s="21">
        <v>6</v>
      </c>
      <c r="D63" s="34">
        <f>jagung!O63</f>
        <v>7</v>
      </c>
      <c r="E63" s="21">
        <f>jagung!O96</f>
        <v>29.4</v>
      </c>
      <c r="F63" s="31">
        <f>jagung!O129</f>
        <v>42</v>
      </c>
    </row>
    <row r="64" spans="1:6" x14ac:dyDescent="0.25">
      <c r="A64" s="251" t="s">
        <v>28</v>
      </c>
      <c r="B64" s="252"/>
      <c r="C64" s="23">
        <f>SUM(C56:C63)</f>
        <v>21.4</v>
      </c>
      <c r="D64" s="23">
        <f>SUM(D56:D63)</f>
        <v>29.19</v>
      </c>
      <c r="E64" s="23">
        <f>SUM(E56:E63)</f>
        <v>137.67999999999998</v>
      </c>
      <c r="F64" s="35">
        <f>jagung!O130</f>
        <v>47.166837958204859</v>
      </c>
    </row>
    <row r="65" spans="1:6" x14ac:dyDescent="0.25">
      <c r="A65" s="25"/>
      <c r="B65" s="25"/>
      <c r="C65" s="26"/>
      <c r="D65" s="26"/>
      <c r="E65" s="26"/>
      <c r="F65" s="36"/>
    </row>
    <row r="66" spans="1:6" x14ac:dyDescent="0.25">
      <c r="A66" s="25"/>
      <c r="B66" s="25"/>
      <c r="C66" s="26"/>
      <c r="D66" s="26"/>
      <c r="E66" s="26"/>
      <c r="F66" s="36"/>
    </row>
    <row r="67" spans="1:6" x14ac:dyDescent="0.25">
      <c r="A67" s="25"/>
      <c r="B67" s="25"/>
      <c r="C67" s="26"/>
      <c r="D67" s="26"/>
      <c r="E67" s="26"/>
      <c r="F67" s="36"/>
    </row>
    <row r="68" spans="1:6" x14ac:dyDescent="0.25">
      <c r="A68" s="25"/>
      <c r="B68" s="25"/>
      <c r="C68" s="26"/>
      <c r="D68" s="26"/>
      <c r="E68" s="26"/>
      <c r="F68" s="36"/>
    </row>
    <row r="69" spans="1:6" x14ac:dyDescent="0.25">
      <c r="A69" s="1" t="s">
        <v>92</v>
      </c>
    </row>
    <row r="70" spans="1:6" x14ac:dyDescent="0.25">
      <c r="A70" s="253" t="s">
        <v>2</v>
      </c>
      <c r="B70" s="250" t="s">
        <v>3</v>
      </c>
      <c r="C70" s="2" t="s">
        <v>85</v>
      </c>
      <c r="D70" s="2" t="s">
        <v>86</v>
      </c>
      <c r="E70" s="2" t="s">
        <v>87</v>
      </c>
      <c r="F70" s="3" t="s">
        <v>88</v>
      </c>
    </row>
    <row r="71" spans="1:6" x14ac:dyDescent="0.25">
      <c r="A71" s="254"/>
      <c r="B71" s="238"/>
      <c r="C71" s="5" t="s">
        <v>1</v>
      </c>
      <c r="D71" s="5" t="s">
        <v>1</v>
      </c>
      <c r="E71" s="5" t="s">
        <v>40</v>
      </c>
      <c r="F71" s="6" t="s">
        <v>34</v>
      </c>
    </row>
    <row r="72" spans="1:6" x14ac:dyDescent="0.25">
      <c r="A72" s="7">
        <v>1</v>
      </c>
      <c r="B72" s="8">
        <v>2</v>
      </c>
      <c r="C72" s="8">
        <v>3</v>
      </c>
      <c r="D72" s="8">
        <v>4</v>
      </c>
      <c r="E72" s="8">
        <v>5</v>
      </c>
      <c r="F72" s="9">
        <v>6</v>
      </c>
    </row>
    <row r="73" spans="1:6" x14ac:dyDescent="0.25">
      <c r="A73" s="10">
        <v>1</v>
      </c>
      <c r="B73" s="11" t="s">
        <v>19</v>
      </c>
      <c r="C73" s="28">
        <f>kedelai!O9</f>
        <v>0</v>
      </c>
      <c r="D73" s="32">
        <f>kedelai!O42</f>
        <v>0</v>
      </c>
      <c r="E73" s="32">
        <f>kedelai!O75</f>
        <v>0</v>
      </c>
      <c r="F73" s="37">
        <f>kedelai!O108</f>
        <v>0</v>
      </c>
    </row>
    <row r="74" spans="1:6" x14ac:dyDescent="0.25">
      <c r="A74" s="14">
        <v>2</v>
      </c>
      <c r="B74" s="15" t="s">
        <v>20</v>
      </c>
      <c r="C74" s="16">
        <f>kedelai!O10</f>
        <v>0</v>
      </c>
      <c r="D74" s="33">
        <f>kedelai!O43</f>
        <v>0</v>
      </c>
      <c r="E74" s="33">
        <f>kedelai!O76</f>
        <v>0</v>
      </c>
      <c r="F74" s="38">
        <f>kedelai!O109</f>
        <v>0</v>
      </c>
    </row>
    <row r="75" spans="1:6" x14ac:dyDescent="0.25">
      <c r="A75" s="14">
        <v>3</v>
      </c>
      <c r="B75" s="11" t="s">
        <v>21</v>
      </c>
      <c r="C75" s="16">
        <f>kedelai!O11</f>
        <v>0</v>
      </c>
      <c r="D75" s="33">
        <f>kedelai!O44</f>
        <v>0</v>
      </c>
      <c r="E75" s="33">
        <f>kedelai!O77</f>
        <v>0</v>
      </c>
      <c r="F75" s="38">
        <f>kedelai!O110</f>
        <v>0</v>
      </c>
    </row>
    <row r="76" spans="1:6" x14ac:dyDescent="0.25">
      <c r="A76" s="17">
        <v>4</v>
      </c>
      <c r="B76" s="18" t="s">
        <v>22</v>
      </c>
      <c r="C76" s="16">
        <f>kedelai!O12</f>
        <v>0</v>
      </c>
      <c r="D76" s="33">
        <f>kedelai!O45</f>
        <v>0</v>
      </c>
      <c r="E76" s="33">
        <f>kedelai!O78</f>
        <v>0</v>
      </c>
      <c r="F76" s="38">
        <f>kedelai!O111</f>
        <v>0</v>
      </c>
    </row>
    <row r="77" spans="1:6" x14ac:dyDescent="0.25">
      <c r="A77" s="17">
        <v>5</v>
      </c>
      <c r="B77" s="19" t="s">
        <v>23</v>
      </c>
      <c r="C77" s="16">
        <f>kedelai!O13</f>
        <v>0</v>
      </c>
      <c r="D77" s="33">
        <f>kedelai!O46</f>
        <v>0</v>
      </c>
      <c r="E77" s="33">
        <f>kedelai!O79</f>
        <v>0</v>
      </c>
      <c r="F77" s="38">
        <f>kedelai!O112</f>
        <v>0</v>
      </c>
    </row>
    <row r="78" spans="1:6" x14ac:dyDescent="0.25">
      <c r="A78" s="17">
        <v>6</v>
      </c>
      <c r="B78" s="19" t="s">
        <v>24</v>
      </c>
      <c r="C78" s="16">
        <f>kedelai!O14</f>
        <v>0</v>
      </c>
      <c r="D78" s="33">
        <f>kedelai!O47</f>
        <v>0</v>
      </c>
      <c r="E78" s="33">
        <f>kedelai!O80</f>
        <v>0</v>
      </c>
      <c r="F78" s="38">
        <f>kedelai!O113</f>
        <v>0</v>
      </c>
    </row>
    <row r="79" spans="1:6" x14ac:dyDescent="0.25">
      <c r="A79" s="17">
        <v>7</v>
      </c>
      <c r="B79" s="19" t="s">
        <v>25</v>
      </c>
      <c r="C79" s="16">
        <f>kedelai!O15</f>
        <v>0</v>
      </c>
      <c r="D79" s="33">
        <f>kedelai!O48</f>
        <v>0</v>
      </c>
      <c r="E79" s="33">
        <f>kedelai!O81</f>
        <v>0</v>
      </c>
      <c r="F79" s="38">
        <f>kedelai!O114</f>
        <v>0</v>
      </c>
    </row>
    <row r="80" spans="1:6" x14ac:dyDescent="0.25">
      <c r="A80" s="20">
        <v>8</v>
      </c>
      <c r="B80" s="18" t="s">
        <v>27</v>
      </c>
      <c r="C80" s="21">
        <f>kedelai!O16</f>
        <v>0</v>
      </c>
      <c r="D80" s="34">
        <f>kedelai!O49</f>
        <v>0</v>
      </c>
      <c r="E80" s="34">
        <f>kedelai!O82</f>
        <v>0</v>
      </c>
      <c r="F80" s="39">
        <f>kedelai!O115</f>
        <v>0</v>
      </c>
    </row>
    <row r="81" spans="1:6" x14ac:dyDescent="0.25">
      <c r="A81" s="251" t="s">
        <v>28</v>
      </c>
      <c r="B81" s="252"/>
      <c r="C81" s="23">
        <f>SUM(C73:C80)</f>
        <v>0</v>
      </c>
      <c r="D81" s="23">
        <f>SUM(D73:D80)</f>
        <v>0</v>
      </c>
      <c r="E81" s="23">
        <f>SUM(E73:E80)</f>
        <v>0</v>
      </c>
      <c r="F81" s="40">
        <f>kedelai!O116</f>
        <v>0</v>
      </c>
    </row>
    <row r="82" spans="1:6" x14ac:dyDescent="0.25">
      <c r="A82" s="25"/>
      <c r="B82" s="25"/>
      <c r="C82" s="26"/>
      <c r="D82" s="26"/>
      <c r="E82" s="26"/>
      <c r="F82" s="41"/>
    </row>
    <row r="83" spans="1:6" x14ac:dyDescent="0.25">
      <c r="A83" s="25"/>
      <c r="B83" s="25"/>
      <c r="C83" s="26"/>
      <c r="D83" s="26"/>
      <c r="E83" s="26"/>
      <c r="F83" s="41"/>
    </row>
    <row r="84" spans="1:6" x14ac:dyDescent="0.25">
      <c r="A84" s="25"/>
      <c r="B84" s="25"/>
      <c r="C84" s="26"/>
      <c r="D84" s="26"/>
      <c r="E84" s="26"/>
      <c r="F84" s="41"/>
    </row>
    <row r="86" spans="1:6" x14ac:dyDescent="0.25">
      <c r="A86" s="1" t="s">
        <v>93</v>
      </c>
    </row>
    <row r="87" spans="1:6" x14ac:dyDescent="0.25">
      <c r="A87" s="253" t="s">
        <v>2</v>
      </c>
      <c r="B87" s="250" t="s">
        <v>3</v>
      </c>
      <c r="C87" s="2" t="s">
        <v>85</v>
      </c>
      <c r="D87" s="2" t="s">
        <v>86</v>
      </c>
      <c r="E87" s="2" t="s">
        <v>87</v>
      </c>
      <c r="F87" s="3" t="s">
        <v>88</v>
      </c>
    </row>
    <row r="88" spans="1:6" x14ac:dyDescent="0.25">
      <c r="A88" s="254"/>
      <c r="B88" s="238"/>
      <c r="C88" s="5" t="s">
        <v>1</v>
      </c>
      <c r="D88" s="5" t="s">
        <v>1</v>
      </c>
      <c r="E88" s="5" t="s">
        <v>40</v>
      </c>
      <c r="F88" s="6" t="s">
        <v>34</v>
      </c>
    </row>
    <row r="89" spans="1:6" x14ac:dyDescent="0.25">
      <c r="A89" s="7">
        <v>1</v>
      </c>
      <c r="B89" s="8">
        <v>2</v>
      </c>
      <c r="C89" s="8">
        <v>3</v>
      </c>
      <c r="D89" s="8">
        <v>4</v>
      </c>
      <c r="E89" s="8">
        <v>5</v>
      </c>
      <c r="F89" s="9">
        <v>6</v>
      </c>
    </row>
    <row r="90" spans="1:6" x14ac:dyDescent="0.25">
      <c r="A90" s="10">
        <v>1</v>
      </c>
      <c r="B90" s="11" t="s">
        <v>19</v>
      </c>
      <c r="C90" s="42">
        <f>'kc tanah'!O9</f>
        <v>10</v>
      </c>
      <c r="D90" s="43">
        <f>'kc tanah'!O41</f>
        <v>10</v>
      </c>
      <c r="E90" s="43">
        <f>'kc tanah'!O74</f>
        <v>12</v>
      </c>
      <c r="F90" s="44">
        <f>'kc tanah'!O107</f>
        <v>12</v>
      </c>
    </row>
    <row r="91" spans="1:6" x14ac:dyDescent="0.25">
      <c r="A91" s="14">
        <v>2</v>
      </c>
      <c r="B91" s="15" t="s">
        <v>20</v>
      </c>
      <c r="C91" s="16">
        <f>'kc tanah'!O10</f>
        <v>286</v>
      </c>
      <c r="D91" s="33">
        <f>'kc tanah'!O42</f>
        <v>332</v>
      </c>
      <c r="E91" s="33">
        <f>'kc tanah'!O75</f>
        <v>528</v>
      </c>
      <c r="F91" s="38">
        <f>'kc tanah'!O108</f>
        <v>15.903614457831326</v>
      </c>
    </row>
    <row r="92" spans="1:6" x14ac:dyDescent="0.25">
      <c r="A92" s="14">
        <v>3</v>
      </c>
      <c r="B92" s="11" t="s">
        <v>21</v>
      </c>
      <c r="C92" s="16">
        <f>'kc tanah'!O11</f>
        <v>54</v>
      </c>
      <c r="D92" s="33">
        <f>'kc tanah'!O43</f>
        <v>19</v>
      </c>
      <c r="E92" s="33">
        <f>'kc tanah'!O76</f>
        <v>22.8</v>
      </c>
      <c r="F92" s="38">
        <f>'kc tanah'!O109</f>
        <v>12</v>
      </c>
    </row>
    <row r="93" spans="1:6" x14ac:dyDescent="0.25">
      <c r="A93" s="17">
        <v>4</v>
      </c>
      <c r="B93" s="18" t="s">
        <v>22</v>
      </c>
      <c r="C93" s="16">
        <f>'kc tanah'!O12</f>
        <v>21</v>
      </c>
      <c r="D93" s="33">
        <f>'kc tanah'!O44</f>
        <v>60</v>
      </c>
      <c r="E93" s="33">
        <f>'kc tanah'!O77</f>
        <v>74</v>
      </c>
      <c r="F93" s="38">
        <f>'kc tanah'!O110</f>
        <v>12.333333333333334</v>
      </c>
    </row>
    <row r="94" spans="1:6" x14ac:dyDescent="0.25">
      <c r="A94" s="17">
        <v>5</v>
      </c>
      <c r="B94" s="19" t="s">
        <v>23</v>
      </c>
      <c r="C94" s="16">
        <f>'kc tanah'!O13</f>
        <v>255</v>
      </c>
      <c r="D94" s="33">
        <f>'kc tanah'!O45</f>
        <v>5</v>
      </c>
      <c r="E94" s="33">
        <f>'kc tanah'!O78</f>
        <v>7</v>
      </c>
      <c r="F94" s="38">
        <f>'kc tanah'!O111</f>
        <v>14</v>
      </c>
    </row>
    <row r="95" spans="1:6" x14ac:dyDescent="0.25">
      <c r="A95" s="17">
        <v>6</v>
      </c>
      <c r="B95" s="19" t="s">
        <v>24</v>
      </c>
      <c r="C95" s="16">
        <f>'kc tanah'!O14</f>
        <v>28</v>
      </c>
      <c r="D95" s="33">
        <f>'kc tanah'!O46</f>
        <v>32</v>
      </c>
      <c r="E95" s="33">
        <f>'kc tanah'!O79</f>
        <v>38.4</v>
      </c>
      <c r="F95" s="38">
        <f>'kc tanah'!O112</f>
        <v>12</v>
      </c>
    </row>
    <row r="96" spans="1:6" x14ac:dyDescent="0.25">
      <c r="A96" s="17">
        <v>7</v>
      </c>
      <c r="B96" s="19" t="s">
        <v>25</v>
      </c>
      <c r="C96" s="16">
        <f>'kc tanah'!O15</f>
        <v>2</v>
      </c>
      <c r="D96" s="33">
        <f>'kc tanah'!O47</f>
        <v>0</v>
      </c>
      <c r="E96" s="33">
        <f>'kc tanah'!O80</f>
        <v>0</v>
      </c>
      <c r="F96" s="38" t="s">
        <v>26</v>
      </c>
    </row>
    <row r="97" spans="1:6" x14ac:dyDescent="0.25">
      <c r="A97" s="20">
        <v>8</v>
      </c>
      <c r="B97" s="18" t="s">
        <v>27</v>
      </c>
      <c r="C97" s="21">
        <f>'kc tanah'!O16</f>
        <v>141</v>
      </c>
      <c r="D97" s="34">
        <f>'kc tanah'!O48</f>
        <v>214</v>
      </c>
      <c r="E97" s="34">
        <f>'kc tanah'!O81</f>
        <v>246</v>
      </c>
      <c r="F97" s="39">
        <f>'kc tanah'!O114</f>
        <v>11.495327102803738</v>
      </c>
    </row>
    <row r="98" spans="1:6" x14ac:dyDescent="0.25">
      <c r="A98" s="251" t="s">
        <v>28</v>
      </c>
      <c r="B98" s="252"/>
      <c r="C98" s="23">
        <f>SUM(C90:C97)</f>
        <v>797</v>
      </c>
      <c r="D98" s="23">
        <f>SUM(D90:D97)</f>
        <v>672</v>
      </c>
      <c r="E98" s="23">
        <f>SUM(E90:E97)</f>
        <v>928.19999999999993</v>
      </c>
      <c r="F98" s="24">
        <f>E98/D98*10</f>
        <v>13.812499999999998</v>
      </c>
    </row>
    <row r="99" spans="1:6" x14ac:dyDescent="0.25">
      <c r="A99" s="25"/>
      <c r="B99" s="25"/>
      <c r="C99" s="26"/>
      <c r="D99" s="26"/>
      <c r="E99" s="26"/>
      <c r="F99" s="27"/>
    </row>
    <row r="100" spans="1:6" x14ac:dyDescent="0.25">
      <c r="A100" s="25"/>
      <c r="B100" s="25"/>
      <c r="C100" s="26"/>
      <c r="D100" s="26"/>
      <c r="E100" s="26"/>
      <c r="F100" s="27"/>
    </row>
    <row r="101" spans="1:6" x14ac:dyDescent="0.25">
      <c r="A101" s="25"/>
      <c r="B101" s="25"/>
      <c r="C101" s="26"/>
      <c r="D101" s="26"/>
      <c r="E101" s="26"/>
      <c r="F101" s="27"/>
    </row>
    <row r="102" spans="1:6" x14ac:dyDescent="0.25">
      <c r="A102" s="25"/>
      <c r="B102" s="25"/>
      <c r="C102" s="26"/>
      <c r="D102" s="26"/>
      <c r="E102" s="26"/>
      <c r="F102" s="27"/>
    </row>
    <row r="103" spans="1:6" x14ac:dyDescent="0.25">
      <c r="A103" s="1" t="s">
        <v>94</v>
      </c>
    </row>
    <row r="104" spans="1:6" x14ac:dyDescent="0.25">
      <c r="A104" s="253" t="s">
        <v>2</v>
      </c>
      <c r="B104" s="250" t="s">
        <v>3</v>
      </c>
      <c r="C104" s="2" t="s">
        <v>85</v>
      </c>
      <c r="D104" s="2" t="s">
        <v>86</v>
      </c>
      <c r="E104" s="2" t="s">
        <v>87</v>
      </c>
      <c r="F104" s="3" t="s">
        <v>88</v>
      </c>
    </row>
    <row r="105" spans="1:6" x14ac:dyDescent="0.25">
      <c r="A105" s="254"/>
      <c r="B105" s="238"/>
      <c r="C105" s="5" t="s">
        <v>1</v>
      </c>
      <c r="D105" s="5" t="s">
        <v>1</v>
      </c>
      <c r="E105" s="5" t="s">
        <v>40</v>
      </c>
      <c r="F105" s="6" t="s">
        <v>34</v>
      </c>
    </row>
    <row r="106" spans="1:6" x14ac:dyDescent="0.25">
      <c r="A106" s="7">
        <v>1</v>
      </c>
      <c r="B106" s="8">
        <v>2</v>
      </c>
      <c r="C106" s="8">
        <v>3</v>
      </c>
      <c r="D106" s="8">
        <v>4</v>
      </c>
      <c r="E106" s="8">
        <v>5</v>
      </c>
      <c r="F106" s="9">
        <v>6</v>
      </c>
    </row>
    <row r="107" spans="1:6" x14ac:dyDescent="0.25">
      <c r="A107" s="10">
        <v>1</v>
      </c>
      <c r="B107" s="11" t="s">
        <v>19</v>
      </c>
      <c r="C107" s="42">
        <f>'ubi kayu'!O9</f>
        <v>3</v>
      </c>
      <c r="D107" s="43">
        <f>'ubi kayu'!O41</f>
        <v>1</v>
      </c>
      <c r="E107" s="43">
        <f>'ubi kayu'!O75</f>
        <v>12</v>
      </c>
      <c r="F107" s="44">
        <f>'ubi kayu'!O108</f>
        <v>120</v>
      </c>
    </row>
    <row r="108" spans="1:6" x14ac:dyDescent="0.25">
      <c r="A108" s="14">
        <v>2</v>
      </c>
      <c r="B108" s="15" t="s">
        <v>20</v>
      </c>
      <c r="C108" s="16">
        <f>'ubi kayu'!O10</f>
        <v>4.2</v>
      </c>
      <c r="D108" s="33">
        <f>'ubi kayu'!O42</f>
        <v>4</v>
      </c>
      <c r="E108" s="33">
        <f>'ubi kayu'!O76</f>
        <v>48</v>
      </c>
      <c r="F108" s="38">
        <f>'ubi kayu'!O109</f>
        <v>120</v>
      </c>
    </row>
    <row r="109" spans="1:6" x14ac:dyDescent="0.25">
      <c r="A109" s="14">
        <v>3</v>
      </c>
      <c r="B109" s="11" t="s">
        <v>21</v>
      </c>
      <c r="C109" s="16">
        <f>'ubi kayu'!O11</f>
        <v>4</v>
      </c>
      <c r="D109" s="33">
        <f>'ubi kayu'!O43</f>
        <v>8</v>
      </c>
      <c r="E109" s="33">
        <f>'ubi kayu'!O77</f>
        <v>96</v>
      </c>
      <c r="F109" s="38">
        <f>'ubi kayu'!O110</f>
        <v>120</v>
      </c>
    </row>
    <row r="110" spans="1:6" x14ac:dyDescent="0.25">
      <c r="A110" s="17">
        <v>4</v>
      </c>
      <c r="B110" s="18" t="s">
        <v>22</v>
      </c>
      <c r="C110" s="16">
        <f>'ubi kayu'!O12</f>
        <v>8</v>
      </c>
      <c r="D110" s="33">
        <f>'ubi kayu'!O44</f>
        <v>1</v>
      </c>
      <c r="E110" s="33">
        <f>'ubi kayu'!O78</f>
        <v>12</v>
      </c>
      <c r="F110" s="38">
        <f>'ubi kayu'!O111</f>
        <v>120</v>
      </c>
    </row>
    <row r="111" spans="1:6" x14ac:dyDescent="0.25">
      <c r="A111" s="17">
        <v>5</v>
      </c>
      <c r="B111" s="19" t="s">
        <v>23</v>
      </c>
      <c r="C111" s="16">
        <f>'ubi kayu'!O13</f>
        <v>2.1</v>
      </c>
      <c r="D111" s="45">
        <f>'ubi kayu'!O45</f>
        <v>4</v>
      </c>
      <c r="E111" s="33">
        <f>'ubi kayu'!O79</f>
        <v>48</v>
      </c>
      <c r="F111" s="38">
        <f>'ubi kayu'!O112</f>
        <v>120</v>
      </c>
    </row>
    <row r="112" spans="1:6" x14ac:dyDescent="0.25">
      <c r="A112" s="17">
        <v>6</v>
      </c>
      <c r="B112" s="19" t="s">
        <v>24</v>
      </c>
      <c r="C112" s="16">
        <f>'ubi kayu'!O14</f>
        <v>0.5</v>
      </c>
      <c r="D112" s="33">
        <f>'ubi kayu'!O46</f>
        <v>0.30000000000000004</v>
      </c>
      <c r="E112" s="33">
        <f>'ubi kayu'!O80</f>
        <v>3.5999999999999996</v>
      </c>
      <c r="F112" s="38">
        <f>'ubi kayu'!O113</f>
        <v>119.99999999999997</v>
      </c>
    </row>
    <row r="113" spans="1:6" x14ac:dyDescent="0.25">
      <c r="A113" s="17">
        <v>7</v>
      </c>
      <c r="B113" s="19" t="s">
        <v>25</v>
      </c>
      <c r="C113" s="16">
        <f>'ubi kayu'!O15</f>
        <v>1</v>
      </c>
      <c r="D113" s="33">
        <f>'ubi kayu'!O47</f>
        <v>0</v>
      </c>
      <c r="E113" s="33">
        <f>'ubi kayu'!O81</f>
        <v>0</v>
      </c>
      <c r="F113" s="38" t="e">
        <f>'ubi kayu'!O114</f>
        <v>#DIV/0!</v>
      </c>
    </row>
    <row r="114" spans="1:6" x14ac:dyDescent="0.25">
      <c r="A114" s="20">
        <v>8</v>
      </c>
      <c r="B114" s="18" t="s">
        <v>27</v>
      </c>
      <c r="C114" s="21">
        <f>'ubi kayu'!O16</f>
        <v>7</v>
      </c>
      <c r="D114" s="34">
        <f>'ubi kayu'!O48</f>
        <v>149</v>
      </c>
      <c r="E114" s="34">
        <f>'ubi kayu'!O82</f>
        <v>1788</v>
      </c>
      <c r="F114" s="39">
        <f>'ubi kayu'!O115</f>
        <v>120</v>
      </c>
    </row>
    <row r="115" spans="1:6" x14ac:dyDescent="0.25">
      <c r="A115" s="251" t="s">
        <v>28</v>
      </c>
      <c r="B115" s="252"/>
      <c r="C115" s="23">
        <f>SUM(C107:C114)</f>
        <v>29.8</v>
      </c>
      <c r="D115" s="23">
        <f>SUM(D107:D114)</f>
        <v>167.3</v>
      </c>
      <c r="E115" s="23">
        <f>SUM(E107:E114)</f>
        <v>2007.6</v>
      </c>
      <c r="F115" s="24">
        <f>E115/D115*10</f>
        <v>119.99999999999999</v>
      </c>
    </row>
    <row r="116" spans="1:6" x14ac:dyDescent="0.25">
      <c r="A116" s="25"/>
      <c r="B116" s="25"/>
      <c r="C116" s="26"/>
      <c r="D116" s="26"/>
      <c r="E116" s="26"/>
      <c r="F116" s="27"/>
    </row>
    <row r="117" spans="1:6" x14ac:dyDescent="0.25">
      <c r="A117" s="25"/>
      <c r="B117" s="25"/>
      <c r="C117" s="26"/>
      <c r="D117" s="26"/>
      <c r="E117" s="26"/>
      <c r="F117" s="27"/>
    </row>
    <row r="119" spans="1:6" x14ac:dyDescent="0.25">
      <c r="A119" s="1" t="s">
        <v>95</v>
      </c>
    </row>
    <row r="120" spans="1:6" x14ac:dyDescent="0.25">
      <c r="A120" s="253" t="s">
        <v>2</v>
      </c>
      <c r="B120" s="250" t="s">
        <v>3</v>
      </c>
      <c r="C120" s="2" t="s">
        <v>85</v>
      </c>
      <c r="D120" s="2" t="s">
        <v>86</v>
      </c>
      <c r="E120" s="2" t="s">
        <v>87</v>
      </c>
      <c r="F120" s="3" t="s">
        <v>88</v>
      </c>
    </row>
    <row r="121" spans="1:6" x14ac:dyDescent="0.25">
      <c r="A121" s="254"/>
      <c r="B121" s="238"/>
      <c r="C121" s="5" t="s">
        <v>1</v>
      </c>
      <c r="D121" s="5" t="s">
        <v>1</v>
      </c>
      <c r="E121" s="5" t="s">
        <v>40</v>
      </c>
      <c r="F121" s="6" t="s">
        <v>34</v>
      </c>
    </row>
    <row r="122" spans="1:6" x14ac:dyDescent="0.25">
      <c r="A122" s="7">
        <v>1</v>
      </c>
      <c r="B122" s="8">
        <v>2</v>
      </c>
      <c r="C122" s="8">
        <v>3</v>
      </c>
      <c r="D122" s="8">
        <v>4</v>
      </c>
      <c r="E122" s="8">
        <v>5</v>
      </c>
      <c r="F122" s="9">
        <v>6</v>
      </c>
    </row>
    <row r="123" spans="1:6" x14ac:dyDescent="0.25">
      <c r="A123" s="10">
        <v>1</v>
      </c>
      <c r="B123" s="11" t="s">
        <v>19</v>
      </c>
      <c r="C123" s="42">
        <f>H123</f>
        <v>0</v>
      </c>
      <c r="D123" s="43">
        <v>0</v>
      </c>
      <c r="E123" s="43">
        <f>'ubi jalar'!O75</f>
        <v>0</v>
      </c>
      <c r="F123" s="44" t="e">
        <f>'ubi jalar'!O108</f>
        <v>#DIV/0!</v>
      </c>
    </row>
    <row r="124" spans="1:6" x14ac:dyDescent="0.25">
      <c r="A124" s="14">
        <v>2</v>
      </c>
      <c r="B124" s="15" t="s">
        <v>20</v>
      </c>
      <c r="C124" s="16">
        <f>'ubi jalar'!O10</f>
        <v>0.4</v>
      </c>
      <c r="D124" s="33">
        <v>0</v>
      </c>
      <c r="E124" s="33">
        <f>'ubi jalar'!O76</f>
        <v>8.25</v>
      </c>
      <c r="F124" s="38">
        <f>'ubi jalar'!O109</f>
        <v>137.49999999999997</v>
      </c>
    </row>
    <row r="125" spans="1:6" x14ac:dyDescent="0.25">
      <c r="A125" s="14">
        <v>3</v>
      </c>
      <c r="B125" s="11" t="s">
        <v>21</v>
      </c>
      <c r="C125" s="16">
        <v>0</v>
      </c>
      <c r="D125" s="33">
        <v>0</v>
      </c>
      <c r="E125" s="33">
        <f>'ubi jalar'!O77</f>
        <v>0</v>
      </c>
      <c r="F125" s="38">
        <v>0</v>
      </c>
    </row>
    <row r="126" spans="1:6" x14ac:dyDescent="0.25">
      <c r="A126" s="17">
        <v>4</v>
      </c>
      <c r="B126" s="18" t="s">
        <v>22</v>
      </c>
      <c r="C126" s="16">
        <v>0</v>
      </c>
      <c r="D126" s="33">
        <v>1</v>
      </c>
      <c r="E126" s="33">
        <f>'ubi jalar'!O78</f>
        <v>12.5</v>
      </c>
      <c r="F126" s="38">
        <f>'ubi jalar'!O111</f>
        <v>125</v>
      </c>
    </row>
    <row r="127" spans="1:6" x14ac:dyDescent="0.25">
      <c r="A127" s="17">
        <v>5</v>
      </c>
      <c r="B127" s="19" t="s">
        <v>23</v>
      </c>
      <c r="C127" s="16">
        <f>'ubi jalar'!O13</f>
        <v>3</v>
      </c>
      <c r="D127" s="33">
        <v>0</v>
      </c>
      <c r="E127" s="33">
        <f>'ubi jalar'!O79</f>
        <v>4360.5</v>
      </c>
      <c r="F127" s="38">
        <f>'ubi jalar'!O112</f>
        <v>0</v>
      </c>
    </row>
    <row r="128" spans="1:6" x14ac:dyDescent="0.25">
      <c r="A128" s="17">
        <v>6</v>
      </c>
      <c r="B128" s="19" t="s">
        <v>24</v>
      </c>
      <c r="C128" s="16">
        <f>'ubi jalar'!O14</f>
        <v>1.2</v>
      </c>
      <c r="D128" s="33">
        <f>'ubi jalar'!O47</f>
        <v>1.2</v>
      </c>
      <c r="E128" s="33">
        <f>'ubi jalar'!O80</f>
        <v>12.85</v>
      </c>
      <c r="F128" s="38">
        <f>'ubi jalar'!O113</f>
        <v>107.08333333333334</v>
      </c>
    </row>
    <row r="129" spans="1:6" x14ac:dyDescent="0.25">
      <c r="A129" s="17">
        <v>7</v>
      </c>
      <c r="B129" s="19" t="s">
        <v>25</v>
      </c>
      <c r="C129" s="16">
        <f>'ubi jalar'!O15</f>
        <v>3</v>
      </c>
      <c r="D129" s="33">
        <f>'ubi jalar'!O48</f>
        <v>0</v>
      </c>
      <c r="E129" s="33">
        <f>'ubi jalar'!O81</f>
        <v>0</v>
      </c>
      <c r="F129" s="38">
        <v>0</v>
      </c>
    </row>
    <row r="130" spans="1:6" x14ac:dyDescent="0.25">
      <c r="A130" s="20">
        <v>8</v>
      </c>
      <c r="B130" s="18" t="s">
        <v>27</v>
      </c>
      <c r="C130" s="21">
        <f>'ubi jalar'!O16</f>
        <v>3</v>
      </c>
      <c r="D130" s="34">
        <f>'ubi jalar'!O49</f>
        <v>2</v>
      </c>
      <c r="E130" s="34">
        <f>'ubi jalar'!O82</f>
        <v>21</v>
      </c>
      <c r="F130" s="39">
        <v>0</v>
      </c>
    </row>
    <row r="131" spans="1:6" x14ac:dyDescent="0.25">
      <c r="A131" s="251" t="s">
        <v>28</v>
      </c>
      <c r="B131" s="252"/>
      <c r="C131" s="23">
        <f>SUM(C123:C130)</f>
        <v>10.6</v>
      </c>
      <c r="D131" s="23">
        <f>SUM(D123:D130)</f>
        <v>4.2</v>
      </c>
      <c r="E131" s="23">
        <f>SUM(E123:E130)</f>
        <v>4415.1000000000004</v>
      </c>
      <c r="F131" s="24">
        <f>E131/D131*10</f>
        <v>10512.142857142859</v>
      </c>
    </row>
    <row r="132" spans="1:6" x14ac:dyDescent="0.25">
      <c r="A132" s="25"/>
      <c r="B132" s="25"/>
      <c r="C132" s="26"/>
      <c r="D132" s="26"/>
      <c r="E132" s="26"/>
      <c r="F132" s="27"/>
    </row>
    <row r="133" spans="1:6" x14ac:dyDescent="0.25">
      <c r="A133" s="25"/>
      <c r="B133" s="25"/>
      <c r="C133" s="26"/>
      <c r="D133" s="26"/>
      <c r="E133" s="26"/>
      <c r="F133" s="27"/>
    </row>
    <row r="135" spans="1:6" x14ac:dyDescent="0.25">
      <c r="A135" s="1" t="s">
        <v>96</v>
      </c>
    </row>
    <row r="136" spans="1:6" x14ac:dyDescent="0.25">
      <c r="A136" s="253" t="s">
        <v>2</v>
      </c>
      <c r="B136" s="250" t="s">
        <v>3</v>
      </c>
      <c r="C136" s="2" t="s">
        <v>85</v>
      </c>
      <c r="D136" s="2" t="s">
        <v>86</v>
      </c>
      <c r="E136" s="2" t="s">
        <v>87</v>
      </c>
      <c r="F136" s="3" t="s">
        <v>88</v>
      </c>
    </row>
    <row r="137" spans="1:6" x14ac:dyDescent="0.25">
      <c r="A137" s="254"/>
      <c r="B137" s="238"/>
      <c r="C137" s="5" t="s">
        <v>1</v>
      </c>
      <c r="D137" s="5" t="s">
        <v>1</v>
      </c>
      <c r="E137" s="5" t="s">
        <v>40</v>
      </c>
      <c r="F137" s="6" t="s">
        <v>34</v>
      </c>
    </row>
    <row r="138" spans="1:6" x14ac:dyDescent="0.25">
      <c r="A138" s="7">
        <v>1</v>
      </c>
      <c r="B138" s="8">
        <v>2</v>
      </c>
      <c r="C138" s="8">
        <v>3</v>
      </c>
      <c r="D138" s="8">
        <v>4</v>
      </c>
      <c r="E138" s="8">
        <v>5</v>
      </c>
      <c r="F138" s="9">
        <v>6</v>
      </c>
    </row>
    <row r="139" spans="1:6" x14ac:dyDescent="0.25">
      <c r="A139" s="10">
        <v>1</v>
      </c>
      <c r="B139" s="11" t="s">
        <v>19</v>
      </c>
      <c r="C139" s="12">
        <f>'kc ijo'!O9</f>
        <v>0</v>
      </c>
      <c r="D139" s="46">
        <f>'kc ijo'!O42</f>
        <v>0</v>
      </c>
      <c r="E139" s="46">
        <f>'kc ijo'!O75</f>
        <v>0</v>
      </c>
      <c r="F139" s="47" t="e">
        <f>'kc ijo'!O108</f>
        <v>#DIV/0!</v>
      </c>
    </row>
    <row r="140" spans="1:6" x14ac:dyDescent="0.25">
      <c r="A140" s="14">
        <v>2</v>
      </c>
      <c r="B140" s="15" t="s">
        <v>20</v>
      </c>
      <c r="C140" s="16">
        <f>'kc ijo'!O10</f>
        <v>0</v>
      </c>
      <c r="D140" s="33">
        <f>'kc ijo'!O43</f>
        <v>0</v>
      </c>
      <c r="E140" s="33">
        <f>'kc ijo'!O76</f>
        <v>0</v>
      </c>
      <c r="F140" s="38" t="e">
        <f>'kc ijo'!O109</f>
        <v>#DIV/0!</v>
      </c>
    </row>
    <row r="141" spans="1:6" x14ac:dyDescent="0.25">
      <c r="A141" s="14">
        <v>3</v>
      </c>
      <c r="B141" s="11" t="s">
        <v>21</v>
      </c>
      <c r="C141" s="16">
        <f>'kc ijo'!O11</f>
        <v>0</v>
      </c>
      <c r="D141" s="33">
        <f>'kc ijo'!O44</f>
        <v>0</v>
      </c>
      <c r="E141" s="33">
        <f>'kc ijo'!O77</f>
        <v>0</v>
      </c>
      <c r="F141" s="38" t="e">
        <f>'kc ijo'!O110</f>
        <v>#DIV/0!</v>
      </c>
    </row>
    <row r="142" spans="1:6" x14ac:dyDescent="0.25">
      <c r="A142" s="17">
        <v>4</v>
      </c>
      <c r="B142" s="18" t="s">
        <v>22</v>
      </c>
      <c r="C142" s="16">
        <f>'kc ijo'!O12</f>
        <v>0</v>
      </c>
      <c r="D142" s="33">
        <f>'kc ijo'!O45</f>
        <v>0</v>
      </c>
      <c r="E142" s="33">
        <f>'kc ijo'!O78</f>
        <v>0</v>
      </c>
      <c r="F142" s="38" t="e">
        <f>'kc ijo'!O111</f>
        <v>#DIV/0!</v>
      </c>
    </row>
    <row r="143" spans="1:6" x14ac:dyDescent="0.25">
      <c r="A143" s="17">
        <v>5</v>
      </c>
      <c r="B143" s="19" t="s">
        <v>23</v>
      </c>
      <c r="C143" s="16">
        <f>'kc ijo'!O13</f>
        <v>0</v>
      </c>
      <c r="D143" s="33">
        <f>'kc ijo'!O46</f>
        <v>0</v>
      </c>
      <c r="E143" s="33">
        <f>'kc ijo'!O79</f>
        <v>0</v>
      </c>
      <c r="F143" s="38" t="e">
        <f>'kc ijo'!O112</f>
        <v>#DIV/0!</v>
      </c>
    </row>
    <row r="144" spans="1:6" x14ac:dyDescent="0.25">
      <c r="A144" s="17">
        <v>6</v>
      </c>
      <c r="B144" s="19" t="s">
        <v>24</v>
      </c>
      <c r="C144" s="16">
        <f>'kc ijo'!O14</f>
        <v>0</v>
      </c>
      <c r="D144" s="33">
        <f>'kc ijo'!O47</f>
        <v>0</v>
      </c>
      <c r="E144" s="33">
        <f>'kc ijo'!O80</f>
        <v>0</v>
      </c>
      <c r="F144" s="38" t="e">
        <f>'kc ijo'!O113</f>
        <v>#DIV/0!</v>
      </c>
    </row>
    <row r="145" spans="1:6" x14ac:dyDescent="0.25">
      <c r="A145" s="17">
        <v>7</v>
      </c>
      <c r="B145" s="19" t="s">
        <v>25</v>
      </c>
      <c r="C145" s="16">
        <f>'kc ijo'!O15</f>
        <v>0</v>
      </c>
      <c r="D145" s="33">
        <f>'kc ijo'!O48</f>
        <v>0</v>
      </c>
      <c r="E145" s="33">
        <f>'kc ijo'!O81</f>
        <v>0</v>
      </c>
      <c r="F145" s="38" t="e">
        <f>'kc ijo'!O114</f>
        <v>#DIV/0!</v>
      </c>
    </row>
    <row r="146" spans="1:6" x14ac:dyDescent="0.25">
      <c r="A146" s="20">
        <v>8</v>
      </c>
      <c r="B146" s="18" t="s">
        <v>27</v>
      </c>
      <c r="C146" s="21">
        <f>'kc ijo'!O16</f>
        <v>3</v>
      </c>
      <c r="D146" s="34">
        <f>'kc ijo'!O49</f>
        <v>2</v>
      </c>
      <c r="E146" s="34">
        <f>'kc ijo'!O82</f>
        <v>2.4</v>
      </c>
      <c r="F146" s="39">
        <f>'kc ijo'!O115</f>
        <v>12</v>
      </c>
    </row>
    <row r="147" spans="1:6" x14ac:dyDescent="0.25">
      <c r="A147" s="251" t="s">
        <v>28</v>
      </c>
      <c r="B147" s="252"/>
      <c r="C147" s="23">
        <f>SUM(C139:C146)</f>
        <v>3</v>
      </c>
      <c r="D147" s="23">
        <f>SUM(D139:D146)</f>
        <v>2</v>
      </c>
      <c r="E147" s="23">
        <f>SUM(E139:E146)</f>
        <v>2.4</v>
      </c>
      <c r="F147" s="24">
        <f>E147/D147*10</f>
        <v>12</v>
      </c>
    </row>
    <row r="154" spans="1:6" x14ac:dyDescent="0.25">
      <c r="A154" s="1" t="s">
        <v>97</v>
      </c>
    </row>
    <row r="155" spans="1:6" x14ac:dyDescent="0.25">
      <c r="A155" s="253" t="s">
        <v>2</v>
      </c>
      <c r="B155" s="250" t="s">
        <v>3</v>
      </c>
      <c r="C155" s="2" t="s">
        <v>85</v>
      </c>
      <c r="D155" s="2" t="s">
        <v>86</v>
      </c>
      <c r="E155" s="2" t="s">
        <v>87</v>
      </c>
      <c r="F155" s="3" t="s">
        <v>88</v>
      </c>
    </row>
    <row r="156" spans="1:6" x14ac:dyDescent="0.25">
      <c r="A156" s="254"/>
      <c r="B156" s="238"/>
      <c r="C156" s="5" t="s">
        <v>1</v>
      </c>
      <c r="D156" s="5" t="s">
        <v>1</v>
      </c>
      <c r="E156" s="5" t="s">
        <v>40</v>
      </c>
      <c r="F156" s="6" t="s">
        <v>34</v>
      </c>
    </row>
    <row r="157" spans="1:6" x14ac:dyDescent="0.25">
      <c r="A157" s="7">
        <v>1</v>
      </c>
      <c r="B157" s="8">
        <v>2</v>
      </c>
      <c r="C157" s="8">
        <v>3</v>
      </c>
      <c r="D157" s="8">
        <v>4</v>
      </c>
      <c r="E157" s="8">
        <v>5</v>
      </c>
      <c r="F157" s="9">
        <v>6</v>
      </c>
    </row>
    <row r="158" spans="1:6" x14ac:dyDescent="0.25">
      <c r="A158" s="10">
        <v>1</v>
      </c>
      <c r="B158" s="11" t="s">
        <v>19</v>
      </c>
      <c r="C158" s="12">
        <f>talas!O9</f>
        <v>0</v>
      </c>
      <c r="D158" s="46">
        <f>talas!O42</f>
        <v>0</v>
      </c>
      <c r="E158" s="48">
        <f>talas!O75</f>
        <v>0</v>
      </c>
      <c r="F158" s="47">
        <f>talas!O108</f>
        <v>0</v>
      </c>
    </row>
    <row r="159" spans="1:6" x14ac:dyDescent="0.25">
      <c r="A159" s="14">
        <v>2</v>
      </c>
      <c r="B159" s="15" t="s">
        <v>20</v>
      </c>
      <c r="C159" s="16">
        <f>talas!O10</f>
        <v>0</v>
      </c>
      <c r="D159" s="33">
        <f>talas!O43</f>
        <v>0</v>
      </c>
      <c r="E159" s="45">
        <f>talas!O76</f>
        <v>0</v>
      </c>
      <c r="F159" s="38">
        <f>talas!O109</f>
        <v>0</v>
      </c>
    </row>
    <row r="160" spans="1:6" x14ac:dyDescent="0.25">
      <c r="A160" s="14">
        <v>3</v>
      </c>
      <c r="B160" s="11" t="s">
        <v>21</v>
      </c>
      <c r="C160" s="16">
        <f>talas!O11</f>
        <v>0</v>
      </c>
      <c r="D160" s="33">
        <f>talas!O44</f>
        <v>0</v>
      </c>
      <c r="E160" s="45">
        <f>talas!O77</f>
        <v>0</v>
      </c>
      <c r="F160" s="38">
        <f>talas!O110</f>
        <v>0</v>
      </c>
    </row>
    <row r="161" spans="1:6" x14ac:dyDescent="0.25">
      <c r="A161" s="17">
        <v>4</v>
      </c>
      <c r="B161" s="18" t="s">
        <v>22</v>
      </c>
      <c r="C161" s="16">
        <f>talas!O12</f>
        <v>0</v>
      </c>
      <c r="D161" s="33">
        <f>talas!O45</f>
        <v>0</v>
      </c>
      <c r="E161" s="45">
        <f>talas!O78</f>
        <v>0</v>
      </c>
      <c r="F161" s="38">
        <f>talas!O111</f>
        <v>0</v>
      </c>
    </row>
    <row r="162" spans="1:6" x14ac:dyDescent="0.25">
      <c r="A162" s="17">
        <v>5</v>
      </c>
      <c r="B162" s="19" t="s">
        <v>23</v>
      </c>
      <c r="C162" s="16">
        <f>talas!O13</f>
        <v>0</v>
      </c>
      <c r="D162" s="33">
        <f>talas!O46</f>
        <v>0</v>
      </c>
      <c r="E162" s="45">
        <f>talas!O79</f>
        <v>0</v>
      </c>
      <c r="F162" s="38">
        <f>talas!O112</f>
        <v>0</v>
      </c>
    </row>
    <row r="163" spans="1:6" x14ac:dyDescent="0.25">
      <c r="A163" s="17">
        <v>6</v>
      </c>
      <c r="B163" s="19" t="s">
        <v>24</v>
      </c>
      <c r="C163" s="16">
        <f>talas!O14</f>
        <v>0</v>
      </c>
      <c r="D163" s="33">
        <f>talas!O47</f>
        <v>0</v>
      </c>
      <c r="E163" s="45">
        <f>talas!O80</f>
        <v>0</v>
      </c>
      <c r="F163" s="38">
        <f>talas!O113</f>
        <v>0</v>
      </c>
    </row>
    <row r="164" spans="1:6" x14ac:dyDescent="0.25">
      <c r="A164" s="17">
        <v>7</v>
      </c>
      <c r="B164" s="19" t="s">
        <v>25</v>
      </c>
      <c r="C164" s="16">
        <f>talas!O15</f>
        <v>0</v>
      </c>
      <c r="D164" s="33">
        <f>talas!O48</f>
        <v>0</v>
      </c>
      <c r="E164" s="45">
        <f>talas!O81</f>
        <v>0</v>
      </c>
      <c r="F164" s="38">
        <f>talas!O114</f>
        <v>0</v>
      </c>
    </row>
    <row r="165" spans="1:6" x14ac:dyDescent="0.25">
      <c r="A165" s="20">
        <v>8</v>
      </c>
      <c r="B165" s="18" t="s">
        <v>27</v>
      </c>
      <c r="C165" s="49">
        <f>talas!O16</f>
        <v>0</v>
      </c>
      <c r="D165" s="50">
        <f>talas!O49</f>
        <v>0</v>
      </c>
      <c r="E165" s="51">
        <f>talas!O82</f>
        <v>0</v>
      </c>
      <c r="F165" s="52">
        <f>talas!O115</f>
        <v>0</v>
      </c>
    </row>
    <row r="166" spans="1:6" x14ac:dyDescent="0.25">
      <c r="A166" s="251" t="s">
        <v>28</v>
      </c>
      <c r="B166" s="252"/>
      <c r="C166" s="23">
        <f>SUM(C158:C165)</f>
        <v>0</v>
      </c>
      <c r="D166" s="23">
        <f>SUM(D158:D165)</f>
        <v>0</v>
      </c>
      <c r="E166" s="53">
        <f>SUM(E158:E165)</f>
        <v>0</v>
      </c>
      <c r="F166" s="24">
        <v>0</v>
      </c>
    </row>
    <row r="167" spans="1:6" x14ac:dyDescent="0.25">
      <c r="A167" s="25"/>
      <c r="B167" s="25"/>
      <c r="C167" s="26"/>
      <c r="D167" s="26"/>
      <c r="E167" s="54"/>
      <c r="F167" s="27"/>
    </row>
    <row r="168" spans="1:6" x14ac:dyDescent="0.25">
      <c r="A168" s="1" t="s">
        <v>98</v>
      </c>
    </row>
    <row r="169" spans="1:6" x14ac:dyDescent="0.25">
      <c r="A169" s="253" t="s">
        <v>2</v>
      </c>
      <c r="B169" s="250" t="s">
        <v>3</v>
      </c>
      <c r="C169" s="2" t="s">
        <v>85</v>
      </c>
      <c r="D169" s="2" t="s">
        <v>86</v>
      </c>
      <c r="E169" s="2" t="s">
        <v>87</v>
      </c>
      <c r="F169" s="3" t="s">
        <v>88</v>
      </c>
    </row>
    <row r="170" spans="1:6" x14ac:dyDescent="0.25">
      <c r="A170" s="254"/>
      <c r="B170" s="238"/>
      <c r="C170" s="5" t="s">
        <v>1</v>
      </c>
      <c r="D170" s="5" t="s">
        <v>1</v>
      </c>
      <c r="E170" s="5" t="s">
        <v>40</v>
      </c>
      <c r="F170" s="6" t="s">
        <v>34</v>
      </c>
    </row>
    <row r="171" spans="1:6" x14ac:dyDescent="0.25">
      <c r="A171" s="7">
        <v>1</v>
      </c>
      <c r="B171" s="8">
        <v>2</v>
      </c>
      <c r="C171" s="8">
        <v>3</v>
      </c>
      <c r="D171" s="8">
        <v>4</v>
      </c>
      <c r="E171" s="8">
        <v>5</v>
      </c>
      <c r="F171" s="9">
        <v>6</v>
      </c>
    </row>
    <row r="172" spans="1:6" x14ac:dyDescent="0.25">
      <c r="A172" s="10">
        <v>1</v>
      </c>
      <c r="B172" s="11" t="s">
        <v>19</v>
      </c>
      <c r="C172" s="12">
        <f>talas!O23</f>
        <v>0</v>
      </c>
      <c r="D172" s="46">
        <f>talas!O56</f>
        <v>0</v>
      </c>
      <c r="E172" s="48">
        <f>talas!O89</f>
        <v>0</v>
      </c>
      <c r="F172" s="47">
        <f>talas!O119</f>
        <v>0</v>
      </c>
    </row>
    <row r="173" spans="1:6" x14ac:dyDescent="0.25">
      <c r="A173" s="14">
        <v>2</v>
      </c>
      <c r="B173" s="15" t="s">
        <v>20</v>
      </c>
      <c r="C173" s="16">
        <f>talas!O24</f>
        <v>0</v>
      </c>
      <c r="D173" s="33">
        <f>talas!O57</f>
        <v>0</v>
      </c>
      <c r="E173" s="45">
        <f>talas!O90</f>
        <v>0</v>
      </c>
      <c r="F173" s="38">
        <f>talas!O120</f>
        <v>0</v>
      </c>
    </row>
    <row r="174" spans="1:6" x14ac:dyDescent="0.25">
      <c r="A174" s="14">
        <v>3</v>
      </c>
      <c r="B174" s="11" t="s">
        <v>21</v>
      </c>
      <c r="C174" s="16">
        <f>talas!O25</f>
        <v>0</v>
      </c>
      <c r="D174" s="33">
        <f>talas!O58</f>
        <v>0</v>
      </c>
      <c r="E174" s="45">
        <f>talas!O91</f>
        <v>0</v>
      </c>
      <c r="F174" s="38">
        <f>talas!O121</f>
        <v>0</v>
      </c>
    </row>
    <row r="175" spans="1:6" x14ac:dyDescent="0.25">
      <c r="A175" s="17">
        <v>4</v>
      </c>
      <c r="B175" s="18" t="s">
        <v>22</v>
      </c>
      <c r="C175" s="16">
        <f>talas!O26</f>
        <v>0</v>
      </c>
      <c r="D175" s="33">
        <f>talas!O59</f>
        <v>0</v>
      </c>
      <c r="E175" s="45">
        <f>talas!O92</f>
        <v>0</v>
      </c>
      <c r="F175" s="38" t="s">
        <v>26</v>
      </c>
    </row>
    <row r="176" spans="1:6" x14ac:dyDescent="0.25">
      <c r="A176" s="17">
        <v>5</v>
      </c>
      <c r="B176" s="19" t="s">
        <v>23</v>
      </c>
      <c r="C176" s="16">
        <f>talas!O27</f>
        <v>0</v>
      </c>
      <c r="D176" s="33">
        <f>talas!O60</f>
        <v>0</v>
      </c>
      <c r="E176" s="45">
        <f>talas!O93</f>
        <v>0</v>
      </c>
      <c r="F176" s="38" t="s">
        <v>26</v>
      </c>
    </row>
    <row r="177" spans="1:6" x14ac:dyDescent="0.25">
      <c r="A177" s="17">
        <v>6</v>
      </c>
      <c r="B177" s="19" t="s">
        <v>24</v>
      </c>
      <c r="C177" s="16">
        <f>talas!O28</f>
        <v>0</v>
      </c>
      <c r="D177" s="33">
        <f>talas!O61</f>
        <v>0</v>
      </c>
      <c r="E177" s="45">
        <f>talas!O94</f>
        <v>0</v>
      </c>
      <c r="F177" s="38">
        <f>talas!O122</f>
        <v>0</v>
      </c>
    </row>
    <row r="178" spans="1:6" x14ac:dyDescent="0.25">
      <c r="A178" s="17">
        <v>7</v>
      </c>
      <c r="B178" s="19" t="s">
        <v>25</v>
      </c>
      <c r="C178" s="16">
        <f>talas!O29</f>
        <v>0</v>
      </c>
      <c r="D178" s="33">
        <f>talas!O62</f>
        <v>0</v>
      </c>
      <c r="E178" s="45">
        <f>talas!O95</f>
        <v>0</v>
      </c>
      <c r="F178" s="38">
        <f>talas!O123</f>
        <v>0</v>
      </c>
    </row>
    <row r="179" spans="1:6" x14ac:dyDescent="0.25">
      <c r="A179" s="20">
        <v>8</v>
      </c>
      <c r="B179" s="18" t="s">
        <v>27</v>
      </c>
      <c r="C179" s="49">
        <f>talas!O30</f>
        <v>0</v>
      </c>
      <c r="D179" s="50">
        <f>talas!O63</f>
        <v>0</v>
      </c>
      <c r="E179" s="51">
        <f>talas!O96</f>
        <v>0</v>
      </c>
      <c r="F179" s="52">
        <f>talas!O124</f>
        <v>0</v>
      </c>
    </row>
    <row r="180" spans="1:6" x14ac:dyDescent="0.25">
      <c r="A180" s="251" t="s">
        <v>28</v>
      </c>
      <c r="B180" s="252"/>
      <c r="C180" s="23">
        <f>SUM(C172:C179)</f>
        <v>0</v>
      </c>
      <c r="D180" s="23">
        <f>SUM(D172:D179)</f>
        <v>0</v>
      </c>
      <c r="E180" s="53">
        <f>SUM(E172:E179)</f>
        <v>0</v>
      </c>
      <c r="F180" s="24">
        <v>0</v>
      </c>
    </row>
    <row r="181" spans="1:6" x14ac:dyDescent="0.25">
      <c r="A181" s="25"/>
      <c r="B181" s="25"/>
      <c r="C181" s="26"/>
      <c r="D181" s="26"/>
      <c r="E181" s="54"/>
      <c r="F181" s="27"/>
    </row>
    <row r="182" spans="1:6" x14ac:dyDescent="0.25">
      <c r="A182" s="1" t="s">
        <v>99</v>
      </c>
    </row>
    <row r="183" spans="1:6" x14ac:dyDescent="0.25">
      <c r="A183" s="253" t="s">
        <v>2</v>
      </c>
      <c r="B183" s="250" t="s">
        <v>3</v>
      </c>
      <c r="C183" s="2" t="s">
        <v>85</v>
      </c>
      <c r="D183" s="2" t="s">
        <v>86</v>
      </c>
      <c r="E183" s="2" t="s">
        <v>87</v>
      </c>
      <c r="F183" s="3" t="s">
        <v>88</v>
      </c>
    </row>
    <row r="184" spans="1:6" x14ac:dyDescent="0.25">
      <c r="A184" s="254"/>
      <c r="B184" s="238"/>
      <c r="C184" s="5" t="s">
        <v>1</v>
      </c>
      <c r="D184" s="5" t="s">
        <v>1</v>
      </c>
      <c r="E184" s="5" t="s">
        <v>40</v>
      </c>
      <c r="F184" s="6" t="s">
        <v>34</v>
      </c>
    </row>
    <row r="185" spans="1:6" x14ac:dyDescent="0.25">
      <c r="A185" s="7">
        <v>1</v>
      </c>
      <c r="B185" s="8">
        <v>2</v>
      </c>
      <c r="C185" s="8">
        <v>3</v>
      </c>
      <c r="D185" s="8">
        <v>4</v>
      </c>
      <c r="E185" s="8">
        <v>5</v>
      </c>
      <c r="F185" s="9">
        <v>6</v>
      </c>
    </row>
    <row r="186" spans="1:6" x14ac:dyDescent="0.25">
      <c r="A186" s="10">
        <v>1</v>
      </c>
      <c r="B186" s="11" t="s">
        <v>19</v>
      </c>
      <c r="C186" s="12">
        <f>talas!O23</f>
        <v>0</v>
      </c>
      <c r="D186" s="46">
        <f>talas!O56</f>
        <v>0</v>
      </c>
      <c r="E186" s="48">
        <f>talas!O89</f>
        <v>0</v>
      </c>
      <c r="F186" s="47">
        <f>talas!O119</f>
        <v>0</v>
      </c>
    </row>
    <row r="187" spans="1:6" x14ac:dyDescent="0.25">
      <c r="A187" s="14">
        <v>2</v>
      </c>
      <c r="B187" s="15" t="s">
        <v>20</v>
      </c>
      <c r="C187" s="16">
        <f>talas!O24</f>
        <v>0</v>
      </c>
      <c r="D187" s="33">
        <f>talas!O57</f>
        <v>0</v>
      </c>
      <c r="E187" s="45">
        <f>talas!O90</f>
        <v>0</v>
      </c>
      <c r="F187" s="38">
        <f>talas!O120</f>
        <v>0</v>
      </c>
    </row>
    <row r="188" spans="1:6" x14ac:dyDescent="0.25">
      <c r="A188" s="14">
        <v>3</v>
      </c>
      <c r="B188" s="11" t="s">
        <v>21</v>
      </c>
      <c r="C188" s="16">
        <f>talas!O25</f>
        <v>0</v>
      </c>
      <c r="D188" s="33">
        <f>talas!O58</f>
        <v>0</v>
      </c>
      <c r="E188" s="45">
        <f>talas!O91</f>
        <v>0</v>
      </c>
      <c r="F188" s="38">
        <f>talas!O121</f>
        <v>0</v>
      </c>
    </row>
    <row r="189" spans="1:6" x14ac:dyDescent="0.25">
      <c r="A189" s="17">
        <v>4</v>
      </c>
      <c r="B189" s="18" t="s">
        <v>22</v>
      </c>
      <c r="C189" s="16">
        <f>talas!O26</f>
        <v>0</v>
      </c>
      <c r="D189" s="33">
        <f>talas!O59</f>
        <v>0</v>
      </c>
      <c r="E189" s="45">
        <f>talas!O92</f>
        <v>0</v>
      </c>
      <c r="F189" s="38" t="s">
        <v>26</v>
      </c>
    </row>
    <row r="190" spans="1:6" x14ac:dyDescent="0.25">
      <c r="A190" s="17">
        <v>5</v>
      </c>
      <c r="B190" s="19" t="s">
        <v>23</v>
      </c>
      <c r="C190" s="16">
        <f>talas!O27</f>
        <v>0</v>
      </c>
      <c r="D190" s="33">
        <f>talas!O60</f>
        <v>0</v>
      </c>
      <c r="E190" s="45">
        <f>talas!O93</f>
        <v>0</v>
      </c>
      <c r="F190" s="38" t="s">
        <v>26</v>
      </c>
    </row>
    <row r="191" spans="1:6" x14ac:dyDescent="0.25">
      <c r="A191" s="17">
        <v>6</v>
      </c>
      <c r="B191" s="19" t="s">
        <v>24</v>
      </c>
      <c r="C191" s="16">
        <f>talas!O28</f>
        <v>0</v>
      </c>
      <c r="D191" s="33">
        <f>talas!O61</f>
        <v>0</v>
      </c>
      <c r="E191" s="45">
        <f>talas!O94</f>
        <v>0</v>
      </c>
      <c r="F191" s="38">
        <f>talas!O122</f>
        <v>0</v>
      </c>
    </row>
    <row r="192" spans="1:6" x14ac:dyDescent="0.25">
      <c r="A192" s="17">
        <v>7</v>
      </c>
      <c r="B192" s="19" t="s">
        <v>25</v>
      </c>
      <c r="C192" s="16">
        <f>talas!O29</f>
        <v>0</v>
      </c>
      <c r="D192" s="33">
        <f>talas!O62</f>
        <v>0</v>
      </c>
      <c r="E192" s="45">
        <f>talas!O95</f>
        <v>0</v>
      </c>
      <c r="F192" s="38">
        <f>talas!O123</f>
        <v>0</v>
      </c>
    </row>
    <row r="193" spans="1:6" x14ac:dyDescent="0.25">
      <c r="A193" s="20">
        <v>8</v>
      </c>
      <c r="B193" s="18" t="s">
        <v>27</v>
      </c>
      <c r="C193" s="49">
        <f>talas!O30</f>
        <v>0</v>
      </c>
      <c r="D193" s="50">
        <f>talas!O63</f>
        <v>0</v>
      </c>
      <c r="E193" s="51">
        <f>talas!O96</f>
        <v>0</v>
      </c>
      <c r="F193" s="52">
        <f>talas!O124</f>
        <v>0</v>
      </c>
    </row>
    <row r="194" spans="1:6" x14ac:dyDescent="0.25">
      <c r="A194" s="251" t="s">
        <v>28</v>
      </c>
      <c r="B194" s="252"/>
      <c r="C194" s="23">
        <f>SUM(C186:C193)</f>
        <v>0</v>
      </c>
      <c r="D194" s="23">
        <f>SUM(D186:D193)</f>
        <v>0</v>
      </c>
      <c r="E194" s="53">
        <f>SUM(E186:E193)</f>
        <v>0</v>
      </c>
      <c r="F194" s="24">
        <v>0</v>
      </c>
    </row>
  </sheetData>
  <mergeCells count="36">
    <mergeCell ref="A16:B16"/>
    <mergeCell ref="A32:B32"/>
    <mergeCell ref="A48:B48"/>
    <mergeCell ref="A64:B64"/>
    <mergeCell ref="A81:B81"/>
    <mergeCell ref="B37:B38"/>
    <mergeCell ref="B53:B54"/>
    <mergeCell ref="B70:B71"/>
    <mergeCell ref="A194:B194"/>
    <mergeCell ref="A5:A6"/>
    <mergeCell ref="A21:A22"/>
    <mergeCell ref="A37:A38"/>
    <mergeCell ref="A53:A54"/>
    <mergeCell ref="A70:A71"/>
    <mergeCell ref="A87:A88"/>
    <mergeCell ref="A104:A105"/>
    <mergeCell ref="A120:A121"/>
    <mergeCell ref="A136:A137"/>
    <mergeCell ref="A155:A156"/>
    <mergeCell ref="A169:A170"/>
    <mergeCell ref="A183:A184"/>
    <mergeCell ref="B5:B6"/>
    <mergeCell ref="B21:B22"/>
    <mergeCell ref="A98:B98"/>
    <mergeCell ref="B169:B170"/>
    <mergeCell ref="B183:B184"/>
    <mergeCell ref="B87:B88"/>
    <mergeCell ref="B104:B105"/>
    <mergeCell ref="B120:B121"/>
    <mergeCell ref="B136:B137"/>
    <mergeCell ref="B155:B156"/>
    <mergeCell ref="A180:B180"/>
    <mergeCell ref="A115:B115"/>
    <mergeCell ref="A131:B131"/>
    <mergeCell ref="A147:B147"/>
    <mergeCell ref="A166:B166"/>
  </mergeCells>
  <pageMargins left="1.04" right="0.511811023622047" top="0.65" bottom="0.59055118110236204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talas</vt:lpstr>
      <vt:lpstr>sorgum</vt:lpstr>
      <vt:lpstr>porang</vt:lpstr>
      <vt:lpstr>Sheet1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776</cp:lastModifiedBy>
  <cp:lastPrinted>2026-01-06T10:53:07Z</cp:lastPrinted>
  <dcterms:created xsi:type="dcterms:W3CDTF">2014-02-11T04:21:00Z</dcterms:created>
  <dcterms:modified xsi:type="dcterms:W3CDTF">2026-01-08T02:22:31Z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8E41D3923A18443F990371CF1345668B</vt:lpwstr>
  </property>
  <property fmtid="{D5CDD505-2E9C-101B-9397-08002B2CF9AE}" pid="3" name="KSOProductBuildVer">
    <vt:lpwstr>1033-12.2.0.13266</vt:lpwstr>
  </property>
</Properties>
</file>