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95" windowWidth="15120" windowHeight="7575" activeTab="5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rekap" sheetId="10" r:id="rId12"/>
    <sheet name="okt-mar" sheetId="19" r:id="rId13"/>
    <sheet name="S-Rjan17Prov" sheetId="20" r:id="rId14"/>
    <sheet name="S-Rjan17Prov (2)" sheetId="23" r:id="rId15"/>
    <sheet name="S-Rjan17Prov sekda" sheetId="22" r:id="rId16"/>
    <sheet name="S-R jan 17" sheetId="18" r:id="rId17"/>
  </sheets>
  <calcPr calcId="144525"/>
</workbook>
</file>

<file path=xl/calcChain.xml><?xml version="1.0" encoding="utf-8"?>
<calcChain xmlns="http://schemas.openxmlformats.org/spreadsheetml/2006/main">
  <c r="Q118" i="5" l="1"/>
  <c r="K19" i="5" l="1"/>
  <c r="P117" i="5"/>
  <c r="P84" i="5"/>
  <c r="P83" i="5"/>
  <c r="O51" i="4"/>
  <c r="D51" i="4"/>
  <c r="E51" i="4"/>
  <c r="F51" i="4"/>
  <c r="G51" i="4"/>
  <c r="H51" i="4"/>
  <c r="I51" i="4"/>
  <c r="J51" i="4"/>
  <c r="K51" i="4"/>
  <c r="L51" i="4"/>
  <c r="M51" i="4"/>
  <c r="N51" i="4"/>
  <c r="C51" i="4"/>
  <c r="P50" i="4"/>
  <c r="T76" i="5" l="1"/>
  <c r="T77" i="5"/>
  <c r="T78" i="5"/>
  <c r="T79" i="5"/>
  <c r="T80" i="5"/>
  <c r="T81" i="5"/>
  <c r="T82" i="5"/>
  <c r="T75" i="5"/>
  <c r="T76" i="7"/>
  <c r="T77" i="7"/>
  <c r="T78" i="7"/>
  <c r="T79" i="7"/>
  <c r="T80" i="7"/>
  <c r="T81" i="7"/>
  <c r="T82" i="7"/>
  <c r="T75" i="7"/>
  <c r="Q76" i="1"/>
  <c r="Q77" i="1"/>
  <c r="Q78" i="1"/>
  <c r="Q79" i="1"/>
  <c r="Q80" i="1"/>
  <c r="Q81" i="1"/>
  <c r="Q82" i="1"/>
  <c r="Q75" i="1"/>
  <c r="R76" i="8"/>
  <c r="R77" i="8"/>
  <c r="R78" i="8"/>
  <c r="R79" i="8"/>
  <c r="R80" i="8"/>
  <c r="R81" i="8"/>
  <c r="R82" i="8"/>
  <c r="R75" i="8"/>
  <c r="R76" i="5"/>
  <c r="R77" i="5"/>
  <c r="R78" i="5"/>
  <c r="R79" i="5"/>
  <c r="R80" i="5"/>
  <c r="R81" i="5"/>
  <c r="R82" i="5"/>
  <c r="R75" i="5"/>
  <c r="R76" i="7"/>
  <c r="R77" i="7"/>
  <c r="R78" i="7"/>
  <c r="R79" i="7"/>
  <c r="R80" i="7"/>
  <c r="R81" i="7"/>
  <c r="R82" i="7"/>
  <c r="R75" i="7"/>
  <c r="R76" i="6"/>
  <c r="R77" i="6"/>
  <c r="R78" i="6"/>
  <c r="R79" i="6"/>
  <c r="R80" i="6"/>
  <c r="R81" i="6"/>
  <c r="R82" i="6"/>
  <c r="R75" i="6"/>
  <c r="Q75" i="6"/>
  <c r="Q76" i="4"/>
  <c r="Q77" i="4"/>
  <c r="Q78" i="4"/>
  <c r="Q79" i="4"/>
  <c r="Q80" i="4"/>
  <c r="Q81" i="4"/>
  <c r="Q82" i="4"/>
  <c r="Q75" i="4"/>
  <c r="S83" i="5" l="1"/>
  <c r="O109" i="21" l="1"/>
  <c r="O116" i="4" l="1"/>
  <c r="O50" i="4"/>
  <c r="O46" i="4"/>
  <c r="Q19" i="1" l="1"/>
  <c r="U19" i="1" l="1"/>
  <c r="U20" i="1" l="1"/>
  <c r="T19" i="1"/>
  <c r="R116" i="5" l="1"/>
  <c r="E50" i="9" l="1"/>
  <c r="C586" i="19" l="1"/>
  <c r="D586" i="19"/>
  <c r="E586" i="19"/>
  <c r="E593" i="19" s="1"/>
  <c r="C587" i="19"/>
  <c r="D587" i="19"/>
  <c r="D593" i="19" s="1"/>
  <c r="E587" i="19"/>
  <c r="C588" i="19"/>
  <c r="D588" i="19"/>
  <c r="E588" i="19"/>
  <c r="C589" i="19"/>
  <c r="D589" i="19"/>
  <c r="E589" i="19"/>
  <c r="C590" i="19"/>
  <c r="D590" i="19"/>
  <c r="E590" i="19"/>
  <c r="C591" i="19"/>
  <c r="D591" i="19"/>
  <c r="E591" i="19"/>
  <c r="C592" i="19"/>
  <c r="D592" i="19"/>
  <c r="E592" i="19"/>
  <c r="D585" i="19"/>
  <c r="E585" i="19"/>
  <c r="C585" i="19"/>
  <c r="O593" i="19"/>
  <c r="M593" i="19"/>
  <c r="K593" i="19"/>
  <c r="G593" i="19"/>
  <c r="O592" i="19"/>
  <c r="N592" i="19"/>
  <c r="M592" i="19"/>
  <c r="L592" i="19"/>
  <c r="K592" i="19"/>
  <c r="J592" i="19"/>
  <c r="P592" i="19" s="1"/>
  <c r="H592" i="19"/>
  <c r="G592" i="19"/>
  <c r="F592" i="19"/>
  <c r="I592" i="19" s="1"/>
  <c r="O591" i="19"/>
  <c r="N591" i="19"/>
  <c r="M591" i="19"/>
  <c r="L591" i="19"/>
  <c r="K591" i="19"/>
  <c r="J591" i="19"/>
  <c r="P591" i="19" s="1"/>
  <c r="H591" i="19"/>
  <c r="G591" i="19"/>
  <c r="F591" i="19"/>
  <c r="O590" i="19"/>
  <c r="N590" i="19"/>
  <c r="M590" i="19"/>
  <c r="L590" i="19"/>
  <c r="K590" i="19"/>
  <c r="J590" i="19"/>
  <c r="P590" i="19" s="1"/>
  <c r="H590" i="19"/>
  <c r="G590" i="19"/>
  <c r="F590" i="19"/>
  <c r="I590" i="19" s="1"/>
  <c r="O589" i="19"/>
  <c r="N589" i="19"/>
  <c r="M589" i="19"/>
  <c r="L589" i="19"/>
  <c r="K589" i="19"/>
  <c r="J589" i="19"/>
  <c r="P589" i="19" s="1"/>
  <c r="H589" i="19"/>
  <c r="G589" i="19"/>
  <c r="F589" i="19"/>
  <c r="O588" i="19"/>
  <c r="N588" i="19"/>
  <c r="M588" i="19"/>
  <c r="L588" i="19"/>
  <c r="K588" i="19"/>
  <c r="J588" i="19"/>
  <c r="P588" i="19" s="1"/>
  <c r="H588" i="19"/>
  <c r="G588" i="19"/>
  <c r="F588" i="19"/>
  <c r="I588" i="19" s="1"/>
  <c r="O587" i="19"/>
  <c r="N587" i="19"/>
  <c r="M587" i="19"/>
  <c r="L587" i="19"/>
  <c r="K587" i="19"/>
  <c r="J587" i="19"/>
  <c r="P587" i="19" s="1"/>
  <c r="H587" i="19"/>
  <c r="G587" i="19"/>
  <c r="F587" i="19"/>
  <c r="O586" i="19"/>
  <c r="N586" i="19"/>
  <c r="M586" i="19"/>
  <c r="L586" i="19"/>
  <c r="K586" i="19"/>
  <c r="J586" i="19"/>
  <c r="P586" i="19" s="1"/>
  <c r="H586" i="19"/>
  <c r="G586" i="19"/>
  <c r="F586" i="19"/>
  <c r="I586" i="19" s="1"/>
  <c r="O585" i="19"/>
  <c r="N585" i="19"/>
  <c r="N593" i="19" s="1"/>
  <c r="M585" i="19"/>
  <c r="L585" i="19"/>
  <c r="L593" i="19" s="1"/>
  <c r="K585" i="19"/>
  <c r="J585" i="19"/>
  <c r="J593" i="19" s="1"/>
  <c r="H585" i="19"/>
  <c r="H593" i="19" s="1"/>
  <c r="G585" i="19"/>
  <c r="F585" i="19"/>
  <c r="F593" i="19" s="1"/>
  <c r="I587" i="19" l="1"/>
  <c r="Q587" i="19" s="1"/>
  <c r="I589" i="19"/>
  <c r="Q589" i="19" s="1"/>
  <c r="I591" i="19"/>
  <c r="Q591" i="19" s="1"/>
  <c r="C593" i="19"/>
  <c r="Q586" i="19"/>
  <c r="Q588" i="19"/>
  <c r="Q590" i="19"/>
  <c r="Q592" i="19"/>
  <c r="P585" i="19"/>
  <c r="P593" i="19" s="1"/>
  <c r="I585" i="19"/>
  <c r="H116" i="7"/>
  <c r="N116" i="7"/>
  <c r="O112" i="4"/>
  <c r="O111" i="4"/>
  <c r="Q585" i="19" l="1"/>
  <c r="Q593" i="19" s="1"/>
  <c r="I593" i="19"/>
  <c r="S14" i="1"/>
  <c r="P16" i="7" l="1"/>
  <c r="P15" i="7"/>
  <c r="P14" i="7"/>
  <c r="P13" i="7"/>
  <c r="P12" i="7"/>
  <c r="P11" i="7"/>
  <c r="P10" i="7"/>
  <c r="P9" i="7"/>
  <c r="P9" i="6"/>
  <c r="P10" i="6"/>
  <c r="P11" i="6"/>
  <c r="P12" i="6"/>
  <c r="P13" i="6"/>
  <c r="P14" i="6"/>
  <c r="P15" i="6"/>
  <c r="P16" i="6"/>
  <c r="P17" i="8"/>
  <c r="P16" i="8"/>
  <c r="P15" i="8"/>
  <c r="P14" i="8"/>
  <c r="P13" i="8"/>
  <c r="P12" i="8"/>
  <c r="P11" i="8"/>
  <c r="P10" i="8"/>
  <c r="P9" i="8"/>
  <c r="P16" i="5"/>
  <c r="P15" i="5"/>
  <c r="P14" i="5"/>
  <c r="P13" i="5"/>
  <c r="P12" i="5"/>
  <c r="P11" i="5"/>
  <c r="P10" i="5"/>
  <c r="P9" i="5"/>
  <c r="P17" i="5"/>
  <c r="Q17" i="5"/>
  <c r="P17" i="4"/>
  <c r="P16" i="4"/>
  <c r="P15" i="4"/>
  <c r="P14" i="4"/>
  <c r="P13" i="4"/>
  <c r="P12" i="4"/>
  <c r="P11" i="4"/>
  <c r="P10" i="4"/>
  <c r="P9" i="4"/>
  <c r="Q17" i="1"/>
  <c r="Q16" i="1"/>
  <c r="Q15" i="1"/>
  <c r="Q14" i="1"/>
  <c r="Q13" i="1"/>
  <c r="Q12" i="1"/>
  <c r="Q10" i="1"/>
  <c r="Q11" i="1"/>
  <c r="Q9" i="1"/>
  <c r="P17" i="7" l="1"/>
  <c r="P17" i="6"/>
  <c r="J116" i="7"/>
  <c r="J116" i="5"/>
  <c r="J116" i="4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O83" i="24" s="1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O50" i="24" s="1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s="1"/>
  <c r="I116" i="8"/>
  <c r="H116" i="1"/>
  <c r="O23" i="20" l="1"/>
  <c r="O24" i="20"/>
  <c r="O25" i="20"/>
  <c r="O26" i="20"/>
  <c r="O27" i="20"/>
  <c r="O28" i="20"/>
  <c r="O29" i="20"/>
  <c r="I23" i="20"/>
  <c r="I24" i="20"/>
  <c r="I25" i="20"/>
  <c r="I26" i="20"/>
  <c r="I27" i="20"/>
  <c r="I28" i="20"/>
  <c r="I29" i="20"/>
  <c r="O22" i="20"/>
  <c r="I22" i="20"/>
  <c r="K116" i="7" l="1"/>
  <c r="L32" i="20" l="1"/>
  <c r="Y30" i="20" l="1"/>
  <c r="Z23" i="20"/>
  <c r="Z24" i="20"/>
  <c r="Z25" i="20"/>
  <c r="Z26" i="20"/>
  <c r="Z27" i="20"/>
  <c r="Z28" i="20"/>
  <c r="Z29" i="20"/>
  <c r="Z22" i="20"/>
  <c r="Z30" i="20" s="1"/>
  <c r="P10" i="23" l="1"/>
  <c r="Q129" i="23" l="1"/>
  <c r="O129" i="23"/>
  <c r="N129" i="23"/>
  <c r="M129" i="23"/>
  <c r="L129" i="23"/>
  <c r="K129" i="23"/>
  <c r="J129" i="23"/>
  <c r="I129" i="23"/>
  <c r="H129" i="23"/>
  <c r="G129" i="23"/>
  <c r="F129" i="23"/>
  <c r="D129" i="23"/>
  <c r="C129" i="23"/>
  <c r="R128" i="23"/>
  <c r="P128" i="23"/>
  <c r="E128" i="23"/>
  <c r="R127" i="23"/>
  <c r="P127" i="23"/>
  <c r="E127" i="23"/>
  <c r="R126" i="23"/>
  <c r="P126" i="23"/>
  <c r="E126" i="23"/>
  <c r="R125" i="23"/>
  <c r="P125" i="23"/>
  <c r="E125" i="23"/>
  <c r="R124" i="23"/>
  <c r="P124" i="23"/>
  <c r="E124" i="23"/>
  <c r="R123" i="23"/>
  <c r="P123" i="23"/>
  <c r="E123" i="23"/>
  <c r="R122" i="23"/>
  <c r="P122" i="23"/>
  <c r="E122" i="23"/>
  <c r="R121" i="23"/>
  <c r="P121" i="23"/>
  <c r="P129" i="23" s="1"/>
  <c r="E121" i="23"/>
  <c r="E129" i="23" s="1"/>
  <c r="P115" i="23"/>
  <c r="N115" i="23"/>
  <c r="L115" i="23"/>
  <c r="K115" i="23"/>
  <c r="J115" i="23"/>
  <c r="I115" i="23"/>
  <c r="H115" i="23"/>
  <c r="G115" i="23"/>
  <c r="F115" i="23"/>
  <c r="E115" i="23"/>
  <c r="D115" i="23"/>
  <c r="C115" i="23"/>
  <c r="P114" i="23"/>
  <c r="O114" i="23"/>
  <c r="Q114" i="23" s="1"/>
  <c r="S128" i="23" s="1"/>
  <c r="M114" i="23"/>
  <c r="P113" i="23"/>
  <c r="O113" i="23"/>
  <c r="M113" i="23"/>
  <c r="P112" i="23"/>
  <c r="O112" i="23"/>
  <c r="Q112" i="23" s="1"/>
  <c r="S126" i="23" s="1"/>
  <c r="M112" i="23"/>
  <c r="P111" i="23"/>
  <c r="O111" i="23"/>
  <c r="M111" i="23"/>
  <c r="P110" i="23"/>
  <c r="O110" i="23"/>
  <c r="Q110" i="23" s="1"/>
  <c r="S124" i="23" s="1"/>
  <c r="M110" i="23"/>
  <c r="P109" i="23"/>
  <c r="O109" i="23"/>
  <c r="M109" i="23"/>
  <c r="Z108" i="23"/>
  <c r="X108" i="23"/>
  <c r="P108" i="23"/>
  <c r="O108" i="23"/>
  <c r="Q108" i="23" s="1"/>
  <c r="S122" i="23" s="1"/>
  <c r="M108" i="23"/>
  <c r="P107" i="23"/>
  <c r="O107" i="23"/>
  <c r="M107" i="23"/>
  <c r="M115" i="23" s="1"/>
  <c r="Q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S96" i="23"/>
  <c r="P96" i="23"/>
  <c r="P95" i="23"/>
  <c r="S94" i="23"/>
  <c r="P94" i="23"/>
  <c r="P93" i="23"/>
  <c r="S92" i="23"/>
  <c r="P92" i="23"/>
  <c r="R91" i="23"/>
  <c r="P91" i="23"/>
  <c r="S90" i="23"/>
  <c r="P90" i="23"/>
  <c r="P97" i="23" s="1"/>
  <c r="P89" i="23"/>
  <c r="O83" i="23"/>
  <c r="N83" i="23"/>
  <c r="M83" i="23"/>
  <c r="L83" i="23"/>
  <c r="J83" i="23"/>
  <c r="I83" i="23"/>
  <c r="H83" i="23"/>
  <c r="G83" i="23"/>
  <c r="F83" i="23"/>
  <c r="E83" i="23"/>
  <c r="D83" i="23"/>
  <c r="C83" i="23"/>
  <c r="Q82" i="23"/>
  <c r="P82" i="23"/>
  <c r="R96" i="23" s="1"/>
  <c r="Q81" i="23"/>
  <c r="S95" i="23" s="1"/>
  <c r="P81" i="23"/>
  <c r="R95" i="23" s="1"/>
  <c r="Q80" i="23"/>
  <c r="P80" i="23"/>
  <c r="R94" i="23" s="1"/>
  <c r="Q79" i="23"/>
  <c r="S93" i="23" s="1"/>
  <c r="P79" i="23"/>
  <c r="R93" i="23" s="1"/>
  <c r="Q78" i="23"/>
  <c r="P78" i="23"/>
  <c r="R92" i="23" s="1"/>
  <c r="W77" i="23"/>
  <c r="P77" i="23"/>
  <c r="K77" i="23"/>
  <c r="K83" i="23" s="1"/>
  <c r="Q76" i="23"/>
  <c r="P76" i="23"/>
  <c r="R90" i="23" s="1"/>
  <c r="Q75" i="23"/>
  <c r="S89" i="23" s="1"/>
  <c r="P75" i="23"/>
  <c r="P83" i="23" s="1"/>
  <c r="Y65" i="23"/>
  <c r="W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Z64" i="23"/>
  <c r="X64" i="23"/>
  <c r="Q64" i="23"/>
  <c r="P64" i="23"/>
  <c r="Z63" i="23"/>
  <c r="X63" i="23"/>
  <c r="Q63" i="23"/>
  <c r="P63" i="23"/>
  <c r="Z62" i="23"/>
  <c r="X62" i="23"/>
  <c r="Q62" i="23"/>
  <c r="P62" i="23"/>
  <c r="Z61" i="23"/>
  <c r="X61" i="23"/>
  <c r="Q61" i="23"/>
  <c r="P61" i="23"/>
  <c r="Z60" i="23"/>
  <c r="X60" i="23"/>
  <c r="Q60" i="23"/>
  <c r="P60" i="23"/>
  <c r="Z59" i="23"/>
  <c r="X59" i="23"/>
  <c r="Q59" i="23"/>
  <c r="P59" i="23"/>
  <c r="Z58" i="23"/>
  <c r="X58" i="23"/>
  <c r="Q58" i="23"/>
  <c r="Q65" i="23" s="1"/>
  <c r="P58" i="23"/>
  <c r="Z57" i="23"/>
  <c r="Z65" i="23" s="1"/>
  <c r="X57" i="23"/>
  <c r="X65" i="23" s="1"/>
  <c r="Q57" i="23"/>
  <c r="P57" i="23"/>
  <c r="Z51" i="23"/>
  <c r="X51" i="23"/>
  <c r="V51" i="23"/>
  <c r="N51" i="23"/>
  <c r="L51" i="23"/>
  <c r="J51" i="23"/>
  <c r="I51" i="23"/>
  <c r="H51" i="23"/>
  <c r="G51" i="23"/>
  <c r="F51" i="23"/>
  <c r="E51" i="23"/>
  <c r="D51" i="23"/>
  <c r="C51" i="23"/>
  <c r="Y50" i="23"/>
  <c r="W50" i="23"/>
  <c r="K50" i="23" s="1"/>
  <c r="P50" i="23"/>
  <c r="M50" i="23"/>
  <c r="M17" i="23" s="1"/>
  <c r="Y49" i="23"/>
  <c r="M49" i="23" s="1"/>
  <c r="W49" i="23"/>
  <c r="P49" i="23"/>
  <c r="K49" i="23"/>
  <c r="K16" i="23" s="1"/>
  <c r="Y48" i="23"/>
  <c r="W48" i="23"/>
  <c r="K48" i="23" s="1"/>
  <c r="P48" i="23"/>
  <c r="R62" i="23" s="1"/>
  <c r="M48" i="23"/>
  <c r="M15" i="23" s="1"/>
  <c r="Y47" i="23"/>
  <c r="M47" i="23" s="1"/>
  <c r="W47" i="23"/>
  <c r="P47" i="23"/>
  <c r="K47" i="23"/>
  <c r="K14" i="23" s="1"/>
  <c r="Y46" i="23"/>
  <c r="W46" i="23"/>
  <c r="K46" i="23" s="1"/>
  <c r="P46" i="23"/>
  <c r="M46" i="23"/>
  <c r="Y45" i="23"/>
  <c r="M45" i="23" s="1"/>
  <c r="M12" i="23" s="1"/>
  <c r="W45" i="23"/>
  <c r="P45" i="23"/>
  <c r="K45" i="23"/>
  <c r="Y44" i="23"/>
  <c r="W44" i="23"/>
  <c r="K44" i="23" s="1"/>
  <c r="P44" i="23"/>
  <c r="R58" i="23" s="1"/>
  <c r="M44" i="23"/>
  <c r="M51" i="23" s="1"/>
  <c r="Y43" i="23"/>
  <c r="M43" i="23" s="1"/>
  <c r="W43" i="23"/>
  <c r="P43" i="23"/>
  <c r="K43" i="23"/>
  <c r="X32" i="23"/>
  <c r="N32" i="23"/>
  <c r="M32" i="23"/>
  <c r="L32" i="23"/>
  <c r="J32" i="23"/>
  <c r="I32" i="23"/>
  <c r="H32" i="23"/>
  <c r="G32" i="23"/>
  <c r="F32" i="23"/>
  <c r="D32" i="23"/>
  <c r="C32" i="23"/>
  <c r="P31" i="23"/>
  <c r="O31" i="23"/>
  <c r="G31" i="23"/>
  <c r="E31" i="23"/>
  <c r="Q31" i="23" s="1"/>
  <c r="P30" i="23"/>
  <c r="O30" i="23"/>
  <c r="G30" i="23"/>
  <c r="E30" i="23"/>
  <c r="Q30" i="23" s="1"/>
  <c r="P29" i="23"/>
  <c r="O29" i="23"/>
  <c r="G29" i="23"/>
  <c r="E29" i="23"/>
  <c r="Q29" i="23" s="1"/>
  <c r="P28" i="23"/>
  <c r="O28" i="23"/>
  <c r="G28" i="23"/>
  <c r="E28" i="23"/>
  <c r="Q28" i="23" s="1"/>
  <c r="P27" i="23"/>
  <c r="O27" i="23"/>
  <c r="G27" i="23"/>
  <c r="E27" i="23"/>
  <c r="Q27" i="23" s="1"/>
  <c r="P26" i="23"/>
  <c r="O26" i="23"/>
  <c r="G26" i="23"/>
  <c r="E26" i="23"/>
  <c r="Q26" i="23" s="1"/>
  <c r="P25" i="23"/>
  <c r="O25" i="23"/>
  <c r="G25" i="23"/>
  <c r="E25" i="23"/>
  <c r="Q25" i="23" s="1"/>
  <c r="P24" i="23"/>
  <c r="O24" i="23"/>
  <c r="O32" i="23" s="1"/>
  <c r="K32" i="23"/>
  <c r="G24" i="23"/>
  <c r="E24" i="23"/>
  <c r="E32" i="23" s="1"/>
  <c r="AD18" i="23"/>
  <c r="AB18" i="23"/>
  <c r="Z18" i="23"/>
  <c r="Y18" i="23"/>
  <c r="N18" i="23"/>
  <c r="L18" i="23"/>
  <c r="J18" i="23"/>
  <c r="I18" i="23"/>
  <c r="H18" i="23"/>
  <c r="G18" i="23"/>
  <c r="F18" i="23"/>
  <c r="E18" i="23"/>
  <c r="D18" i="23"/>
  <c r="C18" i="23"/>
  <c r="AE17" i="23"/>
  <c r="AC17" i="23"/>
  <c r="AA17" i="23"/>
  <c r="X17" i="23"/>
  <c r="P17" i="23"/>
  <c r="R31" i="23" s="1"/>
  <c r="K17" i="23"/>
  <c r="AE16" i="23"/>
  <c r="AC16" i="23"/>
  <c r="AA16" i="23"/>
  <c r="X16" i="23"/>
  <c r="P16" i="23"/>
  <c r="R30" i="23" s="1"/>
  <c r="M16" i="23"/>
  <c r="AE15" i="23"/>
  <c r="AC15" i="23"/>
  <c r="AA15" i="23"/>
  <c r="X15" i="23"/>
  <c r="P15" i="23"/>
  <c r="K15" i="23"/>
  <c r="AE14" i="23"/>
  <c r="AC14" i="23"/>
  <c r="AA14" i="23"/>
  <c r="X14" i="23"/>
  <c r="P14" i="23"/>
  <c r="R28" i="23" s="1"/>
  <c r="M14" i="23"/>
  <c r="AE13" i="23"/>
  <c r="AC13" i="23"/>
  <c r="AA13" i="23"/>
  <c r="X13" i="23"/>
  <c r="P13" i="23"/>
  <c r="R27" i="23" s="1"/>
  <c r="M13" i="23"/>
  <c r="AE12" i="23"/>
  <c r="AC12" i="23"/>
  <c r="AA12" i="23"/>
  <c r="X12" i="23"/>
  <c r="P12" i="23"/>
  <c r="R26" i="23" s="1"/>
  <c r="K12" i="23"/>
  <c r="AE11" i="23"/>
  <c r="AC11" i="23"/>
  <c r="AA11" i="23"/>
  <c r="X11" i="23"/>
  <c r="P11" i="23"/>
  <c r="R25" i="23" s="1"/>
  <c r="M11" i="23"/>
  <c r="K11" i="23"/>
  <c r="AE10" i="23"/>
  <c r="AE18" i="23" s="1"/>
  <c r="AC10" i="23"/>
  <c r="AA10" i="23"/>
  <c r="AA18" i="23" s="1"/>
  <c r="X10" i="23"/>
  <c r="X18" i="23" s="1"/>
  <c r="M10" i="23"/>
  <c r="K10" i="23"/>
  <c r="Q127" i="22"/>
  <c r="O127" i="22"/>
  <c r="N127" i="22"/>
  <c r="M127" i="22"/>
  <c r="L127" i="22"/>
  <c r="K127" i="22"/>
  <c r="J127" i="22"/>
  <c r="I127" i="22"/>
  <c r="H127" i="22"/>
  <c r="G127" i="22"/>
  <c r="F127" i="22"/>
  <c r="D127" i="22"/>
  <c r="C127" i="22"/>
  <c r="R126" i="22"/>
  <c r="P126" i="22"/>
  <c r="E126" i="22"/>
  <c r="P125" i="22"/>
  <c r="E125" i="22"/>
  <c r="P124" i="22"/>
  <c r="E124" i="22"/>
  <c r="P123" i="22"/>
  <c r="E123" i="22"/>
  <c r="P122" i="22"/>
  <c r="E122" i="22"/>
  <c r="P121" i="22"/>
  <c r="E121" i="22"/>
  <c r="P120" i="22"/>
  <c r="E120" i="22"/>
  <c r="P119" i="22"/>
  <c r="P127" i="22" s="1"/>
  <c r="E119" i="22"/>
  <c r="E127" i="22" s="1"/>
  <c r="N113" i="22"/>
  <c r="L113" i="22"/>
  <c r="K113" i="22"/>
  <c r="J113" i="22"/>
  <c r="I113" i="22"/>
  <c r="H113" i="22"/>
  <c r="G113" i="22"/>
  <c r="F113" i="22"/>
  <c r="E113" i="22"/>
  <c r="D113" i="22"/>
  <c r="C113" i="22"/>
  <c r="P112" i="22"/>
  <c r="O112" i="22"/>
  <c r="M112" i="22"/>
  <c r="Q112" i="22" s="1"/>
  <c r="S126" i="22" s="1"/>
  <c r="P111" i="22"/>
  <c r="R125" i="22" s="1"/>
  <c r="O111" i="22"/>
  <c r="M111" i="22"/>
  <c r="P110" i="22"/>
  <c r="R124" i="22" s="1"/>
  <c r="O110" i="22"/>
  <c r="M110" i="22"/>
  <c r="Q110" i="22" s="1"/>
  <c r="S124" i="22" s="1"/>
  <c r="P109" i="22"/>
  <c r="R123" i="22" s="1"/>
  <c r="O109" i="22"/>
  <c r="M109" i="22"/>
  <c r="P108" i="22"/>
  <c r="R122" i="22" s="1"/>
  <c r="O108" i="22"/>
  <c r="M108" i="22"/>
  <c r="Q108" i="22" s="1"/>
  <c r="S122" i="22" s="1"/>
  <c r="P107" i="22"/>
  <c r="R121" i="22" s="1"/>
  <c r="O107" i="22"/>
  <c r="M107" i="22"/>
  <c r="Z106" i="22"/>
  <c r="X106" i="22"/>
  <c r="P106" i="22"/>
  <c r="R120" i="22" s="1"/>
  <c r="O106" i="22"/>
  <c r="M106" i="22"/>
  <c r="Q106" i="22" s="1"/>
  <c r="S120" i="22" s="1"/>
  <c r="P105" i="22"/>
  <c r="O105" i="22"/>
  <c r="O113" i="22" s="1"/>
  <c r="M105" i="22"/>
  <c r="Q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R94" i="22"/>
  <c r="P94" i="22"/>
  <c r="S93" i="22"/>
  <c r="P93" i="22"/>
  <c r="R92" i="22"/>
  <c r="P92" i="22"/>
  <c r="S91" i="22"/>
  <c r="P91" i="22"/>
  <c r="R90" i="22"/>
  <c r="P90" i="22"/>
  <c r="P89" i="22"/>
  <c r="R88" i="22"/>
  <c r="P88" i="22"/>
  <c r="S87" i="22"/>
  <c r="P87" i="22"/>
  <c r="P95" i="22" s="1"/>
  <c r="O81" i="22"/>
  <c r="N81" i="22"/>
  <c r="M81" i="22"/>
  <c r="L81" i="22"/>
  <c r="J81" i="22"/>
  <c r="I81" i="22"/>
  <c r="H81" i="22"/>
  <c r="G81" i="22"/>
  <c r="F81" i="22"/>
  <c r="E81" i="22"/>
  <c r="D81" i="22"/>
  <c r="C81" i="22"/>
  <c r="Q80" i="22"/>
  <c r="S94" i="22" s="1"/>
  <c r="P80" i="22"/>
  <c r="Q79" i="22"/>
  <c r="P79" i="22"/>
  <c r="R93" i="22" s="1"/>
  <c r="Q78" i="22"/>
  <c r="S92" i="22" s="1"/>
  <c r="P78" i="22"/>
  <c r="Q77" i="22"/>
  <c r="P77" i="22"/>
  <c r="R91" i="22" s="1"/>
  <c r="Q76" i="22"/>
  <c r="S90" i="22" s="1"/>
  <c r="P76" i="22"/>
  <c r="W75" i="22"/>
  <c r="K75" i="22" s="1"/>
  <c r="P75" i="22"/>
  <c r="R89" i="22" s="1"/>
  <c r="Q74" i="22"/>
  <c r="S88" i="22" s="1"/>
  <c r="P74" i="22"/>
  <c r="Q73" i="22"/>
  <c r="P73" i="22"/>
  <c r="R87" i="22" s="1"/>
  <c r="R95" i="22" s="1"/>
  <c r="Y63" i="22"/>
  <c r="X63" i="22"/>
  <c r="W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Z62" i="22"/>
  <c r="X62" i="22"/>
  <c r="Q62" i="22"/>
  <c r="P62" i="22"/>
  <c r="Z61" i="22"/>
  <c r="X61" i="22"/>
  <c r="Q61" i="22"/>
  <c r="P61" i="22"/>
  <c r="Z60" i="22"/>
  <c r="X60" i="22"/>
  <c r="Q60" i="22"/>
  <c r="P60" i="22"/>
  <c r="Z59" i="22"/>
  <c r="X59" i="22"/>
  <c r="Q59" i="22"/>
  <c r="P59" i="22"/>
  <c r="Z58" i="22"/>
  <c r="X58" i="22"/>
  <c r="Q58" i="22"/>
  <c r="P58" i="22"/>
  <c r="Z57" i="22"/>
  <c r="X57" i="22"/>
  <c r="Q57" i="22"/>
  <c r="P57" i="22"/>
  <c r="Z56" i="22"/>
  <c r="X56" i="22"/>
  <c r="Q56" i="22"/>
  <c r="P56" i="22"/>
  <c r="Z55" i="22"/>
  <c r="Z63" i="22" s="1"/>
  <c r="X55" i="22"/>
  <c r="Q55" i="22"/>
  <c r="P55" i="22"/>
  <c r="Z49" i="22"/>
  <c r="X49" i="22"/>
  <c r="V49" i="22"/>
  <c r="N49" i="22"/>
  <c r="L49" i="22"/>
  <c r="J49" i="22"/>
  <c r="I49" i="22"/>
  <c r="H49" i="22"/>
  <c r="G49" i="22"/>
  <c r="F49" i="22"/>
  <c r="E49" i="22"/>
  <c r="D49" i="22"/>
  <c r="C49" i="22"/>
  <c r="Y48" i="22"/>
  <c r="M48" i="22" s="1"/>
  <c r="W48" i="22"/>
  <c r="P48" i="22"/>
  <c r="R62" i="22" s="1"/>
  <c r="K48" i="22"/>
  <c r="Y47" i="22"/>
  <c r="W47" i="22"/>
  <c r="K47" i="22" s="1"/>
  <c r="P47" i="22"/>
  <c r="R61" i="22" s="1"/>
  <c r="M47" i="22"/>
  <c r="Y46" i="22"/>
  <c r="M46" i="22" s="1"/>
  <c r="M13" i="22" s="1"/>
  <c r="W46" i="22"/>
  <c r="P46" i="22"/>
  <c r="R60" i="22" s="1"/>
  <c r="K46" i="22"/>
  <c r="Y45" i="22"/>
  <c r="W45" i="22"/>
  <c r="K45" i="22" s="1"/>
  <c r="P45" i="22"/>
  <c r="R59" i="22" s="1"/>
  <c r="M45" i="22"/>
  <c r="Y44" i="22"/>
  <c r="M44" i="22" s="1"/>
  <c r="W44" i="22"/>
  <c r="P44" i="22"/>
  <c r="R58" i="22" s="1"/>
  <c r="K44" i="22"/>
  <c r="Y43" i="22"/>
  <c r="W43" i="22"/>
  <c r="K43" i="22" s="1"/>
  <c r="P43" i="22"/>
  <c r="R57" i="22" s="1"/>
  <c r="M43" i="22"/>
  <c r="Y42" i="22"/>
  <c r="M42" i="22" s="1"/>
  <c r="M9" i="22" s="1"/>
  <c r="W42" i="22"/>
  <c r="P42" i="22"/>
  <c r="R56" i="22" s="1"/>
  <c r="K42" i="22"/>
  <c r="Y41" i="22"/>
  <c r="Y49" i="22" s="1"/>
  <c r="W41" i="22"/>
  <c r="P41" i="22"/>
  <c r="R55" i="22" s="1"/>
  <c r="R63" i="22" s="1"/>
  <c r="M41" i="22"/>
  <c r="M49" i="22" s="1"/>
  <c r="V30" i="22"/>
  <c r="N30" i="22"/>
  <c r="L30" i="22"/>
  <c r="J30" i="22"/>
  <c r="I30" i="22"/>
  <c r="H30" i="22"/>
  <c r="F30" i="22"/>
  <c r="D30" i="22"/>
  <c r="C30" i="22"/>
  <c r="O29" i="22"/>
  <c r="M29" i="22"/>
  <c r="K29" i="22"/>
  <c r="G29" i="22"/>
  <c r="E29" i="22"/>
  <c r="P28" i="22"/>
  <c r="O28" i="22"/>
  <c r="M28" i="22"/>
  <c r="K28" i="22"/>
  <c r="G28" i="22"/>
  <c r="E28" i="22"/>
  <c r="O27" i="22"/>
  <c r="M27" i="22"/>
  <c r="K27" i="22"/>
  <c r="G27" i="22"/>
  <c r="E27" i="22"/>
  <c r="O26" i="22"/>
  <c r="M26" i="22"/>
  <c r="K26" i="22"/>
  <c r="G26" i="22"/>
  <c r="E26" i="22"/>
  <c r="P25" i="22"/>
  <c r="O25" i="22"/>
  <c r="M25" i="22"/>
  <c r="K25" i="22"/>
  <c r="G25" i="22"/>
  <c r="E25" i="22"/>
  <c r="P24" i="22"/>
  <c r="O24" i="22"/>
  <c r="M24" i="22"/>
  <c r="K24" i="22"/>
  <c r="G24" i="22"/>
  <c r="E24" i="22"/>
  <c r="P23" i="22"/>
  <c r="O23" i="22"/>
  <c r="M23" i="22"/>
  <c r="K23" i="22"/>
  <c r="G23" i="22"/>
  <c r="E23" i="22"/>
  <c r="P30" i="22"/>
  <c r="O22" i="22"/>
  <c r="O30" i="22" s="1"/>
  <c r="M22" i="22"/>
  <c r="M30" i="22" s="1"/>
  <c r="K22" i="22"/>
  <c r="K30" i="22" s="1"/>
  <c r="G22" i="22"/>
  <c r="G30" i="22" s="1"/>
  <c r="E22" i="22"/>
  <c r="E30" i="22" s="1"/>
  <c r="AB16" i="22"/>
  <c r="Z16" i="22"/>
  <c r="X16" i="22"/>
  <c r="W16" i="22"/>
  <c r="N16" i="22"/>
  <c r="L16" i="22"/>
  <c r="J16" i="22"/>
  <c r="I16" i="22"/>
  <c r="H16" i="22"/>
  <c r="G16" i="22"/>
  <c r="F16" i="22"/>
  <c r="E16" i="22"/>
  <c r="D16" i="22"/>
  <c r="C16" i="22"/>
  <c r="AC15" i="22"/>
  <c r="AA15" i="22"/>
  <c r="Y15" i="22"/>
  <c r="V15" i="22"/>
  <c r="P15" i="22"/>
  <c r="R29" i="22" s="1"/>
  <c r="M15" i="22"/>
  <c r="K15" i="22"/>
  <c r="AC14" i="22"/>
  <c r="AA14" i="22"/>
  <c r="Y14" i="22"/>
  <c r="V14" i="22"/>
  <c r="P14" i="22"/>
  <c r="R28" i="22" s="1"/>
  <c r="M14" i="22"/>
  <c r="AC13" i="22"/>
  <c r="AA13" i="22"/>
  <c r="Y13" i="22"/>
  <c r="V13" i="22"/>
  <c r="P13" i="22"/>
  <c r="K13" i="22"/>
  <c r="AC12" i="22"/>
  <c r="AA12" i="22"/>
  <c r="Y12" i="22"/>
  <c r="V12" i="22"/>
  <c r="R26" i="22"/>
  <c r="M12" i="22"/>
  <c r="K12" i="22"/>
  <c r="AC11" i="22"/>
  <c r="AA11" i="22"/>
  <c r="Y11" i="22"/>
  <c r="V11" i="22"/>
  <c r="R25" i="22"/>
  <c r="M11" i="22"/>
  <c r="K11" i="22"/>
  <c r="AC10" i="22"/>
  <c r="AA10" i="22"/>
  <c r="Y10" i="22"/>
  <c r="V10" i="22"/>
  <c r="P10" i="22"/>
  <c r="R24" i="22" s="1"/>
  <c r="M10" i="22"/>
  <c r="AC9" i="22"/>
  <c r="AC16" i="22" s="1"/>
  <c r="AA9" i="22"/>
  <c r="Y9" i="22"/>
  <c r="Y16" i="22" s="1"/>
  <c r="V9" i="22"/>
  <c r="P9" i="22"/>
  <c r="K9" i="22"/>
  <c r="AC8" i="22"/>
  <c r="AA8" i="22"/>
  <c r="AA16" i="22" s="1"/>
  <c r="Y8" i="22"/>
  <c r="V8" i="22"/>
  <c r="V16" i="22" s="1"/>
  <c r="P8" i="22"/>
  <c r="R22" i="22" s="1"/>
  <c r="M8" i="22"/>
  <c r="R59" i="23" l="1"/>
  <c r="R60" i="23"/>
  <c r="R61" i="23"/>
  <c r="R63" i="23"/>
  <c r="R64" i="23"/>
  <c r="P51" i="23"/>
  <c r="O115" i="23"/>
  <c r="Q109" i="23"/>
  <c r="S123" i="23" s="1"/>
  <c r="Q111" i="23"/>
  <c r="S125" i="23" s="1"/>
  <c r="Q113" i="23"/>
  <c r="S127" i="23" s="1"/>
  <c r="P32" i="23"/>
  <c r="R24" i="23"/>
  <c r="R29" i="23"/>
  <c r="K18" i="23"/>
  <c r="P18" i="23"/>
  <c r="Q24" i="23"/>
  <c r="Q32" i="23" s="1"/>
  <c r="K51" i="23"/>
  <c r="Q77" i="23"/>
  <c r="Q107" i="23"/>
  <c r="M18" i="23"/>
  <c r="AC18" i="23"/>
  <c r="K13" i="23"/>
  <c r="W51" i="23"/>
  <c r="Y51" i="23"/>
  <c r="P65" i="23"/>
  <c r="R57" i="23"/>
  <c r="R65" i="23" s="1"/>
  <c r="R89" i="23"/>
  <c r="R97" i="23" s="1"/>
  <c r="R129" i="23"/>
  <c r="R23" i="22"/>
  <c r="R27" i="22"/>
  <c r="Q107" i="22"/>
  <c r="S121" i="22" s="1"/>
  <c r="Q109" i="22"/>
  <c r="S123" i="22" s="1"/>
  <c r="Q111" i="22"/>
  <c r="S125" i="22" s="1"/>
  <c r="M16" i="22"/>
  <c r="R30" i="22"/>
  <c r="P16" i="22"/>
  <c r="P49" i="22"/>
  <c r="P81" i="22"/>
  <c r="M113" i="22"/>
  <c r="Q105" i="22"/>
  <c r="R119" i="22"/>
  <c r="R127" i="22" s="1"/>
  <c r="P113" i="22"/>
  <c r="K10" i="22"/>
  <c r="K14" i="22"/>
  <c r="Q23" i="22"/>
  <c r="Q24" i="22"/>
  <c r="Q25" i="22"/>
  <c r="Q26" i="22"/>
  <c r="Q27" i="22"/>
  <c r="Q28" i="22"/>
  <c r="Q29" i="22"/>
  <c r="W49" i="22"/>
  <c r="K41" i="22"/>
  <c r="Q63" i="22"/>
  <c r="K81" i="22"/>
  <c r="Q75" i="22"/>
  <c r="S89" i="22" s="1"/>
  <c r="S95" i="22" s="1"/>
  <c r="U95" i="22" s="1"/>
  <c r="Q22" i="22"/>
  <c r="Q30" i="22" s="1"/>
  <c r="J168" i="19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F169" i="19"/>
  <c r="G169" i="19"/>
  <c r="H169" i="19"/>
  <c r="F170" i="19"/>
  <c r="I170" i="19" s="1"/>
  <c r="G170" i="19"/>
  <c r="H170" i="19"/>
  <c r="F171" i="19"/>
  <c r="G171" i="19"/>
  <c r="I171" i="19" s="1"/>
  <c r="H171" i="19"/>
  <c r="F172" i="19"/>
  <c r="G172" i="19"/>
  <c r="H172" i="19"/>
  <c r="F173" i="19"/>
  <c r="G173" i="19"/>
  <c r="I173" i="19" s="1"/>
  <c r="H173" i="19"/>
  <c r="F174" i="19"/>
  <c r="G174" i="19"/>
  <c r="H174" i="19"/>
  <c r="G167" i="19"/>
  <c r="H167" i="19"/>
  <c r="H175" i="19" s="1"/>
  <c r="F167" i="19"/>
  <c r="E175" i="19"/>
  <c r="D175" i="19"/>
  <c r="C175" i="19"/>
  <c r="I168" i="19"/>
  <c r="R32" i="23" l="1"/>
  <c r="S91" i="23"/>
  <c r="S97" i="23" s="1"/>
  <c r="T97" i="23" s="1"/>
  <c r="Q83" i="23"/>
  <c r="S121" i="23"/>
  <c r="S129" i="23" s="1"/>
  <c r="T129" i="23" s="1"/>
  <c r="Q115" i="23"/>
  <c r="K49" i="22"/>
  <c r="K8" i="22"/>
  <c r="S119" i="22"/>
  <c r="S127" i="22" s="1"/>
  <c r="U127" i="22" s="1"/>
  <c r="Q113" i="22"/>
  <c r="Q81" i="22"/>
  <c r="F175" i="19"/>
  <c r="G175" i="19"/>
  <c r="I169" i="19"/>
  <c r="I172" i="19"/>
  <c r="I174" i="19"/>
  <c r="I167" i="19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Q81" i="21"/>
  <c r="O81" i="21"/>
  <c r="Q80" i="21"/>
  <c r="O80" i="21"/>
  <c r="Q79" i="21"/>
  <c r="O79" i="21"/>
  <c r="Q78" i="21"/>
  <c r="O78" i="21"/>
  <c r="Q77" i="21"/>
  <c r="O77" i="21"/>
  <c r="Q76" i="21"/>
  <c r="O76" i="21"/>
  <c r="Q75" i="21"/>
  <c r="O75" i="21"/>
  <c r="P50" i="21"/>
  <c r="N50" i="21"/>
  <c r="M50" i="21"/>
  <c r="L50" i="21"/>
  <c r="K50" i="21"/>
  <c r="J50" i="21"/>
  <c r="I50" i="21"/>
  <c r="H50" i="21"/>
  <c r="G50" i="21"/>
  <c r="F50" i="21"/>
  <c r="D50" i="21"/>
  <c r="C50" i="21"/>
  <c r="Q49" i="21"/>
  <c r="O49" i="21"/>
  <c r="Q48" i="21"/>
  <c r="O48" i="21"/>
  <c r="Q47" i="21"/>
  <c r="O47" i="21"/>
  <c r="Q46" i="21"/>
  <c r="O46" i="21"/>
  <c r="Q45" i="21"/>
  <c r="O45" i="21"/>
  <c r="Q44" i="21"/>
  <c r="O44" i="21"/>
  <c r="Q43" i="21"/>
  <c r="O43" i="21"/>
  <c r="O50" i="21" s="1"/>
  <c r="Q42" i="21"/>
  <c r="O42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Q16" i="21"/>
  <c r="O16" i="21"/>
  <c r="Q15" i="21"/>
  <c r="O15" i="21"/>
  <c r="Q14" i="21"/>
  <c r="O14" i="21"/>
  <c r="Q13" i="21"/>
  <c r="O13" i="21"/>
  <c r="Q12" i="21"/>
  <c r="O12" i="21"/>
  <c r="Q11" i="21"/>
  <c r="O11" i="21"/>
  <c r="Q10" i="21"/>
  <c r="O10" i="21"/>
  <c r="Q9" i="21"/>
  <c r="O9" i="21"/>
  <c r="X63" i="20"/>
  <c r="Y63" i="20"/>
  <c r="Z63" i="20"/>
  <c r="W63" i="20"/>
  <c r="Z56" i="20"/>
  <c r="Z57" i="20"/>
  <c r="Z58" i="20"/>
  <c r="Z59" i="20"/>
  <c r="Z60" i="20"/>
  <c r="Z61" i="20"/>
  <c r="Z62" i="20"/>
  <c r="Z55" i="20"/>
  <c r="O83" i="21" l="1"/>
  <c r="O17" i="21"/>
  <c r="K16" i="22"/>
  <c r="I175" i="19"/>
  <c r="O115" i="4"/>
  <c r="O113" i="4"/>
  <c r="O114" i="4"/>
  <c r="O110" i="4"/>
  <c r="U95" i="20" l="1"/>
  <c r="J568" i="19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J555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K312" i="19"/>
  <c r="L312" i="19"/>
  <c r="M312" i="19"/>
  <c r="N312" i="19"/>
  <c r="O312" i="19"/>
  <c r="J313" i="19"/>
  <c r="K313" i="19"/>
  <c r="L313" i="19"/>
  <c r="M313" i="19"/>
  <c r="N313" i="19"/>
  <c r="O313" i="19"/>
  <c r="J314" i="19"/>
  <c r="K314" i="19"/>
  <c r="L314" i="19"/>
  <c r="M314" i="19"/>
  <c r="N314" i="19"/>
  <c r="O314" i="19"/>
  <c r="J315" i="19"/>
  <c r="K315" i="19"/>
  <c r="L315" i="19"/>
  <c r="M315" i="19"/>
  <c r="N315" i="19"/>
  <c r="O315" i="19"/>
  <c r="J316" i="19"/>
  <c r="K316" i="19"/>
  <c r="L316" i="19"/>
  <c r="M316" i="19"/>
  <c r="N316" i="19"/>
  <c r="O316" i="19"/>
  <c r="J317" i="19"/>
  <c r="K317" i="19"/>
  <c r="L317" i="19"/>
  <c r="M317" i="19"/>
  <c r="N317" i="19"/>
  <c r="O317" i="19"/>
  <c r="J318" i="19"/>
  <c r="K318" i="19"/>
  <c r="L318" i="19"/>
  <c r="M318" i="19"/>
  <c r="N318" i="19"/>
  <c r="O318" i="19"/>
  <c r="K311" i="19"/>
  <c r="L311" i="19"/>
  <c r="M311" i="19"/>
  <c r="N311" i="19"/>
  <c r="O311" i="19"/>
  <c r="J311" i="19"/>
  <c r="J296" i="19"/>
  <c r="K296" i="19"/>
  <c r="K303" i="19" s="1"/>
  <c r="L296" i="19"/>
  <c r="M296" i="19"/>
  <c r="N296" i="19"/>
  <c r="O296" i="19"/>
  <c r="J297" i="19"/>
  <c r="K297" i="19"/>
  <c r="L297" i="19"/>
  <c r="M297" i="19"/>
  <c r="N297" i="19"/>
  <c r="O297" i="19"/>
  <c r="J298" i="19"/>
  <c r="K298" i="19"/>
  <c r="L298" i="19"/>
  <c r="M298" i="19"/>
  <c r="N298" i="19"/>
  <c r="O298" i="19"/>
  <c r="J299" i="19"/>
  <c r="K299" i="19"/>
  <c r="L299" i="19"/>
  <c r="M299" i="19"/>
  <c r="N299" i="19"/>
  <c r="O299" i="19"/>
  <c r="J300" i="19"/>
  <c r="K300" i="19"/>
  <c r="L300" i="19"/>
  <c r="M300" i="19"/>
  <c r="N300" i="19"/>
  <c r="O300" i="19"/>
  <c r="J301" i="19"/>
  <c r="K301" i="19"/>
  <c r="L301" i="19"/>
  <c r="M301" i="19"/>
  <c r="N301" i="19"/>
  <c r="O301" i="19"/>
  <c r="J302" i="19"/>
  <c r="K302" i="19"/>
  <c r="L302" i="19"/>
  <c r="M302" i="19"/>
  <c r="N302" i="19"/>
  <c r="O302" i="19"/>
  <c r="K295" i="19"/>
  <c r="L295" i="19"/>
  <c r="M295" i="19"/>
  <c r="N295" i="19"/>
  <c r="O295" i="19"/>
  <c r="J295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56" i="19"/>
  <c r="K56" i="19"/>
  <c r="L56" i="19"/>
  <c r="M56" i="19"/>
  <c r="N56" i="19"/>
  <c r="O56" i="19"/>
  <c r="J57" i="19"/>
  <c r="K57" i="19"/>
  <c r="L57" i="19"/>
  <c r="M57" i="19"/>
  <c r="N57" i="19"/>
  <c r="O57" i="19"/>
  <c r="J58" i="19"/>
  <c r="K58" i="19"/>
  <c r="L58" i="19"/>
  <c r="M58" i="19"/>
  <c r="N58" i="19"/>
  <c r="O58" i="19"/>
  <c r="J59" i="19"/>
  <c r="K59" i="19"/>
  <c r="L59" i="19"/>
  <c r="M59" i="19"/>
  <c r="N59" i="19"/>
  <c r="O59" i="19"/>
  <c r="J60" i="19"/>
  <c r="K60" i="19"/>
  <c r="L60" i="19"/>
  <c r="M60" i="19"/>
  <c r="N60" i="19"/>
  <c r="O60" i="19"/>
  <c r="J61" i="19"/>
  <c r="K61" i="19"/>
  <c r="L61" i="19"/>
  <c r="M61" i="19"/>
  <c r="N61" i="19"/>
  <c r="O61" i="19"/>
  <c r="J62" i="19"/>
  <c r="K62" i="19"/>
  <c r="L62" i="19"/>
  <c r="M62" i="19"/>
  <c r="N62" i="19"/>
  <c r="O62" i="19"/>
  <c r="K55" i="19"/>
  <c r="L55" i="19"/>
  <c r="M55" i="19"/>
  <c r="N55" i="19"/>
  <c r="O55" i="19"/>
  <c r="J40" i="19"/>
  <c r="K40" i="19"/>
  <c r="L40" i="19"/>
  <c r="M40" i="19"/>
  <c r="N40" i="19"/>
  <c r="O40" i="19"/>
  <c r="J41" i="19"/>
  <c r="K41" i="19"/>
  <c r="L41" i="19"/>
  <c r="M41" i="19"/>
  <c r="N41" i="19"/>
  <c r="O41" i="19"/>
  <c r="J42" i="19"/>
  <c r="K42" i="19"/>
  <c r="L42" i="19"/>
  <c r="M42" i="19"/>
  <c r="N42" i="19"/>
  <c r="O42" i="19"/>
  <c r="J43" i="19"/>
  <c r="K43" i="19"/>
  <c r="L43" i="19"/>
  <c r="M43" i="19"/>
  <c r="N43" i="19"/>
  <c r="O43" i="19"/>
  <c r="J44" i="19"/>
  <c r="K44" i="19"/>
  <c r="L44" i="19"/>
  <c r="M44" i="19"/>
  <c r="N44" i="19"/>
  <c r="O44" i="19"/>
  <c r="J45" i="19"/>
  <c r="K45" i="19"/>
  <c r="L45" i="19"/>
  <c r="M45" i="19"/>
  <c r="N45" i="19"/>
  <c r="O45" i="19"/>
  <c r="J46" i="19"/>
  <c r="K46" i="19"/>
  <c r="L46" i="19"/>
  <c r="M46" i="19"/>
  <c r="N46" i="19"/>
  <c r="O46" i="19"/>
  <c r="K39" i="19"/>
  <c r="L39" i="19"/>
  <c r="M39" i="19"/>
  <c r="N39" i="19"/>
  <c r="O39" i="19"/>
  <c r="J39" i="19"/>
  <c r="J24" i="19"/>
  <c r="J8" i="19" s="1"/>
  <c r="K24" i="19"/>
  <c r="K8" i="19" s="1"/>
  <c r="L24" i="19"/>
  <c r="L8" i="19" s="1"/>
  <c r="M24" i="19"/>
  <c r="M8" i="19" s="1"/>
  <c r="N24" i="19"/>
  <c r="N8" i="19" s="1"/>
  <c r="O24" i="19"/>
  <c r="O8" i="19" s="1"/>
  <c r="J25" i="19"/>
  <c r="J9" i="19" s="1"/>
  <c r="K25" i="19"/>
  <c r="K9" i="19" s="1"/>
  <c r="L25" i="19"/>
  <c r="M25" i="19"/>
  <c r="M9" i="19" s="1"/>
  <c r="N25" i="19"/>
  <c r="N9" i="19" s="1"/>
  <c r="O25" i="19"/>
  <c r="O9" i="19" s="1"/>
  <c r="J26" i="19"/>
  <c r="K26" i="19"/>
  <c r="K10" i="19" s="1"/>
  <c r="L26" i="19"/>
  <c r="L10" i="19" s="1"/>
  <c r="M26" i="19"/>
  <c r="M10" i="19" s="1"/>
  <c r="N26" i="19"/>
  <c r="N10" i="19" s="1"/>
  <c r="O26" i="19"/>
  <c r="O10" i="19" s="1"/>
  <c r="J27" i="19"/>
  <c r="J11" i="19" s="1"/>
  <c r="K27" i="19"/>
  <c r="K11" i="19" s="1"/>
  <c r="L27" i="19"/>
  <c r="L11" i="19" s="1"/>
  <c r="M27" i="19"/>
  <c r="M11" i="19" s="1"/>
  <c r="N27" i="19"/>
  <c r="N11" i="19" s="1"/>
  <c r="O27" i="19"/>
  <c r="O11" i="19" s="1"/>
  <c r="J28" i="19"/>
  <c r="K28" i="19"/>
  <c r="K12" i="19" s="1"/>
  <c r="L28" i="19"/>
  <c r="L12" i="19" s="1"/>
  <c r="M28" i="19"/>
  <c r="M12" i="19" s="1"/>
  <c r="N28" i="19"/>
  <c r="N12" i="19" s="1"/>
  <c r="O28" i="19"/>
  <c r="O12" i="19" s="1"/>
  <c r="J29" i="19"/>
  <c r="J13" i="19" s="1"/>
  <c r="K29" i="19"/>
  <c r="K13" i="19" s="1"/>
  <c r="L29" i="19"/>
  <c r="L13" i="19" s="1"/>
  <c r="M29" i="19"/>
  <c r="M13" i="19" s="1"/>
  <c r="N29" i="19"/>
  <c r="N13" i="19" s="1"/>
  <c r="O29" i="19"/>
  <c r="O13" i="19" s="1"/>
  <c r="J30" i="19"/>
  <c r="K30" i="19"/>
  <c r="K14" i="19" s="1"/>
  <c r="L30" i="19"/>
  <c r="L14" i="19" s="1"/>
  <c r="M30" i="19"/>
  <c r="M14" i="19" s="1"/>
  <c r="N30" i="19"/>
  <c r="N14" i="19" s="1"/>
  <c r="O30" i="19"/>
  <c r="O14" i="19" s="1"/>
  <c r="K23" i="19"/>
  <c r="K7" i="19" s="1"/>
  <c r="L23" i="19"/>
  <c r="M23" i="19"/>
  <c r="M7" i="19" s="1"/>
  <c r="N23" i="19"/>
  <c r="N7" i="19" s="1"/>
  <c r="O23" i="19"/>
  <c r="O7" i="19" s="1"/>
  <c r="L9" i="19"/>
  <c r="J10" i="19"/>
  <c r="J12" i="19"/>
  <c r="J14" i="19"/>
  <c r="P301" i="19" l="1"/>
  <c r="P296" i="19"/>
  <c r="L7" i="19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N444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0" i="19"/>
  <c r="P302" i="19"/>
  <c r="J303" i="19"/>
  <c r="N303" i="19"/>
  <c r="L303" i="19"/>
  <c r="P295" i="19"/>
  <c r="F116" i="7"/>
  <c r="E116" i="7"/>
  <c r="D116" i="4"/>
  <c r="E120" i="20"/>
  <c r="E121" i="20"/>
  <c r="E122" i="20"/>
  <c r="E123" i="20"/>
  <c r="E124" i="20"/>
  <c r="E125" i="20"/>
  <c r="E126" i="20"/>
  <c r="J55" i="19"/>
  <c r="E119" i="20" s="1"/>
  <c r="F116" i="4"/>
  <c r="Q167" i="19" l="1"/>
  <c r="P303" i="19"/>
  <c r="G23" i="20"/>
  <c r="G24" i="20"/>
  <c r="G25" i="20"/>
  <c r="G26" i="20"/>
  <c r="G27" i="20"/>
  <c r="G28" i="20"/>
  <c r="G29" i="20"/>
  <c r="G22" i="20"/>
  <c r="E23" i="20"/>
  <c r="E24" i="20"/>
  <c r="Q24" i="20" s="1"/>
  <c r="E25" i="20"/>
  <c r="E26" i="20"/>
  <c r="E27" i="20"/>
  <c r="E28" i="20"/>
  <c r="E29" i="20"/>
  <c r="E22" i="20"/>
  <c r="P22" i="20"/>
  <c r="Q56" i="20"/>
  <c r="Q57" i="20"/>
  <c r="Q58" i="20"/>
  <c r="Q59" i="20"/>
  <c r="Q60" i="20"/>
  <c r="Q61" i="20"/>
  <c r="Q62" i="20"/>
  <c r="Q55" i="20"/>
  <c r="R55" i="20"/>
  <c r="X55" i="20"/>
  <c r="X56" i="20"/>
  <c r="X57" i="20"/>
  <c r="X58" i="20"/>
  <c r="X59" i="20"/>
  <c r="X60" i="20"/>
  <c r="X61" i="20"/>
  <c r="X62" i="20"/>
  <c r="Q28" i="20" l="1"/>
  <c r="Q26" i="20"/>
  <c r="Q63" i="20"/>
  <c r="Q25" i="20"/>
  <c r="Q23" i="20"/>
  <c r="Q27" i="20"/>
  <c r="Q29" i="20"/>
  <c r="Q22" i="20"/>
  <c r="J23" i="19" l="1"/>
  <c r="J7" i="19" s="1"/>
  <c r="E111" i="6" l="1"/>
  <c r="O116" i="9"/>
  <c r="K9" i="20" l="1"/>
  <c r="K8" i="20"/>
  <c r="M9" i="20"/>
  <c r="M10" i="20"/>
  <c r="M11" i="20"/>
  <c r="M12" i="20"/>
  <c r="M13" i="20"/>
  <c r="M14" i="20"/>
  <c r="M15" i="20"/>
  <c r="K10" i="20"/>
  <c r="K11" i="20"/>
  <c r="K12" i="20"/>
  <c r="K13" i="20"/>
  <c r="K14" i="20"/>
  <c r="K15" i="20"/>
  <c r="M8" i="20"/>
  <c r="K75" i="20"/>
  <c r="W75" i="20"/>
  <c r="M42" i="20"/>
  <c r="M43" i="20"/>
  <c r="M44" i="20"/>
  <c r="M45" i="20"/>
  <c r="M46" i="20"/>
  <c r="M47" i="20"/>
  <c r="M48" i="20"/>
  <c r="K42" i="20"/>
  <c r="K43" i="20"/>
  <c r="K44" i="20"/>
  <c r="K45" i="20"/>
  <c r="K46" i="20"/>
  <c r="K47" i="20"/>
  <c r="K48" i="20"/>
  <c r="M41" i="20"/>
  <c r="K41" i="20"/>
  <c r="Y42" i="20"/>
  <c r="Y43" i="20"/>
  <c r="Y44" i="20"/>
  <c r="Y45" i="20"/>
  <c r="Y46" i="20"/>
  <c r="Y47" i="20"/>
  <c r="Y48" i="20"/>
  <c r="Y41" i="20"/>
  <c r="X49" i="20"/>
  <c r="Y49" i="20"/>
  <c r="Z49" i="20"/>
  <c r="V49" i="20"/>
  <c r="W42" i="20"/>
  <c r="W43" i="20"/>
  <c r="W44" i="20"/>
  <c r="W45" i="20"/>
  <c r="W46" i="20"/>
  <c r="W47" i="20"/>
  <c r="W48" i="20"/>
  <c r="W41" i="20"/>
  <c r="W49" i="20" s="1"/>
  <c r="F568" i="19" l="1"/>
  <c r="G568" i="19"/>
  <c r="H568" i="19"/>
  <c r="F569" i="19"/>
  <c r="G569" i="19"/>
  <c r="H569" i="19"/>
  <c r="F570" i="19"/>
  <c r="G570" i="19"/>
  <c r="H570" i="19"/>
  <c r="F571" i="19"/>
  <c r="G571" i="19"/>
  <c r="H571" i="19"/>
  <c r="F572" i="19"/>
  <c r="G572" i="19"/>
  <c r="H572" i="19"/>
  <c r="F573" i="19"/>
  <c r="G573" i="19"/>
  <c r="H573" i="19"/>
  <c r="F574" i="19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H426" i="19"/>
  <c r="F427" i="19"/>
  <c r="G427" i="19"/>
  <c r="H427" i="19"/>
  <c r="F428" i="19"/>
  <c r="G428" i="19"/>
  <c r="H428" i="19"/>
  <c r="F429" i="19"/>
  <c r="G429" i="19"/>
  <c r="H429" i="19"/>
  <c r="F430" i="19"/>
  <c r="G430" i="19"/>
  <c r="H430" i="19"/>
  <c r="G423" i="19"/>
  <c r="H423" i="19"/>
  <c r="F423" i="19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H415" i="19" s="1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I377" i="19" s="1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G346" i="19"/>
  <c r="H346" i="19"/>
  <c r="F347" i="19"/>
  <c r="G347" i="19"/>
  <c r="H347" i="19"/>
  <c r="F348" i="19"/>
  <c r="G348" i="19"/>
  <c r="H348" i="19"/>
  <c r="F349" i="19"/>
  <c r="G349" i="19"/>
  <c r="H349" i="19"/>
  <c r="F350" i="19"/>
  <c r="G350" i="19"/>
  <c r="H350" i="19"/>
  <c r="G343" i="19"/>
  <c r="H343" i="19"/>
  <c r="H351" i="19" s="1"/>
  <c r="F343" i="19"/>
  <c r="F328" i="19"/>
  <c r="G328" i="19"/>
  <c r="H328" i="19"/>
  <c r="F329" i="19"/>
  <c r="G329" i="19"/>
  <c r="I329" i="19" s="1"/>
  <c r="H329" i="19"/>
  <c r="F330" i="19"/>
  <c r="G330" i="19"/>
  <c r="H330" i="19"/>
  <c r="F331" i="19"/>
  <c r="G331" i="19"/>
  <c r="I331" i="19" s="1"/>
  <c r="H331" i="19"/>
  <c r="F332" i="19"/>
  <c r="G332" i="19"/>
  <c r="H332" i="19"/>
  <c r="F333" i="19"/>
  <c r="G333" i="19"/>
  <c r="I333" i="19" s="1"/>
  <c r="H333" i="19"/>
  <c r="F334" i="19"/>
  <c r="G334" i="19"/>
  <c r="H334" i="19"/>
  <c r="G327" i="19"/>
  <c r="H327" i="19"/>
  <c r="H335" i="19" s="1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F298" i="19" s="1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95" i="19" s="1"/>
  <c r="F280" i="19"/>
  <c r="G280" i="19"/>
  <c r="H280" i="19"/>
  <c r="F281" i="19"/>
  <c r="G281" i="19"/>
  <c r="I281" i="19" s="1"/>
  <c r="H281" i="19"/>
  <c r="F282" i="19"/>
  <c r="G282" i="19"/>
  <c r="H282" i="19"/>
  <c r="F283" i="19"/>
  <c r="G283" i="19"/>
  <c r="I283" i="19" s="1"/>
  <c r="H283" i="19"/>
  <c r="F284" i="19"/>
  <c r="G284" i="19"/>
  <c r="H284" i="19"/>
  <c r="F285" i="19"/>
  <c r="G285" i="19"/>
  <c r="I285" i="19" s="1"/>
  <c r="H285" i="19"/>
  <c r="F286" i="19"/>
  <c r="G286" i="19"/>
  <c r="H286" i="19"/>
  <c r="G279" i="19"/>
  <c r="H279" i="19"/>
  <c r="H287" i="19" s="1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I269" i="19" s="1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I249" i="19" s="1"/>
  <c r="H249" i="19"/>
  <c r="F250" i="19"/>
  <c r="G250" i="19"/>
  <c r="H250" i="19"/>
  <c r="F251" i="19"/>
  <c r="G251" i="19"/>
  <c r="I251" i="19" s="1"/>
  <c r="H251" i="19"/>
  <c r="F252" i="19"/>
  <c r="G252" i="19"/>
  <c r="H252" i="19"/>
  <c r="F253" i="19"/>
  <c r="G253" i="19"/>
  <c r="I253" i="19" s="1"/>
  <c r="H253" i="19"/>
  <c r="F254" i="19"/>
  <c r="G254" i="19"/>
  <c r="H254" i="19"/>
  <c r="G247" i="19"/>
  <c r="H247" i="19"/>
  <c r="H255" i="19" s="1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F237" i="19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I217" i="19" s="1"/>
  <c r="H217" i="19"/>
  <c r="F218" i="19"/>
  <c r="G218" i="19"/>
  <c r="H218" i="19"/>
  <c r="F219" i="19"/>
  <c r="G219" i="19"/>
  <c r="I219" i="19" s="1"/>
  <c r="H219" i="19"/>
  <c r="F220" i="19"/>
  <c r="G220" i="19"/>
  <c r="H220" i="19"/>
  <c r="F221" i="19"/>
  <c r="G221" i="19"/>
  <c r="I221" i="19" s="1"/>
  <c r="H221" i="19"/>
  <c r="F222" i="19"/>
  <c r="G222" i="19"/>
  <c r="H222" i="19"/>
  <c r="G215" i="19"/>
  <c r="H215" i="19"/>
  <c r="H223" i="19" s="1"/>
  <c r="F215" i="19"/>
  <c r="F200" i="19"/>
  <c r="G200" i="19"/>
  <c r="H200" i="19"/>
  <c r="F201" i="19"/>
  <c r="G201" i="19"/>
  <c r="H201" i="19"/>
  <c r="F202" i="19"/>
  <c r="G202" i="19"/>
  <c r="H202" i="19"/>
  <c r="F203" i="19"/>
  <c r="G203" i="19"/>
  <c r="H203" i="19"/>
  <c r="F204" i="19"/>
  <c r="G204" i="19"/>
  <c r="H204" i="19"/>
  <c r="F205" i="19"/>
  <c r="G205" i="19"/>
  <c r="H205" i="19"/>
  <c r="F206" i="19"/>
  <c r="G206" i="19"/>
  <c r="H206" i="19"/>
  <c r="G199" i="19"/>
  <c r="H199" i="19"/>
  <c r="F199" i="19"/>
  <c r="F184" i="19"/>
  <c r="G184" i="19"/>
  <c r="H184" i="19"/>
  <c r="F185" i="19"/>
  <c r="G185" i="19"/>
  <c r="G153" i="19" s="1"/>
  <c r="H185" i="19"/>
  <c r="H153" i="19" s="1"/>
  <c r="H441" i="19" s="1"/>
  <c r="F186" i="19"/>
  <c r="G186" i="19"/>
  <c r="H186" i="19"/>
  <c r="F187" i="19"/>
  <c r="G187" i="19"/>
  <c r="H187" i="19"/>
  <c r="F188" i="19"/>
  <c r="G188" i="19"/>
  <c r="H188" i="19"/>
  <c r="F189" i="19"/>
  <c r="G189" i="19"/>
  <c r="H189" i="19"/>
  <c r="F190" i="19"/>
  <c r="G190" i="19"/>
  <c r="H190" i="19"/>
  <c r="I190" i="19" s="1"/>
  <c r="G183" i="19"/>
  <c r="H183" i="19"/>
  <c r="F183" i="19"/>
  <c r="F152" i="19"/>
  <c r="G152" i="19"/>
  <c r="H152" i="19"/>
  <c r="F153" i="19"/>
  <c r="I153" i="19" s="1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I574" i="19"/>
  <c r="P573" i="19"/>
  <c r="I573" i="19"/>
  <c r="P572" i="19"/>
  <c r="I572" i="19"/>
  <c r="P571" i="19"/>
  <c r="I571" i="19"/>
  <c r="P570" i="19"/>
  <c r="I570" i="19"/>
  <c r="P569" i="19"/>
  <c r="I569" i="19"/>
  <c r="P568" i="19"/>
  <c r="I568" i="19"/>
  <c r="P567" i="19"/>
  <c r="P575" i="19" s="1"/>
  <c r="G575" i="19"/>
  <c r="E559" i="19"/>
  <c r="D559" i="19"/>
  <c r="P558" i="19"/>
  <c r="P557" i="19"/>
  <c r="P556" i="19"/>
  <c r="P555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P511" i="19" s="1"/>
  <c r="H503" i="19"/>
  <c r="H511" i="19" s="1"/>
  <c r="G503" i="19"/>
  <c r="G511" i="19" s="1"/>
  <c r="F503" i="19"/>
  <c r="F511" i="19" s="1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I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I430" i="19"/>
  <c r="P429" i="19"/>
  <c r="I429" i="19"/>
  <c r="P428" i="19"/>
  <c r="I428" i="19"/>
  <c r="P427" i="19"/>
  <c r="I427" i="19"/>
  <c r="P426" i="19"/>
  <c r="I426" i="19"/>
  <c r="P425" i="19"/>
  <c r="I425" i="19"/>
  <c r="P424" i="19"/>
  <c r="I424" i="19"/>
  <c r="P423" i="19"/>
  <c r="F431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F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I350" i="19"/>
  <c r="P349" i="19"/>
  <c r="I349" i="19"/>
  <c r="P348" i="19"/>
  <c r="I348" i="19"/>
  <c r="P347" i="19"/>
  <c r="I347" i="19"/>
  <c r="P346" i="19"/>
  <c r="I346" i="19"/>
  <c r="P345" i="19"/>
  <c r="I345" i="19"/>
  <c r="P344" i="19"/>
  <c r="I344" i="19"/>
  <c r="P343" i="19"/>
  <c r="P351" i="19" s="1"/>
  <c r="G351" i="19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G335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F319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I264" i="19"/>
  <c r="P263" i="19"/>
  <c r="G271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I238" i="19"/>
  <c r="P237" i="19"/>
  <c r="I237" i="19"/>
  <c r="P236" i="19"/>
  <c r="I236" i="19"/>
  <c r="P235" i="19"/>
  <c r="I235" i="19"/>
  <c r="P234" i="19"/>
  <c r="I234" i="19"/>
  <c r="P233" i="19"/>
  <c r="I233" i="19"/>
  <c r="P232" i="19"/>
  <c r="I232" i="19"/>
  <c r="P231" i="19"/>
  <c r="H239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E207" i="19"/>
  <c r="P206" i="19"/>
  <c r="I206" i="19"/>
  <c r="P205" i="19"/>
  <c r="I205" i="19"/>
  <c r="P204" i="19"/>
  <c r="I204" i="19"/>
  <c r="P203" i="19"/>
  <c r="I203" i="19"/>
  <c r="P202" i="19"/>
  <c r="I202" i="19"/>
  <c r="P201" i="19"/>
  <c r="I201" i="19"/>
  <c r="P200" i="19"/>
  <c r="I200" i="19"/>
  <c r="P199" i="19"/>
  <c r="H207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I189" i="19"/>
  <c r="P188" i="19"/>
  <c r="I188" i="19"/>
  <c r="P187" i="19"/>
  <c r="I187" i="19"/>
  <c r="P186" i="19"/>
  <c r="I186" i="19"/>
  <c r="P185" i="19"/>
  <c r="I185" i="19"/>
  <c r="P184" i="19"/>
  <c r="I184" i="19"/>
  <c r="P183" i="19"/>
  <c r="H191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F159" i="19" l="1"/>
  <c r="P431" i="19"/>
  <c r="P255" i="19"/>
  <c r="P239" i="19"/>
  <c r="P207" i="19"/>
  <c r="F191" i="19"/>
  <c r="F239" i="19"/>
  <c r="I254" i="19"/>
  <c r="I252" i="19"/>
  <c r="I250" i="19"/>
  <c r="I248" i="19"/>
  <c r="I270" i="19"/>
  <c r="I268" i="19"/>
  <c r="F287" i="19"/>
  <c r="I378" i="19"/>
  <c r="I376" i="19"/>
  <c r="H575" i="19"/>
  <c r="G223" i="19"/>
  <c r="I317" i="19"/>
  <c r="I318" i="19"/>
  <c r="G383" i="19"/>
  <c r="P174" i="19"/>
  <c r="J175" i="19"/>
  <c r="H446" i="19"/>
  <c r="G445" i="19"/>
  <c r="H442" i="19"/>
  <c r="H319" i="19"/>
  <c r="H295" i="19"/>
  <c r="F446" i="19"/>
  <c r="I302" i="19"/>
  <c r="F444" i="19"/>
  <c r="I300" i="19"/>
  <c r="I315" i="19"/>
  <c r="Q315" i="19" s="1"/>
  <c r="G299" i="19"/>
  <c r="G443" i="19" s="1"/>
  <c r="F442" i="19"/>
  <c r="I298" i="19"/>
  <c r="I313" i="19"/>
  <c r="I457" i="19" s="1"/>
  <c r="G297" i="19"/>
  <c r="G441" i="19" s="1"/>
  <c r="H440" i="19"/>
  <c r="F440" i="19"/>
  <c r="I296" i="19"/>
  <c r="I473" i="19"/>
  <c r="P191" i="19"/>
  <c r="Q472" i="19"/>
  <c r="H159" i="19"/>
  <c r="I157" i="19"/>
  <c r="I155" i="19"/>
  <c r="Q155" i="19" s="1"/>
  <c r="F439" i="19"/>
  <c r="F303" i="19"/>
  <c r="F447" i="19" s="1"/>
  <c r="I295" i="19"/>
  <c r="G446" i="19"/>
  <c r="H445" i="19"/>
  <c r="F445" i="19"/>
  <c r="I301" i="19"/>
  <c r="G444" i="19"/>
  <c r="H443" i="19"/>
  <c r="I299" i="19"/>
  <c r="G440" i="19"/>
  <c r="P479" i="19"/>
  <c r="Q473" i="19"/>
  <c r="P335" i="19"/>
  <c r="P399" i="19"/>
  <c r="P319" i="19"/>
  <c r="Q317" i="19"/>
  <c r="Q318" i="19"/>
  <c r="Q200" i="19"/>
  <c r="Q201" i="19"/>
  <c r="Q202" i="19"/>
  <c r="Q203" i="19"/>
  <c r="Q204" i="19"/>
  <c r="Q205" i="19"/>
  <c r="Q206" i="19"/>
  <c r="Q232" i="19"/>
  <c r="P287" i="19"/>
  <c r="P367" i="19"/>
  <c r="P383" i="19"/>
  <c r="P527" i="19" s="1"/>
  <c r="P415" i="19"/>
  <c r="I158" i="19"/>
  <c r="I156" i="19"/>
  <c r="I154" i="19"/>
  <c r="I152" i="19"/>
  <c r="Q152" i="19" s="1"/>
  <c r="G191" i="19"/>
  <c r="G207" i="19"/>
  <c r="I222" i="19"/>
  <c r="I220" i="19"/>
  <c r="Q220" i="19" s="1"/>
  <c r="I218" i="19"/>
  <c r="I216" i="19"/>
  <c r="Q216" i="19" s="1"/>
  <c r="G239" i="19"/>
  <c r="F255" i="19"/>
  <c r="I266" i="19"/>
  <c r="F271" i="19"/>
  <c r="I286" i="19"/>
  <c r="I284" i="19"/>
  <c r="I282" i="19"/>
  <c r="I280" i="19"/>
  <c r="I314" i="19"/>
  <c r="Q314" i="19" s="1"/>
  <c r="I312" i="19"/>
  <c r="Q312" i="19" s="1"/>
  <c r="I334" i="19"/>
  <c r="I332" i="19"/>
  <c r="I330" i="19"/>
  <c r="I328" i="19"/>
  <c r="F351" i="19"/>
  <c r="F495" i="19" s="1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I381" i="19"/>
  <c r="I525" i="19" s="1"/>
  <c r="I380" i="19"/>
  <c r="G399" i="19"/>
  <c r="I414" i="19"/>
  <c r="I413" i="19"/>
  <c r="Q413" i="19" s="1"/>
  <c r="I412" i="19"/>
  <c r="I411" i="19"/>
  <c r="I410" i="19"/>
  <c r="I409" i="19"/>
  <c r="Q409" i="19" s="1"/>
  <c r="I408" i="19"/>
  <c r="H431" i="19"/>
  <c r="Q474" i="19"/>
  <c r="Q475" i="19"/>
  <c r="Q476" i="19"/>
  <c r="Q477" i="19"/>
  <c r="Q478" i="19"/>
  <c r="Q568" i="19"/>
  <c r="Q569" i="19"/>
  <c r="Q570" i="19"/>
  <c r="Q571" i="19"/>
  <c r="Q572" i="19"/>
  <c r="Q573" i="19"/>
  <c r="Q574" i="19"/>
  <c r="P159" i="19"/>
  <c r="P447" i="19" s="1"/>
  <c r="P223" i="19"/>
  <c r="F223" i="19"/>
  <c r="P271" i="19"/>
  <c r="P559" i="19" s="1"/>
  <c r="G287" i="19"/>
  <c r="F335" i="19"/>
  <c r="G367" i="19"/>
  <c r="G415" i="19"/>
  <c r="Q233" i="19"/>
  <c r="Q234" i="19"/>
  <c r="Q235" i="19"/>
  <c r="Q236" i="19"/>
  <c r="Q237" i="19"/>
  <c r="Q238" i="19"/>
  <c r="Q248" i="19"/>
  <c r="Q249" i="19"/>
  <c r="Q250" i="19"/>
  <c r="Q251" i="19"/>
  <c r="Q252" i="19"/>
  <c r="Q253" i="19"/>
  <c r="Q254" i="19"/>
  <c r="Q280" i="19"/>
  <c r="Q281" i="19"/>
  <c r="Q282" i="19"/>
  <c r="Q283" i="19"/>
  <c r="Q284" i="19"/>
  <c r="Q285" i="19"/>
  <c r="Q286" i="19"/>
  <c r="P495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I316" i="19"/>
  <c r="Q316" i="19" s="1"/>
  <c r="Q184" i="19"/>
  <c r="Q185" i="19"/>
  <c r="Q186" i="19"/>
  <c r="Q187" i="19"/>
  <c r="Q188" i="19"/>
  <c r="Q189" i="19"/>
  <c r="Q190" i="19"/>
  <c r="H271" i="19"/>
  <c r="H559" i="19" s="1"/>
  <c r="H383" i="19"/>
  <c r="I379" i="19"/>
  <c r="I523" i="19" s="1"/>
  <c r="G319" i="19"/>
  <c r="Q153" i="19"/>
  <c r="Q154" i="19"/>
  <c r="Q458" i="19" s="1"/>
  <c r="Q156" i="19"/>
  <c r="Q157" i="19"/>
  <c r="Q158" i="19"/>
  <c r="Q462" i="19" s="1"/>
  <c r="Q217" i="19"/>
  <c r="Q218" i="19"/>
  <c r="Q219" i="19"/>
  <c r="Q221" i="19"/>
  <c r="Q222" i="19"/>
  <c r="Q264" i="19"/>
  <c r="Q265" i="19"/>
  <c r="Q266" i="19"/>
  <c r="Q268" i="19"/>
  <c r="Q269" i="19"/>
  <c r="Q270" i="19"/>
  <c r="D463" i="19"/>
  <c r="J463" i="19"/>
  <c r="L463" i="19"/>
  <c r="N463" i="19"/>
  <c r="Q328" i="19"/>
  <c r="Q329" i="19"/>
  <c r="Q330" i="19"/>
  <c r="Q331" i="19"/>
  <c r="Q332" i="19"/>
  <c r="Q333" i="19"/>
  <c r="Q334" i="19"/>
  <c r="J495" i="19"/>
  <c r="L495" i="19"/>
  <c r="N495" i="19"/>
  <c r="G527" i="19"/>
  <c r="Q376" i="19"/>
  <c r="I520" i="19"/>
  <c r="Q377" i="19"/>
  <c r="I521" i="19"/>
  <c r="Q378" i="19"/>
  <c r="I522" i="19"/>
  <c r="Q380" i="19"/>
  <c r="Q524" i="19" s="1"/>
  <c r="I524" i="19"/>
  <c r="Q381" i="19"/>
  <c r="Q382" i="19"/>
  <c r="Q526" i="19" s="1"/>
  <c r="I526" i="19"/>
  <c r="C527" i="19"/>
  <c r="E527" i="19"/>
  <c r="H527" i="19"/>
  <c r="K527" i="19"/>
  <c r="M527" i="19"/>
  <c r="O527" i="19"/>
  <c r="D543" i="19"/>
  <c r="J543" i="19"/>
  <c r="L543" i="19"/>
  <c r="N543" i="19"/>
  <c r="G559" i="19"/>
  <c r="Q408" i="19"/>
  <c r="I552" i="19"/>
  <c r="Q410" i="19"/>
  <c r="I554" i="19"/>
  <c r="Q411" i="19"/>
  <c r="Q412" i="19"/>
  <c r="Q414" i="19"/>
  <c r="I558" i="19"/>
  <c r="C559" i="19"/>
  <c r="L559" i="19"/>
  <c r="N559" i="19"/>
  <c r="Q424" i="19"/>
  <c r="Q425" i="19"/>
  <c r="F463" i="19"/>
  <c r="H463" i="19"/>
  <c r="C463" i="19"/>
  <c r="E463" i="19"/>
  <c r="K463" i="19"/>
  <c r="M463" i="19"/>
  <c r="O463" i="19"/>
  <c r="G495" i="19"/>
  <c r="Q344" i="19"/>
  <c r="I488" i="19"/>
  <c r="Q345" i="19"/>
  <c r="I489" i="19"/>
  <c r="Q346" i="19"/>
  <c r="I490" i="19"/>
  <c r="Q347" i="19"/>
  <c r="I491" i="19"/>
  <c r="Q348" i="19"/>
  <c r="I492" i="19"/>
  <c r="Q349" i="19"/>
  <c r="I493" i="19"/>
  <c r="Q350" i="19"/>
  <c r="I494" i="19"/>
  <c r="H495" i="19"/>
  <c r="K495" i="19"/>
  <c r="M495" i="19"/>
  <c r="O495" i="19"/>
  <c r="D527" i="19"/>
  <c r="F527" i="19"/>
  <c r="J527" i="19"/>
  <c r="L527" i="19"/>
  <c r="N527" i="19"/>
  <c r="P543" i="19"/>
  <c r="C543" i="19"/>
  <c r="E543" i="19"/>
  <c r="K543" i="19"/>
  <c r="M543" i="19"/>
  <c r="O543" i="19"/>
  <c r="K559" i="19"/>
  <c r="M559" i="19"/>
  <c r="O559" i="19"/>
  <c r="Q426" i="19"/>
  <c r="Q427" i="19"/>
  <c r="Q428" i="19"/>
  <c r="Q429" i="19"/>
  <c r="Q430" i="19"/>
  <c r="I509" i="19"/>
  <c r="Q509" i="19" s="1"/>
  <c r="I510" i="19"/>
  <c r="Q510" i="19" s="1"/>
  <c r="G255" i="19"/>
  <c r="G543" i="19" s="1"/>
  <c r="F367" i="19"/>
  <c r="I398" i="19"/>
  <c r="I397" i="19"/>
  <c r="I396" i="19"/>
  <c r="I395" i="19"/>
  <c r="I394" i="19"/>
  <c r="H399" i="19"/>
  <c r="H543" i="19" s="1"/>
  <c r="I393" i="19"/>
  <c r="I392" i="19"/>
  <c r="F415" i="19"/>
  <c r="F559" i="19" s="1"/>
  <c r="G431" i="19"/>
  <c r="G479" i="19"/>
  <c r="F575" i="19"/>
  <c r="I462" i="19"/>
  <c r="I461" i="19"/>
  <c r="I460" i="19"/>
  <c r="I458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Q456" i="19" l="1"/>
  <c r="Q521" i="19"/>
  <c r="I555" i="19"/>
  <c r="F543" i="19"/>
  <c r="I456" i="19"/>
  <c r="I459" i="19"/>
  <c r="Q493" i="19"/>
  <c r="Q491" i="19"/>
  <c r="Q489" i="19"/>
  <c r="Q379" i="19"/>
  <c r="Q523" i="19" s="1"/>
  <c r="Q522" i="19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43" i="19"/>
  <c r="Q299" i="19"/>
  <c r="Q443" i="19" s="1"/>
  <c r="I439" i="19"/>
  <c r="Q295" i="19"/>
  <c r="I303" i="19"/>
  <c r="I442" i="19"/>
  <c r="Q298" i="19"/>
  <c r="Q442" i="19" s="1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525" i="19"/>
  <c r="Q460" i="19"/>
  <c r="P463" i="19"/>
  <c r="Q494" i="19"/>
  <c r="Q492" i="19"/>
  <c r="Q490" i="19"/>
  <c r="Q488" i="19"/>
  <c r="Q558" i="19"/>
  <c r="Q461" i="19"/>
  <c r="Q459" i="19"/>
  <c r="Q557" i="19"/>
  <c r="Q554" i="19"/>
  <c r="Q552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I447" i="19" s="1"/>
  <c r="Q151" i="19"/>
  <c r="I441" i="19" l="1"/>
  <c r="Q319" i="19"/>
  <c r="Q455" i="19"/>
  <c r="Q439" i="19"/>
  <c r="Q303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111" i="6"/>
  <c r="C116" i="5"/>
  <c r="C83" i="5"/>
  <c r="E116" i="9"/>
  <c r="F116" i="9"/>
  <c r="G116" i="9"/>
  <c r="H116" i="9"/>
  <c r="I116" i="9"/>
  <c r="J116" i="9"/>
  <c r="K116" i="9"/>
  <c r="L116" i="9"/>
  <c r="M116" i="9"/>
  <c r="N116" i="9"/>
  <c r="D116" i="9"/>
  <c r="E50" i="4"/>
  <c r="F50" i="4"/>
  <c r="G50" i="4"/>
  <c r="I50" i="4"/>
  <c r="J50" i="4"/>
  <c r="K50" i="4"/>
  <c r="M50" i="4"/>
  <c r="N50" i="4"/>
  <c r="D37" i="10"/>
  <c r="D38" i="10"/>
  <c r="O45" i="4"/>
  <c r="D39" i="10" s="1"/>
  <c r="D40" i="10"/>
  <c r="O47" i="4"/>
  <c r="D41" i="10" s="1"/>
  <c r="O48" i="4"/>
  <c r="D42" i="10" s="1"/>
  <c r="D43" i="10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56" i="19"/>
  <c r="G56" i="19"/>
  <c r="M106" i="20" s="1"/>
  <c r="H56" i="19"/>
  <c r="O106" i="20" s="1"/>
  <c r="F57" i="19"/>
  <c r="G57" i="19"/>
  <c r="M107" i="20" s="1"/>
  <c r="H57" i="19"/>
  <c r="O107" i="20" s="1"/>
  <c r="F58" i="19"/>
  <c r="G58" i="19"/>
  <c r="M108" i="20" s="1"/>
  <c r="H58" i="19"/>
  <c r="O108" i="20" s="1"/>
  <c r="F59" i="19"/>
  <c r="G59" i="19"/>
  <c r="M109" i="20" s="1"/>
  <c r="H59" i="19"/>
  <c r="O109" i="20" s="1"/>
  <c r="F60" i="19"/>
  <c r="G60" i="19"/>
  <c r="M110" i="20" s="1"/>
  <c r="H60" i="19"/>
  <c r="O110" i="20" s="1"/>
  <c r="F61" i="19"/>
  <c r="G61" i="19"/>
  <c r="M111" i="20" s="1"/>
  <c r="H61" i="19"/>
  <c r="O111" i="20" s="1"/>
  <c r="F62" i="19"/>
  <c r="G62" i="19"/>
  <c r="M112" i="20" s="1"/>
  <c r="H62" i="19"/>
  <c r="O112" i="20" s="1"/>
  <c r="G55" i="19"/>
  <c r="M105" i="20" s="1"/>
  <c r="H55" i="19"/>
  <c r="O105" i="20" s="1"/>
  <c r="F55" i="19"/>
  <c r="F40" i="19"/>
  <c r="G40" i="19"/>
  <c r="H40" i="19"/>
  <c r="F41" i="19"/>
  <c r="G41" i="19"/>
  <c r="H41" i="19"/>
  <c r="F42" i="19"/>
  <c r="G42" i="19"/>
  <c r="H42" i="19"/>
  <c r="F43" i="19"/>
  <c r="G43" i="19"/>
  <c r="H43" i="19"/>
  <c r="F44" i="19"/>
  <c r="G44" i="19"/>
  <c r="H44" i="19"/>
  <c r="F45" i="19"/>
  <c r="G45" i="19"/>
  <c r="H45" i="19"/>
  <c r="F46" i="19"/>
  <c r="G46" i="19"/>
  <c r="H46" i="19"/>
  <c r="G39" i="19"/>
  <c r="H39" i="19"/>
  <c r="F39" i="19"/>
  <c r="F24" i="19"/>
  <c r="F8" i="19" s="1"/>
  <c r="G24" i="19"/>
  <c r="H24" i="19"/>
  <c r="F25" i="19"/>
  <c r="G25" i="19"/>
  <c r="G9" i="19" s="1"/>
  <c r="H25" i="19"/>
  <c r="F26" i="19"/>
  <c r="F10" i="19" s="1"/>
  <c r="G26" i="19"/>
  <c r="H26" i="19"/>
  <c r="F27" i="19"/>
  <c r="G27" i="19"/>
  <c r="G11" i="19" s="1"/>
  <c r="H27" i="19"/>
  <c r="F28" i="19"/>
  <c r="F12" i="19" s="1"/>
  <c r="G28" i="19"/>
  <c r="G12" i="19" s="1"/>
  <c r="H28" i="19"/>
  <c r="F29" i="19"/>
  <c r="G29" i="19"/>
  <c r="G13" i="19" s="1"/>
  <c r="H29" i="19"/>
  <c r="F30" i="19"/>
  <c r="F14" i="19" s="1"/>
  <c r="G30" i="19"/>
  <c r="H30" i="19"/>
  <c r="F11" i="19"/>
  <c r="G23" i="19"/>
  <c r="H23" i="19"/>
  <c r="F23" i="19"/>
  <c r="C7" i="19"/>
  <c r="O43" i="23" l="1"/>
  <c r="O41" i="22"/>
  <c r="O49" i="23"/>
  <c r="O47" i="22"/>
  <c r="O45" i="20"/>
  <c r="O12" i="20" s="1"/>
  <c r="O47" i="23"/>
  <c r="O45" i="22"/>
  <c r="O45" i="23"/>
  <c r="O43" i="22"/>
  <c r="O50" i="23"/>
  <c r="O48" i="22"/>
  <c r="O48" i="23"/>
  <c r="O46" i="22"/>
  <c r="O46" i="23"/>
  <c r="O44" i="22"/>
  <c r="O44" i="23"/>
  <c r="O42" i="22"/>
  <c r="Q463" i="19"/>
  <c r="Q447" i="19"/>
  <c r="D36" i="10"/>
  <c r="F7" i="19"/>
  <c r="G8" i="19"/>
  <c r="H14" i="19"/>
  <c r="O48" i="20"/>
  <c r="O15" i="20" s="1"/>
  <c r="H13" i="19"/>
  <c r="O47" i="20"/>
  <c r="O14" i="20" s="1"/>
  <c r="H12" i="19"/>
  <c r="O46" i="20"/>
  <c r="O13" i="20" s="1"/>
  <c r="H10" i="19"/>
  <c r="O44" i="20"/>
  <c r="O11" i="20" s="1"/>
  <c r="H9" i="19"/>
  <c r="O43" i="20"/>
  <c r="O10" i="20" s="1"/>
  <c r="H8" i="19"/>
  <c r="O42" i="20"/>
  <c r="O9" i="20" s="1"/>
  <c r="H7" i="19"/>
  <c r="O41" i="20"/>
  <c r="O8" i="20" s="1"/>
  <c r="Q8" i="20" s="1"/>
  <c r="R8" i="20" s="1"/>
  <c r="G7" i="19"/>
  <c r="G14" i="19"/>
  <c r="F13" i="19"/>
  <c r="H11" i="19"/>
  <c r="G10" i="19"/>
  <c r="F9" i="19"/>
  <c r="P116" i="4" l="1"/>
  <c r="O11" i="23"/>
  <c r="Q11" i="23" s="1"/>
  <c r="S25" i="23" s="1"/>
  <c r="Q44" i="23"/>
  <c r="S58" i="23" s="1"/>
  <c r="O13" i="23"/>
  <c r="Q13" i="23" s="1"/>
  <c r="S27" i="23" s="1"/>
  <c r="Q46" i="23"/>
  <c r="S60" i="23" s="1"/>
  <c r="O15" i="23"/>
  <c r="Q15" i="23" s="1"/>
  <c r="S29" i="23" s="1"/>
  <c r="Q48" i="23"/>
  <c r="S62" i="23" s="1"/>
  <c r="O17" i="23"/>
  <c r="Q17" i="23" s="1"/>
  <c r="S31" i="23" s="1"/>
  <c r="Q50" i="23"/>
  <c r="S64" i="23" s="1"/>
  <c r="O12" i="23"/>
  <c r="Q12" i="23" s="1"/>
  <c r="S26" i="23" s="1"/>
  <c r="Q45" i="23"/>
  <c r="S59" i="23" s="1"/>
  <c r="O14" i="23"/>
  <c r="Q14" i="23" s="1"/>
  <c r="S28" i="23" s="1"/>
  <c r="Q47" i="23"/>
  <c r="S61" i="23" s="1"/>
  <c r="O14" i="22"/>
  <c r="Q14" i="22" s="1"/>
  <c r="Q47" i="22"/>
  <c r="S61" i="22" s="1"/>
  <c r="O8" i="22"/>
  <c r="O49" i="22"/>
  <c r="Q41" i="22"/>
  <c r="Q42" i="22"/>
  <c r="S56" i="22" s="1"/>
  <c r="O9" i="22"/>
  <c r="Q9" i="22" s="1"/>
  <c r="O11" i="22"/>
  <c r="Q11" i="22" s="1"/>
  <c r="Q44" i="22"/>
  <c r="S58" i="22" s="1"/>
  <c r="Q46" i="22"/>
  <c r="S60" i="22" s="1"/>
  <c r="O13" i="22"/>
  <c r="Q13" i="22" s="1"/>
  <c r="O15" i="22"/>
  <c r="Q15" i="22" s="1"/>
  <c r="Q48" i="22"/>
  <c r="S62" i="22" s="1"/>
  <c r="O10" i="22"/>
  <c r="Q10" i="22" s="1"/>
  <c r="Q43" i="22"/>
  <c r="S57" i="22" s="1"/>
  <c r="O12" i="22"/>
  <c r="Q12" i="22" s="1"/>
  <c r="Q45" i="22"/>
  <c r="S59" i="22" s="1"/>
  <c r="O16" i="23"/>
  <c r="Q16" i="23" s="1"/>
  <c r="S30" i="23" s="1"/>
  <c r="Q49" i="23"/>
  <c r="S63" i="23" s="1"/>
  <c r="O10" i="23"/>
  <c r="O51" i="23"/>
  <c r="Q43" i="23"/>
  <c r="V8" i="20"/>
  <c r="S16" i="18"/>
  <c r="S9" i="18"/>
  <c r="S10" i="18"/>
  <c r="S11" i="18"/>
  <c r="S12" i="18"/>
  <c r="S13" i="18"/>
  <c r="S14" i="18"/>
  <c r="S15" i="18"/>
  <c r="S8" i="18"/>
  <c r="V9" i="20"/>
  <c r="V10" i="20"/>
  <c r="V16" i="20" s="1"/>
  <c r="V11" i="20"/>
  <c r="V12" i="20"/>
  <c r="V13" i="20"/>
  <c r="V14" i="20"/>
  <c r="V15" i="20"/>
  <c r="S57" i="23" l="1"/>
  <c r="S65" i="23" s="1"/>
  <c r="T65" i="23" s="1"/>
  <c r="Q51" i="23"/>
  <c r="Q10" i="23"/>
  <c r="O18" i="23"/>
  <c r="AA30" i="23"/>
  <c r="Z30" i="23"/>
  <c r="T30" i="23"/>
  <c r="U12" i="22"/>
  <c r="S26" i="22"/>
  <c r="X26" i="22" s="1"/>
  <c r="U10" i="22"/>
  <c r="S24" i="22"/>
  <c r="X24" i="22" s="1"/>
  <c r="U15" i="22"/>
  <c r="S29" i="22"/>
  <c r="X29" i="22" s="1"/>
  <c r="U11" i="22"/>
  <c r="S25" i="22"/>
  <c r="X25" i="22" s="1"/>
  <c r="U13" i="22"/>
  <c r="S27" i="22"/>
  <c r="X27" i="22" s="1"/>
  <c r="U9" i="22"/>
  <c r="S23" i="22"/>
  <c r="X23" i="22" s="1"/>
  <c r="S55" i="22"/>
  <c r="S63" i="22" s="1"/>
  <c r="U63" i="22" s="1"/>
  <c r="Q49" i="22"/>
  <c r="O16" i="22"/>
  <c r="Q8" i="22"/>
  <c r="U14" i="22"/>
  <c r="S28" i="22"/>
  <c r="X28" i="22" s="1"/>
  <c r="T28" i="23"/>
  <c r="Z28" i="23"/>
  <c r="AA28" i="23"/>
  <c r="T26" i="23"/>
  <c r="Z26" i="23"/>
  <c r="AA26" i="23"/>
  <c r="AA31" i="23"/>
  <c r="Z31" i="23"/>
  <c r="T31" i="23"/>
  <c r="Z29" i="23"/>
  <c r="T29" i="23"/>
  <c r="AA29" i="23"/>
  <c r="AA27" i="23"/>
  <c r="T27" i="23"/>
  <c r="Z27" i="23"/>
  <c r="T25" i="23"/>
  <c r="Z25" i="23"/>
  <c r="AA25" i="23"/>
  <c r="M116" i="4"/>
  <c r="K116" i="4"/>
  <c r="G116" i="4"/>
  <c r="H116" i="4"/>
  <c r="I116" i="4"/>
  <c r="L116" i="4"/>
  <c r="N116" i="4"/>
  <c r="O109" i="4"/>
  <c r="U8" i="22" l="1"/>
  <c r="S22" i="22"/>
  <c r="Q16" i="22"/>
  <c r="U16" i="22" s="1"/>
  <c r="S24" i="23"/>
  <c r="Q18" i="23"/>
  <c r="P117" i="4"/>
  <c r="R9" i="18"/>
  <c r="T24" i="23" l="1"/>
  <c r="T32" i="23" s="1"/>
  <c r="Z24" i="23"/>
  <c r="Z32" i="23" s="1"/>
  <c r="AA24" i="23"/>
  <c r="S32" i="23"/>
  <c r="W32" i="23" s="1"/>
  <c r="X22" i="22"/>
  <c r="X30" i="22" s="1"/>
  <c r="S30" i="22"/>
  <c r="U30" i="22" s="1"/>
  <c r="Q116" i="5"/>
  <c r="P54" i="18" l="1"/>
  <c r="P55" i="18"/>
  <c r="P56" i="18"/>
  <c r="V30" i="20" l="1"/>
  <c r="W16" i="20"/>
  <c r="P10" i="20"/>
  <c r="Q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P126" i="20"/>
  <c r="P125" i="20"/>
  <c r="P124" i="20"/>
  <c r="P123" i="20"/>
  <c r="P122" i="20"/>
  <c r="P121" i="20"/>
  <c r="P120" i="20"/>
  <c r="P127" i="20" s="1"/>
  <c r="P119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Q112" i="20"/>
  <c r="S126" i="20" s="1"/>
  <c r="P112" i="20"/>
  <c r="R126" i="20" s="1"/>
  <c r="Q111" i="20"/>
  <c r="S125" i="20" s="1"/>
  <c r="P111" i="20"/>
  <c r="R125" i="20" s="1"/>
  <c r="Q110" i="20"/>
  <c r="S124" i="20" s="1"/>
  <c r="P110" i="20"/>
  <c r="R124" i="20" s="1"/>
  <c r="Q109" i="20"/>
  <c r="S123" i="20" s="1"/>
  <c r="P109" i="20"/>
  <c r="R123" i="20" s="1"/>
  <c r="Q108" i="20"/>
  <c r="S122" i="20" s="1"/>
  <c r="P108" i="20"/>
  <c r="R122" i="20" s="1"/>
  <c r="Q107" i="20"/>
  <c r="S121" i="20" s="1"/>
  <c r="P107" i="20"/>
  <c r="R121" i="20" s="1"/>
  <c r="Z106" i="20"/>
  <c r="X106" i="20"/>
  <c r="Q106" i="20"/>
  <c r="S120" i="20" s="1"/>
  <c r="P106" i="20"/>
  <c r="R120" i="20" s="1"/>
  <c r="Q105" i="20"/>
  <c r="S119" i="20" s="1"/>
  <c r="P105" i="20"/>
  <c r="P113" i="20" s="1"/>
  <c r="Q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P94" i="20"/>
  <c r="P93" i="20"/>
  <c r="P92" i="20"/>
  <c r="P91" i="20"/>
  <c r="P90" i="20"/>
  <c r="P89" i="20"/>
  <c r="P88" i="20"/>
  <c r="P95" i="20" s="1"/>
  <c r="P87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Q80" i="20"/>
  <c r="S94" i="20" s="1"/>
  <c r="P80" i="20"/>
  <c r="R94" i="20" s="1"/>
  <c r="Q79" i="20"/>
  <c r="S93" i="20" s="1"/>
  <c r="P79" i="20"/>
  <c r="R93" i="20" s="1"/>
  <c r="Q78" i="20"/>
  <c r="S92" i="20" s="1"/>
  <c r="P78" i="20"/>
  <c r="R92" i="20" s="1"/>
  <c r="Q77" i="20"/>
  <c r="S91" i="20" s="1"/>
  <c r="P77" i="20"/>
  <c r="R91" i="20" s="1"/>
  <c r="Q76" i="20"/>
  <c r="S90" i="20" s="1"/>
  <c r="P76" i="20"/>
  <c r="R90" i="20" s="1"/>
  <c r="Q75" i="20"/>
  <c r="S89" i="20" s="1"/>
  <c r="P75" i="20"/>
  <c r="R89" i="20" s="1"/>
  <c r="Q74" i="20"/>
  <c r="S88" i="20" s="1"/>
  <c r="P74" i="20"/>
  <c r="R88" i="20" s="1"/>
  <c r="Q73" i="20"/>
  <c r="S87" i="20" s="1"/>
  <c r="P73" i="20"/>
  <c r="P81" i="20" s="1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P62" i="20"/>
  <c r="P61" i="20"/>
  <c r="P60" i="20"/>
  <c r="P59" i="20"/>
  <c r="P58" i="20"/>
  <c r="P57" i="20"/>
  <c r="P56" i="20"/>
  <c r="P63" i="20" s="1"/>
  <c r="P55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Q48" i="20"/>
  <c r="S62" i="20" s="1"/>
  <c r="P48" i="20"/>
  <c r="R62" i="20" s="1"/>
  <c r="Q47" i="20"/>
  <c r="S61" i="20" s="1"/>
  <c r="P47" i="20"/>
  <c r="R61" i="20" s="1"/>
  <c r="Q46" i="20"/>
  <c r="S60" i="20" s="1"/>
  <c r="P46" i="20"/>
  <c r="R60" i="20" s="1"/>
  <c r="Q45" i="20"/>
  <c r="S59" i="20" s="1"/>
  <c r="P45" i="20"/>
  <c r="R59" i="20" s="1"/>
  <c r="Q44" i="20"/>
  <c r="S58" i="20" s="1"/>
  <c r="P44" i="20"/>
  <c r="R58" i="20" s="1"/>
  <c r="Q43" i="20"/>
  <c r="S57" i="20" s="1"/>
  <c r="P43" i="20"/>
  <c r="R57" i="20" s="1"/>
  <c r="Q42" i="20"/>
  <c r="S56" i="20" s="1"/>
  <c r="P42" i="20"/>
  <c r="R56" i="20" s="1"/>
  <c r="Q41" i="20"/>
  <c r="S55" i="20" s="1"/>
  <c r="P41" i="20"/>
  <c r="P49" i="20" s="1"/>
  <c r="Q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P29" i="20"/>
  <c r="P28" i="20"/>
  <c r="P27" i="20"/>
  <c r="P26" i="20"/>
  <c r="P25" i="20"/>
  <c r="P24" i="20"/>
  <c r="R24" i="20" s="1"/>
  <c r="P23" i="20"/>
  <c r="AB16" i="20"/>
  <c r="Z16" i="20"/>
  <c r="X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C15" i="20"/>
  <c r="AA15" i="20"/>
  <c r="Y15" i="20"/>
  <c r="Q15" i="20"/>
  <c r="P15" i="20"/>
  <c r="AC14" i="20"/>
  <c r="AA14" i="20"/>
  <c r="Y14" i="20"/>
  <c r="Q14" i="20"/>
  <c r="P14" i="20"/>
  <c r="R28" i="20" s="1"/>
  <c r="AC13" i="20"/>
  <c r="AA13" i="20"/>
  <c r="Y13" i="20"/>
  <c r="Q13" i="20"/>
  <c r="P13" i="20"/>
  <c r="AC12" i="20"/>
  <c r="AA12" i="20"/>
  <c r="Y12" i="20"/>
  <c r="Q12" i="20"/>
  <c r="P12" i="20"/>
  <c r="AC11" i="20"/>
  <c r="AA11" i="20"/>
  <c r="Y11" i="20"/>
  <c r="Q11" i="20"/>
  <c r="P11" i="20"/>
  <c r="AC10" i="20"/>
  <c r="AA10" i="20"/>
  <c r="Y10" i="20"/>
  <c r="Q10" i="20"/>
  <c r="AC9" i="20"/>
  <c r="AA9" i="20"/>
  <c r="Y9" i="20"/>
  <c r="Q9" i="20"/>
  <c r="P9" i="20"/>
  <c r="AC8" i="20"/>
  <c r="AA8" i="20"/>
  <c r="Y8" i="20"/>
  <c r="S22" i="20"/>
  <c r="T22" i="20" s="1"/>
  <c r="P8" i="20"/>
  <c r="S23" i="20" l="1"/>
  <c r="T23" i="20" s="1"/>
  <c r="R9" i="20"/>
  <c r="S28" i="20"/>
  <c r="T28" i="20" s="1"/>
  <c r="R14" i="20"/>
  <c r="S25" i="20"/>
  <c r="T25" i="20" s="1"/>
  <c r="R11" i="20"/>
  <c r="S27" i="20"/>
  <c r="T27" i="20" s="1"/>
  <c r="R13" i="20"/>
  <c r="S29" i="20"/>
  <c r="T29" i="20" s="1"/>
  <c r="R15" i="20"/>
  <c r="S24" i="20"/>
  <c r="R10" i="20"/>
  <c r="S26" i="20"/>
  <c r="T26" i="20" s="1"/>
  <c r="R12" i="20"/>
  <c r="X28" i="20"/>
  <c r="R23" i="20"/>
  <c r="R25" i="20"/>
  <c r="X25" i="20" s="1"/>
  <c r="R27" i="20"/>
  <c r="S127" i="20"/>
  <c r="Q113" i="20"/>
  <c r="S95" i="20"/>
  <c r="Q81" i="20"/>
  <c r="Y16" i="20"/>
  <c r="AC16" i="20"/>
  <c r="AA16" i="20"/>
  <c r="S63" i="20"/>
  <c r="Q49" i="20"/>
  <c r="R29" i="20"/>
  <c r="R26" i="20"/>
  <c r="P30" i="20"/>
  <c r="P32" i="20" s="1"/>
  <c r="P33" i="20" s="1"/>
  <c r="P16" i="20"/>
  <c r="Q16" i="20"/>
  <c r="R22" i="20"/>
  <c r="X22" i="20" s="1"/>
  <c r="R63" i="20"/>
  <c r="R87" i="20"/>
  <c r="R95" i="20" s="1"/>
  <c r="R119" i="20"/>
  <c r="R127" i="20" s="1"/>
  <c r="Q104" i="18"/>
  <c r="W105" i="18"/>
  <c r="Y105" i="18"/>
  <c r="Q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P125" i="18"/>
  <c r="P124" i="18"/>
  <c r="P123" i="18"/>
  <c r="P122" i="18"/>
  <c r="P121" i="18"/>
  <c r="P120" i="18"/>
  <c r="P119" i="18"/>
  <c r="P118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Q111" i="18"/>
  <c r="S125" i="18" s="1"/>
  <c r="P111" i="18"/>
  <c r="R125" i="18" s="1"/>
  <c r="Q110" i="18"/>
  <c r="S124" i="18" s="1"/>
  <c r="P110" i="18"/>
  <c r="R124" i="18" s="1"/>
  <c r="Q109" i="18"/>
  <c r="S123" i="18" s="1"/>
  <c r="P109" i="18"/>
  <c r="R123" i="18" s="1"/>
  <c r="Q108" i="18"/>
  <c r="S122" i="18" s="1"/>
  <c r="P108" i="18"/>
  <c r="R122" i="18" s="1"/>
  <c r="Q107" i="18"/>
  <c r="S121" i="18" s="1"/>
  <c r="P107" i="18"/>
  <c r="R121" i="18" s="1"/>
  <c r="Q106" i="18"/>
  <c r="S120" i="18" s="1"/>
  <c r="P106" i="18"/>
  <c r="R120" i="18" s="1"/>
  <c r="Q105" i="18"/>
  <c r="S119" i="18" s="1"/>
  <c r="P105" i="18"/>
  <c r="R119" i="18" s="1"/>
  <c r="S118" i="18"/>
  <c r="S126" i="18" s="1"/>
  <c r="P104" i="18"/>
  <c r="P112" i="18" s="1"/>
  <c r="Q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P93" i="18"/>
  <c r="P92" i="18"/>
  <c r="P91" i="18"/>
  <c r="P90" i="18"/>
  <c r="P89" i="18"/>
  <c r="P88" i="18"/>
  <c r="P87" i="18"/>
  <c r="P86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Q79" i="18"/>
  <c r="S93" i="18" s="1"/>
  <c r="P79" i="18"/>
  <c r="R93" i="18" s="1"/>
  <c r="Q78" i="18"/>
  <c r="S92" i="18" s="1"/>
  <c r="P78" i="18"/>
  <c r="R92" i="18" s="1"/>
  <c r="Q77" i="18"/>
  <c r="S91" i="18" s="1"/>
  <c r="P77" i="18"/>
  <c r="R91" i="18" s="1"/>
  <c r="Q76" i="18"/>
  <c r="S90" i="18" s="1"/>
  <c r="P76" i="18"/>
  <c r="R90" i="18" s="1"/>
  <c r="Q75" i="18"/>
  <c r="S89" i="18" s="1"/>
  <c r="P75" i="18"/>
  <c r="R89" i="18" s="1"/>
  <c r="Q74" i="18"/>
  <c r="S88" i="18" s="1"/>
  <c r="P74" i="18"/>
  <c r="R88" i="18" s="1"/>
  <c r="Q73" i="18"/>
  <c r="S87" i="18" s="1"/>
  <c r="P73" i="18"/>
  <c r="R87" i="18" s="1"/>
  <c r="Q72" i="18"/>
  <c r="S86" i="18" s="1"/>
  <c r="S94" i="18" s="1"/>
  <c r="P72" i="18"/>
  <c r="P80" i="18" s="1"/>
  <c r="Q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P61" i="18"/>
  <c r="P60" i="18"/>
  <c r="P59" i="18"/>
  <c r="P58" i="18"/>
  <c r="P57" i="18"/>
  <c r="P62" i="18" s="1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Q47" i="18"/>
  <c r="S61" i="18" s="1"/>
  <c r="P47" i="18"/>
  <c r="Q46" i="18"/>
  <c r="S60" i="18" s="1"/>
  <c r="P46" i="18"/>
  <c r="R60" i="18" s="1"/>
  <c r="Q45" i="18"/>
  <c r="S59" i="18" s="1"/>
  <c r="P45" i="18"/>
  <c r="Q44" i="18"/>
  <c r="S58" i="18" s="1"/>
  <c r="P44" i="18"/>
  <c r="R58" i="18" s="1"/>
  <c r="Q43" i="18"/>
  <c r="S57" i="18" s="1"/>
  <c r="P43" i="18"/>
  <c r="Q42" i="18"/>
  <c r="S56" i="18" s="1"/>
  <c r="P42" i="18"/>
  <c r="R56" i="18" s="1"/>
  <c r="Q41" i="18"/>
  <c r="S55" i="18" s="1"/>
  <c r="P41" i="18"/>
  <c r="R55" i="18" s="1"/>
  <c r="Q40" i="18"/>
  <c r="S54" i="18" s="1"/>
  <c r="P40" i="18"/>
  <c r="Z9" i="18"/>
  <c r="Z10" i="18"/>
  <c r="Z11" i="18"/>
  <c r="Z12" i="18"/>
  <c r="Z13" i="18"/>
  <c r="Z14" i="18"/>
  <c r="Z15" i="18"/>
  <c r="Z8" i="18"/>
  <c r="X9" i="18"/>
  <c r="X10" i="18"/>
  <c r="X11" i="18"/>
  <c r="X12" i="18"/>
  <c r="X13" i="18"/>
  <c r="X14" i="18"/>
  <c r="X15" i="18"/>
  <c r="X8" i="18"/>
  <c r="V9" i="18"/>
  <c r="V10" i="18"/>
  <c r="V11" i="18"/>
  <c r="V12" i="18"/>
  <c r="V13" i="18"/>
  <c r="V14" i="18"/>
  <c r="V15" i="18"/>
  <c r="V8" i="18"/>
  <c r="W16" i="18"/>
  <c r="Y16" i="18"/>
  <c r="U16" i="18"/>
  <c r="P23" i="18"/>
  <c r="P24" i="18"/>
  <c r="P25" i="18"/>
  <c r="P26" i="18"/>
  <c r="P27" i="18"/>
  <c r="P28" i="18"/>
  <c r="P29" i="18"/>
  <c r="Q9" i="18"/>
  <c r="S23" i="18" s="1"/>
  <c r="Q10" i="18"/>
  <c r="S24" i="18" s="1"/>
  <c r="Q11" i="18"/>
  <c r="S25" i="18" s="1"/>
  <c r="Q12" i="18"/>
  <c r="S26" i="18" s="1"/>
  <c r="Q13" i="18"/>
  <c r="S27" i="18" s="1"/>
  <c r="Q14" i="18"/>
  <c r="S28" i="18" s="1"/>
  <c r="Q15" i="18"/>
  <c r="S29" i="18" s="1"/>
  <c r="P9" i="18"/>
  <c r="R23" i="18" s="1"/>
  <c r="P10" i="18"/>
  <c r="R24" i="18" s="1"/>
  <c r="P11" i="18"/>
  <c r="R25" i="18" s="1"/>
  <c r="P12" i="18"/>
  <c r="P13" i="18"/>
  <c r="R27" i="18" s="1"/>
  <c r="P14" i="18"/>
  <c r="R28" i="18" s="1"/>
  <c r="P15" i="18"/>
  <c r="R29" i="18" s="1"/>
  <c r="D30" i="18"/>
  <c r="E30" i="18"/>
  <c r="F30" i="18"/>
  <c r="G30" i="18"/>
  <c r="H30" i="18"/>
  <c r="I30" i="18"/>
  <c r="J30" i="18"/>
  <c r="K30" i="18"/>
  <c r="L30" i="18"/>
  <c r="M30" i="18"/>
  <c r="N30" i="18"/>
  <c r="O30" i="18"/>
  <c r="Q30" i="18"/>
  <c r="P22" i="18"/>
  <c r="Q8" i="18"/>
  <c r="S22" i="18" s="1"/>
  <c r="P8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30" i="18"/>
  <c r="C16" i="18"/>
  <c r="S30" i="20" l="1"/>
  <c r="X29" i="20"/>
  <c r="X27" i="20"/>
  <c r="X23" i="20"/>
  <c r="X26" i="20"/>
  <c r="X24" i="20"/>
  <c r="T24" i="20"/>
  <c r="T30" i="20" s="1"/>
  <c r="R16" i="20"/>
  <c r="Q31" i="20"/>
  <c r="Q32" i="20"/>
  <c r="U63" i="20"/>
  <c r="U127" i="20"/>
  <c r="R57" i="18"/>
  <c r="R59" i="18"/>
  <c r="R61" i="18"/>
  <c r="P48" i="18"/>
  <c r="R54" i="18"/>
  <c r="S62" i="18"/>
  <c r="Q48" i="18"/>
  <c r="R30" i="20"/>
  <c r="P126" i="18"/>
  <c r="Q112" i="18"/>
  <c r="R118" i="18"/>
  <c r="R126" i="18" s="1"/>
  <c r="P94" i="18"/>
  <c r="Q80" i="18"/>
  <c r="R86" i="18"/>
  <c r="R94" i="18" s="1"/>
  <c r="R62" i="18"/>
  <c r="X16" i="18"/>
  <c r="V16" i="18"/>
  <c r="Z16" i="18"/>
  <c r="S30" i="18"/>
  <c r="Q16" i="18"/>
  <c r="R26" i="18"/>
  <c r="P30" i="18"/>
  <c r="P16" i="18"/>
  <c r="R22" i="18"/>
  <c r="U30" i="20" l="1"/>
  <c r="X30" i="20"/>
  <c r="S31" i="20"/>
  <c r="R30" i="18"/>
  <c r="O15" i="19" l="1"/>
  <c r="N15" i="19"/>
  <c r="M15" i="19"/>
  <c r="L15" i="19"/>
  <c r="K15" i="19"/>
  <c r="J15" i="19"/>
  <c r="H15" i="19"/>
  <c r="G15" i="19"/>
  <c r="F15" i="19"/>
  <c r="P14" i="19"/>
  <c r="P13" i="19"/>
  <c r="P12" i="19"/>
  <c r="P11" i="19"/>
  <c r="P10" i="19"/>
  <c r="P9" i="19"/>
  <c r="P8" i="19"/>
  <c r="P7" i="19"/>
  <c r="P15" i="19" l="1"/>
  <c r="N116" i="8"/>
  <c r="P115" i="4" l="1"/>
  <c r="P111" i="4"/>
  <c r="E8" i="19" l="1"/>
  <c r="E9" i="19"/>
  <c r="E10" i="19"/>
  <c r="E11" i="19"/>
  <c r="E12" i="19"/>
  <c r="E13" i="19"/>
  <c r="E14" i="19"/>
  <c r="D8" i="19"/>
  <c r="D9" i="19"/>
  <c r="D10" i="19"/>
  <c r="D11" i="19"/>
  <c r="D12" i="19"/>
  <c r="D13" i="19"/>
  <c r="D14" i="19"/>
  <c r="C8" i="19"/>
  <c r="C9" i="19"/>
  <c r="C10" i="19"/>
  <c r="C11" i="19"/>
  <c r="C12" i="19"/>
  <c r="C13" i="19"/>
  <c r="I13" i="19" s="1"/>
  <c r="Q13" i="19" s="1"/>
  <c r="C14" i="19"/>
  <c r="D7" i="19"/>
  <c r="E7" i="19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I12" i="19"/>
  <c r="Q12" i="19" s="1"/>
  <c r="Q57" i="19"/>
  <c r="I10" i="19"/>
  <c r="Q10" i="19" s="1"/>
  <c r="I8" i="19"/>
  <c r="Q8" i="19" s="1"/>
  <c r="I11" i="19"/>
  <c r="Q11" i="19" s="1"/>
  <c r="I9" i="19"/>
  <c r="Q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I58" i="19"/>
  <c r="Q58" i="19" s="1"/>
  <c r="I56" i="19"/>
  <c r="Q56" i="19" s="1"/>
  <c r="I89" i="19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Q62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8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O75" i="1"/>
  <c r="I15" i="19" l="1"/>
  <c r="Q7" i="19"/>
  <c r="Q15" i="19" s="1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S113" i="5" l="1"/>
  <c r="F116" i="8" l="1"/>
  <c r="G116" i="8"/>
  <c r="G116" i="7"/>
  <c r="E116" i="8" l="1"/>
  <c r="D50" i="9" l="1"/>
  <c r="F50" i="9"/>
  <c r="G50" i="9"/>
  <c r="H50" i="9"/>
  <c r="I50" i="9"/>
  <c r="J50" i="9"/>
  <c r="K50" i="9"/>
  <c r="L50" i="9"/>
  <c r="M50" i="9"/>
  <c r="N50" i="9"/>
  <c r="C50" i="9"/>
  <c r="F123" i="10" l="1"/>
  <c r="F127" i="10"/>
  <c r="F128" i="10"/>
  <c r="F109" i="10"/>
  <c r="F110" i="10"/>
  <c r="F113" i="10"/>
  <c r="F86" i="10"/>
  <c r="F87" i="10"/>
  <c r="F91" i="10"/>
  <c r="F92" i="10"/>
  <c r="F60" i="10"/>
  <c r="F62" i="10"/>
  <c r="F63" i="10"/>
  <c r="F57" i="10"/>
  <c r="O12" i="1" l="1"/>
  <c r="C11" i="10" s="1"/>
  <c r="Q10" i="9" l="1"/>
  <c r="Q11" i="9"/>
  <c r="Q12" i="9"/>
  <c r="Q13" i="9"/>
  <c r="Q14" i="9"/>
  <c r="Q15" i="9"/>
  <c r="Q16" i="9"/>
  <c r="Q9" i="9"/>
  <c r="Q76" i="8" l="1"/>
  <c r="Q77" i="8"/>
  <c r="Q78" i="8"/>
  <c r="Q79" i="8"/>
  <c r="Q80" i="8"/>
  <c r="Q81" i="8"/>
  <c r="Q82" i="8"/>
  <c r="Q75" i="8"/>
  <c r="Q43" i="8"/>
  <c r="Q44" i="8"/>
  <c r="Q45" i="8"/>
  <c r="Q46" i="8"/>
  <c r="Q47" i="8"/>
  <c r="Q48" i="8"/>
  <c r="Q49" i="8"/>
  <c r="Q42" i="8"/>
  <c r="Q10" i="8"/>
  <c r="Q11" i="8"/>
  <c r="Q12" i="8"/>
  <c r="Q13" i="8"/>
  <c r="Q14" i="8"/>
  <c r="Q15" i="8"/>
  <c r="Q16" i="8"/>
  <c r="Q9" i="8"/>
  <c r="Q76" i="7"/>
  <c r="Q77" i="7"/>
  <c r="Q78" i="7"/>
  <c r="Q79" i="7"/>
  <c r="Q80" i="7"/>
  <c r="Q81" i="7"/>
  <c r="Q82" i="7"/>
  <c r="Q75" i="7"/>
  <c r="Q43" i="7"/>
  <c r="Q44" i="7"/>
  <c r="Q45" i="7"/>
  <c r="Q46" i="7"/>
  <c r="Q47" i="7"/>
  <c r="Q48" i="7"/>
  <c r="Q49" i="7"/>
  <c r="Q42" i="7"/>
  <c r="Q10" i="7"/>
  <c r="Q11" i="7"/>
  <c r="Q12" i="7"/>
  <c r="Q13" i="7"/>
  <c r="Q14" i="7"/>
  <c r="Q15" i="7"/>
  <c r="Q16" i="7"/>
  <c r="Q9" i="7"/>
  <c r="Q76" i="6"/>
  <c r="Q77" i="6"/>
  <c r="Q78" i="6"/>
  <c r="Q79" i="6"/>
  <c r="Q80" i="6"/>
  <c r="Q81" i="6"/>
  <c r="Q82" i="6"/>
  <c r="Q42" i="6"/>
  <c r="Q43" i="6"/>
  <c r="Q44" i="6"/>
  <c r="Q45" i="6"/>
  <c r="Q46" i="6"/>
  <c r="Q47" i="6"/>
  <c r="Q48" i="6"/>
  <c r="Q41" i="6"/>
  <c r="Q10" i="6"/>
  <c r="Q11" i="6"/>
  <c r="Q12" i="6"/>
  <c r="Q13" i="6"/>
  <c r="Q14" i="6"/>
  <c r="Q15" i="6"/>
  <c r="Q16" i="6"/>
  <c r="Q9" i="6"/>
  <c r="Q76" i="5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H83" i="5" l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E116" i="4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64" i="10" s="1"/>
  <c r="O46" i="9" l="1"/>
  <c r="D61" i="10" s="1"/>
  <c r="O44" i="9"/>
  <c r="D59" i="10" s="1"/>
  <c r="O43" i="9"/>
  <c r="D58" i="10" s="1"/>
  <c r="O42" i="9"/>
  <c r="D57" i="10" s="1"/>
  <c r="N31" i="2" l="1"/>
  <c r="M31" i="2"/>
  <c r="L31" i="2"/>
  <c r="K31" i="2"/>
  <c r="J31" i="2"/>
  <c r="I31" i="2"/>
  <c r="H31" i="2"/>
  <c r="G31" i="2"/>
  <c r="F31" i="2"/>
  <c r="E31" i="2"/>
  <c r="D31" i="2"/>
  <c r="C31" i="2"/>
  <c r="O30" i="2"/>
  <c r="O29" i="2"/>
  <c r="O28" i="2"/>
  <c r="O27" i="2"/>
  <c r="O26" i="2"/>
  <c r="O25" i="2"/>
  <c r="O24" i="2"/>
  <c r="O23" i="2"/>
  <c r="O31" i="2" l="1"/>
  <c r="O75" i="8" l="1"/>
  <c r="E122" i="10" s="1"/>
  <c r="O76" i="8"/>
  <c r="E123" i="10" s="1"/>
  <c r="O77" i="8"/>
  <c r="E124" i="10" s="1"/>
  <c r="O78" i="8"/>
  <c r="E125" i="10" s="1"/>
  <c r="O79" i="8"/>
  <c r="E126" i="10" s="1"/>
  <c r="O80" i="8"/>
  <c r="E127" i="10" s="1"/>
  <c r="O81" i="8"/>
  <c r="E128" i="10" s="1"/>
  <c r="O82" i="8"/>
  <c r="E129" i="10" s="1"/>
  <c r="O75" i="5"/>
  <c r="E71" i="10" s="1"/>
  <c r="O76" i="5"/>
  <c r="E72" i="10" s="1"/>
  <c r="O77" i="5"/>
  <c r="E73" i="10" s="1"/>
  <c r="O78" i="5"/>
  <c r="E74" i="10" s="1"/>
  <c r="O79" i="5"/>
  <c r="E75" i="10" s="1"/>
  <c r="O80" i="5"/>
  <c r="E76" i="10" s="1"/>
  <c r="O81" i="5"/>
  <c r="E77" i="10" s="1"/>
  <c r="O82" i="5"/>
  <c r="E78" i="10" s="1"/>
  <c r="E130" i="10" l="1"/>
  <c r="E79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O75" i="9"/>
  <c r="E57" i="10" s="1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64" i="10" s="1"/>
  <c r="O15" i="9"/>
  <c r="C63" i="10" s="1"/>
  <c r="O14" i="9"/>
  <c r="C62" i="10" s="1"/>
  <c r="O13" i="9"/>
  <c r="C61" i="10" s="1"/>
  <c r="O12" i="9"/>
  <c r="C60" i="10" s="1"/>
  <c r="O11" i="9"/>
  <c r="C59" i="10" s="1"/>
  <c r="O10" i="9"/>
  <c r="C58" i="10" s="1"/>
  <c r="O9" i="9"/>
  <c r="C57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D129" i="10" s="1"/>
  <c r="O48" i="8"/>
  <c r="D128" i="10" s="1"/>
  <c r="O47" i="8"/>
  <c r="D127" i="10" s="1"/>
  <c r="O46" i="8"/>
  <c r="D126" i="10" s="1"/>
  <c r="O45" i="8"/>
  <c r="D125" i="10" s="1"/>
  <c r="O44" i="8"/>
  <c r="D124" i="10" s="1"/>
  <c r="O43" i="8"/>
  <c r="D123" i="10" s="1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29" i="10" s="1"/>
  <c r="O15" i="8"/>
  <c r="C128" i="10" s="1"/>
  <c r="O14" i="8"/>
  <c r="C127" i="10" s="1"/>
  <c r="O13" i="8"/>
  <c r="C126" i="10" s="1"/>
  <c r="O12" i="8"/>
  <c r="C125" i="10" s="1"/>
  <c r="O11" i="8"/>
  <c r="C124" i="10" s="1"/>
  <c r="O10" i="8"/>
  <c r="C123" i="10" s="1"/>
  <c r="O9" i="8"/>
  <c r="N83" i="7"/>
  <c r="M83" i="7"/>
  <c r="L83" i="7"/>
  <c r="K83" i="7"/>
  <c r="J83" i="7"/>
  <c r="I83" i="7"/>
  <c r="H83" i="7"/>
  <c r="G83" i="7"/>
  <c r="F83" i="7"/>
  <c r="E83" i="7"/>
  <c r="D83" i="7"/>
  <c r="C83" i="7"/>
  <c r="C116" i="7" s="1"/>
  <c r="O82" i="7"/>
  <c r="E115" i="10" s="1"/>
  <c r="O81" i="7"/>
  <c r="E114" i="10" s="1"/>
  <c r="O80" i="7"/>
  <c r="E113" i="10" s="1"/>
  <c r="O79" i="7"/>
  <c r="E112" i="10" s="1"/>
  <c r="O78" i="7"/>
  <c r="E111" i="10" s="1"/>
  <c r="O77" i="7"/>
  <c r="E110" i="10" s="1"/>
  <c r="O76" i="7"/>
  <c r="E109" i="10" s="1"/>
  <c r="O75" i="7"/>
  <c r="E108" i="10" s="1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D115" i="10" s="1"/>
  <c r="O48" i="7"/>
  <c r="D114" i="10" s="1"/>
  <c r="O47" i="7"/>
  <c r="D113" i="10" s="1"/>
  <c r="O46" i="7"/>
  <c r="D112" i="10" s="1"/>
  <c r="O45" i="7"/>
  <c r="D111" i="10" s="1"/>
  <c r="O44" i="7"/>
  <c r="D110" i="10" s="1"/>
  <c r="O43" i="7"/>
  <c r="D109" i="10" s="1"/>
  <c r="O42" i="7"/>
  <c r="D108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15" i="10" s="1"/>
  <c r="O15" i="7"/>
  <c r="C114" i="10" s="1"/>
  <c r="O14" i="7"/>
  <c r="C113" i="10" s="1"/>
  <c r="O13" i="7"/>
  <c r="C112" i="10" s="1"/>
  <c r="O12" i="7"/>
  <c r="C111" i="10" s="1"/>
  <c r="O11" i="7"/>
  <c r="C110" i="10" s="1"/>
  <c r="O10" i="7"/>
  <c r="C109" i="10" s="1"/>
  <c r="O9" i="7"/>
  <c r="C108" i="10" s="1"/>
  <c r="N83" i="6"/>
  <c r="N111" i="6" s="1"/>
  <c r="M83" i="6"/>
  <c r="L83" i="6"/>
  <c r="K83" i="6"/>
  <c r="J83" i="6"/>
  <c r="I83" i="6"/>
  <c r="H83" i="6"/>
  <c r="G83" i="6"/>
  <c r="F83" i="6"/>
  <c r="E83" i="6"/>
  <c r="D83" i="6"/>
  <c r="C83" i="6"/>
  <c r="O82" i="6"/>
  <c r="E92" i="10" s="1"/>
  <c r="O81" i="6"/>
  <c r="E91" i="10" s="1"/>
  <c r="O80" i="6"/>
  <c r="E90" i="10" s="1"/>
  <c r="O79" i="6"/>
  <c r="E89" i="10" s="1"/>
  <c r="O78" i="6"/>
  <c r="E88" i="10" s="1"/>
  <c r="O77" i="6"/>
  <c r="E87" i="10" s="1"/>
  <c r="O76" i="6"/>
  <c r="E86" i="10" s="1"/>
  <c r="O75" i="6"/>
  <c r="E85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92" i="10" s="1"/>
  <c r="O47" i="6"/>
  <c r="D91" i="10" s="1"/>
  <c r="O46" i="6"/>
  <c r="D90" i="10" s="1"/>
  <c r="O45" i="6"/>
  <c r="D89" i="10" s="1"/>
  <c r="O44" i="6"/>
  <c r="D88" i="10" s="1"/>
  <c r="O43" i="6"/>
  <c r="D87" i="10" s="1"/>
  <c r="O42" i="6"/>
  <c r="D86" i="10" s="1"/>
  <c r="O41" i="6"/>
  <c r="D85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2" i="10" s="1"/>
  <c r="O15" i="6"/>
  <c r="C91" i="10" s="1"/>
  <c r="O14" i="6"/>
  <c r="C90" i="10" s="1"/>
  <c r="O13" i="6"/>
  <c r="C89" i="10" s="1"/>
  <c r="O12" i="6"/>
  <c r="C88" i="10" s="1"/>
  <c r="O11" i="6"/>
  <c r="C87" i="10" s="1"/>
  <c r="O10" i="6"/>
  <c r="C86" i="10" s="1"/>
  <c r="O9" i="6"/>
  <c r="C85" i="10" s="1"/>
  <c r="N83" i="5"/>
  <c r="M83" i="5"/>
  <c r="L83" i="5"/>
  <c r="K83" i="5"/>
  <c r="J83" i="5"/>
  <c r="I83" i="5"/>
  <c r="G83" i="5"/>
  <c r="F83" i="5"/>
  <c r="E83" i="5"/>
  <c r="D83" i="5"/>
  <c r="N50" i="5"/>
  <c r="M50" i="5"/>
  <c r="L50" i="5"/>
  <c r="K50" i="5"/>
  <c r="J50" i="5"/>
  <c r="I50" i="5"/>
  <c r="H50" i="5"/>
  <c r="G50" i="5"/>
  <c r="F50" i="5"/>
  <c r="E50" i="5"/>
  <c r="D50" i="5"/>
  <c r="C50" i="5"/>
  <c r="O49" i="5"/>
  <c r="D78" i="10" s="1"/>
  <c r="O48" i="5"/>
  <c r="D77" i="10" s="1"/>
  <c r="O47" i="5"/>
  <c r="D76" i="10" s="1"/>
  <c r="O46" i="5"/>
  <c r="D75" i="10" s="1"/>
  <c r="O45" i="5"/>
  <c r="D74" i="10" s="1"/>
  <c r="O44" i="5"/>
  <c r="D73" i="10" s="1"/>
  <c r="O43" i="5"/>
  <c r="D72" i="10" s="1"/>
  <c r="O42" i="5"/>
  <c r="D71" i="10" s="1"/>
  <c r="N17" i="5"/>
  <c r="M17" i="5"/>
  <c r="L17" i="5"/>
  <c r="K17" i="5"/>
  <c r="J17" i="5"/>
  <c r="I17" i="5"/>
  <c r="H17" i="5"/>
  <c r="G17" i="5"/>
  <c r="F17" i="5"/>
  <c r="E17" i="5"/>
  <c r="C17" i="5"/>
  <c r="O16" i="5"/>
  <c r="C78" i="10" s="1"/>
  <c r="O15" i="5"/>
  <c r="C77" i="10" s="1"/>
  <c r="O14" i="5"/>
  <c r="C76" i="10" s="1"/>
  <c r="O13" i="5"/>
  <c r="C75" i="10" s="1"/>
  <c r="O12" i="5"/>
  <c r="C74" i="10" s="1"/>
  <c r="O11" i="5"/>
  <c r="C73" i="10" s="1"/>
  <c r="O10" i="5"/>
  <c r="C72" i="10" s="1"/>
  <c r="O9" i="5"/>
  <c r="C71" i="10" s="1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E43" i="10" s="1"/>
  <c r="O81" i="4"/>
  <c r="E42" i="10" s="1"/>
  <c r="O80" i="4"/>
  <c r="E41" i="10" s="1"/>
  <c r="O79" i="4"/>
  <c r="E40" i="10" s="1"/>
  <c r="O78" i="4"/>
  <c r="E39" i="10" s="1"/>
  <c r="O77" i="4"/>
  <c r="E38" i="10" s="1"/>
  <c r="O76" i="4"/>
  <c r="E37" i="10" s="1"/>
  <c r="O75" i="4"/>
  <c r="E36" i="10" s="1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8" i="10"/>
  <c r="N50" i="1"/>
  <c r="M50" i="1"/>
  <c r="L50" i="1"/>
  <c r="K50" i="1"/>
  <c r="J50" i="1"/>
  <c r="I50" i="1"/>
  <c r="H50" i="1"/>
  <c r="G50" i="1"/>
  <c r="F50" i="1"/>
  <c r="E50" i="1"/>
  <c r="D50" i="1"/>
  <c r="D116" i="1" s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C122" i="10" l="1"/>
  <c r="O17" i="8"/>
  <c r="C8" i="10"/>
  <c r="C16" i="10" s="1"/>
  <c r="O17" i="1"/>
  <c r="N19" i="4"/>
  <c r="C116" i="1"/>
  <c r="M116" i="1"/>
  <c r="G116" i="5"/>
  <c r="N116" i="5"/>
  <c r="L111" i="6"/>
  <c r="L116" i="1"/>
  <c r="N116" i="1"/>
  <c r="M116" i="5"/>
  <c r="L56" i="1"/>
  <c r="J52" i="1"/>
  <c r="E9" i="10"/>
  <c r="E16" i="10" s="1"/>
  <c r="O83" i="1"/>
  <c r="J111" i="6"/>
  <c r="I111" i="6"/>
  <c r="H111" i="6"/>
  <c r="G116" i="1"/>
  <c r="Q17" i="8"/>
  <c r="F111" i="6"/>
  <c r="Q83" i="6"/>
  <c r="E116" i="1"/>
  <c r="F58" i="10"/>
  <c r="E58" i="10"/>
  <c r="E65" i="10" s="1"/>
  <c r="E30" i="10"/>
  <c r="E93" i="10"/>
  <c r="C44" i="10"/>
  <c r="C130" i="10"/>
  <c r="F122" i="10"/>
  <c r="D122" i="10"/>
  <c r="D130" i="10" s="1"/>
  <c r="F130" i="10" s="1"/>
  <c r="Q50" i="8"/>
  <c r="Q83" i="8"/>
  <c r="E116" i="10"/>
  <c r="Q83" i="7"/>
  <c r="D116" i="10"/>
  <c r="Q50" i="7"/>
  <c r="C116" i="10"/>
  <c r="Q17" i="7"/>
  <c r="D93" i="10"/>
  <c r="Q49" i="6"/>
  <c r="C93" i="10"/>
  <c r="Q17" i="6"/>
  <c r="Q83" i="5"/>
  <c r="Q50" i="5"/>
  <c r="D79" i="10"/>
  <c r="F79" i="10" s="1"/>
  <c r="J19" i="5"/>
  <c r="C79" i="10"/>
  <c r="D65" i="10"/>
  <c r="C65" i="10"/>
  <c r="E44" i="10"/>
  <c r="D30" i="10"/>
  <c r="C30" i="10"/>
  <c r="D16" i="10"/>
  <c r="O110" i="3"/>
  <c r="F116" i="5"/>
  <c r="O106" i="6"/>
  <c r="F88" i="10" s="1"/>
  <c r="F38" i="10"/>
  <c r="F42" i="10"/>
  <c r="I116" i="5"/>
  <c r="F40" i="10"/>
  <c r="K111" i="6"/>
  <c r="J116" i="8"/>
  <c r="F41" i="10"/>
  <c r="F39" i="10"/>
  <c r="O115" i="7"/>
  <c r="F115" i="10" s="1"/>
  <c r="O112" i="7"/>
  <c r="F112" i="10" s="1"/>
  <c r="J116" i="1"/>
  <c r="O111" i="7"/>
  <c r="F111" i="10" s="1"/>
  <c r="O109" i="1"/>
  <c r="F9" i="10" s="1"/>
  <c r="O83" i="3"/>
  <c r="O113" i="1"/>
  <c r="F13" i="10" s="1"/>
  <c r="F43" i="10"/>
  <c r="O50" i="8"/>
  <c r="O17" i="6"/>
  <c r="O83" i="6"/>
  <c r="O49" i="6"/>
  <c r="O107" i="6"/>
  <c r="F89" i="10" s="1"/>
  <c r="O103" i="6"/>
  <c r="F85" i="10" s="1"/>
  <c r="O108" i="6"/>
  <c r="F90" i="10" s="1"/>
  <c r="O15" i="2"/>
  <c r="O115" i="1"/>
  <c r="F15" i="10" s="1"/>
  <c r="O111" i="1"/>
  <c r="F11" i="10" s="1"/>
  <c r="O50" i="9"/>
  <c r="F61" i="10"/>
  <c r="F59" i="10"/>
  <c r="F64" i="10"/>
  <c r="O17" i="9"/>
  <c r="F124" i="10"/>
  <c r="O111" i="8"/>
  <c r="F125" i="10" s="1"/>
  <c r="O115" i="8"/>
  <c r="F129" i="10" s="1"/>
  <c r="O112" i="8"/>
  <c r="F126" i="10" s="1"/>
  <c r="F114" i="10"/>
  <c r="O50" i="7"/>
  <c r="O108" i="7"/>
  <c r="F108" i="10" s="1"/>
  <c r="O17" i="7"/>
  <c r="O50" i="5"/>
  <c r="O108" i="5"/>
  <c r="O112" i="5"/>
  <c r="O109" i="5"/>
  <c r="O113" i="5"/>
  <c r="D116" i="5"/>
  <c r="O110" i="5"/>
  <c r="O114" i="5"/>
  <c r="E116" i="5"/>
  <c r="O111" i="5"/>
  <c r="O115" i="5"/>
  <c r="O17" i="5"/>
  <c r="F36" i="10"/>
  <c r="F37" i="10"/>
  <c r="O17" i="4"/>
  <c r="O50" i="3"/>
  <c r="O17" i="3"/>
  <c r="O50" i="1"/>
  <c r="O110" i="1"/>
  <c r="F10" i="10" s="1"/>
  <c r="O114" i="1"/>
  <c r="F14" i="10" s="1"/>
  <c r="I116" i="1"/>
  <c r="F116" i="1"/>
  <c r="O108" i="1"/>
  <c r="F8" i="10" s="1"/>
  <c r="O112" i="1"/>
  <c r="F12" i="10" s="1"/>
  <c r="K116" i="1"/>
  <c r="O83" i="9"/>
  <c r="O83" i="8"/>
  <c r="O83" i="7"/>
  <c r="O83" i="5"/>
  <c r="O83" i="4"/>
  <c r="R83" i="5" l="1"/>
  <c r="F74" i="10"/>
  <c r="Q111" i="5"/>
  <c r="F77" i="10"/>
  <c r="Q114" i="5"/>
  <c r="F72" i="10"/>
  <c r="Q109" i="5"/>
  <c r="F71" i="10"/>
  <c r="Q108" i="5"/>
  <c r="F78" i="10"/>
  <c r="Q115" i="5"/>
  <c r="F73" i="10"/>
  <c r="Q110" i="5"/>
  <c r="F76" i="10"/>
  <c r="Q113" i="5"/>
  <c r="F75" i="10"/>
  <c r="Q112" i="5"/>
  <c r="F93" i="10"/>
  <c r="F30" i="10"/>
  <c r="F116" i="10"/>
  <c r="O116" i="3"/>
  <c r="F24" i="10"/>
  <c r="F16" i="10"/>
  <c r="R85" i="5"/>
  <c r="F65" i="10"/>
  <c r="O116" i="8"/>
  <c r="O111" i="6"/>
  <c r="O116" i="5"/>
  <c r="P116" i="5" s="1"/>
  <c r="F44" i="10"/>
  <c r="O116" i="1"/>
  <c r="O116" i="7"/>
</calcChain>
</file>

<file path=xl/sharedStrings.xml><?xml version="1.0" encoding="utf-8"?>
<sst xmlns="http://schemas.openxmlformats.org/spreadsheetml/2006/main" count="3749" uniqueCount="169">
  <si>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</si>
  <si>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</si>
  <si>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</si>
  <si>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</si>
  <si>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</si>
  <si>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</si>
  <si>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</si>
  <si>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</si>
  <si>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</si>
  <si>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</si>
  <si>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</si>
  <si>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</si>
  <si>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</si>
  <si>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</si>
  <si>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</si>
  <si>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</si>
  <si>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</si>
  <si>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</si>
  <si>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</si>
  <si>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</si>
  <si>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</si>
  <si>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</si>
  <si>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</si>
  <si>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</si>
  <si>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</si>
  <si>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</si>
  <si>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</si>
  <si>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</si>
  <si>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</si>
  <si>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</si>
  <si>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</si>
  <si>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</si>
  <si>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</si>
  <si>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</si>
  <si>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</si>
  <si>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</si>
  <si>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</si>
  <si>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</si>
  <si>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</si>
  <si>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</si>
  <si>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</si>
  <si>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</si>
  <si>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</si>
  <si>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</si>
  <si>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</si>
  <si>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</si>
  <si>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</si>
  <si>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</si>
  <si>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</si>
  <si>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</si>
  <si>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</si>
  <si>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</si>
  <si>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</si>
  <si>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</si>
  <si>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</si>
  <si>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</si>
  <si>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</si>
  <si>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</si>
  <si>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</si>
  <si>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</si>
  <si>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</si>
  <si>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</si>
  <si>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</si>
  <si>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</si>
  <si>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</si>
  <si>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</si>
  <si>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</si>
  <si>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</si>
  <si>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</si>
  <si>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</si>
  <si>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</si>
  <si>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</si>
  <si>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</si>
  <si>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</si>
  <si>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</si>
  <si>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Ket : * panen muda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</si>
  <si>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</si>
  <si>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</si>
  <si>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</si>
  <si>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</si>
  <si>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</si>
  <si>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</si>
  <si>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</si>
  <si>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</si>
  <si>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</si>
  <si>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APR-SEP</t>
  </si>
  <si>
    <t>Kota Cilegon</t>
  </si>
  <si>
    <t>ok-nop</t>
  </si>
  <si>
    <t>Realisasi</t>
  </si>
  <si>
    <t>1*</t>
  </si>
  <si>
    <t>2016 S/D 2017</t>
  </si>
  <si>
    <t>REALISASI TANAM PADI LADANG OKTOBER 2016 S/D MARET 2017 DAN APRIL S/D SEPTEMBER 2017</t>
  </si>
  <si>
    <t>REALISASI TANAM PADI SAWAH OKTOBER 2016 S/D MARET 2017 DAN APRIL S/D SEPTEMBER 2017</t>
  </si>
  <si>
    <t>Penggunaan Lahan</t>
  </si>
  <si>
    <t>MT. 2016 / 2017 (Ha)</t>
  </si>
  <si>
    <t>Sasaran</t>
  </si>
  <si>
    <t>Januari</t>
  </si>
  <si>
    <t>Oktober</t>
  </si>
  <si>
    <t>Nopember</t>
  </si>
  <si>
    <t>Desember</t>
  </si>
  <si>
    <t>Pebruari</t>
  </si>
  <si>
    <t>(Sawah+ Ladang)</t>
  </si>
  <si>
    <t>Agustus</t>
  </si>
  <si>
    <t>September</t>
  </si>
  <si>
    <t>MT. 2017 (Ha)</t>
  </si>
  <si>
    <t>April-September</t>
  </si>
  <si>
    <t>Oktober-September</t>
  </si>
  <si>
    <t>SASARAN DAN REALISASI PADI (SAWAH + LADANG) MT. 2016/2017 DAN MT. 2017</t>
  </si>
  <si>
    <t>SASARAN DAN REALISASI PADI SAWAH MT. 2016/2017 DAN MT. 2017</t>
  </si>
  <si>
    <t>SASARAN DAN REALISASI PADI LADANG MT. 2016/2017 DAN MT. 2017</t>
  </si>
  <si>
    <t>SASARAN DAN REALISASI JAGUNG MT. 2016/2017 DAN MT. 2017</t>
  </si>
  <si>
    <t>Sawah</t>
  </si>
  <si>
    <t>Ladang</t>
  </si>
  <si>
    <t>REALISASI TANAM JAGUNG OKTOBER 2016 S/D MARET 2017 DAN APRIL S/D SEPTEMBER 2017</t>
  </si>
  <si>
    <t>REALISASI TANAM KEDELAI OKTOBER 2016 S/D MARET 2017 DAN APRIL S/D SEPTEMBER 2017</t>
  </si>
  <si>
    <t>REALISASI TANAM KACANG TANAH OKTOBER 2016 S/D MARET 2017 DAN APRIL S/D SEPTEMBER 2017</t>
  </si>
  <si>
    <t>REALISASI TANAM UBI KAYU OKTOBER 2016 S/D MARET 2017 DAN APRIL S/D SEPTEMBER 2017</t>
  </si>
  <si>
    <t>REALISASI TANAM UBI JALAR OKTOBER 2016 S/D MARET 2017 DAN APRIL S/D SEPTEMBER 2017</t>
  </si>
  <si>
    <t>REALISASI TANAM KACANG HIJAU OKTOBER 2016 S/D MARET 2017 DAN APRIL S/D SEPTEMBER 2017</t>
  </si>
  <si>
    <t>REALISASI PANEN PADI SAWAH OKTOBER 2016 S/D MARET 2017 DAN APRIL S/D SEPTEMBER 2017</t>
  </si>
  <si>
    <t>REALISASI PANEN PADI LADANG OKTOBER 2016 S/D MARET 2017 DAN APRIL S/D SEPTEMBER 2017</t>
  </si>
  <si>
    <t>REALISASI PANEN KEDELAI OKTOBER 2016 S/D MARET 2017 DAN APRIL S/D SEPTEMBER 2017</t>
  </si>
  <si>
    <t>REALISASI PANEN KACANG TANAH OKTOBER 2016 S/D MARET 2017 DAN APRIL S/D SEPTEMBER 2017</t>
  </si>
  <si>
    <t>REALISASI PANEN JAGUNG OKTOBER 2016 S/D MARET 2017 DAN APRIL S/D SEPTEMBER 2017</t>
  </si>
  <si>
    <t>REALISASI PANEN UBI KAYU OKTOBER 2016 S/D MARET 2017 DAN APRIL S/D SEPTEMBER 2017</t>
  </si>
  <si>
    <t>REALISASI PANEN UBI JALAR OKTOBER 2016 S/D MARET 2017 DAN APRIL S/D SEPTEMBER 2017</t>
  </si>
  <si>
    <t>REALISASI PANEN KACANG HIJAU OKTOBER 2016 S/D MARET 2017 DAN APRIL S/D SEPTEMBER 2017</t>
  </si>
  <si>
    <t>REALISASI PRODUKSI PADI SAWAH OKTOBER 2016 S/D MARET 2017 DAN APRIL S/D SEPTEMBER 2017</t>
  </si>
  <si>
    <t>REALISASI PRODUKSI PADI LADANG OKTOBER 2016 S/D MARET 2017 DAN APRIL S/D SEPTEMBER 2017</t>
  </si>
  <si>
    <t>REALISASI PRODUKSI JAGUNG OKTOBER 2016 S/D MARET 2017 DAN APRIL S/D SEPTEMBER 2017</t>
  </si>
  <si>
    <t>REALISASI PRODUKSI KEDELAI OKTOBER 2016 S/D MARET 2017 DAN APRIL S/D SEPTEMBER 2017</t>
  </si>
  <si>
    <t>REALISASI PRODUKSI KACANG TANAH OKTOBER 2016 S/D MARET 2017 DAN APRIL S/D SEPTEMBER 2017</t>
  </si>
  <si>
    <t>REALISASI PRODUKSI UBI KAYU OKTOBER 2016 S/D MARET 2017 DAN APRIL S/D SEPTEMBER 2017</t>
  </si>
  <si>
    <t>REALISASI PRODUKSI UBI JALAR OKTOBER 2016 S/D MARET 2017 DAN APRIL S/D SEPTEMBER 2017</t>
  </si>
  <si>
    <t>REALISASI PRODUKSI KACANG HIJAU OKTOBER 2016 S/D MARET 2017 DAN APRIL S/D SEPTEMBER 2017</t>
  </si>
  <si>
    <t>REALISASI PRODUKTIVITAS PADI SAWAH OKTOBER 2016 S/D MARET 2017 DAN APRIL S/D SEPTEMBER 2017</t>
  </si>
  <si>
    <t>REALISASI PRODUKTIVITAS PADI LADANG OKTOBER 2016 S/D MARET 2017 DAN APRIL S/D SEPTEMBER 2017</t>
  </si>
  <si>
    <t>REALISASI PRODUKTIVITAS JAGUNG OKTOBER 2016 S/D MARET 2017 DAN APRIL S/D SEPTEMBER 2017</t>
  </si>
  <si>
    <t>REALISASI PRODUKTIVITAS KEDELAI OKTOBER 2016 S/D MARET 2017 DAN APRIL S/D SEPTEMBER 2017</t>
  </si>
  <si>
    <t>REALISASI PRODUKTIVITAS KACANG TANAH OKTOBER 2016 S/D MARET 2017 DAN APRIL S/D SEPTEMBER 2017</t>
  </si>
  <si>
    <t>REALISASI PRODUKTIVITAS UBI KAYU OKTOBER 2016 S/D MARET 2017 DAN APRIL S/D SEPTEMBER 2017</t>
  </si>
  <si>
    <t>REALISASI PRODUKTIVITAS UBI JALAR OKTOBER 2016 S/D MARET 2017 DAN APRIL S/D SEPTEMBER 2017</t>
  </si>
  <si>
    <t>REALISASI PRODUKTIVITAS KACANG HIJAU OKTOBER 2016 S/D MARET 2017 DAN APRIL S/D SEPTEMBER 2017</t>
  </si>
  <si>
    <t>Ket : * Panen Muda</t>
  </si>
  <si>
    <t>45*</t>
  </si>
  <si>
    <t>KOTA CILEGON TAHUN 2017</t>
  </si>
  <si>
    <t>KOTA CILEGON 2017</t>
  </si>
  <si>
    <t>REALISASI PANEN PADI TOTAL (SAWAH+LADANG) OKTOBER 2016 S/D MARET 2017 DAN APRIL S/D SEPTEMBER 2017</t>
  </si>
  <si>
    <t>REALISASI TANAM PADI TOTAL (SAWAH+LADANG) OKTOBER 2016 S/D MARET 2017 DAN APRIL S/D SEPTEMBER 2017</t>
  </si>
  <si>
    <t>REALISASI PRODUKSI PADI TOTAL (SAWAH+LADANG) OKTOBER 2016 S/D MARET 2017 DAN APRIL S/D SEPTEMBER 2017</t>
  </si>
  <si>
    <t>REALISASI PRODUKTIVITAS PADI TOTAL (SAWAH+LADANG) OKTOBER 2016 S/D MARET 2017 DAN APRIL S/D SEPTEMBER 2017</t>
  </si>
  <si>
    <t>DATA LUAS TANAM TALAS PER BULAN</t>
  </si>
  <si>
    <t>DATA LUAS PANEN TALAS PER BULAN</t>
  </si>
  <si>
    <t>DATA PRODUKSI TALAS PER BULAN</t>
  </si>
  <si>
    <t>DATA PRODUKTIVITAS TALAS PER BULAN</t>
  </si>
  <si>
    <t>(+/_)</t>
  </si>
  <si>
    <t>(+/-)</t>
  </si>
  <si>
    <t xml:space="preserve">Lampiran : </t>
  </si>
  <si>
    <t>(-/+)</t>
  </si>
  <si>
    <t>DATA LUAS TANAM SORGUM PER BULAN</t>
  </si>
  <si>
    <t>DATA LUAS PANEN SORGUM PER BULAN</t>
  </si>
  <si>
    <t>DATA PRODUKSI SORGUM PER BULAN</t>
  </si>
  <si>
    <t>DATA PRODUKTIVITAS SORGUM PER BULAN</t>
  </si>
  <si>
    <t>Kepala Dinas Ketahanan Pangan dan Pertanian</t>
  </si>
  <si>
    <t>Ir. Wawan Hermawan, MM</t>
  </si>
  <si>
    <t>NIP. 19600110 198603 1 012</t>
  </si>
  <si>
    <t>Produksi kacang tanah dlm bentuk biji</t>
  </si>
  <si>
    <t>Produksi Kacang Hijau dlm bentuk biji</t>
  </si>
  <si>
    <t>REALISASI TANAM PADI SAWAH OKTOBER 2017 S/D MARET 2018 DAN APRIL S/D SEPTEMBER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</si>
</sst>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_);_(* \(#,##0\);_(* &quot;-&quot;??_);_(@_)"/>
  </numFmts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0" fontId="0" fillId="0" borderId="32" xfId="0" applyBorder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41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41" fontId="7" fillId="0" borderId="8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4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41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41" fontId="4" fillId="0" borderId="46" xfId="1" applyFont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41" fontId="4" fillId="2" borderId="45" xfId="1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3" xfId="1" applyFont="1" applyFill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41" fontId="7" fillId="2" borderId="35" xfId="1" applyFont="1" applyFill="1" applyBorder="1" applyAlignment="1">
      <alignment horizontal="center" vertical="center"/>
    </xf>
    <xf numFmtId="41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41" fontId="7" fillId="0" borderId="7" xfId="1" applyFont="1" applyBorder="1" applyAlignment="1">
      <alignment horizontal="right"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164" fontId="0" fillId="0" borderId="20" xfId="1" applyNumberFormat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41" fontId="0" fillId="0" borderId="6" xfId="1" applyFont="1" applyBorder="1"/>
    <xf numFmtId="41" fontId="0" fillId="0" borderId="6" xfId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1" xfId="1" applyNumberFormat="1" applyFont="1" applyBorder="1" applyAlignment="1">
      <alignment horizontal="right"/>
    </xf>
    <xf numFmtId="164" fontId="0" fillId="0" borderId="29" xfId="1" applyNumberFormat="1" applyFont="1" applyBorder="1" applyAlignment="1">
      <alignment horizontal="right"/>
    </xf>
    <xf numFmtId="164" fontId="3" fillId="0" borderId="41" xfId="1" applyNumberFormat="1" applyFont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7" fillId="2" borderId="59" xfId="1" applyFont="1" applyFill="1" applyBorder="1" applyAlignment="1">
      <alignment horizontal="center" vertical="center"/>
    </xf>
    <xf numFmtId="41" fontId="7" fillId="2" borderId="61" xfId="1" applyFont="1" applyFill="1" applyBorder="1" applyAlignment="1">
      <alignment horizontal="center" vertical="center"/>
    </xf>
    <xf numFmtId="41" fontId="7" fillId="2" borderId="60" xfId="1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/>
    </xf>
    <xf numFmtId="0" fontId="13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5" fontId="8" fillId="0" borderId="58" xfId="1" applyNumberFormat="1" applyFont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right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5" fillId="0" borderId="0" xfId="0" applyFont="1"/>
    <xf numFmtId="0" fontId="12" fillId="0" borderId="1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166" fontId="15" fillId="0" borderId="3" xfId="2" applyNumberFormat="1" applyFont="1" applyBorder="1"/>
    <xf numFmtId="166" fontId="15" fillId="0" borderId="7" xfId="2" applyNumberFormat="1" applyFont="1" applyBorder="1"/>
    <xf numFmtId="166" fontId="15" fillId="0" borderId="9" xfId="2" applyNumberFormat="1" applyFont="1" applyBorder="1"/>
    <xf numFmtId="166" fontId="12" fillId="0" borderId="28" xfId="2" applyNumberFormat="1" applyFont="1" applyBorder="1"/>
    <xf numFmtId="166" fontId="15" fillId="0" borderId="64" xfId="2" applyNumberFormat="1" applyFont="1" applyBorder="1"/>
    <xf numFmtId="166" fontId="15" fillId="0" borderId="20" xfId="2" applyNumberFormat="1" applyFont="1" applyBorder="1"/>
    <xf numFmtId="166" fontId="15" fillId="0" borderId="30" xfId="2" applyNumberFormat="1" applyFont="1" applyBorder="1"/>
    <xf numFmtId="166" fontId="12" fillId="0" borderId="27" xfId="2" applyNumberFormat="1" applyFont="1" applyBorder="1"/>
    <xf numFmtId="166" fontId="12" fillId="0" borderId="71" xfId="2" applyNumberFormat="1" applyFont="1" applyBorder="1"/>
    <xf numFmtId="166" fontId="12" fillId="0" borderId="0" xfId="2" applyNumberFormat="1" applyFont="1" applyFill="1" applyBorder="1"/>
    <xf numFmtId="166" fontId="12" fillId="0" borderId="0" xfId="2" applyNumberFormat="1" applyFont="1" applyBorder="1"/>
    <xf numFmtId="166" fontId="15" fillId="0" borderId="0" xfId="0" applyNumberFormat="1" applyFont="1"/>
    <xf numFmtId="0" fontId="4" fillId="2" borderId="3" xfId="0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right" vertical="center"/>
    </xf>
    <xf numFmtId="41" fontId="7" fillId="2" borderId="13" xfId="1" applyFont="1" applyFill="1" applyBorder="1" applyAlignment="1">
      <alignment horizontal="right" vertical="center"/>
    </xf>
    <xf numFmtId="165" fontId="7" fillId="2" borderId="3" xfId="1" applyNumberFormat="1" applyFont="1" applyFill="1" applyBorder="1" applyAlignment="1">
      <alignment horizontal="center" vertical="center"/>
    </xf>
    <xf numFmtId="165" fontId="4" fillId="0" borderId="27" xfId="1" applyNumberFormat="1" applyFont="1" applyBorder="1" applyAlignment="1">
      <alignment horizontal="center" vertical="center"/>
    </xf>
    <xf numFmtId="165" fontId="4" fillId="2" borderId="49" xfId="1" applyNumberFormat="1" applyFont="1" applyFill="1" applyBorder="1" applyAlignment="1">
      <alignment horizontal="center" vertical="center"/>
    </xf>
    <xf numFmtId="165" fontId="4" fillId="2" borderId="45" xfId="1" applyNumberFormat="1" applyFont="1" applyFill="1" applyBorder="1" applyAlignment="1">
      <alignment horizontal="center" vertical="center"/>
    </xf>
    <xf numFmtId="165" fontId="4" fillId="2" borderId="50" xfId="1" applyNumberFormat="1" applyFont="1" applyFill="1" applyBorder="1" applyAlignment="1">
      <alignment horizontal="center" vertical="center"/>
    </xf>
    <xf numFmtId="165" fontId="4" fillId="0" borderId="46" xfId="1" applyNumberFormat="1" applyFont="1" applyBorder="1" applyAlignment="1">
      <alignment horizontal="center" vertical="center"/>
    </xf>
    <xf numFmtId="165" fontId="7" fillId="2" borderId="13" xfId="1" applyNumberFormat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0" borderId="40" xfId="1" applyNumberFormat="1" applyFont="1" applyBorder="1" applyAlignment="1">
      <alignment horizontal="center" vertical="center"/>
    </xf>
    <xf numFmtId="164" fontId="4" fillId="0" borderId="46" xfId="1" applyNumberFormat="1" applyFont="1" applyBorder="1" applyAlignment="1">
      <alignment horizontal="center" vertical="center"/>
    </xf>
    <xf numFmtId="164" fontId="4" fillId="0" borderId="76" xfId="1" applyNumberFormat="1" applyFont="1" applyBorder="1" applyAlignment="1">
      <alignment horizontal="center" vertical="center"/>
    </xf>
    <xf numFmtId="164" fontId="4" fillId="2" borderId="49" xfId="1" applyNumberFormat="1" applyFont="1" applyFill="1" applyBorder="1" applyAlignment="1">
      <alignment horizontal="center" vertical="center"/>
    </xf>
    <xf numFmtId="165" fontId="4" fillId="2" borderId="51" xfId="1" applyNumberFormat="1" applyFont="1" applyFill="1" applyBorder="1" applyAlignment="1">
      <alignment horizontal="center" vertical="center"/>
    </xf>
    <xf numFmtId="165" fontId="4" fillId="2" borderId="52" xfId="1" applyNumberFormat="1" applyFont="1" applyFill="1" applyBorder="1" applyAlignment="1">
      <alignment horizontal="center" vertical="center"/>
    </xf>
    <xf numFmtId="165" fontId="4" fillId="2" borderId="53" xfId="1" applyNumberFormat="1" applyFont="1" applyFill="1" applyBorder="1" applyAlignment="1">
      <alignment horizontal="center" vertical="center"/>
    </xf>
    <xf numFmtId="164" fontId="4" fillId="2" borderId="51" xfId="1" applyNumberFormat="1" applyFont="1" applyFill="1" applyBorder="1" applyAlignment="1">
      <alignment horizontal="center" vertical="center"/>
    </xf>
    <xf numFmtId="164" fontId="4" fillId="2" borderId="52" xfId="1" applyNumberFormat="1" applyFont="1" applyFill="1" applyBorder="1" applyAlignment="1">
      <alignment horizontal="center" vertical="center"/>
    </xf>
    <xf numFmtId="164" fontId="4" fillId="2" borderId="53" xfId="1" applyNumberFormat="1" applyFont="1" applyFill="1" applyBorder="1" applyAlignment="1">
      <alignment horizontal="center" vertical="center"/>
    </xf>
    <xf numFmtId="164" fontId="4" fillId="2" borderId="77" xfId="1" applyNumberFormat="1" applyFont="1" applyFill="1" applyBorder="1" applyAlignment="1">
      <alignment horizontal="center" vertical="center"/>
    </xf>
    <xf numFmtId="164" fontId="4" fillId="2" borderId="63" xfId="1" applyNumberFormat="1" applyFont="1" applyFill="1" applyBorder="1" applyAlignment="1">
      <alignment horizontal="center" vertical="center"/>
    </xf>
    <xf numFmtId="164" fontId="4" fillId="2" borderId="45" xfId="1" applyNumberFormat="1" applyFont="1" applyFill="1" applyBorder="1" applyAlignment="1">
      <alignment horizontal="center" vertical="center"/>
    </xf>
    <xf numFmtId="164" fontId="7" fillId="2" borderId="61" xfId="1" applyNumberFormat="1" applyFont="1" applyFill="1" applyBorder="1" applyAlignment="1">
      <alignment horizontal="center" vertical="center"/>
    </xf>
    <xf numFmtId="164" fontId="7" fillId="2" borderId="35" xfId="1" applyNumberFormat="1" applyFont="1" applyFill="1" applyBorder="1" applyAlignment="1">
      <alignment horizontal="center" vertical="center"/>
    </xf>
    <xf numFmtId="164" fontId="7" fillId="2" borderId="60" xfId="1" applyNumberFormat="1" applyFont="1" applyFill="1" applyBorder="1" applyAlignment="1">
      <alignment horizontal="center" vertical="center"/>
    </xf>
    <xf numFmtId="164" fontId="4" fillId="2" borderId="50" xfId="1" applyNumberFormat="1" applyFont="1" applyFill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4" fontId="4" fillId="0" borderId="54" xfId="1" applyNumberFormat="1" applyFont="1" applyBorder="1" applyAlignment="1">
      <alignment horizontal="center" vertical="center"/>
    </xf>
    <xf numFmtId="165" fontId="4" fillId="0" borderId="54" xfId="1" applyNumberFormat="1" applyFont="1" applyBorder="1" applyAlignment="1">
      <alignment horizontal="center" vertical="center"/>
    </xf>
    <xf numFmtId="164" fontId="7" fillId="2" borderId="59" xfId="1" applyNumberFormat="1" applyFont="1" applyFill="1" applyBorder="1" applyAlignment="1">
      <alignment horizontal="center" vertical="center"/>
    </xf>
    <xf numFmtId="164" fontId="14" fillId="2" borderId="13" xfId="1" applyNumberFormat="1" applyFont="1" applyFill="1" applyBorder="1" applyAlignment="1">
      <alignment horizontal="center" vertical="center"/>
    </xf>
    <xf numFmtId="164" fontId="11" fillId="2" borderId="49" xfId="1" applyNumberFormat="1" applyFont="1" applyFill="1" applyBorder="1" applyAlignment="1">
      <alignment horizontal="center" vertical="center"/>
    </xf>
    <xf numFmtId="164" fontId="14" fillId="2" borderId="61" xfId="1" applyNumberFormat="1" applyFont="1" applyFill="1" applyBorder="1" applyAlignment="1">
      <alignment horizontal="center" vertical="center"/>
    </xf>
    <xf numFmtId="164" fontId="11" fillId="2" borderId="51" xfId="1" applyNumberFormat="1" applyFont="1" applyFill="1" applyBorder="1" applyAlignment="1">
      <alignment horizontal="center" vertical="center"/>
    </xf>
    <xf numFmtId="164" fontId="14" fillId="2" borderId="7" xfId="1" applyNumberFormat="1" applyFont="1" applyFill="1" applyBorder="1" applyAlignment="1">
      <alignment horizontal="center" vertical="center"/>
    </xf>
    <xf numFmtId="164" fontId="11" fillId="2" borderId="45" xfId="1" applyNumberFormat="1" applyFont="1" applyFill="1" applyBorder="1" applyAlignment="1">
      <alignment horizontal="center" vertical="center"/>
    </xf>
    <xf numFmtId="164" fontId="14" fillId="2" borderId="35" xfId="1" applyNumberFormat="1" applyFont="1" applyFill="1" applyBorder="1" applyAlignment="1">
      <alignment horizontal="center" vertical="center"/>
    </xf>
    <xf numFmtId="164" fontId="14" fillId="2" borderId="60" xfId="1" applyNumberFormat="1" applyFont="1" applyFill="1" applyBorder="1" applyAlignment="1">
      <alignment horizontal="center" vertical="center"/>
    </xf>
    <xf numFmtId="164" fontId="11" fillId="2" borderId="52" xfId="1" applyNumberFormat="1" applyFont="1" applyFill="1" applyBorder="1" applyAlignment="1">
      <alignment horizontal="center" vertical="center"/>
    </xf>
    <xf numFmtId="164" fontId="14" fillId="2" borderId="3" xfId="1" applyNumberFormat="1" applyFont="1" applyFill="1" applyBorder="1" applyAlignment="1">
      <alignment horizontal="center" vertical="center"/>
    </xf>
    <xf numFmtId="164" fontId="11" fillId="2" borderId="50" xfId="1" applyNumberFormat="1" applyFont="1" applyFill="1" applyBorder="1" applyAlignment="1">
      <alignment horizontal="center" vertical="center"/>
    </xf>
    <xf numFmtId="164" fontId="11" fillId="0" borderId="27" xfId="1" applyNumberFormat="1" applyFont="1" applyBorder="1" applyAlignment="1">
      <alignment horizontal="center" vertical="center"/>
    </xf>
    <xf numFmtId="164" fontId="11" fillId="0" borderId="43" xfId="1" applyNumberFormat="1" applyFont="1" applyBorder="1" applyAlignment="1">
      <alignment horizontal="center" vertical="center"/>
    </xf>
    <xf numFmtId="164" fontId="11" fillId="0" borderId="46" xfId="1" applyNumberFormat="1" applyFont="1" applyBorder="1" applyAlignment="1">
      <alignment horizontal="center" vertical="center"/>
    </xf>
    <xf numFmtId="164" fontId="11" fillId="2" borderId="77" xfId="1" applyNumberFormat="1" applyFont="1" applyFill="1" applyBorder="1" applyAlignment="1">
      <alignment horizontal="center" vertical="center"/>
    </xf>
    <xf numFmtId="164" fontId="11" fillId="2" borderId="63" xfId="1" applyNumberFormat="1" applyFont="1" applyFill="1" applyBorder="1" applyAlignment="1">
      <alignment horizontal="center" vertical="center"/>
    </xf>
    <xf numFmtId="164" fontId="11" fillId="0" borderId="40" xfId="1" applyNumberFormat="1" applyFont="1" applyBorder="1" applyAlignment="1">
      <alignment horizontal="center" vertical="center"/>
    </xf>
    <xf numFmtId="164" fontId="11" fillId="0" borderId="76" xfId="1" applyNumberFormat="1" applyFont="1" applyBorder="1" applyAlignment="1">
      <alignment horizontal="center" vertical="center"/>
    </xf>
    <xf numFmtId="41" fontId="7" fillId="2" borderId="78" xfId="1" applyFont="1" applyFill="1" applyBorder="1" applyAlignment="1">
      <alignment horizontal="center" vertical="center"/>
    </xf>
    <xf numFmtId="1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165" fontId="7" fillId="2" borderId="61" xfId="1" applyNumberFormat="1" applyFont="1" applyFill="1" applyBorder="1" applyAlignment="1">
      <alignment horizontal="center"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14" fillId="2" borderId="33" xfId="1" applyNumberFormat="1" applyFont="1" applyFill="1" applyBorder="1" applyAlignment="1">
      <alignment horizontal="center" vertical="center"/>
    </xf>
    <xf numFmtId="164" fontId="7" fillId="2" borderId="78" xfId="1" applyNumberFormat="1" applyFont="1" applyFill="1" applyBorder="1" applyAlignment="1">
      <alignment horizontal="center" vertical="center"/>
    </xf>
    <xf numFmtId="164" fontId="14" fillId="2" borderId="78" xfId="1" applyNumberFormat="1" applyFont="1" applyFill="1" applyBorder="1" applyAlignment="1">
      <alignment horizontal="center" vertical="center"/>
    </xf>
    <xf numFmtId="165" fontId="7" fillId="2" borderId="33" xfId="1" applyNumberFormat="1" applyFont="1" applyFill="1" applyBorder="1" applyAlignment="1">
      <alignment horizontal="center" vertical="center"/>
    </xf>
    <xf numFmtId="165" fontId="7" fillId="2" borderId="35" xfId="1" applyNumberFormat="1" applyFont="1" applyFill="1" applyBorder="1" applyAlignment="1">
      <alignment horizontal="center" vertical="center"/>
    </xf>
    <xf numFmtId="165" fontId="7" fillId="2" borderId="60" xfId="1" applyNumberFormat="1" applyFont="1" applyFill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43" fontId="12" fillId="0" borderId="32" xfId="2" applyNumberFormat="1" applyFont="1" applyFill="1" applyBorder="1"/>
    <xf numFmtId="164" fontId="8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7" fillId="0" borderId="6" xfId="1" applyNumberFormat="1" applyFont="1" applyFill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4" fillId="2" borderId="79" xfId="1" applyNumberFormat="1" applyFont="1" applyFill="1" applyBorder="1" applyAlignment="1">
      <alignment horizontal="center" vertical="center"/>
    </xf>
    <xf numFmtId="164" fontId="7" fillId="2" borderId="70" xfId="1" applyNumberFormat="1" applyFont="1" applyFill="1" applyBorder="1" applyAlignment="1">
      <alignment horizontal="center" vertical="center"/>
    </xf>
    <xf numFmtId="164" fontId="7" fillId="2" borderId="80" xfId="1" applyNumberFormat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166" fontId="0" fillId="0" borderId="0" xfId="0" applyNumberFormat="1"/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166" fontId="15" fillId="0" borderId="0" xfId="2" applyNumberFormat="1" applyFont="1" applyBorder="1"/>
    <xf numFmtId="166" fontId="12" fillId="0" borderId="32" xfId="2" applyNumberFormat="1" applyFont="1" applyBorder="1"/>
    <xf numFmtId="166" fontId="15" fillId="0" borderId="81" xfId="2" applyNumberFormat="1" applyFont="1" applyFill="1" applyBorder="1"/>
    <xf numFmtId="0" fontId="16" fillId="0" borderId="2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66" fontId="15" fillId="0" borderId="32" xfId="2" applyNumberFormat="1" applyFont="1" applyBorder="1"/>
    <xf numFmtId="166" fontId="15" fillId="0" borderId="82" xfId="2" applyNumberFormat="1" applyFont="1" applyBorder="1"/>
    <xf numFmtId="166" fontId="12" fillId="0" borderId="43" xfId="2" applyNumberFormat="1" applyFont="1" applyBorder="1"/>
    <xf numFmtId="166" fontId="0" fillId="0" borderId="83" xfId="2" applyNumberFormat="1" applyFont="1" applyBorder="1"/>
    <xf numFmtId="166" fontId="17" fillId="0" borderId="83" xfId="2" applyNumberFormat="1" applyFont="1" applyBorder="1"/>
    <xf numFmtId="166" fontId="18" fillId="0" borderId="29" xfId="2" applyNumberFormat="1" applyFont="1" applyBorder="1"/>
    <xf numFmtId="0" fontId="9" fillId="0" borderId="0" xfId="0" applyFont="1" applyBorder="1" applyAlignment="1">
      <alignment horizontal="center" vertical="center"/>
    </xf>
    <xf numFmtId="166" fontId="0" fillId="0" borderId="0" xfId="2" applyNumberFormat="1" applyFont="1" applyBorder="1"/>
    <xf numFmtId="166" fontId="17" fillId="0" borderId="0" xfId="2" applyNumberFormat="1" applyFont="1" applyBorder="1"/>
    <xf numFmtId="166" fontId="18" fillId="0" borderId="0" xfId="2" applyNumberFormat="1" applyFont="1" applyBorder="1"/>
    <xf numFmtId="43" fontId="12" fillId="0" borderId="0" xfId="2" applyNumberFormat="1" applyFont="1" applyFill="1" applyBorder="1"/>
    <xf numFmtId="166" fontId="15" fillId="0" borderId="3" xfId="2" applyNumberFormat="1" applyFont="1" applyFill="1" applyBorder="1"/>
    <xf numFmtId="166" fontId="15" fillId="0" borderId="0" xfId="2" applyNumberFormat="1" applyFont="1" applyFill="1" applyBorder="1"/>
    <xf numFmtId="0" fontId="10" fillId="0" borderId="0" xfId="0" applyFont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15" fillId="0" borderId="20" xfId="0" applyFont="1" applyBorder="1"/>
    <xf numFmtId="166" fontId="15" fillId="0" borderId="30" xfId="0" applyNumberFormat="1" applyFont="1" applyBorder="1"/>
    <xf numFmtId="166" fontId="19" fillId="0" borderId="20" xfId="0" applyNumberFormat="1" applyFont="1" applyBorder="1"/>
    <xf numFmtId="166" fontId="19" fillId="0" borderId="30" xfId="0" applyNumberFormat="1" applyFont="1" applyBorder="1"/>
    <xf numFmtId="166" fontId="19" fillId="0" borderId="31" xfId="0" applyNumberFormat="1" applyFont="1" applyBorder="1"/>
    <xf numFmtId="166" fontId="20" fillId="0" borderId="29" xfId="0" applyNumberFormat="1" applyFont="1" applyBorder="1"/>
    <xf numFmtId="0" fontId="15" fillId="0" borderId="63" xfId="0" applyFont="1" applyBorder="1"/>
    <xf numFmtId="166" fontId="19" fillId="0" borderId="52" xfId="0" applyNumberFormat="1" applyFont="1" applyBorder="1"/>
    <xf numFmtId="166" fontId="15" fillId="0" borderId="52" xfId="0" applyNumberFormat="1" applyFont="1" applyBorder="1"/>
    <xf numFmtId="166" fontId="20" fillId="0" borderId="85" xfId="0" applyNumberFormat="1" applyFont="1" applyBorder="1"/>
    <xf numFmtId="166" fontId="14" fillId="0" borderId="63" xfId="0" applyNumberFormat="1" applyFont="1" applyBorder="1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6" fontId="14" fillId="0" borderId="84" xfId="0" applyNumberFormat="1" applyFont="1" applyBorder="1"/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41" fontId="7" fillId="0" borderId="9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164" fontId="7" fillId="0" borderId="9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6" fontId="21" fillId="0" borderId="31" xfId="2" applyNumberFormat="1" applyFont="1" applyBorder="1"/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41" fontId="4" fillId="2" borderId="0" xfId="1" applyFont="1" applyFill="1" applyBorder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2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41" fontId="4" fillId="0" borderId="12" xfId="1" applyFont="1" applyBorder="1" applyAlignment="1">
      <alignment horizontal="right" vertical="center"/>
    </xf>
    <xf numFmtId="166" fontId="0" fillId="0" borderId="0" xfId="2" applyNumberFormat="1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6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0" fontId="12" fillId="0" borderId="5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6" width="8.5703125" customWidth="1"/>
    <col min="17" max="17" width="16.140625" customWidth="1"/>
  </cols>
  <sheetData>
    <row r="1" spans="1:19" ht="15" customHeight="1" x14ac:dyDescent="0.25"/>
    <row r="2" spans="1:19" ht="18.75" x14ac:dyDescent="0.3">
      <c r="A2" s="361" t="s">
        <v>0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47"/>
    </row>
    <row r="3" spans="1:19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47"/>
    </row>
    <row r="4" spans="1:19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47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19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  <c r="P6" s="96"/>
    </row>
    <row r="7" spans="1:19" x14ac:dyDescent="0.25">
      <c r="A7" s="363"/>
      <c r="B7" s="363"/>
      <c r="C7" s="4" t="s">
        <v>6</v>
      </c>
      <c r="D7" s="4" t="s">
        <v>7</v>
      </c>
      <c r="E7" s="4" t="s">
        <v>8</v>
      </c>
      <c r="F7" s="118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65"/>
      <c r="P7" s="96"/>
    </row>
    <row r="8" spans="1:19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19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351"/>
    </row>
    <row r="9" spans="1:19" ht="18.75" customHeight="1" thickTop="1" x14ac:dyDescent="0.25">
      <c r="A9" s="6">
        <v>1</v>
      </c>
      <c r="B9" s="7" t="s">
        <v>18</v>
      </c>
      <c r="C9" s="59">
        <v>177</v>
      </c>
      <c r="D9" s="8">
        <v>45</v>
      </c>
      <c r="E9" s="59">
        <v>0</v>
      </c>
      <c r="F9" s="59">
        <v>0</v>
      </c>
      <c r="G9" s="59">
        <v>35</v>
      </c>
      <c r="H9" s="9">
        <v>29</v>
      </c>
      <c r="I9" s="9">
        <v>0</v>
      </c>
      <c r="J9" s="9">
        <v>0</v>
      </c>
      <c r="K9" s="9">
        <v>0</v>
      </c>
      <c r="L9" s="59">
        <v>1</v>
      </c>
      <c r="M9" s="9">
        <v>1</v>
      </c>
      <c r="N9" s="9">
        <v>5</v>
      </c>
      <c r="O9" s="10">
        <f>SUM(C9:N9)</f>
        <v>293</v>
      </c>
      <c r="P9" s="292"/>
      <c r="Q9" s="105">
        <f>SUM(I9:K9)</f>
        <v>0</v>
      </c>
    </row>
    <row r="10" spans="1:19" ht="18.75" customHeight="1" x14ac:dyDescent="0.25">
      <c r="A10" s="11">
        <v>2</v>
      </c>
      <c r="B10" s="12" t="s">
        <v>19</v>
      </c>
      <c r="C10" s="60">
        <v>24</v>
      </c>
      <c r="D10" s="8">
        <v>9</v>
      </c>
      <c r="E10" s="60">
        <v>0</v>
      </c>
      <c r="F10" s="60">
        <v>0</v>
      </c>
      <c r="G10" s="60">
        <v>100</v>
      </c>
      <c r="H10" s="8">
        <v>49</v>
      </c>
      <c r="I10" s="8">
        <v>0</v>
      </c>
      <c r="J10" s="8">
        <v>4</v>
      </c>
      <c r="K10" s="8">
        <v>0</v>
      </c>
      <c r="L10" s="61">
        <v>14</v>
      </c>
      <c r="M10" s="47">
        <v>0</v>
      </c>
      <c r="N10" s="8">
        <v>35</v>
      </c>
      <c r="O10" s="13">
        <f t="shared" ref="O10:O16" si="0">SUM(C10:N10)</f>
        <v>235</v>
      </c>
      <c r="P10" s="292"/>
      <c r="Q10" s="105">
        <f t="shared" ref="Q10:Q11" si="1">SUM(I10:K10)</f>
        <v>4</v>
      </c>
    </row>
    <row r="11" spans="1:19" ht="18.75" customHeight="1" x14ac:dyDescent="0.25">
      <c r="A11" s="11">
        <v>3</v>
      </c>
      <c r="B11" s="7" t="s">
        <v>20</v>
      </c>
      <c r="C11" s="60">
        <v>10</v>
      </c>
      <c r="D11" s="8">
        <v>5</v>
      </c>
      <c r="E11" s="60">
        <v>0</v>
      </c>
      <c r="F11" s="60">
        <v>0</v>
      </c>
      <c r="G11" s="60">
        <v>10</v>
      </c>
      <c r="H11" s="8">
        <v>0</v>
      </c>
      <c r="I11" s="8">
        <v>0</v>
      </c>
      <c r="J11" s="8">
        <v>0</v>
      </c>
      <c r="K11" s="8">
        <v>1</v>
      </c>
      <c r="L11" s="61">
        <v>0</v>
      </c>
      <c r="M11" s="8">
        <v>0</v>
      </c>
      <c r="N11" s="8">
        <v>0</v>
      </c>
      <c r="O11" s="13">
        <f t="shared" si="0"/>
        <v>26</v>
      </c>
      <c r="P11" s="292"/>
      <c r="Q11" s="105">
        <f t="shared" si="1"/>
        <v>1</v>
      </c>
    </row>
    <row r="12" spans="1:19" ht="18.75" customHeight="1" x14ac:dyDescent="0.25">
      <c r="A12" s="14">
        <v>4</v>
      </c>
      <c r="B12" s="15" t="s">
        <v>21</v>
      </c>
      <c r="C12" s="61">
        <v>129</v>
      </c>
      <c r="D12" s="16">
        <v>20</v>
      </c>
      <c r="E12" s="61">
        <v>5</v>
      </c>
      <c r="F12" s="61">
        <v>0</v>
      </c>
      <c r="G12" s="116">
        <v>3</v>
      </c>
      <c r="H12" s="16">
        <v>10</v>
      </c>
      <c r="I12" s="16">
        <v>0</v>
      </c>
      <c r="J12" s="16">
        <v>1</v>
      </c>
      <c r="K12" s="16">
        <v>0</v>
      </c>
      <c r="L12" s="61">
        <v>0</v>
      </c>
      <c r="M12" s="16">
        <v>0</v>
      </c>
      <c r="N12" s="16">
        <v>15</v>
      </c>
      <c r="O12" s="18">
        <f>SUM(C12:N12)</f>
        <v>183</v>
      </c>
      <c r="P12" s="292"/>
      <c r="Q12" s="105">
        <f>SUM(I12:K12)</f>
        <v>1</v>
      </c>
    </row>
    <row r="13" spans="1:19" ht="18.75" customHeight="1" x14ac:dyDescent="0.25">
      <c r="A13" s="14">
        <v>5</v>
      </c>
      <c r="B13" s="19" t="s">
        <v>22</v>
      </c>
      <c r="C13" s="61">
        <v>166</v>
      </c>
      <c r="D13" s="16">
        <v>0</v>
      </c>
      <c r="E13" s="61">
        <v>0</v>
      </c>
      <c r="F13" s="61">
        <v>8</v>
      </c>
      <c r="G13" s="61">
        <v>13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187</v>
      </c>
      <c r="P13" s="292"/>
      <c r="Q13" s="105">
        <f t="shared" ref="Q13:Q16" si="2">SUM(I13:K13)</f>
        <v>0</v>
      </c>
    </row>
    <row r="14" spans="1:19" ht="18.75" customHeight="1" x14ac:dyDescent="0.25">
      <c r="A14" s="14">
        <v>6</v>
      </c>
      <c r="B14" s="19" t="s">
        <v>23</v>
      </c>
      <c r="C14" s="61">
        <v>0</v>
      </c>
      <c r="D14" s="16">
        <v>1</v>
      </c>
      <c r="E14" s="61">
        <v>9</v>
      </c>
      <c r="F14" s="61">
        <v>17</v>
      </c>
      <c r="G14" s="61">
        <v>25</v>
      </c>
      <c r="H14" s="16">
        <v>0</v>
      </c>
      <c r="I14" s="16">
        <v>0</v>
      </c>
      <c r="J14" s="16">
        <v>7</v>
      </c>
      <c r="K14" s="16">
        <v>0</v>
      </c>
      <c r="L14" s="16">
        <v>8</v>
      </c>
      <c r="M14" s="16">
        <v>4</v>
      </c>
      <c r="N14" s="16">
        <v>6</v>
      </c>
      <c r="O14" s="18">
        <f t="shared" si="0"/>
        <v>77</v>
      </c>
      <c r="P14" s="292"/>
      <c r="Q14" s="105">
        <f t="shared" si="2"/>
        <v>7</v>
      </c>
      <c r="S14">
        <f>(8+19)/1782*100</f>
        <v>1.5151515151515151</v>
      </c>
    </row>
    <row r="15" spans="1:19" ht="18.75" customHeight="1" x14ac:dyDescent="0.25">
      <c r="A15" s="14">
        <v>7</v>
      </c>
      <c r="B15" s="19" t="s">
        <v>24</v>
      </c>
      <c r="C15" s="61">
        <v>178</v>
      </c>
      <c r="D15" s="16">
        <v>3</v>
      </c>
      <c r="E15" s="61">
        <v>0</v>
      </c>
      <c r="F15" s="61">
        <v>12</v>
      </c>
      <c r="G15" s="61">
        <v>169</v>
      </c>
      <c r="H15" s="16">
        <v>58</v>
      </c>
      <c r="I15" s="16">
        <v>25</v>
      </c>
      <c r="J15" s="16">
        <v>0</v>
      </c>
      <c r="K15" s="16">
        <v>0</v>
      </c>
      <c r="L15" s="16">
        <v>0</v>
      </c>
      <c r="M15" s="16">
        <v>5</v>
      </c>
      <c r="N15" s="16">
        <v>41</v>
      </c>
      <c r="O15" s="18">
        <f t="shared" si="0"/>
        <v>491</v>
      </c>
      <c r="P15" s="292"/>
      <c r="Q15" s="105">
        <f t="shared" si="2"/>
        <v>25</v>
      </c>
    </row>
    <row r="16" spans="1:19" ht="18.75" customHeight="1" thickBot="1" x14ac:dyDescent="0.3">
      <c r="A16" s="336">
        <v>8</v>
      </c>
      <c r="B16" s="337" t="s">
        <v>25</v>
      </c>
      <c r="C16" s="338">
        <v>7</v>
      </c>
      <c r="D16" s="339">
        <v>33</v>
      </c>
      <c r="E16" s="340">
        <v>0</v>
      </c>
      <c r="F16" s="340">
        <v>53</v>
      </c>
      <c r="G16" s="340">
        <v>89</v>
      </c>
      <c r="H16" s="339">
        <v>16</v>
      </c>
      <c r="I16" s="339">
        <v>25</v>
      </c>
      <c r="J16" s="339">
        <v>21</v>
      </c>
      <c r="K16" s="339">
        <v>3</v>
      </c>
      <c r="L16" s="339">
        <v>0</v>
      </c>
      <c r="M16" s="339">
        <v>13</v>
      </c>
      <c r="N16" s="339">
        <v>115</v>
      </c>
      <c r="O16" s="341">
        <f t="shared" si="0"/>
        <v>375</v>
      </c>
      <c r="P16" s="350"/>
      <c r="Q16" s="105">
        <f t="shared" si="2"/>
        <v>49</v>
      </c>
    </row>
    <row r="17" spans="1:23" ht="18.75" customHeight="1" thickTop="1" x14ac:dyDescent="0.25">
      <c r="A17" s="359" t="s">
        <v>26</v>
      </c>
      <c r="B17" s="360"/>
      <c r="C17" s="22">
        <f t="shared" ref="C17:N17" si="3">SUM(C9:C16)</f>
        <v>691</v>
      </c>
      <c r="D17" s="22">
        <f t="shared" si="3"/>
        <v>116</v>
      </c>
      <c r="E17" s="117">
        <f t="shared" si="3"/>
        <v>14</v>
      </c>
      <c r="F17" s="117">
        <f t="shared" si="3"/>
        <v>90</v>
      </c>
      <c r="G17" s="117">
        <f t="shared" si="3"/>
        <v>444</v>
      </c>
      <c r="H17" s="22">
        <f t="shared" si="3"/>
        <v>162</v>
      </c>
      <c r="I17" s="22">
        <f t="shared" si="3"/>
        <v>50</v>
      </c>
      <c r="J17" s="22">
        <f t="shared" si="3"/>
        <v>33</v>
      </c>
      <c r="K17" s="22">
        <f t="shared" si="3"/>
        <v>4</v>
      </c>
      <c r="L17" s="22">
        <f t="shared" si="3"/>
        <v>23</v>
      </c>
      <c r="M17" s="22">
        <f t="shared" si="3"/>
        <v>23</v>
      </c>
      <c r="N17" s="22">
        <f t="shared" si="3"/>
        <v>217</v>
      </c>
      <c r="O17" s="22">
        <f>SUM(O9:O16)</f>
        <v>1867</v>
      </c>
      <c r="P17" s="292"/>
      <c r="Q17" s="22">
        <f>SUM(Q9:Q16)</f>
        <v>87</v>
      </c>
      <c r="T17" s="22">
        <v>23</v>
      </c>
      <c r="U17" s="22">
        <v>23</v>
      </c>
      <c r="V17" s="22">
        <v>217</v>
      </c>
      <c r="W17" s="350">
        <v>40</v>
      </c>
    </row>
    <row r="18" spans="1:23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" x14ac:dyDescent="0.25">
      <c r="A19" s="136"/>
      <c r="B19" s="136"/>
      <c r="C19" s="23"/>
      <c r="D19" s="23"/>
      <c r="E19" s="23"/>
      <c r="F19" s="23"/>
      <c r="G19" s="23"/>
      <c r="H19" s="141"/>
      <c r="I19" s="141"/>
      <c r="J19" s="141"/>
      <c r="K19" s="141"/>
      <c r="L19" s="23"/>
      <c r="M19" s="23"/>
      <c r="N19" s="141"/>
      <c r="O19" s="23"/>
      <c r="P19" s="23"/>
      <c r="Q19" s="105">
        <f>SUM(L17:N17)</f>
        <v>263</v>
      </c>
      <c r="T19" s="105">
        <f>SUM(T17:W17)</f>
        <v>303</v>
      </c>
      <c r="U19" s="72">
        <f>T19/1782*100</f>
        <v>17.003367003367003</v>
      </c>
    </row>
    <row r="20" spans="1:23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141"/>
      <c r="L20" s="23"/>
      <c r="M20" s="23"/>
      <c r="N20" s="23"/>
      <c r="O20" s="23"/>
      <c r="P20" s="23"/>
      <c r="U20" s="72">
        <f>T19/2860*100</f>
        <v>10.594405594405593</v>
      </c>
    </row>
    <row r="21" spans="1:23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23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23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2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23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23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3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23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23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23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23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8.75" x14ac:dyDescent="0.3">
      <c r="A35" s="361" t="s">
        <v>27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47"/>
    </row>
    <row r="36" spans="1:16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47"/>
    </row>
    <row r="37" spans="1:16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47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  <c r="P39" s="96"/>
    </row>
    <row r="40" spans="1:16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  <c r="P40" s="96"/>
    </row>
    <row r="41" spans="1:16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P41" s="351"/>
    </row>
    <row r="42" spans="1:16" ht="18.75" customHeight="1" thickTop="1" x14ac:dyDescent="0.25">
      <c r="A42" s="27">
        <v>1</v>
      </c>
      <c r="B42" s="7" t="s">
        <v>18</v>
      </c>
      <c r="C42" s="63">
        <v>2</v>
      </c>
      <c r="D42" s="63">
        <v>0</v>
      </c>
      <c r="E42" s="28">
        <v>45</v>
      </c>
      <c r="F42" s="28">
        <v>177</v>
      </c>
      <c r="G42" s="28">
        <v>45</v>
      </c>
      <c r="H42" s="28">
        <v>0</v>
      </c>
      <c r="I42" s="28">
        <v>0</v>
      </c>
      <c r="J42" s="28">
        <v>35</v>
      </c>
      <c r="K42" s="28">
        <v>29</v>
      </c>
      <c r="L42" s="59">
        <v>0</v>
      </c>
      <c r="M42" s="28">
        <v>0</v>
      </c>
      <c r="N42" s="28">
        <v>0</v>
      </c>
      <c r="O42" s="29">
        <f>SUM(C42:N42)</f>
        <v>333</v>
      </c>
      <c r="P42" s="292"/>
    </row>
    <row r="43" spans="1:16" ht="18.75" customHeight="1" x14ac:dyDescent="0.25">
      <c r="A43" s="14">
        <v>2</v>
      </c>
      <c r="B43" s="12" t="s">
        <v>19</v>
      </c>
      <c r="C43" s="61">
        <v>6</v>
      </c>
      <c r="D43" s="16">
        <v>17</v>
      </c>
      <c r="E43" s="16">
        <v>133</v>
      </c>
      <c r="F43" s="16">
        <v>57</v>
      </c>
      <c r="G43" s="16">
        <v>5</v>
      </c>
      <c r="H43" s="16">
        <v>0</v>
      </c>
      <c r="I43" s="16">
        <v>8</v>
      </c>
      <c r="J43" s="16">
        <v>133</v>
      </c>
      <c r="K43" s="16">
        <v>8</v>
      </c>
      <c r="L43" s="61">
        <v>3</v>
      </c>
      <c r="M43" s="16">
        <v>1</v>
      </c>
      <c r="N43" s="16">
        <v>0</v>
      </c>
      <c r="O43" s="18">
        <f t="shared" ref="O43:O49" si="4">SUM(C43:N43)</f>
        <v>371</v>
      </c>
      <c r="P43" s="292"/>
    </row>
    <row r="44" spans="1:16" ht="18.75" customHeight="1" x14ac:dyDescent="0.25">
      <c r="A44" s="14">
        <v>3</v>
      </c>
      <c r="B44" s="7" t="s">
        <v>20</v>
      </c>
      <c r="C44" s="61">
        <v>0</v>
      </c>
      <c r="D44" s="16">
        <v>5</v>
      </c>
      <c r="E44" s="16">
        <v>5</v>
      </c>
      <c r="F44" s="16">
        <v>20</v>
      </c>
      <c r="G44" s="16">
        <v>0</v>
      </c>
      <c r="H44" s="16">
        <v>0</v>
      </c>
      <c r="I44" s="16">
        <v>0</v>
      </c>
      <c r="J44" s="16">
        <v>10</v>
      </c>
      <c r="K44" s="16">
        <v>0</v>
      </c>
      <c r="L44" s="61">
        <v>0</v>
      </c>
      <c r="M44" s="16">
        <v>0</v>
      </c>
      <c r="N44" s="16">
        <v>1</v>
      </c>
      <c r="O44" s="18">
        <f t="shared" si="4"/>
        <v>41</v>
      </c>
      <c r="P44" s="292"/>
    </row>
    <row r="45" spans="1:16" ht="18.75" customHeight="1" x14ac:dyDescent="0.25">
      <c r="A45" s="14">
        <v>4</v>
      </c>
      <c r="B45" s="15" t="s">
        <v>21</v>
      </c>
      <c r="C45" s="61">
        <v>5</v>
      </c>
      <c r="D45" s="16">
        <v>0</v>
      </c>
      <c r="E45" s="16">
        <v>10</v>
      </c>
      <c r="F45" s="16">
        <v>161</v>
      </c>
      <c r="G45" s="17">
        <v>25</v>
      </c>
      <c r="H45" s="16">
        <v>0</v>
      </c>
      <c r="I45" s="16">
        <v>3</v>
      </c>
      <c r="J45" s="16">
        <v>10</v>
      </c>
      <c r="K45" s="16">
        <v>0</v>
      </c>
      <c r="L45" s="61">
        <v>1</v>
      </c>
      <c r="M45" s="16">
        <v>0</v>
      </c>
      <c r="N45" s="16">
        <v>0</v>
      </c>
      <c r="O45" s="18">
        <f t="shared" si="4"/>
        <v>215</v>
      </c>
      <c r="P45" s="292"/>
    </row>
    <row r="46" spans="1:16" ht="18.75" customHeight="1" x14ac:dyDescent="0.25">
      <c r="A46" s="14">
        <v>5</v>
      </c>
      <c r="B46" s="19" t="s">
        <v>22</v>
      </c>
      <c r="C46" s="61">
        <v>0</v>
      </c>
      <c r="D46" s="16">
        <v>5</v>
      </c>
      <c r="E46" s="16">
        <v>10</v>
      </c>
      <c r="F46" s="16">
        <v>166</v>
      </c>
      <c r="G46" s="16">
        <v>0</v>
      </c>
      <c r="H46" s="16">
        <v>0</v>
      </c>
      <c r="I46" s="16">
        <v>8</v>
      </c>
      <c r="J46" s="16">
        <v>13</v>
      </c>
      <c r="K46" s="16">
        <v>0</v>
      </c>
      <c r="L46" s="16">
        <v>0</v>
      </c>
      <c r="M46" s="16">
        <v>0</v>
      </c>
      <c r="N46" s="16">
        <v>0</v>
      </c>
      <c r="O46" s="18">
        <f t="shared" si="4"/>
        <v>202</v>
      </c>
      <c r="P46" s="292"/>
    </row>
    <row r="47" spans="1:16" ht="18.75" customHeight="1" x14ac:dyDescent="0.25">
      <c r="A47" s="14">
        <v>6</v>
      </c>
      <c r="B47" s="19" t="s">
        <v>23</v>
      </c>
      <c r="C47" s="61">
        <v>7</v>
      </c>
      <c r="D47" s="16">
        <v>43</v>
      </c>
      <c r="E47" s="16">
        <v>0</v>
      </c>
      <c r="F47" s="16">
        <v>0</v>
      </c>
      <c r="G47" s="16">
        <v>1</v>
      </c>
      <c r="H47" s="16">
        <v>15</v>
      </c>
      <c r="I47" s="16">
        <v>11</v>
      </c>
      <c r="J47" s="16">
        <v>25</v>
      </c>
      <c r="K47" s="16">
        <v>0</v>
      </c>
      <c r="L47" s="16">
        <v>0</v>
      </c>
      <c r="M47" s="16">
        <v>0</v>
      </c>
      <c r="N47" s="16">
        <v>7</v>
      </c>
      <c r="O47" s="18">
        <f t="shared" si="4"/>
        <v>109</v>
      </c>
      <c r="P47" s="292"/>
    </row>
    <row r="48" spans="1:16" ht="18.75" customHeight="1" x14ac:dyDescent="0.25">
      <c r="A48" s="14">
        <v>7</v>
      </c>
      <c r="B48" s="19" t="s">
        <v>24</v>
      </c>
      <c r="C48" s="61">
        <v>15</v>
      </c>
      <c r="D48" s="16">
        <v>5</v>
      </c>
      <c r="E48" s="16">
        <v>162</v>
      </c>
      <c r="F48" s="16">
        <v>158</v>
      </c>
      <c r="G48" s="16">
        <v>2</v>
      </c>
      <c r="H48" s="16">
        <v>15</v>
      </c>
      <c r="I48" s="16">
        <v>12</v>
      </c>
      <c r="J48" s="16">
        <v>165</v>
      </c>
      <c r="K48" s="16">
        <v>48</v>
      </c>
      <c r="L48" s="16">
        <v>24</v>
      </c>
      <c r="M48" s="16">
        <v>0</v>
      </c>
      <c r="N48" s="16">
        <v>0</v>
      </c>
      <c r="O48" s="18">
        <f t="shared" si="4"/>
        <v>606</v>
      </c>
      <c r="P48" s="292"/>
    </row>
    <row r="49" spans="1:16" ht="18.75" customHeight="1" thickBot="1" x14ac:dyDescent="0.3">
      <c r="A49" s="336">
        <v>8</v>
      </c>
      <c r="B49" s="337" t="s">
        <v>25</v>
      </c>
      <c r="C49" s="338">
        <v>26</v>
      </c>
      <c r="D49" s="339">
        <v>113</v>
      </c>
      <c r="E49" s="339">
        <v>134</v>
      </c>
      <c r="F49" s="339">
        <v>0</v>
      </c>
      <c r="G49" s="339">
        <v>40</v>
      </c>
      <c r="H49" s="339">
        <v>30</v>
      </c>
      <c r="I49" s="339">
        <v>112</v>
      </c>
      <c r="J49" s="339">
        <v>16</v>
      </c>
      <c r="K49" s="339">
        <v>25</v>
      </c>
      <c r="L49" s="339">
        <v>21</v>
      </c>
      <c r="M49" s="339">
        <v>3</v>
      </c>
      <c r="N49" s="339">
        <v>0</v>
      </c>
      <c r="O49" s="341">
        <f t="shared" si="4"/>
        <v>520</v>
      </c>
      <c r="P49" s="350"/>
    </row>
    <row r="50" spans="1:16" ht="18.75" customHeight="1" thickTop="1" x14ac:dyDescent="0.25">
      <c r="A50" s="359" t="s">
        <v>26</v>
      </c>
      <c r="B50" s="360"/>
      <c r="C50" s="22">
        <f t="shared" ref="C50:O50" si="5">SUM(C42:C49)</f>
        <v>61</v>
      </c>
      <c r="D50" s="22">
        <f t="shared" si="5"/>
        <v>188</v>
      </c>
      <c r="E50" s="22">
        <f t="shared" si="5"/>
        <v>499</v>
      </c>
      <c r="F50" s="22">
        <f t="shared" si="5"/>
        <v>739</v>
      </c>
      <c r="G50" s="22">
        <f t="shared" si="5"/>
        <v>118</v>
      </c>
      <c r="H50" s="22">
        <f t="shared" si="5"/>
        <v>60</v>
      </c>
      <c r="I50" s="22">
        <f t="shared" si="5"/>
        <v>154</v>
      </c>
      <c r="J50" s="22">
        <f t="shared" si="5"/>
        <v>407</v>
      </c>
      <c r="K50" s="22">
        <f t="shared" si="5"/>
        <v>110</v>
      </c>
      <c r="L50" s="22">
        <f t="shared" si="5"/>
        <v>49</v>
      </c>
      <c r="M50" s="22">
        <f t="shared" si="5"/>
        <v>4</v>
      </c>
      <c r="N50" s="22">
        <f t="shared" si="5"/>
        <v>8</v>
      </c>
      <c r="O50" s="22">
        <f t="shared" si="5"/>
        <v>2397</v>
      </c>
      <c r="P50" s="292"/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6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3">
        <f>SUM(C50:J50)</f>
        <v>2226</v>
      </c>
      <c r="K52" s="24"/>
      <c r="L52" s="24"/>
      <c r="M52" s="24"/>
      <c r="N52" s="24"/>
      <c r="O52" s="24"/>
      <c r="P52" s="24"/>
    </row>
    <row r="53" spans="1:16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3">
        <f>J50*5.8</f>
        <v>2360.6</v>
      </c>
      <c r="M56" s="24"/>
      <c r="N56" s="24"/>
      <c r="O56" s="24"/>
      <c r="P56" s="24"/>
    </row>
    <row r="57" spans="1:16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7" ht="18.75" x14ac:dyDescent="0.3">
      <c r="A68" s="361" t="s">
        <v>28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  <c r="P68" s="347"/>
    </row>
    <row r="69" spans="1:17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4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47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  <c r="P71" s="3"/>
    </row>
    <row r="72" spans="1:17" x14ac:dyDescent="0.25">
      <c r="A72" s="366" t="s">
        <v>2</v>
      </c>
      <c r="B72" s="366" t="s">
        <v>3</v>
      </c>
      <c r="C72" s="368" t="s">
        <v>4</v>
      </c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6" t="s">
        <v>5</v>
      </c>
      <c r="P72" s="352"/>
    </row>
    <row r="73" spans="1:17" x14ac:dyDescent="0.25">
      <c r="A73" s="367"/>
      <c r="B73" s="367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69"/>
      <c r="P73" s="352"/>
    </row>
    <row r="74" spans="1:17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348"/>
    </row>
    <row r="75" spans="1:17" ht="18.75" customHeight="1" thickTop="1" x14ac:dyDescent="0.25">
      <c r="A75" s="6">
        <v>1</v>
      </c>
      <c r="B75" s="7" t="s">
        <v>18</v>
      </c>
      <c r="C75" s="63">
        <v>10</v>
      </c>
      <c r="D75" s="63">
        <v>0</v>
      </c>
      <c r="E75" s="28">
        <v>243</v>
      </c>
      <c r="F75" s="9">
        <v>1027</v>
      </c>
      <c r="G75" s="28">
        <v>256</v>
      </c>
      <c r="H75" s="28">
        <v>0</v>
      </c>
      <c r="I75" s="28">
        <v>0</v>
      </c>
      <c r="J75" s="28">
        <v>172</v>
      </c>
      <c r="K75" s="28">
        <v>153</v>
      </c>
      <c r="L75" s="59">
        <v>0</v>
      </c>
      <c r="M75" s="28">
        <v>0</v>
      </c>
      <c r="N75" s="28">
        <v>0</v>
      </c>
      <c r="O75" s="10">
        <f>SUM(C75:N75)</f>
        <v>1861</v>
      </c>
      <c r="P75" s="349"/>
      <c r="Q75" s="105">
        <f>O75*4700*1000</f>
        <v>8746700000</v>
      </c>
    </row>
    <row r="76" spans="1:17" ht="18.75" customHeight="1" x14ac:dyDescent="0.25">
      <c r="A76" s="14">
        <v>2</v>
      </c>
      <c r="B76" s="12" t="s">
        <v>19</v>
      </c>
      <c r="C76" s="61">
        <v>54</v>
      </c>
      <c r="D76" s="16">
        <v>134</v>
      </c>
      <c r="E76" s="16">
        <v>1176</v>
      </c>
      <c r="F76" s="16">
        <v>481</v>
      </c>
      <c r="G76" s="16">
        <v>42</v>
      </c>
      <c r="H76" s="16">
        <v>0</v>
      </c>
      <c r="I76" s="16">
        <v>65</v>
      </c>
      <c r="J76" s="16">
        <v>1038</v>
      </c>
      <c r="K76" s="16">
        <v>56</v>
      </c>
      <c r="L76" s="61">
        <v>22</v>
      </c>
      <c r="M76" s="16">
        <v>8</v>
      </c>
      <c r="N76" s="16">
        <v>0</v>
      </c>
      <c r="O76" s="18">
        <f t="shared" ref="O76:O82" si="6">SUM(C76:N76)</f>
        <v>3076</v>
      </c>
      <c r="P76" s="292"/>
      <c r="Q76" s="105">
        <f t="shared" ref="Q76:Q82" si="7">O76*4700*1000</f>
        <v>14457200000</v>
      </c>
    </row>
    <row r="77" spans="1:17" ht="18.75" customHeight="1" x14ac:dyDescent="0.25">
      <c r="A77" s="14">
        <v>3</v>
      </c>
      <c r="B77" s="7" t="s">
        <v>20</v>
      </c>
      <c r="C77" s="61">
        <v>0</v>
      </c>
      <c r="D77" s="16">
        <v>31</v>
      </c>
      <c r="E77" s="16">
        <v>29</v>
      </c>
      <c r="F77" s="16">
        <v>114</v>
      </c>
      <c r="G77" s="16">
        <v>0</v>
      </c>
      <c r="H77" s="16">
        <v>0</v>
      </c>
      <c r="I77" s="16">
        <v>0</v>
      </c>
      <c r="J77" s="16">
        <v>49</v>
      </c>
      <c r="K77" s="16">
        <v>0</v>
      </c>
      <c r="L77" s="61">
        <v>0</v>
      </c>
      <c r="M77" s="16">
        <v>0</v>
      </c>
      <c r="N77" s="16">
        <v>5</v>
      </c>
      <c r="O77" s="18">
        <f t="shared" si="6"/>
        <v>228</v>
      </c>
      <c r="P77" s="292"/>
      <c r="Q77" s="105">
        <f t="shared" si="7"/>
        <v>1071600000</v>
      </c>
    </row>
    <row r="78" spans="1:17" ht="18.75" customHeight="1" x14ac:dyDescent="0.25">
      <c r="A78" s="14">
        <v>4</v>
      </c>
      <c r="B78" s="15" t="s">
        <v>21</v>
      </c>
      <c r="C78" s="61">
        <v>44</v>
      </c>
      <c r="D78" s="16">
        <v>0</v>
      </c>
      <c r="E78" s="16">
        <v>56</v>
      </c>
      <c r="F78" s="17">
        <v>1090</v>
      </c>
      <c r="G78" s="17">
        <v>170</v>
      </c>
      <c r="H78" s="16">
        <v>0</v>
      </c>
      <c r="I78" s="16">
        <v>20</v>
      </c>
      <c r="J78" s="16">
        <v>58</v>
      </c>
      <c r="K78" s="16">
        <v>0</v>
      </c>
      <c r="L78" s="61">
        <v>5</v>
      </c>
      <c r="M78" s="16">
        <v>0</v>
      </c>
      <c r="N78" s="16">
        <v>0</v>
      </c>
      <c r="O78" s="18">
        <f t="shared" si="6"/>
        <v>1443</v>
      </c>
      <c r="P78" s="292"/>
      <c r="Q78" s="105">
        <f t="shared" si="7"/>
        <v>6782100000</v>
      </c>
    </row>
    <row r="79" spans="1:17" ht="18.75" customHeight="1" x14ac:dyDescent="0.25">
      <c r="A79" s="14">
        <v>5</v>
      </c>
      <c r="B79" s="19" t="s">
        <v>22</v>
      </c>
      <c r="C79" s="61">
        <v>0</v>
      </c>
      <c r="D79" s="16">
        <v>29</v>
      </c>
      <c r="E79" s="16">
        <v>62</v>
      </c>
      <c r="F79" s="16">
        <v>1093</v>
      </c>
      <c r="G79" s="16">
        <v>0</v>
      </c>
      <c r="H79" s="16">
        <v>0</v>
      </c>
      <c r="I79" s="16">
        <v>52</v>
      </c>
      <c r="J79" s="16">
        <v>71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1307</v>
      </c>
      <c r="P79" s="292"/>
      <c r="Q79" s="105">
        <f t="shared" si="7"/>
        <v>6142900000</v>
      </c>
    </row>
    <row r="80" spans="1:17" ht="18.75" customHeight="1" x14ac:dyDescent="0.25">
      <c r="A80" s="14">
        <v>6</v>
      </c>
      <c r="B80" s="19" t="s">
        <v>23</v>
      </c>
      <c r="C80" s="61">
        <v>53</v>
      </c>
      <c r="D80" s="16">
        <v>268</v>
      </c>
      <c r="E80" s="16">
        <v>0</v>
      </c>
      <c r="F80" s="16">
        <v>0</v>
      </c>
      <c r="G80" s="16">
        <v>5</v>
      </c>
      <c r="H80" s="16">
        <v>100</v>
      </c>
      <c r="I80" s="16">
        <v>76</v>
      </c>
      <c r="J80" s="16">
        <v>186</v>
      </c>
      <c r="K80" s="16">
        <v>0</v>
      </c>
      <c r="L80" s="16">
        <v>0</v>
      </c>
      <c r="M80" s="16">
        <v>0</v>
      </c>
      <c r="N80" s="16">
        <v>50</v>
      </c>
      <c r="O80" s="18">
        <f t="shared" si="6"/>
        <v>738</v>
      </c>
      <c r="P80" s="292"/>
      <c r="Q80" s="105">
        <f t="shared" si="7"/>
        <v>3468600000</v>
      </c>
    </row>
    <row r="81" spans="1:17" ht="18.75" customHeight="1" x14ac:dyDescent="0.25">
      <c r="A81" s="14">
        <v>7</v>
      </c>
      <c r="B81" s="19" t="s">
        <v>24</v>
      </c>
      <c r="C81" s="61">
        <v>54</v>
      </c>
      <c r="D81" s="16">
        <v>27</v>
      </c>
      <c r="E81" s="16">
        <v>907</v>
      </c>
      <c r="F81" s="16">
        <v>869</v>
      </c>
      <c r="G81" s="16">
        <v>8</v>
      </c>
      <c r="H81" s="16">
        <v>58</v>
      </c>
      <c r="I81" s="16">
        <v>57</v>
      </c>
      <c r="J81" s="16">
        <v>990</v>
      </c>
      <c r="K81" s="16">
        <v>274</v>
      </c>
      <c r="L81" s="16">
        <v>114</v>
      </c>
      <c r="M81" s="16">
        <v>0</v>
      </c>
      <c r="N81" s="16">
        <v>0</v>
      </c>
      <c r="O81" s="18">
        <f t="shared" si="6"/>
        <v>3358</v>
      </c>
      <c r="P81" s="292"/>
      <c r="Q81" s="105">
        <f t="shared" si="7"/>
        <v>15782600000</v>
      </c>
    </row>
    <row r="82" spans="1:17" ht="18.75" customHeight="1" thickBot="1" x14ac:dyDescent="0.3">
      <c r="A82" s="336">
        <v>8</v>
      </c>
      <c r="B82" s="337" t="s">
        <v>25</v>
      </c>
      <c r="C82" s="338">
        <v>205</v>
      </c>
      <c r="D82" s="339">
        <v>678</v>
      </c>
      <c r="E82" s="339">
        <v>791</v>
      </c>
      <c r="F82" s="339">
        <v>0</v>
      </c>
      <c r="G82" s="339">
        <v>354</v>
      </c>
      <c r="H82" s="339">
        <v>147</v>
      </c>
      <c r="I82" s="339">
        <v>647</v>
      </c>
      <c r="J82" s="339">
        <v>80</v>
      </c>
      <c r="K82" s="339">
        <v>138</v>
      </c>
      <c r="L82" s="339">
        <v>122</v>
      </c>
      <c r="M82" s="339">
        <v>17</v>
      </c>
      <c r="N82" s="339">
        <v>0</v>
      </c>
      <c r="O82" s="341">
        <f t="shared" si="6"/>
        <v>3179</v>
      </c>
      <c r="P82" s="350"/>
      <c r="Q82" s="105">
        <f t="shared" si="7"/>
        <v>14941300000</v>
      </c>
    </row>
    <row r="83" spans="1:17" ht="18.75" customHeight="1" thickTop="1" x14ac:dyDescent="0.25">
      <c r="A83" s="359" t="s">
        <v>26</v>
      </c>
      <c r="B83" s="360"/>
      <c r="C83" s="22">
        <f t="shared" ref="C83:N83" si="8">SUM(C75:C82)</f>
        <v>420</v>
      </c>
      <c r="D83" s="22">
        <f t="shared" si="8"/>
        <v>1167</v>
      </c>
      <c r="E83" s="22">
        <f t="shared" si="8"/>
        <v>3264</v>
      </c>
      <c r="F83" s="22">
        <f t="shared" si="8"/>
        <v>4674</v>
      </c>
      <c r="G83" s="22">
        <f t="shared" si="8"/>
        <v>835</v>
      </c>
      <c r="H83" s="22">
        <f t="shared" si="8"/>
        <v>305</v>
      </c>
      <c r="I83" s="22">
        <f t="shared" si="8"/>
        <v>917</v>
      </c>
      <c r="J83" s="22">
        <f t="shared" si="8"/>
        <v>2644</v>
      </c>
      <c r="K83" s="22">
        <f t="shared" si="8"/>
        <v>621</v>
      </c>
      <c r="L83" s="22">
        <f t="shared" si="8"/>
        <v>263</v>
      </c>
      <c r="M83" s="22">
        <f t="shared" si="8"/>
        <v>25</v>
      </c>
      <c r="N83" s="22">
        <f t="shared" si="8"/>
        <v>55</v>
      </c>
      <c r="O83" s="22">
        <f>SUM(O75:O82)</f>
        <v>15190</v>
      </c>
      <c r="P83" s="292"/>
    </row>
    <row r="84" spans="1:17" x14ac:dyDescent="0.25">
      <c r="A84" s="23"/>
      <c r="B84" s="23"/>
      <c r="C84" s="141"/>
      <c r="D84" s="30"/>
      <c r="E84" s="23"/>
      <c r="F84" s="141"/>
      <c r="G84" s="23"/>
      <c r="H84" s="23"/>
      <c r="I84" s="141"/>
      <c r="J84" s="23"/>
      <c r="K84" s="23"/>
      <c r="L84" s="141"/>
      <c r="M84" s="23"/>
      <c r="N84" s="23"/>
      <c r="O84" s="141"/>
      <c r="P84" s="141"/>
    </row>
    <row r="85" spans="1:17" x14ac:dyDescent="0.25">
      <c r="A85" s="24"/>
      <c r="B85" s="24"/>
      <c r="C85" s="24"/>
      <c r="E85" s="24"/>
      <c r="F85" s="24"/>
      <c r="G85" s="24"/>
      <c r="H85" s="24"/>
      <c r="I85" s="24"/>
      <c r="J85" s="103"/>
      <c r="K85" s="24"/>
      <c r="L85" s="24"/>
      <c r="M85" s="24"/>
      <c r="N85" s="24"/>
      <c r="O85" s="24"/>
      <c r="P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103"/>
      <c r="K86" s="24"/>
      <c r="L86" s="24"/>
      <c r="M86" s="24"/>
      <c r="N86" s="103"/>
      <c r="O86" s="24"/>
      <c r="P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8.75" x14ac:dyDescent="0.3">
      <c r="A101" s="361" t="s">
        <v>30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47"/>
    </row>
    <row r="102" spans="1:16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47"/>
    </row>
    <row r="103" spans="1:1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47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6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  <c r="P105" s="96"/>
    </row>
    <row r="106" spans="1:16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  <c r="P106" s="96"/>
    </row>
    <row r="107" spans="1:16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  <c r="P107" s="351"/>
    </row>
    <row r="108" spans="1:16" ht="18.75" customHeight="1" thickTop="1" x14ac:dyDescent="0.25">
      <c r="A108" s="27">
        <v>1</v>
      </c>
      <c r="B108" s="7" t="s">
        <v>18</v>
      </c>
      <c r="C108" s="64">
        <v>53</v>
      </c>
      <c r="D108" s="64">
        <v>0</v>
      </c>
      <c r="E108" s="69">
        <v>54</v>
      </c>
      <c r="F108" s="32">
        <v>58</v>
      </c>
      <c r="G108" s="32">
        <v>57</v>
      </c>
      <c r="H108" s="32">
        <v>0</v>
      </c>
      <c r="I108" s="32">
        <v>0</v>
      </c>
      <c r="J108" s="32">
        <v>49.3</v>
      </c>
      <c r="K108" s="32">
        <v>52.75</v>
      </c>
      <c r="L108" s="65">
        <v>0</v>
      </c>
      <c r="M108" s="32">
        <v>0</v>
      </c>
      <c r="N108" s="32">
        <v>0</v>
      </c>
      <c r="O108" s="33">
        <f t="shared" ref="O108:O115" si="9">O75/O42*10</f>
        <v>55.885885885885884</v>
      </c>
      <c r="P108" s="353"/>
    </row>
    <row r="109" spans="1:16" ht="18.75" customHeight="1" x14ac:dyDescent="0.25">
      <c r="A109" s="14">
        <v>2</v>
      </c>
      <c r="B109" s="12" t="s">
        <v>19</v>
      </c>
      <c r="C109" s="66">
        <v>89.76</v>
      </c>
      <c r="D109" s="34">
        <v>78.88</v>
      </c>
      <c r="E109" s="34">
        <v>88.4</v>
      </c>
      <c r="F109" s="34">
        <v>84.32</v>
      </c>
      <c r="G109" s="34">
        <v>84.32</v>
      </c>
      <c r="H109" s="34">
        <v>0</v>
      </c>
      <c r="I109" s="34">
        <v>81.92</v>
      </c>
      <c r="J109" s="34">
        <v>78.08</v>
      </c>
      <c r="K109" s="34">
        <v>70.52</v>
      </c>
      <c r="L109" s="66">
        <v>74.239999999999995</v>
      </c>
      <c r="M109" s="34">
        <v>78.88</v>
      </c>
      <c r="N109" s="34">
        <v>0</v>
      </c>
      <c r="O109" s="35">
        <f t="shared" si="9"/>
        <v>82.911051212937991</v>
      </c>
      <c r="P109" s="353"/>
    </row>
    <row r="110" spans="1:16" ht="18.75" customHeight="1" x14ac:dyDescent="0.25">
      <c r="A110" s="14">
        <v>3</v>
      </c>
      <c r="B110" s="7" t="s">
        <v>20</v>
      </c>
      <c r="C110" s="66">
        <v>0</v>
      </c>
      <c r="D110" s="34">
        <v>63</v>
      </c>
      <c r="E110" s="34">
        <v>57.15</v>
      </c>
      <c r="F110" s="34">
        <v>57</v>
      </c>
      <c r="G110" s="34">
        <v>0</v>
      </c>
      <c r="H110" s="34">
        <v>0</v>
      </c>
      <c r="I110" s="34">
        <v>0</v>
      </c>
      <c r="J110" s="34">
        <v>49.08</v>
      </c>
      <c r="K110" s="34">
        <v>0</v>
      </c>
      <c r="L110" s="66">
        <v>0</v>
      </c>
      <c r="M110" s="34">
        <v>0</v>
      </c>
      <c r="N110" s="34">
        <v>49.3</v>
      </c>
      <c r="O110" s="35">
        <f t="shared" si="9"/>
        <v>55.609756097560975</v>
      </c>
      <c r="P110" s="353"/>
    </row>
    <row r="111" spans="1:16" ht="18.75" customHeight="1" x14ac:dyDescent="0.25">
      <c r="A111" s="14">
        <v>4</v>
      </c>
      <c r="B111" s="15" t="s">
        <v>21</v>
      </c>
      <c r="C111" s="66">
        <v>88.4</v>
      </c>
      <c r="D111" s="34">
        <v>0</v>
      </c>
      <c r="E111" s="34">
        <v>56.48</v>
      </c>
      <c r="F111" s="34">
        <v>67.680000000000007</v>
      </c>
      <c r="G111" s="36">
        <v>67.88</v>
      </c>
      <c r="H111" s="34">
        <v>0</v>
      </c>
      <c r="I111" s="34">
        <v>67.8</v>
      </c>
      <c r="J111" s="34">
        <v>58.48</v>
      </c>
      <c r="K111" s="34">
        <v>0</v>
      </c>
      <c r="L111" s="66">
        <v>57.53</v>
      </c>
      <c r="M111" s="34">
        <v>0</v>
      </c>
      <c r="N111" s="34">
        <v>0</v>
      </c>
      <c r="O111" s="35">
        <f t="shared" si="9"/>
        <v>67.116279069767444</v>
      </c>
      <c r="P111" s="353"/>
    </row>
    <row r="112" spans="1:16" ht="18.75" customHeight="1" x14ac:dyDescent="0.25">
      <c r="A112" s="14">
        <v>5</v>
      </c>
      <c r="B112" s="19" t="s">
        <v>22</v>
      </c>
      <c r="C112" s="66">
        <v>0</v>
      </c>
      <c r="D112" s="34">
        <v>59</v>
      </c>
      <c r="E112" s="34">
        <v>62</v>
      </c>
      <c r="F112" s="34">
        <v>65.849999999999994</v>
      </c>
      <c r="G112" s="34">
        <v>0</v>
      </c>
      <c r="H112" s="34">
        <v>0</v>
      </c>
      <c r="I112" s="34">
        <v>64.5</v>
      </c>
      <c r="J112" s="34">
        <v>54.83</v>
      </c>
      <c r="K112" s="34">
        <v>0</v>
      </c>
      <c r="L112" s="34">
        <v>0</v>
      </c>
      <c r="M112" s="34">
        <v>0</v>
      </c>
      <c r="N112" s="34">
        <v>0</v>
      </c>
      <c r="O112" s="35">
        <f t="shared" si="9"/>
        <v>64.702970297029708</v>
      </c>
      <c r="P112" s="353"/>
    </row>
    <row r="113" spans="1:16" ht="18.75" customHeight="1" x14ac:dyDescent="0.25">
      <c r="A113" s="14">
        <v>6</v>
      </c>
      <c r="B113" s="19" t="s">
        <v>23</v>
      </c>
      <c r="C113" s="66">
        <v>76.16</v>
      </c>
      <c r="D113" s="34">
        <v>62.42</v>
      </c>
      <c r="E113" s="34">
        <v>0</v>
      </c>
      <c r="F113" s="34">
        <v>0</v>
      </c>
      <c r="G113" s="34">
        <v>56.01</v>
      </c>
      <c r="H113" s="34">
        <v>66.56</v>
      </c>
      <c r="I113" s="34">
        <v>68.36</v>
      </c>
      <c r="J113" s="34">
        <v>74.239999999999995</v>
      </c>
      <c r="K113" s="34">
        <v>0</v>
      </c>
      <c r="L113" s="34">
        <v>0</v>
      </c>
      <c r="M113" s="34">
        <v>0</v>
      </c>
      <c r="N113" s="34">
        <v>71.680000000000007</v>
      </c>
      <c r="O113" s="35">
        <f t="shared" si="9"/>
        <v>67.706422018348619</v>
      </c>
      <c r="P113" s="353"/>
    </row>
    <row r="114" spans="1:16" ht="18.75" customHeight="1" x14ac:dyDescent="0.25">
      <c r="A114" s="14">
        <v>7</v>
      </c>
      <c r="B114" s="19" t="s">
        <v>24</v>
      </c>
      <c r="C114" s="66">
        <v>52.7</v>
      </c>
      <c r="D114" s="34">
        <v>53.3</v>
      </c>
      <c r="E114" s="34">
        <v>56</v>
      </c>
      <c r="F114" s="34">
        <v>55</v>
      </c>
      <c r="G114" s="34">
        <v>41.75</v>
      </c>
      <c r="H114" s="34">
        <v>38.299999999999997</v>
      </c>
      <c r="I114" s="34">
        <v>47.6</v>
      </c>
      <c r="J114" s="34">
        <v>60</v>
      </c>
      <c r="K114" s="34">
        <v>57</v>
      </c>
      <c r="L114" s="34">
        <v>47.5</v>
      </c>
      <c r="M114" s="34">
        <v>0</v>
      </c>
      <c r="N114" s="34">
        <v>0</v>
      </c>
      <c r="O114" s="35">
        <f t="shared" si="9"/>
        <v>55.412541254125415</v>
      </c>
      <c r="P114" s="353"/>
    </row>
    <row r="115" spans="1:16" ht="18.75" customHeight="1" thickBot="1" x14ac:dyDescent="0.3">
      <c r="A115" s="336">
        <v>8</v>
      </c>
      <c r="B115" s="337" t="s">
        <v>25</v>
      </c>
      <c r="C115" s="342">
        <v>78.88</v>
      </c>
      <c r="D115" s="343">
        <v>60</v>
      </c>
      <c r="E115" s="343">
        <v>59.01</v>
      </c>
      <c r="F115" s="343">
        <v>0</v>
      </c>
      <c r="G115" s="343">
        <v>88.4</v>
      </c>
      <c r="H115" s="343">
        <v>48.96</v>
      </c>
      <c r="I115" s="180">
        <v>57.74</v>
      </c>
      <c r="J115" s="343">
        <v>49.87</v>
      </c>
      <c r="K115" s="343">
        <v>55.12</v>
      </c>
      <c r="L115" s="343">
        <v>58</v>
      </c>
      <c r="M115" s="343">
        <v>56.15</v>
      </c>
      <c r="N115" s="343">
        <v>0</v>
      </c>
      <c r="O115" s="344">
        <f t="shared" si="9"/>
        <v>61.134615384615387</v>
      </c>
      <c r="P115" s="354"/>
    </row>
    <row r="116" spans="1:16" ht="18.75" customHeight="1" thickTop="1" x14ac:dyDescent="0.25">
      <c r="A116" s="359" t="s">
        <v>26</v>
      </c>
      <c r="B116" s="360"/>
      <c r="C116" s="38">
        <f>C83/C50*10</f>
        <v>68.852459016393439</v>
      </c>
      <c r="D116" s="38">
        <f>D83/D50*10</f>
        <v>62.074468085106382</v>
      </c>
      <c r="E116" s="38">
        <f>E83/E50*10</f>
        <v>65.410821643286582</v>
      </c>
      <c r="F116" s="38">
        <f t="shared" ref="F116:O116" si="10">F83/F50*10</f>
        <v>63.247631935047359</v>
      </c>
      <c r="G116" s="38">
        <f>G83/G50*10</f>
        <v>70.762711864406782</v>
      </c>
      <c r="H116" s="38">
        <f>H83/H50*10</f>
        <v>50.833333333333329</v>
      </c>
      <c r="I116" s="38">
        <f t="shared" si="10"/>
        <v>59.54545454545454</v>
      </c>
      <c r="J116" s="38">
        <f t="shared" si="10"/>
        <v>64.963144963144956</v>
      </c>
      <c r="K116" s="38">
        <f t="shared" si="10"/>
        <v>56.454545454545453</v>
      </c>
      <c r="L116" s="38">
        <f t="shared" si="10"/>
        <v>53.673469387755105</v>
      </c>
      <c r="M116" s="38">
        <f t="shared" si="10"/>
        <v>62.5</v>
      </c>
      <c r="N116" s="38">
        <f t="shared" si="10"/>
        <v>68.75</v>
      </c>
      <c r="O116" s="38">
        <f t="shared" si="10"/>
        <v>63.370880267000416</v>
      </c>
      <c r="P116" s="35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</row>
    <row r="118" spans="1:16" x14ac:dyDescent="0.25">
      <c r="F118" s="72"/>
      <c r="J118" s="72"/>
      <c r="N118" s="72"/>
    </row>
    <row r="119" spans="1:16" x14ac:dyDescent="0.25">
      <c r="K119" t="s">
        <v>163</v>
      </c>
    </row>
    <row r="120" spans="1:16" x14ac:dyDescent="0.25">
      <c r="K120" t="s">
        <v>86</v>
      </c>
    </row>
    <row r="124" spans="1:16" x14ac:dyDescent="0.25">
      <c r="K124" t="s">
        <v>164</v>
      </c>
    </row>
    <row r="125" spans="1:16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zoomScale="90" zoomScaleNormal="90" workbookViewId="0">
      <selection sqref="A1:O1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361" t="s">
        <v>32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</row>
    <row r="2" spans="1:15" ht="18.75" x14ac:dyDescent="0.3">
      <c r="A2" s="361" t="s">
        <v>145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362" t="s">
        <v>2</v>
      </c>
      <c r="B4" s="362" t="s">
        <v>3</v>
      </c>
      <c r="C4" s="364" t="s">
        <v>4</v>
      </c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2" t="s">
        <v>5</v>
      </c>
    </row>
    <row r="5" spans="1:15" x14ac:dyDescent="0.25">
      <c r="A5" s="363"/>
      <c r="B5" s="363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65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f t="shared" si="0"/>
        <v>1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0</v>
      </c>
    </row>
    <row r="15" spans="1:15" ht="18.75" customHeight="1" thickTop="1" x14ac:dyDescent="0.25">
      <c r="A15" s="359" t="s">
        <v>26</v>
      </c>
      <c r="B15" s="360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1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1</v>
      </c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18.75" x14ac:dyDescent="0.3">
      <c r="A17" s="361" t="s">
        <v>76</v>
      </c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</row>
    <row r="18" spans="1:15" ht="18.75" x14ac:dyDescent="0.3">
      <c r="A18" s="361" t="s">
        <v>145</v>
      </c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 t="s">
        <v>1</v>
      </c>
    </row>
    <row r="20" spans="1:15" x14ac:dyDescent="0.25">
      <c r="A20" s="362" t="s">
        <v>2</v>
      </c>
      <c r="B20" s="362" t="s">
        <v>3</v>
      </c>
      <c r="C20" s="364" t="s">
        <v>4</v>
      </c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2" t="s">
        <v>5</v>
      </c>
    </row>
    <row r="21" spans="1:15" x14ac:dyDescent="0.25">
      <c r="A21" s="363"/>
      <c r="B21" s="363"/>
      <c r="C21" s="101" t="s">
        <v>6</v>
      </c>
      <c r="D21" s="101" t="s">
        <v>7</v>
      </c>
      <c r="E21" s="101" t="s">
        <v>8</v>
      </c>
      <c r="F21" s="101" t="s">
        <v>9</v>
      </c>
      <c r="G21" s="101" t="s">
        <v>10</v>
      </c>
      <c r="H21" s="101" t="s">
        <v>11</v>
      </c>
      <c r="I21" s="101" t="s">
        <v>12</v>
      </c>
      <c r="J21" s="101" t="s">
        <v>13</v>
      </c>
      <c r="K21" s="101" t="s">
        <v>14</v>
      </c>
      <c r="L21" s="101" t="s">
        <v>15</v>
      </c>
      <c r="M21" s="101" t="s">
        <v>16</v>
      </c>
      <c r="N21" s="101" t="s">
        <v>17</v>
      </c>
      <c r="O21" s="365"/>
    </row>
    <row r="22" spans="1:15" ht="15.75" thickBot="1" x14ac:dyDescent="0.3">
      <c r="A22" s="5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5">
        <v>8</v>
      </c>
      <c r="I22" s="5">
        <v>9</v>
      </c>
      <c r="J22" s="5">
        <v>10</v>
      </c>
      <c r="K22" s="5">
        <v>11</v>
      </c>
      <c r="L22" s="5">
        <v>12</v>
      </c>
      <c r="M22" s="5">
        <v>13</v>
      </c>
      <c r="N22" s="5">
        <v>14</v>
      </c>
      <c r="O22" s="5">
        <v>15</v>
      </c>
    </row>
    <row r="23" spans="1:15" ht="18.75" customHeight="1" thickTop="1" x14ac:dyDescent="0.25">
      <c r="A23" s="6">
        <v>1</v>
      </c>
      <c r="B23" s="7" t="s">
        <v>18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f>SUM(C23:N23)</f>
        <v>0</v>
      </c>
    </row>
    <row r="24" spans="1:15" ht="18.75" customHeight="1" x14ac:dyDescent="0.25">
      <c r="A24" s="11">
        <v>2</v>
      </c>
      <c r="B24" s="12" t="s">
        <v>19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f t="shared" ref="O24:O30" si="2">SUM(C24:N24)</f>
        <v>0</v>
      </c>
    </row>
    <row r="25" spans="1:15" ht="18.75" customHeight="1" x14ac:dyDescent="0.25">
      <c r="A25" s="11">
        <v>3</v>
      </c>
      <c r="B25" s="7" t="s">
        <v>20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si="2"/>
        <v>0</v>
      </c>
    </row>
    <row r="26" spans="1:15" ht="18.75" customHeight="1" x14ac:dyDescent="0.25">
      <c r="A26" s="14">
        <v>4</v>
      </c>
      <c r="B26" s="15" t="s">
        <v>21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6">
        <f t="shared" si="2"/>
        <v>0</v>
      </c>
    </row>
    <row r="27" spans="1:15" ht="18.75" customHeight="1" x14ac:dyDescent="0.25">
      <c r="A27" s="14">
        <v>5</v>
      </c>
      <c r="B27" s="19" t="s">
        <v>22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f t="shared" si="2"/>
        <v>0</v>
      </c>
    </row>
    <row r="28" spans="1:15" ht="18.75" customHeight="1" x14ac:dyDescent="0.25">
      <c r="A28" s="14">
        <v>6</v>
      </c>
      <c r="B28" s="19" t="s">
        <v>23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7</v>
      </c>
      <c r="B29" s="19" t="s">
        <v>24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thickBot="1" x14ac:dyDescent="0.3">
      <c r="A30" s="20">
        <v>8</v>
      </c>
      <c r="B30" s="15" t="s">
        <v>25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40">
        <f t="shared" si="2"/>
        <v>0</v>
      </c>
    </row>
    <row r="31" spans="1:15" ht="18.75" customHeight="1" thickTop="1" x14ac:dyDescent="0.25">
      <c r="A31" s="359" t="s">
        <v>26</v>
      </c>
      <c r="B31" s="360"/>
      <c r="C31" s="22">
        <f t="shared" ref="C31:O31" si="3">SUM(C23:C30)</f>
        <v>0</v>
      </c>
      <c r="D31" s="22">
        <f t="shared" si="3"/>
        <v>0</v>
      </c>
      <c r="E31" s="22">
        <f t="shared" si="3"/>
        <v>0</v>
      </c>
      <c r="F31" s="22">
        <f t="shared" si="3"/>
        <v>0</v>
      </c>
      <c r="G31" s="22">
        <f t="shared" si="3"/>
        <v>0</v>
      </c>
      <c r="H31" s="22">
        <f t="shared" si="3"/>
        <v>0</v>
      </c>
      <c r="I31" s="22">
        <f t="shared" si="3"/>
        <v>0</v>
      </c>
      <c r="J31" s="22">
        <f t="shared" si="3"/>
        <v>0</v>
      </c>
      <c r="K31" s="22">
        <f t="shared" si="3"/>
        <v>0</v>
      </c>
      <c r="L31" s="22">
        <f t="shared" si="3"/>
        <v>0</v>
      </c>
      <c r="M31" s="22">
        <f t="shared" si="3"/>
        <v>0</v>
      </c>
      <c r="N31" s="22">
        <f t="shared" si="3"/>
        <v>0</v>
      </c>
      <c r="O31" s="22">
        <f t="shared" si="3"/>
        <v>0</v>
      </c>
    </row>
    <row r="34" spans="11:11" x14ac:dyDescent="0.25">
      <c r="K34" t="s">
        <v>163</v>
      </c>
    </row>
    <row r="35" spans="11:11" x14ac:dyDescent="0.25">
      <c r="K35" t="s">
        <v>86</v>
      </c>
    </row>
    <row r="39" spans="11:11" x14ac:dyDescent="0.25">
      <c r="K39" t="s">
        <v>164</v>
      </c>
    </row>
    <row r="40" spans="11:11" x14ac:dyDescent="0.25">
      <c r="K40" t="s">
        <v>165</v>
      </c>
    </row>
  </sheetData>
  <mergeCells count="14">
    <mergeCell ref="A15:B15"/>
    <mergeCell ref="A1:O1"/>
    <mergeCell ref="A2:O2"/>
    <mergeCell ref="A4:A5"/>
    <mergeCell ref="B4:B5"/>
    <mergeCell ref="C4:N4"/>
    <mergeCell ref="O4:O5"/>
    <mergeCell ref="A31:B31"/>
    <mergeCell ref="A17:O17"/>
    <mergeCell ref="A18:O18"/>
    <mergeCell ref="A20:A21"/>
    <mergeCell ref="B20:B21"/>
    <mergeCell ref="C20:N20"/>
    <mergeCell ref="O20:O21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5"/>
  <sheetViews>
    <sheetView zoomScale="90" zoomScaleNormal="90" workbookViewId="0">
      <selection activeCell="A2" sqref="A2:O18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361" t="s">
        <v>33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5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</row>
    <row r="7" spans="1:15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18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18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359" t="s">
        <v>26</v>
      </c>
      <c r="B17" s="360"/>
      <c r="C17" s="22">
        <f t="shared" ref="C17:O17" si="1">SUM(C9:C16)</f>
        <v>18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18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361" t="s">
        <v>34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5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5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35</v>
      </c>
      <c r="E44" s="16">
        <v>29</v>
      </c>
      <c r="F44" s="16">
        <v>18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82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359" t="s">
        <v>26</v>
      </c>
      <c r="B50" s="360"/>
      <c r="C50" s="22">
        <f t="shared" ref="C50:O50" si="3">SUM(C42:C49)</f>
        <v>0</v>
      </c>
      <c r="D50" s="22">
        <f t="shared" si="3"/>
        <v>35</v>
      </c>
      <c r="E50" s="22">
        <f t="shared" si="3"/>
        <v>29</v>
      </c>
      <c r="F50" s="22">
        <f t="shared" si="3"/>
        <v>18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82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1" t="s">
        <v>35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5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5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123</v>
      </c>
      <c r="E77" s="16">
        <v>116</v>
      </c>
      <c r="F77" s="16">
        <v>72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311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359" t="s">
        <v>26</v>
      </c>
      <c r="B83" s="360"/>
      <c r="C83" s="22">
        <f t="shared" ref="C83:O83" si="5">SUM(C75:C82)</f>
        <v>0</v>
      </c>
      <c r="D83" s="22">
        <f t="shared" si="5"/>
        <v>123</v>
      </c>
      <c r="E83" s="22">
        <f t="shared" si="5"/>
        <v>116</v>
      </c>
      <c r="F83" s="22">
        <f t="shared" si="5"/>
        <v>72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311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36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35</v>
      </c>
      <c r="E110" s="34">
        <v>40.15</v>
      </c>
      <c r="F110" s="34">
        <v>40.25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5">
        <f>O77/O44*10</f>
        <v>37.926829268292678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10">
        <f t="shared" si="6"/>
        <v>0</v>
      </c>
    </row>
    <row r="116" spans="1:15" ht="18.75" customHeight="1" thickTop="1" x14ac:dyDescent="0.25">
      <c r="A116" s="359" t="s">
        <v>26</v>
      </c>
      <c r="B116" s="360"/>
      <c r="C116" s="38">
        <f t="shared" ref="C116:N116" si="7">SUM(C108:C115)</f>
        <v>0</v>
      </c>
      <c r="D116" s="38">
        <f t="shared" si="7"/>
        <v>35</v>
      </c>
      <c r="E116" s="38">
        <f t="shared" si="7"/>
        <v>40.15</v>
      </c>
      <c r="F116" s="38">
        <f t="shared" si="7"/>
        <v>40.25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37.926829268292678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163</v>
      </c>
      <c r="L119" s="24"/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t="s">
        <v>86</v>
      </c>
      <c r="L120" s="24"/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24"/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24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24"/>
      <c r="M123" s="24"/>
      <c r="N123" s="24"/>
      <c r="O123" s="24"/>
    </row>
    <row r="124" spans="1:15" x14ac:dyDescent="0.25">
      <c r="K124" t="s">
        <v>164</v>
      </c>
    </row>
    <row r="125" spans="1:15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6" ht="18.75" x14ac:dyDescent="0.3">
      <c r="A2" s="361" t="s">
        <v>37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6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6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6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</row>
    <row r="7" spans="1:16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6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6" ht="18.75" customHeight="1" thickTop="1" x14ac:dyDescent="0.25">
      <c r="A9" s="27">
        <v>1</v>
      </c>
      <c r="B9" s="7" t="s">
        <v>18</v>
      </c>
      <c r="C9" s="63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9">
        <v>0</v>
      </c>
      <c r="L9" s="28">
        <v>1</v>
      </c>
      <c r="M9" s="28">
        <v>6</v>
      </c>
      <c r="N9" s="28">
        <v>40</v>
      </c>
      <c r="O9" s="29">
        <f>SUM(C9:N9)</f>
        <v>47</v>
      </c>
      <c r="P9" s="105">
        <f>SUM(I9:K9)</f>
        <v>0</v>
      </c>
    </row>
    <row r="10" spans="1:16" ht="18.75" customHeight="1" x14ac:dyDescent="0.25">
      <c r="A10" s="14">
        <v>2</v>
      </c>
      <c r="B10" s="12" t="s">
        <v>19</v>
      </c>
      <c r="C10" s="61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8">
        <v>0</v>
      </c>
      <c r="L10" s="16">
        <v>0</v>
      </c>
      <c r="M10" s="16">
        <v>2</v>
      </c>
      <c r="N10" s="16">
        <v>24</v>
      </c>
      <c r="O10" s="18">
        <f t="shared" ref="O10:O16" si="0">SUM(C10:N10)</f>
        <v>27</v>
      </c>
      <c r="P10" s="105">
        <f t="shared" ref="P10:P16" si="1">SUM(I10:K10)</f>
        <v>1</v>
      </c>
    </row>
    <row r="11" spans="1:16" ht="18.75" customHeight="1" x14ac:dyDescent="0.25">
      <c r="A11" s="14">
        <v>3</v>
      </c>
      <c r="B11" s="7" t="s">
        <v>20</v>
      </c>
      <c r="C11" s="61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8">
        <v>0</v>
      </c>
      <c r="L11" s="16">
        <v>20</v>
      </c>
      <c r="M11" s="16">
        <v>0</v>
      </c>
      <c r="N11" s="16">
        <v>50</v>
      </c>
      <c r="O11" s="18">
        <f t="shared" si="0"/>
        <v>70</v>
      </c>
      <c r="P11" s="105">
        <f t="shared" si="1"/>
        <v>0</v>
      </c>
    </row>
    <row r="12" spans="1:16" ht="18.75" customHeight="1" x14ac:dyDescent="0.25">
      <c r="A12" s="14">
        <v>4</v>
      </c>
      <c r="B12" s="15" t="s">
        <v>21</v>
      </c>
      <c r="C12" s="61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7">
        <v>2</v>
      </c>
      <c r="L12" s="16">
        <v>1</v>
      </c>
      <c r="M12" s="16">
        <v>1</v>
      </c>
      <c r="N12" s="16">
        <v>2</v>
      </c>
      <c r="O12" s="18">
        <f t="shared" si="0"/>
        <v>6</v>
      </c>
      <c r="P12" s="105">
        <f t="shared" si="1"/>
        <v>2</v>
      </c>
    </row>
    <row r="13" spans="1:16" ht="18.75" customHeight="1" x14ac:dyDescent="0.25">
      <c r="A13" s="14">
        <v>5</v>
      </c>
      <c r="B13" s="19" t="s">
        <v>22</v>
      </c>
      <c r="C13" s="61">
        <v>0</v>
      </c>
      <c r="D13" s="16">
        <v>0</v>
      </c>
      <c r="E13" s="16">
        <v>0</v>
      </c>
      <c r="F13" s="16">
        <v>0</v>
      </c>
      <c r="G13" s="16">
        <v>2</v>
      </c>
      <c r="H13" s="16">
        <v>0</v>
      </c>
      <c r="I13" s="16">
        <v>6</v>
      </c>
      <c r="J13" s="16">
        <v>2</v>
      </c>
      <c r="K13" s="16">
        <v>0</v>
      </c>
      <c r="L13" s="16">
        <v>0</v>
      </c>
      <c r="M13" s="16">
        <v>2</v>
      </c>
      <c r="N13" s="16">
        <v>25</v>
      </c>
      <c r="O13" s="18">
        <f t="shared" si="0"/>
        <v>37</v>
      </c>
      <c r="P13" s="105">
        <f t="shared" si="1"/>
        <v>8</v>
      </c>
    </row>
    <row r="14" spans="1:16" ht="18.75" customHeight="1" x14ac:dyDescent="0.25">
      <c r="A14" s="14">
        <v>6</v>
      </c>
      <c r="B14" s="19" t="s">
        <v>23</v>
      </c>
      <c r="C14" s="61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5</v>
      </c>
      <c r="M14" s="16">
        <v>2</v>
      </c>
      <c r="N14" s="16">
        <v>8</v>
      </c>
      <c r="O14" s="18">
        <f t="shared" si="0"/>
        <v>15</v>
      </c>
      <c r="P14" s="105">
        <f t="shared" si="1"/>
        <v>0</v>
      </c>
    </row>
    <row r="15" spans="1:16" ht="18.75" customHeight="1" x14ac:dyDescent="0.25">
      <c r="A15" s="14">
        <v>7</v>
      </c>
      <c r="B15" s="19" t="s">
        <v>24</v>
      </c>
      <c r="C15" s="61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70">
        <v>0</v>
      </c>
      <c r="K15" s="16">
        <v>0</v>
      </c>
      <c r="L15" s="16">
        <v>0</v>
      </c>
      <c r="M15" s="16">
        <v>3</v>
      </c>
      <c r="N15" s="16">
        <v>0</v>
      </c>
      <c r="O15" s="18">
        <f t="shared" si="0"/>
        <v>3</v>
      </c>
      <c r="P15" s="105">
        <f t="shared" si="1"/>
        <v>0</v>
      </c>
    </row>
    <row r="16" spans="1:16" ht="18.75" customHeight="1" thickBot="1" x14ac:dyDescent="0.3">
      <c r="A16" s="20">
        <v>8</v>
      </c>
      <c r="B16" s="15" t="s">
        <v>25</v>
      </c>
      <c r="C16" s="62">
        <v>1</v>
      </c>
      <c r="D16" s="17">
        <v>1</v>
      </c>
      <c r="E16" s="17">
        <v>0</v>
      </c>
      <c r="F16" s="17">
        <v>0</v>
      </c>
      <c r="G16" s="17">
        <v>1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5</v>
      </c>
      <c r="N16" s="17">
        <v>16</v>
      </c>
      <c r="O16" s="21">
        <f t="shared" si="0"/>
        <v>24</v>
      </c>
      <c r="P16" s="105">
        <f t="shared" si="1"/>
        <v>0</v>
      </c>
    </row>
    <row r="17" spans="1:16" ht="18.75" customHeight="1" thickTop="1" x14ac:dyDescent="0.25">
      <c r="A17" s="359" t="s">
        <v>26</v>
      </c>
      <c r="B17" s="360"/>
      <c r="C17" s="22">
        <f t="shared" ref="C17:P17" si="2">SUM(C9:C16)</f>
        <v>1</v>
      </c>
      <c r="D17" s="22">
        <f t="shared" si="2"/>
        <v>1</v>
      </c>
      <c r="E17" s="22">
        <f t="shared" si="2"/>
        <v>0</v>
      </c>
      <c r="F17" s="171">
        <f t="shared" si="2"/>
        <v>0</v>
      </c>
      <c r="G17" s="22">
        <f t="shared" si="2"/>
        <v>3</v>
      </c>
      <c r="H17" s="22">
        <f t="shared" si="2"/>
        <v>0</v>
      </c>
      <c r="I17" s="22">
        <f t="shared" si="2"/>
        <v>6</v>
      </c>
      <c r="J17" s="71">
        <f t="shared" si="2"/>
        <v>3</v>
      </c>
      <c r="K17" s="22">
        <f t="shared" si="2"/>
        <v>2</v>
      </c>
      <c r="L17" s="22">
        <f t="shared" si="2"/>
        <v>27</v>
      </c>
      <c r="M17" s="22">
        <f t="shared" si="2"/>
        <v>21</v>
      </c>
      <c r="N17" s="22">
        <f t="shared" si="2"/>
        <v>165</v>
      </c>
      <c r="O17" s="22">
        <f t="shared" si="2"/>
        <v>229</v>
      </c>
      <c r="P17" s="22">
        <f t="shared" si="2"/>
        <v>11</v>
      </c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6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41">
        <f>SUM(L17:N17)</f>
        <v>213</v>
      </c>
      <c r="O19" s="23"/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6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6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6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6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6" ht="18.75" x14ac:dyDescent="0.3">
      <c r="A35" s="361" t="s">
        <v>38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6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6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6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6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6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6" ht="18.75" customHeight="1" thickTop="1" x14ac:dyDescent="0.25">
      <c r="A42" s="27">
        <v>1</v>
      </c>
      <c r="B42" s="7" t="s">
        <v>18</v>
      </c>
      <c r="C42" s="75" t="s">
        <v>89</v>
      </c>
      <c r="D42" s="74">
        <v>0</v>
      </c>
      <c r="E42" s="74">
        <v>0</v>
      </c>
      <c r="F42" s="74">
        <v>0</v>
      </c>
      <c r="G42" s="74">
        <v>0</v>
      </c>
      <c r="H42" s="75">
        <v>0</v>
      </c>
      <c r="I42" s="74">
        <v>0</v>
      </c>
      <c r="J42" s="28">
        <v>0</v>
      </c>
      <c r="K42" s="74">
        <v>0</v>
      </c>
      <c r="L42" s="28">
        <v>0</v>
      </c>
      <c r="M42" s="74">
        <v>0</v>
      </c>
      <c r="N42" s="28">
        <v>0</v>
      </c>
      <c r="O42" s="181">
        <v>1</v>
      </c>
      <c r="P42" s="106">
        <v>1</v>
      </c>
    </row>
    <row r="43" spans="1:16" ht="18.75" customHeight="1" x14ac:dyDescent="0.25">
      <c r="A43" s="14">
        <v>2</v>
      </c>
      <c r="B43" s="12" t="s">
        <v>19</v>
      </c>
      <c r="C43" s="137" t="s">
        <v>89</v>
      </c>
      <c r="D43" s="16">
        <v>0</v>
      </c>
      <c r="E43" s="16">
        <v>0</v>
      </c>
      <c r="F43" s="16">
        <v>0</v>
      </c>
      <c r="G43" s="16">
        <v>0</v>
      </c>
      <c r="H43" s="137">
        <v>0</v>
      </c>
      <c r="I43" s="16">
        <v>0</v>
      </c>
      <c r="J43" s="140">
        <v>0</v>
      </c>
      <c r="K43" s="16">
        <v>0</v>
      </c>
      <c r="L43" s="140" t="s">
        <v>89</v>
      </c>
      <c r="M43" s="16">
        <v>0</v>
      </c>
      <c r="N43" s="16">
        <v>0</v>
      </c>
      <c r="O43" s="181">
        <v>2</v>
      </c>
      <c r="P43" s="106">
        <v>1</v>
      </c>
    </row>
    <row r="44" spans="1:16" ht="18.75" customHeight="1" x14ac:dyDescent="0.25">
      <c r="A44" s="14">
        <v>3</v>
      </c>
      <c r="B44" s="7" t="s">
        <v>20</v>
      </c>
      <c r="C44" s="61">
        <v>0</v>
      </c>
      <c r="D44" s="140" t="s">
        <v>144</v>
      </c>
      <c r="E44" s="16">
        <v>5</v>
      </c>
      <c r="F44" s="16">
        <v>0</v>
      </c>
      <c r="G44" s="16">
        <v>0</v>
      </c>
      <c r="H44" s="61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1">
        <v>50</v>
      </c>
      <c r="P44" s="106">
        <v>50</v>
      </c>
    </row>
    <row r="45" spans="1:16" ht="18.75" customHeight="1" x14ac:dyDescent="0.25">
      <c r="A45" s="14">
        <v>4</v>
      </c>
      <c r="B45" s="15" t="s">
        <v>21</v>
      </c>
      <c r="C45" s="61">
        <v>0</v>
      </c>
      <c r="D45" s="16">
        <v>1</v>
      </c>
      <c r="E45" s="16">
        <v>0</v>
      </c>
      <c r="F45" s="16">
        <v>0</v>
      </c>
      <c r="G45" s="16">
        <v>0</v>
      </c>
      <c r="H45" s="137">
        <v>0</v>
      </c>
      <c r="I45" s="16">
        <v>0</v>
      </c>
      <c r="J45" s="16">
        <v>0</v>
      </c>
      <c r="K45" s="16">
        <v>0</v>
      </c>
      <c r="L45" s="140">
        <v>0</v>
      </c>
      <c r="M45" s="16">
        <v>0</v>
      </c>
      <c r="N45" s="16">
        <v>1</v>
      </c>
      <c r="O45" s="181">
        <f t="shared" ref="O45:O48" si="3">SUM(C45:N45)</f>
        <v>2</v>
      </c>
      <c r="P45" s="106">
        <v>2</v>
      </c>
    </row>
    <row r="46" spans="1:16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0</v>
      </c>
      <c r="F46" s="16">
        <v>0</v>
      </c>
      <c r="G46" s="16">
        <v>0</v>
      </c>
      <c r="H46" s="61">
        <v>0</v>
      </c>
      <c r="I46" s="16">
        <v>0</v>
      </c>
      <c r="J46" s="16">
        <v>2</v>
      </c>
      <c r="K46" s="16">
        <v>0</v>
      </c>
      <c r="L46" s="16">
        <v>8</v>
      </c>
      <c r="M46" s="16">
        <v>0</v>
      </c>
      <c r="N46" s="16">
        <v>0</v>
      </c>
      <c r="O46" s="181">
        <f>SUM(C46:N46)</f>
        <v>10</v>
      </c>
      <c r="P46" s="106">
        <v>0</v>
      </c>
    </row>
    <row r="47" spans="1:16" ht="18.75" customHeight="1" x14ac:dyDescent="0.25">
      <c r="A47" s="14">
        <v>6</v>
      </c>
      <c r="B47" s="19" t="s">
        <v>23</v>
      </c>
      <c r="C47" s="61">
        <v>0</v>
      </c>
      <c r="D47" s="16">
        <v>0</v>
      </c>
      <c r="E47" s="16">
        <v>0</v>
      </c>
      <c r="F47" s="16">
        <v>0</v>
      </c>
      <c r="G47" s="16">
        <v>0</v>
      </c>
      <c r="H47" s="61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1">
        <f t="shared" si="3"/>
        <v>0</v>
      </c>
      <c r="P47" s="106">
        <v>0</v>
      </c>
    </row>
    <row r="48" spans="1:16" ht="18.75" customHeight="1" x14ac:dyDescent="0.25">
      <c r="A48" s="14">
        <v>7</v>
      </c>
      <c r="B48" s="19" t="s">
        <v>24</v>
      </c>
      <c r="C48" s="61">
        <v>0</v>
      </c>
      <c r="D48" s="16">
        <v>0</v>
      </c>
      <c r="E48" s="16">
        <v>0</v>
      </c>
      <c r="F48" s="16">
        <v>0</v>
      </c>
      <c r="G48" s="16">
        <v>0</v>
      </c>
      <c r="H48" s="61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1">
        <f t="shared" si="3"/>
        <v>0</v>
      </c>
      <c r="P48" s="106">
        <v>0</v>
      </c>
    </row>
    <row r="49" spans="1:16" ht="18.75" customHeight="1" thickBot="1" x14ac:dyDescent="0.3">
      <c r="A49" s="20">
        <v>8</v>
      </c>
      <c r="B49" s="15" t="s">
        <v>25</v>
      </c>
      <c r="C49" s="107">
        <v>0</v>
      </c>
      <c r="D49" s="100" t="s">
        <v>89</v>
      </c>
      <c r="E49" s="100">
        <v>0</v>
      </c>
      <c r="F49" s="17">
        <v>1</v>
      </c>
      <c r="G49" s="17">
        <v>0</v>
      </c>
      <c r="H49" s="107" t="s">
        <v>89</v>
      </c>
      <c r="I49" s="17">
        <v>0</v>
      </c>
      <c r="J49" s="100">
        <v>0</v>
      </c>
      <c r="K49" s="17">
        <v>0</v>
      </c>
      <c r="L49" s="17">
        <v>0</v>
      </c>
      <c r="M49" s="17">
        <v>0</v>
      </c>
      <c r="N49" s="17">
        <v>0</v>
      </c>
      <c r="O49" s="181">
        <v>3</v>
      </c>
      <c r="P49" s="106">
        <v>2</v>
      </c>
    </row>
    <row r="50" spans="1:16" ht="18.75" customHeight="1" thickTop="1" x14ac:dyDescent="0.25">
      <c r="A50" s="359" t="s">
        <v>26</v>
      </c>
      <c r="B50" s="360"/>
      <c r="C50" s="22">
        <v>2</v>
      </c>
      <c r="D50" s="22">
        <v>47</v>
      </c>
      <c r="E50" s="22">
        <f t="shared" ref="E50:N50" si="4">SUM(E42:E49)</f>
        <v>5</v>
      </c>
      <c r="F50" s="22">
        <f t="shared" si="4"/>
        <v>1</v>
      </c>
      <c r="G50" s="22">
        <f t="shared" si="4"/>
        <v>0</v>
      </c>
      <c r="H50" s="357" t="s">
        <v>89</v>
      </c>
      <c r="I50" s="22">
        <f t="shared" si="4"/>
        <v>0</v>
      </c>
      <c r="J50" s="22">
        <f t="shared" si="4"/>
        <v>2</v>
      </c>
      <c r="K50" s="22">
        <f t="shared" si="4"/>
        <v>0</v>
      </c>
      <c r="L50" s="22">
        <v>9</v>
      </c>
      <c r="M50" s="22">
        <f t="shared" si="4"/>
        <v>0</v>
      </c>
      <c r="N50" s="22">
        <f t="shared" si="4"/>
        <v>1</v>
      </c>
      <c r="O50" s="171">
        <f>SUM(O42:O49)</f>
        <v>68</v>
      </c>
      <c r="P50" s="108">
        <f>SUM(P42:P49)</f>
        <v>56</v>
      </c>
    </row>
    <row r="51" spans="1:16" x14ac:dyDescent="0.25">
      <c r="B51" s="23"/>
      <c r="C51" s="141">
        <f>SUM(C42:C49)</f>
        <v>0</v>
      </c>
      <c r="D51" s="141">
        <f t="shared" ref="D51:N51" si="5">SUM(D42:D49)</f>
        <v>1</v>
      </c>
      <c r="E51" s="141">
        <f t="shared" si="5"/>
        <v>5</v>
      </c>
      <c r="F51" s="141">
        <f t="shared" si="5"/>
        <v>1</v>
      </c>
      <c r="G51" s="141">
        <f t="shared" si="5"/>
        <v>0</v>
      </c>
      <c r="H51" s="141">
        <f t="shared" si="5"/>
        <v>0</v>
      </c>
      <c r="I51" s="141">
        <f t="shared" si="5"/>
        <v>0</v>
      </c>
      <c r="J51" s="141">
        <f t="shared" si="5"/>
        <v>2</v>
      </c>
      <c r="K51" s="141">
        <f t="shared" si="5"/>
        <v>0</v>
      </c>
      <c r="L51" s="141">
        <f t="shared" si="5"/>
        <v>8</v>
      </c>
      <c r="M51" s="141">
        <f t="shared" si="5"/>
        <v>0</v>
      </c>
      <c r="N51" s="141">
        <f t="shared" si="5"/>
        <v>1</v>
      </c>
      <c r="O51" s="141">
        <f>SUM(C51:N51)</f>
        <v>18</v>
      </c>
    </row>
    <row r="52" spans="1:16" x14ac:dyDescent="0.25">
      <c r="A52" s="370" t="s">
        <v>61</v>
      </c>
      <c r="B52" s="370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6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6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6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6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6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6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6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6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6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6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6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6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1" t="s">
        <v>39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7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7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63">
        <v>0</v>
      </c>
      <c r="D75" s="63">
        <v>0</v>
      </c>
      <c r="E75" s="74">
        <v>0</v>
      </c>
      <c r="F75" s="28">
        <v>0</v>
      </c>
      <c r="G75" s="74">
        <v>0</v>
      </c>
      <c r="H75" s="74">
        <v>0</v>
      </c>
      <c r="I75" s="74">
        <v>0</v>
      </c>
      <c r="J75" s="28">
        <v>0</v>
      </c>
      <c r="K75" s="74">
        <v>0</v>
      </c>
      <c r="L75" s="28">
        <v>0</v>
      </c>
      <c r="M75" s="74">
        <v>0</v>
      </c>
      <c r="N75" s="28">
        <v>0</v>
      </c>
      <c r="O75" s="29">
        <f>SUM(C75:N75)</f>
        <v>0</v>
      </c>
      <c r="Q75" s="105">
        <f>O75*3000</f>
        <v>0</v>
      </c>
    </row>
    <row r="76" spans="1:17" ht="18.75" customHeight="1" x14ac:dyDescent="0.25">
      <c r="A76" s="14">
        <v>2</v>
      </c>
      <c r="B76" s="12" t="s">
        <v>19</v>
      </c>
      <c r="C76" s="61">
        <v>0</v>
      </c>
      <c r="D76" s="61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40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5">
        <f t="shared" ref="Q76:Q82" si="7">O76*3000</f>
        <v>0</v>
      </c>
    </row>
    <row r="77" spans="1:17" ht="18.75" customHeight="1" x14ac:dyDescent="0.25">
      <c r="A77" s="14">
        <v>3</v>
      </c>
      <c r="B77" s="7" t="s">
        <v>20</v>
      </c>
      <c r="C77" s="61">
        <v>0</v>
      </c>
      <c r="D77" s="61">
        <v>0</v>
      </c>
      <c r="E77" s="16">
        <v>15</v>
      </c>
      <c r="F77" s="70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15</v>
      </c>
      <c r="Q77" s="105">
        <f t="shared" si="7"/>
        <v>45000</v>
      </c>
    </row>
    <row r="78" spans="1:17" ht="18.75" customHeight="1" x14ac:dyDescent="0.25">
      <c r="A78" s="14">
        <v>4</v>
      </c>
      <c r="B78" s="15" t="s">
        <v>21</v>
      </c>
      <c r="C78" s="61">
        <v>0</v>
      </c>
      <c r="D78" s="61">
        <v>3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3</v>
      </c>
      <c r="O78" s="18">
        <f t="shared" si="6"/>
        <v>6</v>
      </c>
      <c r="Q78" s="105">
        <f t="shared" si="7"/>
        <v>18000</v>
      </c>
    </row>
    <row r="79" spans="1:17" ht="18.75" customHeight="1" x14ac:dyDescent="0.25">
      <c r="A79" s="14">
        <v>5</v>
      </c>
      <c r="B79" s="19" t="s">
        <v>22</v>
      </c>
      <c r="C79" s="61">
        <v>0</v>
      </c>
      <c r="D79" s="61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70">
        <v>6.6</v>
      </c>
      <c r="K79" s="16">
        <v>0</v>
      </c>
      <c r="L79" s="16">
        <v>28</v>
      </c>
      <c r="M79" s="16">
        <v>0</v>
      </c>
      <c r="N79" s="16">
        <v>0</v>
      </c>
      <c r="O79" s="18">
        <f t="shared" si="6"/>
        <v>34.6</v>
      </c>
      <c r="Q79" s="105">
        <f t="shared" si="7"/>
        <v>103800</v>
      </c>
    </row>
    <row r="80" spans="1:17" ht="18.75" customHeight="1" x14ac:dyDescent="0.25">
      <c r="A80" s="14">
        <v>6</v>
      </c>
      <c r="B80" s="19" t="s">
        <v>23</v>
      </c>
      <c r="C80" s="61">
        <v>0</v>
      </c>
      <c r="D80" s="61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61">
        <v>0</v>
      </c>
      <c r="D81" s="61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62">
        <v>0</v>
      </c>
      <c r="D82" s="62">
        <v>0</v>
      </c>
      <c r="E82" s="100">
        <v>0</v>
      </c>
      <c r="F82" s="17">
        <v>3</v>
      </c>
      <c r="G82" s="17">
        <v>0</v>
      </c>
      <c r="H82" s="17">
        <v>0</v>
      </c>
      <c r="I82" s="17">
        <v>0</v>
      </c>
      <c r="J82" s="100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3</v>
      </c>
      <c r="Q82" s="105">
        <f t="shared" si="7"/>
        <v>9000</v>
      </c>
    </row>
    <row r="83" spans="1:17" ht="18.75" customHeight="1" thickTop="1" x14ac:dyDescent="0.25">
      <c r="A83" s="359" t="s">
        <v>26</v>
      </c>
      <c r="B83" s="360"/>
      <c r="C83" s="22">
        <f t="shared" ref="C83:O83" si="8">SUM(C75:C82)</f>
        <v>0</v>
      </c>
      <c r="D83" s="22">
        <f t="shared" si="8"/>
        <v>3</v>
      </c>
      <c r="E83" s="22">
        <f t="shared" si="8"/>
        <v>15</v>
      </c>
      <c r="F83" s="71">
        <f t="shared" si="8"/>
        <v>3</v>
      </c>
      <c r="G83" s="22">
        <f t="shared" si="8"/>
        <v>0</v>
      </c>
      <c r="H83" s="22">
        <f t="shared" si="8"/>
        <v>0</v>
      </c>
      <c r="I83" s="171">
        <f t="shared" si="8"/>
        <v>0</v>
      </c>
      <c r="J83" s="171">
        <f t="shared" si="8"/>
        <v>6.6</v>
      </c>
      <c r="K83" s="22">
        <f t="shared" si="8"/>
        <v>0</v>
      </c>
      <c r="L83" s="22">
        <f t="shared" si="8"/>
        <v>28</v>
      </c>
      <c r="M83" s="22">
        <f t="shared" si="8"/>
        <v>0</v>
      </c>
      <c r="N83" s="22">
        <f t="shared" si="8"/>
        <v>3</v>
      </c>
      <c r="O83" s="22">
        <f t="shared" si="8"/>
        <v>58.6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6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6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6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6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6" ht="18.75" x14ac:dyDescent="0.3">
      <c r="A101" s="361" t="s">
        <v>40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6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6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6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6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6" ht="18.75" customHeight="1" thickTop="1" x14ac:dyDescent="0.25">
      <c r="A108" s="27">
        <v>1</v>
      </c>
      <c r="B108" s="7" t="s">
        <v>18</v>
      </c>
      <c r="C108" s="28">
        <v>0</v>
      </c>
      <c r="D108" s="63">
        <v>0</v>
      </c>
      <c r="E108" s="63">
        <v>0</v>
      </c>
      <c r="F108" s="31">
        <v>0</v>
      </c>
      <c r="G108" s="74">
        <v>0</v>
      </c>
      <c r="H108" s="74">
        <v>0</v>
      </c>
      <c r="I108" s="74">
        <v>0</v>
      </c>
      <c r="J108" s="63">
        <v>0</v>
      </c>
      <c r="K108" s="74">
        <v>0</v>
      </c>
      <c r="L108" s="28">
        <v>0</v>
      </c>
      <c r="M108" s="74">
        <v>0</v>
      </c>
      <c r="N108" s="28">
        <v>0</v>
      </c>
      <c r="O108" s="33">
        <v>0</v>
      </c>
    </row>
    <row r="109" spans="1:16" ht="18.75" customHeight="1" x14ac:dyDescent="0.25">
      <c r="A109" s="14">
        <v>2</v>
      </c>
      <c r="B109" s="12" t="s">
        <v>19</v>
      </c>
      <c r="C109" s="16">
        <v>0</v>
      </c>
      <c r="D109" s="61">
        <v>0</v>
      </c>
      <c r="E109" s="61">
        <v>0</v>
      </c>
      <c r="F109" s="61">
        <v>0</v>
      </c>
      <c r="G109" s="16">
        <v>0</v>
      </c>
      <c r="H109" s="16">
        <v>0</v>
      </c>
      <c r="I109" s="16">
        <v>0</v>
      </c>
      <c r="J109" s="61">
        <v>0</v>
      </c>
      <c r="K109" s="16">
        <v>0</v>
      </c>
      <c r="L109" s="34">
        <v>0</v>
      </c>
      <c r="M109" s="16">
        <v>0</v>
      </c>
      <c r="N109" s="16">
        <v>0</v>
      </c>
      <c r="O109" s="35">
        <f>SUM(C109:N109)</f>
        <v>0</v>
      </c>
    </row>
    <row r="110" spans="1:16" ht="18.75" customHeight="1" x14ac:dyDescent="0.25">
      <c r="A110" s="14">
        <v>3</v>
      </c>
      <c r="B110" s="7" t="s">
        <v>20</v>
      </c>
      <c r="C110" s="16">
        <v>0</v>
      </c>
      <c r="D110" s="61">
        <v>0</v>
      </c>
      <c r="E110" s="66">
        <v>30.78</v>
      </c>
      <c r="F110" s="34">
        <v>0</v>
      </c>
      <c r="G110" s="16">
        <v>0</v>
      </c>
      <c r="H110" s="16">
        <v>0</v>
      </c>
      <c r="I110" s="16">
        <v>0</v>
      </c>
      <c r="J110" s="6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>SUM(C110:N110)</f>
        <v>30.78</v>
      </c>
    </row>
    <row r="111" spans="1:16" ht="18.75" customHeight="1" x14ac:dyDescent="0.25">
      <c r="A111" s="14">
        <v>4</v>
      </c>
      <c r="B111" s="15" t="s">
        <v>21</v>
      </c>
      <c r="C111" s="16">
        <v>0</v>
      </c>
      <c r="D111" s="66">
        <v>31.2</v>
      </c>
      <c r="E111" s="61">
        <v>0</v>
      </c>
      <c r="F111" s="66">
        <v>0</v>
      </c>
      <c r="G111" s="16">
        <v>0</v>
      </c>
      <c r="H111" s="16">
        <v>0</v>
      </c>
      <c r="I111" s="16">
        <v>0</v>
      </c>
      <c r="J111" s="61">
        <v>0</v>
      </c>
      <c r="K111" s="16">
        <v>0</v>
      </c>
      <c r="L111" s="16">
        <v>0</v>
      </c>
      <c r="M111" s="16">
        <v>0</v>
      </c>
      <c r="N111" s="34">
        <v>30.15</v>
      </c>
      <c r="O111" s="35">
        <f>O78/O45*10</f>
        <v>30</v>
      </c>
      <c r="P111">
        <f>6/2*10</f>
        <v>30</v>
      </c>
    </row>
    <row r="112" spans="1:16" ht="18.75" customHeight="1" x14ac:dyDescent="0.25">
      <c r="A112" s="14">
        <v>5</v>
      </c>
      <c r="B112" s="19" t="s">
        <v>22</v>
      </c>
      <c r="C112" s="34">
        <v>0</v>
      </c>
      <c r="D112" s="61">
        <v>0</v>
      </c>
      <c r="E112" s="61">
        <v>0</v>
      </c>
      <c r="F112" s="61">
        <v>0</v>
      </c>
      <c r="G112" s="16">
        <v>0</v>
      </c>
      <c r="H112" s="16">
        <v>0</v>
      </c>
      <c r="I112" s="16">
        <v>0</v>
      </c>
      <c r="J112" s="66">
        <v>33.25</v>
      </c>
      <c r="K112" s="16">
        <v>0</v>
      </c>
      <c r="L112" s="34">
        <v>35</v>
      </c>
      <c r="M112" s="16">
        <v>0</v>
      </c>
      <c r="N112" s="16">
        <v>0</v>
      </c>
      <c r="O112" s="35">
        <f>O79/O46*10</f>
        <v>34.6</v>
      </c>
    </row>
    <row r="113" spans="1:16" ht="18.75" customHeight="1" x14ac:dyDescent="0.25">
      <c r="A113" s="14">
        <v>6</v>
      </c>
      <c r="B113" s="19" t="s">
        <v>23</v>
      </c>
      <c r="C113" s="16">
        <v>0</v>
      </c>
      <c r="D113" s="61">
        <v>0</v>
      </c>
      <c r="E113" s="61">
        <v>0</v>
      </c>
      <c r="F113" s="61">
        <v>0</v>
      </c>
      <c r="G113" s="16">
        <v>0</v>
      </c>
      <c r="H113" s="16">
        <v>0</v>
      </c>
      <c r="I113" s="16">
        <v>0</v>
      </c>
      <c r="J113" s="61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ref="O113:O114" si="9">SUM(C113:N113)</f>
        <v>0</v>
      </c>
    </row>
    <row r="114" spans="1:16" ht="18.75" customHeight="1" x14ac:dyDescent="0.25">
      <c r="A114" s="14">
        <v>7</v>
      </c>
      <c r="B114" s="19" t="s">
        <v>24</v>
      </c>
      <c r="C114" s="16">
        <v>0</v>
      </c>
      <c r="D114" s="61">
        <v>0</v>
      </c>
      <c r="E114" s="61">
        <v>0</v>
      </c>
      <c r="F114" s="61">
        <v>0</v>
      </c>
      <c r="G114" s="16">
        <v>0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9"/>
        <v>0</v>
      </c>
    </row>
    <row r="115" spans="1:16" ht="18.75" customHeight="1" thickBot="1" x14ac:dyDescent="0.3">
      <c r="A115" s="20">
        <v>8</v>
      </c>
      <c r="B115" s="15" t="s">
        <v>25</v>
      </c>
      <c r="C115" s="17">
        <v>0</v>
      </c>
      <c r="D115" s="62">
        <v>0</v>
      </c>
      <c r="E115" s="62">
        <v>0</v>
      </c>
      <c r="F115" s="67">
        <v>29.3</v>
      </c>
      <c r="G115" s="17">
        <v>0</v>
      </c>
      <c r="H115" s="17">
        <v>0</v>
      </c>
      <c r="I115" s="17">
        <v>0</v>
      </c>
      <c r="J115" s="36">
        <v>0</v>
      </c>
      <c r="K115" s="17">
        <v>0</v>
      </c>
      <c r="L115" s="17">
        <v>0</v>
      </c>
      <c r="M115" s="17">
        <v>0</v>
      </c>
      <c r="N115" s="36">
        <v>0</v>
      </c>
      <c r="O115" s="37">
        <f>SUM(C115:N115)</f>
        <v>29.3</v>
      </c>
      <c r="P115">
        <f>5/2*10</f>
        <v>25</v>
      </c>
    </row>
    <row r="116" spans="1:16" ht="18.75" customHeight="1" thickTop="1" x14ac:dyDescent="0.25">
      <c r="A116" s="359" t="s">
        <v>26</v>
      </c>
      <c r="B116" s="360"/>
      <c r="C116" s="38">
        <v>0</v>
      </c>
      <c r="D116" s="38">
        <f>SUM(D108:D115)</f>
        <v>31.2</v>
      </c>
      <c r="E116" s="38">
        <f>SUM(E108:E115)</f>
        <v>30.78</v>
      </c>
      <c r="F116" s="38">
        <f>SUM(F108:F115)</f>
        <v>29.3</v>
      </c>
      <c r="G116" s="38">
        <f t="shared" ref="G116:N116" si="10">SUM(G108:G115)</f>
        <v>0</v>
      </c>
      <c r="H116" s="38">
        <f t="shared" si="10"/>
        <v>0</v>
      </c>
      <c r="I116" s="38">
        <f t="shared" si="10"/>
        <v>0</v>
      </c>
      <c r="J116" s="38">
        <f>SUM(J108:J115)</f>
        <v>33.25</v>
      </c>
      <c r="K116" s="38">
        <f>SUM(K108:K115)/2</f>
        <v>0</v>
      </c>
      <c r="L116" s="38">
        <f t="shared" si="10"/>
        <v>35</v>
      </c>
      <c r="M116" s="38">
        <f>SUM(M108:M115)/5</f>
        <v>0</v>
      </c>
      <c r="N116" s="38">
        <f t="shared" si="10"/>
        <v>30.15</v>
      </c>
      <c r="O116" s="45">
        <f>SUM(O108:O115)/4</f>
        <v>31.169999999999998</v>
      </c>
      <c r="P116" s="355">
        <f>O83/O50*10</f>
        <v>8.617647058823529</v>
      </c>
    </row>
    <row r="117" spans="1:16" x14ac:dyDescent="0.25">
      <c r="A117" s="24"/>
      <c r="B117" s="24"/>
      <c r="C117" s="24"/>
      <c r="D117" s="24"/>
      <c r="E117" s="24"/>
      <c r="F117" s="24"/>
      <c r="G117" s="103"/>
      <c r="H117" s="24"/>
      <c r="I117" s="24"/>
      <c r="J117" s="24"/>
      <c r="K117" s="24"/>
      <c r="L117" s="24"/>
      <c r="M117" s="24"/>
      <c r="N117" s="24"/>
      <c r="O117" s="24"/>
      <c r="P117" s="72">
        <f>SUM(O108:O115)/3</f>
        <v>41.559999999999995</v>
      </c>
    </row>
    <row r="118" spans="1:16" x14ac:dyDescent="0.25">
      <c r="A118" s="24"/>
      <c r="B118" s="24"/>
      <c r="C118" s="24"/>
      <c r="D118" s="24"/>
      <c r="E118" s="24"/>
      <c r="F118" s="24"/>
      <c r="G118" s="103"/>
      <c r="H118" s="24"/>
      <c r="I118" s="24"/>
      <c r="J118" s="24"/>
      <c r="K118" s="24"/>
      <c r="L118" s="24"/>
      <c r="M118" s="24"/>
      <c r="N118" s="24"/>
      <c r="O118" s="24"/>
    </row>
    <row r="119" spans="1:16" x14ac:dyDescent="0.25">
      <c r="K119" t="s">
        <v>163</v>
      </c>
    </row>
    <row r="120" spans="1:16" x14ac:dyDescent="0.25">
      <c r="K120" t="s">
        <v>86</v>
      </c>
    </row>
    <row r="124" spans="1:16" x14ac:dyDescent="0.25">
      <c r="K124" t="s">
        <v>164</v>
      </c>
    </row>
    <row r="125" spans="1:16" x14ac:dyDescent="0.25">
      <c r="K125" t="s">
        <v>165</v>
      </c>
    </row>
  </sheetData>
  <mergeCells count="29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52:B52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1" t="s">
        <v>57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71" t="s">
        <v>4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62" t="s">
        <v>5</v>
      </c>
    </row>
    <row r="7" spans="1:17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87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5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5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5">
        <f t="shared" si="1"/>
        <v>0</v>
      </c>
    </row>
    <row r="17" spans="1:15" ht="18.75" customHeight="1" thickTop="1" x14ac:dyDescent="0.25">
      <c r="A17" s="359" t="s">
        <v>26</v>
      </c>
      <c r="B17" s="360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1" t="s">
        <v>58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5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0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9">
        <v>15</v>
      </c>
      <c r="Q49" s="105">
        <f t="shared" si="4"/>
        <v>0</v>
      </c>
    </row>
    <row r="50" spans="1:17" ht="18.75" customHeight="1" thickTop="1" x14ac:dyDescent="0.25">
      <c r="A50" s="359" t="s">
        <v>26</v>
      </c>
      <c r="B50" s="360"/>
      <c r="C50" s="22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0</v>
      </c>
      <c r="P50" s="108">
        <f>SUM(P42:P49)</f>
        <v>15</v>
      </c>
    </row>
    <row r="51" spans="1:17" x14ac:dyDescent="0.25">
      <c r="A51" s="115"/>
      <c r="B51" s="11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1" t="s">
        <v>59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7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7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5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5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5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5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0</v>
      </c>
      <c r="Q82" s="105">
        <f t="shared" si="7"/>
        <v>0</v>
      </c>
    </row>
    <row r="83" spans="1:17" ht="18.75" customHeight="1" thickTop="1" x14ac:dyDescent="0.25">
      <c r="A83" s="359" t="s">
        <v>26</v>
      </c>
      <c r="B83" s="360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22">
        <f t="shared" si="8"/>
        <v>0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60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59" t="s">
        <v>26</v>
      </c>
      <c r="B116" s="360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163</v>
      </c>
    </row>
    <row r="120" spans="1:16" x14ac:dyDescent="0.25">
      <c r="K120" t="s">
        <v>86</v>
      </c>
    </row>
    <row r="124" spans="1:16" x14ac:dyDescent="0.25">
      <c r="K124" t="s">
        <v>164</v>
      </c>
    </row>
    <row r="125" spans="1:16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5"/>
  <sheetViews>
    <sheetView tabSelected="1" topLeftCell="A35" zoomScale="90" zoomScaleNormal="90" workbookViewId="0">
      <selection activeCell="A35" sqref="A35:O35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  <col min="16" max="16" width="10" bestFit="1" customWidth="1"/>
    <col min="18" max="18" width="12" customWidth="1"/>
    <col min="19" max="19" width="10" bestFit="1" customWidth="1"/>
    <col min="20" max="20" width="12.42578125" customWidth="1"/>
  </cols>
  <sheetData>
    <row r="2" spans="1:17" ht="18.75" x14ac:dyDescent="0.3">
      <c r="A2" s="372" t="s">
        <v>41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</row>
    <row r="7" spans="1:17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185</v>
      </c>
      <c r="E9" s="28">
        <v>0</v>
      </c>
      <c r="F9" s="28">
        <v>0</v>
      </c>
      <c r="G9" s="28"/>
      <c r="H9" s="28">
        <v>0</v>
      </c>
      <c r="I9" s="28">
        <v>0</v>
      </c>
      <c r="J9" s="28">
        <v>0</v>
      </c>
      <c r="K9" s="28">
        <v>0</v>
      </c>
      <c r="L9" s="46">
        <v>0</v>
      </c>
      <c r="M9" s="28">
        <v>50</v>
      </c>
      <c r="N9" s="28">
        <v>0</v>
      </c>
      <c r="O9" s="29">
        <f>SUM(C9:N9)</f>
        <v>235</v>
      </c>
      <c r="P9" s="105">
        <f>SUM(I9:K9)</f>
        <v>0</v>
      </c>
      <c r="Q9" s="105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25</v>
      </c>
      <c r="D10" s="16">
        <v>85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47">
        <v>2</v>
      </c>
      <c r="M10" s="16">
        <v>3</v>
      </c>
      <c r="N10" s="16">
        <v>181</v>
      </c>
      <c r="O10" s="18">
        <f t="shared" ref="O10:O16" si="0">SUM(C10:N10)</f>
        <v>296</v>
      </c>
      <c r="P10" s="105">
        <f t="shared" ref="P10:P16" si="1">SUM(I10:K10)</f>
        <v>0</v>
      </c>
      <c r="Q10" s="105">
        <f t="shared" ref="Q10:Q16" si="2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257</v>
      </c>
      <c r="E11" s="170">
        <v>0.5</v>
      </c>
      <c r="F11" s="16">
        <v>6</v>
      </c>
      <c r="G11" s="16">
        <v>3</v>
      </c>
      <c r="H11" s="16">
        <v>6</v>
      </c>
      <c r="I11" s="16">
        <v>0</v>
      </c>
      <c r="J11" s="16">
        <v>0</v>
      </c>
      <c r="K11" s="16">
        <v>5</v>
      </c>
      <c r="L11" s="16">
        <v>0</v>
      </c>
      <c r="M11" s="16">
        <v>0</v>
      </c>
      <c r="N11" s="16">
        <v>250</v>
      </c>
      <c r="O11" s="18">
        <f t="shared" si="0"/>
        <v>527.5</v>
      </c>
      <c r="P11" s="105">
        <f t="shared" si="1"/>
        <v>5</v>
      </c>
      <c r="Q11" s="105">
        <f t="shared" si="2"/>
        <v>20</v>
      </c>
    </row>
    <row r="12" spans="1:17" ht="18.75" customHeight="1" x14ac:dyDescent="0.25">
      <c r="A12" s="14">
        <v>4</v>
      </c>
      <c r="B12" s="15" t="s">
        <v>21</v>
      </c>
      <c r="C12" s="16">
        <v>167</v>
      </c>
      <c r="D12" s="16">
        <v>0</v>
      </c>
      <c r="E12" s="16">
        <v>5</v>
      </c>
      <c r="F12" s="16">
        <v>0</v>
      </c>
      <c r="G12" s="16">
        <v>10</v>
      </c>
      <c r="H12" s="16">
        <v>5</v>
      </c>
      <c r="I12" s="16">
        <v>10</v>
      </c>
      <c r="J12" s="16">
        <v>0</v>
      </c>
      <c r="K12" s="16">
        <v>5</v>
      </c>
      <c r="L12" s="16">
        <v>0</v>
      </c>
      <c r="M12" s="16">
        <v>25</v>
      </c>
      <c r="N12" s="16">
        <v>18</v>
      </c>
      <c r="O12" s="18">
        <f t="shared" si="0"/>
        <v>245</v>
      </c>
      <c r="P12" s="105">
        <f t="shared" si="1"/>
        <v>15</v>
      </c>
      <c r="Q12" s="105">
        <f t="shared" si="2"/>
        <v>30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83</v>
      </c>
      <c r="E13" s="16">
        <v>25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2</v>
      </c>
      <c r="L13" s="16">
        <v>0</v>
      </c>
      <c r="M13" s="16">
        <v>2</v>
      </c>
      <c r="N13" s="16">
        <v>278</v>
      </c>
      <c r="O13" s="18">
        <f t="shared" si="0"/>
        <v>390</v>
      </c>
      <c r="P13" s="105">
        <f t="shared" si="1"/>
        <v>2</v>
      </c>
      <c r="Q13" s="105">
        <f t="shared" si="2"/>
        <v>2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50</v>
      </c>
      <c r="F14" s="16">
        <v>0</v>
      </c>
      <c r="G14" s="16">
        <v>0</v>
      </c>
      <c r="H14" s="16">
        <v>40</v>
      </c>
      <c r="I14" s="16">
        <v>0</v>
      </c>
      <c r="J14" s="16">
        <v>0</v>
      </c>
      <c r="K14" s="16">
        <v>0</v>
      </c>
      <c r="L14" s="16">
        <v>5</v>
      </c>
      <c r="M14" s="16">
        <v>30</v>
      </c>
      <c r="N14" s="16">
        <v>45</v>
      </c>
      <c r="O14" s="18">
        <f t="shared" si="0"/>
        <v>170</v>
      </c>
      <c r="P14" s="105">
        <f t="shared" si="1"/>
        <v>0</v>
      </c>
      <c r="Q14" s="105">
        <f t="shared" si="2"/>
        <v>40</v>
      </c>
    </row>
    <row r="15" spans="1:17" ht="18.75" customHeight="1" x14ac:dyDescent="0.25">
      <c r="A15" s="14">
        <v>7</v>
      </c>
      <c r="B15" s="19" t="s">
        <v>24</v>
      </c>
      <c r="C15" s="16">
        <v>1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  <c r="P15" s="105">
        <f t="shared" si="1"/>
        <v>0</v>
      </c>
      <c r="Q15" s="105">
        <f t="shared" si="2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235</v>
      </c>
      <c r="D16" s="17">
        <v>45</v>
      </c>
      <c r="E16" s="17">
        <v>0</v>
      </c>
      <c r="F16" s="17">
        <v>25</v>
      </c>
      <c r="G16" s="17">
        <v>114</v>
      </c>
      <c r="H16" s="17">
        <v>0</v>
      </c>
      <c r="I16" s="17">
        <v>42</v>
      </c>
      <c r="J16" s="17">
        <v>0</v>
      </c>
      <c r="K16" s="17">
        <v>4</v>
      </c>
      <c r="L16" s="17">
        <v>5</v>
      </c>
      <c r="M16" s="17">
        <v>16</v>
      </c>
      <c r="N16" s="17">
        <v>10</v>
      </c>
      <c r="O16" s="21">
        <f t="shared" si="0"/>
        <v>496</v>
      </c>
      <c r="P16" s="105">
        <f t="shared" si="1"/>
        <v>46</v>
      </c>
      <c r="Q16" s="105">
        <f t="shared" si="2"/>
        <v>185</v>
      </c>
    </row>
    <row r="17" spans="1:17" ht="18.75" customHeight="1" thickTop="1" x14ac:dyDescent="0.25">
      <c r="A17" s="359" t="s">
        <v>26</v>
      </c>
      <c r="B17" s="360"/>
      <c r="C17" s="22">
        <f t="shared" ref="C17:P17" si="3">SUM(C9:C16)</f>
        <v>428</v>
      </c>
      <c r="D17" s="22">
        <f t="shared" si="3"/>
        <v>656</v>
      </c>
      <c r="E17" s="171">
        <f t="shared" si="3"/>
        <v>80.5</v>
      </c>
      <c r="F17" s="22">
        <f t="shared" si="3"/>
        <v>31</v>
      </c>
      <c r="G17" s="22">
        <f t="shared" si="3"/>
        <v>127</v>
      </c>
      <c r="H17" s="22">
        <f t="shared" si="3"/>
        <v>51</v>
      </c>
      <c r="I17" s="22">
        <f t="shared" si="3"/>
        <v>52</v>
      </c>
      <c r="J17" s="22">
        <f t="shared" si="3"/>
        <v>0</v>
      </c>
      <c r="K17" s="22">
        <f t="shared" si="3"/>
        <v>16</v>
      </c>
      <c r="L17" s="22">
        <f t="shared" si="3"/>
        <v>12</v>
      </c>
      <c r="M17" s="22">
        <f t="shared" si="3"/>
        <v>126</v>
      </c>
      <c r="N17" s="22">
        <f t="shared" si="3"/>
        <v>782</v>
      </c>
      <c r="O17" s="22">
        <f t="shared" si="3"/>
        <v>2361.5</v>
      </c>
      <c r="P17" s="22">
        <f t="shared" si="3"/>
        <v>68</v>
      </c>
      <c r="Q17" s="105">
        <f>SUM(I9:K9)</f>
        <v>0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141">
        <f>SUM(C17:J17)</f>
        <v>1425.5</v>
      </c>
      <c r="K19" s="141">
        <f>SUM(C17:K17)</f>
        <v>1441.5</v>
      </c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361" t="s">
        <v>42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126</v>
      </c>
      <c r="D42" s="28">
        <v>35</v>
      </c>
      <c r="E42" s="28"/>
      <c r="F42" s="28">
        <v>185</v>
      </c>
      <c r="G42" s="285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46">
        <v>0</v>
      </c>
      <c r="N42" s="46">
        <v>0</v>
      </c>
      <c r="O42" s="29">
        <f>SUM(C42:N42)</f>
        <v>346</v>
      </c>
      <c r="Q42" s="105">
        <f>SUM(F42:K42)</f>
        <v>185</v>
      </c>
    </row>
    <row r="43" spans="1:17" ht="18.75" customHeight="1" x14ac:dyDescent="0.25">
      <c r="A43" s="14">
        <v>2</v>
      </c>
      <c r="B43" s="12" t="s">
        <v>19</v>
      </c>
      <c r="C43" s="47">
        <v>122</v>
      </c>
      <c r="D43" s="16">
        <v>64</v>
      </c>
      <c r="E43" s="16">
        <v>0</v>
      </c>
      <c r="F43" s="16">
        <v>25</v>
      </c>
      <c r="G43" s="170">
        <v>85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47">
        <v>0</v>
      </c>
      <c r="N43" s="47">
        <v>0</v>
      </c>
      <c r="O43" s="18">
        <f t="shared" ref="O43:O49" si="4">SUM(C43:N43)</f>
        <v>296</v>
      </c>
      <c r="Q43" s="105">
        <f t="shared" ref="Q43:Q50" si="5">SUM(F43:K43)</f>
        <v>110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305</v>
      </c>
      <c r="E44" s="16">
        <v>200</v>
      </c>
      <c r="F44" s="16">
        <v>57</v>
      </c>
      <c r="G44" s="170">
        <v>0.5</v>
      </c>
      <c r="H44" s="16">
        <v>0</v>
      </c>
      <c r="I44" s="16">
        <v>0</v>
      </c>
      <c r="J44" s="16">
        <v>15</v>
      </c>
      <c r="K44" s="16">
        <v>0</v>
      </c>
      <c r="L44" s="16">
        <v>0</v>
      </c>
      <c r="M44" s="16">
        <v>0</v>
      </c>
      <c r="N44" s="16">
        <v>0</v>
      </c>
      <c r="O44" s="18">
        <f t="shared" si="4"/>
        <v>577.5</v>
      </c>
      <c r="Q44" s="105">
        <f t="shared" si="5"/>
        <v>72.5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21</v>
      </c>
      <c r="E45" s="16">
        <v>0</v>
      </c>
      <c r="F45" s="16">
        <v>167</v>
      </c>
      <c r="G45" s="170">
        <v>5</v>
      </c>
      <c r="H45" s="16">
        <v>0</v>
      </c>
      <c r="I45" s="16">
        <v>5</v>
      </c>
      <c r="J45" s="16">
        <v>10</v>
      </c>
      <c r="K45" s="16">
        <v>0</v>
      </c>
      <c r="L45" s="16">
        <v>0</v>
      </c>
      <c r="M45" s="16">
        <v>10</v>
      </c>
      <c r="N45" s="16">
        <v>10</v>
      </c>
      <c r="O45" s="18">
        <f t="shared" si="4"/>
        <v>228</v>
      </c>
      <c r="Q45" s="105">
        <f t="shared" si="5"/>
        <v>187</v>
      </c>
    </row>
    <row r="46" spans="1:17" ht="18.75" customHeight="1" x14ac:dyDescent="0.25">
      <c r="A46" s="14">
        <v>5</v>
      </c>
      <c r="B46" s="19" t="s">
        <v>22</v>
      </c>
      <c r="C46" s="16">
        <v>178</v>
      </c>
      <c r="D46" s="16">
        <v>52</v>
      </c>
      <c r="E46" s="16">
        <v>48</v>
      </c>
      <c r="F46" s="16">
        <v>70</v>
      </c>
      <c r="G46" s="170">
        <v>38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4"/>
        <v>386</v>
      </c>
      <c r="Q46" s="105">
        <f t="shared" si="5"/>
        <v>108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15</v>
      </c>
      <c r="E47" s="16">
        <v>0</v>
      </c>
      <c r="F47" s="16">
        <v>0</v>
      </c>
      <c r="G47" s="170">
        <v>5</v>
      </c>
      <c r="H47" s="16">
        <v>45</v>
      </c>
      <c r="I47" s="16">
        <v>0</v>
      </c>
      <c r="J47" s="16">
        <v>40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4"/>
        <v>105</v>
      </c>
      <c r="Q47" s="105">
        <f t="shared" si="5"/>
        <v>90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1</v>
      </c>
      <c r="F48" s="16">
        <v>1</v>
      </c>
      <c r="G48" s="170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2</v>
      </c>
      <c r="Q48" s="105">
        <f t="shared" si="5"/>
        <v>1</v>
      </c>
    </row>
    <row r="49" spans="1:17" ht="18.75" customHeight="1" thickBot="1" x14ac:dyDescent="0.3">
      <c r="A49" s="20">
        <v>8</v>
      </c>
      <c r="B49" s="15" t="s">
        <v>25</v>
      </c>
      <c r="C49" s="17">
        <v>35</v>
      </c>
      <c r="D49" s="17">
        <v>85</v>
      </c>
      <c r="E49" s="17">
        <v>0</v>
      </c>
      <c r="F49" s="17">
        <v>200</v>
      </c>
      <c r="G49" s="177">
        <v>45</v>
      </c>
      <c r="H49" s="17">
        <v>0</v>
      </c>
      <c r="I49" s="17">
        <v>139</v>
      </c>
      <c r="J49" s="17">
        <v>0</v>
      </c>
      <c r="K49" s="17">
        <v>0</v>
      </c>
      <c r="L49" s="17">
        <v>0</v>
      </c>
      <c r="M49" s="17">
        <v>42</v>
      </c>
      <c r="N49" s="49">
        <v>42</v>
      </c>
      <c r="O49" s="21">
        <f t="shared" si="4"/>
        <v>588</v>
      </c>
      <c r="Q49" s="105">
        <f t="shared" si="5"/>
        <v>384</v>
      </c>
    </row>
    <row r="50" spans="1:17" ht="18.75" customHeight="1" thickTop="1" x14ac:dyDescent="0.25">
      <c r="A50" s="359" t="s">
        <v>26</v>
      </c>
      <c r="B50" s="360"/>
      <c r="C50" s="22">
        <f t="shared" ref="C50:O50" si="6">SUM(C42:C49)</f>
        <v>461</v>
      </c>
      <c r="D50" s="22">
        <f t="shared" si="6"/>
        <v>577</v>
      </c>
      <c r="E50" s="22">
        <f t="shared" si="6"/>
        <v>249</v>
      </c>
      <c r="F50" s="22">
        <f t="shared" si="6"/>
        <v>705</v>
      </c>
      <c r="G50" s="171">
        <f t="shared" si="6"/>
        <v>178.5</v>
      </c>
      <c r="H50" s="22">
        <f t="shared" si="6"/>
        <v>45</v>
      </c>
      <c r="I50" s="22">
        <f t="shared" si="6"/>
        <v>144</v>
      </c>
      <c r="J50" s="22">
        <f t="shared" si="6"/>
        <v>65</v>
      </c>
      <c r="K50" s="22">
        <f t="shared" si="6"/>
        <v>0</v>
      </c>
      <c r="L50" s="22">
        <f t="shared" si="6"/>
        <v>0</v>
      </c>
      <c r="M50" s="22">
        <f t="shared" si="6"/>
        <v>52</v>
      </c>
      <c r="N50" s="22">
        <f t="shared" si="6"/>
        <v>52</v>
      </c>
      <c r="O50" s="22">
        <f t="shared" si="6"/>
        <v>2528.5</v>
      </c>
      <c r="Q50" s="105">
        <f t="shared" si="5"/>
        <v>1137.5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20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20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20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20" ht="18.75" x14ac:dyDescent="0.3">
      <c r="A68" s="361" t="s">
        <v>43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20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20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2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20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20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20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20" ht="18.75" customHeight="1" thickTop="1" x14ac:dyDescent="0.25">
      <c r="A75" s="27">
        <v>1</v>
      </c>
      <c r="B75" s="7" t="s">
        <v>18</v>
      </c>
      <c r="C75" s="46">
        <v>83</v>
      </c>
      <c r="D75" s="28">
        <v>28</v>
      </c>
      <c r="E75" s="28"/>
      <c r="F75" s="28">
        <v>160</v>
      </c>
      <c r="G75" s="285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46">
        <v>0</v>
      </c>
      <c r="N75" s="46">
        <v>0</v>
      </c>
      <c r="O75" s="29">
        <f>SUM(C75:N75)</f>
        <v>271</v>
      </c>
      <c r="Q75" s="105">
        <f>SUM(F75:K75)</f>
        <v>160</v>
      </c>
      <c r="R75" s="105">
        <f>O75*20000</f>
        <v>5420000</v>
      </c>
      <c r="S75">
        <v>20000</v>
      </c>
      <c r="T75" s="105">
        <f>SUM(R75:S75)</f>
        <v>5440000</v>
      </c>
    </row>
    <row r="76" spans="1:20" ht="18.75" customHeight="1" x14ac:dyDescent="0.25">
      <c r="A76" s="14">
        <v>2</v>
      </c>
      <c r="B76" s="12" t="s">
        <v>19</v>
      </c>
      <c r="C76" s="47">
        <v>86</v>
      </c>
      <c r="D76" s="16">
        <v>43</v>
      </c>
      <c r="E76" s="16">
        <v>0</v>
      </c>
      <c r="F76" s="16">
        <v>17</v>
      </c>
      <c r="G76" s="170">
        <v>49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47">
        <v>0</v>
      </c>
      <c r="N76" s="47">
        <v>0</v>
      </c>
      <c r="O76" s="18">
        <f t="shared" ref="O76:O82" si="7">SUM(C76:N76)</f>
        <v>195</v>
      </c>
      <c r="Q76" s="105">
        <f t="shared" ref="Q76:Q83" si="8">SUM(F76:K76)</f>
        <v>66</v>
      </c>
      <c r="R76" s="105">
        <f t="shared" ref="R76:R82" si="9">O76*20000</f>
        <v>3900000</v>
      </c>
      <c r="S76">
        <v>0</v>
      </c>
      <c r="T76" s="105">
        <f t="shared" ref="T76:T82" si="10">SUM(R76:S76)</f>
        <v>3900000</v>
      </c>
    </row>
    <row r="77" spans="1:20" ht="18.75" customHeight="1" x14ac:dyDescent="0.25">
      <c r="A77" s="14">
        <v>3</v>
      </c>
      <c r="B77" s="7" t="s">
        <v>20</v>
      </c>
      <c r="C77" s="16">
        <v>0</v>
      </c>
      <c r="D77" s="16">
        <v>312</v>
      </c>
      <c r="E77" s="16">
        <v>305</v>
      </c>
      <c r="F77" s="16">
        <v>56</v>
      </c>
      <c r="G77" s="170">
        <v>0.4</v>
      </c>
      <c r="H77" s="16">
        <v>0</v>
      </c>
      <c r="I77" s="16">
        <v>0</v>
      </c>
      <c r="J77" s="16">
        <v>11</v>
      </c>
      <c r="K77" s="16">
        <v>0</v>
      </c>
      <c r="L77" s="16">
        <v>0</v>
      </c>
      <c r="M77" s="16">
        <v>0</v>
      </c>
      <c r="N77" s="16">
        <v>0</v>
      </c>
      <c r="O77" s="18">
        <f t="shared" si="7"/>
        <v>684.4</v>
      </c>
      <c r="Q77" s="105">
        <f t="shared" si="8"/>
        <v>67.400000000000006</v>
      </c>
      <c r="R77" s="105">
        <f t="shared" si="9"/>
        <v>13688000</v>
      </c>
      <c r="S77">
        <v>0</v>
      </c>
      <c r="T77" s="105">
        <f t="shared" si="10"/>
        <v>13688000</v>
      </c>
    </row>
    <row r="78" spans="1:20" ht="18.75" customHeight="1" x14ac:dyDescent="0.25">
      <c r="A78" s="14">
        <v>4</v>
      </c>
      <c r="B78" s="15" t="s">
        <v>21</v>
      </c>
      <c r="C78" s="16">
        <v>0</v>
      </c>
      <c r="D78" s="16">
        <v>17</v>
      </c>
      <c r="E78" s="16">
        <v>0</v>
      </c>
      <c r="F78" s="16">
        <v>154</v>
      </c>
      <c r="G78" s="170">
        <v>5</v>
      </c>
      <c r="H78" s="16">
        <v>0</v>
      </c>
      <c r="I78" s="16">
        <v>4</v>
      </c>
      <c r="J78" s="16">
        <v>9</v>
      </c>
      <c r="K78" s="16">
        <v>0</v>
      </c>
      <c r="L78" s="16">
        <v>0</v>
      </c>
      <c r="M78" s="16">
        <v>9</v>
      </c>
      <c r="N78" s="16">
        <v>9</v>
      </c>
      <c r="O78" s="18">
        <f t="shared" si="7"/>
        <v>207</v>
      </c>
      <c r="Q78" s="105">
        <f t="shared" si="8"/>
        <v>172</v>
      </c>
      <c r="R78" s="105">
        <f t="shared" si="9"/>
        <v>4140000</v>
      </c>
      <c r="S78">
        <v>335199.99999999994</v>
      </c>
      <c r="T78" s="105">
        <f t="shared" si="10"/>
        <v>4475200</v>
      </c>
    </row>
    <row r="79" spans="1:20" ht="18.75" customHeight="1" x14ac:dyDescent="0.25">
      <c r="A79" s="14">
        <v>5</v>
      </c>
      <c r="B79" s="19" t="s">
        <v>22</v>
      </c>
      <c r="C79" s="16">
        <v>199</v>
      </c>
      <c r="D79" s="16">
        <v>42</v>
      </c>
      <c r="E79" s="16">
        <v>38</v>
      </c>
      <c r="F79" s="16">
        <v>63</v>
      </c>
      <c r="G79" s="170">
        <v>34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7"/>
        <v>376</v>
      </c>
      <c r="Q79" s="105">
        <f t="shared" si="8"/>
        <v>97</v>
      </c>
      <c r="R79" s="105">
        <f t="shared" si="9"/>
        <v>7520000</v>
      </c>
      <c r="S79">
        <v>34000</v>
      </c>
      <c r="T79" s="105">
        <f t="shared" si="10"/>
        <v>7554000</v>
      </c>
    </row>
    <row r="80" spans="1:20" ht="18.75" customHeight="1" x14ac:dyDescent="0.25">
      <c r="A80" s="14">
        <v>6</v>
      </c>
      <c r="B80" s="19" t="s">
        <v>23</v>
      </c>
      <c r="C80" s="16">
        <v>0</v>
      </c>
      <c r="D80" s="16">
        <v>10</v>
      </c>
      <c r="E80" s="16">
        <v>0</v>
      </c>
      <c r="F80" s="16">
        <v>0</v>
      </c>
      <c r="G80" s="170">
        <v>3</v>
      </c>
      <c r="H80" s="16">
        <v>33</v>
      </c>
      <c r="I80" s="16">
        <v>0</v>
      </c>
      <c r="J80" s="16">
        <v>29</v>
      </c>
      <c r="K80" s="16">
        <v>0</v>
      </c>
      <c r="L80" s="16">
        <v>0</v>
      </c>
      <c r="M80" s="16">
        <v>0</v>
      </c>
      <c r="N80" s="16">
        <v>0</v>
      </c>
      <c r="O80" s="18">
        <f t="shared" si="7"/>
        <v>75</v>
      </c>
      <c r="Q80" s="105">
        <f t="shared" si="8"/>
        <v>65</v>
      </c>
      <c r="R80" s="105">
        <f t="shared" si="9"/>
        <v>1500000</v>
      </c>
      <c r="S80">
        <v>0</v>
      </c>
      <c r="T80" s="105">
        <f t="shared" si="10"/>
        <v>1500000</v>
      </c>
    </row>
    <row r="81" spans="1:20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70">
        <v>0.6</v>
      </c>
      <c r="F81" s="170">
        <v>0.5</v>
      </c>
      <c r="G81" s="170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7"/>
        <v>1.1000000000000001</v>
      </c>
      <c r="Q81" s="105">
        <f t="shared" si="8"/>
        <v>0.5</v>
      </c>
      <c r="R81" s="105">
        <f t="shared" si="9"/>
        <v>22000</v>
      </c>
      <c r="S81">
        <v>10000</v>
      </c>
      <c r="T81" s="105">
        <f t="shared" si="10"/>
        <v>32000</v>
      </c>
    </row>
    <row r="82" spans="1:20" ht="18.75" customHeight="1" thickBot="1" x14ac:dyDescent="0.3">
      <c r="A82" s="20">
        <v>8</v>
      </c>
      <c r="B82" s="15" t="s">
        <v>25</v>
      </c>
      <c r="C82" s="17">
        <v>23</v>
      </c>
      <c r="D82" s="17">
        <v>68</v>
      </c>
      <c r="E82" s="17">
        <v>0</v>
      </c>
      <c r="F82" s="17">
        <v>175</v>
      </c>
      <c r="G82" s="177">
        <v>38</v>
      </c>
      <c r="H82" s="17">
        <v>0</v>
      </c>
      <c r="I82" s="17">
        <v>98</v>
      </c>
      <c r="J82" s="17">
        <v>0</v>
      </c>
      <c r="K82" s="17">
        <v>0</v>
      </c>
      <c r="L82" s="17">
        <v>0</v>
      </c>
      <c r="M82" s="17">
        <v>37</v>
      </c>
      <c r="N82" s="49">
        <v>37</v>
      </c>
      <c r="O82" s="21">
        <f t="shared" si="7"/>
        <v>476</v>
      </c>
      <c r="Q82" s="105">
        <f t="shared" si="8"/>
        <v>311</v>
      </c>
      <c r="R82" s="105">
        <f t="shared" si="9"/>
        <v>9520000</v>
      </c>
      <c r="S82">
        <v>8000</v>
      </c>
      <c r="T82" s="105">
        <f t="shared" si="10"/>
        <v>9528000</v>
      </c>
    </row>
    <row r="83" spans="1:20" ht="18.75" customHeight="1" thickTop="1" x14ac:dyDescent="0.25">
      <c r="A83" s="359" t="s">
        <v>26</v>
      </c>
      <c r="B83" s="360"/>
      <c r="C83" s="22">
        <f t="shared" ref="C83:O83" si="11">SUM(C75:C82)</f>
        <v>391</v>
      </c>
      <c r="D83" s="22">
        <f t="shared" si="11"/>
        <v>520</v>
      </c>
      <c r="E83" s="171">
        <f t="shared" si="11"/>
        <v>343.6</v>
      </c>
      <c r="F83" s="171">
        <f t="shared" si="11"/>
        <v>625.5</v>
      </c>
      <c r="G83" s="171">
        <f t="shared" si="11"/>
        <v>129.4</v>
      </c>
      <c r="H83" s="22">
        <f>SUM(H75:H82)</f>
        <v>33</v>
      </c>
      <c r="I83" s="22">
        <f t="shared" si="11"/>
        <v>102</v>
      </c>
      <c r="J83" s="22">
        <f t="shared" si="11"/>
        <v>49</v>
      </c>
      <c r="K83" s="22">
        <f t="shared" si="11"/>
        <v>0</v>
      </c>
      <c r="L83" s="22">
        <f t="shared" si="11"/>
        <v>0</v>
      </c>
      <c r="M83" s="22">
        <f t="shared" si="11"/>
        <v>46</v>
      </c>
      <c r="N83" s="22">
        <f t="shared" si="11"/>
        <v>46</v>
      </c>
      <c r="O83" s="22">
        <f t="shared" si="11"/>
        <v>2285.5</v>
      </c>
      <c r="P83" s="72">
        <f>O83/0.32</f>
        <v>7142.1875</v>
      </c>
      <c r="Q83" s="105">
        <f t="shared" si="8"/>
        <v>938.9</v>
      </c>
      <c r="R83" s="105">
        <f>O83/0.32</f>
        <v>7142.1875</v>
      </c>
      <c r="S83" s="72">
        <f>P83*0.53</f>
        <v>3785.359375</v>
      </c>
    </row>
    <row r="84" spans="1:20" x14ac:dyDescent="0.25">
      <c r="A84" s="23"/>
      <c r="B84" s="23"/>
      <c r="C84" s="141"/>
      <c r="D84" s="23"/>
      <c r="E84" s="23"/>
      <c r="F84" s="141"/>
      <c r="G84" s="23"/>
      <c r="H84" s="23"/>
      <c r="I84" s="141"/>
      <c r="J84" s="23"/>
      <c r="K84" s="23"/>
      <c r="L84" s="141"/>
      <c r="M84" s="23"/>
      <c r="N84" s="23"/>
      <c r="O84" s="23"/>
      <c r="P84" s="72">
        <f>P83*0.53</f>
        <v>3785.359375</v>
      </c>
    </row>
    <row r="85" spans="1:20" x14ac:dyDescent="0.25">
      <c r="A85" s="24"/>
      <c r="B85" s="345" t="s">
        <v>166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R85">
        <f>R83/O50</f>
        <v>2.824673719596599</v>
      </c>
    </row>
    <row r="86" spans="1:20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20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20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20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20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20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20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20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20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20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20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7" ht="18.75" x14ac:dyDescent="0.3">
      <c r="A101" s="361" t="s">
        <v>44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7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7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7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7" ht="18.75" customHeight="1" thickTop="1" x14ac:dyDescent="0.25">
      <c r="A108" s="27">
        <v>1</v>
      </c>
      <c r="B108" s="7" t="s">
        <v>18</v>
      </c>
      <c r="C108" s="179">
        <v>6.56</v>
      </c>
      <c r="D108" s="32">
        <v>8</v>
      </c>
      <c r="E108" s="32">
        <v>0</v>
      </c>
      <c r="F108" s="32">
        <v>8.64</v>
      </c>
      <c r="G108" s="32">
        <v>0</v>
      </c>
      <c r="H108" s="32">
        <v>0</v>
      </c>
      <c r="I108" s="32">
        <v>0</v>
      </c>
      <c r="J108" s="32">
        <v>0</v>
      </c>
      <c r="K108" s="28">
        <v>0</v>
      </c>
      <c r="L108" s="32">
        <v>0</v>
      </c>
      <c r="M108" s="179">
        <v>0</v>
      </c>
      <c r="N108" s="179">
        <v>0</v>
      </c>
      <c r="O108" s="33">
        <f t="shared" ref="O108:O116" si="12">O75/O42*10</f>
        <v>7.8323699421965323</v>
      </c>
      <c r="Q108" s="72">
        <f>O108/0.32</f>
        <v>24.476156069364162</v>
      </c>
    </row>
    <row r="109" spans="1:17" ht="18.75" customHeight="1" x14ac:dyDescent="0.25">
      <c r="A109" s="14">
        <v>2</v>
      </c>
      <c r="B109" s="12" t="s">
        <v>19</v>
      </c>
      <c r="C109" s="180">
        <v>7.04</v>
      </c>
      <c r="D109" s="34">
        <v>6.72</v>
      </c>
      <c r="E109" s="34">
        <v>0</v>
      </c>
      <c r="F109" s="34">
        <v>6.72</v>
      </c>
      <c r="G109" s="34">
        <v>5.76</v>
      </c>
      <c r="H109" s="34">
        <v>0</v>
      </c>
      <c r="I109" s="34">
        <v>0</v>
      </c>
      <c r="J109" s="34">
        <v>0</v>
      </c>
      <c r="K109" s="16">
        <v>0</v>
      </c>
      <c r="L109" s="34">
        <v>0</v>
      </c>
      <c r="M109" s="180">
        <v>0</v>
      </c>
      <c r="N109" s="180">
        <v>0</v>
      </c>
      <c r="O109" s="35">
        <f t="shared" si="12"/>
        <v>6.5878378378378377</v>
      </c>
      <c r="Q109" s="72">
        <f t="shared" ref="Q109:Q115" si="13">O109/0.32</f>
        <v>20.586993243243242</v>
      </c>
    </row>
    <row r="110" spans="1:17" ht="18.75" customHeight="1" x14ac:dyDescent="0.25">
      <c r="A110" s="14">
        <v>3</v>
      </c>
      <c r="B110" s="7" t="s">
        <v>20</v>
      </c>
      <c r="C110" s="34">
        <v>0</v>
      </c>
      <c r="D110" s="34">
        <v>10.24</v>
      </c>
      <c r="E110" s="34">
        <v>15.25</v>
      </c>
      <c r="F110" s="34">
        <v>9.92</v>
      </c>
      <c r="G110" s="34">
        <v>8.15</v>
      </c>
      <c r="H110" s="34">
        <v>0</v>
      </c>
      <c r="I110" s="34">
        <v>0</v>
      </c>
      <c r="J110" s="34">
        <v>7.25</v>
      </c>
      <c r="K110" s="16">
        <v>0</v>
      </c>
      <c r="L110" s="34">
        <v>0</v>
      </c>
      <c r="M110" s="34">
        <v>0</v>
      </c>
      <c r="N110" s="34">
        <v>0</v>
      </c>
      <c r="O110" s="35">
        <f t="shared" si="12"/>
        <v>11.85108225108225</v>
      </c>
      <c r="Q110" s="72">
        <f t="shared" si="13"/>
        <v>37.034632034632033</v>
      </c>
    </row>
    <row r="111" spans="1:17" ht="18.75" customHeight="1" x14ac:dyDescent="0.25">
      <c r="A111" s="14">
        <v>4</v>
      </c>
      <c r="B111" s="15" t="s">
        <v>21</v>
      </c>
      <c r="C111" s="34">
        <v>0</v>
      </c>
      <c r="D111" s="34">
        <v>8</v>
      </c>
      <c r="E111" s="34">
        <v>0</v>
      </c>
      <c r="F111" s="34">
        <v>9.2200000000000006</v>
      </c>
      <c r="G111" s="34">
        <v>9.2200000000000006</v>
      </c>
      <c r="H111" s="34">
        <v>0</v>
      </c>
      <c r="I111" s="34">
        <v>8.9600000000000009</v>
      </c>
      <c r="J111" s="34">
        <v>8.98</v>
      </c>
      <c r="K111" s="16">
        <v>0</v>
      </c>
      <c r="L111" s="34">
        <v>0</v>
      </c>
      <c r="M111" s="34">
        <v>9.11</v>
      </c>
      <c r="N111" s="34">
        <v>9.11</v>
      </c>
      <c r="O111" s="35">
        <f t="shared" si="12"/>
        <v>9.0789473684210531</v>
      </c>
      <c r="Q111" s="72">
        <f t="shared" si="13"/>
        <v>28.371710526315791</v>
      </c>
    </row>
    <row r="112" spans="1:17" ht="18.75" customHeight="1" x14ac:dyDescent="0.25">
      <c r="A112" s="14">
        <v>5</v>
      </c>
      <c r="B112" s="19" t="s">
        <v>22</v>
      </c>
      <c r="C112" s="34">
        <v>11.2</v>
      </c>
      <c r="D112" s="34">
        <v>8</v>
      </c>
      <c r="E112" s="34">
        <v>8</v>
      </c>
      <c r="F112" s="34">
        <v>9</v>
      </c>
      <c r="G112" s="34">
        <v>8.9600000000000009</v>
      </c>
      <c r="H112" s="34">
        <v>0</v>
      </c>
      <c r="I112" s="34">
        <v>0</v>
      </c>
      <c r="J112" s="34">
        <v>0</v>
      </c>
      <c r="K112" s="16">
        <v>0</v>
      </c>
      <c r="L112" s="34">
        <v>0</v>
      </c>
      <c r="M112" s="34">
        <v>0</v>
      </c>
      <c r="N112" s="34">
        <v>0</v>
      </c>
      <c r="O112" s="35">
        <f t="shared" si="12"/>
        <v>9.7409326424870475</v>
      </c>
      <c r="Q112" s="72">
        <f t="shared" si="13"/>
        <v>30.440414507772022</v>
      </c>
    </row>
    <row r="113" spans="1:19" ht="18.75" customHeight="1" x14ac:dyDescent="0.25">
      <c r="A113" s="14">
        <v>6</v>
      </c>
      <c r="B113" s="19" t="s">
        <v>23</v>
      </c>
      <c r="C113" s="34">
        <v>0</v>
      </c>
      <c r="D113" s="34">
        <v>6.4</v>
      </c>
      <c r="E113" s="34">
        <v>0</v>
      </c>
      <c r="F113" s="34">
        <v>0</v>
      </c>
      <c r="G113" s="34">
        <v>5.76</v>
      </c>
      <c r="H113" s="34">
        <v>7.36</v>
      </c>
      <c r="I113" s="34">
        <v>0</v>
      </c>
      <c r="J113" s="34">
        <v>7.15</v>
      </c>
      <c r="K113" s="16">
        <v>0</v>
      </c>
      <c r="L113" s="34">
        <v>0</v>
      </c>
      <c r="M113" s="34">
        <v>0</v>
      </c>
      <c r="N113" s="34">
        <v>0</v>
      </c>
      <c r="O113" s="35">
        <f t="shared" si="12"/>
        <v>7.1428571428571432</v>
      </c>
      <c r="Q113" s="72">
        <f t="shared" si="13"/>
        <v>22.321428571428573</v>
      </c>
      <c r="S113">
        <f>5804/2337*10</f>
        <v>24.835258878904579</v>
      </c>
    </row>
    <row r="114" spans="1:19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34">
        <v>6.08</v>
      </c>
      <c r="F114" s="34">
        <v>5.44</v>
      </c>
      <c r="G114" s="34">
        <v>0</v>
      </c>
      <c r="H114" s="34">
        <v>0</v>
      </c>
      <c r="I114" s="34">
        <v>0</v>
      </c>
      <c r="J114" s="34">
        <v>0</v>
      </c>
      <c r="K114" s="16">
        <v>0</v>
      </c>
      <c r="L114" s="34">
        <v>0</v>
      </c>
      <c r="M114" s="34">
        <v>0</v>
      </c>
      <c r="N114" s="34">
        <v>0</v>
      </c>
      <c r="O114" s="35">
        <f t="shared" si="12"/>
        <v>5.5</v>
      </c>
      <c r="Q114" s="72">
        <f t="shared" si="13"/>
        <v>17.1875</v>
      </c>
    </row>
    <row r="115" spans="1:19" ht="18.75" customHeight="1" thickBot="1" x14ac:dyDescent="0.3">
      <c r="A115" s="20">
        <v>8</v>
      </c>
      <c r="B115" s="15" t="s">
        <v>25</v>
      </c>
      <c r="C115" s="36">
        <v>6.72</v>
      </c>
      <c r="D115" s="36">
        <v>8</v>
      </c>
      <c r="E115" s="36">
        <v>0</v>
      </c>
      <c r="F115" s="36">
        <v>8.75</v>
      </c>
      <c r="G115" s="36">
        <v>8.5</v>
      </c>
      <c r="H115" s="36">
        <v>0</v>
      </c>
      <c r="I115" s="36">
        <v>7.04</v>
      </c>
      <c r="J115" s="36">
        <v>0</v>
      </c>
      <c r="K115" s="17">
        <v>0</v>
      </c>
      <c r="L115" s="36">
        <v>0</v>
      </c>
      <c r="M115" s="36">
        <v>8.85</v>
      </c>
      <c r="N115" s="51">
        <v>8.85</v>
      </c>
      <c r="O115" s="37">
        <f t="shared" si="12"/>
        <v>8.0952380952380949</v>
      </c>
      <c r="Q115" s="72">
        <f t="shared" si="13"/>
        <v>25.297619047619047</v>
      </c>
    </row>
    <row r="116" spans="1:19" ht="18.75" customHeight="1" thickTop="1" x14ac:dyDescent="0.25">
      <c r="A116" s="359" t="s">
        <v>26</v>
      </c>
      <c r="B116" s="360"/>
      <c r="C116" s="52">
        <f>C83/C50*10</f>
        <v>8.4815618221258138</v>
      </c>
      <c r="D116" s="52">
        <f>D83/D50*10</f>
        <v>9.0121317157712291</v>
      </c>
      <c r="E116" s="52">
        <f>E83/E50*10</f>
        <v>13.799196787148595</v>
      </c>
      <c r="F116" s="52">
        <f t="shared" ref="F116:N116" si="14">F83/F50*10</f>
        <v>8.8723404255319149</v>
      </c>
      <c r="G116" s="52">
        <f t="shared" si="14"/>
        <v>7.2492997198879552</v>
      </c>
      <c r="H116" s="52">
        <v>7.36</v>
      </c>
      <c r="I116" s="52">
        <f t="shared" si="14"/>
        <v>7.0833333333333339</v>
      </c>
      <c r="J116" s="52">
        <f>J83/J50*10</f>
        <v>7.5384615384615383</v>
      </c>
      <c r="K116" s="52">
        <v>0</v>
      </c>
      <c r="L116" s="52">
        <v>0</v>
      </c>
      <c r="M116" s="52">
        <f t="shared" si="14"/>
        <v>8.8461538461538467</v>
      </c>
      <c r="N116" s="52">
        <f t="shared" si="14"/>
        <v>8.8461538461538467</v>
      </c>
      <c r="O116" s="45">
        <f t="shared" si="12"/>
        <v>9.038955902709116</v>
      </c>
      <c r="P116" s="275">
        <f>O116/0.32</f>
        <v>28.246737195965988</v>
      </c>
      <c r="Q116">
        <f>11.94/0.32</f>
        <v>37.3125</v>
      </c>
      <c r="R116">
        <f>O116/0.32</f>
        <v>28.246737195965988</v>
      </c>
    </row>
    <row r="117" spans="1:19" x14ac:dyDescent="0.25">
      <c r="A117" s="24"/>
      <c r="B117" s="24"/>
      <c r="C117" s="24"/>
      <c r="D117" s="73"/>
      <c r="E117" s="24"/>
      <c r="F117" s="24"/>
      <c r="G117" s="24"/>
      <c r="H117" s="73"/>
      <c r="I117" s="24"/>
      <c r="J117" s="24"/>
      <c r="K117" s="24"/>
      <c r="L117" s="24"/>
      <c r="M117" s="24"/>
      <c r="N117" s="24"/>
      <c r="O117" s="24"/>
      <c r="P117" s="72">
        <f>P116*0.53</f>
        <v>14.970770713861974</v>
      </c>
    </row>
    <row r="118" spans="1:19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2"/>
      <c r="L118" s="24"/>
      <c r="M118" s="24"/>
      <c r="N118" s="24"/>
      <c r="O118" s="24"/>
      <c r="Q118">
        <f>P117*O50/10</f>
        <v>3785.359375</v>
      </c>
    </row>
    <row r="119" spans="1:19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163</v>
      </c>
      <c r="L119" s="24"/>
      <c r="M119" s="24"/>
      <c r="N119" s="24"/>
      <c r="O119" s="24"/>
    </row>
    <row r="120" spans="1:19" x14ac:dyDescent="0.25">
      <c r="K120" t="s">
        <v>86</v>
      </c>
    </row>
    <row r="124" spans="1:19" x14ac:dyDescent="0.25">
      <c r="K124" t="s">
        <v>164</v>
      </c>
    </row>
    <row r="125" spans="1:19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0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7" ht="18.75" x14ac:dyDescent="0.3">
      <c r="A2" s="361" t="s">
        <v>45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</row>
    <row r="7" spans="1:17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16">
        <v>0</v>
      </c>
      <c r="D9" s="28">
        <v>0</v>
      </c>
      <c r="E9" s="28">
        <v>0</v>
      </c>
      <c r="F9" s="28">
        <v>0</v>
      </c>
      <c r="G9" s="16"/>
      <c r="H9" s="28">
        <v>0</v>
      </c>
      <c r="I9" s="28">
        <v>1</v>
      </c>
      <c r="J9" s="28">
        <v>0</v>
      </c>
      <c r="K9" s="46">
        <v>0</v>
      </c>
      <c r="L9" s="28">
        <v>0</v>
      </c>
      <c r="M9" s="28">
        <v>0</v>
      </c>
      <c r="N9" s="28">
        <v>2</v>
      </c>
      <c r="O9" s="29">
        <f>SUM(C9:N9)</f>
        <v>3</v>
      </c>
      <c r="P9" s="105">
        <f>SUM(E9:K9)</f>
        <v>1</v>
      </c>
      <c r="Q9" s="105">
        <f>SUM(F9:K9)</f>
        <v>1</v>
      </c>
    </row>
    <row r="10" spans="1:17" ht="18.75" customHeight="1" x14ac:dyDescent="0.25">
      <c r="A10" s="14">
        <v>2</v>
      </c>
      <c r="B10" s="12" t="s">
        <v>19</v>
      </c>
      <c r="C10" s="17">
        <v>0</v>
      </c>
      <c r="D10" s="16">
        <v>1</v>
      </c>
      <c r="E10" s="16">
        <v>0</v>
      </c>
      <c r="F10" s="16">
        <v>0</v>
      </c>
      <c r="G10" s="17">
        <v>1</v>
      </c>
      <c r="H10" s="16">
        <v>0</v>
      </c>
      <c r="I10" s="16">
        <v>0</v>
      </c>
      <c r="J10" s="16">
        <v>0</v>
      </c>
      <c r="K10" s="47">
        <v>0</v>
      </c>
      <c r="L10" s="16">
        <v>0</v>
      </c>
      <c r="M10" s="16">
        <v>1</v>
      </c>
      <c r="N10" s="16">
        <v>1</v>
      </c>
      <c r="O10" s="18">
        <f t="shared" ref="O10:O16" si="0">SUM(C10:N10)</f>
        <v>4</v>
      </c>
      <c r="P10" s="105">
        <f t="shared" ref="P10:P16" si="1">SUM(E10:K10)</f>
        <v>1</v>
      </c>
      <c r="Q10" s="105">
        <f t="shared" ref="Q10:Q17" si="2">SUM(F10:K10)</f>
        <v>1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3</v>
      </c>
      <c r="L11" s="16">
        <v>3</v>
      </c>
      <c r="M11" s="16">
        <v>0</v>
      </c>
      <c r="N11" s="16">
        <v>0</v>
      </c>
      <c r="O11" s="18">
        <f t="shared" si="0"/>
        <v>6</v>
      </c>
      <c r="P11" s="105">
        <f t="shared" si="1"/>
        <v>3</v>
      </c>
      <c r="Q11" s="105">
        <f t="shared" si="2"/>
        <v>3</v>
      </c>
    </row>
    <row r="12" spans="1:17" ht="18.75" customHeight="1" x14ac:dyDescent="0.25">
      <c r="A12" s="14">
        <v>4</v>
      </c>
      <c r="B12" s="15" t="s">
        <v>21</v>
      </c>
      <c r="C12" s="17">
        <v>0</v>
      </c>
      <c r="D12" s="16">
        <v>0</v>
      </c>
      <c r="E12" s="16">
        <v>0</v>
      </c>
      <c r="F12" s="16">
        <v>1</v>
      </c>
      <c r="G12" s="17">
        <v>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2</v>
      </c>
      <c r="P12" s="105">
        <f t="shared" si="1"/>
        <v>2</v>
      </c>
      <c r="Q12" s="105">
        <f t="shared" si="2"/>
        <v>2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1</v>
      </c>
      <c r="E13" s="16">
        <v>0</v>
      </c>
      <c r="F13" s="16">
        <v>1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12</v>
      </c>
      <c r="O13" s="18">
        <f t="shared" si="0"/>
        <v>15</v>
      </c>
      <c r="P13" s="105">
        <f t="shared" si="1"/>
        <v>2</v>
      </c>
      <c r="Q13" s="105">
        <f t="shared" si="2"/>
        <v>2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0</v>
      </c>
      <c r="L14" s="16">
        <v>1</v>
      </c>
      <c r="M14" s="16">
        <v>1</v>
      </c>
      <c r="N14" s="16">
        <v>1</v>
      </c>
      <c r="O14" s="18">
        <f t="shared" si="0"/>
        <v>5</v>
      </c>
      <c r="P14" s="105">
        <f t="shared" si="1"/>
        <v>2</v>
      </c>
      <c r="Q14" s="105">
        <f t="shared" si="2"/>
        <v>2</v>
      </c>
    </row>
    <row r="15" spans="1:17" ht="18.75" customHeight="1" x14ac:dyDescent="0.25">
      <c r="A15" s="14">
        <v>7</v>
      </c>
      <c r="B15" s="19" t="s">
        <v>24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1</v>
      </c>
      <c r="L15" s="16">
        <v>0</v>
      </c>
      <c r="M15" s="16">
        <v>0</v>
      </c>
      <c r="N15" s="16">
        <v>0</v>
      </c>
      <c r="O15" s="18">
        <f t="shared" si="0"/>
        <v>2</v>
      </c>
      <c r="P15" s="105">
        <f t="shared" si="1"/>
        <v>1</v>
      </c>
      <c r="Q15" s="105">
        <f t="shared" si="2"/>
        <v>1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1</v>
      </c>
      <c r="J16" s="17">
        <v>0</v>
      </c>
      <c r="K16" s="17">
        <v>1</v>
      </c>
      <c r="L16" s="17">
        <v>0</v>
      </c>
      <c r="M16" s="17">
        <v>1</v>
      </c>
      <c r="N16" s="17">
        <v>1</v>
      </c>
      <c r="O16" s="53">
        <f t="shared" si="0"/>
        <v>4</v>
      </c>
      <c r="P16" s="105">
        <f t="shared" si="1"/>
        <v>2</v>
      </c>
      <c r="Q16" s="105">
        <f t="shared" si="2"/>
        <v>2</v>
      </c>
    </row>
    <row r="17" spans="1:17" ht="18.75" customHeight="1" thickTop="1" x14ac:dyDescent="0.25">
      <c r="A17" s="359" t="s">
        <v>26</v>
      </c>
      <c r="B17" s="360"/>
      <c r="C17" s="22">
        <f t="shared" ref="C17:O17" si="3">SUM(C9:C16)</f>
        <v>1</v>
      </c>
      <c r="D17" s="22">
        <f t="shared" si="3"/>
        <v>2</v>
      </c>
      <c r="E17" s="22">
        <f t="shared" si="3"/>
        <v>0</v>
      </c>
      <c r="F17" s="22">
        <f t="shared" si="3"/>
        <v>3</v>
      </c>
      <c r="G17" s="22">
        <f t="shared" si="3"/>
        <v>2</v>
      </c>
      <c r="H17" s="22">
        <f t="shared" si="3"/>
        <v>1</v>
      </c>
      <c r="I17" s="22">
        <f t="shared" si="3"/>
        <v>2</v>
      </c>
      <c r="J17" s="22">
        <f t="shared" si="3"/>
        <v>1</v>
      </c>
      <c r="K17" s="22">
        <f t="shared" si="3"/>
        <v>5</v>
      </c>
      <c r="L17" s="22">
        <f t="shared" si="3"/>
        <v>4</v>
      </c>
      <c r="M17" s="22">
        <f t="shared" si="3"/>
        <v>3</v>
      </c>
      <c r="N17" s="22">
        <f t="shared" si="3"/>
        <v>17</v>
      </c>
      <c r="O17" s="22">
        <f t="shared" si="3"/>
        <v>41</v>
      </c>
      <c r="P17" s="22">
        <f>SUM(P9:P16)</f>
        <v>14</v>
      </c>
      <c r="Q17" s="105">
        <f t="shared" si="2"/>
        <v>14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ht="18.75" x14ac:dyDescent="0.3">
      <c r="A34" s="361" t="s">
        <v>46</v>
      </c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</row>
    <row r="35" spans="1:17" ht="18.75" x14ac:dyDescent="0.3">
      <c r="A35" s="361" t="s">
        <v>145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7" x14ac:dyDescent="0.25">
      <c r="A38" s="362" t="s">
        <v>2</v>
      </c>
      <c r="B38" s="362" t="s">
        <v>3</v>
      </c>
      <c r="C38" s="364" t="s">
        <v>4</v>
      </c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2" t="s">
        <v>5</v>
      </c>
    </row>
    <row r="39" spans="1:17" x14ac:dyDescent="0.25">
      <c r="A39" s="363"/>
      <c r="B39" s="363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65"/>
    </row>
    <row r="40" spans="1:17" ht="15.75" thickBot="1" x14ac:dyDescent="0.3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7" ht="18.75" customHeight="1" thickTop="1" x14ac:dyDescent="0.25">
      <c r="A41" s="27">
        <v>1</v>
      </c>
      <c r="B41" s="7" t="s">
        <v>18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6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16">
        <v>1</v>
      </c>
      <c r="O41" s="29">
        <f>SUM(C41:N41)</f>
        <v>7</v>
      </c>
      <c r="Q41" s="105">
        <f>SUM(F41:K41)</f>
        <v>6</v>
      </c>
    </row>
    <row r="42" spans="1:17" ht="18.75" customHeight="1" x14ac:dyDescent="0.25">
      <c r="A42" s="14">
        <v>2</v>
      </c>
      <c r="B42" s="12" t="s">
        <v>19</v>
      </c>
      <c r="C42" s="16">
        <v>1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0</v>
      </c>
      <c r="L42" s="16">
        <v>1</v>
      </c>
      <c r="M42" s="16">
        <v>0</v>
      </c>
      <c r="N42" s="17">
        <v>0</v>
      </c>
      <c r="O42" s="18">
        <f t="shared" ref="O42:O48" si="4">SUM(C42:N42)</f>
        <v>4</v>
      </c>
      <c r="Q42" s="105">
        <f t="shared" ref="Q42:Q49" si="5">SUM(F42:K42)</f>
        <v>2</v>
      </c>
    </row>
    <row r="43" spans="1:17" ht="18.75" customHeight="1" x14ac:dyDescent="0.25">
      <c r="A43" s="14">
        <v>3</v>
      </c>
      <c r="B43" s="7" t="s">
        <v>20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8</v>
      </c>
      <c r="L43" s="16">
        <v>1</v>
      </c>
      <c r="M43" s="16">
        <v>0</v>
      </c>
      <c r="N43" s="16">
        <v>0</v>
      </c>
      <c r="O43" s="18">
        <f t="shared" si="4"/>
        <v>9</v>
      </c>
      <c r="Q43" s="105">
        <f t="shared" si="5"/>
        <v>8</v>
      </c>
    </row>
    <row r="44" spans="1:17" ht="18.75" customHeight="1" x14ac:dyDescent="0.25">
      <c r="A44" s="14">
        <v>4</v>
      </c>
      <c r="B44" s="15" t="s">
        <v>21</v>
      </c>
      <c r="C44" s="17">
        <v>0</v>
      </c>
      <c r="D44" s="17">
        <v>0</v>
      </c>
      <c r="E44" s="16">
        <v>4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7">
        <v>0</v>
      </c>
      <c r="O44" s="18">
        <f t="shared" si="4"/>
        <v>4</v>
      </c>
      <c r="Q44" s="105">
        <f t="shared" si="5"/>
        <v>0</v>
      </c>
    </row>
    <row r="45" spans="1:17" ht="18.75" customHeight="1" x14ac:dyDescent="0.25">
      <c r="A45" s="14">
        <v>5</v>
      </c>
      <c r="B45" s="19" t="s">
        <v>22</v>
      </c>
      <c r="C45" s="16">
        <v>0</v>
      </c>
      <c r="D45" s="16">
        <v>3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1</v>
      </c>
      <c r="K45" s="16">
        <v>0</v>
      </c>
      <c r="L45" s="16">
        <v>0</v>
      </c>
      <c r="M45" s="16">
        <v>0</v>
      </c>
      <c r="N45" s="16">
        <v>2</v>
      </c>
      <c r="O45" s="18">
        <f t="shared" si="4"/>
        <v>8</v>
      </c>
      <c r="Q45" s="105">
        <f t="shared" si="5"/>
        <v>2</v>
      </c>
    </row>
    <row r="46" spans="1:17" ht="18.75" customHeight="1" x14ac:dyDescent="0.25">
      <c r="A46" s="14">
        <v>6</v>
      </c>
      <c r="B46" s="19" t="s">
        <v>23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1</v>
      </c>
      <c r="J46" s="16">
        <v>1</v>
      </c>
      <c r="K46" s="16">
        <v>0</v>
      </c>
      <c r="L46" s="16">
        <v>1</v>
      </c>
      <c r="M46" s="16">
        <v>0</v>
      </c>
      <c r="N46" s="16">
        <v>0</v>
      </c>
      <c r="O46" s="18">
        <f t="shared" si="4"/>
        <v>5</v>
      </c>
      <c r="Q46" s="105">
        <f t="shared" si="5"/>
        <v>4</v>
      </c>
    </row>
    <row r="47" spans="1:17" ht="18.75" customHeight="1" x14ac:dyDescent="0.25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1</v>
      </c>
      <c r="L47" s="16">
        <v>0</v>
      </c>
      <c r="M47" s="16">
        <v>0</v>
      </c>
      <c r="N47" s="16">
        <v>0</v>
      </c>
      <c r="O47" s="18">
        <f t="shared" si="4"/>
        <v>1</v>
      </c>
      <c r="Q47" s="105">
        <f t="shared" si="5"/>
        <v>1</v>
      </c>
    </row>
    <row r="48" spans="1:17" ht="18.75" customHeight="1" thickBot="1" x14ac:dyDescent="0.3">
      <c r="A48" s="54">
        <v>8</v>
      </c>
      <c r="B48" s="15" t="s">
        <v>25</v>
      </c>
      <c r="C48" s="17">
        <v>1</v>
      </c>
      <c r="D48" s="17">
        <v>0</v>
      </c>
      <c r="E48" s="17">
        <v>0</v>
      </c>
      <c r="F48" s="17">
        <v>1</v>
      </c>
      <c r="G48" s="17">
        <v>0</v>
      </c>
      <c r="H48" s="17">
        <v>0</v>
      </c>
      <c r="I48" s="17">
        <v>4</v>
      </c>
      <c r="J48" s="17">
        <v>0</v>
      </c>
      <c r="K48" s="55">
        <v>0</v>
      </c>
      <c r="L48" s="17">
        <v>0</v>
      </c>
      <c r="M48" s="17">
        <v>1</v>
      </c>
      <c r="N48" s="17">
        <v>0</v>
      </c>
      <c r="O48" s="56">
        <f t="shared" si="4"/>
        <v>7</v>
      </c>
      <c r="Q48" s="105">
        <f t="shared" si="5"/>
        <v>5</v>
      </c>
    </row>
    <row r="49" spans="1:17" ht="18.75" customHeight="1" thickTop="1" x14ac:dyDescent="0.25">
      <c r="A49" s="359" t="s">
        <v>26</v>
      </c>
      <c r="B49" s="360"/>
      <c r="C49" s="22">
        <f t="shared" ref="C49:O49" si="6">SUM(C41:C48)</f>
        <v>2</v>
      </c>
      <c r="D49" s="22">
        <f t="shared" si="6"/>
        <v>3</v>
      </c>
      <c r="E49" s="22">
        <f t="shared" si="6"/>
        <v>5</v>
      </c>
      <c r="F49" s="22">
        <f t="shared" si="6"/>
        <v>3</v>
      </c>
      <c r="G49" s="22">
        <f t="shared" si="6"/>
        <v>0</v>
      </c>
      <c r="H49" s="22">
        <f t="shared" si="6"/>
        <v>8</v>
      </c>
      <c r="I49" s="22">
        <f t="shared" si="6"/>
        <v>5</v>
      </c>
      <c r="J49" s="22">
        <f t="shared" si="6"/>
        <v>3</v>
      </c>
      <c r="K49" s="22">
        <f t="shared" si="6"/>
        <v>9</v>
      </c>
      <c r="L49" s="22">
        <f t="shared" si="6"/>
        <v>3</v>
      </c>
      <c r="M49" s="22">
        <f t="shared" si="6"/>
        <v>1</v>
      </c>
      <c r="N49" s="22">
        <f t="shared" si="6"/>
        <v>3</v>
      </c>
      <c r="O49" s="22">
        <f t="shared" si="6"/>
        <v>45</v>
      </c>
      <c r="Q49" s="105">
        <f t="shared" si="5"/>
        <v>28</v>
      </c>
    </row>
    <row r="50" spans="1:17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7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8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8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8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8" ht="18.75" x14ac:dyDescent="0.3">
      <c r="A68" s="361" t="s">
        <v>47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8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8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8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8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18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8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54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16">
        <v>9</v>
      </c>
      <c r="O75" s="29">
        <f>SUM(C75:N75)</f>
        <v>63</v>
      </c>
      <c r="Q75" s="105">
        <f>SUM(F75:K75)</f>
        <v>54</v>
      </c>
      <c r="R75" s="105">
        <f>O75*2000</f>
        <v>126000</v>
      </c>
    </row>
    <row r="76" spans="1:18" ht="18.75" customHeight="1" x14ac:dyDescent="0.25">
      <c r="A76" s="14">
        <v>2</v>
      </c>
      <c r="B76" s="12" t="s">
        <v>19</v>
      </c>
      <c r="C76" s="16">
        <v>25</v>
      </c>
      <c r="D76" s="16">
        <v>0</v>
      </c>
      <c r="E76" s="16">
        <v>0</v>
      </c>
      <c r="F76" s="16">
        <v>9</v>
      </c>
      <c r="G76" s="16">
        <v>0</v>
      </c>
      <c r="H76" s="16">
        <v>0</v>
      </c>
      <c r="I76" s="16">
        <v>0</v>
      </c>
      <c r="J76" s="16">
        <v>11</v>
      </c>
      <c r="K76" s="16">
        <v>0</v>
      </c>
      <c r="L76" s="16">
        <v>12</v>
      </c>
      <c r="M76" s="16">
        <v>0</v>
      </c>
      <c r="N76" s="17">
        <v>0</v>
      </c>
      <c r="O76" s="18">
        <f t="shared" ref="O76:O82" si="7">SUM(C76:N76)</f>
        <v>57</v>
      </c>
      <c r="Q76" s="105">
        <f t="shared" ref="Q76:Q83" si="8">SUM(F76:K76)</f>
        <v>20</v>
      </c>
      <c r="R76" s="105">
        <f t="shared" ref="R76:R82" si="9">O76*2000</f>
        <v>114000</v>
      </c>
    </row>
    <row r="77" spans="1:18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94</v>
      </c>
      <c r="L77" s="16">
        <v>12</v>
      </c>
      <c r="M77" s="16">
        <v>0</v>
      </c>
      <c r="N77" s="16">
        <v>0</v>
      </c>
      <c r="O77" s="18">
        <f t="shared" si="7"/>
        <v>106</v>
      </c>
      <c r="Q77" s="105">
        <f t="shared" si="8"/>
        <v>94</v>
      </c>
      <c r="R77" s="105">
        <f t="shared" si="9"/>
        <v>212000</v>
      </c>
    </row>
    <row r="78" spans="1:18" ht="18.75" customHeight="1" x14ac:dyDescent="0.25">
      <c r="A78" s="14">
        <v>4</v>
      </c>
      <c r="B78" s="15" t="s">
        <v>21</v>
      </c>
      <c r="C78" s="17">
        <v>0</v>
      </c>
      <c r="D78" s="16">
        <v>0</v>
      </c>
      <c r="E78" s="16">
        <v>30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7">
        <v>0</v>
      </c>
      <c r="O78" s="18">
        <f t="shared" si="7"/>
        <v>30</v>
      </c>
      <c r="Q78" s="105">
        <f t="shared" si="8"/>
        <v>0</v>
      </c>
      <c r="R78" s="105">
        <f t="shared" si="9"/>
        <v>60000</v>
      </c>
    </row>
    <row r="79" spans="1:18" ht="18.75" customHeight="1" x14ac:dyDescent="0.25">
      <c r="A79" s="14">
        <v>5</v>
      </c>
      <c r="B79" s="19" t="s">
        <v>22</v>
      </c>
      <c r="C79" s="16">
        <v>0</v>
      </c>
      <c r="D79" s="16">
        <v>24</v>
      </c>
      <c r="E79" s="16">
        <v>8</v>
      </c>
      <c r="F79" s="16">
        <v>9</v>
      </c>
      <c r="G79" s="16">
        <v>0</v>
      </c>
      <c r="H79" s="16">
        <v>0</v>
      </c>
      <c r="I79" s="16">
        <v>0</v>
      </c>
      <c r="J79" s="16">
        <v>10</v>
      </c>
      <c r="K79" s="16">
        <v>0</v>
      </c>
      <c r="L79" s="16">
        <v>0</v>
      </c>
      <c r="M79" s="16">
        <v>0</v>
      </c>
      <c r="N79" s="16">
        <v>16</v>
      </c>
      <c r="O79" s="18">
        <f t="shared" si="7"/>
        <v>67</v>
      </c>
      <c r="Q79" s="105">
        <f t="shared" si="8"/>
        <v>19</v>
      </c>
      <c r="R79" s="105">
        <f t="shared" si="9"/>
        <v>134000</v>
      </c>
    </row>
    <row r="80" spans="1:18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18</v>
      </c>
      <c r="I80" s="16">
        <v>9</v>
      </c>
      <c r="J80" s="16">
        <v>19</v>
      </c>
      <c r="K80" s="16">
        <v>0</v>
      </c>
      <c r="L80" s="16">
        <v>12</v>
      </c>
      <c r="M80" s="16">
        <v>0</v>
      </c>
      <c r="N80" s="16">
        <v>0</v>
      </c>
      <c r="O80" s="18">
        <f t="shared" si="7"/>
        <v>58</v>
      </c>
      <c r="Q80" s="105">
        <f t="shared" si="8"/>
        <v>46</v>
      </c>
      <c r="R80" s="105">
        <f t="shared" si="9"/>
        <v>116000</v>
      </c>
    </row>
    <row r="81" spans="1:18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15</v>
      </c>
      <c r="L81" s="16">
        <v>0</v>
      </c>
      <c r="M81" s="16">
        <v>0</v>
      </c>
      <c r="N81" s="16">
        <v>0</v>
      </c>
      <c r="O81" s="18">
        <f t="shared" si="7"/>
        <v>15</v>
      </c>
      <c r="Q81" s="105">
        <f t="shared" si="8"/>
        <v>15</v>
      </c>
      <c r="R81" s="105">
        <f t="shared" si="9"/>
        <v>30000</v>
      </c>
    </row>
    <row r="82" spans="1:18" ht="18.75" customHeight="1" thickBot="1" x14ac:dyDescent="0.3">
      <c r="A82" s="54">
        <v>8</v>
      </c>
      <c r="B82" s="15" t="s">
        <v>25</v>
      </c>
      <c r="C82" s="17">
        <v>15</v>
      </c>
      <c r="D82" s="17">
        <v>0</v>
      </c>
      <c r="E82" s="17">
        <v>0</v>
      </c>
      <c r="F82" s="17">
        <v>10</v>
      </c>
      <c r="G82" s="17">
        <v>0</v>
      </c>
      <c r="H82" s="17">
        <v>0</v>
      </c>
      <c r="I82" s="17">
        <v>32</v>
      </c>
      <c r="J82" s="17">
        <v>0</v>
      </c>
      <c r="K82" s="55">
        <v>0</v>
      </c>
      <c r="L82" s="17">
        <v>0</v>
      </c>
      <c r="M82" s="17">
        <v>12</v>
      </c>
      <c r="N82" s="17">
        <v>0</v>
      </c>
      <c r="O82" s="56">
        <f t="shared" si="7"/>
        <v>69</v>
      </c>
      <c r="Q82" s="105">
        <f t="shared" si="8"/>
        <v>42</v>
      </c>
      <c r="R82" s="105">
        <f t="shared" si="9"/>
        <v>138000</v>
      </c>
    </row>
    <row r="83" spans="1:18" ht="18.75" customHeight="1" thickTop="1" x14ac:dyDescent="0.25">
      <c r="A83" s="359" t="s">
        <v>26</v>
      </c>
      <c r="B83" s="360"/>
      <c r="C83" s="22">
        <f t="shared" ref="C83:O83" si="10">SUM(C75:C82)</f>
        <v>40</v>
      </c>
      <c r="D83" s="22">
        <f t="shared" si="10"/>
        <v>24</v>
      </c>
      <c r="E83" s="22">
        <f t="shared" si="10"/>
        <v>38</v>
      </c>
      <c r="F83" s="22">
        <f t="shared" si="10"/>
        <v>28</v>
      </c>
      <c r="G83" s="22">
        <f t="shared" si="10"/>
        <v>0</v>
      </c>
      <c r="H83" s="22">
        <f t="shared" si="10"/>
        <v>72</v>
      </c>
      <c r="I83" s="22">
        <f t="shared" si="10"/>
        <v>41</v>
      </c>
      <c r="J83" s="22">
        <f t="shared" si="10"/>
        <v>40</v>
      </c>
      <c r="K83" s="22">
        <f t="shared" si="10"/>
        <v>109</v>
      </c>
      <c r="L83" s="22">
        <f t="shared" si="10"/>
        <v>36</v>
      </c>
      <c r="M83" s="22">
        <f t="shared" si="10"/>
        <v>12</v>
      </c>
      <c r="N83" s="22">
        <f t="shared" si="10"/>
        <v>25</v>
      </c>
      <c r="O83" s="22">
        <f t="shared" si="10"/>
        <v>465</v>
      </c>
      <c r="Q83" s="105">
        <f t="shared" si="8"/>
        <v>290</v>
      </c>
    </row>
    <row r="84" spans="1:18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8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ht="18.75" x14ac:dyDescent="0.3">
      <c r="A96" s="361" t="s">
        <v>48</v>
      </c>
      <c r="B96" s="361"/>
      <c r="C96" s="361"/>
      <c r="D96" s="361"/>
      <c r="E96" s="361"/>
      <c r="F96" s="361"/>
      <c r="G96" s="361"/>
      <c r="H96" s="361"/>
      <c r="I96" s="361"/>
      <c r="J96" s="361"/>
      <c r="K96" s="361"/>
      <c r="L96" s="361"/>
      <c r="M96" s="361"/>
      <c r="N96" s="361"/>
      <c r="O96" s="361"/>
    </row>
    <row r="97" spans="1:15" ht="18.75" x14ac:dyDescent="0.3">
      <c r="A97" s="361" t="s">
        <v>145</v>
      </c>
      <c r="B97" s="361"/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</row>
    <row r="98" spans="1:15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 t="s">
        <v>31</v>
      </c>
    </row>
    <row r="100" spans="1:15" x14ac:dyDescent="0.25">
      <c r="A100" s="362" t="s">
        <v>2</v>
      </c>
      <c r="B100" s="362" t="s">
        <v>3</v>
      </c>
      <c r="C100" s="364" t="s">
        <v>4</v>
      </c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2" t="s">
        <v>5</v>
      </c>
    </row>
    <row r="101" spans="1:15" x14ac:dyDescent="0.25">
      <c r="A101" s="363"/>
      <c r="B101" s="363"/>
      <c r="C101" s="25" t="s">
        <v>6</v>
      </c>
      <c r="D101" s="25" t="s">
        <v>7</v>
      </c>
      <c r="E101" s="25" t="s">
        <v>8</v>
      </c>
      <c r="F101" s="25" t="s">
        <v>9</v>
      </c>
      <c r="G101" s="25" t="s">
        <v>10</v>
      </c>
      <c r="H101" s="25" t="s">
        <v>11</v>
      </c>
      <c r="I101" s="25" t="s">
        <v>12</v>
      </c>
      <c r="J101" s="25" t="s">
        <v>13</v>
      </c>
      <c r="K101" s="25" t="s">
        <v>14</v>
      </c>
      <c r="L101" s="25" t="s">
        <v>15</v>
      </c>
      <c r="M101" s="25" t="s">
        <v>16</v>
      </c>
      <c r="N101" s="25" t="s">
        <v>17</v>
      </c>
      <c r="O101" s="365"/>
    </row>
    <row r="102" spans="1:15" ht="15.75" thickBot="1" x14ac:dyDescent="0.3">
      <c r="A102" s="26">
        <v>1</v>
      </c>
      <c r="B102" s="26">
        <v>2</v>
      </c>
      <c r="C102" s="26">
        <v>3</v>
      </c>
      <c r="D102" s="26">
        <v>4</v>
      </c>
      <c r="E102" s="26">
        <v>5</v>
      </c>
      <c r="F102" s="26">
        <v>6</v>
      </c>
      <c r="G102" s="26">
        <v>7</v>
      </c>
      <c r="H102" s="26">
        <v>8</v>
      </c>
      <c r="I102" s="26">
        <v>9</v>
      </c>
      <c r="J102" s="26">
        <v>10</v>
      </c>
      <c r="K102" s="26">
        <v>11</v>
      </c>
      <c r="L102" s="26">
        <v>12</v>
      </c>
      <c r="M102" s="26">
        <v>13</v>
      </c>
      <c r="N102" s="26">
        <v>14</v>
      </c>
      <c r="O102" s="26">
        <v>15</v>
      </c>
    </row>
    <row r="103" spans="1:15" ht="18" customHeight="1" thickTop="1" x14ac:dyDescent="0.25">
      <c r="A103" s="27">
        <v>1</v>
      </c>
      <c r="B103" s="7" t="s">
        <v>18</v>
      </c>
      <c r="C103" s="28">
        <v>0</v>
      </c>
      <c r="D103" s="28">
        <v>0</v>
      </c>
      <c r="E103" s="28">
        <v>0</v>
      </c>
      <c r="F103" s="32">
        <v>0</v>
      </c>
      <c r="G103" s="28">
        <v>0</v>
      </c>
      <c r="H103" s="32">
        <v>89.7</v>
      </c>
      <c r="I103" s="32">
        <v>0</v>
      </c>
      <c r="J103" s="32">
        <v>0</v>
      </c>
      <c r="K103" s="28">
        <v>0</v>
      </c>
      <c r="L103" s="32">
        <v>0</v>
      </c>
      <c r="M103" s="32">
        <v>0</v>
      </c>
      <c r="N103" s="34">
        <v>87.5</v>
      </c>
      <c r="O103" s="44">
        <f>O75/O41*10</f>
        <v>90</v>
      </c>
    </row>
    <row r="104" spans="1:15" ht="18" customHeight="1" x14ac:dyDescent="0.25">
      <c r="A104" s="14">
        <v>2</v>
      </c>
      <c r="B104" s="12" t="s">
        <v>19</v>
      </c>
      <c r="C104" s="34">
        <v>250</v>
      </c>
      <c r="D104" s="16">
        <v>0</v>
      </c>
      <c r="E104" s="16">
        <v>0</v>
      </c>
      <c r="F104" s="34">
        <v>90.65</v>
      </c>
      <c r="G104" s="16">
        <v>0</v>
      </c>
      <c r="H104" s="16">
        <v>0</v>
      </c>
      <c r="I104" s="16">
        <v>0</v>
      </c>
      <c r="J104" s="34">
        <v>115</v>
      </c>
      <c r="K104" s="34">
        <v>0</v>
      </c>
      <c r="L104" s="34">
        <v>120</v>
      </c>
      <c r="M104" s="34">
        <v>0</v>
      </c>
      <c r="N104" s="36">
        <v>0</v>
      </c>
      <c r="O104" s="35">
        <v>0</v>
      </c>
    </row>
    <row r="105" spans="1:15" ht="18" customHeight="1" x14ac:dyDescent="0.25">
      <c r="A105" s="14">
        <v>3</v>
      </c>
      <c r="B105" s="7" t="s">
        <v>20</v>
      </c>
      <c r="C105" s="16">
        <v>0</v>
      </c>
      <c r="D105" s="16">
        <v>0</v>
      </c>
      <c r="E105" s="16">
        <v>0</v>
      </c>
      <c r="F105" s="34">
        <v>0</v>
      </c>
      <c r="G105" s="16">
        <v>0</v>
      </c>
      <c r="H105" s="16">
        <v>0</v>
      </c>
      <c r="I105" s="16">
        <v>0</v>
      </c>
      <c r="J105" s="34">
        <v>0</v>
      </c>
      <c r="K105" s="34">
        <v>118.21</v>
      </c>
      <c r="L105" s="34">
        <v>121.11</v>
      </c>
      <c r="M105" s="34">
        <v>0</v>
      </c>
      <c r="N105" s="34">
        <v>0</v>
      </c>
      <c r="O105" s="35">
        <v>0</v>
      </c>
    </row>
    <row r="106" spans="1:15" ht="18" customHeight="1" x14ac:dyDescent="0.25">
      <c r="A106" s="14">
        <v>4</v>
      </c>
      <c r="B106" s="15" t="s">
        <v>21</v>
      </c>
      <c r="C106" s="36">
        <v>0</v>
      </c>
      <c r="D106" s="17">
        <v>0</v>
      </c>
      <c r="E106" s="36">
        <v>74</v>
      </c>
      <c r="F106" s="34">
        <v>0</v>
      </c>
      <c r="G106" s="16">
        <v>0</v>
      </c>
      <c r="H106" s="34">
        <v>0</v>
      </c>
      <c r="I106" s="16">
        <v>0</v>
      </c>
      <c r="J106" s="34">
        <v>0</v>
      </c>
      <c r="K106" s="16">
        <v>0</v>
      </c>
      <c r="L106" s="34">
        <v>0</v>
      </c>
      <c r="M106" s="34">
        <v>0</v>
      </c>
      <c r="N106" s="36">
        <v>0</v>
      </c>
      <c r="O106" s="35">
        <f>(O78/O44)*10</f>
        <v>75</v>
      </c>
    </row>
    <row r="107" spans="1:15" ht="18" customHeight="1" x14ac:dyDescent="0.25">
      <c r="A107" s="14">
        <v>5</v>
      </c>
      <c r="B107" s="19" t="s">
        <v>22</v>
      </c>
      <c r="C107" s="34">
        <v>0</v>
      </c>
      <c r="D107" s="34">
        <v>80</v>
      </c>
      <c r="E107" s="34">
        <v>82</v>
      </c>
      <c r="F107" s="34">
        <v>90.45</v>
      </c>
      <c r="G107" s="16">
        <v>0</v>
      </c>
      <c r="H107" s="34">
        <v>0</v>
      </c>
      <c r="I107" s="16">
        <v>0</v>
      </c>
      <c r="J107" s="34">
        <v>99</v>
      </c>
      <c r="K107" s="16">
        <v>0</v>
      </c>
      <c r="L107" s="34">
        <v>0</v>
      </c>
      <c r="M107" s="34">
        <v>0</v>
      </c>
      <c r="N107" s="34">
        <v>80</v>
      </c>
      <c r="O107" s="35">
        <f>(O79/O45)*10</f>
        <v>83.75</v>
      </c>
    </row>
    <row r="108" spans="1:15" ht="18" customHeight="1" x14ac:dyDescent="0.25">
      <c r="A108" s="14">
        <v>6</v>
      </c>
      <c r="B108" s="19" t="s">
        <v>23</v>
      </c>
      <c r="C108" s="16">
        <v>0</v>
      </c>
      <c r="D108" s="16">
        <v>0</v>
      </c>
      <c r="E108" s="16">
        <v>0</v>
      </c>
      <c r="F108" s="34">
        <v>0</v>
      </c>
      <c r="G108" s="16">
        <v>0</v>
      </c>
      <c r="H108" s="34">
        <v>90.1</v>
      </c>
      <c r="I108" s="34">
        <v>90.13</v>
      </c>
      <c r="J108" s="34">
        <v>190</v>
      </c>
      <c r="K108" s="34">
        <v>0</v>
      </c>
      <c r="L108" s="34">
        <v>119.25</v>
      </c>
      <c r="M108" s="34">
        <v>0</v>
      </c>
      <c r="N108" s="34">
        <v>0</v>
      </c>
      <c r="O108" s="35">
        <f>(O80/O46)*10</f>
        <v>116</v>
      </c>
    </row>
    <row r="109" spans="1:15" ht="18" customHeight="1" x14ac:dyDescent="0.25">
      <c r="A109" s="14">
        <v>7</v>
      </c>
      <c r="B109" s="19" t="s">
        <v>24</v>
      </c>
      <c r="C109" s="16">
        <v>0</v>
      </c>
      <c r="D109" s="16">
        <v>0</v>
      </c>
      <c r="E109" s="16">
        <v>0</v>
      </c>
      <c r="F109" s="34">
        <v>0</v>
      </c>
      <c r="G109" s="16">
        <v>0</v>
      </c>
      <c r="H109" s="16">
        <v>0</v>
      </c>
      <c r="I109" s="16">
        <v>0</v>
      </c>
      <c r="J109" s="34">
        <v>0</v>
      </c>
      <c r="K109" s="34">
        <v>150.75</v>
      </c>
      <c r="L109" s="34">
        <v>0</v>
      </c>
      <c r="M109" s="34">
        <v>0</v>
      </c>
      <c r="N109" s="34">
        <v>0</v>
      </c>
      <c r="O109" s="35">
        <v>0</v>
      </c>
    </row>
    <row r="110" spans="1:15" ht="18" customHeight="1" thickBot="1" x14ac:dyDescent="0.3">
      <c r="A110" s="54">
        <v>8</v>
      </c>
      <c r="B110" s="15" t="s">
        <v>25</v>
      </c>
      <c r="C110" s="36">
        <v>150.21</v>
      </c>
      <c r="D110" s="17">
        <v>0</v>
      </c>
      <c r="E110" s="36">
        <v>0</v>
      </c>
      <c r="F110" s="36">
        <v>100.12</v>
      </c>
      <c r="G110" s="17">
        <v>0</v>
      </c>
      <c r="H110" s="17">
        <v>0</v>
      </c>
      <c r="I110" s="36">
        <v>80</v>
      </c>
      <c r="J110" s="57">
        <v>0</v>
      </c>
      <c r="K110" s="57">
        <v>0</v>
      </c>
      <c r="L110" s="36">
        <v>0</v>
      </c>
      <c r="M110" s="36">
        <v>120.21</v>
      </c>
      <c r="N110" s="36">
        <v>0</v>
      </c>
      <c r="O110" s="35">
        <v>0</v>
      </c>
    </row>
    <row r="111" spans="1:15" ht="18" customHeight="1" thickTop="1" x14ac:dyDescent="0.25">
      <c r="A111" s="359" t="s">
        <v>26</v>
      </c>
      <c r="B111" s="360"/>
      <c r="C111" s="38">
        <f>C83/C49*10</f>
        <v>200</v>
      </c>
      <c r="D111" s="38">
        <v>80</v>
      </c>
      <c r="E111" s="38">
        <f t="shared" ref="E111:N111" si="11">E83/E49*10</f>
        <v>76</v>
      </c>
      <c r="F111" s="38">
        <f t="shared" si="11"/>
        <v>93.333333333333343</v>
      </c>
      <c r="G111" s="38">
        <v>0</v>
      </c>
      <c r="H111" s="38">
        <f t="shared" si="11"/>
        <v>90</v>
      </c>
      <c r="I111" s="38">
        <f t="shared" si="11"/>
        <v>82</v>
      </c>
      <c r="J111" s="38">
        <f t="shared" si="11"/>
        <v>133.33333333333334</v>
      </c>
      <c r="K111" s="38">
        <f>K83/K49*10</f>
        <v>121.11111111111111</v>
      </c>
      <c r="L111" s="38">
        <f t="shared" si="11"/>
        <v>120</v>
      </c>
      <c r="M111" s="38">
        <v>120.21</v>
      </c>
      <c r="N111" s="38">
        <f t="shared" si="11"/>
        <v>83.333333333333343</v>
      </c>
      <c r="O111" s="38">
        <f>O83/O49*10</f>
        <v>103.33333333333334</v>
      </c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4" spans="11:11" x14ac:dyDescent="0.25">
      <c r="K114" t="s">
        <v>163</v>
      </c>
    </row>
    <row r="115" spans="11:11" x14ac:dyDescent="0.25">
      <c r="K115" t="s">
        <v>86</v>
      </c>
    </row>
    <row r="119" spans="11:11" x14ac:dyDescent="0.25">
      <c r="K119" t="s">
        <v>164</v>
      </c>
    </row>
    <row r="120" spans="11:11" x14ac:dyDescent="0.25">
      <c r="K120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4:O34"/>
    <mergeCell ref="A35:O35"/>
    <mergeCell ref="A38:A39"/>
    <mergeCell ref="B38:B39"/>
    <mergeCell ref="C38:N38"/>
    <mergeCell ref="O38:O39"/>
    <mergeCell ref="A49:B49"/>
    <mergeCell ref="A68:O68"/>
    <mergeCell ref="A69:O69"/>
    <mergeCell ref="A72:A73"/>
    <mergeCell ref="B72:B73"/>
    <mergeCell ref="C72:N72"/>
    <mergeCell ref="O72:O73"/>
    <mergeCell ref="A111:B111"/>
    <mergeCell ref="A83:B83"/>
    <mergeCell ref="A96:O96"/>
    <mergeCell ref="A97:O97"/>
    <mergeCell ref="A100:A101"/>
    <mergeCell ref="B100:B101"/>
    <mergeCell ref="C100:N100"/>
    <mergeCell ref="O100:O101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7" ht="18.75" x14ac:dyDescent="0.3">
      <c r="A2" s="361" t="s">
        <v>49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64" t="s">
        <v>4</v>
      </c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2" t="s">
        <v>5</v>
      </c>
    </row>
    <row r="7" spans="1:17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/>
      <c r="H9" s="28">
        <v>0</v>
      </c>
      <c r="I9" s="28">
        <v>2</v>
      </c>
      <c r="J9" s="28">
        <v>0</v>
      </c>
      <c r="K9" s="28">
        <v>0</v>
      </c>
      <c r="L9" s="28">
        <v>0</v>
      </c>
      <c r="M9" s="28">
        <v>0</v>
      </c>
      <c r="N9" s="28">
        <v>1</v>
      </c>
      <c r="O9" s="29">
        <f>SUM(C9:N9)</f>
        <v>3</v>
      </c>
      <c r="P9" s="105">
        <f>SUM(H9:K9)</f>
        <v>2</v>
      </c>
      <c r="Q9" s="105">
        <f>SUM(F9:K9)</f>
        <v>2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1</v>
      </c>
      <c r="E10" s="16">
        <v>0</v>
      </c>
      <c r="F10" s="16">
        <v>0</v>
      </c>
      <c r="G10" s="16">
        <v>1</v>
      </c>
      <c r="H10" s="16">
        <v>0</v>
      </c>
      <c r="I10" s="16">
        <v>1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  <c r="O10" s="18">
        <f t="shared" ref="O10:O16" si="0">SUM(C10:N10)</f>
        <v>4</v>
      </c>
      <c r="P10" s="105">
        <f t="shared" ref="P10:P16" si="1">SUM(H10:K10)</f>
        <v>1</v>
      </c>
      <c r="Q10" s="105">
        <f t="shared" ref="Q10:Q17" si="2">SUM(F10:K10)</f>
        <v>2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P11" s="105">
        <f t="shared" si="1"/>
        <v>0</v>
      </c>
      <c r="Q11" s="105">
        <f t="shared" si="2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3</v>
      </c>
      <c r="M12" s="16">
        <v>0</v>
      </c>
      <c r="N12" s="16">
        <v>0</v>
      </c>
      <c r="O12" s="18">
        <f t="shared" si="0"/>
        <v>3</v>
      </c>
      <c r="P12" s="105">
        <f t="shared" si="1"/>
        <v>0</v>
      </c>
      <c r="Q12" s="105">
        <f t="shared" si="2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1</v>
      </c>
      <c r="E13" s="16">
        <v>0</v>
      </c>
      <c r="F13" s="16">
        <v>1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</v>
      </c>
      <c r="P13" s="105">
        <f t="shared" si="1"/>
        <v>1</v>
      </c>
      <c r="Q13" s="105">
        <f t="shared" si="2"/>
        <v>2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1</v>
      </c>
      <c r="E14" s="16">
        <v>0</v>
      </c>
      <c r="F14" s="16">
        <v>0</v>
      </c>
      <c r="G14" s="16">
        <v>0</v>
      </c>
      <c r="H14" s="16">
        <v>1</v>
      </c>
      <c r="I14" s="16">
        <v>0</v>
      </c>
      <c r="J14" s="16">
        <v>0</v>
      </c>
      <c r="K14" s="16">
        <v>1</v>
      </c>
      <c r="L14" s="16">
        <v>0</v>
      </c>
      <c r="M14" s="16">
        <v>0</v>
      </c>
      <c r="N14" s="16">
        <v>1</v>
      </c>
      <c r="O14" s="18">
        <f t="shared" si="0"/>
        <v>4</v>
      </c>
      <c r="P14" s="105">
        <f t="shared" si="1"/>
        <v>2</v>
      </c>
      <c r="Q14" s="105">
        <f t="shared" si="2"/>
        <v>2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1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  <c r="P15" s="105">
        <f t="shared" si="1"/>
        <v>0</v>
      </c>
      <c r="Q15" s="105">
        <f t="shared" si="2"/>
        <v>0</v>
      </c>
    </row>
    <row r="16" spans="1:17" ht="18.75" customHeight="1" thickBot="1" x14ac:dyDescent="0.3">
      <c r="A16" s="54">
        <v>8</v>
      </c>
      <c r="B16" s="15" t="s">
        <v>25</v>
      </c>
      <c r="C16" s="55">
        <v>0</v>
      </c>
      <c r="D16" s="55">
        <v>0</v>
      </c>
      <c r="E16" s="55">
        <v>0</v>
      </c>
      <c r="F16" s="55">
        <v>0</v>
      </c>
      <c r="G16" s="55">
        <v>1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6">
        <f t="shared" si="0"/>
        <v>1</v>
      </c>
      <c r="P16" s="105">
        <f t="shared" si="1"/>
        <v>0</v>
      </c>
      <c r="Q16" s="105">
        <f t="shared" si="2"/>
        <v>1</v>
      </c>
    </row>
    <row r="17" spans="1:17" ht="18.75" customHeight="1" thickTop="1" x14ac:dyDescent="0.25">
      <c r="A17" s="359" t="s">
        <v>26</v>
      </c>
      <c r="B17" s="360"/>
      <c r="C17" s="22">
        <f t="shared" ref="C17:P17" si="3">SUM(C9:C16)</f>
        <v>0</v>
      </c>
      <c r="D17" s="22">
        <f t="shared" si="3"/>
        <v>4</v>
      </c>
      <c r="E17" s="22">
        <f t="shared" si="3"/>
        <v>1</v>
      </c>
      <c r="F17" s="22">
        <f t="shared" si="3"/>
        <v>1</v>
      </c>
      <c r="G17" s="22">
        <f t="shared" si="3"/>
        <v>2</v>
      </c>
      <c r="H17" s="22">
        <f t="shared" si="3"/>
        <v>2</v>
      </c>
      <c r="I17" s="22">
        <f t="shared" si="3"/>
        <v>3</v>
      </c>
      <c r="J17" s="22">
        <f t="shared" si="3"/>
        <v>0</v>
      </c>
      <c r="K17" s="22">
        <f t="shared" si="3"/>
        <v>1</v>
      </c>
      <c r="L17" s="22">
        <f t="shared" si="3"/>
        <v>3</v>
      </c>
      <c r="M17" s="22">
        <f t="shared" si="3"/>
        <v>1</v>
      </c>
      <c r="N17" s="22">
        <f t="shared" si="3"/>
        <v>2</v>
      </c>
      <c r="O17" s="22">
        <f t="shared" si="3"/>
        <v>20</v>
      </c>
      <c r="P17" s="22">
        <f t="shared" si="3"/>
        <v>6</v>
      </c>
      <c r="Q17" s="105">
        <f t="shared" si="2"/>
        <v>9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1" t="s">
        <v>50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1</v>
      </c>
      <c r="D42" s="28">
        <v>0</v>
      </c>
      <c r="E42" s="28">
        <v>2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2</v>
      </c>
      <c r="O42" s="29">
        <f>SUM(C42:N42)</f>
        <v>5</v>
      </c>
      <c r="Q42" s="105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16">
        <v>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1</v>
      </c>
      <c r="K43" s="16">
        <v>0</v>
      </c>
      <c r="L43" s="16">
        <v>0</v>
      </c>
      <c r="M43" s="16">
        <v>1</v>
      </c>
      <c r="N43" s="16">
        <v>0</v>
      </c>
      <c r="O43" s="18">
        <f t="shared" ref="O43:O49" si="4">SUM(C43:N43)</f>
        <v>3</v>
      </c>
      <c r="Q43" s="105">
        <f t="shared" ref="Q43:Q50" si="5">SUM(F43:K43)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4"/>
        <v>0</v>
      </c>
      <c r="Q44" s="105">
        <f t="shared" si="5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3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4"/>
        <v>3</v>
      </c>
      <c r="Q45" s="105">
        <f t="shared" si="5"/>
        <v>0</v>
      </c>
    </row>
    <row r="46" spans="1:17" ht="18.75" customHeight="1" x14ac:dyDescent="0.25">
      <c r="A46" s="14">
        <v>5</v>
      </c>
      <c r="B46" s="19" t="s">
        <v>22</v>
      </c>
      <c r="C46" s="16">
        <v>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1</v>
      </c>
      <c r="O46" s="18">
        <f t="shared" si="4"/>
        <v>3</v>
      </c>
      <c r="Q46" s="105">
        <f t="shared" si="5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1</v>
      </c>
      <c r="I47" s="16">
        <v>0</v>
      </c>
      <c r="J47" s="16">
        <v>0</v>
      </c>
      <c r="K47" s="16">
        <v>0</v>
      </c>
      <c r="L47" s="16">
        <v>1</v>
      </c>
      <c r="M47" s="16">
        <v>0</v>
      </c>
      <c r="N47" s="16">
        <v>0</v>
      </c>
      <c r="O47" s="18">
        <f t="shared" si="4"/>
        <v>2</v>
      </c>
      <c r="Q47" s="105">
        <f t="shared" si="5"/>
        <v>1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1</v>
      </c>
      <c r="Q48" s="105">
        <f t="shared" si="5"/>
        <v>1</v>
      </c>
    </row>
    <row r="49" spans="1:17" ht="18.75" customHeight="1" thickBot="1" x14ac:dyDescent="0.3">
      <c r="A49" s="54">
        <v>8</v>
      </c>
      <c r="B49" s="15" t="s">
        <v>25</v>
      </c>
      <c r="C49" s="55">
        <v>0</v>
      </c>
      <c r="D49" s="55">
        <v>0</v>
      </c>
      <c r="E49" s="55">
        <v>0</v>
      </c>
      <c r="F49" s="55">
        <v>1</v>
      </c>
      <c r="G49" s="17">
        <v>0</v>
      </c>
      <c r="H49" s="55">
        <v>0</v>
      </c>
      <c r="I49" s="55">
        <v>1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6">
        <f t="shared" si="4"/>
        <v>2</v>
      </c>
      <c r="Q49" s="105">
        <f t="shared" si="5"/>
        <v>2</v>
      </c>
    </row>
    <row r="50" spans="1:17" ht="18.75" customHeight="1" thickTop="1" x14ac:dyDescent="0.25">
      <c r="A50" s="359" t="s">
        <v>26</v>
      </c>
      <c r="B50" s="360"/>
      <c r="C50" s="22">
        <f t="shared" ref="C50:O50" si="6">SUM(C42:C49)</f>
        <v>4</v>
      </c>
      <c r="D50" s="22">
        <f t="shared" si="6"/>
        <v>0</v>
      </c>
      <c r="E50" s="22">
        <f t="shared" si="6"/>
        <v>5</v>
      </c>
      <c r="F50" s="22">
        <f t="shared" si="6"/>
        <v>1</v>
      </c>
      <c r="G50" s="22">
        <f t="shared" si="6"/>
        <v>0</v>
      </c>
      <c r="H50" s="22">
        <f t="shared" si="6"/>
        <v>2</v>
      </c>
      <c r="I50" s="22">
        <f t="shared" si="6"/>
        <v>1</v>
      </c>
      <c r="J50" s="22">
        <f t="shared" si="6"/>
        <v>1</v>
      </c>
      <c r="K50" s="22">
        <f t="shared" si="6"/>
        <v>0</v>
      </c>
      <c r="L50" s="22">
        <f t="shared" si="6"/>
        <v>1</v>
      </c>
      <c r="M50" s="22">
        <f t="shared" si="6"/>
        <v>1</v>
      </c>
      <c r="N50" s="22">
        <f t="shared" si="6"/>
        <v>3</v>
      </c>
      <c r="O50" s="22">
        <f t="shared" si="6"/>
        <v>19</v>
      </c>
      <c r="Q50" s="105">
        <f t="shared" si="5"/>
        <v>5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20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20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20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20" ht="18.75" x14ac:dyDescent="0.3">
      <c r="A68" s="361" t="s">
        <v>51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20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20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2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20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20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20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20" ht="18.75" customHeight="1" thickTop="1" x14ac:dyDescent="0.25">
      <c r="A75" s="27">
        <v>1</v>
      </c>
      <c r="B75" s="7" t="s">
        <v>18</v>
      </c>
      <c r="C75" s="28">
        <v>9</v>
      </c>
      <c r="D75" s="28">
        <v>0</v>
      </c>
      <c r="E75" s="28">
        <v>17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19</v>
      </c>
      <c r="O75" s="29">
        <f>SUM(C75:N75)</f>
        <v>45</v>
      </c>
      <c r="Q75" s="105">
        <f>SUM(F75:K75)</f>
        <v>0</v>
      </c>
      <c r="R75" s="105">
        <f>O75*2500</f>
        <v>112500</v>
      </c>
      <c r="S75">
        <v>126000</v>
      </c>
      <c r="T75" s="105">
        <f>SUM(R75:S75)</f>
        <v>238500</v>
      </c>
    </row>
    <row r="76" spans="1:20" ht="18.75" customHeight="1" x14ac:dyDescent="0.25">
      <c r="A76" s="14">
        <v>2</v>
      </c>
      <c r="B76" s="12" t="s">
        <v>19</v>
      </c>
      <c r="C76" s="16">
        <v>12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10</v>
      </c>
      <c r="K76" s="16">
        <v>0</v>
      </c>
      <c r="L76" s="16">
        <v>0</v>
      </c>
      <c r="M76" s="16">
        <v>9</v>
      </c>
      <c r="N76" s="16">
        <v>0</v>
      </c>
      <c r="O76" s="18">
        <f t="shared" ref="O76:O82" si="7">SUM(C76:N76)</f>
        <v>31</v>
      </c>
      <c r="Q76" s="105">
        <f t="shared" ref="Q76:Q83" si="8">SUM(F76:K76)</f>
        <v>10</v>
      </c>
      <c r="R76" s="105">
        <f t="shared" ref="R76:R82" si="9">O76*2500</f>
        <v>77500</v>
      </c>
      <c r="S76">
        <v>114000</v>
      </c>
      <c r="T76" s="105">
        <f t="shared" ref="T76:T82" si="10">SUM(R76:S76)</f>
        <v>191500</v>
      </c>
    </row>
    <row r="77" spans="1:20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7"/>
        <v>0</v>
      </c>
      <c r="Q77" s="105">
        <f t="shared" si="8"/>
        <v>0</v>
      </c>
      <c r="R77" s="105">
        <f t="shared" si="9"/>
        <v>0</v>
      </c>
      <c r="S77">
        <v>212000</v>
      </c>
      <c r="T77" s="105">
        <f t="shared" si="10"/>
        <v>212000</v>
      </c>
    </row>
    <row r="78" spans="1:20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19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7"/>
        <v>19</v>
      </c>
      <c r="Q78" s="105">
        <f t="shared" si="8"/>
        <v>0</v>
      </c>
      <c r="R78" s="105">
        <f t="shared" si="9"/>
        <v>47500</v>
      </c>
      <c r="S78">
        <v>60000</v>
      </c>
      <c r="T78" s="105">
        <f t="shared" si="10"/>
        <v>107500</v>
      </c>
    </row>
    <row r="79" spans="1:20" ht="18.75" customHeight="1" x14ac:dyDescent="0.25">
      <c r="A79" s="14">
        <v>5</v>
      </c>
      <c r="B79" s="19" t="s">
        <v>22</v>
      </c>
      <c r="C79" s="16">
        <v>17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8</v>
      </c>
      <c r="O79" s="18">
        <f t="shared" si="7"/>
        <v>25</v>
      </c>
      <c r="Q79" s="105">
        <f t="shared" si="8"/>
        <v>0</v>
      </c>
      <c r="R79" s="105">
        <f t="shared" si="9"/>
        <v>62500</v>
      </c>
      <c r="S79">
        <v>134000</v>
      </c>
      <c r="T79" s="105">
        <f t="shared" si="10"/>
        <v>196500</v>
      </c>
    </row>
    <row r="80" spans="1:20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8</v>
      </c>
      <c r="I80" s="16">
        <v>0</v>
      </c>
      <c r="J80" s="16">
        <v>0</v>
      </c>
      <c r="K80" s="16">
        <v>0</v>
      </c>
      <c r="L80" s="16">
        <v>11</v>
      </c>
      <c r="M80" s="16">
        <v>0</v>
      </c>
      <c r="N80" s="16">
        <v>0</v>
      </c>
      <c r="O80" s="18">
        <f t="shared" si="7"/>
        <v>19</v>
      </c>
      <c r="Q80" s="105">
        <f t="shared" si="8"/>
        <v>8</v>
      </c>
      <c r="R80" s="105">
        <f t="shared" si="9"/>
        <v>47500</v>
      </c>
      <c r="S80">
        <v>116000</v>
      </c>
      <c r="T80" s="105">
        <f t="shared" si="10"/>
        <v>163500</v>
      </c>
    </row>
    <row r="81" spans="1:20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8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7"/>
        <v>8</v>
      </c>
      <c r="Q81" s="105">
        <f t="shared" si="8"/>
        <v>8</v>
      </c>
      <c r="R81" s="105">
        <f t="shared" si="9"/>
        <v>20000</v>
      </c>
      <c r="S81">
        <v>30000</v>
      </c>
      <c r="T81" s="105">
        <f t="shared" si="10"/>
        <v>50000</v>
      </c>
    </row>
    <row r="82" spans="1:20" ht="18.75" customHeight="1" thickBot="1" x14ac:dyDescent="0.3">
      <c r="A82" s="20">
        <v>8</v>
      </c>
      <c r="B82" s="15" t="s">
        <v>25</v>
      </c>
      <c r="C82" s="55">
        <v>0</v>
      </c>
      <c r="D82" s="55">
        <v>0</v>
      </c>
      <c r="E82" s="55">
        <v>0</v>
      </c>
      <c r="F82" s="55">
        <v>9</v>
      </c>
      <c r="G82" s="17">
        <v>0</v>
      </c>
      <c r="H82" s="55">
        <v>0</v>
      </c>
      <c r="I82" s="55">
        <v>6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3">
        <f t="shared" si="7"/>
        <v>15</v>
      </c>
      <c r="Q82" s="105">
        <f t="shared" si="8"/>
        <v>15</v>
      </c>
      <c r="R82" s="105">
        <f t="shared" si="9"/>
        <v>37500</v>
      </c>
      <c r="S82">
        <v>138000</v>
      </c>
      <c r="T82" s="105">
        <f t="shared" si="10"/>
        <v>175500</v>
      </c>
    </row>
    <row r="83" spans="1:20" ht="18.75" customHeight="1" thickTop="1" x14ac:dyDescent="0.25">
      <c r="A83" s="359" t="s">
        <v>26</v>
      </c>
      <c r="B83" s="360"/>
      <c r="C83" s="22">
        <f t="shared" ref="C83:O83" si="11">SUM(C75:C82)</f>
        <v>38</v>
      </c>
      <c r="D83" s="22">
        <f t="shared" si="11"/>
        <v>0</v>
      </c>
      <c r="E83" s="22">
        <f t="shared" si="11"/>
        <v>36</v>
      </c>
      <c r="F83" s="22">
        <f t="shared" si="11"/>
        <v>9</v>
      </c>
      <c r="G83" s="22">
        <f t="shared" si="11"/>
        <v>0</v>
      </c>
      <c r="H83" s="22">
        <f t="shared" si="11"/>
        <v>16</v>
      </c>
      <c r="I83" s="22">
        <f t="shared" si="11"/>
        <v>6</v>
      </c>
      <c r="J83" s="22">
        <f t="shared" si="11"/>
        <v>10</v>
      </c>
      <c r="K83" s="22">
        <f t="shared" si="11"/>
        <v>0</v>
      </c>
      <c r="L83" s="22">
        <f t="shared" si="11"/>
        <v>11</v>
      </c>
      <c r="M83" s="22">
        <f t="shared" si="11"/>
        <v>9</v>
      </c>
      <c r="N83" s="22">
        <f t="shared" si="11"/>
        <v>27</v>
      </c>
      <c r="O83" s="22">
        <f t="shared" si="11"/>
        <v>162</v>
      </c>
      <c r="Q83" s="105">
        <f t="shared" si="8"/>
        <v>41</v>
      </c>
    </row>
    <row r="84" spans="1:20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20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20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20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20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20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20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20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20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20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20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20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20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52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96</v>
      </c>
      <c r="D108" s="28">
        <v>0</v>
      </c>
      <c r="E108" s="32">
        <v>87</v>
      </c>
      <c r="F108" s="28">
        <v>0</v>
      </c>
      <c r="G108" s="28">
        <v>0</v>
      </c>
      <c r="H108" s="28">
        <v>0</v>
      </c>
      <c r="I108" s="28">
        <v>0</v>
      </c>
      <c r="J108" s="32">
        <v>0</v>
      </c>
      <c r="K108" s="28">
        <v>0</v>
      </c>
      <c r="L108" s="32">
        <v>0</v>
      </c>
      <c r="M108" s="28">
        <v>0</v>
      </c>
      <c r="N108" s="32">
        <v>97</v>
      </c>
      <c r="O108" s="33">
        <f>O75/O42*10</f>
        <v>90</v>
      </c>
    </row>
    <row r="109" spans="1:15" ht="18.75" customHeight="1" x14ac:dyDescent="0.25">
      <c r="A109" s="14">
        <v>2</v>
      </c>
      <c r="B109" s="12" t="s">
        <v>19</v>
      </c>
      <c r="C109" s="34">
        <v>125.01</v>
      </c>
      <c r="D109" s="16">
        <v>0</v>
      </c>
      <c r="E109" s="34">
        <v>0</v>
      </c>
      <c r="F109" s="16">
        <v>0</v>
      </c>
      <c r="G109" s="16">
        <v>0</v>
      </c>
      <c r="H109" s="16">
        <v>0</v>
      </c>
      <c r="I109" s="16">
        <v>0</v>
      </c>
      <c r="J109" s="34">
        <v>96.3</v>
      </c>
      <c r="K109" s="16">
        <v>0</v>
      </c>
      <c r="L109" s="34">
        <v>0</v>
      </c>
      <c r="M109" s="34">
        <v>94.25</v>
      </c>
      <c r="N109" s="34">
        <v>0</v>
      </c>
      <c r="O109" s="58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34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34">
        <v>0</v>
      </c>
      <c r="M110" s="16">
        <v>0</v>
      </c>
      <c r="N110" s="34">
        <v>0</v>
      </c>
      <c r="O110" s="58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34">
        <v>65</v>
      </c>
      <c r="F111" s="16">
        <v>0</v>
      </c>
      <c r="G111" s="16">
        <v>0</v>
      </c>
      <c r="H111" s="16">
        <v>0</v>
      </c>
      <c r="I111" s="16">
        <v>0</v>
      </c>
      <c r="J111" s="34">
        <v>0</v>
      </c>
      <c r="K111" s="16">
        <v>0</v>
      </c>
      <c r="L111" s="34">
        <v>0</v>
      </c>
      <c r="M111" s="16">
        <v>0</v>
      </c>
      <c r="N111" s="34">
        <v>0</v>
      </c>
      <c r="O111" s="58">
        <f>O78/O45*10</f>
        <v>63.333333333333329</v>
      </c>
    </row>
    <row r="112" spans="1:15" ht="18.75" customHeight="1" x14ac:dyDescent="0.25">
      <c r="A112" s="14">
        <v>5</v>
      </c>
      <c r="B112" s="19" t="s">
        <v>22</v>
      </c>
      <c r="C112" s="34">
        <v>86</v>
      </c>
      <c r="D112" s="16">
        <v>0</v>
      </c>
      <c r="E112" s="34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34">
        <v>0</v>
      </c>
      <c r="M112" s="16">
        <v>0</v>
      </c>
      <c r="N112" s="34">
        <v>81.25</v>
      </c>
      <c r="O112" s="58">
        <f>O79/O46*10</f>
        <v>83.333333333333343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34">
        <v>0</v>
      </c>
      <c r="F113" s="16">
        <v>0</v>
      </c>
      <c r="G113" s="16">
        <v>0</v>
      </c>
      <c r="H113" s="34">
        <v>85</v>
      </c>
      <c r="I113" s="16">
        <v>0</v>
      </c>
      <c r="J113" s="16">
        <v>0</v>
      </c>
      <c r="K113" s="16">
        <v>0</v>
      </c>
      <c r="L113" s="34">
        <v>110.15</v>
      </c>
      <c r="M113" s="16">
        <v>0</v>
      </c>
      <c r="N113" s="16">
        <v>0</v>
      </c>
      <c r="O113" s="58">
        <v>0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34">
        <v>0</v>
      </c>
      <c r="F114" s="16">
        <v>0</v>
      </c>
      <c r="G114" s="16">
        <v>0</v>
      </c>
      <c r="H114" s="34">
        <v>82</v>
      </c>
      <c r="I114" s="16">
        <v>0</v>
      </c>
      <c r="J114" s="16">
        <v>0</v>
      </c>
      <c r="K114" s="16">
        <v>0</v>
      </c>
      <c r="L114" s="34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57">
        <v>0</v>
      </c>
      <c r="D115" s="55">
        <v>0</v>
      </c>
      <c r="E115" s="57">
        <v>0</v>
      </c>
      <c r="F115" s="57">
        <v>90.51</v>
      </c>
      <c r="G115" s="17">
        <v>0</v>
      </c>
      <c r="H115" s="55">
        <v>0</v>
      </c>
      <c r="I115" s="57">
        <v>65</v>
      </c>
      <c r="J115" s="57">
        <v>0</v>
      </c>
      <c r="K115" s="55">
        <v>0</v>
      </c>
      <c r="L115" s="57">
        <v>0</v>
      </c>
      <c r="M115" s="55">
        <v>0</v>
      </c>
      <c r="N115" s="55">
        <v>0</v>
      </c>
      <c r="O115" s="35">
        <f>O82/O49*10</f>
        <v>75</v>
      </c>
    </row>
    <row r="116" spans="1:15" ht="18.75" customHeight="1" thickTop="1" x14ac:dyDescent="0.25">
      <c r="A116" s="359" t="s">
        <v>26</v>
      </c>
      <c r="B116" s="360"/>
      <c r="C116" s="38">
        <f>C83/C50*10</f>
        <v>95</v>
      </c>
      <c r="D116" s="38">
        <v>0</v>
      </c>
      <c r="E116" s="38">
        <f>E83/E50*10</f>
        <v>72</v>
      </c>
      <c r="F116" s="38">
        <f>SUM(F108:F115)</f>
        <v>90.51</v>
      </c>
      <c r="G116" s="38">
        <f>SUM(G108:G115)</f>
        <v>0</v>
      </c>
      <c r="H116" s="38">
        <f>H83/H50*10</f>
        <v>80</v>
      </c>
      <c r="I116" s="38">
        <v>65</v>
      </c>
      <c r="J116" s="38">
        <f>SUM(J108:J115)</f>
        <v>96.3</v>
      </c>
      <c r="K116" s="38">
        <f t="shared" ref="K116" si="12">SUM(K108:K115)/2</f>
        <v>0</v>
      </c>
      <c r="L116" s="38">
        <v>110.15</v>
      </c>
      <c r="M116" s="38">
        <v>94.25</v>
      </c>
      <c r="N116" s="38">
        <f>N83/N50*10</f>
        <v>90</v>
      </c>
      <c r="O116" s="38">
        <f>O83/O50*10</f>
        <v>85.26315789473685</v>
      </c>
    </row>
    <row r="118" spans="1:15" x14ac:dyDescent="0.25">
      <c r="H118" s="72"/>
    </row>
    <row r="119" spans="1:15" x14ac:dyDescent="0.25">
      <c r="K119" t="s">
        <v>163</v>
      </c>
    </row>
    <row r="120" spans="1:15" x14ac:dyDescent="0.25">
      <c r="K120" t="s">
        <v>86</v>
      </c>
    </row>
    <row r="124" spans="1:15" x14ac:dyDescent="0.25">
      <c r="K124" t="s">
        <v>164</v>
      </c>
    </row>
    <row r="125" spans="1:15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  <col min="18" max="18" width="12.140625" bestFit="1" customWidth="1"/>
  </cols>
  <sheetData>
    <row r="2" spans="1:17" ht="18.75" x14ac:dyDescent="0.3">
      <c r="A2" s="361" t="s">
        <v>53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71" t="s">
        <v>4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62" t="s">
        <v>5</v>
      </c>
    </row>
    <row r="7" spans="1:17" x14ac:dyDescent="0.25">
      <c r="A7" s="363"/>
      <c r="B7" s="363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/>
      <c r="H9" s="68">
        <v>0</v>
      </c>
      <c r="I9" s="68">
        <v>0</v>
      </c>
      <c r="J9" s="68">
        <v>0</v>
      </c>
      <c r="K9" s="28">
        <v>0</v>
      </c>
      <c r="L9" s="68">
        <v>0</v>
      </c>
      <c r="M9" s="28">
        <v>0</v>
      </c>
      <c r="N9" s="68">
        <v>1</v>
      </c>
      <c r="O9" s="29">
        <f>SUM(C9:N9)</f>
        <v>1</v>
      </c>
      <c r="P9" s="105">
        <f>SUM(I9:K9)</f>
        <v>0</v>
      </c>
      <c r="Q9" s="105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48">
        <v>0</v>
      </c>
      <c r="I10" s="48">
        <v>0</v>
      </c>
      <c r="J10" s="48">
        <v>0</v>
      </c>
      <c r="K10" s="16">
        <v>0</v>
      </c>
      <c r="L10" s="48">
        <v>0</v>
      </c>
      <c r="M10" s="16">
        <v>0</v>
      </c>
      <c r="N10" s="48">
        <v>1</v>
      </c>
      <c r="O10" s="18">
        <f t="shared" ref="O10:O16" si="0">SUM(C10:N10)</f>
        <v>1</v>
      </c>
      <c r="P10" s="105">
        <f t="shared" ref="P10:P16" si="1">SUM(I10:K10)</f>
        <v>0</v>
      </c>
      <c r="Q10" s="105">
        <f t="shared" ref="Q10:Q17" si="2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P11" s="105">
        <f t="shared" si="1"/>
        <v>0</v>
      </c>
      <c r="Q11" s="105">
        <f t="shared" si="2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4</v>
      </c>
      <c r="F12" s="16">
        <v>0</v>
      </c>
      <c r="G12" s="16">
        <v>15</v>
      </c>
      <c r="H12" s="16">
        <v>0</v>
      </c>
      <c r="I12" s="16">
        <v>0</v>
      </c>
      <c r="J12" s="16">
        <v>0</v>
      </c>
      <c r="K12" s="16">
        <v>10</v>
      </c>
      <c r="L12" s="16">
        <v>0</v>
      </c>
      <c r="M12" s="16">
        <v>5</v>
      </c>
      <c r="N12" s="16">
        <v>0</v>
      </c>
      <c r="O12" s="18">
        <f t="shared" si="0"/>
        <v>34</v>
      </c>
      <c r="P12" s="105">
        <f t="shared" si="1"/>
        <v>10</v>
      </c>
      <c r="Q12" s="105">
        <f t="shared" si="2"/>
        <v>25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2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</v>
      </c>
      <c r="P13" s="105">
        <f t="shared" si="1"/>
        <v>0</v>
      </c>
      <c r="Q13" s="105">
        <f t="shared" si="2"/>
        <v>3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1</v>
      </c>
      <c r="N14" s="16">
        <v>0</v>
      </c>
      <c r="O14" s="18">
        <f t="shared" si="0"/>
        <v>1</v>
      </c>
      <c r="P14" s="105">
        <f t="shared" si="1"/>
        <v>0</v>
      </c>
      <c r="Q14" s="105">
        <f t="shared" si="2"/>
        <v>0</v>
      </c>
    </row>
    <row r="15" spans="1:17" ht="18.75" customHeight="1" x14ac:dyDescent="0.25">
      <c r="A15" s="14">
        <v>7</v>
      </c>
      <c r="B15" s="19" t="s">
        <v>24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1</v>
      </c>
      <c r="P15" s="105">
        <f t="shared" si="1"/>
        <v>0</v>
      </c>
      <c r="Q15" s="105">
        <f t="shared" si="2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7">
        <v>0.5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0.5</v>
      </c>
      <c r="P16" s="105">
        <f t="shared" si="1"/>
        <v>0.5</v>
      </c>
      <c r="Q16" s="105">
        <f t="shared" si="2"/>
        <v>0.5</v>
      </c>
    </row>
    <row r="17" spans="1:17" ht="18.75" customHeight="1" thickTop="1" x14ac:dyDescent="0.25">
      <c r="A17" s="359" t="s">
        <v>26</v>
      </c>
      <c r="B17" s="360"/>
      <c r="C17" s="22">
        <f t="shared" ref="C17:P17" si="3">SUM(C9:C16)</f>
        <v>1</v>
      </c>
      <c r="D17" s="22">
        <f t="shared" si="3"/>
        <v>0</v>
      </c>
      <c r="E17" s="22">
        <f t="shared" si="3"/>
        <v>4</v>
      </c>
      <c r="F17" s="22">
        <f t="shared" si="3"/>
        <v>0</v>
      </c>
      <c r="G17" s="22">
        <f t="shared" si="3"/>
        <v>17</v>
      </c>
      <c r="H17" s="22">
        <f t="shared" si="3"/>
        <v>1</v>
      </c>
      <c r="I17" s="171">
        <f t="shared" si="3"/>
        <v>0.5</v>
      </c>
      <c r="J17" s="22">
        <f t="shared" si="3"/>
        <v>0</v>
      </c>
      <c r="K17" s="22">
        <f t="shared" si="3"/>
        <v>10</v>
      </c>
      <c r="L17" s="22">
        <f t="shared" si="3"/>
        <v>0</v>
      </c>
      <c r="M17" s="22">
        <f t="shared" si="3"/>
        <v>6</v>
      </c>
      <c r="N17" s="22">
        <f t="shared" si="3"/>
        <v>2</v>
      </c>
      <c r="O17" s="22">
        <f t="shared" si="3"/>
        <v>41.5</v>
      </c>
      <c r="P17" s="22">
        <f t="shared" si="3"/>
        <v>10.5</v>
      </c>
      <c r="Q17" s="105">
        <f t="shared" si="2"/>
        <v>28.5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1" t="s">
        <v>54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8">
        <v>0</v>
      </c>
      <c r="D42" s="68">
        <v>2</v>
      </c>
      <c r="E42" s="68">
        <v>0</v>
      </c>
      <c r="F42" s="28">
        <v>0</v>
      </c>
      <c r="G42" s="68">
        <v>0</v>
      </c>
      <c r="H42" s="28">
        <v>0</v>
      </c>
      <c r="I42" s="16">
        <v>0</v>
      </c>
      <c r="J42" s="28">
        <v>0</v>
      </c>
      <c r="K42" s="28">
        <v>0</v>
      </c>
      <c r="L42" s="68">
        <v>0</v>
      </c>
      <c r="M42" s="68">
        <v>0</v>
      </c>
      <c r="N42" s="68">
        <v>0</v>
      </c>
      <c r="O42" s="29">
        <f>SUM(C42:N42)</f>
        <v>2</v>
      </c>
      <c r="Q42" s="105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0</v>
      </c>
      <c r="F43" s="16">
        <v>0</v>
      </c>
      <c r="G43" s="48">
        <v>0</v>
      </c>
      <c r="H43" s="16">
        <v>0</v>
      </c>
      <c r="I43" s="16">
        <v>0</v>
      </c>
      <c r="J43" s="16">
        <v>0</v>
      </c>
      <c r="K43" s="16">
        <v>0</v>
      </c>
      <c r="L43" s="48">
        <v>0</v>
      </c>
      <c r="M43" s="48">
        <v>0</v>
      </c>
      <c r="N43" s="48">
        <v>0</v>
      </c>
      <c r="O43" s="18">
        <f t="shared" ref="O43:O49" si="4">SUM(C43:N43)</f>
        <v>0</v>
      </c>
      <c r="Q43" s="105">
        <f t="shared" ref="Q43:Q50" si="5">SUM(F43:K43)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4"/>
        <v>0</v>
      </c>
      <c r="Q44" s="105">
        <f t="shared" si="5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2</v>
      </c>
      <c r="E45" s="16">
        <v>0</v>
      </c>
      <c r="F45" s="16">
        <v>0</v>
      </c>
      <c r="G45" s="16">
        <v>0</v>
      </c>
      <c r="H45" s="16">
        <v>0</v>
      </c>
      <c r="I45" s="16">
        <v>9</v>
      </c>
      <c r="J45" s="16">
        <v>10</v>
      </c>
      <c r="K45" s="16">
        <v>0</v>
      </c>
      <c r="L45" s="16">
        <v>0</v>
      </c>
      <c r="M45" s="16">
        <v>0</v>
      </c>
      <c r="N45" s="16">
        <v>5</v>
      </c>
      <c r="O45" s="18">
        <f t="shared" si="4"/>
        <v>26</v>
      </c>
      <c r="Q45" s="105">
        <f t="shared" si="5"/>
        <v>19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2</v>
      </c>
      <c r="J46" s="16">
        <v>1</v>
      </c>
      <c r="K46" s="16">
        <v>0</v>
      </c>
      <c r="L46" s="16">
        <v>0</v>
      </c>
      <c r="M46" s="16">
        <v>0</v>
      </c>
      <c r="N46" s="16">
        <v>0</v>
      </c>
      <c r="O46" s="18">
        <f t="shared" si="4"/>
        <v>3</v>
      </c>
      <c r="Q46" s="105">
        <f t="shared" si="5"/>
        <v>3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4"/>
        <v>0</v>
      </c>
      <c r="Q47" s="105">
        <f t="shared" si="5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1</v>
      </c>
      <c r="Q48" s="105">
        <f t="shared" si="5"/>
        <v>1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55">
        <v>0</v>
      </c>
      <c r="L49" s="177">
        <v>0.5</v>
      </c>
      <c r="M49" s="17">
        <v>0</v>
      </c>
      <c r="N49" s="17">
        <v>0</v>
      </c>
      <c r="O49" s="21">
        <f t="shared" si="4"/>
        <v>0.5</v>
      </c>
      <c r="Q49" s="105">
        <f t="shared" si="5"/>
        <v>0</v>
      </c>
    </row>
    <row r="50" spans="1:17" ht="18.75" customHeight="1" thickTop="1" x14ac:dyDescent="0.25">
      <c r="A50" s="359" t="s">
        <v>26</v>
      </c>
      <c r="B50" s="360"/>
      <c r="C50" s="22">
        <f t="shared" ref="C50:O50" si="6">SUM(C42:C49)</f>
        <v>0</v>
      </c>
      <c r="D50" s="22">
        <f t="shared" si="6"/>
        <v>4</v>
      </c>
      <c r="E50" s="22">
        <f t="shared" si="6"/>
        <v>0</v>
      </c>
      <c r="F50" s="22">
        <f t="shared" si="6"/>
        <v>0</v>
      </c>
      <c r="G50" s="22">
        <f t="shared" si="6"/>
        <v>1</v>
      </c>
      <c r="H50" s="22">
        <f t="shared" si="6"/>
        <v>0</v>
      </c>
      <c r="I50" s="22">
        <f t="shared" si="6"/>
        <v>11</v>
      </c>
      <c r="J50" s="22">
        <f t="shared" si="6"/>
        <v>11</v>
      </c>
      <c r="K50" s="22">
        <f t="shared" si="6"/>
        <v>0</v>
      </c>
      <c r="L50" s="171">
        <f t="shared" si="6"/>
        <v>0.5</v>
      </c>
      <c r="M50" s="22">
        <f t="shared" si="6"/>
        <v>0</v>
      </c>
      <c r="N50" s="22">
        <f t="shared" si="6"/>
        <v>5</v>
      </c>
      <c r="O50" s="22">
        <f t="shared" si="6"/>
        <v>32.5</v>
      </c>
      <c r="Q50" s="105">
        <f t="shared" si="5"/>
        <v>23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8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8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8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8" ht="18.75" x14ac:dyDescent="0.3">
      <c r="A68" s="361" t="s">
        <v>55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8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8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8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8" x14ac:dyDescent="0.25">
      <c r="A73" s="363"/>
      <c r="B73" s="363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65"/>
    </row>
    <row r="74" spans="1:18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8" ht="18.75" customHeight="1" thickTop="1" x14ac:dyDescent="0.25">
      <c r="A75" s="27">
        <v>1</v>
      </c>
      <c r="B75" s="7" t="s">
        <v>18</v>
      </c>
      <c r="C75" s="68">
        <v>0</v>
      </c>
      <c r="D75" s="68">
        <v>1</v>
      </c>
      <c r="E75" s="68">
        <v>0</v>
      </c>
      <c r="F75" s="28">
        <v>0</v>
      </c>
      <c r="G75" s="286">
        <v>0</v>
      </c>
      <c r="H75" s="28">
        <v>0</v>
      </c>
      <c r="I75" s="170">
        <v>0</v>
      </c>
      <c r="J75" s="28">
        <v>0</v>
      </c>
      <c r="K75" s="28">
        <v>0</v>
      </c>
      <c r="L75" s="68">
        <v>0</v>
      </c>
      <c r="M75" s="68">
        <v>0</v>
      </c>
      <c r="N75" s="68">
        <v>0</v>
      </c>
      <c r="O75" s="184">
        <f>SUM(C75:N75)</f>
        <v>1</v>
      </c>
      <c r="Q75" s="105">
        <f>SUM(F75:K75)</f>
        <v>0</v>
      </c>
      <c r="R75" s="358">
        <f>O75*20000</f>
        <v>20000</v>
      </c>
    </row>
    <row r="76" spans="1:18" ht="18.75" customHeight="1" x14ac:dyDescent="0.25">
      <c r="A76" s="14">
        <v>2</v>
      </c>
      <c r="B76" s="12" t="s">
        <v>19</v>
      </c>
      <c r="C76" s="48">
        <v>0</v>
      </c>
      <c r="D76" s="48">
        <v>0</v>
      </c>
      <c r="E76" s="48">
        <v>0</v>
      </c>
      <c r="F76" s="16">
        <v>0</v>
      </c>
      <c r="G76" s="287">
        <v>0</v>
      </c>
      <c r="H76" s="16">
        <v>0</v>
      </c>
      <c r="I76" s="170">
        <v>0</v>
      </c>
      <c r="J76" s="16">
        <v>0</v>
      </c>
      <c r="K76" s="16">
        <v>0</v>
      </c>
      <c r="L76" s="48">
        <v>0</v>
      </c>
      <c r="M76" s="48">
        <v>0</v>
      </c>
      <c r="N76" s="48">
        <v>0</v>
      </c>
      <c r="O76" s="182">
        <f t="shared" ref="O76:O82" si="7">SUM(C76:N76)</f>
        <v>0</v>
      </c>
      <c r="Q76" s="105">
        <f t="shared" ref="Q76:Q83" si="8">SUM(F76:K76)</f>
        <v>0</v>
      </c>
      <c r="R76" s="358">
        <f t="shared" ref="R76:R82" si="9">O76*20000</f>
        <v>0</v>
      </c>
    </row>
    <row r="77" spans="1:18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70">
        <v>0</v>
      </c>
      <c r="H77" s="16">
        <v>0</v>
      </c>
      <c r="I77" s="170">
        <v>0</v>
      </c>
      <c r="J77" s="170">
        <v>0</v>
      </c>
      <c r="K77" s="16">
        <v>0</v>
      </c>
      <c r="L77" s="16">
        <v>0</v>
      </c>
      <c r="M77" s="16">
        <v>0</v>
      </c>
      <c r="N77" s="16">
        <v>0</v>
      </c>
      <c r="O77" s="182">
        <f t="shared" si="7"/>
        <v>0</v>
      </c>
      <c r="Q77" s="105">
        <f t="shared" si="8"/>
        <v>0</v>
      </c>
      <c r="R77" s="358">
        <f t="shared" si="9"/>
        <v>0</v>
      </c>
    </row>
    <row r="78" spans="1:18" ht="18.75" customHeight="1" x14ac:dyDescent="0.25">
      <c r="A78" s="14">
        <v>4</v>
      </c>
      <c r="B78" s="15" t="s">
        <v>21</v>
      </c>
      <c r="C78" s="16">
        <v>0</v>
      </c>
      <c r="D78" s="16">
        <v>1</v>
      </c>
      <c r="E78" s="16">
        <v>0</v>
      </c>
      <c r="F78" s="16">
        <v>0</v>
      </c>
      <c r="G78" s="170">
        <v>0</v>
      </c>
      <c r="H78" s="16">
        <v>0</v>
      </c>
      <c r="I78" s="170">
        <v>5.76</v>
      </c>
      <c r="J78" s="170">
        <v>6</v>
      </c>
      <c r="K78" s="16">
        <v>0</v>
      </c>
      <c r="L78" s="16">
        <v>0</v>
      </c>
      <c r="M78" s="16">
        <v>0</v>
      </c>
      <c r="N78" s="170">
        <v>4</v>
      </c>
      <c r="O78" s="182">
        <f t="shared" si="7"/>
        <v>16.759999999999998</v>
      </c>
      <c r="Q78" s="105">
        <f t="shared" si="8"/>
        <v>11.76</v>
      </c>
      <c r="R78" s="358">
        <f t="shared" si="9"/>
        <v>335199.99999999994</v>
      </c>
    </row>
    <row r="79" spans="1:18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70">
        <v>0</v>
      </c>
      <c r="H79" s="16">
        <v>0</v>
      </c>
      <c r="I79" s="170">
        <v>1.1000000000000001</v>
      </c>
      <c r="J79" s="170">
        <v>0.6</v>
      </c>
      <c r="K79" s="16">
        <v>0</v>
      </c>
      <c r="L79" s="16">
        <v>0</v>
      </c>
      <c r="M79" s="16">
        <v>0</v>
      </c>
      <c r="N79" s="170">
        <v>0</v>
      </c>
      <c r="O79" s="182">
        <f t="shared" si="7"/>
        <v>1.7000000000000002</v>
      </c>
      <c r="Q79" s="105">
        <f t="shared" si="8"/>
        <v>1.7000000000000002</v>
      </c>
      <c r="R79" s="358">
        <f t="shared" si="9"/>
        <v>34000</v>
      </c>
    </row>
    <row r="80" spans="1:18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70">
        <v>0</v>
      </c>
      <c r="H80" s="16">
        <v>0</v>
      </c>
      <c r="I80" s="170">
        <v>0</v>
      </c>
      <c r="J80" s="16">
        <v>0</v>
      </c>
      <c r="K80" s="16">
        <v>0</v>
      </c>
      <c r="L80" s="16">
        <v>0</v>
      </c>
      <c r="M80" s="16">
        <v>0</v>
      </c>
      <c r="N80" s="170">
        <v>0</v>
      </c>
      <c r="O80" s="182">
        <f t="shared" si="7"/>
        <v>0</v>
      </c>
      <c r="Q80" s="105">
        <f t="shared" si="8"/>
        <v>0</v>
      </c>
      <c r="R80" s="358">
        <f t="shared" si="9"/>
        <v>0</v>
      </c>
    </row>
    <row r="81" spans="1:18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70">
        <v>0.5</v>
      </c>
      <c r="H81" s="16">
        <v>0</v>
      </c>
      <c r="I81" s="170">
        <v>0</v>
      </c>
      <c r="J81" s="16">
        <v>0</v>
      </c>
      <c r="K81" s="16">
        <v>0</v>
      </c>
      <c r="L81" s="16">
        <v>0</v>
      </c>
      <c r="M81" s="16">
        <v>0</v>
      </c>
      <c r="N81" s="170">
        <v>0</v>
      </c>
      <c r="O81" s="182">
        <f t="shared" si="7"/>
        <v>0.5</v>
      </c>
      <c r="Q81" s="105">
        <f t="shared" si="8"/>
        <v>0.5</v>
      </c>
      <c r="R81" s="358">
        <f t="shared" si="9"/>
        <v>10000</v>
      </c>
    </row>
    <row r="82" spans="1:18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7">
        <v>0</v>
      </c>
      <c r="H82" s="17">
        <v>0</v>
      </c>
      <c r="I82" s="177">
        <v>0</v>
      </c>
      <c r="J82" s="17">
        <v>0</v>
      </c>
      <c r="K82" s="55">
        <v>0</v>
      </c>
      <c r="L82" s="177">
        <v>0.4</v>
      </c>
      <c r="M82" s="17">
        <v>0</v>
      </c>
      <c r="N82" s="177">
        <v>0</v>
      </c>
      <c r="O82" s="183">
        <f t="shared" si="7"/>
        <v>0.4</v>
      </c>
      <c r="Q82" s="105">
        <f t="shared" si="8"/>
        <v>0</v>
      </c>
      <c r="R82" s="358">
        <f t="shared" si="9"/>
        <v>8000</v>
      </c>
    </row>
    <row r="83" spans="1:18" ht="18.75" customHeight="1" thickTop="1" x14ac:dyDescent="0.25">
      <c r="A83" s="359" t="s">
        <v>26</v>
      </c>
      <c r="B83" s="360"/>
      <c r="C83" s="22">
        <f t="shared" ref="C83:O83" si="10">SUM(C75:C82)</f>
        <v>0</v>
      </c>
      <c r="D83" s="22">
        <f t="shared" si="10"/>
        <v>2</v>
      </c>
      <c r="E83" s="22">
        <f t="shared" si="10"/>
        <v>0</v>
      </c>
      <c r="F83" s="22">
        <f t="shared" si="10"/>
        <v>0</v>
      </c>
      <c r="G83" s="171">
        <f t="shared" si="10"/>
        <v>0.5</v>
      </c>
      <c r="H83" s="22">
        <f t="shared" si="10"/>
        <v>0</v>
      </c>
      <c r="I83" s="171">
        <f t="shared" si="10"/>
        <v>6.8599999999999994</v>
      </c>
      <c r="J83" s="171">
        <f t="shared" si="10"/>
        <v>6.6</v>
      </c>
      <c r="K83" s="171">
        <f t="shared" si="10"/>
        <v>0</v>
      </c>
      <c r="L83" s="171">
        <f t="shared" si="10"/>
        <v>0.4</v>
      </c>
      <c r="M83" s="22">
        <f t="shared" si="10"/>
        <v>0</v>
      </c>
      <c r="N83" s="171">
        <f t="shared" si="10"/>
        <v>4</v>
      </c>
      <c r="O83" s="171">
        <f t="shared" si="10"/>
        <v>20.359999999999996</v>
      </c>
      <c r="Q83" s="105">
        <f t="shared" si="8"/>
        <v>13.959999999999999</v>
      </c>
    </row>
    <row r="84" spans="1:18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8" x14ac:dyDescent="0.25">
      <c r="A85" s="24"/>
      <c r="B85" s="345" t="s">
        <v>167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56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8">
        <v>0</v>
      </c>
      <c r="D108" s="50">
        <v>5</v>
      </c>
      <c r="E108" s="68">
        <v>0</v>
      </c>
      <c r="F108" s="28">
        <v>0</v>
      </c>
      <c r="G108" s="68">
        <v>0</v>
      </c>
      <c r="H108" s="28">
        <v>0</v>
      </c>
      <c r="I108" s="68">
        <v>0</v>
      </c>
      <c r="J108" s="32">
        <v>0</v>
      </c>
      <c r="K108" s="28">
        <v>0</v>
      </c>
      <c r="L108" s="68">
        <v>0</v>
      </c>
      <c r="M108" s="68">
        <v>0</v>
      </c>
      <c r="N108" s="68">
        <v>0</v>
      </c>
      <c r="O108" s="33">
        <f>O75/O42*10</f>
        <v>5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48">
        <v>0</v>
      </c>
      <c r="F109" s="16">
        <v>0</v>
      </c>
      <c r="G109" s="173">
        <v>0</v>
      </c>
      <c r="H109" s="16">
        <v>0</v>
      </c>
      <c r="I109" s="48">
        <v>0</v>
      </c>
      <c r="J109" s="34">
        <v>0</v>
      </c>
      <c r="K109" s="16">
        <v>0</v>
      </c>
      <c r="L109" s="48">
        <v>0</v>
      </c>
      <c r="M109" s="48">
        <v>0</v>
      </c>
      <c r="N109" s="48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75">
        <v>5</v>
      </c>
      <c r="E111" s="16">
        <v>0</v>
      </c>
      <c r="F111" s="16">
        <v>0</v>
      </c>
      <c r="G111" s="16">
        <v>0</v>
      </c>
      <c r="H111" s="16">
        <v>0</v>
      </c>
      <c r="I111" s="34">
        <v>6.4</v>
      </c>
      <c r="J111" s="34">
        <v>6.32</v>
      </c>
      <c r="K111" s="16">
        <v>0</v>
      </c>
      <c r="L111" s="16">
        <v>0</v>
      </c>
      <c r="M111" s="16">
        <v>0</v>
      </c>
      <c r="N111" s="34">
        <v>8.1199999999999992</v>
      </c>
      <c r="O111" s="35">
        <f>O78/O45*10</f>
        <v>6.4461538461538463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75">
        <v>5.5</v>
      </c>
      <c r="J112" s="34">
        <v>6.5</v>
      </c>
      <c r="K112" s="16">
        <v>0</v>
      </c>
      <c r="L112" s="16">
        <v>0</v>
      </c>
      <c r="M112" s="16">
        <v>0</v>
      </c>
      <c r="N112" s="16">
        <v>0</v>
      </c>
      <c r="O112" s="35">
        <f>O79/O46*10</f>
        <v>5.6666666666666679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48">
        <v>0</v>
      </c>
      <c r="J113" s="34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34">
        <v>5.03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36">
        <v>0</v>
      </c>
      <c r="J115" s="36">
        <v>0</v>
      </c>
      <c r="K115" s="55">
        <v>0</v>
      </c>
      <c r="L115" s="36">
        <v>8.01</v>
      </c>
      <c r="M115" s="17">
        <v>0</v>
      </c>
      <c r="N115" s="17">
        <v>0</v>
      </c>
      <c r="O115" s="35">
        <f>O82/O49*10</f>
        <v>8</v>
      </c>
    </row>
    <row r="116" spans="1:15" ht="18.75" customHeight="1" thickTop="1" x14ac:dyDescent="0.25">
      <c r="A116" s="359" t="s">
        <v>26</v>
      </c>
      <c r="B116" s="360"/>
      <c r="C116" s="38">
        <v>0</v>
      </c>
      <c r="D116" s="38">
        <v>5</v>
      </c>
      <c r="E116" s="38">
        <f>SUM(E108:E115)</f>
        <v>0</v>
      </c>
      <c r="F116" s="38">
        <f>SUM(F108:F115)</f>
        <v>0</v>
      </c>
      <c r="G116" s="38">
        <f>SUM(G108:G115)</f>
        <v>5.03</v>
      </c>
      <c r="H116" s="38">
        <v>0</v>
      </c>
      <c r="I116" s="38">
        <f>I83/I50*10</f>
        <v>6.2363636363636354</v>
      </c>
      <c r="J116" s="38">
        <f>J83/J50*10</f>
        <v>6</v>
      </c>
      <c r="K116" s="38">
        <v>0</v>
      </c>
      <c r="L116" s="38">
        <v>8.01</v>
      </c>
      <c r="M116" s="38">
        <v>0</v>
      </c>
      <c r="N116" s="38">
        <f>SUM(N108:N115)</f>
        <v>8.1199999999999992</v>
      </c>
      <c r="O116" s="38">
        <f>O83/O50*10</f>
        <v>6.2646153846153831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25">
      <c r="E118" s="72"/>
    </row>
    <row r="119" spans="1:15" x14ac:dyDescent="0.25">
      <c r="K119" t="s">
        <v>163</v>
      </c>
    </row>
    <row r="120" spans="1:15" x14ac:dyDescent="0.25">
      <c r="K120" t="s">
        <v>86</v>
      </c>
    </row>
    <row r="124" spans="1:15" x14ac:dyDescent="0.25">
      <c r="K124" t="s">
        <v>164</v>
      </c>
    </row>
    <row r="125" spans="1:15" x14ac:dyDescent="0.25">
      <c r="K125" t="s">
        <v>165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topLeftCell="A96" zoomScale="90" zoomScaleNormal="90" workbookViewId="0">
      <selection activeCell="A101" sqref="A101:O117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1" t="s">
        <v>151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71" t="s">
        <v>4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62" t="s">
        <v>5</v>
      </c>
    </row>
    <row r="7" spans="1:17" x14ac:dyDescent="0.25">
      <c r="A7" s="363"/>
      <c r="B7" s="363"/>
      <c r="C7" s="277" t="s">
        <v>6</v>
      </c>
      <c r="D7" s="277" t="s">
        <v>7</v>
      </c>
      <c r="E7" s="277" t="s">
        <v>8</v>
      </c>
      <c r="F7" s="277" t="s">
        <v>9</v>
      </c>
      <c r="G7" s="277" t="s">
        <v>10</v>
      </c>
      <c r="H7" s="277" t="s">
        <v>11</v>
      </c>
      <c r="I7" s="277" t="s">
        <v>12</v>
      </c>
      <c r="J7" s="277" t="s">
        <v>13</v>
      </c>
      <c r="K7" s="277" t="s">
        <v>14</v>
      </c>
      <c r="L7" s="277" t="s">
        <v>15</v>
      </c>
      <c r="M7" s="277" t="s">
        <v>16</v>
      </c>
      <c r="N7" s="277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87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1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  <c r="O10" s="18">
        <f t="shared" ref="O10:O16" si="0">SUM(C10:N10)</f>
        <v>2</v>
      </c>
      <c r="Q10" s="105">
        <f t="shared" ref="Q10:Q16" si="1">SUM(L10:M10)</f>
        <v>1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5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5">
        <f t="shared" si="1"/>
        <v>0</v>
      </c>
    </row>
    <row r="17" spans="1:15" ht="18.75" customHeight="1" thickTop="1" x14ac:dyDescent="0.25">
      <c r="A17" s="359" t="s">
        <v>26</v>
      </c>
      <c r="B17" s="360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1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1</v>
      </c>
      <c r="N17" s="22">
        <f t="shared" si="2"/>
        <v>0</v>
      </c>
      <c r="O17" s="22">
        <f t="shared" si="2"/>
        <v>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1" t="s">
        <v>152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27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277" t="s">
        <v>6</v>
      </c>
      <c r="D40" s="277" t="s">
        <v>7</v>
      </c>
      <c r="E40" s="277" t="s">
        <v>8</v>
      </c>
      <c r="F40" s="277" t="s">
        <v>9</v>
      </c>
      <c r="G40" s="277" t="s">
        <v>10</v>
      </c>
      <c r="H40" s="277" t="s">
        <v>11</v>
      </c>
      <c r="I40" s="277" t="s">
        <v>12</v>
      </c>
      <c r="J40" s="277" t="s">
        <v>13</v>
      </c>
      <c r="K40" s="277" t="s">
        <v>14</v>
      </c>
      <c r="L40" s="277" t="s">
        <v>15</v>
      </c>
      <c r="M40" s="277" t="s">
        <v>16</v>
      </c>
      <c r="N40" s="277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</v>
      </c>
      <c r="N43" s="16">
        <v>0</v>
      </c>
      <c r="O43" s="18">
        <f t="shared" si="3"/>
        <v>1</v>
      </c>
      <c r="Q43" s="105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0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9">
        <v>15</v>
      </c>
      <c r="Q49" s="105">
        <f t="shared" si="4"/>
        <v>0</v>
      </c>
    </row>
    <row r="50" spans="1:17" ht="18.75" customHeight="1" thickTop="1" x14ac:dyDescent="0.25">
      <c r="A50" s="359" t="s">
        <v>26</v>
      </c>
      <c r="B50" s="360"/>
      <c r="C50" s="22">
        <f>SUM(C42:C49)</f>
        <v>0</v>
      </c>
      <c r="D50" s="22">
        <f t="shared" ref="D50:N50" si="5">SUM(D42:D49)</f>
        <v>0</v>
      </c>
      <c r="E50" s="22"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1</v>
      </c>
      <c r="N50" s="22">
        <f t="shared" si="5"/>
        <v>0</v>
      </c>
      <c r="O50" s="22">
        <f>SUM(O42:O49)</f>
        <v>1</v>
      </c>
      <c r="P50" s="108">
        <f>SUM(P42:P49)</f>
        <v>15</v>
      </c>
    </row>
    <row r="51" spans="1:17" x14ac:dyDescent="0.25">
      <c r="A51" s="278"/>
      <c r="B51" s="278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1" t="s">
        <v>153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7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7" ht="18.75" x14ac:dyDescent="0.3">
      <c r="A70" s="276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7" x14ac:dyDescent="0.25">
      <c r="A73" s="363"/>
      <c r="B73" s="363"/>
      <c r="C73" s="277" t="s">
        <v>6</v>
      </c>
      <c r="D73" s="277" t="s">
        <v>7</v>
      </c>
      <c r="E73" s="277" t="s">
        <v>8</v>
      </c>
      <c r="F73" s="277" t="s">
        <v>9</v>
      </c>
      <c r="G73" s="277" t="s">
        <v>10</v>
      </c>
      <c r="H73" s="277" t="s">
        <v>11</v>
      </c>
      <c r="I73" s="277" t="s">
        <v>12</v>
      </c>
      <c r="J73" s="277" t="s">
        <v>13</v>
      </c>
      <c r="K73" s="277" t="s">
        <v>14</v>
      </c>
      <c r="L73" s="277" t="s">
        <v>15</v>
      </c>
      <c r="M73" s="277" t="s">
        <v>16</v>
      </c>
      <c r="N73" s="277" t="s">
        <v>17</v>
      </c>
      <c r="O73" s="365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70">
        <v>9.6</v>
      </c>
      <c r="N76" s="170">
        <v>0</v>
      </c>
      <c r="O76" s="182">
        <f t="shared" ref="O76:O82" si="6">SUM(C76:N76)</f>
        <v>9.6</v>
      </c>
      <c r="Q76" s="105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5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5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5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0</v>
      </c>
      <c r="Q82" s="105">
        <f t="shared" si="7"/>
        <v>0</v>
      </c>
    </row>
    <row r="83" spans="1:17" ht="18.75" customHeight="1" thickTop="1" x14ac:dyDescent="0.25">
      <c r="A83" s="359" t="s">
        <v>26</v>
      </c>
      <c r="B83" s="360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171">
        <f t="shared" si="8"/>
        <v>9.6</v>
      </c>
      <c r="N83" s="171">
        <f t="shared" si="8"/>
        <v>0</v>
      </c>
      <c r="O83" s="171">
        <f t="shared" si="8"/>
        <v>9.6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154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276"/>
      <c r="B103" s="276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277" t="s">
        <v>6</v>
      </c>
      <c r="D106" s="277" t="s">
        <v>7</v>
      </c>
      <c r="E106" s="277" t="s">
        <v>8</v>
      </c>
      <c r="F106" s="277" t="s">
        <v>9</v>
      </c>
      <c r="G106" s="277" t="s">
        <v>10</v>
      </c>
      <c r="H106" s="277" t="s">
        <v>11</v>
      </c>
      <c r="I106" s="277" t="s">
        <v>12</v>
      </c>
      <c r="J106" s="277" t="s">
        <v>13</v>
      </c>
      <c r="K106" s="277" t="s">
        <v>14</v>
      </c>
      <c r="L106" s="277" t="s">
        <v>15</v>
      </c>
      <c r="M106" s="277" t="s">
        <v>16</v>
      </c>
      <c r="N106" s="277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34">
        <v>96</v>
      </c>
      <c r="N109" s="16">
        <v>0</v>
      </c>
      <c r="O109" s="35">
        <f>SUM(M109)</f>
        <v>96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59" t="s">
        <v>26</v>
      </c>
      <c r="B116" s="360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96</v>
      </c>
      <c r="N116" s="38">
        <f t="shared" si="9"/>
        <v>0</v>
      </c>
      <c r="O116" s="38">
        <f>SUM(O108:O115)</f>
        <v>96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163</v>
      </c>
    </row>
    <row r="120" spans="1:16" x14ac:dyDescent="0.25">
      <c r="K120" t="s">
        <v>86</v>
      </c>
    </row>
    <row r="124" spans="1:16" x14ac:dyDescent="0.25">
      <c r="K124" t="s">
        <v>164</v>
      </c>
    </row>
    <row r="125" spans="1:16" x14ac:dyDescent="0.25">
      <c r="K125" t="s">
        <v>165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topLeftCell="A98" zoomScale="90" zoomScaleNormal="90" workbookViewId="0">
      <selection activeCell="A101" sqref="A101:O117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1" t="s">
        <v>159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</row>
    <row r="3" spans="1:17" ht="18.75" x14ac:dyDescent="0.3">
      <c r="A3" s="361" t="s">
        <v>145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</row>
    <row r="4" spans="1:17" ht="18.75" x14ac:dyDescent="0.3">
      <c r="A4" s="332"/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2" t="s">
        <v>2</v>
      </c>
      <c r="B6" s="362" t="s">
        <v>3</v>
      </c>
      <c r="C6" s="371" t="s">
        <v>4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62" t="s">
        <v>5</v>
      </c>
    </row>
    <row r="7" spans="1:17" x14ac:dyDescent="0.25">
      <c r="A7" s="363"/>
      <c r="B7" s="363"/>
      <c r="C7" s="333" t="s">
        <v>6</v>
      </c>
      <c r="D7" s="333" t="s">
        <v>7</v>
      </c>
      <c r="E7" s="333" t="s">
        <v>8</v>
      </c>
      <c r="F7" s="333" t="s">
        <v>9</v>
      </c>
      <c r="G7" s="333" t="s">
        <v>10</v>
      </c>
      <c r="H7" s="333" t="s">
        <v>11</v>
      </c>
      <c r="I7" s="333" t="s">
        <v>12</v>
      </c>
      <c r="J7" s="333" t="s">
        <v>13</v>
      </c>
      <c r="K7" s="333" t="s">
        <v>14</v>
      </c>
      <c r="L7" s="333" t="s">
        <v>15</v>
      </c>
      <c r="M7" s="333" t="s">
        <v>16</v>
      </c>
      <c r="N7" s="333" t="s">
        <v>17</v>
      </c>
      <c r="O7" s="365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87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5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5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7">
        <v>0.5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83">
        <f t="shared" si="0"/>
        <v>0.5</v>
      </c>
      <c r="Q16" s="105">
        <f t="shared" si="1"/>
        <v>0</v>
      </c>
    </row>
    <row r="17" spans="1:15" ht="18.75" customHeight="1" thickTop="1" x14ac:dyDescent="0.25">
      <c r="A17" s="359" t="s">
        <v>26</v>
      </c>
      <c r="B17" s="360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71">
        <f>SUM(I9:I16)</f>
        <v>0.5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71">
        <f t="shared" si="2"/>
        <v>0.5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1" t="s">
        <v>160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</row>
    <row r="36" spans="1:17" ht="18.75" x14ac:dyDescent="0.3">
      <c r="A36" s="361" t="s">
        <v>145</v>
      </c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</row>
    <row r="37" spans="1:17" ht="18.75" x14ac:dyDescent="0.3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2" t="s">
        <v>2</v>
      </c>
      <c r="B39" s="362" t="s">
        <v>3</v>
      </c>
      <c r="C39" s="364" t="s">
        <v>4</v>
      </c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2" t="s">
        <v>5</v>
      </c>
    </row>
    <row r="40" spans="1:17" x14ac:dyDescent="0.25">
      <c r="A40" s="363"/>
      <c r="B40" s="363"/>
      <c r="C40" s="333" t="s">
        <v>6</v>
      </c>
      <c r="D40" s="333" t="s">
        <v>7</v>
      </c>
      <c r="E40" s="333" t="s">
        <v>8</v>
      </c>
      <c r="F40" s="333" t="s">
        <v>9</v>
      </c>
      <c r="G40" s="333" t="s">
        <v>10</v>
      </c>
      <c r="H40" s="333" t="s">
        <v>11</v>
      </c>
      <c r="I40" s="333" t="s">
        <v>12</v>
      </c>
      <c r="J40" s="333" t="s">
        <v>13</v>
      </c>
      <c r="K40" s="333" t="s">
        <v>14</v>
      </c>
      <c r="L40" s="333" t="s">
        <v>15</v>
      </c>
      <c r="M40" s="333" t="s">
        <v>16</v>
      </c>
      <c r="N40" s="333" t="s">
        <v>17</v>
      </c>
      <c r="O40" s="365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5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0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9">
        <v>15</v>
      </c>
      <c r="Q49" s="105">
        <f t="shared" si="4"/>
        <v>0</v>
      </c>
    </row>
    <row r="50" spans="1:17" ht="18.75" customHeight="1" thickTop="1" x14ac:dyDescent="0.25">
      <c r="A50" s="359" t="s">
        <v>26</v>
      </c>
      <c r="B50" s="360"/>
      <c r="C50" s="22">
        <f>SUM(C42:C49)</f>
        <v>0</v>
      </c>
      <c r="D50" s="22">
        <f t="shared" ref="D50:N50" si="5">SUM(D42:D49)</f>
        <v>0</v>
      </c>
      <c r="E50" s="22"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0</v>
      </c>
      <c r="P50" s="108">
        <f>SUM(P42:P49)</f>
        <v>15</v>
      </c>
    </row>
    <row r="51" spans="1:17" x14ac:dyDescent="0.25">
      <c r="A51" s="334"/>
      <c r="B51" s="33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1" t="s">
        <v>161</v>
      </c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</row>
    <row r="69" spans="1:17" ht="18.75" x14ac:dyDescent="0.3">
      <c r="A69" s="361" t="s">
        <v>145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</row>
    <row r="70" spans="1:17" ht="18.75" x14ac:dyDescent="0.3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2" t="s">
        <v>2</v>
      </c>
      <c r="B72" s="362" t="s">
        <v>3</v>
      </c>
      <c r="C72" s="364" t="s">
        <v>4</v>
      </c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2" t="s">
        <v>5</v>
      </c>
    </row>
    <row r="73" spans="1:17" x14ac:dyDescent="0.25">
      <c r="A73" s="363"/>
      <c r="B73" s="363"/>
      <c r="C73" s="333" t="s">
        <v>6</v>
      </c>
      <c r="D73" s="333" t="s">
        <v>7</v>
      </c>
      <c r="E73" s="333" t="s">
        <v>8</v>
      </c>
      <c r="F73" s="333" t="s">
        <v>9</v>
      </c>
      <c r="G73" s="333" t="s">
        <v>10</v>
      </c>
      <c r="H73" s="333" t="s">
        <v>11</v>
      </c>
      <c r="I73" s="333" t="s">
        <v>12</v>
      </c>
      <c r="J73" s="333" t="s">
        <v>13</v>
      </c>
      <c r="K73" s="333" t="s">
        <v>14</v>
      </c>
      <c r="L73" s="333" t="s">
        <v>15</v>
      </c>
      <c r="M73" s="333" t="s">
        <v>16</v>
      </c>
      <c r="N73" s="333" t="s">
        <v>17</v>
      </c>
      <c r="O73" s="365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5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5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5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5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0</v>
      </c>
      <c r="Q82" s="105">
        <f t="shared" si="7"/>
        <v>0</v>
      </c>
    </row>
    <row r="83" spans="1:17" ht="18.75" customHeight="1" thickTop="1" x14ac:dyDescent="0.25">
      <c r="A83" s="359" t="s">
        <v>26</v>
      </c>
      <c r="B83" s="360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22">
        <f t="shared" si="8"/>
        <v>0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1" t="s">
        <v>162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</row>
    <row r="102" spans="1:15" ht="18.75" x14ac:dyDescent="0.3">
      <c r="A102" s="361" t="s">
        <v>145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</row>
    <row r="103" spans="1:15" ht="18.75" x14ac:dyDescent="0.3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2" t="s">
        <v>2</v>
      </c>
      <c r="B105" s="362" t="s">
        <v>3</v>
      </c>
      <c r="C105" s="364" t="s">
        <v>4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2" t="s">
        <v>5</v>
      </c>
    </row>
    <row r="106" spans="1:15" x14ac:dyDescent="0.25">
      <c r="A106" s="363"/>
      <c r="B106" s="363"/>
      <c r="C106" s="333" t="s">
        <v>6</v>
      </c>
      <c r="D106" s="333" t="s">
        <v>7</v>
      </c>
      <c r="E106" s="333" t="s">
        <v>8</v>
      </c>
      <c r="F106" s="333" t="s">
        <v>9</v>
      </c>
      <c r="G106" s="333" t="s">
        <v>10</v>
      </c>
      <c r="H106" s="333" t="s">
        <v>11</v>
      </c>
      <c r="I106" s="333" t="s">
        <v>12</v>
      </c>
      <c r="J106" s="333" t="s">
        <v>13</v>
      </c>
      <c r="K106" s="333" t="s">
        <v>14</v>
      </c>
      <c r="L106" s="333" t="s">
        <v>15</v>
      </c>
      <c r="M106" s="333" t="s">
        <v>16</v>
      </c>
      <c r="N106" s="333" t="s">
        <v>17</v>
      </c>
      <c r="O106" s="365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59" t="s">
        <v>26</v>
      </c>
      <c r="B116" s="360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163</v>
      </c>
    </row>
    <row r="120" spans="1:16" x14ac:dyDescent="0.25">
      <c r="K120" t="s">
        <v>86</v>
      </c>
    </row>
    <row r="124" spans="1:16" x14ac:dyDescent="0.25">
      <c r="K124" t="s">
        <v>164</v>
      </c>
    </row>
    <row r="125" spans="1:16" x14ac:dyDescent="0.25">
      <c r="K125" t="s">
        <v>165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/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6" t="s">
        <v>74</v>
      </c>
    </row>
    <row r="2" spans="1:6" x14ac:dyDescent="0.25">
      <c r="A2" s="76" t="s">
        <v>146</v>
      </c>
    </row>
    <row r="3" spans="1:6" x14ac:dyDescent="0.25">
      <c r="A3" s="76"/>
    </row>
    <row r="4" spans="1:6" ht="15.75" thickBot="1" x14ac:dyDescent="0.3">
      <c r="A4" s="76" t="s">
        <v>66</v>
      </c>
    </row>
    <row r="5" spans="1:6" x14ac:dyDescent="0.25">
      <c r="A5" s="375" t="s">
        <v>2</v>
      </c>
      <c r="B5" s="377" t="s">
        <v>3</v>
      </c>
      <c r="C5" s="78" t="s">
        <v>63</v>
      </c>
      <c r="D5" s="78" t="s">
        <v>64</v>
      </c>
      <c r="E5" s="78" t="s">
        <v>65</v>
      </c>
      <c r="F5" s="79" t="s">
        <v>62</v>
      </c>
    </row>
    <row r="6" spans="1:6" x14ac:dyDescent="0.25">
      <c r="A6" s="376"/>
      <c r="B6" s="363"/>
      <c r="C6" s="80" t="s">
        <v>1</v>
      </c>
      <c r="D6" s="80" t="s">
        <v>1</v>
      </c>
      <c r="E6" s="80" t="s">
        <v>29</v>
      </c>
      <c r="F6" s="81" t="s">
        <v>31</v>
      </c>
    </row>
    <row r="7" spans="1:6" ht="15.75" thickBot="1" x14ac:dyDescent="0.3">
      <c r="A7" s="82">
        <v>1</v>
      </c>
      <c r="B7" s="77">
        <v>2</v>
      </c>
      <c r="C7" s="77">
        <v>3</v>
      </c>
      <c r="D7" s="77">
        <v>4</v>
      </c>
      <c r="E7" s="77">
        <v>5</v>
      </c>
      <c r="F7" s="83">
        <v>6</v>
      </c>
    </row>
    <row r="8" spans="1:6" ht="15.75" thickTop="1" x14ac:dyDescent="0.25">
      <c r="A8" s="84">
        <v>1</v>
      </c>
      <c r="B8" s="7" t="s">
        <v>18</v>
      </c>
      <c r="C8" s="88">
        <f>'padi sawah'!O9</f>
        <v>293</v>
      </c>
      <c r="D8" s="88">
        <f>'padi sawah'!O42</f>
        <v>333</v>
      </c>
      <c r="E8" s="88">
        <f>'padi sawah'!O75</f>
        <v>1861</v>
      </c>
      <c r="F8" s="92">
        <f>'padi sawah'!O108</f>
        <v>55.885885885885884</v>
      </c>
    </row>
    <row r="9" spans="1:6" x14ac:dyDescent="0.25">
      <c r="A9" s="85">
        <v>2</v>
      </c>
      <c r="B9" s="12" t="s">
        <v>19</v>
      </c>
      <c r="C9" s="89">
        <f>'padi sawah'!O10</f>
        <v>235</v>
      </c>
      <c r="D9" s="89">
        <f>'padi sawah'!O43</f>
        <v>371</v>
      </c>
      <c r="E9" s="89">
        <f>'padi sawah'!O76</f>
        <v>3076</v>
      </c>
      <c r="F9" s="92">
        <f>'padi sawah'!O109</f>
        <v>82.911051212937991</v>
      </c>
    </row>
    <row r="10" spans="1:6" x14ac:dyDescent="0.25">
      <c r="A10" s="85">
        <v>3</v>
      </c>
      <c r="B10" s="7" t="s">
        <v>20</v>
      </c>
      <c r="C10" s="89">
        <f>'padi sawah'!O11</f>
        <v>26</v>
      </c>
      <c r="D10" s="89">
        <f>'padi sawah'!O44</f>
        <v>41</v>
      </c>
      <c r="E10" s="89">
        <f>'padi sawah'!O77</f>
        <v>228</v>
      </c>
      <c r="F10" s="92">
        <f>'padi sawah'!O110</f>
        <v>55.609756097560975</v>
      </c>
    </row>
    <row r="11" spans="1:6" x14ac:dyDescent="0.25">
      <c r="A11" s="86">
        <v>4</v>
      </c>
      <c r="B11" s="15" t="s">
        <v>21</v>
      </c>
      <c r="C11" s="89">
        <f>'padi sawah'!O12</f>
        <v>183</v>
      </c>
      <c r="D11" s="89">
        <f>'padi sawah'!O45</f>
        <v>215</v>
      </c>
      <c r="E11" s="89">
        <f>'padi sawah'!O78</f>
        <v>1443</v>
      </c>
      <c r="F11" s="92">
        <f>'padi sawah'!O111</f>
        <v>67.116279069767444</v>
      </c>
    </row>
    <row r="12" spans="1:6" x14ac:dyDescent="0.25">
      <c r="A12" s="86">
        <v>5</v>
      </c>
      <c r="B12" s="19" t="s">
        <v>22</v>
      </c>
      <c r="C12" s="89">
        <f>'padi sawah'!O13</f>
        <v>187</v>
      </c>
      <c r="D12" s="89">
        <f>'padi sawah'!O46</f>
        <v>202</v>
      </c>
      <c r="E12" s="89">
        <f>'padi sawah'!O79</f>
        <v>1307</v>
      </c>
      <c r="F12" s="92">
        <f>'padi sawah'!O112</f>
        <v>64.702970297029708</v>
      </c>
    </row>
    <row r="13" spans="1:6" x14ac:dyDescent="0.25">
      <c r="A13" s="86">
        <v>6</v>
      </c>
      <c r="B13" s="19" t="s">
        <v>23</v>
      </c>
      <c r="C13" s="89">
        <f>'padi sawah'!O14</f>
        <v>77</v>
      </c>
      <c r="D13" s="89">
        <f>'padi sawah'!O47</f>
        <v>109</v>
      </c>
      <c r="E13" s="89">
        <f>'padi sawah'!O80</f>
        <v>738</v>
      </c>
      <c r="F13" s="92">
        <f>'padi sawah'!O113</f>
        <v>67.706422018348619</v>
      </c>
    </row>
    <row r="14" spans="1:6" x14ac:dyDescent="0.25">
      <c r="A14" s="86">
        <v>7</v>
      </c>
      <c r="B14" s="19" t="s">
        <v>24</v>
      </c>
      <c r="C14" s="89">
        <f>'padi sawah'!O15</f>
        <v>491</v>
      </c>
      <c r="D14" s="89">
        <f>'padi sawah'!O48</f>
        <v>606</v>
      </c>
      <c r="E14" s="89">
        <f>'padi sawah'!O81</f>
        <v>3358</v>
      </c>
      <c r="F14" s="92">
        <f>'padi sawah'!O114</f>
        <v>55.412541254125415</v>
      </c>
    </row>
    <row r="15" spans="1:6" ht="15.75" thickBot="1" x14ac:dyDescent="0.3">
      <c r="A15" s="87">
        <v>8</v>
      </c>
      <c r="B15" s="15" t="s">
        <v>25</v>
      </c>
      <c r="C15" s="90">
        <f>'padi sawah'!O16</f>
        <v>375</v>
      </c>
      <c r="D15" s="90">
        <f>'padi sawah'!O49</f>
        <v>520</v>
      </c>
      <c r="E15" s="90">
        <f>'padi sawah'!O82</f>
        <v>3179</v>
      </c>
      <c r="F15" s="93">
        <f>'padi sawah'!O115</f>
        <v>61.134615384615387</v>
      </c>
    </row>
    <row r="16" spans="1:6" ht="16.5" thickTop="1" thickBot="1" x14ac:dyDescent="0.3">
      <c r="A16" s="373" t="s">
        <v>26</v>
      </c>
      <c r="B16" s="374"/>
      <c r="C16" s="91">
        <f>SUM(C8:C15)</f>
        <v>1867</v>
      </c>
      <c r="D16" s="91">
        <f>SUM(D8:D15)</f>
        <v>2397</v>
      </c>
      <c r="E16" s="91">
        <f>SUM(E8:E15)</f>
        <v>15190</v>
      </c>
      <c r="F16" s="94">
        <f>E16/D16*10</f>
        <v>63.370880267000416</v>
      </c>
    </row>
    <row r="18" spans="1:6" ht="15.75" thickBot="1" x14ac:dyDescent="0.3">
      <c r="A18" s="76" t="s">
        <v>67</v>
      </c>
    </row>
    <row r="19" spans="1:6" x14ac:dyDescent="0.25">
      <c r="A19" s="375" t="s">
        <v>2</v>
      </c>
      <c r="B19" s="377" t="s">
        <v>3</v>
      </c>
      <c r="C19" s="78" t="s">
        <v>63</v>
      </c>
      <c r="D19" s="78" t="s">
        <v>64</v>
      </c>
      <c r="E19" s="78" t="s">
        <v>65</v>
      </c>
      <c r="F19" s="79" t="s">
        <v>62</v>
      </c>
    </row>
    <row r="20" spans="1:6" x14ac:dyDescent="0.25">
      <c r="A20" s="376"/>
      <c r="B20" s="363"/>
      <c r="C20" s="80" t="s">
        <v>1</v>
      </c>
      <c r="D20" s="80" t="s">
        <v>1</v>
      </c>
      <c r="E20" s="80" t="s">
        <v>29</v>
      </c>
      <c r="F20" s="81" t="s">
        <v>31</v>
      </c>
    </row>
    <row r="21" spans="1:6" ht="15.75" thickBot="1" x14ac:dyDescent="0.3">
      <c r="A21" s="82">
        <v>1</v>
      </c>
      <c r="B21" s="77">
        <v>2</v>
      </c>
      <c r="C21" s="77">
        <v>3</v>
      </c>
      <c r="D21" s="77">
        <v>4</v>
      </c>
      <c r="E21" s="77">
        <v>5</v>
      </c>
      <c r="F21" s="83">
        <v>6</v>
      </c>
    </row>
    <row r="22" spans="1:6" ht="15.75" thickTop="1" x14ac:dyDescent="0.25">
      <c r="A22" s="84">
        <v>1</v>
      </c>
      <c r="B22" s="7" t="s">
        <v>18</v>
      </c>
      <c r="C22" s="150">
        <f>'padi ladang'!O9</f>
        <v>0</v>
      </c>
      <c r="D22" s="150">
        <f>'padi ladang'!O42</f>
        <v>0</v>
      </c>
      <c r="E22" s="150">
        <f>'padi ladang'!O75</f>
        <v>0</v>
      </c>
      <c r="F22" s="154">
        <f>'padi ladang'!O108</f>
        <v>0</v>
      </c>
    </row>
    <row r="23" spans="1:6" x14ac:dyDescent="0.25">
      <c r="A23" s="85">
        <v>2</v>
      </c>
      <c r="B23" s="12" t="s">
        <v>19</v>
      </c>
      <c r="C23" s="89">
        <f>'padi ladang'!O10</f>
        <v>0</v>
      </c>
      <c r="D23" s="89">
        <f>'padi ladang'!O43</f>
        <v>0</v>
      </c>
      <c r="E23" s="89">
        <f>'padi ladang'!O76</f>
        <v>0</v>
      </c>
      <c r="F23" s="120">
        <f>'padi ladang'!O109</f>
        <v>0</v>
      </c>
    </row>
    <row r="24" spans="1:6" x14ac:dyDescent="0.25">
      <c r="A24" s="85">
        <v>3</v>
      </c>
      <c r="B24" s="7" t="s">
        <v>20</v>
      </c>
      <c r="C24" s="89">
        <f>'padi ladang'!O11</f>
        <v>18</v>
      </c>
      <c r="D24" s="89">
        <f>'padi ladang'!O44</f>
        <v>82</v>
      </c>
      <c r="E24" s="89">
        <f>'padi ladang'!O77</f>
        <v>311</v>
      </c>
      <c r="F24" s="120">
        <f>'padi ladang'!O110</f>
        <v>37.926829268292678</v>
      </c>
    </row>
    <row r="25" spans="1:6" x14ac:dyDescent="0.25">
      <c r="A25" s="86">
        <v>4</v>
      </c>
      <c r="B25" s="15" t="s">
        <v>21</v>
      </c>
      <c r="C25" s="89">
        <f>'padi ladang'!O12</f>
        <v>0</v>
      </c>
      <c r="D25" s="89">
        <f>'padi ladang'!O45</f>
        <v>0</v>
      </c>
      <c r="E25" s="89">
        <f>'padi ladang'!O78</f>
        <v>0</v>
      </c>
      <c r="F25" s="120">
        <f>'padi ladang'!O111</f>
        <v>0</v>
      </c>
    </row>
    <row r="26" spans="1:6" x14ac:dyDescent="0.25">
      <c r="A26" s="86">
        <v>5</v>
      </c>
      <c r="B26" s="19" t="s">
        <v>22</v>
      </c>
      <c r="C26" s="89">
        <f>'padi ladang'!O13</f>
        <v>0</v>
      </c>
      <c r="D26" s="89">
        <f>'padi ladang'!O46</f>
        <v>0</v>
      </c>
      <c r="E26" s="89">
        <f>'padi ladang'!O79</f>
        <v>0</v>
      </c>
      <c r="F26" s="120">
        <f>'padi ladang'!O112</f>
        <v>0</v>
      </c>
    </row>
    <row r="27" spans="1:6" x14ac:dyDescent="0.25">
      <c r="A27" s="86">
        <v>6</v>
      </c>
      <c r="B27" s="19" t="s">
        <v>23</v>
      </c>
      <c r="C27" s="89">
        <f>'padi ladang'!O14</f>
        <v>0</v>
      </c>
      <c r="D27" s="89">
        <f>'padi ladang'!O47</f>
        <v>0</v>
      </c>
      <c r="E27" s="89">
        <f>'padi ladang'!O80</f>
        <v>0</v>
      </c>
      <c r="F27" s="120">
        <f>'padi ladang'!O113</f>
        <v>0</v>
      </c>
    </row>
    <row r="28" spans="1:6" x14ac:dyDescent="0.25">
      <c r="A28" s="86">
        <v>7</v>
      </c>
      <c r="B28" s="19" t="s">
        <v>24</v>
      </c>
      <c r="C28" s="89">
        <f>'padi ladang'!O15</f>
        <v>0</v>
      </c>
      <c r="D28" s="89">
        <f>'padi ladang'!O48</f>
        <v>0</v>
      </c>
      <c r="E28" s="89">
        <f>'padi ladang'!O81</f>
        <v>0</v>
      </c>
      <c r="F28" s="120">
        <f>'padi ladang'!O114</f>
        <v>0</v>
      </c>
    </row>
    <row r="29" spans="1:6" ht="15.75" thickBot="1" x14ac:dyDescent="0.3">
      <c r="A29" s="87">
        <v>8</v>
      </c>
      <c r="B29" s="15" t="s">
        <v>25</v>
      </c>
      <c r="C29" s="90">
        <f>'padi ladang'!O16</f>
        <v>0</v>
      </c>
      <c r="D29" s="90">
        <f>'padi ladang'!O49</f>
        <v>0</v>
      </c>
      <c r="E29" s="90">
        <f>'padi ladang'!O82</f>
        <v>0</v>
      </c>
      <c r="F29" s="156">
        <f>'padi ladang'!O115</f>
        <v>0</v>
      </c>
    </row>
    <row r="30" spans="1:6" ht="16.5" thickTop="1" thickBot="1" x14ac:dyDescent="0.3">
      <c r="A30" s="373" t="s">
        <v>26</v>
      </c>
      <c r="B30" s="374"/>
      <c r="C30" s="91">
        <f>SUM(C22:C29)</f>
        <v>18</v>
      </c>
      <c r="D30" s="91">
        <f>SUM(D22:D29)</f>
        <v>82</v>
      </c>
      <c r="E30" s="91">
        <f>SUM(E22:E29)</f>
        <v>311</v>
      </c>
      <c r="F30" s="94">
        <f>E30/D30*10</f>
        <v>37.926829268292678</v>
      </c>
    </row>
    <row r="32" spans="1:6" ht="15.75" thickBot="1" x14ac:dyDescent="0.3">
      <c r="A32" s="76" t="s">
        <v>68</v>
      </c>
    </row>
    <row r="33" spans="1:6" x14ac:dyDescent="0.25">
      <c r="A33" s="375" t="s">
        <v>2</v>
      </c>
      <c r="B33" s="377" t="s">
        <v>3</v>
      </c>
      <c r="C33" s="78" t="s">
        <v>63</v>
      </c>
      <c r="D33" s="78" t="s">
        <v>64</v>
      </c>
      <c r="E33" s="78" t="s">
        <v>65</v>
      </c>
      <c r="F33" s="79" t="s">
        <v>62</v>
      </c>
    </row>
    <row r="34" spans="1:6" x14ac:dyDescent="0.25">
      <c r="A34" s="376"/>
      <c r="B34" s="363"/>
      <c r="C34" s="80" t="s">
        <v>1</v>
      </c>
      <c r="D34" s="80" t="s">
        <v>1</v>
      </c>
      <c r="E34" s="80" t="s">
        <v>29</v>
      </c>
      <c r="F34" s="81" t="s">
        <v>31</v>
      </c>
    </row>
    <row r="35" spans="1:6" ht="15.75" thickBot="1" x14ac:dyDescent="0.3">
      <c r="A35" s="82">
        <v>1</v>
      </c>
      <c r="B35" s="77">
        <v>2</v>
      </c>
      <c r="C35" s="77">
        <v>3</v>
      </c>
      <c r="D35" s="77">
        <v>4</v>
      </c>
      <c r="E35" s="77">
        <v>5</v>
      </c>
      <c r="F35" s="83">
        <v>6</v>
      </c>
    </row>
    <row r="36" spans="1:6" ht="15.75" thickTop="1" x14ac:dyDescent="0.25">
      <c r="A36" s="84">
        <v>1</v>
      </c>
      <c r="B36" s="7" t="s">
        <v>18</v>
      </c>
      <c r="C36" s="150">
        <f>jagung!O9</f>
        <v>47</v>
      </c>
      <c r="D36" s="151">
        <f>jagung!O42</f>
        <v>1</v>
      </c>
      <c r="E36" s="150">
        <f>jagung!O75</f>
        <v>0</v>
      </c>
      <c r="F36" s="154">
        <f>jagung!O108</f>
        <v>0</v>
      </c>
    </row>
    <row r="37" spans="1:6" x14ac:dyDescent="0.25">
      <c r="A37" s="85">
        <v>2</v>
      </c>
      <c r="B37" s="12" t="s">
        <v>19</v>
      </c>
      <c r="C37" s="89">
        <f>jagung!O10</f>
        <v>27</v>
      </c>
      <c r="D37" s="143">
        <f>jagung!O43</f>
        <v>2</v>
      </c>
      <c r="E37" s="89">
        <f>jagung!O76</f>
        <v>0</v>
      </c>
      <c r="F37" s="120">
        <f>jagung!O109</f>
        <v>0</v>
      </c>
    </row>
    <row r="38" spans="1:6" x14ac:dyDescent="0.25">
      <c r="A38" s="85">
        <v>3</v>
      </c>
      <c r="B38" s="7" t="s">
        <v>20</v>
      </c>
      <c r="C38" s="89">
        <f>jagung!O11</f>
        <v>70</v>
      </c>
      <c r="D38" s="143">
        <f>jagung!O44</f>
        <v>50</v>
      </c>
      <c r="E38" s="89">
        <f>jagung!O77</f>
        <v>15</v>
      </c>
      <c r="F38" s="120">
        <f>jagung!O110</f>
        <v>30.78</v>
      </c>
    </row>
    <row r="39" spans="1:6" x14ac:dyDescent="0.25">
      <c r="A39" s="86">
        <v>4</v>
      </c>
      <c r="B39" s="15" t="s">
        <v>21</v>
      </c>
      <c r="C39" s="89">
        <f>jagung!O12</f>
        <v>6</v>
      </c>
      <c r="D39" s="143">
        <f>jagung!O45</f>
        <v>2</v>
      </c>
      <c r="E39" s="89">
        <f>jagung!O78</f>
        <v>6</v>
      </c>
      <c r="F39" s="120">
        <f>jagung!O111</f>
        <v>30</v>
      </c>
    </row>
    <row r="40" spans="1:6" x14ac:dyDescent="0.25">
      <c r="A40" s="86">
        <v>5</v>
      </c>
      <c r="B40" s="19" t="s">
        <v>22</v>
      </c>
      <c r="C40" s="89">
        <f>jagung!O13</f>
        <v>37</v>
      </c>
      <c r="D40" s="143">
        <f>jagung!O46</f>
        <v>10</v>
      </c>
      <c r="E40" s="89">
        <f>jagung!O79</f>
        <v>34.6</v>
      </c>
      <c r="F40" s="120">
        <f>jagung!O112</f>
        <v>34.6</v>
      </c>
    </row>
    <row r="41" spans="1:6" x14ac:dyDescent="0.25">
      <c r="A41" s="86">
        <v>6</v>
      </c>
      <c r="B41" s="19" t="s">
        <v>23</v>
      </c>
      <c r="C41" s="89">
        <f>jagung!O14</f>
        <v>15</v>
      </c>
      <c r="D41" s="143">
        <f>jagung!O47</f>
        <v>0</v>
      </c>
      <c r="E41" s="89">
        <f>jagung!O80</f>
        <v>0</v>
      </c>
      <c r="F41" s="120">
        <f>jagung!O113</f>
        <v>0</v>
      </c>
    </row>
    <row r="42" spans="1:6" x14ac:dyDescent="0.25">
      <c r="A42" s="86">
        <v>7</v>
      </c>
      <c r="B42" s="19" t="s">
        <v>24</v>
      </c>
      <c r="C42" s="89">
        <f>jagung!O15</f>
        <v>3</v>
      </c>
      <c r="D42" s="143">
        <f>jagung!O48</f>
        <v>0</v>
      </c>
      <c r="E42" s="89">
        <f>jagung!O81</f>
        <v>0</v>
      </c>
      <c r="F42" s="120">
        <f>jagung!O114</f>
        <v>0</v>
      </c>
    </row>
    <row r="43" spans="1:6" ht="15.75" thickBot="1" x14ac:dyDescent="0.3">
      <c r="A43" s="87">
        <v>8</v>
      </c>
      <c r="B43" s="15" t="s">
        <v>25</v>
      </c>
      <c r="C43" s="90">
        <f>jagung!O16</f>
        <v>24</v>
      </c>
      <c r="D43" s="145">
        <f>jagung!O49</f>
        <v>3</v>
      </c>
      <c r="E43" s="90">
        <f>jagung!O82</f>
        <v>3</v>
      </c>
      <c r="F43" s="156">
        <f>jagung!O115</f>
        <v>29.3</v>
      </c>
    </row>
    <row r="44" spans="1:6" ht="16.5" thickTop="1" thickBot="1" x14ac:dyDescent="0.3">
      <c r="A44" s="373" t="s">
        <v>26</v>
      </c>
      <c r="B44" s="374"/>
      <c r="C44" s="91">
        <f>SUM(C36:C43)</f>
        <v>229</v>
      </c>
      <c r="D44" s="91">
        <f>SUM(D36:D43)</f>
        <v>68</v>
      </c>
      <c r="E44" s="91">
        <f>SUM(E36:E43)</f>
        <v>58.6</v>
      </c>
      <c r="F44" s="155">
        <f>jagung!O116</f>
        <v>31.169999999999998</v>
      </c>
    </row>
    <row r="45" spans="1:6" x14ac:dyDescent="0.25">
      <c r="A45" s="99" t="s">
        <v>75</v>
      </c>
      <c r="C45" s="97"/>
      <c r="D45" s="97"/>
      <c r="E45" s="97"/>
      <c r="F45" s="98"/>
    </row>
    <row r="46" spans="1:6" x14ac:dyDescent="0.25">
      <c r="A46" s="96"/>
      <c r="B46" s="96"/>
      <c r="C46" s="97"/>
      <c r="D46" s="97"/>
      <c r="E46" s="97"/>
      <c r="F46" s="98"/>
    </row>
    <row r="47" spans="1:6" x14ac:dyDescent="0.25">
      <c r="A47" s="96"/>
      <c r="B47" s="96"/>
      <c r="C47" s="97"/>
      <c r="D47" s="97"/>
      <c r="E47" s="97"/>
      <c r="F47" s="98"/>
    </row>
    <row r="48" spans="1:6" x14ac:dyDescent="0.25">
      <c r="A48" s="96"/>
      <c r="B48" s="96"/>
      <c r="C48" s="97"/>
      <c r="D48" s="97"/>
      <c r="E48" s="97"/>
      <c r="F48" s="98"/>
    </row>
    <row r="49" spans="1:6" x14ac:dyDescent="0.25">
      <c r="A49" s="96"/>
      <c r="B49" s="96"/>
      <c r="C49" s="97"/>
      <c r="D49" s="97"/>
      <c r="E49" s="97"/>
      <c r="F49" s="98"/>
    </row>
    <row r="50" spans="1:6" x14ac:dyDescent="0.25">
      <c r="A50" s="96"/>
      <c r="B50" s="96"/>
      <c r="C50" s="97"/>
      <c r="D50" s="97"/>
      <c r="E50" s="97"/>
      <c r="F50" s="98"/>
    </row>
    <row r="51" spans="1:6" x14ac:dyDescent="0.25">
      <c r="A51" s="96"/>
      <c r="B51" s="96"/>
      <c r="C51" s="97"/>
      <c r="D51" s="97"/>
      <c r="E51" s="97"/>
      <c r="F51" s="98"/>
    </row>
    <row r="53" spans="1:6" ht="15.75" thickBot="1" x14ac:dyDescent="0.3">
      <c r="A53" s="76" t="s">
        <v>69</v>
      </c>
    </row>
    <row r="54" spans="1:6" x14ac:dyDescent="0.25">
      <c r="A54" s="375" t="s">
        <v>2</v>
      </c>
      <c r="B54" s="377" t="s">
        <v>3</v>
      </c>
      <c r="C54" s="78" t="s">
        <v>63</v>
      </c>
      <c r="D54" s="78" t="s">
        <v>64</v>
      </c>
      <c r="E54" s="78" t="s">
        <v>65</v>
      </c>
      <c r="F54" s="79" t="s">
        <v>62</v>
      </c>
    </row>
    <row r="55" spans="1:6" x14ac:dyDescent="0.25">
      <c r="A55" s="376"/>
      <c r="B55" s="363"/>
      <c r="C55" s="80" t="s">
        <v>1</v>
      </c>
      <c r="D55" s="80" t="s">
        <v>1</v>
      </c>
      <c r="E55" s="80" t="s">
        <v>29</v>
      </c>
      <c r="F55" s="81" t="s">
        <v>31</v>
      </c>
    </row>
    <row r="56" spans="1:6" ht="15.75" thickBot="1" x14ac:dyDescent="0.3">
      <c r="A56" s="82">
        <v>1</v>
      </c>
      <c r="B56" s="77">
        <v>2</v>
      </c>
      <c r="C56" s="77">
        <v>3</v>
      </c>
      <c r="D56" s="77">
        <v>4</v>
      </c>
      <c r="E56" s="77">
        <v>5</v>
      </c>
      <c r="F56" s="83">
        <v>6</v>
      </c>
    </row>
    <row r="57" spans="1:6" ht="15.75" thickTop="1" x14ac:dyDescent="0.25">
      <c r="A57" s="84">
        <v>1</v>
      </c>
      <c r="B57" s="7" t="s">
        <v>18</v>
      </c>
      <c r="C57" s="150">
        <f>kedelai!O9</f>
        <v>0</v>
      </c>
      <c r="D57" s="151">
        <f>kedelai!O42</f>
        <v>0</v>
      </c>
      <c r="E57" s="151">
        <f>kedelai!O75</f>
        <v>0</v>
      </c>
      <c r="F57" s="152">
        <f>kedelai!O108</f>
        <v>0</v>
      </c>
    </row>
    <row r="58" spans="1:6" x14ac:dyDescent="0.25">
      <c r="A58" s="85">
        <v>2</v>
      </c>
      <c r="B58" s="12" t="s">
        <v>19</v>
      </c>
      <c r="C58" s="89">
        <f>kedelai!O10</f>
        <v>0</v>
      </c>
      <c r="D58" s="143">
        <f>kedelai!O43</f>
        <v>0</v>
      </c>
      <c r="E58" s="143">
        <f>kedelai!O76</f>
        <v>0</v>
      </c>
      <c r="F58" s="144">
        <f>kedelai!O109</f>
        <v>0</v>
      </c>
    </row>
    <row r="59" spans="1:6" x14ac:dyDescent="0.25">
      <c r="A59" s="85">
        <v>3</v>
      </c>
      <c r="B59" s="7" t="s">
        <v>20</v>
      </c>
      <c r="C59" s="89">
        <f>kedelai!O11</f>
        <v>0</v>
      </c>
      <c r="D59" s="143">
        <f>kedelai!O44</f>
        <v>0</v>
      </c>
      <c r="E59" s="143">
        <f>kedelai!O77</f>
        <v>0</v>
      </c>
      <c r="F59" s="144">
        <f>kedelai!O110</f>
        <v>0</v>
      </c>
    </row>
    <row r="60" spans="1:6" x14ac:dyDescent="0.25">
      <c r="A60" s="86">
        <v>4</v>
      </c>
      <c r="B60" s="15" t="s">
        <v>21</v>
      </c>
      <c r="C60" s="89">
        <f>kedelai!O12</f>
        <v>0</v>
      </c>
      <c r="D60" s="143">
        <f>kedelai!O45</f>
        <v>0</v>
      </c>
      <c r="E60" s="143">
        <f>kedelai!O78</f>
        <v>0</v>
      </c>
      <c r="F60" s="144">
        <f>kedelai!O111</f>
        <v>0</v>
      </c>
    </row>
    <row r="61" spans="1:6" x14ac:dyDescent="0.25">
      <c r="A61" s="86">
        <v>5</v>
      </c>
      <c r="B61" s="19" t="s">
        <v>22</v>
      </c>
      <c r="C61" s="89">
        <f>kedelai!O13</f>
        <v>0</v>
      </c>
      <c r="D61" s="143">
        <f>kedelai!O46</f>
        <v>0</v>
      </c>
      <c r="E61" s="143">
        <f>kedelai!O79</f>
        <v>0</v>
      </c>
      <c r="F61" s="144">
        <f>kedelai!O112</f>
        <v>0</v>
      </c>
    </row>
    <row r="62" spans="1:6" x14ac:dyDescent="0.25">
      <c r="A62" s="86">
        <v>6</v>
      </c>
      <c r="B62" s="19" t="s">
        <v>23</v>
      </c>
      <c r="C62" s="89">
        <f>kedelai!O14</f>
        <v>0</v>
      </c>
      <c r="D62" s="143">
        <f>kedelai!O47</f>
        <v>0</v>
      </c>
      <c r="E62" s="143">
        <f>kedelai!O80</f>
        <v>0</v>
      </c>
      <c r="F62" s="144">
        <f>kedelai!O113</f>
        <v>0</v>
      </c>
    </row>
    <row r="63" spans="1:6" x14ac:dyDescent="0.25">
      <c r="A63" s="86">
        <v>7</v>
      </c>
      <c r="B63" s="19" t="s">
        <v>24</v>
      </c>
      <c r="C63" s="89">
        <f>kedelai!O15</f>
        <v>0</v>
      </c>
      <c r="D63" s="143">
        <f>kedelai!O48</f>
        <v>0</v>
      </c>
      <c r="E63" s="143">
        <f>kedelai!O81</f>
        <v>0</v>
      </c>
      <c r="F63" s="144">
        <f>kedelai!O114</f>
        <v>0</v>
      </c>
    </row>
    <row r="64" spans="1:6" ht="15.75" thickBot="1" x14ac:dyDescent="0.3">
      <c r="A64" s="87">
        <v>8</v>
      </c>
      <c r="B64" s="15" t="s">
        <v>25</v>
      </c>
      <c r="C64" s="90">
        <f>kedelai!O16</f>
        <v>0</v>
      </c>
      <c r="D64" s="145">
        <f>kedelai!O49</f>
        <v>0</v>
      </c>
      <c r="E64" s="145">
        <f>kedelai!O82</f>
        <v>0</v>
      </c>
      <c r="F64" s="146">
        <f>kedelai!O115</f>
        <v>0</v>
      </c>
    </row>
    <row r="65" spans="1:6" ht="16.5" thickTop="1" thickBot="1" x14ac:dyDescent="0.3">
      <c r="A65" s="373" t="s">
        <v>26</v>
      </c>
      <c r="B65" s="374"/>
      <c r="C65" s="91">
        <f>SUM(C57:C64)</f>
        <v>0</v>
      </c>
      <c r="D65" s="91">
        <f>SUM(D57:D64)</f>
        <v>0</v>
      </c>
      <c r="E65" s="91">
        <f>SUM(E57:E64)</f>
        <v>0</v>
      </c>
      <c r="F65" s="153">
        <f>kedelai!O116</f>
        <v>0</v>
      </c>
    </row>
    <row r="67" spans="1:6" ht="15.75" thickBot="1" x14ac:dyDescent="0.3">
      <c r="A67" s="76" t="s">
        <v>70</v>
      </c>
    </row>
    <row r="68" spans="1:6" x14ac:dyDescent="0.25">
      <c r="A68" s="375" t="s">
        <v>2</v>
      </c>
      <c r="B68" s="377" t="s">
        <v>3</v>
      </c>
      <c r="C68" s="78" t="s">
        <v>63</v>
      </c>
      <c r="D68" s="78" t="s">
        <v>64</v>
      </c>
      <c r="E68" s="78" t="s">
        <v>65</v>
      </c>
      <c r="F68" s="79" t="s">
        <v>62</v>
      </c>
    </row>
    <row r="69" spans="1:6" x14ac:dyDescent="0.25">
      <c r="A69" s="376"/>
      <c r="B69" s="363"/>
      <c r="C69" s="80" t="s">
        <v>1</v>
      </c>
      <c r="D69" s="80" t="s">
        <v>1</v>
      </c>
      <c r="E69" s="80" t="s">
        <v>29</v>
      </c>
      <c r="F69" s="81" t="s">
        <v>31</v>
      </c>
    </row>
    <row r="70" spans="1:6" ht="15.75" thickBot="1" x14ac:dyDescent="0.3">
      <c r="A70" s="82">
        <v>1</v>
      </c>
      <c r="B70" s="77">
        <v>2</v>
      </c>
      <c r="C70" s="77">
        <v>3</v>
      </c>
      <c r="D70" s="77">
        <v>4</v>
      </c>
      <c r="E70" s="77">
        <v>5</v>
      </c>
      <c r="F70" s="83">
        <v>6</v>
      </c>
    </row>
    <row r="71" spans="1:6" ht="15.75" thickTop="1" x14ac:dyDescent="0.25">
      <c r="A71" s="84">
        <v>1</v>
      </c>
      <c r="B71" s="7" t="s">
        <v>18</v>
      </c>
      <c r="C71" s="147">
        <f>'kc tanah'!O9</f>
        <v>235</v>
      </c>
      <c r="D71" s="148">
        <f>'kc tanah'!O42</f>
        <v>346</v>
      </c>
      <c r="E71" s="148">
        <f>'kc tanah'!O75</f>
        <v>271</v>
      </c>
      <c r="F71" s="149">
        <f>'kc tanah'!O108</f>
        <v>7.8323699421965323</v>
      </c>
    </row>
    <row r="72" spans="1:6" x14ac:dyDescent="0.25">
      <c r="A72" s="85">
        <v>2</v>
      </c>
      <c r="B72" s="12" t="s">
        <v>19</v>
      </c>
      <c r="C72" s="89">
        <f>'kc tanah'!O10</f>
        <v>296</v>
      </c>
      <c r="D72" s="143">
        <f>'kc tanah'!O43</f>
        <v>296</v>
      </c>
      <c r="E72" s="143">
        <f>'kc tanah'!O76</f>
        <v>195</v>
      </c>
      <c r="F72" s="144">
        <f>'kc tanah'!O109</f>
        <v>6.5878378378378377</v>
      </c>
    </row>
    <row r="73" spans="1:6" x14ac:dyDescent="0.25">
      <c r="A73" s="85">
        <v>3</v>
      </c>
      <c r="B73" s="7" t="s">
        <v>20</v>
      </c>
      <c r="C73" s="89">
        <f>'kc tanah'!O11</f>
        <v>527.5</v>
      </c>
      <c r="D73" s="143">
        <f>'kc tanah'!O44</f>
        <v>577.5</v>
      </c>
      <c r="E73" s="143">
        <f>'kc tanah'!O77</f>
        <v>684.4</v>
      </c>
      <c r="F73" s="144">
        <f>'kc tanah'!O110</f>
        <v>11.85108225108225</v>
      </c>
    </row>
    <row r="74" spans="1:6" x14ac:dyDescent="0.25">
      <c r="A74" s="86">
        <v>4</v>
      </c>
      <c r="B74" s="15" t="s">
        <v>21</v>
      </c>
      <c r="C74" s="89">
        <f>'kc tanah'!O12</f>
        <v>245</v>
      </c>
      <c r="D74" s="143">
        <f>'kc tanah'!O45</f>
        <v>228</v>
      </c>
      <c r="E74" s="143">
        <f>'kc tanah'!O78</f>
        <v>207</v>
      </c>
      <c r="F74" s="144">
        <f>'kc tanah'!O111</f>
        <v>9.0789473684210531</v>
      </c>
    </row>
    <row r="75" spans="1:6" x14ac:dyDescent="0.25">
      <c r="A75" s="86">
        <v>5</v>
      </c>
      <c r="B75" s="19" t="s">
        <v>22</v>
      </c>
      <c r="C75" s="89">
        <f>'kc tanah'!O13</f>
        <v>390</v>
      </c>
      <c r="D75" s="143">
        <f>'kc tanah'!O46</f>
        <v>386</v>
      </c>
      <c r="E75" s="143">
        <f>'kc tanah'!O79</f>
        <v>376</v>
      </c>
      <c r="F75" s="144">
        <f>'kc tanah'!O112</f>
        <v>9.7409326424870475</v>
      </c>
    </row>
    <row r="76" spans="1:6" x14ac:dyDescent="0.25">
      <c r="A76" s="86">
        <v>6</v>
      </c>
      <c r="B76" s="19" t="s">
        <v>23</v>
      </c>
      <c r="C76" s="89">
        <f>'kc tanah'!O14</f>
        <v>170</v>
      </c>
      <c r="D76" s="143">
        <f>'kc tanah'!O47</f>
        <v>105</v>
      </c>
      <c r="E76" s="143">
        <f>'kc tanah'!O80</f>
        <v>75</v>
      </c>
      <c r="F76" s="144">
        <f>'kc tanah'!O113</f>
        <v>7.1428571428571432</v>
      </c>
    </row>
    <row r="77" spans="1:6" x14ac:dyDescent="0.25">
      <c r="A77" s="86">
        <v>7</v>
      </c>
      <c r="B77" s="19" t="s">
        <v>24</v>
      </c>
      <c r="C77" s="89">
        <f>'kc tanah'!O15</f>
        <v>2</v>
      </c>
      <c r="D77" s="143">
        <f>'kc tanah'!O48</f>
        <v>2</v>
      </c>
      <c r="E77" s="143">
        <f>'kc tanah'!O81</f>
        <v>1.1000000000000001</v>
      </c>
      <c r="F77" s="144">
        <f>'kc tanah'!O114</f>
        <v>5.5</v>
      </c>
    </row>
    <row r="78" spans="1:6" ht="15.75" thickBot="1" x14ac:dyDescent="0.3">
      <c r="A78" s="87">
        <v>8</v>
      </c>
      <c r="B78" s="15" t="s">
        <v>25</v>
      </c>
      <c r="C78" s="90">
        <f>'kc tanah'!O16</f>
        <v>496</v>
      </c>
      <c r="D78" s="145">
        <f>'kc tanah'!O49</f>
        <v>588</v>
      </c>
      <c r="E78" s="145">
        <f>'kc tanah'!O82</f>
        <v>476</v>
      </c>
      <c r="F78" s="146">
        <f>'kc tanah'!O115</f>
        <v>8.0952380952380949</v>
      </c>
    </row>
    <row r="79" spans="1:6" ht="16.5" thickTop="1" thickBot="1" x14ac:dyDescent="0.3">
      <c r="A79" s="373" t="s">
        <v>26</v>
      </c>
      <c r="B79" s="374"/>
      <c r="C79" s="91">
        <f>SUM(C71:C78)</f>
        <v>2361.5</v>
      </c>
      <c r="D79" s="91">
        <f>SUM(D71:D78)</f>
        <v>2528.5</v>
      </c>
      <c r="E79" s="91">
        <f>SUM(E71:E78)</f>
        <v>2285.5</v>
      </c>
      <c r="F79" s="94">
        <f>E79/D79*10</f>
        <v>9.038955902709116</v>
      </c>
    </row>
    <row r="81" spans="1:6" ht="15.75" thickBot="1" x14ac:dyDescent="0.3">
      <c r="A81" s="76" t="s">
        <v>71</v>
      </c>
    </row>
    <row r="82" spans="1:6" x14ac:dyDescent="0.25">
      <c r="A82" s="375" t="s">
        <v>2</v>
      </c>
      <c r="B82" s="377" t="s">
        <v>3</v>
      </c>
      <c r="C82" s="78" t="s">
        <v>63</v>
      </c>
      <c r="D82" s="78" t="s">
        <v>64</v>
      </c>
      <c r="E82" s="78" t="s">
        <v>65</v>
      </c>
      <c r="F82" s="79" t="s">
        <v>62</v>
      </c>
    </row>
    <row r="83" spans="1:6" x14ac:dyDescent="0.25">
      <c r="A83" s="376"/>
      <c r="B83" s="363"/>
      <c r="C83" s="80" t="s">
        <v>1</v>
      </c>
      <c r="D83" s="80" t="s">
        <v>1</v>
      </c>
      <c r="E83" s="80" t="s">
        <v>29</v>
      </c>
      <c r="F83" s="81" t="s">
        <v>31</v>
      </c>
    </row>
    <row r="84" spans="1:6" ht="15.75" thickBot="1" x14ac:dyDescent="0.3">
      <c r="A84" s="82">
        <v>1</v>
      </c>
      <c r="B84" s="77">
        <v>2</v>
      </c>
      <c r="C84" s="77">
        <v>3</v>
      </c>
      <c r="D84" s="77">
        <v>4</v>
      </c>
      <c r="E84" s="77">
        <v>5</v>
      </c>
      <c r="F84" s="83">
        <v>6</v>
      </c>
    </row>
    <row r="85" spans="1:6" ht="15.75" thickTop="1" x14ac:dyDescent="0.25">
      <c r="A85" s="84">
        <v>1</v>
      </c>
      <c r="B85" s="7" t="s">
        <v>18</v>
      </c>
      <c r="C85" s="147">
        <f>'ubi kayu'!O9</f>
        <v>3</v>
      </c>
      <c r="D85" s="148">
        <f>'ubi kayu'!O41</f>
        <v>7</v>
      </c>
      <c r="E85" s="148">
        <f>'ubi kayu'!O75</f>
        <v>63</v>
      </c>
      <c r="F85" s="149">
        <f>'ubi kayu'!O103</f>
        <v>90</v>
      </c>
    </row>
    <row r="86" spans="1:6" x14ac:dyDescent="0.25">
      <c r="A86" s="85">
        <v>2</v>
      </c>
      <c r="B86" s="12" t="s">
        <v>19</v>
      </c>
      <c r="C86" s="89">
        <f>'ubi kayu'!O10</f>
        <v>4</v>
      </c>
      <c r="D86" s="143">
        <f>'ubi kayu'!O42</f>
        <v>4</v>
      </c>
      <c r="E86" s="143">
        <f>'ubi kayu'!O76</f>
        <v>57</v>
      </c>
      <c r="F86" s="144">
        <f>'ubi kayu'!O104</f>
        <v>0</v>
      </c>
    </row>
    <row r="87" spans="1:6" x14ac:dyDescent="0.25">
      <c r="A87" s="85">
        <v>3</v>
      </c>
      <c r="B87" s="7" t="s">
        <v>20</v>
      </c>
      <c r="C87" s="89">
        <f>'ubi kayu'!O11</f>
        <v>6</v>
      </c>
      <c r="D87" s="143">
        <f>'ubi kayu'!O43</f>
        <v>9</v>
      </c>
      <c r="E87" s="143">
        <f>'ubi kayu'!O77</f>
        <v>106</v>
      </c>
      <c r="F87" s="144">
        <f>'ubi kayu'!O105</f>
        <v>0</v>
      </c>
    </row>
    <row r="88" spans="1:6" x14ac:dyDescent="0.25">
      <c r="A88" s="86">
        <v>4</v>
      </c>
      <c r="B88" s="15" t="s">
        <v>21</v>
      </c>
      <c r="C88" s="89">
        <f>'ubi kayu'!O12</f>
        <v>2</v>
      </c>
      <c r="D88" s="143">
        <f>'ubi kayu'!O44</f>
        <v>4</v>
      </c>
      <c r="E88" s="143">
        <f>'ubi kayu'!O78</f>
        <v>30</v>
      </c>
      <c r="F88" s="144">
        <f>'ubi kayu'!O106</f>
        <v>75</v>
      </c>
    </row>
    <row r="89" spans="1:6" x14ac:dyDescent="0.25">
      <c r="A89" s="86">
        <v>5</v>
      </c>
      <c r="B89" s="19" t="s">
        <v>22</v>
      </c>
      <c r="C89" s="89">
        <f>'ubi kayu'!O13</f>
        <v>15</v>
      </c>
      <c r="D89" s="143">
        <f>'ubi kayu'!O45</f>
        <v>8</v>
      </c>
      <c r="E89" s="143">
        <f>'ubi kayu'!O79</f>
        <v>67</v>
      </c>
      <c r="F89" s="144">
        <f>'ubi kayu'!O107</f>
        <v>83.75</v>
      </c>
    </row>
    <row r="90" spans="1:6" x14ac:dyDescent="0.25">
      <c r="A90" s="86">
        <v>6</v>
      </c>
      <c r="B90" s="19" t="s">
        <v>23</v>
      </c>
      <c r="C90" s="89">
        <f>'ubi kayu'!O14</f>
        <v>5</v>
      </c>
      <c r="D90" s="143">
        <f>'ubi kayu'!O46</f>
        <v>5</v>
      </c>
      <c r="E90" s="143">
        <f>'ubi kayu'!O80</f>
        <v>58</v>
      </c>
      <c r="F90" s="144">
        <f>'ubi kayu'!O108</f>
        <v>116</v>
      </c>
    </row>
    <row r="91" spans="1:6" x14ac:dyDescent="0.25">
      <c r="A91" s="86">
        <v>7</v>
      </c>
      <c r="B91" s="19" t="s">
        <v>24</v>
      </c>
      <c r="C91" s="89">
        <f>'ubi kayu'!O15</f>
        <v>2</v>
      </c>
      <c r="D91" s="143">
        <f>'ubi kayu'!O47</f>
        <v>1</v>
      </c>
      <c r="E91" s="143">
        <f>'ubi kayu'!O81</f>
        <v>15</v>
      </c>
      <c r="F91" s="144">
        <f>'ubi kayu'!O109</f>
        <v>0</v>
      </c>
    </row>
    <row r="92" spans="1:6" ht="15.75" thickBot="1" x14ac:dyDescent="0.3">
      <c r="A92" s="87">
        <v>8</v>
      </c>
      <c r="B92" s="15" t="s">
        <v>25</v>
      </c>
      <c r="C92" s="90">
        <f>'ubi kayu'!O16</f>
        <v>4</v>
      </c>
      <c r="D92" s="145">
        <f>'ubi kayu'!O48</f>
        <v>7</v>
      </c>
      <c r="E92" s="145">
        <f>'ubi kayu'!O82</f>
        <v>69</v>
      </c>
      <c r="F92" s="146">
        <f>'ubi kayu'!O110</f>
        <v>0</v>
      </c>
    </row>
    <row r="93" spans="1:6" ht="16.5" thickTop="1" thickBot="1" x14ac:dyDescent="0.3">
      <c r="A93" s="373" t="s">
        <v>26</v>
      </c>
      <c r="B93" s="374"/>
      <c r="C93" s="91">
        <f>SUM(C85:C92)</f>
        <v>41</v>
      </c>
      <c r="D93" s="91">
        <f>SUM(D85:D92)</f>
        <v>45</v>
      </c>
      <c r="E93" s="91">
        <f>SUM(E85:E92)</f>
        <v>465</v>
      </c>
      <c r="F93" s="94">
        <f>E93/D93*10</f>
        <v>103.33333333333334</v>
      </c>
    </row>
    <row r="104" spans="1:6" ht="15.75" thickBot="1" x14ac:dyDescent="0.3">
      <c r="A104" s="76" t="s">
        <v>72</v>
      </c>
    </row>
    <row r="105" spans="1:6" x14ac:dyDescent="0.25">
      <c r="A105" s="375" t="s">
        <v>2</v>
      </c>
      <c r="B105" s="377" t="s">
        <v>3</v>
      </c>
      <c r="C105" s="78" t="s">
        <v>63</v>
      </c>
      <c r="D105" s="78" t="s">
        <v>64</v>
      </c>
      <c r="E105" s="78" t="s">
        <v>65</v>
      </c>
      <c r="F105" s="79" t="s">
        <v>62</v>
      </c>
    </row>
    <row r="106" spans="1:6" x14ac:dyDescent="0.25">
      <c r="A106" s="376"/>
      <c r="B106" s="363"/>
      <c r="C106" s="80" t="s">
        <v>1</v>
      </c>
      <c r="D106" s="80" t="s">
        <v>1</v>
      </c>
      <c r="E106" s="80" t="s">
        <v>29</v>
      </c>
      <c r="F106" s="81" t="s">
        <v>31</v>
      </c>
    </row>
    <row r="107" spans="1:6" ht="15.75" thickBot="1" x14ac:dyDescent="0.3">
      <c r="A107" s="82">
        <v>1</v>
      </c>
      <c r="B107" s="77">
        <v>2</v>
      </c>
      <c r="C107" s="77">
        <v>3</v>
      </c>
      <c r="D107" s="77">
        <v>4</v>
      </c>
      <c r="E107" s="77">
        <v>5</v>
      </c>
      <c r="F107" s="83">
        <v>6</v>
      </c>
    </row>
    <row r="108" spans="1:6" ht="15.75" thickTop="1" x14ac:dyDescent="0.25">
      <c r="A108" s="84">
        <v>1</v>
      </c>
      <c r="B108" s="7" t="s">
        <v>18</v>
      </c>
      <c r="C108" s="147">
        <f>'ubi jalar'!O9</f>
        <v>3</v>
      </c>
      <c r="D108" s="148">
        <f>'ubi jalar'!O42</f>
        <v>5</v>
      </c>
      <c r="E108" s="148">
        <f>'ubi jalar'!O75</f>
        <v>45</v>
      </c>
      <c r="F108" s="149">
        <f>'ubi jalar'!O108</f>
        <v>90</v>
      </c>
    </row>
    <row r="109" spans="1:6" x14ac:dyDescent="0.25">
      <c r="A109" s="85">
        <v>2</v>
      </c>
      <c r="B109" s="12" t="s">
        <v>19</v>
      </c>
      <c r="C109" s="89">
        <f>'ubi jalar'!O10</f>
        <v>4</v>
      </c>
      <c r="D109" s="143">
        <f>'ubi jalar'!O43</f>
        <v>3</v>
      </c>
      <c r="E109" s="143">
        <f>'ubi jalar'!O76</f>
        <v>31</v>
      </c>
      <c r="F109" s="144">
        <f>'ubi jalar'!O109</f>
        <v>0</v>
      </c>
    </row>
    <row r="110" spans="1:6" x14ac:dyDescent="0.25">
      <c r="A110" s="85">
        <v>3</v>
      </c>
      <c r="B110" s="7" t="s">
        <v>20</v>
      </c>
      <c r="C110" s="89">
        <f>'ubi jalar'!O11</f>
        <v>0</v>
      </c>
      <c r="D110" s="143">
        <f>'ubi jalar'!O44</f>
        <v>0</v>
      </c>
      <c r="E110" s="143">
        <f>'ubi jalar'!O77</f>
        <v>0</v>
      </c>
      <c r="F110" s="144">
        <f>'ubi jalar'!O110</f>
        <v>0</v>
      </c>
    </row>
    <row r="111" spans="1:6" x14ac:dyDescent="0.25">
      <c r="A111" s="86">
        <v>4</v>
      </c>
      <c r="B111" s="15" t="s">
        <v>21</v>
      </c>
      <c r="C111" s="89">
        <f>'ubi jalar'!O12</f>
        <v>3</v>
      </c>
      <c r="D111" s="143">
        <f>'ubi jalar'!O45</f>
        <v>3</v>
      </c>
      <c r="E111" s="143">
        <f>'ubi jalar'!O78</f>
        <v>19</v>
      </c>
      <c r="F111" s="144">
        <f>'ubi jalar'!O111</f>
        <v>63.333333333333329</v>
      </c>
    </row>
    <row r="112" spans="1:6" x14ac:dyDescent="0.25">
      <c r="A112" s="86">
        <v>5</v>
      </c>
      <c r="B112" s="19" t="s">
        <v>22</v>
      </c>
      <c r="C112" s="89">
        <f>'ubi jalar'!O13</f>
        <v>3</v>
      </c>
      <c r="D112" s="143">
        <f>'ubi jalar'!O46</f>
        <v>3</v>
      </c>
      <c r="E112" s="143">
        <f>'ubi jalar'!O79</f>
        <v>25</v>
      </c>
      <c r="F112" s="144">
        <f>'ubi jalar'!O112</f>
        <v>83.333333333333343</v>
      </c>
    </row>
    <row r="113" spans="1:6" x14ac:dyDescent="0.25">
      <c r="A113" s="86">
        <v>6</v>
      </c>
      <c r="B113" s="19" t="s">
        <v>23</v>
      </c>
      <c r="C113" s="89">
        <f>'ubi jalar'!O14</f>
        <v>4</v>
      </c>
      <c r="D113" s="143">
        <f>'ubi jalar'!O47</f>
        <v>2</v>
      </c>
      <c r="E113" s="143">
        <f>'ubi jalar'!O80</f>
        <v>19</v>
      </c>
      <c r="F113" s="144">
        <f>'ubi jalar'!O113</f>
        <v>0</v>
      </c>
    </row>
    <row r="114" spans="1:6" x14ac:dyDescent="0.25">
      <c r="A114" s="86">
        <v>7</v>
      </c>
      <c r="B114" s="19" t="s">
        <v>24</v>
      </c>
      <c r="C114" s="89">
        <f>'ubi jalar'!O15</f>
        <v>2</v>
      </c>
      <c r="D114" s="143">
        <f>'ubi jalar'!O48</f>
        <v>1</v>
      </c>
      <c r="E114" s="143">
        <f>'ubi jalar'!O81</f>
        <v>8</v>
      </c>
      <c r="F114" s="144">
        <f>'ubi jalar'!O114</f>
        <v>0</v>
      </c>
    </row>
    <row r="115" spans="1:6" ht="15.75" thickBot="1" x14ac:dyDescent="0.3">
      <c r="A115" s="87">
        <v>8</v>
      </c>
      <c r="B115" s="15" t="s">
        <v>25</v>
      </c>
      <c r="C115" s="90">
        <f>'ubi jalar'!O16</f>
        <v>1</v>
      </c>
      <c r="D115" s="145">
        <f>'ubi jalar'!O49</f>
        <v>2</v>
      </c>
      <c r="E115" s="145">
        <f>'ubi jalar'!O82</f>
        <v>15</v>
      </c>
      <c r="F115" s="146">
        <f>'ubi jalar'!O115</f>
        <v>75</v>
      </c>
    </row>
    <row r="116" spans="1:6" ht="16.5" thickTop="1" thickBot="1" x14ac:dyDescent="0.3">
      <c r="A116" s="373" t="s">
        <v>26</v>
      </c>
      <c r="B116" s="374"/>
      <c r="C116" s="91">
        <f>SUM(C108:C115)</f>
        <v>20</v>
      </c>
      <c r="D116" s="91">
        <f>SUM(D108:D115)</f>
        <v>19</v>
      </c>
      <c r="E116" s="91">
        <f>SUM(E108:E115)</f>
        <v>162</v>
      </c>
      <c r="F116" s="94">
        <f>E116/D116*10</f>
        <v>85.26315789473685</v>
      </c>
    </row>
    <row r="118" spans="1:6" ht="15.75" thickBot="1" x14ac:dyDescent="0.3">
      <c r="A118" s="76" t="s">
        <v>73</v>
      </c>
    </row>
    <row r="119" spans="1:6" x14ac:dyDescent="0.25">
      <c r="A119" s="375" t="s">
        <v>2</v>
      </c>
      <c r="B119" s="377" t="s">
        <v>3</v>
      </c>
      <c r="C119" s="78" t="s">
        <v>63</v>
      </c>
      <c r="D119" s="78" t="s">
        <v>64</v>
      </c>
      <c r="E119" s="78" t="s">
        <v>65</v>
      </c>
      <c r="F119" s="79" t="s">
        <v>62</v>
      </c>
    </row>
    <row r="120" spans="1:6" x14ac:dyDescent="0.25">
      <c r="A120" s="376"/>
      <c r="B120" s="363"/>
      <c r="C120" s="80" t="s">
        <v>1</v>
      </c>
      <c r="D120" s="80" t="s">
        <v>1</v>
      </c>
      <c r="E120" s="80" t="s">
        <v>29</v>
      </c>
      <c r="F120" s="81" t="s">
        <v>31</v>
      </c>
    </row>
    <row r="121" spans="1:6" ht="15.75" thickBot="1" x14ac:dyDescent="0.3">
      <c r="A121" s="82">
        <v>1</v>
      </c>
      <c r="B121" s="77">
        <v>2</v>
      </c>
      <c r="C121" s="77">
        <v>3</v>
      </c>
      <c r="D121" s="77">
        <v>4</v>
      </c>
      <c r="E121" s="77">
        <v>5</v>
      </c>
      <c r="F121" s="83">
        <v>6</v>
      </c>
    </row>
    <row r="122" spans="1:6" ht="15.75" thickTop="1" x14ac:dyDescent="0.25">
      <c r="A122" s="84">
        <v>1</v>
      </c>
      <c r="B122" s="7" t="s">
        <v>18</v>
      </c>
      <c r="C122" s="88">
        <f>'kc ijo'!O9</f>
        <v>1</v>
      </c>
      <c r="D122" s="95">
        <f>'kc ijo'!O42</f>
        <v>2</v>
      </c>
      <c r="E122" s="95">
        <f>'kc ijo'!O75</f>
        <v>1</v>
      </c>
      <c r="F122" s="142">
        <f>'kc ijo'!O108</f>
        <v>5</v>
      </c>
    </row>
    <row r="123" spans="1:6" x14ac:dyDescent="0.25">
      <c r="A123" s="85">
        <v>2</v>
      </c>
      <c r="B123" s="12" t="s">
        <v>19</v>
      </c>
      <c r="C123" s="89">
        <f>'kc ijo'!O10</f>
        <v>1</v>
      </c>
      <c r="D123" s="143">
        <f>'kc ijo'!O43</f>
        <v>0</v>
      </c>
      <c r="E123" s="143">
        <f>'kc ijo'!O76</f>
        <v>0</v>
      </c>
      <c r="F123" s="144">
        <f>'kc ijo'!O109</f>
        <v>0</v>
      </c>
    </row>
    <row r="124" spans="1:6" x14ac:dyDescent="0.25">
      <c r="A124" s="85">
        <v>3</v>
      </c>
      <c r="B124" s="7" t="s">
        <v>20</v>
      </c>
      <c r="C124" s="89">
        <f>'kc ijo'!O11</f>
        <v>0</v>
      </c>
      <c r="D124" s="143">
        <f>'kc ijo'!O44</f>
        <v>0</v>
      </c>
      <c r="E124" s="143">
        <f>'kc ijo'!O77</f>
        <v>0</v>
      </c>
      <c r="F124" s="144">
        <f>'kc ijo'!O110</f>
        <v>0</v>
      </c>
    </row>
    <row r="125" spans="1:6" x14ac:dyDescent="0.25">
      <c r="A125" s="86">
        <v>4</v>
      </c>
      <c r="B125" s="15" t="s">
        <v>21</v>
      </c>
      <c r="C125" s="89">
        <f>'kc ijo'!O12</f>
        <v>34</v>
      </c>
      <c r="D125" s="143">
        <f>'kc ijo'!O45</f>
        <v>26</v>
      </c>
      <c r="E125" s="143">
        <f>'kc ijo'!O78</f>
        <v>16.759999999999998</v>
      </c>
      <c r="F125" s="144">
        <f>'kc ijo'!O111</f>
        <v>6.4461538461538463</v>
      </c>
    </row>
    <row r="126" spans="1:6" x14ac:dyDescent="0.25">
      <c r="A126" s="86">
        <v>5</v>
      </c>
      <c r="B126" s="19" t="s">
        <v>22</v>
      </c>
      <c r="C126" s="89">
        <f>'kc ijo'!O13</f>
        <v>3</v>
      </c>
      <c r="D126" s="143">
        <f>'kc ijo'!O46</f>
        <v>3</v>
      </c>
      <c r="E126" s="143">
        <f>'kc ijo'!O79</f>
        <v>1.7000000000000002</v>
      </c>
      <c r="F126" s="144">
        <f>'kc ijo'!O112</f>
        <v>5.6666666666666679</v>
      </c>
    </row>
    <row r="127" spans="1:6" x14ac:dyDescent="0.25">
      <c r="A127" s="86">
        <v>6</v>
      </c>
      <c r="B127" s="19" t="s">
        <v>23</v>
      </c>
      <c r="C127" s="89">
        <f>'kc ijo'!O14</f>
        <v>1</v>
      </c>
      <c r="D127" s="143">
        <f>'kc ijo'!O47</f>
        <v>0</v>
      </c>
      <c r="E127" s="143">
        <f>'kc ijo'!O80</f>
        <v>0</v>
      </c>
      <c r="F127" s="144">
        <f>'kc ijo'!O113</f>
        <v>0</v>
      </c>
    </row>
    <row r="128" spans="1:6" x14ac:dyDescent="0.25">
      <c r="A128" s="86">
        <v>7</v>
      </c>
      <c r="B128" s="19" t="s">
        <v>24</v>
      </c>
      <c r="C128" s="89">
        <f>'kc ijo'!O15</f>
        <v>1</v>
      </c>
      <c r="D128" s="143">
        <f>'kc ijo'!O48</f>
        <v>1</v>
      </c>
      <c r="E128" s="143">
        <f>'kc ijo'!O81</f>
        <v>0.5</v>
      </c>
      <c r="F128" s="144">
        <f>'kc ijo'!O114</f>
        <v>0</v>
      </c>
    </row>
    <row r="129" spans="1:6" ht="15.75" thickBot="1" x14ac:dyDescent="0.3">
      <c r="A129" s="87">
        <v>8</v>
      </c>
      <c r="B129" s="15" t="s">
        <v>25</v>
      </c>
      <c r="C129" s="90">
        <f>'kc ijo'!O16</f>
        <v>0.5</v>
      </c>
      <c r="D129" s="145">
        <f>'kc ijo'!O49</f>
        <v>0.5</v>
      </c>
      <c r="E129" s="145">
        <f>'kc ijo'!O82</f>
        <v>0.4</v>
      </c>
      <c r="F129" s="146">
        <f>'kc ijo'!O115</f>
        <v>8</v>
      </c>
    </row>
    <row r="130" spans="1:6" ht="16.5" thickTop="1" thickBot="1" x14ac:dyDescent="0.3">
      <c r="A130" s="373" t="s">
        <v>26</v>
      </c>
      <c r="B130" s="374"/>
      <c r="C130" s="91">
        <f>SUM(C122:C129)</f>
        <v>41.5</v>
      </c>
      <c r="D130" s="91">
        <f>SUM(D122:D129)</f>
        <v>32.5</v>
      </c>
      <c r="E130" s="91">
        <f>SUM(E122:E129)</f>
        <v>20.359999999999996</v>
      </c>
      <c r="F130" s="94">
        <f>E130/D130*10</f>
        <v>6.2646153846153831</v>
      </c>
    </row>
  </sheetData>
  <mergeCells count="24"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</mergeCells>
  <pageMargins left="1.04" right="0.51181102362204722" top="0.65" bottom="0.59055118110236227" header="0.31496062992125984" footer="0.31496062992125984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3"/>
  <sheetViews>
    <sheetView topLeftCell="A13" zoomScale="90" zoomScaleNormal="90" workbookViewId="0">
      <selection activeCell="A579" sqref="A579:Q594"/>
    </sheetView>
  </sheetViews>
  <sheetFormatPr defaultRowHeight="15" x14ac:dyDescent="0.25"/>
  <cols>
    <col min="1" max="1" width="4.28515625" customWidth="1"/>
    <col min="2" max="2" width="14.140625" customWidth="1"/>
    <col min="3" max="6" width="7.8554687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17" ht="15.75" x14ac:dyDescent="0.25">
      <c r="A1" s="380" t="s">
        <v>148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</row>
    <row r="2" spans="1:17" ht="15.75" x14ac:dyDescent="0.25">
      <c r="A2" s="380" t="s">
        <v>82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</row>
    <row r="3" spans="1:17" ht="15.75" thickBot="1" x14ac:dyDescent="0.3">
      <c r="Q3" s="76" t="s">
        <v>1</v>
      </c>
    </row>
    <row r="4" spans="1:17" x14ac:dyDescent="0.25">
      <c r="A4" s="375" t="s">
        <v>2</v>
      </c>
      <c r="B4" s="377" t="s">
        <v>3</v>
      </c>
      <c r="C4" s="381" t="s">
        <v>90</v>
      </c>
      <c r="D4" s="382"/>
      <c r="E4" s="382"/>
      <c r="F4" s="382"/>
      <c r="G4" s="382"/>
      <c r="H4" s="382"/>
      <c r="I4" s="383" t="s">
        <v>83</v>
      </c>
      <c r="J4" s="382">
        <v>2017</v>
      </c>
      <c r="K4" s="382"/>
      <c r="L4" s="382"/>
      <c r="M4" s="382"/>
      <c r="N4" s="382"/>
      <c r="O4" s="382"/>
      <c r="P4" s="383" t="s">
        <v>84</v>
      </c>
      <c r="Q4" s="385" t="s">
        <v>5</v>
      </c>
    </row>
    <row r="5" spans="1:17" x14ac:dyDescent="0.25">
      <c r="A5" s="376"/>
      <c r="B5" s="363"/>
      <c r="C5" s="185" t="s">
        <v>15</v>
      </c>
      <c r="D5" s="185" t="s">
        <v>16</v>
      </c>
      <c r="E5" s="185" t="s">
        <v>17</v>
      </c>
      <c r="F5" s="185" t="s">
        <v>6</v>
      </c>
      <c r="G5" s="185" t="s">
        <v>77</v>
      </c>
      <c r="H5" s="121" t="s">
        <v>78</v>
      </c>
      <c r="I5" s="384"/>
      <c r="J5" s="111" t="s">
        <v>79</v>
      </c>
      <c r="K5" s="185" t="s">
        <v>10</v>
      </c>
      <c r="L5" s="185" t="s">
        <v>11</v>
      </c>
      <c r="M5" s="185" t="s">
        <v>12</v>
      </c>
      <c r="N5" s="185" t="s">
        <v>80</v>
      </c>
      <c r="O5" s="121" t="s">
        <v>81</v>
      </c>
      <c r="P5" s="384"/>
      <c r="Q5" s="386"/>
    </row>
    <row r="6" spans="1:17" ht="15.75" thickBot="1" x14ac:dyDescent="0.3">
      <c r="A6" s="113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2">
        <v>8</v>
      </c>
      <c r="I6" s="124">
        <v>9</v>
      </c>
      <c r="J6" s="112">
        <v>10</v>
      </c>
      <c r="K6" s="5">
        <v>11</v>
      </c>
      <c r="L6" s="5">
        <v>12</v>
      </c>
      <c r="M6" s="5">
        <v>13</v>
      </c>
      <c r="N6" s="5">
        <v>14</v>
      </c>
      <c r="O6" s="122">
        <v>15</v>
      </c>
      <c r="P6" s="124">
        <v>16</v>
      </c>
      <c r="Q6" s="133">
        <v>17</v>
      </c>
    </row>
    <row r="7" spans="1:17" ht="15.75" thickTop="1" x14ac:dyDescent="0.25">
      <c r="A7" s="84">
        <v>1</v>
      </c>
      <c r="B7" s="7" t="s">
        <v>18</v>
      </c>
      <c r="C7" s="138">
        <f>SUM(C23,C39)</f>
        <v>0</v>
      </c>
      <c r="D7" s="138">
        <f t="shared" ref="C7:H12" si="0">SUM(D23,D39)</f>
        <v>2</v>
      </c>
      <c r="E7" s="138">
        <f t="shared" si="0"/>
        <v>45</v>
      </c>
      <c r="F7" s="138">
        <f>SUM(F23,F39)</f>
        <v>177</v>
      </c>
      <c r="G7" s="138">
        <f t="shared" si="0"/>
        <v>45</v>
      </c>
      <c r="H7" s="138">
        <f t="shared" si="0"/>
        <v>0</v>
      </c>
      <c r="I7" s="126">
        <f>SUM(C7:H7)</f>
        <v>269</v>
      </c>
      <c r="J7" s="138">
        <f>SUM(J23,J39)</f>
        <v>0</v>
      </c>
      <c r="K7" s="138">
        <f t="shared" ref="K7:O7" si="1">SUM(K23,K39)</f>
        <v>35</v>
      </c>
      <c r="L7" s="138">
        <f t="shared" si="1"/>
        <v>29</v>
      </c>
      <c r="M7" s="138">
        <f t="shared" si="1"/>
        <v>0</v>
      </c>
      <c r="N7" s="138">
        <f t="shared" si="1"/>
        <v>0</v>
      </c>
      <c r="O7" s="138">
        <f t="shared" si="1"/>
        <v>0</v>
      </c>
      <c r="P7" s="126">
        <f>SUM(J7:O7)</f>
        <v>64</v>
      </c>
      <c r="Q7" s="129">
        <f>SUM(I7,P7)</f>
        <v>333</v>
      </c>
    </row>
    <row r="8" spans="1:17" x14ac:dyDescent="0.25">
      <c r="A8" s="85">
        <v>2</v>
      </c>
      <c r="B8" s="12" t="s">
        <v>19</v>
      </c>
      <c r="C8" s="60">
        <f t="shared" si="0"/>
        <v>5</v>
      </c>
      <c r="D8" s="60">
        <f t="shared" si="0"/>
        <v>27</v>
      </c>
      <c r="E8" s="60">
        <f t="shared" si="0"/>
        <v>143</v>
      </c>
      <c r="F8" s="60">
        <f t="shared" si="0"/>
        <v>24</v>
      </c>
      <c r="G8" s="60">
        <f t="shared" ref="G8:H8" si="2">SUM(G24,G40)</f>
        <v>9</v>
      </c>
      <c r="H8" s="157">
        <f t="shared" si="2"/>
        <v>0</v>
      </c>
      <c r="I8" s="127">
        <f t="shared" ref="I8:I14" si="3">SUM(C8:H8)</f>
        <v>208</v>
      </c>
      <c r="J8" s="262">
        <f t="shared" ref="J8:O8" si="4">SUM(J24,J40)</f>
        <v>0</v>
      </c>
      <c r="K8" s="60">
        <f t="shared" si="4"/>
        <v>100</v>
      </c>
      <c r="L8" s="60">
        <f t="shared" si="4"/>
        <v>49</v>
      </c>
      <c r="M8" s="60">
        <f t="shared" si="4"/>
        <v>0</v>
      </c>
      <c r="N8" s="60">
        <f t="shared" si="4"/>
        <v>4</v>
      </c>
      <c r="O8" s="157">
        <f t="shared" si="4"/>
        <v>0</v>
      </c>
      <c r="P8" s="127">
        <f t="shared" ref="P8:P13" si="5">SUM(J8:O8)</f>
        <v>153</v>
      </c>
      <c r="Q8" s="130">
        <f t="shared" ref="Q8:Q14" si="6">SUM(I8,P8)</f>
        <v>361</v>
      </c>
    </row>
    <row r="9" spans="1:17" x14ac:dyDescent="0.25">
      <c r="A9" s="85">
        <v>3</v>
      </c>
      <c r="B9" s="7" t="s">
        <v>20</v>
      </c>
      <c r="C9" s="60">
        <f t="shared" si="0"/>
        <v>5</v>
      </c>
      <c r="D9" s="60">
        <f t="shared" si="0"/>
        <v>9</v>
      </c>
      <c r="E9" s="60">
        <f t="shared" si="0"/>
        <v>25</v>
      </c>
      <c r="F9" s="60">
        <f t="shared" si="0"/>
        <v>28</v>
      </c>
      <c r="G9" s="60">
        <f t="shared" ref="G9:H9" si="7">SUM(G25,G41)</f>
        <v>5</v>
      </c>
      <c r="H9" s="157">
        <f t="shared" si="7"/>
        <v>0</v>
      </c>
      <c r="I9" s="127">
        <f t="shared" si="3"/>
        <v>72</v>
      </c>
      <c r="J9" s="262">
        <f t="shared" ref="J9:O9" si="8">SUM(J25,J41)</f>
        <v>0</v>
      </c>
      <c r="K9" s="60">
        <f t="shared" si="8"/>
        <v>10</v>
      </c>
      <c r="L9" s="60">
        <f t="shared" si="8"/>
        <v>0</v>
      </c>
      <c r="M9" s="60">
        <f t="shared" si="8"/>
        <v>0</v>
      </c>
      <c r="N9" s="60">
        <f t="shared" si="8"/>
        <v>0</v>
      </c>
      <c r="O9" s="157">
        <f t="shared" si="8"/>
        <v>1</v>
      </c>
      <c r="P9" s="127">
        <f t="shared" si="5"/>
        <v>11</v>
      </c>
      <c r="Q9" s="130">
        <f t="shared" si="6"/>
        <v>83</v>
      </c>
    </row>
    <row r="10" spans="1:17" x14ac:dyDescent="0.25">
      <c r="A10" s="86">
        <v>4</v>
      </c>
      <c r="B10" s="15" t="s">
        <v>21</v>
      </c>
      <c r="C10" s="60">
        <f t="shared" si="0"/>
        <v>9</v>
      </c>
      <c r="D10" s="60">
        <f t="shared" si="0"/>
        <v>1</v>
      </c>
      <c r="E10" s="60">
        <f t="shared" si="0"/>
        <v>36</v>
      </c>
      <c r="F10" s="60">
        <f t="shared" si="0"/>
        <v>129</v>
      </c>
      <c r="G10" s="60">
        <f t="shared" ref="G10:H10" si="9">SUM(G26,G42)</f>
        <v>20</v>
      </c>
      <c r="H10" s="157">
        <f t="shared" si="9"/>
        <v>5</v>
      </c>
      <c r="I10" s="127">
        <f t="shared" si="3"/>
        <v>200</v>
      </c>
      <c r="J10" s="262">
        <f t="shared" ref="J10:O10" si="10">SUM(J26,J42)</f>
        <v>0</v>
      </c>
      <c r="K10" s="60">
        <f t="shared" si="10"/>
        <v>3</v>
      </c>
      <c r="L10" s="60">
        <f t="shared" si="10"/>
        <v>10</v>
      </c>
      <c r="M10" s="60">
        <f t="shared" si="10"/>
        <v>0</v>
      </c>
      <c r="N10" s="60">
        <f t="shared" si="10"/>
        <v>1</v>
      </c>
      <c r="O10" s="157">
        <f t="shared" si="10"/>
        <v>0</v>
      </c>
      <c r="P10" s="127">
        <f t="shared" si="5"/>
        <v>14</v>
      </c>
      <c r="Q10" s="130">
        <f t="shared" si="6"/>
        <v>214</v>
      </c>
    </row>
    <row r="11" spans="1:17" x14ac:dyDescent="0.25">
      <c r="A11" s="86">
        <v>5</v>
      </c>
      <c r="B11" s="19" t="s">
        <v>22</v>
      </c>
      <c r="C11" s="60">
        <f t="shared" si="0"/>
        <v>0</v>
      </c>
      <c r="D11" s="60">
        <f t="shared" si="0"/>
        <v>0</v>
      </c>
      <c r="E11" s="60">
        <f t="shared" si="0"/>
        <v>15</v>
      </c>
      <c r="F11" s="60">
        <f t="shared" si="0"/>
        <v>166</v>
      </c>
      <c r="G11" s="60">
        <f t="shared" ref="G11:H11" si="11">SUM(G27,G43)</f>
        <v>0</v>
      </c>
      <c r="H11" s="157">
        <f t="shared" si="11"/>
        <v>0</v>
      </c>
      <c r="I11" s="127">
        <f t="shared" si="3"/>
        <v>181</v>
      </c>
      <c r="J11" s="262">
        <f t="shared" ref="J11:O11" si="12">SUM(J27,J43)</f>
        <v>8</v>
      </c>
      <c r="K11" s="60">
        <f t="shared" si="12"/>
        <v>13</v>
      </c>
      <c r="L11" s="60">
        <f t="shared" si="12"/>
        <v>0</v>
      </c>
      <c r="M11" s="60">
        <f t="shared" si="12"/>
        <v>0</v>
      </c>
      <c r="N11" s="60">
        <f t="shared" si="12"/>
        <v>0</v>
      </c>
      <c r="O11" s="157">
        <f t="shared" si="12"/>
        <v>0</v>
      </c>
      <c r="P11" s="127">
        <f t="shared" si="5"/>
        <v>21</v>
      </c>
      <c r="Q11" s="130">
        <f t="shared" si="6"/>
        <v>202</v>
      </c>
    </row>
    <row r="12" spans="1:17" x14ac:dyDescent="0.25">
      <c r="A12" s="86">
        <v>6</v>
      </c>
      <c r="B12" s="19" t="s">
        <v>23</v>
      </c>
      <c r="C12" s="60">
        <f t="shared" si="0"/>
        <v>7</v>
      </c>
      <c r="D12" s="60">
        <f t="shared" si="0"/>
        <v>43</v>
      </c>
      <c r="E12" s="60">
        <f t="shared" si="0"/>
        <v>0</v>
      </c>
      <c r="F12" s="60">
        <f t="shared" si="0"/>
        <v>0</v>
      </c>
      <c r="G12" s="60">
        <f t="shared" ref="G12:H12" si="13">SUM(G28,G44)</f>
        <v>1</v>
      </c>
      <c r="H12" s="157">
        <f t="shared" si="13"/>
        <v>9</v>
      </c>
      <c r="I12" s="127">
        <f t="shared" si="3"/>
        <v>60</v>
      </c>
      <c r="J12" s="262">
        <f t="shared" ref="J12:O12" si="14">SUM(J28,J44)</f>
        <v>17</v>
      </c>
      <c r="K12" s="60">
        <f t="shared" si="14"/>
        <v>25</v>
      </c>
      <c r="L12" s="60">
        <f t="shared" si="14"/>
        <v>0</v>
      </c>
      <c r="M12" s="60">
        <f t="shared" si="14"/>
        <v>0</v>
      </c>
      <c r="N12" s="60">
        <f t="shared" si="14"/>
        <v>7</v>
      </c>
      <c r="O12" s="157">
        <f t="shared" si="14"/>
        <v>0</v>
      </c>
      <c r="P12" s="127">
        <f t="shared" si="5"/>
        <v>49</v>
      </c>
      <c r="Q12" s="130">
        <f t="shared" si="6"/>
        <v>109</v>
      </c>
    </row>
    <row r="13" spans="1:17" x14ac:dyDescent="0.25">
      <c r="A13" s="86">
        <v>7</v>
      </c>
      <c r="B13" s="19" t="s">
        <v>24</v>
      </c>
      <c r="C13" s="60">
        <f>SUM(C29,C45)</f>
        <v>15</v>
      </c>
      <c r="D13" s="60">
        <f t="shared" ref="D13" si="15">SUM(D29,D45)</f>
        <v>14</v>
      </c>
      <c r="E13" s="60">
        <f>SUM(E29,E45)</f>
        <v>136</v>
      </c>
      <c r="F13" s="60">
        <f t="shared" ref="F13:H13" si="16">SUM(F29,F45)</f>
        <v>178</v>
      </c>
      <c r="G13" s="60">
        <f t="shared" si="16"/>
        <v>3</v>
      </c>
      <c r="H13" s="157">
        <f t="shared" si="16"/>
        <v>0</v>
      </c>
      <c r="I13" s="127">
        <f t="shared" si="3"/>
        <v>346</v>
      </c>
      <c r="J13" s="262">
        <f t="shared" ref="J13:O13" si="17">SUM(J29,J45)</f>
        <v>12</v>
      </c>
      <c r="K13" s="60">
        <f t="shared" si="17"/>
        <v>169</v>
      </c>
      <c r="L13" s="60">
        <f t="shared" si="17"/>
        <v>58</v>
      </c>
      <c r="M13" s="60">
        <f t="shared" si="17"/>
        <v>25</v>
      </c>
      <c r="N13" s="60">
        <f t="shared" si="17"/>
        <v>0</v>
      </c>
      <c r="O13" s="157">
        <f t="shared" si="17"/>
        <v>0</v>
      </c>
      <c r="P13" s="127">
        <f t="shared" si="5"/>
        <v>264</v>
      </c>
      <c r="Q13" s="130">
        <f t="shared" si="6"/>
        <v>610</v>
      </c>
    </row>
    <row r="14" spans="1:17" ht="15.75" thickBot="1" x14ac:dyDescent="0.3">
      <c r="A14" s="87">
        <v>8</v>
      </c>
      <c r="B14" s="15" t="s">
        <v>25</v>
      </c>
      <c r="C14" s="139">
        <f>SUM(C30,C46)</f>
        <v>26</v>
      </c>
      <c r="D14" s="139">
        <f t="shared" ref="D14" si="18">SUM(D30,D46)</f>
        <v>125</v>
      </c>
      <c r="E14" s="139">
        <f t="shared" ref="E14:H14" si="19">SUM(E30,E46)</f>
        <v>122</v>
      </c>
      <c r="F14" s="139">
        <f t="shared" si="19"/>
        <v>7</v>
      </c>
      <c r="G14" s="139">
        <f t="shared" si="19"/>
        <v>33</v>
      </c>
      <c r="H14" s="139">
        <f t="shared" si="19"/>
        <v>0</v>
      </c>
      <c r="I14" s="128">
        <f t="shared" si="3"/>
        <v>313</v>
      </c>
      <c r="J14" s="139">
        <f t="shared" ref="J14:O14" si="20">SUM(J30,J46)</f>
        <v>53</v>
      </c>
      <c r="K14" s="139">
        <f t="shared" si="20"/>
        <v>89</v>
      </c>
      <c r="L14" s="139">
        <f t="shared" si="20"/>
        <v>16</v>
      </c>
      <c r="M14" s="139">
        <f t="shared" si="20"/>
        <v>25</v>
      </c>
      <c r="N14" s="139">
        <f t="shared" si="20"/>
        <v>21</v>
      </c>
      <c r="O14" s="139">
        <f t="shared" si="20"/>
        <v>3</v>
      </c>
      <c r="P14" s="128">
        <f>SUM(J14:O14)</f>
        <v>207</v>
      </c>
      <c r="Q14" s="131">
        <f t="shared" si="6"/>
        <v>520</v>
      </c>
    </row>
    <row r="15" spans="1:17" ht="16.5" thickTop="1" thickBot="1" x14ac:dyDescent="0.3">
      <c r="A15" s="378" t="s">
        <v>26</v>
      </c>
      <c r="B15" s="379"/>
      <c r="C15" s="114">
        <f t="shared" ref="C15:H15" si="21">SUM(C7:C14)</f>
        <v>67</v>
      </c>
      <c r="D15" s="114">
        <f t="shared" si="21"/>
        <v>221</v>
      </c>
      <c r="E15" s="114">
        <f t="shared" si="21"/>
        <v>522</v>
      </c>
      <c r="F15" s="114">
        <f t="shared" si="21"/>
        <v>709</v>
      </c>
      <c r="G15" s="114">
        <f t="shared" si="21"/>
        <v>116</v>
      </c>
      <c r="H15" s="123">
        <f t="shared" si="21"/>
        <v>14</v>
      </c>
      <c r="I15" s="125">
        <f>SUM(I7:I14)</f>
        <v>1649</v>
      </c>
      <c r="J15" s="135">
        <f t="shared" ref="J15:O15" si="22">SUM(J7:J14)</f>
        <v>90</v>
      </c>
      <c r="K15" s="114">
        <f t="shared" si="22"/>
        <v>444</v>
      </c>
      <c r="L15" s="114">
        <f t="shared" si="22"/>
        <v>162</v>
      </c>
      <c r="M15" s="114">
        <f t="shared" si="22"/>
        <v>50</v>
      </c>
      <c r="N15" s="114">
        <f t="shared" si="22"/>
        <v>33</v>
      </c>
      <c r="O15" s="123">
        <f t="shared" si="22"/>
        <v>4</v>
      </c>
      <c r="P15" s="125">
        <f>SUM(P7:P14)</f>
        <v>783</v>
      </c>
      <c r="Q15" s="132">
        <f>SUM(Q7:Q14)</f>
        <v>2432</v>
      </c>
    </row>
    <row r="17" spans="1:17" ht="15.75" x14ac:dyDescent="0.25">
      <c r="A17" s="380" t="s">
        <v>92</v>
      </c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</row>
    <row r="18" spans="1:17" ht="15.75" x14ac:dyDescent="0.25">
      <c r="A18" s="380" t="s">
        <v>82</v>
      </c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</row>
    <row r="19" spans="1:17" ht="15.75" thickBot="1" x14ac:dyDescent="0.3">
      <c r="Q19" s="76" t="s">
        <v>1</v>
      </c>
    </row>
    <row r="20" spans="1:17" x14ac:dyDescent="0.25">
      <c r="A20" s="375" t="s">
        <v>2</v>
      </c>
      <c r="B20" s="377" t="s">
        <v>3</v>
      </c>
      <c r="C20" s="381" t="s">
        <v>90</v>
      </c>
      <c r="D20" s="382"/>
      <c r="E20" s="382"/>
      <c r="F20" s="382"/>
      <c r="G20" s="382"/>
      <c r="H20" s="382"/>
      <c r="I20" s="383" t="s">
        <v>83</v>
      </c>
      <c r="J20" s="382">
        <v>2017</v>
      </c>
      <c r="K20" s="382"/>
      <c r="L20" s="382"/>
      <c r="M20" s="382"/>
      <c r="N20" s="382"/>
      <c r="O20" s="382"/>
      <c r="P20" s="383" t="s">
        <v>84</v>
      </c>
      <c r="Q20" s="385" t="s">
        <v>5</v>
      </c>
    </row>
    <row r="21" spans="1:17" x14ac:dyDescent="0.25">
      <c r="A21" s="376"/>
      <c r="B21" s="363"/>
      <c r="C21" s="176" t="s">
        <v>15</v>
      </c>
      <c r="D21" s="176" t="s">
        <v>16</v>
      </c>
      <c r="E21" s="176" t="s">
        <v>17</v>
      </c>
      <c r="F21" s="176" t="s">
        <v>6</v>
      </c>
      <c r="G21" s="176" t="s">
        <v>77</v>
      </c>
      <c r="H21" s="121" t="s">
        <v>78</v>
      </c>
      <c r="I21" s="384"/>
      <c r="J21" s="111" t="s">
        <v>79</v>
      </c>
      <c r="K21" s="176" t="s">
        <v>10</v>
      </c>
      <c r="L21" s="176" t="s">
        <v>11</v>
      </c>
      <c r="M21" s="176" t="s">
        <v>12</v>
      </c>
      <c r="N21" s="176" t="s">
        <v>80</v>
      </c>
      <c r="O21" s="121" t="s">
        <v>81</v>
      </c>
      <c r="P21" s="384"/>
      <c r="Q21" s="386"/>
    </row>
    <row r="22" spans="1:17" ht="15.75" thickBot="1" x14ac:dyDescent="0.3">
      <c r="A22" s="113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2">
        <v>8</v>
      </c>
      <c r="I22" s="124">
        <v>9</v>
      </c>
      <c r="J22" s="112">
        <v>10</v>
      </c>
      <c r="K22" s="5">
        <v>11</v>
      </c>
      <c r="L22" s="5">
        <v>12</v>
      </c>
      <c r="M22" s="5">
        <v>13</v>
      </c>
      <c r="N22" s="5">
        <v>14</v>
      </c>
      <c r="O22" s="122">
        <v>15</v>
      </c>
      <c r="P22" s="124">
        <v>16</v>
      </c>
      <c r="Q22" s="133">
        <v>17</v>
      </c>
    </row>
    <row r="23" spans="1:17" ht="15.75" thickTop="1" x14ac:dyDescent="0.25">
      <c r="A23" s="84">
        <v>1</v>
      </c>
      <c r="B23" s="7" t="s">
        <v>18</v>
      </c>
      <c r="C23" s="138">
        <v>0</v>
      </c>
      <c r="D23" s="138">
        <v>2</v>
      </c>
      <c r="E23" s="138">
        <v>45</v>
      </c>
      <c r="F23" s="138">
        <f>'padi sawah'!C9</f>
        <v>177</v>
      </c>
      <c r="G23" s="138">
        <f>'padi sawah'!D9</f>
        <v>45</v>
      </c>
      <c r="H23" s="138">
        <f>'padi sawah'!E9</f>
        <v>0</v>
      </c>
      <c r="I23" s="126">
        <f>SUM(C23:H23)</f>
        <v>269</v>
      </c>
      <c r="J23" s="138">
        <f>'padi sawah'!F9</f>
        <v>0</v>
      </c>
      <c r="K23" s="138">
        <f>'padi sawah'!G9</f>
        <v>35</v>
      </c>
      <c r="L23" s="138">
        <f>'padi sawah'!H9</f>
        <v>29</v>
      </c>
      <c r="M23" s="138">
        <f>'padi sawah'!I9</f>
        <v>0</v>
      </c>
      <c r="N23" s="138">
        <f>'padi sawah'!J9</f>
        <v>0</v>
      </c>
      <c r="O23" s="138">
        <f>'padi sawah'!K9</f>
        <v>0</v>
      </c>
      <c r="P23" s="126">
        <f>SUM(J23:O23)</f>
        <v>64</v>
      </c>
      <c r="Q23" s="129">
        <f>SUM(I23,P23)</f>
        <v>333</v>
      </c>
    </row>
    <row r="24" spans="1:17" x14ac:dyDescent="0.25">
      <c r="A24" s="85">
        <v>2</v>
      </c>
      <c r="B24" s="12" t="s">
        <v>19</v>
      </c>
      <c r="C24" s="60">
        <v>5</v>
      </c>
      <c r="D24" s="60">
        <v>27</v>
      </c>
      <c r="E24" s="60">
        <v>143</v>
      </c>
      <c r="F24" s="60">
        <f>'padi sawah'!C10</f>
        <v>24</v>
      </c>
      <c r="G24" s="60">
        <f>'padi sawah'!D10</f>
        <v>9</v>
      </c>
      <c r="H24" s="157">
        <f>'padi sawah'!E10</f>
        <v>0</v>
      </c>
      <c r="I24" s="127">
        <f t="shared" ref="I24:I30" si="23">SUM(C24:H24)</f>
        <v>208</v>
      </c>
      <c r="J24" s="262">
        <f>'padi sawah'!F10</f>
        <v>0</v>
      </c>
      <c r="K24" s="60">
        <f>'padi sawah'!G10</f>
        <v>100</v>
      </c>
      <c r="L24" s="60">
        <f>'padi sawah'!H10</f>
        <v>49</v>
      </c>
      <c r="M24" s="60">
        <f>'padi sawah'!I10</f>
        <v>0</v>
      </c>
      <c r="N24" s="60">
        <f>'padi sawah'!J10</f>
        <v>4</v>
      </c>
      <c r="O24" s="157">
        <f>'padi sawah'!K10</f>
        <v>0</v>
      </c>
      <c r="P24" s="127">
        <f t="shared" ref="P24:P29" si="24">SUM(J24:O24)</f>
        <v>153</v>
      </c>
      <c r="Q24" s="130">
        <f t="shared" ref="Q24:Q30" si="25">SUM(I24,P24)</f>
        <v>361</v>
      </c>
    </row>
    <row r="25" spans="1:17" x14ac:dyDescent="0.25">
      <c r="A25" s="85">
        <v>3</v>
      </c>
      <c r="B25" s="7" t="s">
        <v>20</v>
      </c>
      <c r="C25" s="60">
        <v>5</v>
      </c>
      <c r="D25" s="60">
        <v>5</v>
      </c>
      <c r="E25" s="60">
        <v>0</v>
      </c>
      <c r="F25" s="60">
        <f>'padi sawah'!C11</f>
        <v>10</v>
      </c>
      <c r="G25" s="60">
        <f>'padi sawah'!D11</f>
        <v>5</v>
      </c>
      <c r="H25" s="157">
        <f>'padi sawah'!E11</f>
        <v>0</v>
      </c>
      <c r="I25" s="127">
        <f t="shared" si="23"/>
        <v>25</v>
      </c>
      <c r="J25" s="262">
        <f>'padi sawah'!F11</f>
        <v>0</v>
      </c>
      <c r="K25" s="60">
        <f>'padi sawah'!G11</f>
        <v>10</v>
      </c>
      <c r="L25" s="60">
        <f>'padi sawah'!H11</f>
        <v>0</v>
      </c>
      <c r="M25" s="60">
        <f>'padi sawah'!I11</f>
        <v>0</v>
      </c>
      <c r="N25" s="60">
        <f>'padi sawah'!J11</f>
        <v>0</v>
      </c>
      <c r="O25" s="157">
        <f>'padi sawah'!K11</f>
        <v>1</v>
      </c>
      <c r="P25" s="127">
        <f t="shared" si="24"/>
        <v>11</v>
      </c>
      <c r="Q25" s="130">
        <f t="shared" si="25"/>
        <v>36</v>
      </c>
    </row>
    <row r="26" spans="1:17" x14ac:dyDescent="0.25">
      <c r="A26" s="86">
        <v>4</v>
      </c>
      <c r="B26" s="15" t="s">
        <v>21</v>
      </c>
      <c r="C26" s="60">
        <v>9</v>
      </c>
      <c r="D26" s="60">
        <v>1</v>
      </c>
      <c r="E26" s="60">
        <v>36</v>
      </c>
      <c r="F26" s="60">
        <f>'padi sawah'!C12</f>
        <v>129</v>
      </c>
      <c r="G26" s="60">
        <f>'padi sawah'!D12</f>
        <v>20</v>
      </c>
      <c r="H26" s="157">
        <f>'padi sawah'!E12</f>
        <v>5</v>
      </c>
      <c r="I26" s="127">
        <f t="shared" si="23"/>
        <v>200</v>
      </c>
      <c r="J26" s="262">
        <f>'padi sawah'!F12</f>
        <v>0</v>
      </c>
      <c r="K26" s="60">
        <f>'padi sawah'!G12</f>
        <v>3</v>
      </c>
      <c r="L26" s="60">
        <f>'padi sawah'!H12</f>
        <v>10</v>
      </c>
      <c r="M26" s="60">
        <f>'padi sawah'!I12</f>
        <v>0</v>
      </c>
      <c r="N26" s="60">
        <f>'padi sawah'!J12</f>
        <v>1</v>
      </c>
      <c r="O26" s="157">
        <f>'padi sawah'!K12</f>
        <v>0</v>
      </c>
      <c r="P26" s="127">
        <f t="shared" si="24"/>
        <v>14</v>
      </c>
      <c r="Q26" s="130">
        <f t="shared" si="25"/>
        <v>214</v>
      </c>
    </row>
    <row r="27" spans="1:17" x14ac:dyDescent="0.25">
      <c r="A27" s="86">
        <v>5</v>
      </c>
      <c r="B27" s="19" t="s">
        <v>22</v>
      </c>
      <c r="C27" s="60">
        <v>0</v>
      </c>
      <c r="D27" s="60">
        <v>0</v>
      </c>
      <c r="E27" s="60">
        <v>15</v>
      </c>
      <c r="F27" s="60">
        <f>'padi sawah'!C13</f>
        <v>166</v>
      </c>
      <c r="G27" s="60">
        <f>'padi sawah'!D13</f>
        <v>0</v>
      </c>
      <c r="H27" s="157">
        <f>'padi sawah'!E13</f>
        <v>0</v>
      </c>
      <c r="I27" s="127">
        <f t="shared" si="23"/>
        <v>181</v>
      </c>
      <c r="J27" s="262">
        <f>'padi sawah'!F13</f>
        <v>8</v>
      </c>
      <c r="K27" s="60">
        <f>'padi sawah'!G13</f>
        <v>13</v>
      </c>
      <c r="L27" s="60">
        <f>'padi sawah'!H13</f>
        <v>0</v>
      </c>
      <c r="M27" s="60">
        <f>'padi sawah'!I13</f>
        <v>0</v>
      </c>
      <c r="N27" s="60">
        <f>'padi sawah'!J13</f>
        <v>0</v>
      </c>
      <c r="O27" s="157">
        <f>'padi sawah'!K13</f>
        <v>0</v>
      </c>
      <c r="P27" s="127">
        <f t="shared" si="24"/>
        <v>21</v>
      </c>
      <c r="Q27" s="130">
        <f t="shared" si="25"/>
        <v>202</v>
      </c>
    </row>
    <row r="28" spans="1:17" x14ac:dyDescent="0.25">
      <c r="A28" s="86">
        <v>6</v>
      </c>
      <c r="B28" s="19" t="s">
        <v>23</v>
      </c>
      <c r="C28" s="60">
        <v>7</v>
      </c>
      <c r="D28" s="60">
        <v>43</v>
      </c>
      <c r="E28" s="60">
        <v>0</v>
      </c>
      <c r="F28" s="60">
        <f>'padi sawah'!C14</f>
        <v>0</v>
      </c>
      <c r="G28" s="60">
        <f>'padi sawah'!D14</f>
        <v>1</v>
      </c>
      <c r="H28" s="157">
        <f>'padi sawah'!E14</f>
        <v>9</v>
      </c>
      <c r="I28" s="127">
        <f t="shared" si="23"/>
        <v>60</v>
      </c>
      <c r="J28" s="262">
        <f>'padi sawah'!F14</f>
        <v>17</v>
      </c>
      <c r="K28" s="60">
        <f>'padi sawah'!G14</f>
        <v>25</v>
      </c>
      <c r="L28" s="60">
        <f>'padi sawah'!H14</f>
        <v>0</v>
      </c>
      <c r="M28" s="60">
        <f>'padi sawah'!I14</f>
        <v>0</v>
      </c>
      <c r="N28" s="60">
        <f>'padi sawah'!J14</f>
        <v>7</v>
      </c>
      <c r="O28" s="157">
        <f>'padi sawah'!K14</f>
        <v>0</v>
      </c>
      <c r="P28" s="127">
        <f t="shared" si="24"/>
        <v>49</v>
      </c>
      <c r="Q28" s="130">
        <f t="shared" si="25"/>
        <v>109</v>
      </c>
    </row>
    <row r="29" spans="1:17" x14ac:dyDescent="0.25">
      <c r="A29" s="86">
        <v>7</v>
      </c>
      <c r="B29" s="19" t="s">
        <v>24</v>
      </c>
      <c r="C29" s="60">
        <v>15</v>
      </c>
      <c r="D29" s="60">
        <v>14</v>
      </c>
      <c r="E29" s="60">
        <v>136</v>
      </c>
      <c r="F29" s="60">
        <f>'padi sawah'!C15</f>
        <v>178</v>
      </c>
      <c r="G29" s="60">
        <f>'padi sawah'!D15</f>
        <v>3</v>
      </c>
      <c r="H29" s="157">
        <f>'padi sawah'!E15</f>
        <v>0</v>
      </c>
      <c r="I29" s="127">
        <f t="shared" si="23"/>
        <v>346</v>
      </c>
      <c r="J29" s="262">
        <f>'padi sawah'!F15</f>
        <v>12</v>
      </c>
      <c r="K29" s="60">
        <f>'padi sawah'!G15</f>
        <v>169</v>
      </c>
      <c r="L29" s="60">
        <f>'padi sawah'!H15</f>
        <v>58</v>
      </c>
      <c r="M29" s="60">
        <f>'padi sawah'!I15</f>
        <v>25</v>
      </c>
      <c r="N29" s="60">
        <f>'padi sawah'!J15</f>
        <v>0</v>
      </c>
      <c r="O29" s="157">
        <f>'padi sawah'!K15</f>
        <v>0</v>
      </c>
      <c r="P29" s="127">
        <f t="shared" si="24"/>
        <v>264</v>
      </c>
      <c r="Q29" s="130">
        <f t="shared" si="25"/>
        <v>610</v>
      </c>
    </row>
    <row r="30" spans="1:17" ht="15.75" thickBot="1" x14ac:dyDescent="0.3">
      <c r="A30" s="87">
        <v>8</v>
      </c>
      <c r="B30" s="15" t="s">
        <v>25</v>
      </c>
      <c r="C30" s="139">
        <v>26</v>
      </c>
      <c r="D30" s="139">
        <v>125</v>
      </c>
      <c r="E30" s="139">
        <v>122</v>
      </c>
      <c r="F30" s="139">
        <f>'padi sawah'!C16</f>
        <v>7</v>
      </c>
      <c r="G30" s="139">
        <f>'padi sawah'!D16</f>
        <v>33</v>
      </c>
      <c r="H30" s="139">
        <f>'padi sawah'!E16</f>
        <v>0</v>
      </c>
      <c r="I30" s="128">
        <f t="shared" si="23"/>
        <v>313</v>
      </c>
      <c r="J30" s="139">
        <f>'padi sawah'!F16</f>
        <v>53</v>
      </c>
      <c r="K30" s="139">
        <f>'padi sawah'!G16</f>
        <v>89</v>
      </c>
      <c r="L30" s="139">
        <f>'padi sawah'!H16</f>
        <v>16</v>
      </c>
      <c r="M30" s="139">
        <f>'padi sawah'!I16</f>
        <v>25</v>
      </c>
      <c r="N30" s="139">
        <f>'padi sawah'!J16</f>
        <v>21</v>
      </c>
      <c r="O30" s="139">
        <f>'padi sawah'!K16</f>
        <v>3</v>
      </c>
      <c r="P30" s="128">
        <f>SUM(J30:O30)</f>
        <v>207</v>
      </c>
      <c r="Q30" s="131">
        <f t="shared" si="25"/>
        <v>520</v>
      </c>
    </row>
    <row r="31" spans="1:17" ht="16.5" thickTop="1" thickBot="1" x14ac:dyDescent="0.3">
      <c r="A31" s="378" t="s">
        <v>26</v>
      </c>
      <c r="B31" s="379"/>
      <c r="C31" s="114">
        <f t="shared" ref="C31:H31" si="26">SUM(C23:C30)</f>
        <v>67</v>
      </c>
      <c r="D31" s="114">
        <f t="shared" si="26"/>
        <v>217</v>
      </c>
      <c r="E31" s="114">
        <f t="shared" si="26"/>
        <v>497</v>
      </c>
      <c r="F31" s="114">
        <f t="shared" si="26"/>
        <v>691</v>
      </c>
      <c r="G31" s="114">
        <f t="shared" si="26"/>
        <v>116</v>
      </c>
      <c r="H31" s="123">
        <f t="shared" si="26"/>
        <v>14</v>
      </c>
      <c r="I31" s="125">
        <f>SUM(I23:I30)</f>
        <v>1602</v>
      </c>
      <c r="J31" s="135">
        <f t="shared" ref="J31:O31" si="27">SUM(J23:J30)</f>
        <v>90</v>
      </c>
      <c r="K31" s="114">
        <f t="shared" si="27"/>
        <v>444</v>
      </c>
      <c r="L31" s="114">
        <f t="shared" si="27"/>
        <v>162</v>
      </c>
      <c r="M31" s="114">
        <f t="shared" si="27"/>
        <v>50</v>
      </c>
      <c r="N31" s="114">
        <f t="shared" si="27"/>
        <v>33</v>
      </c>
      <c r="O31" s="123">
        <f t="shared" si="27"/>
        <v>4</v>
      </c>
      <c r="P31" s="125">
        <f>SUM(P23:P30)</f>
        <v>783</v>
      </c>
      <c r="Q31" s="132">
        <f>SUM(Q23:Q30)</f>
        <v>2385</v>
      </c>
    </row>
    <row r="33" spans="1:17" ht="15.75" x14ac:dyDescent="0.25">
      <c r="A33" s="380" t="s">
        <v>91</v>
      </c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</row>
    <row r="34" spans="1:17" ht="15.75" x14ac:dyDescent="0.25">
      <c r="A34" s="380" t="s">
        <v>82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</row>
    <row r="35" spans="1:17" ht="15.75" thickBot="1" x14ac:dyDescent="0.3">
      <c r="Q35" s="76" t="s">
        <v>1</v>
      </c>
    </row>
    <row r="36" spans="1:17" x14ac:dyDescent="0.25">
      <c r="A36" s="375" t="s">
        <v>2</v>
      </c>
      <c r="B36" s="377" t="s">
        <v>3</v>
      </c>
      <c r="C36" s="381" t="s">
        <v>90</v>
      </c>
      <c r="D36" s="382"/>
      <c r="E36" s="382"/>
      <c r="F36" s="382"/>
      <c r="G36" s="382"/>
      <c r="H36" s="382"/>
      <c r="I36" s="383" t="s">
        <v>83</v>
      </c>
      <c r="J36" s="382">
        <v>2017</v>
      </c>
      <c r="K36" s="382"/>
      <c r="L36" s="382"/>
      <c r="M36" s="382"/>
      <c r="N36" s="382"/>
      <c r="O36" s="382"/>
      <c r="P36" s="383" t="s">
        <v>84</v>
      </c>
      <c r="Q36" s="385" t="s">
        <v>5</v>
      </c>
    </row>
    <row r="37" spans="1:17" x14ac:dyDescent="0.25">
      <c r="A37" s="376"/>
      <c r="B37" s="363"/>
      <c r="C37" s="178" t="s">
        <v>15</v>
      </c>
      <c r="D37" s="178" t="s">
        <v>16</v>
      </c>
      <c r="E37" s="178" t="s">
        <v>17</v>
      </c>
      <c r="F37" s="178" t="s">
        <v>6</v>
      </c>
      <c r="G37" s="178" t="s">
        <v>77</v>
      </c>
      <c r="H37" s="121" t="s">
        <v>78</v>
      </c>
      <c r="I37" s="384"/>
      <c r="J37" s="111" t="s">
        <v>79</v>
      </c>
      <c r="K37" s="178" t="s">
        <v>10</v>
      </c>
      <c r="L37" s="178" t="s">
        <v>11</v>
      </c>
      <c r="M37" s="178" t="s">
        <v>12</v>
      </c>
      <c r="N37" s="178" t="s">
        <v>80</v>
      </c>
      <c r="O37" s="121" t="s">
        <v>81</v>
      </c>
      <c r="P37" s="384"/>
      <c r="Q37" s="386"/>
    </row>
    <row r="38" spans="1:17" ht="15.75" thickBot="1" x14ac:dyDescent="0.3">
      <c r="A38" s="113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2">
        <v>8</v>
      </c>
      <c r="I38" s="124">
        <v>9</v>
      </c>
      <c r="J38" s="112">
        <v>10</v>
      </c>
      <c r="K38" s="5">
        <v>11</v>
      </c>
      <c r="L38" s="5">
        <v>12</v>
      </c>
      <c r="M38" s="5">
        <v>13</v>
      </c>
      <c r="N38" s="5">
        <v>14</v>
      </c>
      <c r="O38" s="122">
        <v>15</v>
      </c>
      <c r="P38" s="124">
        <v>16</v>
      </c>
      <c r="Q38" s="133">
        <v>17</v>
      </c>
    </row>
    <row r="39" spans="1:17" ht="15.75" thickTop="1" x14ac:dyDescent="0.25">
      <c r="A39" s="84">
        <v>1</v>
      </c>
      <c r="B39" s="7" t="s">
        <v>18</v>
      </c>
      <c r="C39" s="138">
        <v>0</v>
      </c>
      <c r="D39" s="138">
        <v>0</v>
      </c>
      <c r="E39" s="138">
        <v>0</v>
      </c>
      <c r="F39" s="138">
        <f>'padi ladang'!C9</f>
        <v>0</v>
      </c>
      <c r="G39" s="138">
        <f>'padi ladang'!D9</f>
        <v>0</v>
      </c>
      <c r="H39" s="138">
        <f>'padi ladang'!E9</f>
        <v>0</v>
      </c>
      <c r="I39" s="126">
        <f>SUM(C39:H39)</f>
        <v>0</v>
      </c>
      <c r="J39" s="158">
        <f>'padi ladang'!F9</f>
        <v>0</v>
      </c>
      <c r="K39" s="158">
        <f>'padi ladang'!G9</f>
        <v>0</v>
      </c>
      <c r="L39" s="158">
        <f>'padi ladang'!H9</f>
        <v>0</v>
      </c>
      <c r="M39" s="158">
        <f>'padi ladang'!I9</f>
        <v>0</v>
      </c>
      <c r="N39" s="158">
        <f>'padi ladang'!J9</f>
        <v>0</v>
      </c>
      <c r="O39" s="158">
        <f>'padi ladang'!K9</f>
        <v>0</v>
      </c>
      <c r="P39" s="126">
        <f>SUM(J39:O39)</f>
        <v>0</v>
      </c>
      <c r="Q39" s="129">
        <f>SUM(I39,P39)</f>
        <v>0</v>
      </c>
    </row>
    <row r="40" spans="1:17" x14ac:dyDescent="0.25">
      <c r="A40" s="85">
        <v>2</v>
      </c>
      <c r="B40" s="12" t="s">
        <v>19</v>
      </c>
      <c r="C40" s="60">
        <v>0</v>
      </c>
      <c r="D40" s="60">
        <v>0</v>
      </c>
      <c r="E40" s="60">
        <v>0</v>
      </c>
      <c r="F40" s="60">
        <f>'padi ladang'!C10</f>
        <v>0</v>
      </c>
      <c r="G40" s="60">
        <f>'padi ladang'!D10</f>
        <v>0</v>
      </c>
      <c r="H40" s="157">
        <f>'padi ladang'!E10</f>
        <v>0</v>
      </c>
      <c r="I40" s="127">
        <f t="shared" ref="I40:I46" si="28">SUM(C40:H40)</f>
        <v>0</v>
      </c>
      <c r="J40" s="262">
        <f>'padi ladang'!F10</f>
        <v>0</v>
      </c>
      <c r="K40" s="134">
        <f>'padi ladang'!G10</f>
        <v>0</v>
      </c>
      <c r="L40" s="134">
        <f>'padi ladang'!H10</f>
        <v>0</v>
      </c>
      <c r="M40" s="134">
        <f>'padi ladang'!I10</f>
        <v>0</v>
      </c>
      <c r="N40" s="134">
        <f>'padi ladang'!J10</f>
        <v>0</v>
      </c>
      <c r="O40" s="159">
        <f>'padi ladang'!K10</f>
        <v>0</v>
      </c>
      <c r="P40" s="127">
        <f t="shared" ref="P40:P45" si="29">SUM(J40:O40)</f>
        <v>0</v>
      </c>
      <c r="Q40" s="130">
        <f t="shared" ref="Q40:Q46" si="30">SUM(I40,P40)</f>
        <v>0</v>
      </c>
    </row>
    <row r="41" spans="1:17" x14ac:dyDescent="0.25">
      <c r="A41" s="85">
        <v>3</v>
      </c>
      <c r="B41" s="7" t="s">
        <v>20</v>
      </c>
      <c r="C41" s="60">
        <v>0</v>
      </c>
      <c r="D41" s="60">
        <v>4</v>
      </c>
      <c r="E41" s="60">
        <v>25</v>
      </c>
      <c r="F41" s="60">
        <f>'padi ladang'!C11</f>
        <v>18</v>
      </c>
      <c r="G41" s="60">
        <f>'padi ladang'!D11</f>
        <v>0</v>
      </c>
      <c r="H41" s="157">
        <f>'padi ladang'!E11</f>
        <v>0</v>
      </c>
      <c r="I41" s="127">
        <f t="shared" si="28"/>
        <v>47</v>
      </c>
      <c r="J41" s="262">
        <f>'padi ladang'!F11</f>
        <v>0</v>
      </c>
      <c r="K41" s="134">
        <f>'padi ladang'!G11</f>
        <v>0</v>
      </c>
      <c r="L41" s="134">
        <f>'padi ladang'!H11</f>
        <v>0</v>
      </c>
      <c r="M41" s="134">
        <f>'padi ladang'!I11</f>
        <v>0</v>
      </c>
      <c r="N41" s="134">
        <f>'padi ladang'!J11</f>
        <v>0</v>
      </c>
      <c r="O41" s="159">
        <f>'padi ladang'!K11</f>
        <v>0</v>
      </c>
      <c r="P41" s="127">
        <f t="shared" si="29"/>
        <v>0</v>
      </c>
      <c r="Q41" s="130">
        <f t="shared" si="30"/>
        <v>47</v>
      </c>
    </row>
    <row r="42" spans="1:17" x14ac:dyDescent="0.25">
      <c r="A42" s="86">
        <v>4</v>
      </c>
      <c r="B42" s="15" t="s">
        <v>21</v>
      </c>
      <c r="C42" s="60">
        <v>0</v>
      </c>
      <c r="D42" s="60">
        <v>0</v>
      </c>
      <c r="E42" s="60">
        <v>0</v>
      </c>
      <c r="F42" s="60">
        <f>'padi ladang'!C12</f>
        <v>0</v>
      </c>
      <c r="G42" s="60">
        <f>'padi ladang'!D12</f>
        <v>0</v>
      </c>
      <c r="H42" s="157">
        <f>'padi ladang'!E12</f>
        <v>0</v>
      </c>
      <c r="I42" s="127">
        <f t="shared" si="28"/>
        <v>0</v>
      </c>
      <c r="J42" s="262">
        <f>'padi ladang'!F12</f>
        <v>0</v>
      </c>
      <c r="K42" s="134">
        <f>'padi ladang'!G12</f>
        <v>0</v>
      </c>
      <c r="L42" s="134">
        <f>'padi ladang'!H12</f>
        <v>0</v>
      </c>
      <c r="M42" s="134">
        <f>'padi ladang'!I12</f>
        <v>0</v>
      </c>
      <c r="N42" s="134">
        <f>'padi ladang'!J12</f>
        <v>0</v>
      </c>
      <c r="O42" s="159">
        <f>'padi ladang'!K12</f>
        <v>0</v>
      </c>
      <c r="P42" s="127">
        <f t="shared" si="29"/>
        <v>0</v>
      </c>
      <c r="Q42" s="130">
        <f t="shared" si="30"/>
        <v>0</v>
      </c>
    </row>
    <row r="43" spans="1:17" x14ac:dyDescent="0.25">
      <c r="A43" s="86">
        <v>5</v>
      </c>
      <c r="B43" s="19" t="s">
        <v>22</v>
      </c>
      <c r="C43" s="60">
        <v>0</v>
      </c>
      <c r="D43" s="60">
        <v>0</v>
      </c>
      <c r="E43" s="60">
        <v>0</v>
      </c>
      <c r="F43" s="60">
        <f>'padi ladang'!C13</f>
        <v>0</v>
      </c>
      <c r="G43" s="60">
        <f>'padi ladang'!D13</f>
        <v>0</v>
      </c>
      <c r="H43" s="157">
        <f>'padi ladang'!E13</f>
        <v>0</v>
      </c>
      <c r="I43" s="127">
        <f t="shared" si="28"/>
        <v>0</v>
      </c>
      <c r="J43" s="262">
        <f>'padi ladang'!F13</f>
        <v>0</v>
      </c>
      <c r="K43" s="134">
        <f>'padi ladang'!G13</f>
        <v>0</v>
      </c>
      <c r="L43" s="134">
        <f>'padi ladang'!H13</f>
        <v>0</v>
      </c>
      <c r="M43" s="134">
        <f>'padi ladang'!I13</f>
        <v>0</v>
      </c>
      <c r="N43" s="134">
        <f>'padi ladang'!J13</f>
        <v>0</v>
      </c>
      <c r="O43" s="159">
        <f>'padi ladang'!K13</f>
        <v>0</v>
      </c>
      <c r="P43" s="127">
        <f t="shared" si="29"/>
        <v>0</v>
      </c>
      <c r="Q43" s="130">
        <f t="shared" si="30"/>
        <v>0</v>
      </c>
    </row>
    <row r="44" spans="1:17" x14ac:dyDescent="0.25">
      <c r="A44" s="86">
        <v>6</v>
      </c>
      <c r="B44" s="19" t="s">
        <v>23</v>
      </c>
      <c r="C44" s="60">
        <v>0</v>
      </c>
      <c r="D44" s="60">
        <v>0</v>
      </c>
      <c r="E44" s="60">
        <v>0</v>
      </c>
      <c r="F44" s="60">
        <f>'padi ladang'!C14</f>
        <v>0</v>
      </c>
      <c r="G44" s="60">
        <f>'padi ladang'!D14</f>
        <v>0</v>
      </c>
      <c r="H44" s="157">
        <f>'padi ladang'!E14</f>
        <v>0</v>
      </c>
      <c r="I44" s="127">
        <f t="shared" si="28"/>
        <v>0</v>
      </c>
      <c r="J44" s="262">
        <f>'padi ladang'!F14</f>
        <v>0</v>
      </c>
      <c r="K44" s="134">
        <f>'padi ladang'!G14</f>
        <v>0</v>
      </c>
      <c r="L44" s="134">
        <f>'padi ladang'!H14</f>
        <v>0</v>
      </c>
      <c r="M44" s="134">
        <f>'padi ladang'!I14</f>
        <v>0</v>
      </c>
      <c r="N44" s="134">
        <f>'padi ladang'!J14</f>
        <v>0</v>
      </c>
      <c r="O44" s="159">
        <f>'padi ladang'!K14</f>
        <v>0</v>
      </c>
      <c r="P44" s="127">
        <f t="shared" si="29"/>
        <v>0</v>
      </c>
      <c r="Q44" s="130">
        <f t="shared" si="30"/>
        <v>0</v>
      </c>
    </row>
    <row r="45" spans="1:17" x14ac:dyDescent="0.25">
      <c r="A45" s="86">
        <v>7</v>
      </c>
      <c r="B45" s="19" t="s">
        <v>24</v>
      </c>
      <c r="C45" s="60">
        <v>0</v>
      </c>
      <c r="D45" s="60">
        <v>0</v>
      </c>
      <c r="E45" s="60">
        <v>0</v>
      </c>
      <c r="F45" s="60">
        <f>'padi ladang'!C15</f>
        <v>0</v>
      </c>
      <c r="G45" s="60">
        <f>'padi ladang'!D15</f>
        <v>0</v>
      </c>
      <c r="H45" s="157">
        <f>'padi ladang'!E15</f>
        <v>0</v>
      </c>
      <c r="I45" s="127">
        <f t="shared" si="28"/>
        <v>0</v>
      </c>
      <c r="J45" s="262">
        <f>'padi ladang'!F15</f>
        <v>0</v>
      </c>
      <c r="K45" s="134">
        <f>'padi ladang'!G15</f>
        <v>0</v>
      </c>
      <c r="L45" s="134">
        <f>'padi ladang'!H15</f>
        <v>0</v>
      </c>
      <c r="M45" s="134">
        <f>'padi ladang'!I15</f>
        <v>0</v>
      </c>
      <c r="N45" s="134">
        <f>'padi ladang'!J15</f>
        <v>0</v>
      </c>
      <c r="O45" s="159">
        <f>'padi ladang'!K15</f>
        <v>0</v>
      </c>
      <c r="P45" s="127">
        <f t="shared" si="29"/>
        <v>0</v>
      </c>
      <c r="Q45" s="130">
        <f t="shared" si="30"/>
        <v>0</v>
      </c>
    </row>
    <row r="46" spans="1:17" ht="15.75" thickBot="1" x14ac:dyDescent="0.3">
      <c r="A46" s="87">
        <v>8</v>
      </c>
      <c r="B46" s="15" t="s">
        <v>25</v>
      </c>
      <c r="C46" s="139">
        <v>0</v>
      </c>
      <c r="D46" s="139">
        <v>0</v>
      </c>
      <c r="E46" s="139">
        <v>0</v>
      </c>
      <c r="F46" s="139">
        <f>'padi ladang'!C16</f>
        <v>0</v>
      </c>
      <c r="G46" s="139">
        <f>'padi ladang'!D16</f>
        <v>0</v>
      </c>
      <c r="H46" s="139">
        <f>'padi ladang'!E16</f>
        <v>0</v>
      </c>
      <c r="I46" s="128">
        <f t="shared" si="28"/>
        <v>0</v>
      </c>
      <c r="J46" s="273">
        <f>'padi ladang'!F16</f>
        <v>0</v>
      </c>
      <c r="K46" s="273">
        <f>'padi ladang'!G16</f>
        <v>0</v>
      </c>
      <c r="L46" s="273">
        <f>'padi ladang'!H16</f>
        <v>0</v>
      </c>
      <c r="M46" s="273">
        <f>'padi ladang'!I16</f>
        <v>0</v>
      </c>
      <c r="N46" s="273">
        <f>'padi ladang'!J16</f>
        <v>0</v>
      </c>
      <c r="O46" s="273">
        <f>'padi ladang'!K16</f>
        <v>0</v>
      </c>
      <c r="P46" s="128">
        <f>SUM(J46:O46)</f>
        <v>0</v>
      </c>
      <c r="Q46" s="131">
        <f t="shared" si="30"/>
        <v>0</v>
      </c>
    </row>
    <row r="47" spans="1:17" ht="16.5" thickTop="1" thickBot="1" x14ac:dyDescent="0.3">
      <c r="A47" s="378" t="s">
        <v>26</v>
      </c>
      <c r="B47" s="379"/>
      <c r="C47" s="114">
        <f t="shared" ref="C47:H47" si="31">SUM(C39:C46)</f>
        <v>0</v>
      </c>
      <c r="D47" s="114">
        <f t="shared" si="31"/>
        <v>4</v>
      </c>
      <c r="E47" s="114">
        <f t="shared" si="31"/>
        <v>25</v>
      </c>
      <c r="F47" s="114">
        <f t="shared" si="31"/>
        <v>18</v>
      </c>
      <c r="G47" s="114">
        <f t="shared" si="31"/>
        <v>0</v>
      </c>
      <c r="H47" s="123">
        <f t="shared" si="31"/>
        <v>0</v>
      </c>
      <c r="I47" s="125">
        <f>SUM(I39:I46)</f>
        <v>47</v>
      </c>
      <c r="J47" s="135">
        <f t="shared" ref="J47:O47" si="32">SUM(J39:J46)</f>
        <v>0</v>
      </c>
      <c r="K47" s="114">
        <f t="shared" si="32"/>
        <v>0</v>
      </c>
      <c r="L47" s="114">
        <f t="shared" si="32"/>
        <v>0</v>
      </c>
      <c r="M47" s="114">
        <f t="shared" si="32"/>
        <v>0</v>
      </c>
      <c r="N47" s="114">
        <f t="shared" si="32"/>
        <v>0</v>
      </c>
      <c r="O47" s="123">
        <f t="shared" si="32"/>
        <v>0</v>
      </c>
      <c r="P47" s="125">
        <f>SUM(P39:P46)</f>
        <v>0</v>
      </c>
      <c r="Q47" s="132">
        <f>SUM(Q39:Q46)</f>
        <v>47</v>
      </c>
    </row>
    <row r="49" spans="1:17" ht="15.75" x14ac:dyDescent="0.25">
      <c r="A49" s="380" t="s">
        <v>113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</row>
    <row r="50" spans="1:17" ht="15.75" x14ac:dyDescent="0.25">
      <c r="A50" s="380" t="s">
        <v>82</v>
      </c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</row>
    <row r="51" spans="1:17" ht="15.75" thickBot="1" x14ac:dyDescent="0.3">
      <c r="Q51" s="76" t="s">
        <v>1</v>
      </c>
    </row>
    <row r="52" spans="1:17" x14ac:dyDescent="0.25">
      <c r="A52" s="375" t="s">
        <v>2</v>
      </c>
      <c r="B52" s="377" t="s">
        <v>3</v>
      </c>
      <c r="C52" s="381" t="s">
        <v>90</v>
      </c>
      <c r="D52" s="382"/>
      <c r="E52" s="382"/>
      <c r="F52" s="382"/>
      <c r="G52" s="382"/>
      <c r="H52" s="382"/>
      <c r="I52" s="383" t="s">
        <v>83</v>
      </c>
      <c r="J52" s="382">
        <v>2017</v>
      </c>
      <c r="K52" s="382"/>
      <c r="L52" s="382"/>
      <c r="M52" s="382"/>
      <c r="N52" s="382"/>
      <c r="O52" s="382"/>
      <c r="P52" s="383" t="s">
        <v>84</v>
      </c>
      <c r="Q52" s="385" t="s">
        <v>5</v>
      </c>
    </row>
    <row r="53" spans="1:17" x14ac:dyDescent="0.25">
      <c r="A53" s="376"/>
      <c r="B53" s="363"/>
      <c r="C53" s="178" t="s">
        <v>15</v>
      </c>
      <c r="D53" s="178" t="s">
        <v>16</v>
      </c>
      <c r="E53" s="178" t="s">
        <v>17</v>
      </c>
      <c r="F53" s="178" t="s">
        <v>6</v>
      </c>
      <c r="G53" s="178" t="s">
        <v>77</v>
      </c>
      <c r="H53" s="121" t="s">
        <v>78</v>
      </c>
      <c r="I53" s="384"/>
      <c r="J53" s="111" t="s">
        <v>79</v>
      </c>
      <c r="K53" s="178" t="s">
        <v>10</v>
      </c>
      <c r="L53" s="178" t="s">
        <v>11</v>
      </c>
      <c r="M53" s="178" t="s">
        <v>12</v>
      </c>
      <c r="N53" s="178" t="s">
        <v>80</v>
      </c>
      <c r="O53" s="121" t="s">
        <v>81</v>
      </c>
      <c r="P53" s="384"/>
      <c r="Q53" s="386"/>
    </row>
    <row r="54" spans="1:17" ht="15.75" thickBot="1" x14ac:dyDescent="0.3">
      <c r="A54" s="113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2">
        <v>8</v>
      </c>
      <c r="I54" s="124">
        <v>9</v>
      </c>
      <c r="J54" s="112">
        <v>10</v>
      </c>
      <c r="K54" s="5">
        <v>11</v>
      </c>
      <c r="L54" s="5">
        <v>12</v>
      </c>
      <c r="M54" s="5">
        <v>13</v>
      </c>
      <c r="N54" s="5">
        <v>14</v>
      </c>
      <c r="O54" s="122">
        <v>15</v>
      </c>
      <c r="P54" s="124">
        <v>16</v>
      </c>
      <c r="Q54" s="133">
        <v>17</v>
      </c>
    </row>
    <row r="55" spans="1:17" ht="15.75" thickTop="1" x14ac:dyDescent="0.25">
      <c r="A55" s="84">
        <v>1</v>
      </c>
      <c r="B55" s="7" t="s">
        <v>18</v>
      </c>
      <c r="C55" s="138">
        <v>1</v>
      </c>
      <c r="D55" s="138">
        <v>0</v>
      </c>
      <c r="E55" s="138">
        <v>0</v>
      </c>
      <c r="F55" s="138">
        <f>jagung!C9</f>
        <v>0</v>
      </c>
      <c r="G55" s="138">
        <f>jagung!D9</f>
        <v>0</v>
      </c>
      <c r="H55" s="138">
        <f>jagung!E9</f>
        <v>0</v>
      </c>
      <c r="I55" s="126">
        <f>SUM(C55:H55)</f>
        <v>1</v>
      </c>
      <c r="J55" s="158">
        <f>jagung!F9</f>
        <v>0</v>
      </c>
      <c r="K55" s="158">
        <f>jagung!G9</f>
        <v>0</v>
      </c>
      <c r="L55" s="158">
        <f>jagung!H9</f>
        <v>0</v>
      </c>
      <c r="M55" s="158">
        <f>jagung!I9</f>
        <v>0</v>
      </c>
      <c r="N55" s="158">
        <f>jagung!J9</f>
        <v>0</v>
      </c>
      <c r="O55" s="158">
        <f>jagung!K9</f>
        <v>0</v>
      </c>
      <c r="P55" s="126">
        <f>SUM(J55:O55)</f>
        <v>0</v>
      </c>
      <c r="Q55" s="129">
        <f>SUM(I55,P55)</f>
        <v>1</v>
      </c>
    </row>
    <row r="56" spans="1:17" x14ac:dyDescent="0.25">
      <c r="A56" s="85">
        <v>2</v>
      </c>
      <c r="B56" s="12" t="s">
        <v>19</v>
      </c>
      <c r="C56" s="60">
        <v>1</v>
      </c>
      <c r="D56" s="60">
        <v>0</v>
      </c>
      <c r="E56" s="60">
        <v>0</v>
      </c>
      <c r="F56" s="60">
        <f>jagung!C10</f>
        <v>0</v>
      </c>
      <c r="G56" s="60">
        <f>jagung!D10</f>
        <v>0</v>
      </c>
      <c r="H56" s="157">
        <f>jagung!E10</f>
        <v>0</v>
      </c>
      <c r="I56" s="127">
        <f t="shared" ref="I56:I62" si="33">SUM(C56:H56)</f>
        <v>1</v>
      </c>
      <c r="J56" s="262">
        <f>jagung!F10</f>
        <v>0</v>
      </c>
      <c r="K56" s="134">
        <f>jagung!G10</f>
        <v>0</v>
      </c>
      <c r="L56" s="134">
        <f>jagung!H10</f>
        <v>0</v>
      </c>
      <c r="M56" s="134">
        <f>jagung!I10</f>
        <v>0</v>
      </c>
      <c r="N56" s="134">
        <f>jagung!J10</f>
        <v>1</v>
      </c>
      <c r="O56" s="159">
        <f>jagung!K10</f>
        <v>0</v>
      </c>
      <c r="P56" s="127">
        <f t="shared" ref="P56:P61" si="34">SUM(J56:O56)</f>
        <v>1</v>
      </c>
      <c r="Q56" s="130">
        <f t="shared" ref="Q56:Q62" si="35">SUM(I56,P56)</f>
        <v>2</v>
      </c>
    </row>
    <row r="57" spans="1:17" x14ac:dyDescent="0.25">
      <c r="A57" s="85">
        <v>3</v>
      </c>
      <c r="B57" s="7" t="s">
        <v>20</v>
      </c>
      <c r="C57" s="60">
        <v>0</v>
      </c>
      <c r="D57" s="60">
        <v>35</v>
      </c>
      <c r="E57" s="60">
        <v>15</v>
      </c>
      <c r="F57" s="60">
        <f>jagung!C11</f>
        <v>0</v>
      </c>
      <c r="G57" s="60">
        <f>jagung!D11</f>
        <v>0</v>
      </c>
      <c r="H57" s="157">
        <f>jagung!E11</f>
        <v>0</v>
      </c>
      <c r="I57" s="127">
        <f t="shared" si="33"/>
        <v>50</v>
      </c>
      <c r="J57" s="262">
        <f>jagung!F11</f>
        <v>0</v>
      </c>
      <c r="K57" s="134">
        <f>jagung!G11</f>
        <v>0</v>
      </c>
      <c r="L57" s="134">
        <f>jagung!H11</f>
        <v>0</v>
      </c>
      <c r="M57" s="134">
        <f>jagung!I11</f>
        <v>0</v>
      </c>
      <c r="N57" s="134">
        <f>jagung!J11</f>
        <v>0</v>
      </c>
      <c r="O57" s="159">
        <f>jagung!K11</f>
        <v>0</v>
      </c>
      <c r="P57" s="127">
        <f t="shared" si="34"/>
        <v>0</v>
      </c>
      <c r="Q57" s="130">
        <f t="shared" si="35"/>
        <v>50</v>
      </c>
    </row>
    <row r="58" spans="1:17" x14ac:dyDescent="0.25">
      <c r="A58" s="86">
        <v>4</v>
      </c>
      <c r="B58" s="15" t="s">
        <v>21</v>
      </c>
      <c r="C58" s="60">
        <v>0</v>
      </c>
      <c r="D58" s="60">
        <v>0</v>
      </c>
      <c r="E58" s="60">
        <v>1</v>
      </c>
      <c r="F58" s="60">
        <f>jagung!C12</f>
        <v>0</v>
      </c>
      <c r="G58" s="60">
        <f>jagung!D12</f>
        <v>0</v>
      </c>
      <c r="H58" s="157">
        <f>jagung!E12</f>
        <v>0</v>
      </c>
      <c r="I58" s="127">
        <f t="shared" si="33"/>
        <v>1</v>
      </c>
      <c r="J58" s="262">
        <f>jagung!F12</f>
        <v>0</v>
      </c>
      <c r="K58" s="134">
        <f>jagung!G12</f>
        <v>0</v>
      </c>
      <c r="L58" s="134">
        <f>jagung!H12</f>
        <v>0</v>
      </c>
      <c r="M58" s="134">
        <f>jagung!I12</f>
        <v>0</v>
      </c>
      <c r="N58" s="134">
        <f>jagung!J12</f>
        <v>0</v>
      </c>
      <c r="O58" s="159">
        <f>jagung!K12</f>
        <v>2</v>
      </c>
      <c r="P58" s="127">
        <f t="shared" si="34"/>
        <v>2</v>
      </c>
      <c r="Q58" s="130">
        <f t="shared" si="35"/>
        <v>3</v>
      </c>
    </row>
    <row r="59" spans="1:17" x14ac:dyDescent="0.25">
      <c r="A59" s="86">
        <v>5</v>
      </c>
      <c r="B59" s="19" t="s">
        <v>22</v>
      </c>
      <c r="C59" s="60">
        <v>0</v>
      </c>
      <c r="D59" s="60">
        <v>0</v>
      </c>
      <c r="E59" s="60">
        <v>0</v>
      </c>
      <c r="F59" s="60">
        <f>jagung!C13</f>
        <v>0</v>
      </c>
      <c r="G59" s="60">
        <f>jagung!D13</f>
        <v>0</v>
      </c>
      <c r="H59" s="157">
        <f>jagung!E13</f>
        <v>0</v>
      </c>
      <c r="I59" s="127">
        <f t="shared" si="33"/>
        <v>0</v>
      </c>
      <c r="J59" s="262">
        <f>jagung!F13</f>
        <v>0</v>
      </c>
      <c r="K59" s="134">
        <f>jagung!G13</f>
        <v>2</v>
      </c>
      <c r="L59" s="134">
        <f>jagung!H13</f>
        <v>0</v>
      </c>
      <c r="M59" s="134">
        <f>jagung!I13</f>
        <v>6</v>
      </c>
      <c r="N59" s="134">
        <f>jagung!J13</f>
        <v>2</v>
      </c>
      <c r="O59" s="159">
        <f>jagung!K13</f>
        <v>0</v>
      </c>
      <c r="P59" s="127">
        <f t="shared" si="34"/>
        <v>10</v>
      </c>
      <c r="Q59" s="130">
        <f t="shared" si="35"/>
        <v>10</v>
      </c>
    </row>
    <row r="60" spans="1:17" x14ac:dyDescent="0.25">
      <c r="A60" s="86">
        <v>6</v>
      </c>
      <c r="B60" s="19" t="s">
        <v>23</v>
      </c>
      <c r="C60" s="60">
        <v>0</v>
      </c>
      <c r="D60" s="60">
        <v>0</v>
      </c>
      <c r="E60" s="60">
        <v>0</v>
      </c>
      <c r="F60" s="60">
        <f>jagung!C14</f>
        <v>0</v>
      </c>
      <c r="G60" s="60">
        <f>jagung!D14</f>
        <v>0</v>
      </c>
      <c r="H60" s="157">
        <f>jagung!E14</f>
        <v>0</v>
      </c>
      <c r="I60" s="127">
        <f t="shared" si="33"/>
        <v>0</v>
      </c>
      <c r="J60" s="262">
        <f>jagung!F14</f>
        <v>0</v>
      </c>
      <c r="K60" s="134">
        <f>jagung!G14</f>
        <v>0</v>
      </c>
      <c r="L60" s="134">
        <f>jagung!H14</f>
        <v>0</v>
      </c>
      <c r="M60" s="134">
        <f>jagung!I14</f>
        <v>0</v>
      </c>
      <c r="N60" s="134">
        <f>jagung!J14</f>
        <v>0</v>
      </c>
      <c r="O60" s="159">
        <f>jagung!K14</f>
        <v>0</v>
      </c>
      <c r="P60" s="127">
        <f t="shared" si="34"/>
        <v>0</v>
      </c>
      <c r="Q60" s="130">
        <f t="shared" si="35"/>
        <v>0</v>
      </c>
    </row>
    <row r="61" spans="1:17" x14ac:dyDescent="0.25">
      <c r="A61" s="86">
        <v>7</v>
      </c>
      <c r="B61" s="19" t="s">
        <v>24</v>
      </c>
      <c r="C61" s="60">
        <v>0</v>
      </c>
      <c r="D61" s="60">
        <v>0</v>
      </c>
      <c r="E61" s="60">
        <v>0</v>
      </c>
      <c r="F61" s="60">
        <f>jagung!C15</f>
        <v>0</v>
      </c>
      <c r="G61" s="60">
        <f>jagung!D15</f>
        <v>0</v>
      </c>
      <c r="H61" s="157">
        <f>jagung!E15</f>
        <v>0</v>
      </c>
      <c r="I61" s="127">
        <f t="shared" si="33"/>
        <v>0</v>
      </c>
      <c r="J61" s="262">
        <f>jagung!F15</f>
        <v>0</v>
      </c>
      <c r="K61" s="134">
        <f>jagung!G15</f>
        <v>0</v>
      </c>
      <c r="L61" s="134">
        <f>jagung!H15</f>
        <v>0</v>
      </c>
      <c r="M61" s="134">
        <f>jagung!I15</f>
        <v>0</v>
      </c>
      <c r="N61" s="134">
        <f>jagung!J15</f>
        <v>0</v>
      </c>
      <c r="O61" s="159">
        <f>jagung!K15</f>
        <v>0</v>
      </c>
      <c r="P61" s="127">
        <f t="shared" si="34"/>
        <v>0</v>
      </c>
      <c r="Q61" s="130">
        <f t="shared" si="35"/>
        <v>0</v>
      </c>
    </row>
    <row r="62" spans="1:17" ht="15.75" thickBot="1" x14ac:dyDescent="0.3">
      <c r="A62" s="87">
        <v>8</v>
      </c>
      <c r="B62" s="15" t="s">
        <v>25</v>
      </c>
      <c r="C62" s="139">
        <v>1</v>
      </c>
      <c r="D62" s="139">
        <v>1</v>
      </c>
      <c r="E62" s="139">
        <v>0</v>
      </c>
      <c r="F62" s="139">
        <f>jagung!C16</f>
        <v>1</v>
      </c>
      <c r="G62" s="139">
        <f>jagung!D16</f>
        <v>1</v>
      </c>
      <c r="H62" s="139">
        <f>jagung!E16</f>
        <v>0</v>
      </c>
      <c r="I62" s="128">
        <f t="shared" si="33"/>
        <v>4</v>
      </c>
      <c r="J62" s="273">
        <f>jagung!F16</f>
        <v>0</v>
      </c>
      <c r="K62" s="273">
        <f>jagung!G16</f>
        <v>1</v>
      </c>
      <c r="L62" s="273">
        <f>jagung!H16</f>
        <v>0</v>
      </c>
      <c r="M62" s="273">
        <f>jagung!I16</f>
        <v>0</v>
      </c>
      <c r="N62" s="273">
        <f>jagung!J16</f>
        <v>0</v>
      </c>
      <c r="O62" s="273">
        <f>jagung!K16</f>
        <v>0</v>
      </c>
      <c r="P62" s="128">
        <f>SUM(J62:O62)</f>
        <v>1</v>
      </c>
      <c r="Q62" s="131">
        <f t="shared" si="35"/>
        <v>5</v>
      </c>
    </row>
    <row r="63" spans="1:17" ht="16.5" thickTop="1" thickBot="1" x14ac:dyDescent="0.3">
      <c r="A63" s="378" t="s">
        <v>26</v>
      </c>
      <c r="B63" s="379"/>
      <c r="C63" s="114">
        <f t="shared" ref="C63:H63" si="36">SUM(C55:C62)</f>
        <v>3</v>
      </c>
      <c r="D63" s="114">
        <f t="shared" si="36"/>
        <v>36</v>
      </c>
      <c r="E63" s="114">
        <f t="shared" si="36"/>
        <v>16</v>
      </c>
      <c r="F63" s="114">
        <f t="shared" si="36"/>
        <v>1</v>
      </c>
      <c r="G63" s="114">
        <f t="shared" si="36"/>
        <v>1</v>
      </c>
      <c r="H63" s="123">
        <f t="shared" si="36"/>
        <v>0</v>
      </c>
      <c r="I63" s="125">
        <f>SUM(I55:I62)</f>
        <v>57</v>
      </c>
      <c r="J63" s="172">
        <f t="shared" ref="J63:O63" si="37">SUM(J55:J62)</f>
        <v>0</v>
      </c>
      <c r="K63" s="114">
        <f t="shared" si="37"/>
        <v>3</v>
      </c>
      <c r="L63" s="114">
        <f t="shared" si="37"/>
        <v>0</v>
      </c>
      <c r="M63" s="114">
        <f t="shared" si="37"/>
        <v>6</v>
      </c>
      <c r="N63" s="114">
        <f t="shared" si="37"/>
        <v>3</v>
      </c>
      <c r="O63" s="123">
        <f t="shared" si="37"/>
        <v>2</v>
      </c>
      <c r="P63" s="125">
        <f>SUM(P55:P62)</f>
        <v>14</v>
      </c>
      <c r="Q63" s="132">
        <f>SUM(Q55:Q62)</f>
        <v>71</v>
      </c>
    </row>
    <row r="65" spans="1:17" ht="15.75" x14ac:dyDescent="0.25">
      <c r="A65" s="380" t="s">
        <v>114</v>
      </c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</row>
    <row r="66" spans="1:17" ht="15.75" x14ac:dyDescent="0.25">
      <c r="A66" s="380" t="s">
        <v>82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</row>
    <row r="67" spans="1:17" ht="15.75" thickBot="1" x14ac:dyDescent="0.3">
      <c r="Q67" s="76" t="s">
        <v>1</v>
      </c>
    </row>
    <row r="68" spans="1:17" x14ac:dyDescent="0.25">
      <c r="A68" s="375" t="s">
        <v>2</v>
      </c>
      <c r="B68" s="377" t="s">
        <v>3</v>
      </c>
      <c r="C68" s="381" t="s">
        <v>90</v>
      </c>
      <c r="D68" s="382"/>
      <c r="E68" s="382"/>
      <c r="F68" s="382"/>
      <c r="G68" s="382"/>
      <c r="H68" s="382"/>
      <c r="I68" s="383" t="s">
        <v>83</v>
      </c>
      <c r="J68" s="382">
        <v>2017</v>
      </c>
      <c r="K68" s="382"/>
      <c r="L68" s="382"/>
      <c r="M68" s="382"/>
      <c r="N68" s="382"/>
      <c r="O68" s="382"/>
      <c r="P68" s="383" t="s">
        <v>84</v>
      </c>
      <c r="Q68" s="385" t="s">
        <v>5</v>
      </c>
    </row>
    <row r="69" spans="1:17" x14ac:dyDescent="0.25">
      <c r="A69" s="376"/>
      <c r="B69" s="363"/>
      <c r="C69" s="178" t="s">
        <v>15</v>
      </c>
      <c r="D69" s="178" t="s">
        <v>16</v>
      </c>
      <c r="E69" s="178" t="s">
        <v>17</v>
      </c>
      <c r="F69" s="178" t="s">
        <v>6</v>
      </c>
      <c r="G69" s="178" t="s">
        <v>77</v>
      </c>
      <c r="H69" s="121" t="s">
        <v>78</v>
      </c>
      <c r="I69" s="384"/>
      <c r="J69" s="111" t="s">
        <v>79</v>
      </c>
      <c r="K69" s="178" t="s">
        <v>10</v>
      </c>
      <c r="L69" s="178" t="s">
        <v>11</v>
      </c>
      <c r="M69" s="178" t="s">
        <v>12</v>
      </c>
      <c r="N69" s="178" t="s">
        <v>80</v>
      </c>
      <c r="O69" s="121" t="s">
        <v>81</v>
      </c>
      <c r="P69" s="384"/>
      <c r="Q69" s="386"/>
    </row>
    <row r="70" spans="1:17" ht="15.75" thickBot="1" x14ac:dyDescent="0.3">
      <c r="A70" s="113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2">
        <v>8</v>
      </c>
      <c r="I70" s="124">
        <v>9</v>
      </c>
      <c r="J70" s="112">
        <v>10</v>
      </c>
      <c r="K70" s="5">
        <v>11</v>
      </c>
      <c r="L70" s="5">
        <v>12</v>
      </c>
      <c r="M70" s="5">
        <v>13</v>
      </c>
      <c r="N70" s="5">
        <v>14</v>
      </c>
      <c r="O70" s="122">
        <v>15</v>
      </c>
      <c r="P70" s="124">
        <v>16</v>
      </c>
      <c r="Q70" s="133">
        <v>17</v>
      </c>
    </row>
    <row r="71" spans="1:17" ht="15.75" thickTop="1" x14ac:dyDescent="0.25">
      <c r="A71" s="84">
        <v>1</v>
      </c>
      <c r="B71" s="7" t="s">
        <v>18</v>
      </c>
      <c r="C71" s="138">
        <v>0</v>
      </c>
      <c r="D71" s="138">
        <v>0</v>
      </c>
      <c r="E71" s="138">
        <v>0</v>
      </c>
      <c r="F71" s="138">
        <f>kedelai!C9</f>
        <v>0</v>
      </c>
      <c r="G71" s="138">
        <f>kedelai!D9</f>
        <v>0</v>
      </c>
      <c r="H71" s="138">
        <f>kedelai!E9</f>
        <v>0</v>
      </c>
      <c r="I71" s="126">
        <f>SUM(C71:H71)</f>
        <v>0</v>
      </c>
      <c r="J71" s="138">
        <v>0</v>
      </c>
      <c r="K71" s="138">
        <v>0</v>
      </c>
      <c r="L71" s="138">
        <v>0</v>
      </c>
      <c r="M71" s="138">
        <f>kedelai!J9</f>
        <v>0</v>
      </c>
      <c r="N71" s="138">
        <f>kedelai!K9</f>
        <v>0</v>
      </c>
      <c r="O71" s="138">
        <f>kedelai!L9</f>
        <v>0</v>
      </c>
      <c r="P71" s="126">
        <f>SUM(J71:O71)</f>
        <v>0</v>
      </c>
      <c r="Q71" s="129">
        <f>SUM(I71,P71)</f>
        <v>0</v>
      </c>
    </row>
    <row r="72" spans="1:17" x14ac:dyDescent="0.25">
      <c r="A72" s="85">
        <v>2</v>
      </c>
      <c r="B72" s="12" t="s">
        <v>19</v>
      </c>
      <c r="C72" s="60">
        <v>0</v>
      </c>
      <c r="D72" s="60">
        <v>0</v>
      </c>
      <c r="E72" s="60">
        <v>0</v>
      </c>
      <c r="F72" s="60">
        <f>kedelai!C10</f>
        <v>0</v>
      </c>
      <c r="G72" s="60">
        <f>kedelai!D10</f>
        <v>0</v>
      </c>
      <c r="H72" s="157">
        <f>kedelai!E10</f>
        <v>0</v>
      </c>
      <c r="I72" s="127">
        <f t="shared" ref="I72:I78" si="38">SUM(C72:H72)</f>
        <v>0</v>
      </c>
      <c r="J72" s="60">
        <v>0</v>
      </c>
      <c r="K72" s="60">
        <v>0</v>
      </c>
      <c r="L72" s="60">
        <v>0</v>
      </c>
      <c r="M72" s="60">
        <f>kedelai!J10</f>
        <v>0</v>
      </c>
      <c r="N72" s="60">
        <f>kedelai!K10</f>
        <v>0</v>
      </c>
      <c r="O72" s="157">
        <f>kedelai!L10</f>
        <v>0</v>
      </c>
      <c r="P72" s="127">
        <f t="shared" ref="P72:P77" si="39">SUM(J72:O72)</f>
        <v>0</v>
      </c>
      <c r="Q72" s="130">
        <f t="shared" ref="Q72:Q78" si="40">SUM(I72,P72)</f>
        <v>0</v>
      </c>
    </row>
    <row r="73" spans="1:17" x14ac:dyDescent="0.25">
      <c r="A73" s="85">
        <v>3</v>
      </c>
      <c r="B73" s="7" t="s">
        <v>20</v>
      </c>
      <c r="C73" s="60">
        <v>0</v>
      </c>
      <c r="D73" s="60">
        <v>0</v>
      </c>
      <c r="E73" s="60">
        <v>0</v>
      </c>
      <c r="F73" s="60">
        <f>kedelai!C11</f>
        <v>0</v>
      </c>
      <c r="G73" s="60">
        <f>kedelai!D11</f>
        <v>0</v>
      </c>
      <c r="H73" s="157">
        <f>kedelai!E11</f>
        <v>0</v>
      </c>
      <c r="I73" s="127">
        <f t="shared" si="38"/>
        <v>0</v>
      </c>
      <c r="J73" s="60">
        <v>0</v>
      </c>
      <c r="K73" s="60">
        <v>0</v>
      </c>
      <c r="L73" s="60">
        <v>0</v>
      </c>
      <c r="M73" s="60">
        <f>kedelai!J11</f>
        <v>0</v>
      </c>
      <c r="N73" s="60">
        <f>kedelai!K11</f>
        <v>0</v>
      </c>
      <c r="O73" s="157">
        <f>kedelai!L11</f>
        <v>0</v>
      </c>
      <c r="P73" s="127">
        <f t="shared" si="39"/>
        <v>0</v>
      </c>
      <c r="Q73" s="130">
        <f t="shared" si="40"/>
        <v>0</v>
      </c>
    </row>
    <row r="74" spans="1:17" x14ac:dyDescent="0.25">
      <c r="A74" s="86">
        <v>4</v>
      </c>
      <c r="B74" s="15" t="s">
        <v>21</v>
      </c>
      <c r="C74" s="60">
        <v>0</v>
      </c>
      <c r="D74" s="60">
        <v>0</v>
      </c>
      <c r="E74" s="60">
        <v>0</v>
      </c>
      <c r="F74" s="60">
        <f>kedelai!C12</f>
        <v>0</v>
      </c>
      <c r="G74" s="60">
        <f>kedelai!D12</f>
        <v>0</v>
      </c>
      <c r="H74" s="157">
        <f>kedelai!E12</f>
        <v>0</v>
      </c>
      <c r="I74" s="127">
        <f t="shared" si="38"/>
        <v>0</v>
      </c>
      <c r="J74" s="60">
        <v>0</v>
      </c>
      <c r="K74" s="60">
        <v>0</v>
      </c>
      <c r="L74" s="60">
        <v>0</v>
      </c>
      <c r="M74" s="60">
        <f>kedelai!J12</f>
        <v>0</v>
      </c>
      <c r="N74" s="60">
        <f>kedelai!K12</f>
        <v>0</v>
      </c>
      <c r="O74" s="157">
        <f>kedelai!L12</f>
        <v>0</v>
      </c>
      <c r="P74" s="127">
        <f t="shared" si="39"/>
        <v>0</v>
      </c>
      <c r="Q74" s="130">
        <f t="shared" si="40"/>
        <v>0</v>
      </c>
    </row>
    <row r="75" spans="1:17" x14ac:dyDescent="0.25">
      <c r="A75" s="86">
        <v>5</v>
      </c>
      <c r="B75" s="19" t="s">
        <v>22</v>
      </c>
      <c r="C75" s="60">
        <v>0</v>
      </c>
      <c r="D75" s="60">
        <v>0</v>
      </c>
      <c r="E75" s="60">
        <v>0</v>
      </c>
      <c r="F75" s="60">
        <f>kedelai!C13</f>
        <v>0</v>
      </c>
      <c r="G75" s="60">
        <f>kedelai!D13</f>
        <v>0</v>
      </c>
      <c r="H75" s="157">
        <f>kedelai!E13</f>
        <v>0</v>
      </c>
      <c r="I75" s="127">
        <f t="shared" si="38"/>
        <v>0</v>
      </c>
      <c r="J75" s="60">
        <v>0</v>
      </c>
      <c r="K75" s="60">
        <v>0</v>
      </c>
      <c r="L75" s="60">
        <v>0</v>
      </c>
      <c r="M75" s="60">
        <f>kedelai!J13</f>
        <v>0</v>
      </c>
      <c r="N75" s="60">
        <f>kedelai!K13</f>
        <v>0</v>
      </c>
      <c r="O75" s="157">
        <f>kedelai!L13</f>
        <v>0</v>
      </c>
      <c r="P75" s="127">
        <f t="shared" si="39"/>
        <v>0</v>
      </c>
      <c r="Q75" s="130">
        <f t="shared" si="40"/>
        <v>0</v>
      </c>
    </row>
    <row r="76" spans="1:17" x14ac:dyDescent="0.25">
      <c r="A76" s="86">
        <v>6</v>
      </c>
      <c r="B76" s="19" t="s">
        <v>23</v>
      </c>
      <c r="C76" s="60">
        <v>0</v>
      </c>
      <c r="D76" s="60">
        <v>0</v>
      </c>
      <c r="E76" s="60">
        <v>0</v>
      </c>
      <c r="F76" s="60">
        <f>kedelai!C14</f>
        <v>0</v>
      </c>
      <c r="G76" s="60">
        <f>kedelai!D14</f>
        <v>0</v>
      </c>
      <c r="H76" s="157">
        <f>kedelai!E14</f>
        <v>0</v>
      </c>
      <c r="I76" s="127">
        <f t="shared" si="38"/>
        <v>0</v>
      </c>
      <c r="J76" s="60">
        <v>0</v>
      </c>
      <c r="K76" s="60">
        <v>0</v>
      </c>
      <c r="L76" s="60">
        <v>0</v>
      </c>
      <c r="M76" s="60">
        <f>kedelai!J14</f>
        <v>0</v>
      </c>
      <c r="N76" s="60">
        <f>kedelai!K14</f>
        <v>0</v>
      </c>
      <c r="O76" s="157">
        <f>kedelai!L14</f>
        <v>0</v>
      </c>
      <c r="P76" s="127">
        <f t="shared" si="39"/>
        <v>0</v>
      </c>
      <c r="Q76" s="130">
        <f t="shared" si="40"/>
        <v>0</v>
      </c>
    </row>
    <row r="77" spans="1:17" x14ac:dyDescent="0.25">
      <c r="A77" s="86">
        <v>7</v>
      </c>
      <c r="B77" s="19" t="s">
        <v>24</v>
      </c>
      <c r="C77" s="60">
        <v>0</v>
      </c>
      <c r="D77" s="60">
        <v>0</v>
      </c>
      <c r="E77" s="60">
        <v>0</v>
      </c>
      <c r="F77" s="60">
        <f>kedelai!C15</f>
        <v>0</v>
      </c>
      <c r="G77" s="60">
        <f>kedelai!D15</f>
        <v>0</v>
      </c>
      <c r="H77" s="157">
        <f>kedelai!E15</f>
        <v>0</v>
      </c>
      <c r="I77" s="127">
        <f t="shared" si="38"/>
        <v>0</v>
      </c>
      <c r="J77" s="60">
        <v>0</v>
      </c>
      <c r="K77" s="60">
        <v>0</v>
      </c>
      <c r="L77" s="60">
        <v>0</v>
      </c>
      <c r="M77" s="60">
        <f>kedelai!J15</f>
        <v>0</v>
      </c>
      <c r="N77" s="60">
        <f>kedelai!K15</f>
        <v>0</v>
      </c>
      <c r="O77" s="157">
        <f>kedelai!L15</f>
        <v>0</v>
      </c>
      <c r="P77" s="127">
        <f t="shared" si="39"/>
        <v>0</v>
      </c>
      <c r="Q77" s="130">
        <f t="shared" si="40"/>
        <v>0</v>
      </c>
    </row>
    <row r="78" spans="1:17" ht="15.75" thickBot="1" x14ac:dyDescent="0.3">
      <c r="A78" s="87">
        <v>8</v>
      </c>
      <c r="B78" s="15" t="s">
        <v>25</v>
      </c>
      <c r="C78" s="139">
        <v>0</v>
      </c>
      <c r="D78" s="139">
        <v>0</v>
      </c>
      <c r="E78" s="139">
        <v>0</v>
      </c>
      <c r="F78" s="139">
        <f>kedelai!C16</f>
        <v>0</v>
      </c>
      <c r="G78" s="139">
        <f>kedelai!D16</f>
        <v>0</v>
      </c>
      <c r="H78" s="139">
        <f>kedelai!E16</f>
        <v>0</v>
      </c>
      <c r="I78" s="128">
        <f t="shared" si="38"/>
        <v>0</v>
      </c>
      <c r="J78" s="139">
        <v>0</v>
      </c>
      <c r="K78" s="139">
        <v>0</v>
      </c>
      <c r="L78" s="139">
        <v>0</v>
      </c>
      <c r="M78" s="139">
        <f>kedelai!J16</f>
        <v>0</v>
      </c>
      <c r="N78" s="139">
        <f>kedelai!K16</f>
        <v>0</v>
      </c>
      <c r="O78" s="139">
        <f>kedelai!L16</f>
        <v>0</v>
      </c>
      <c r="P78" s="128">
        <f>SUM(J78:O78)</f>
        <v>0</v>
      </c>
      <c r="Q78" s="131">
        <f t="shared" si="40"/>
        <v>0</v>
      </c>
    </row>
    <row r="79" spans="1:17" ht="16.5" thickTop="1" thickBot="1" x14ac:dyDescent="0.3">
      <c r="A79" s="378" t="s">
        <v>26</v>
      </c>
      <c r="B79" s="379"/>
      <c r="C79" s="114">
        <f t="shared" ref="C79:H79" si="41">SUM(C71:C78)</f>
        <v>0</v>
      </c>
      <c r="D79" s="114">
        <f t="shared" si="41"/>
        <v>0</v>
      </c>
      <c r="E79" s="114">
        <f t="shared" si="41"/>
        <v>0</v>
      </c>
      <c r="F79" s="114">
        <f t="shared" si="41"/>
        <v>0</v>
      </c>
      <c r="G79" s="114">
        <f t="shared" si="41"/>
        <v>0</v>
      </c>
      <c r="H79" s="123">
        <f t="shared" si="41"/>
        <v>0</v>
      </c>
      <c r="I79" s="125">
        <f>SUM(I71:I78)</f>
        <v>0</v>
      </c>
      <c r="J79" s="135">
        <f t="shared" ref="J79:O79" si="42">SUM(J71:J78)</f>
        <v>0</v>
      </c>
      <c r="K79" s="114">
        <f t="shared" si="42"/>
        <v>0</v>
      </c>
      <c r="L79" s="114">
        <f t="shared" si="42"/>
        <v>0</v>
      </c>
      <c r="M79" s="114">
        <f t="shared" si="42"/>
        <v>0</v>
      </c>
      <c r="N79" s="114">
        <f t="shared" si="42"/>
        <v>0</v>
      </c>
      <c r="O79" s="123">
        <f t="shared" si="42"/>
        <v>0</v>
      </c>
      <c r="P79" s="125">
        <f>SUM(P71:P78)</f>
        <v>0</v>
      </c>
      <c r="Q79" s="132">
        <f>SUM(Q71:Q78)</f>
        <v>0</v>
      </c>
    </row>
    <row r="81" spans="1:17" ht="15.75" x14ac:dyDescent="0.25">
      <c r="A81" s="380" t="s">
        <v>115</v>
      </c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</row>
    <row r="82" spans="1:17" ht="15.75" x14ac:dyDescent="0.25">
      <c r="A82" s="380" t="s">
        <v>82</v>
      </c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</row>
    <row r="83" spans="1:17" ht="15.75" thickBot="1" x14ac:dyDescent="0.3">
      <c r="Q83" s="76" t="s">
        <v>1</v>
      </c>
    </row>
    <row r="84" spans="1:17" x14ac:dyDescent="0.25">
      <c r="A84" s="375" t="s">
        <v>2</v>
      </c>
      <c r="B84" s="377" t="s">
        <v>3</v>
      </c>
      <c r="C84" s="381" t="s">
        <v>90</v>
      </c>
      <c r="D84" s="382"/>
      <c r="E84" s="382"/>
      <c r="F84" s="382"/>
      <c r="G84" s="382"/>
      <c r="H84" s="382"/>
      <c r="I84" s="383" t="s">
        <v>83</v>
      </c>
      <c r="J84" s="382">
        <v>2017</v>
      </c>
      <c r="K84" s="382"/>
      <c r="L84" s="382"/>
      <c r="M84" s="382"/>
      <c r="N84" s="382"/>
      <c r="O84" s="382"/>
      <c r="P84" s="383" t="s">
        <v>84</v>
      </c>
      <c r="Q84" s="385" t="s">
        <v>5</v>
      </c>
    </row>
    <row r="85" spans="1:17" x14ac:dyDescent="0.25">
      <c r="A85" s="376"/>
      <c r="B85" s="363"/>
      <c r="C85" s="178" t="s">
        <v>15</v>
      </c>
      <c r="D85" s="178" t="s">
        <v>16</v>
      </c>
      <c r="E85" s="178" t="s">
        <v>17</v>
      </c>
      <c r="F85" s="178" t="s">
        <v>6</v>
      </c>
      <c r="G85" s="178" t="s">
        <v>77</v>
      </c>
      <c r="H85" s="121" t="s">
        <v>78</v>
      </c>
      <c r="I85" s="384"/>
      <c r="J85" s="111" t="s">
        <v>79</v>
      </c>
      <c r="K85" s="178" t="s">
        <v>10</v>
      </c>
      <c r="L85" s="178" t="s">
        <v>11</v>
      </c>
      <c r="M85" s="178" t="s">
        <v>12</v>
      </c>
      <c r="N85" s="178" t="s">
        <v>80</v>
      </c>
      <c r="O85" s="121" t="s">
        <v>81</v>
      </c>
      <c r="P85" s="384"/>
      <c r="Q85" s="386"/>
    </row>
    <row r="86" spans="1:17" ht="15.75" thickBot="1" x14ac:dyDescent="0.3">
      <c r="A86" s="113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2">
        <v>8</v>
      </c>
      <c r="I86" s="124">
        <v>9</v>
      </c>
      <c r="J86" s="112">
        <v>10</v>
      </c>
      <c r="K86" s="5">
        <v>11</v>
      </c>
      <c r="L86" s="5">
        <v>12</v>
      </c>
      <c r="M86" s="5">
        <v>13</v>
      </c>
      <c r="N86" s="5">
        <v>14</v>
      </c>
      <c r="O86" s="122">
        <v>15</v>
      </c>
      <c r="P86" s="124">
        <v>16</v>
      </c>
      <c r="Q86" s="133">
        <v>17</v>
      </c>
    </row>
    <row r="87" spans="1:17" ht="15.75" thickTop="1" x14ac:dyDescent="0.25">
      <c r="A87" s="84">
        <v>1</v>
      </c>
      <c r="B87" s="7" t="s">
        <v>18</v>
      </c>
      <c r="C87" s="138">
        <v>77</v>
      </c>
      <c r="D87" s="138">
        <v>49</v>
      </c>
      <c r="E87" s="138">
        <v>35</v>
      </c>
      <c r="F87" s="138">
        <f>'kc tanah'!C9</f>
        <v>0</v>
      </c>
      <c r="G87" s="138">
        <f>'kc tanah'!D9</f>
        <v>185</v>
      </c>
      <c r="H87" s="138">
        <f>'kc tanah'!E9</f>
        <v>0</v>
      </c>
      <c r="I87" s="126">
        <f>SUM(C87:H87)</f>
        <v>346</v>
      </c>
      <c r="J87" s="158">
        <f>'kc tanah'!F9</f>
        <v>0</v>
      </c>
      <c r="K87" s="158">
        <f>'kc tanah'!G9</f>
        <v>0</v>
      </c>
      <c r="L87" s="158">
        <f>'kc tanah'!H9</f>
        <v>0</v>
      </c>
      <c r="M87" s="158">
        <f>'kc tanah'!I9</f>
        <v>0</v>
      </c>
      <c r="N87" s="158">
        <f>'kc tanah'!J9</f>
        <v>0</v>
      </c>
      <c r="O87" s="158">
        <f>'kc tanah'!K9</f>
        <v>0</v>
      </c>
      <c r="P87" s="126">
        <f>SUM(J87:O87)</f>
        <v>0</v>
      </c>
      <c r="Q87" s="129">
        <f>SUM(I87,P87)</f>
        <v>346</v>
      </c>
    </row>
    <row r="88" spans="1:17" x14ac:dyDescent="0.25">
      <c r="A88" s="85">
        <v>2</v>
      </c>
      <c r="B88" s="12" t="s">
        <v>19</v>
      </c>
      <c r="C88" s="60">
        <v>122</v>
      </c>
      <c r="D88" s="60">
        <v>64</v>
      </c>
      <c r="E88" s="60">
        <v>0</v>
      </c>
      <c r="F88" s="60">
        <f>'kc tanah'!C10</f>
        <v>25</v>
      </c>
      <c r="G88" s="60">
        <f>'kc tanah'!D10</f>
        <v>85</v>
      </c>
      <c r="H88" s="157">
        <f>'kc tanah'!E10</f>
        <v>0</v>
      </c>
      <c r="I88" s="127">
        <f t="shared" ref="I88:I94" si="43">SUM(C88:H88)</f>
        <v>296</v>
      </c>
      <c r="J88" s="262">
        <f>'kc tanah'!F10</f>
        <v>0</v>
      </c>
      <c r="K88" s="134">
        <f>'kc tanah'!G10</f>
        <v>0</v>
      </c>
      <c r="L88" s="134">
        <f>'kc tanah'!H10</f>
        <v>0</v>
      </c>
      <c r="M88" s="134">
        <f>'kc tanah'!I10</f>
        <v>0</v>
      </c>
      <c r="N88" s="134">
        <f>'kc tanah'!J10</f>
        <v>0</v>
      </c>
      <c r="O88" s="159">
        <f>'kc tanah'!K10</f>
        <v>0</v>
      </c>
      <c r="P88" s="127">
        <f t="shared" ref="P88:P93" si="44">SUM(J88:O88)</f>
        <v>0</v>
      </c>
      <c r="Q88" s="130">
        <f t="shared" ref="Q88:Q94" si="45">SUM(I88,P88)</f>
        <v>296</v>
      </c>
    </row>
    <row r="89" spans="1:17" x14ac:dyDescent="0.25">
      <c r="A89" s="85">
        <v>3</v>
      </c>
      <c r="B89" s="7" t="s">
        <v>20</v>
      </c>
      <c r="C89" s="60">
        <v>125</v>
      </c>
      <c r="D89" s="60">
        <v>180</v>
      </c>
      <c r="E89" s="60">
        <v>0</v>
      </c>
      <c r="F89" s="60">
        <f>'kc tanah'!C11</f>
        <v>0</v>
      </c>
      <c r="G89" s="60">
        <f>'kc tanah'!D11</f>
        <v>257</v>
      </c>
      <c r="H89" s="157">
        <f>'kc tanah'!E11</f>
        <v>0.5</v>
      </c>
      <c r="I89" s="127">
        <f t="shared" si="43"/>
        <v>562.5</v>
      </c>
      <c r="J89" s="262">
        <f>'kc tanah'!F11</f>
        <v>6</v>
      </c>
      <c r="K89" s="134">
        <f>'kc tanah'!G11</f>
        <v>3</v>
      </c>
      <c r="L89" s="134">
        <f>'kc tanah'!H11</f>
        <v>6</v>
      </c>
      <c r="M89" s="134">
        <f>'kc tanah'!I11</f>
        <v>0</v>
      </c>
      <c r="N89" s="134">
        <f>'kc tanah'!J11</f>
        <v>0</v>
      </c>
      <c r="O89" s="159">
        <f>'kc tanah'!K11</f>
        <v>5</v>
      </c>
      <c r="P89" s="127">
        <f t="shared" si="44"/>
        <v>20</v>
      </c>
      <c r="Q89" s="130">
        <f t="shared" si="45"/>
        <v>582.5</v>
      </c>
    </row>
    <row r="90" spans="1:17" x14ac:dyDescent="0.25">
      <c r="A90" s="86">
        <v>4</v>
      </c>
      <c r="B90" s="15" t="s">
        <v>21</v>
      </c>
      <c r="C90" s="60">
        <v>11</v>
      </c>
      <c r="D90" s="60">
        <v>8</v>
      </c>
      <c r="E90" s="60">
        <v>2</v>
      </c>
      <c r="F90" s="60">
        <f>'kc tanah'!C12</f>
        <v>167</v>
      </c>
      <c r="G90" s="60">
        <f>'kc tanah'!D12</f>
        <v>0</v>
      </c>
      <c r="H90" s="157">
        <f>'kc tanah'!E12</f>
        <v>5</v>
      </c>
      <c r="I90" s="127">
        <f t="shared" si="43"/>
        <v>193</v>
      </c>
      <c r="J90" s="262">
        <f>'kc tanah'!F12</f>
        <v>0</v>
      </c>
      <c r="K90" s="134">
        <f>'kc tanah'!G12</f>
        <v>10</v>
      </c>
      <c r="L90" s="134">
        <f>'kc tanah'!H12</f>
        <v>5</v>
      </c>
      <c r="M90" s="134">
        <f>'kc tanah'!I12</f>
        <v>10</v>
      </c>
      <c r="N90" s="134">
        <f>'kc tanah'!J12</f>
        <v>0</v>
      </c>
      <c r="O90" s="159">
        <f>'kc tanah'!K12</f>
        <v>5</v>
      </c>
      <c r="P90" s="127">
        <f t="shared" si="44"/>
        <v>30</v>
      </c>
      <c r="Q90" s="130">
        <f t="shared" si="45"/>
        <v>223</v>
      </c>
    </row>
    <row r="91" spans="1:17" x14ac:dyDescent="0.25">
      <c r="A91" s="86">
        <v>5</v>
      </c>
      <c r="B91" s="19" t="s">
        <v>22</v>
      </c>
      <c r="C91" s="60">
        <v>0</v>
      </c>
      <c r="D91" s="60">
        <v>230</v>
      </c>
      <c r="E91" s="60">
        <v>48</v>
      </c>
      <c r="F91" s="60">
        <f>'kc tanah'!C13</f>
        <v>0</v>
      </c>
      <c r="G91" s="60">
        <f>'kc tanah'!D13</f>
        <v>83</v>
      </c>
      <c r="H91" s="157">
        <f>'kc tanah'!E13</f>
        <v>25</v>
      </c>
      <c r="I91" s="127">
        <f t="shared" si="43"/>
        <v>386</v>
      </c>
      <c r="J91" s="262">
        <f>'kc tanah'!F13</f>
        <v>0</v>
      </c>
      <c r="K91" s="134">
        <f>'kc tanah'!G13</f>
        <v>0</v>
      </c>
      <c r="L91" s="134">
        <f>'kc tanah'!H13</f>
        <v>0</v>
      </c>
      <c r="M91" s="134">
        <f>'kc tanah'!I13</f>
        <v>0</v>
      </c>
      <c r="N91" s="134">
        <f>'kc tanah'!J13</f>
        <v>0</v>
      </c>
      <c r="O91" s="159">
        <f>'kc tanah'!K13</f>
        <v>2</v>
      </c>
      <c r="P91" s="127">
        <f t="shared" si="44"/>
        <v>2</v>
      </c>
      <c r="Q91" s="130">
        <f t="shared" si="45"/>
        <v>388</v>
      </c>
    </row>
    <row r="92" spans="1:17" x14ac:dyDescent="0.25">
      <c r="A92" s="86">
        <v>6</v>
      </c>
      <c r="B92" s="19" t="s">
        <v>23</v>
      </c>
      <c r="C92" s="60">
        <v>0</v>
      </c>
      <c r="D92" s="60">
        <v>15</v>
      </c>
      <c r="E92" s="60">
        <v>0</v>
      </c>
      <c r="F92" s="60">
        <f>'kc tanah'!C14</f>
        <v>0</v>
      </c>
      <c r="G92" s="60">
        <f>'kc tanah'!D14</f>
        <v>0</v>
      </c>
      <c r="H92" s="157">
        <f>'kc tanah'!E14</f>
        <v>50</v>
      </c>
      <c r="I92" s="127">
        <f t="shared" si="43"/>
        <v>65</v>
      </c>
      <c r="J92" s="262">
        <f>'kc tanah'!F14</f>
        <v>0</v>
      </c>
      <c r="K92" s="134">
        <f>'kc tanah'!G14</f>
        <v>0</v>
      </c>
      <c r="L92" s="134">
        <f>'kc tanah'!H14</f>
        <v>40</v>
      </c>
      <c r="M92" s="134">
        <f>'kc tanah'!I14</f>
        <v>0</v>
      </c>
      <c r="N92" s="134">
        <f>'kc tanah'!J14</f>
        <v>0</v>
      </c>
      <c r="O92" s="159">
        <f>'kc tanah'!K14</f>
        <v>0</v>
      </c>
      <c r="P92" s="127">
        <f t="shared" si="44"/>
        <v>40</v>
      </c>
      <c r="Q92" s="130">
        <f t="shared" si="45"/>
        <v>105</v>
      </c>
    </row>
    <row r="93" spans="1:17" x14ac:dyDescent="0.25">
      <c r="A93" s="86">
        <v>7</v>
      </c>
      <c r="B93" s="19" t="s">
        <v>24</v>
      </c>
      <c r="C93" s="60">
        <v>0</v>
      </c>
      <c r="D93" s="60">
        <v>0</v>
      </c>
      <c r="E93" s="60">
        <v>0</v>
      </c>
      <c r="F93" s="60">
        <f>'kc tanah'!C15</f>
        <v>1</v>
      </c>
      <c r="G93" s="60">
        <f>'kc tanah'!D15</f>
        <v>1</v>
      </c>
      <c r="H93" s="157">
        <f>'kc tanah'!E15</f>
        <v>0</v>
      </c>
      <c r="I93" s="127">
        <f t="shared" si="43"/>
        <v>2</v>
      </c>
      <c r="J93" s="262">
        <f>'kc tanah'!F15</f>
        <v>0</v>
      </c>
      <c r="K93" s="134">
        <f>'kc tanah'!G15</f>
        <v>0</v>
      </c>
      <c r="L93" s="134">
        <f>'kc tanah'!H15</f>
        <v>0</v>
      </c>
      <c r="M93" s="134">
        <f>'kc tanah'!I15</f>
        <v>0</v>
      </c>
      <c r="N93" s="134">
        <f>'kc tanah'!J15</f>
        <v>0</v>
      </c>
      <c r="O93" s="159">
        <f>'kc tanah'!K15</f>
        <v>0</v>
      </c>
      <c r="P93" s="127">
        <f t="shared" si="44"/>
        <v>0</v>
      </c>
      <c r="Q93" s="130">
        <f t="shared" si="45"/>
        <v>2</v>
      </c>
    </row>
    <row r="94" spans="1:17" ht="15.75" thickBot="1" x14ac:dyDescent="0.3">
      <c r="A94" s="87">
        <v>8</v>
      </c>
      <c r="B94" s="15" t="s">
        <v>25</v>
      </c>
      <c r="C94" s="139">
        <v>175</v>
      </c>
      <c r="D94" s="139">
        <v>0</v>
      </c>
      <c r="E94" s="139">
        <v>50</v>
      </c>
      <c r="F94" s="139">
        <f>'kc tanah'!C16</f>
        <v>235</v>
      </c>
      <c r="G94" s="139">
        <f>'kc tanah'!D16</f>
        <v>45</v>
      </c>
      <c r="H94" s="139">
        <f>'kc tanah'!E16</f>
        <v>0</v>
      </c>
      <c r="I94" s="128">
        <f t="shared" si="43"/>
        <v>505</v>
      </c>
      <c r="J94" s="273">
        <f>'kc tanah'!F16</f>
        <v>25</v>
      </c>
      <c r="K94" s="273">
        <f>'kc tanah'!G16</f>
        <v>114</v>
      </c>
      <c r="L94" s="273">
        <f>'kc tanah'!H16</f>
        <v>0</v>
      </c>
      <c r="M94" s="273">
        <f>'kc tanah'!I16</f>
        <v>42</v>
      </c>
      <c r="N94" s="273">
        <f>'kc tanah'!J16</f>
        <v>0</v>
      </c>
      <c r="O94" s="273">
        <f>'kc tanah'!K16</f>
        <v>4</v>
      </c>
      <c r="P94" s="128">
        <f>SUM(J94:O94)</f>
        <v>185</v>
      </c>
      <c r="Q94" s="131">
        <f t="shared" si="45"/>
        <v>690</v>
      </c>
    </row>
    <row r="95" spans="1:17" ht="16.5" thickTop="1" thickBot="1" x14ac:dyDescent="0.3">
      <c r="A95" s="378" t="s">
        <v>26</v>
      </c>
      <c r="B95" s="379"/>
      <c r="C95" s="114">
        <f t="shared" ref="C95:H95" si="46">SUM(C87:C94)</f>
        <v>510</v>
      </c>
      <c r="D95" s="114">
        <f t="shared" si="46"/>
        <v>546</v>
      </c>
      <c r="E95" s="114">
        <f t="shared" si="46"/>
        <v>135</v>
      </c>
      <c r="F95" s="114">
        <f t="shared" si="46"/>
        <v>428</v>
      </c>
      <c r="G95" s="114">
        <f t="shared" si="46"/>
        <v>656</v>
      </c>
      <c r="H95" s="123">
        <f t="shared" si="46"/>
        <v>80.5</v>
      </c>
      <c r="I95" s="125">
        <f>SUM(I87:I94)</f>
        <v>2355.5</v>
      </c>
      <c r="J95" s="135">
        <f t="shared" ref="J95:O95" si="47">SUM(J87:J94)</f>
        <v>31</v>
      </c>
      <c r="K95" s="114">
        <f t="shared" si="47"/>
        <v>127</v>
      </c>
      <c r="L95" s="114">
        <f t="shared" si="47"/>
        <v>51</v>
      </c>
      <c r="M95" s="114">
        <f t="shared" si="47"/>
        <v>52</v>
      </c>
      <c r="N95" s="114">
        <f t="shared" si="47"/>
        <v>0</v>
      </c>
      <c r="O95" s="123">
        <f t="shared" si="47"/>
        <v>16</v>
      </c>
      <c r="P95" s="125">
        <f>SUM(P87:P94)</f>
        <v>277</v>
      </c>
      <c r="Q95" s="132">
        <f>SUM(Q87:Q94)</f>
        <v>2632.5</v>
      </c>
    </row>
    <row r="97" spans="1:17" ht="15.75" x14ac:dyDescent="0.25">
      <c r="A97" s="380" t="s">
        <v>116</v>
      </c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</row>
    <row r="98" spans="1:17" ht="15.75" x14ac:dyDescent="0.25">
      <c r="A98" s="380" t="s">
        <v>82</v>
      </c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</row>
    <row r="99" spans="1:17" ht="15.75" thickBot="1" x14ac:dyDescent="0.3">
      <c r="Q99" s="76" t="s">
        <v>1</v>
      </c>
    </row>
    <row r="100" spans="1:17" x14ac:dyDescent="0.25">
      <c r="A100" s="375" t="s">
        <v>2</v>
      </c>
      <c r="B100" s="377" t="s">
        <v>3</v>
      </c>
      <c r="C100" s="381" t="s">
        <v>90</v>
      </c>
      <c r="D100" s="382"/>
      <c r="E100" s="382"/>
      <c r="F100" s="382"/>
      <c r="G100" s="382"/>
      <c r="H100" s="382"/>
      <c r="I100" s="383" t="s">
        <v>83</v>
      </c>
      <c r="J100" s="382">
        <v>2017</v>
      </c>
      <c r="K100" s="382"/>
      <c r="L100" s="382"/>
      <c r="M100" s="382"/>
      <c r="N100" s="382"/>
      <c r="O100" s="382"/>
      <c r="P100" s="383" t="s">
        <v>84</v>
      </c>
      <c r="Q100" s="385" t="s">
        <v>5</v>
      </c>
    </row>
    <row r="101" spans="1:17" x14ac:dyDescent="0.25">
      <c r="A101" s="376"/>
      <c r="B101" s="363"/>
      <c r="C101" s="178" t="s">
        <v>15</v>
      </c>
      <c r="D101" s="178" t="s">
        <v>16</v>
      </c>
      <c r="E101" s="178" t="s">
        <v>17</v>
      </c>
      <c r="F101" s="178" t="s">
        <v>6</v>
      </c>
      <c r="G101" s="178" t="s">
        <v>77</v>
      </c>
      <c r="H101" s="121" t="s">
        <v>78</v>
      </c>
      <c r="I101" s="384"/>
      <c r="J101" s="111" t="s">
        <v>79</v>
      </c>
      <c r="K101" s="178" t="s">
        <v>10</v>
      </c>
      <c r="L101" s="178" t="s">
        <v>11</v>
      </c>
      <c r="M101" s="178" t="s">
        <v>12</v>
      </c>
      <c r="N101" s="178" t="s">
        <v>80</v>
      </c>
      <c r="O101" s="121" t="s">
        <v>81</v>
      </c>
      <c r="P101" s="384"/>
      <c r="Q101" s="386"/>
    </row>
    <row r="102" spans="1:17" ht="15.75" thickBot="1" x14ac:dyDescent="0.3">
      <c r="A102" s="113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2">
        <v>8</v>
      </c>
      <c r="I102" s="124">
        <v>9</v>
      </c>
      <c r="J102" s="112">
        <v>10</v>
      </c>
      <c r="K102" s="5">
        <v>11</v>
      </c>
      <c r="L102" s="5">
        <v>12</v>
      </c>
      <c r="M102" s="5">
        <v>13</v>
      </c>
      <c r="N102" s="5">
        <v>14</v>
      </c>
      <c r="O102" s="122">
        <v>15</v>
      </c>
      <c r="P102" s="124">
        <v>16</v>
      </c>
      <c r="Q102" s="133">
        <v>17</v>
      </c>
    </row>
    <row r="103" spans="1:17" ht="15.75" thickTop="1" x14ac:dyDescent="0.25">
      <c r="A103" s="84">
        <v>1</v>
      </c>
      <c r="B103" s="7" t="s">
        <v>18</v>
      </c>
      <c r="C103" s="138">
        <v>1</v>
      </c>
      <c r="D103" s="138">
        <v>5</v>
      </c>
      <c r="E103" s="138">
        <v>0</v>
      </c>
      <c r="F103" s="138">
        <f>'ubi kayu'!C9</f>
        <v>0</v>
      </c>
      <c r="G103" s="138">
        <f>'ubi kayu'!D9</f>
        <v>0</v>
      </c>
      <c r="H103" s="138">
        <f>'ubi kayu'!E9</f>
        <v>0</v>
      </c>
      <c r="I103" s="126">
        <f>SUM(C103:H103)</f>
        <v>6</v>
      </c>
      <c r="J103" s="158">
        <f>'ubi kayu'!F9</f>
        <v>0</v>
      </c>
      <c r="K103" s="158">
        <f>'ubi kayu'!G9</f>
        <v>0</v>
      </c>
      <c r="L103" s="158">
        <f>'ubi kayu'!H9</f>
        <v>0</v>
      </c>
      <c r="M103" s="158">
        <f>'ubi kayu'!I9</f>
        <v>1</v>
      </c>
      <c r="N103" s="158">
        <f>'ubi kayu'!J9</f>
        <v>0</v>
      </c>
      <c r="O103" s="158">
        <f>'ubi kayu'!K9</f>
        <v>0</v>
      </c>
      <c r="P103" s="126">
        <f>SUM(J103:O103)</f>
        <v>1</v>
      </c>
      <c r="Q103" s="129">
        <f>SUM(I103,P103)</f>
        <v>7</v>
      </c>
    </row>
    <row r="104" spans="1:17" x14ac:dyDescent="0.25">
      <c r="A104" s="85">
        <v>2</v>
      </c>
      <c r="B104" s="12" t="s">
        <v>19</v>
      </c>
      <c r="C104" s="60">
        <v>0</v>
      </c>
      <c r="D104" s="60">
        <v>0</v>
      </c>
      <c r="E104" s="60">
        <v>1</v>
      </c>
      <c r="F104" s="60">
        <f>'ubi kayu'!C10</f>
        <v>0</v>
      </c>
      <c r="G104" s="60">
        <f>'ubi kayu'!D10</f>
        <v>1</v>
      </c>
      <c r="H104" s="157">
        <f>'ubi kayu'!E10</f>
        <v>0</v>
      </c>
      <c r="I104" s="127">
        <f t="shared" ref="I104:I110" si="48">SUM(C104:H104)</f>
        <v>2</v>
      </c>
      <c r="J104" s="262">
        <f>'ubi kayu'!F10</f>
        <v>0</v>
      </c>
      <c r="K104" s="134">
        <f>'ubi kayu'!G10</f>
        <v>1</v>
      </c>
      <c r="L104" s="134">
        <f>'ubi kayu'!H10</f>
        <v>0</v>
      </c>
      <c r="M104" s="134">
        <f>'ubi kayu'!I10</f>
        <v>0</v>
      </c>
      <c r="N104" s="134">
        <f>'ubi kayu'!J10</f>
        <v>0</v>
      </c>
      <c r="O104" s="159">
        <f>'ubi kayu'!K10</f>
        <v>0</v>
      </c>
      <c r="P104" s="127">
        <f t="shared" ref="P104:P109" si="49">SUM(J104:O104)</f>
        <v>1</v>
      </c>
      <c r="Q104" s="130">
        <f t="shared" ref="Q104:Q110" si="50">SUM(I104,P104)</f>
        <v>3</v>
      </c>
    </row>
    <row r="105" spans="1:17" x14ac:dyDescent="0.25">
      <c r="A105" s="85">
        <v>3</v>
      </c>
      <c r="B105" s="7" t="s">
        <v>20</v>
      </c>
      <c r="C105" s="60">
        <v>4</v>
      </c>
      <c r="D105" s="60">
        <v>3</v>
      </c>
      <c r="E105" s="60">
        <v>2</v>
      </c>
      <c r="F105" s="60">
        <f>'ubi kayu'!C11</f>
        <v>0</v>
      </c>
      <c r="G105" s="60">
        <f>'ubi kayu'!D11</f>
        <v>0</v>
      </c>
      <c r="H105" s="157">
        <f>'ubi kayu'!E11</f>
        <v>0</v>
      </c>
      <c r="I105" s="127">
        <f t="shared" si="48"/>
        <v>9</v>
      </c>
      <c r="J105" s="262">
        <f>'ubi kayu'!F11</f>
        <v>0</v>
      </c>
      <c r="K105" s="134">
        <f>'ubi kayu'!G11</f>
        <v>0</v>
      </c>
      <c r="L105" s="134">
        <f>'ubi kayu'!H11</f>
        <v>0</v>
      </c>
      <c r="M105" s="134">
        <f>'ubi kayu'!I11</f>
        <v>0</v>
      </c>
      <c r="N105" s="134">
        <f>'ubi kayu'!J11</f>
        <v>0</v>
      </c>
      <c r="O105" s="159">
        <f>'ubi kayu'!K11</f>
        <v>3</v>
      </c>
      <c r="P105" s="127">
        <f t="shared" si="49"/>
        <v>3</v>
      </c>
      <c r="Q105" s="130">
        <f t="shared" si="50"/>
        <v>12</v>
      </c>
    </row>
    <row r="106" spans="1:17" x14ac:dyDescent="0.25">
      <c r="A106" s="86">
        <v>4</v>
      </c>
      <c r="B106" s="15" t="s">
        <v>21</v>
      </c>
      <c r="C106" s="60">
        <v>0</v>
      </c>
      <c r="D106" s="60">
        <v>2</v>
      </c>
      <c r="E106" s="60">
        <v>1</v>
      </c>
      <c r="F106" s="60">
        <f>'ubi kayu'!C12</f>
        <v>0</v>
      </c>
      <c r="G106" s="60">
        <f>'ubi kayu'!D12</f>
        <v>0</v>
      </c>
      <c r="H106" s="157">
        <f>'ubi kayu'!E12</f>
        <v>0</v>
      </c>
      <c r="I106" s="127">
        <f t="shared" si="48"/>
        <v>3</v>
      </c>
      <c r="J106" s="262">
        <f>'ubi kayu'!F12</f>
        <v>1</v>
      </c>
      <c r="K106" s="134">
        <f>'ubi kayu'!G12</f>
        <v>1</v>
      </c>
      <c r="L106" s="134">
        <f>'ubi kayu'!H12</f>
        <v>0</v>
      </c>
      <c r="M106" s="134">
        <f>'ubi kayu'!I12</f>
        <v>0</v>
      </c>
      <c r="N106" s="134">
        <f>'ubi kayu'!J12</f>
        <v>0</v>
      </c>
      <c r="O106" s="159">
        <f>'ubi kayu'!K12</f>
        <v>0</v>
      </c>
      <c r="P106" s="127">
        <f t="shared" si="49"/>
        <v>2</v>
      </c>
      <c r="Q106" s="130">
        <f t="shared" si="50"/>
        <v>5</v>
      </c>
    </row>
    <row r="107" spans="1:17" x14ac:dyDescent="0.25">
      <c r="A107" s="86">
        <v>5</v>
      </c>
      <c r="B107" s="19" t="s">
        <v>22</v>
      </c>
      <c r="C107" s="60">
        <v>0</v>
      </c>
      <c r="D107" s="60">
        <v>1</v>
      </c>
      <c r="E107" s="60">
        <v>0</v>
      </c>
      <c r="F107" s="60">
        <f>'ubi kayu'!C13</f>
        <v>0</v>
      </c>
      <c r="G107" s="60">
        <f>'ubi kayu'!D13</f>
        <v>1</v>
      </c>
      <c r="H107" s="157">
        <f>'ubi kayu'!E13</f>
        <v>0</v>
      </c>
      <c r="I107" s="127">
        <f t="shared" si="48"/>
        <v>2</v>
      </c>
      <c r="J107" s="262">
        <f>'ubi kayu'!F13</f>
        <v>1</v>
      </c>
      <c r="K107" s="134">
        <f>'ubi kayu'!G13</f>
        <v>0</v>
      </c>
      <c r="L107" s="134">
        <f>'ubi kayu'!H13</f>
        <v>1</v>
      </c>
      <c r="M107" s="134">
        <f>'ubi kayu'!I13</f>
        <v>0</v>
      </c>
      <c r="N107" s="134">
        <f>'ubi kayu'!J13</f>
        <v>0</v>
      </c>
      <c r="O107" s="159">
        <f>'ubi kayu'!K13</f>
        <v>0</v>
      </c>
      <c r="P107" s="127">
        <f t="shared" si="49"/>
        <v>2</v>
      </c>
      <c r="Q107" s="130">
        <f t="shared" si="50"/>
        <v>4</v>
      </c>
    </row>
    <row r="108" spans="1:17" x14ac:dyDescent="0.25">
      <c r="A108" s="86">
        <v>6</v>
      </c>
      <c r="B108" s="19" t="s">
        <v>23</v>
      </c>
      <c r="C108" s="60">
        <v>0</v>
      </c>
      <c r="D108" s="60">
        <v>0</v>
      </c>
      <c r="E108" s="60">
        <v>3</v>
      </c>
      <c r="F108" s="60">
        <f>'ubi kayu'!C14</f>
        <v>0</v>
      </c>
      <c r="G108" s="60">
        <f>'ubi kayu'!D14</f>
        <v>0</v>
      </c>
      <c r="H108" s="157">
        <f>'ubi kayu'!E14</f>
        <v>0</v>
      </c>
      <c r="I108" s="127">
        <f t="shared" si="48"/>
        <v>3</v>
      </c>
      <c r="J108" s="262">
        <f>'ubi kayu'!F14</f>
        <v>1</v>
      </c>
      <c r="K108" s="134">
        <f>'ubi kayu'!G14</f>
        <v>0</v>
      </c>
      <c r="L108" s="134">
        <f>'ubi kayu'!H14</f>
        <v>0</v>
      </c>
      <c r="M108" s="134">
        <f>'ubi kayu'!I14</f>
        <v>0</v>
      </c>
      <c r="N108" s="134">
        <f>'ubi kayu'!J14</f>
        <v>1</v>
      </c>
      <c r="O108" s="159">
        <f>'ubi kayu'!K14</f>
        <v>0</v>
      </c>
      <c r="P108" s="127">
        <f t="shared" si="49"/>
        <v>2</v>
      </c>
      <c r="Q108" s="130">
        <f t="shared" si="50"/>
        <v>5</v>
      </c>
    </row>
    <row r="109" spans="1:17" x14ac:dyDescent="0.25">
      <c r="A109" s="86">
        <v>7</v>
      </c>
      <c r="B109" s="19" t="s">
        <v>24</v>
      </c>
      <c r="C109" s="60">
        <v>0</v>
      </c>
      <c r="D109" s="60">
        <v>0</v>
      </c>
      <c r="E109" s="60">
        <v>0</v>
      </c>
      <c r="F109" s="60">
        <f>'ubi kayu'!C15</f>
        <v>1</v>
      </c>
      <c r="G109" s="60">
        <f>'ubi kayu'!D15</f>
        <v>0</v>
      </c>
      <c r="H109" s="157">
        <f>'ubi kayu'!E15</f>
        <v>0</v>
      </c>
      <c r="I109" s="127">
        <f t="shared" si="48"/>
        <v>1</v>
      </c>
      <c r="J109" s="262">
        <f>'ubi kayu'!F15</f>
        <v>0</v>
      </c>
      <c r="K109" s="134">
        <f>'ubi kayu'!G15</f>
        <v>0</v>
      </c>
      <c r="L109" s="134">
        <f>'ubi kayu'!H15</f>
        <v>0</v>
      </c>
      <c r="M109" s="134">
        <f>'ubi kayu'!I15</f>
        <v>0</v>
      </c>
      <c r="N109" s="134">
        <f>'ubi kayu'!J15</f>
        <v>0</v>
      </c>
      <c r="O109" s="159">
        <f>'ubi kayu'!K15</f>
        <v>1</v>
      </c>
      <c r="P109" s="127">
        <f t="shared" si="49"/>
        <v>1</v>
      </c>
      <c r="Q109" s="130">
        <f t="shared" si="50"/>
        <v>2</v>
      </c>
    </row>
    <row r="110" spans="1:17" ht="15.75" thickBot="1" x14ac:dyDescent="0.3">
      <c r="A110" s="87">
        <v>8</v>
      </c>
      <c r="B110" s="15" t="s">
        <v>25</v>
      </c>
      <c r="C110" s="139">
        <v>5</v>
      </c>
      <c r="D110" s="139">
        <v>0</v>
      </c>
      <c r="E110" s="139">
        <v>0</v>
      </c>
      <c r="F110" s="139">
        <f>'ubi kayu'!C16</f>
        <v>0</v>
      </c>
      <c r="G110" s="139">
        <f>'ubi kayu'!D16</f>
        <v>0</v>
      </c>
      <c r="H110" s="139">
        <f>'ubi kayu'!E16</f>
        <v>0</v>
      </c>
      <c r="I110" s="128">
        <f t="shared" si="48"/>
        <v>5</v>
      </c>
      <c r="J110" s="273">
        <f>'ubi kayu'!F16</f>
        <v>0</v>
      </c>
      <c r="K110" s="273">
        <f>'ubi kayu'!G16</f>
        <v>0</v>
      </c>
      <c r="L110" s="273">
        <f>'ubi kayu'!H16</f>
        <v>0</v>
      </c>
      <c r="M110" s="273">
        <f>'ubi kayu'!I16</f>
        <v>1</v>
      </c>
      <c r="N110" s="273">
        <f>'ubi kayu'!J16</f>
        <v>0</v>
      </c>
      <c r="O110" s="273">
        <f>'ubi kayu'!K16</f>
        <v>1</v>
      </c>
      <c r="P110" s="128">
        <f>SUM(J110:O110)</f>
        <v>2</v>
      </c>
      <c r="Q110" s="131">
        <f t="shared" si="50"/>
        <v>7</v>
      </c>
    </row>
    <row r="111" spans="1:17" ht="16.5" thickTop="1" thickBot="1" x14ac:dyDescent="0.3">
      <c r="A111" s="378" t="s">
        <v>26</v>
      </c>
      <c r="B111" s="379"/>
      <c r="C111" s="114">
        <f t="shared" ref="C111:H111" si="51">SUM(C103:C110)</f>
        <v>10</v>
      </c>
      <c r="D111" s="114">
        <f t="shared" si="51"/>
        <v>11</v>
      </c>
      <c r="E111" s="114">
        <f t="shared" si="51"/>
        <v>7</v>
      </c>
      <c r="F111" s="114">
        <f t="shared" si="51"/>
        <v>1</v>
      </c>
      <c r="G111" s="114">
        <f t="shared" si="51"/>
        <v>2</v>
      </c>
      <c r="H111" s="123">
        <f t="shared" si="51"/>
        <v>0</v>
      </c>
      <c r="I111" s="125">
        <f>SUM(I103:I110)</f>
        <v>31</v>
      </c>
      <c r="J111" s="135">
        <f t="shared" ref="J111:O111" si="52">SUM(J103:J110)</f>
        <v>3</v>
      </c>
      <c r="K111" s="114">
        <f t="shared" si="52"/>
        <v>2</v>
      </c>
      <c r="L111" s="114">
        <f t="shared" si="52"/>
        <v>1</v>
      </c>
      <c r="M111" s="114">
        <f t="shared" si="52"/>
        <v>2</v>
      </c>
      <c r="N111" s="114">
        <f t="shared" si="52"/>
        <v>1</v>
      </c>
      <c r="O111" s="123">
        <f t="shared" si="52"/>
        <v>5</v>
      </c>
      <c r="P111" s="125">
        <f>SUM(P103:P110)</f>
        <v>14</v>
      </c>
      <c r="Q111" s="132">
        <f>SUM(Q103:Q110)</f>
        <v>45</v>
      </c>
    </row>
    <row r="113" spans="1:17" ht="15.75" x14ac:dyDescent="0.25">
      <c r="A113" s="380" t="s">
        <v>117</v>
      </c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</row>
    <row r="114" spans="1:17" ht="15.75" x14ac:dyDescent="0.25">
      <c r="A114" s="380" t="s">
        <v>82</v>
      </c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</row>
    <row r="115" spans="1:17" ht="15.75" thickBot="1" x14ac:dyDescent="0.3">
      <c r="Q115" s="76" t="s">
        <v>1</v>
      </c>
    </row>
    <row r="116" spans="1:17" x14ac:dyDescent="0.25">
      <c r="A116" s="375" t="s">
        <v>2</v>
      </c>
      <c r="B116" s="377" t="s">
        <v>3</v>
      </c>
      <c r="C116" s="381" t="s">
        <v>90</v>
      </c>
      <c r="D116" s="382"/>
      <c r="E116" s="382"/>
      <c r="F116" s="382"/>
      <c r="G116" s="382"/>
      <c r="H116" s="382"/>
      <c r="I116" s="383" t="s">
        <v>83</v>
      </c>
      <c r="J116" s="382">
        <v>2017</v>
      </c>
      <c r="K116" s="382"/>
      <c r="L116" s="382"/>
      <c r="M116" s="382"/>
      <c r="N116" s="382"/>
      <c r="O116" s="382"/>
      <c r="P116" s="383" t="s">
        <v>84</v>
      </c>
      <c r="Q116" s="385" t="s">
        <v>5</v>
      </c>
    </row>
    <row r="117" spans="1:17" x14ac:dyDescent="0.25">
      <c r="A117" s="376"/>
      <c r="B117" s="363"/>
      <c r="C117" s="178" t="s">
        <v>15</v>
      </c>
      <c r="D117" s="178" t="s">
        <v>16</v>
      </c>
      <c r="E117" s="178" t="s">
        <v>17</v>
      </c>
      <c r="F117" s="178" t="s">
        <v>6</v>
      </c>
      <c r="G117" s="178" t="s">
        <v>77</v>
      </c>
      <c r="H117" s="121" t="s">
        <v>78</v>
      </c>
      <c r="I117" s="384"/>
      <c r="J117" s="111" t="s">
        <v>79</v>
      </c>
      <c r="K117" s="178" t="s">
        <v>10</v>
      </c>
      <c r="L117" s="178" t="s">
        <v>11</v>
      </c>
      <c r="M117" s="178" t="s">
        <v>12</v>
      </c>
      <c r="N117" s="178" t="s">
        <v>80</v>
      </c>
      <c r="O117" s="121" t="s">
        <v>81</v>
      </c>
      <c r="P117" s="384"/>
      <c r="Q117" s="386"/>
    </row>
    <row r="118" spans="1:17" ht="15.75" thickBot="1" x14ac:dyDescent="0.3">
      <c r="A118" s="113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2">
        <v>8</v>
      </c>
      <c r="I118" s="124">
        <v>9</v>
      </c>
      <c r="J118" s="112">
        <v>10</v>
      </c>
      <c r="K118" s="5">
        <v>11</v>
      </c>
      <c r="L118" s="5">
        <v>12</v>
      </c>
      <c r="M118" s="5">
        <v>13</v>
      </c>
      <c r="N118" s="5">
        <v>14</v>
      </c>
      <c r="O118" s="122">
        <v>15</v>
      </c>
      <c r="P118" s="124">
        <v>16</v>
      </c>
      <c r="Q118" s="133">
        <v>17</v>
      </c>
    </row>
    <row r="119" spans="1:17" ht="15.75" thickTop="1" x14ac:dyDescent="0.25">
      <c r="A119" s="84">
        <v>1</v>
      </c>
      <c r="B119" s="7" t="s">
        <v>18</v>
      </c>
      <c r="C119" s="138">
        <v>1</v>
      </c>
      <c r="D119" s="138">
        <v>2</v>
      </c>
      <c r="E119" s="138">
        <v>2</v>
      </c>
      <c r="F119" s="138">
        <f>'ubi jalar'!C9</f>
        <v>0</v>
      </c>
      <c r="G119" s="138">
        <f>'ubi jalar'!D9</f>
        <v>0</v>
      </c>
      <c r="H119" s="138">
        <f>'ubi jalar'!E9</f>
        <v>0</v>
      </c>
      <c r="I119" s="126">
        <f>SUM(C119:H119)</f>
        <v>5</v>
      </c>
      <c r="J119" s="158">
        <f>'ubi kayu'!F9</f>
        <v>0</v>
      </c>
      <c r="K119" s="158">
        <f>'ubi kayu'!G9</f>
        <v>0</v>
      </c>
      <c r="L119" s="158">
        <f>'ubi kayu'!H9</f>
        <v>0</v>
      </c>
      <c r="M119" s="158">
        <f>'ubi kayu'!I9</f>
        <v>1</v>
      </c>
      <c r="N119" s="158">
        <f>'ubi kayu'!J9</f>
        <v>0</v>
      </c>
      <c r="O119" s="158">
        <f>'ubi kayu'!K9</f>
        <v>0</v>
      </c>
      <c r="P119" s="126">
        <f>SUM(J119:O119)</f>
        <v>1</v>
      </c>
      <c r="Q119" s="129">
        <f>SUM(I119,P119)</f>
        <v>6</v>
      </c>
    </row>
    <row r="120" spans="1:17" x14ac:dyDescent="0.25">
      <c r="A120" s="85">
        <v>2</v>
      </c>
      <c r="B120" s="12" t="s">
        <v>19</v>
      </c>
      <c r="C120" s="60">
        <v>1</v>
      </c>
      <c r="D120" s="60">
        <v>0</v>
      </c>
      <c r="E120" s="60">
        <v>0</v>
      </c>
      <c r="F120" s="60">
        <f>'ubi jalar'!C10</f>
        <v>0</v>
      </c>
      <c r="G120" s="60">
        <f>'ubi jalar'!D10</f>
        <v>1</v>
      </c>
      <c r="H120" s="157">
        <f>'ubi jalar'!E10</f>
        <v>0</v>
      </c>
      <c r="I120" s="127">
        <f t="shared" ref="I120:I126" si="53">SUM(C120:H120)</f>
        <v>2</v>
      </c>
      <c r="J120" s="262">
        <f>'ubi kayu'!F10</f>
        <v>0</v>
      </c>
      <c r="K120" s="134">
        <f>'ubi kayu'!G10</f>
        <v>1</v>
      </c>
      <c r="L120" s="134">
        <f>'ubi kayu'!H10</f>
        <v>0</v>
      </c>
      <c r="M120" s="134">
        <f>'ubi kayu'!I10</f>
        <v>0</v>
      </c>
      <c r="N120" s="134">
        <f>'ubi kayu'!J10</f>
        <v>0</v>
      </c>
      <c r="O120" s="159">
        <f>'ubi kayu'!K10</f>
        <v>0</v>
      </c>
      <c r="P120" s="127">
        <f t="shared" ref="P120:P125" si="54">SUM(J120:O120)</f>
        <v>1</v>
      </c>
      <c r="Q120" s="130">
        <f t="shared" ref="Q120:Q126" si="55">SUM(I120,P120)</f>
        <v>3</v>
      </c>
    </row>
    <row r="121" spans="1:17" x14ac:dyDescent="0.25">
      <c r="A121" s="85">
        <v>3</v>
      </c>
      <c r="B121" s="7" t="s">
        <v>20</v>
      </c>
      <c r="C121" s="60">
        <v>0</v>
      </c>
      <c r="D121" s="60">
        <v>0</v>
      </c>
      <c r="E121" s="60">
        <v>0</v>
      </c>
      <c r="F121" s="60">
        <f>'ubi jalar'!C11</f>
        <v>0</v>
      </c>
      <c r="G121" s="60">
        <f>'ubi jalar'!D11</f>
        <v>0</v>
      </c>
      <c r="H121" s="157">
        <f>'ubi jalar'!E11</f>
        <v>0</v>
      </c>
      <c r="I121" s="127">
        <f t="shared" si="53"/>
        <v>0</v>
      </c>
      <c r="J121" s="262">
        <f>'ubi kayu'!F11</f>
        <v>0</v>
      </c>
      <c r="K121" s="134">
        <f>'ubi kayu'!G11</f>
        <v>0</v>
      </c>
      <c r="L121" s="134">
        <f>'ubi kayu'!H11</f>
        <v>0</v>
      </c>
      <c r="M121" s="134">
        <f>'ubi kayu'!I11</f>
        <v>0</v>
      </c>
      <c r="N121" s="134">
        <f>'ubi kayu'!J11</f>
        <v>0</v>
      </c>
      <c r="O121" s="159">
        <f>'ubi kayu'!K11</f>
        <v>3</v>
      </c>
      <c r="P121" s="127">
        <f t="shared" si="54"/>
        <v>3</v>
      </c>
      <c r="Q121" s="130">
        <f t="shared" si="55"/>
        <v>3</v>
      </c>
    </row>
    <row r="122" spans="1:17" x14ac:dyDescent="0.25">
      <c r="A122" s="86">
        <v>4</v>
      </c>
      <c r="B122" s="15" t="s">
        <v>21</v>
      </c>
      <c r="C122" s="60">
        <v>1</v>
      </c>
      <c r="D122" s="60">
        <v>1</v>
      </c>
      <c r="E122" s="60">
        <v>2</v>
      </c>
      <c r="F122" s="60">
        <f>'ubi jalar'!C12</f>
        <v>0</v>
      </c>
      <c r="G122" s="60">
        <f>'ubi jalar'!D12</f>
        <v>0</v>
      </c>
      <c r="H122" s="157">
        <f>'ubi jalar'!E12</f>
        <v>0</v>
      </c>
      <c r="I122" s="127">
        <f t="shared" si="53"/>
        <v>4</v>
      </c>
      <c r="J122" s="262">
        <f>'ubi kayu'!F12</f>
        <v>1</v>
      </c>
      <c r="K122" s="134">
        <f>'ubi kayu'!G12</f>
        <v>1</v>
      </c>
      <c r="L122" s="134">
        <f>'ubi kayu'!H12</f>
        <v>0</v>
      </c>
      <c r="M122" s="134">
        <f>'ubi kayu'!I12</f>
        <v>0</v>
      </c>
      <c r="N122" s="134">
        <f>'ubi kayu'!J12</f>
        <v>0</v>
      </c>
      <c r="O122" s="159">
        <f>'ubi kayu'!K12</f>
        <v>0</v>
      </c>
      <c r="P122" s="127">
        <f t="shared" si="54"/>
        <v>2</v>
      </c>
      <c r="Q122" s="130">
        <f t="shared" si="55"/>
        <v>6</v>
      </c>
    </row>
    <row r="123" spans="1:17" x14ac:dyDescent="0.25">
      <c r="A123" s="86">
        <v>5</v>
      </c>
      <c r="B123" s="19" t="s">
        <v>22</v>
      </c>
      <c r="C123" s="60">
        <v>0</v>
      </c>
      <c r="D123" s="60">
        <v>0</v>
      </c>
      <c r="E123" s="60">
        <v>0</v>
      </c>
      <c r="F123" s="60">
        <f>'ubi jalar'!C13</f>
        <v>0</v>
      </c>
      <c r="G123" s="60">
        <f>'ubi jalar'!D13</f>
        <v>1</v>
      </c>
      <c r="H123" s="157">
        <f>'ubi jalar'!E13</f>
        <v>0</v>
      </c>
      <c r="I123" s="127">
        <f t="shared" si="53"/>
        <v>1</v>
      </c>
      <c r="J123" s="262">
        <f>'ubi kayu'!F13</f>
        <v>1</v>
      </c>
      <c r="K123" s="134">
        <f>'ubi kayu'!G13</f>
        <v>0</v>
      </c>
      <c r="L123" s="134">
        <f>'ubi kayu'!H13</f>
        <v>1</v>
      </c>
      <c r="M123" s="134">
        <f>'ubi kayu'!I13</f>
        <v>0</v>
      </c>
      <c r="N123" s="134">
        <f>'ubi kayu'!J13</f>
        <v>0</v>
      </c>
      <c r="O123" s="159">
        <f>'ubi kayu'!K13</f>
        <v>0</v>
      </c>
      <c r="P123" s="127">
        <f t="shared" si="54"/>
        <v>2</v>
      </c>
      <c r="Q123" s="130">
        <f t="shared" si="55"/>
        <v>3</v>
      </c>
    </row>
    <row r="124" spans="1:17" x14ac:dyDescent="0.25">
      <c r="A124" s="86">
        <v>6</v>
      </c>
      <c r="B124" s="19" t="s">
        <v>23</v>
      </c>
      <c r="C124" s="60">
        <v>0</v>
      </c>
      <c r="D124" s="60">
        <v>0</v>
      </c>
      <c r="E124" s="60">
        <v>0</v>
      </c>
      <c r="F124" s="60">
        <f>'ubi jalar'!C14</f>
        <v>0</v>
      </c>
      <c r="G124" s="60">
        <f>'ubi jalar'!D14</f>
        <v>1</v>
      </c>
      <c r="H124" s="157">
        <f>'ubi jalar'!E14</f>
        <v>0</v>
      </c>
      <c r="I124" s="127">
        <f t="shared" si="53"/>
        <v>1</v>
      </c>
      <c r="J124" s="262">
        <f>'ubi kayu'!F14</f>
        <v>1</v>
      </c>
      <c r="K124" s="134">
        <f>'ubi kayu'!G14</f>
        <v>0</v>
      </c>
      <c r="L124" s="134">
        <f>'ubi kayu'!H14</f>
        <v>0</v>
      </c>
      <c r="M124" s="134">
        <f>'ubi kayu'!I14</f>
        <v>0</v>
      </c>
      <c r="N124" s="134">
        <f>'ubi kayu'!J14</f>
        <v>1</v>
      </c>
      <c r="O124" s="159">
        <f>'ubi kayu'!K14</f>
        <v>0</v>
      </c>
      <c r="P124" s="127">
        <f t="shared" si="54"/>
        <v>2</v>
      </c>
      <c r="Q124" s="130">
        <f t="shared" si="55"/>
        <v>3</v>
      </c>
    </row>
    <row r="125" spans="1:17" x14ac:dyDescent="0.25">
      <c r="A125" s="86">
        <v>7</v>
      </c>
      <c r="B125" s="19" t="s">
        <v>24</v>
      </c>
      <c r="C125" s="60">
        <v>0</v>
      </c>
      <c r="D125" s="60">
        <v>0</v>
      </c>
      <c r="E125" s="60">
        <v>0</v>
      </c>
      <c r="F125" s="60">
        <f>'ubi jalar'!C15</f>
        <v>0</v>
      </c>
      <c r="G125" s="60">
        <f>'ubi jalar'!D15</f>
        <v>1</v>
      </c>
      <c r="H125" s="157">
        <f>'ubi jalar'!E15</f>
        <v>1</v>
      </c>
      <c r="I125" s="127">
        <f t="shared" si="53"/>
        <v>2</v>
      </c>
      <c r="J125" s="262">
        <f>'ubi kayu'!F15</f>
        <v>0</v>
      </c>
      <c r="K125" s="134">
        <f>'ubi kayu'!G15</f>
        <v>0</v>
      </c>
      <c r="L125" s="134">
        <f>'ubi kayu'!H15</f>
        <v>0</v>
      </c>
      <c r="M125" s="134">
        <f>'ubi kayu'!I15</f>
        <v>0</v>
      </c>
      <c r="N125" s="134">
        <f>'ubi kayu'!J15</f>
        <v>0</v>
      </c>
      <c r="O125" s="159">
        <f>'ubi kayu'!K15</f>
        <v>1</v>
      </c>
      <c r="P125" s="127">
        <f t="shared" si="54"/>
        <v>1</v>
      </c>
      <c r="Q125" s="130">
        <f t="shared" si="55"/>
        <v>3</v>
      </c>
    </row>
    <row r="126" spans="1:17" ht="15.75" thickBot="1" x14ac:dyDescent="0.3">
      <c r="A126" s="87">
        <v>8</v>
      </c>
      <c r="B126" s="15" t="s">
        <v>25</v>
      </c>
      <c r="C126" s="139">
        <v>1</v>
      </c>
      <c r="D126" s="139">
        <v>0</v>
      </c>
      <c r="E126" s="139">
        <v>0</v>
      </c>
      <c r="F126" s="139">
        <f>'ubi jalar'!C16</f>
        <v>0</v>
      </c>
      <c r="G126" s="139">
        <f>'ubi jalar'!D16</f>
        <v>0</v>
      </c>
      <c r="H126" s="139">
        <f>'ubi jalar'!E16</f>
        <v>0</v>
      </c>
      <c r="I126" s="128">
        <f t="shared" si="53"/>
        <v>1</v>
      </c>
      <c r="J126" s="273">
        <f>'ubi kayu'!F16</f>
        <v>0</v>
      </c>
      <c r="K126" s="273">
        <f>'ubi kayu'!G16</f>
        <v>0</v>
      </c>
      <c r="L126" s="273">
        <f>'ubi kayu'!H16</f>
        <v>0</v>
      </c>
      <c r="M126" s="273">
        <f>'ubi kayu'!I16</f>
        <v>1</v>
      </c>
      <c r="N126" s="273">
        <f>'ubi kayu'!J16</f>
        <v>0</v>
      </c>
      <c r="O126" s="273">
        <f>'ubi kayu'!K16</f>
        <v>1</v>
      </c>
      <c r="P126" s="128">
        <f>SUM(J126:O126)</f>
        <v>2</v>
      </c>
      <c r="Q126" s="131">
        <f t="shared" si="55"/>
        <v>3</v>
      </c>
    </row>
    <row r="127" spans="1:17" ht="16.5" thickTop="1" thickBot="1" x14ac:dyDescent="0.3">
      <c r="A127" s="378" t="s">
        <v>26</v>
      </c>
      <c r="B127" s="379"/>
      <c r="C127" s="114">
        <f t="shared" ref="C127:H127" si="56">SUM(C119:C126)</f>
        <v>4</v>
      </c>
      <c r="D127" s="114">
        <f t="shared" si="56"/>
        <v>3</v>
      </c>
      <c r="E127" s="114">
        <f t="shared" si="56"/>
        <v>4</v>
      </c>
      <c r="F127" s="114">
        <f t="shared" si="56"/>
        <v>0</v>
      </c>
      <c r="G127" s="114">
        <f t="shared" si="56"/>
        <v>4</v>
      </c>
      <c r="H127" s="123">
        <f t="shared" si="56"/>
        <v>1</v>
      </c>
      <c r="I127" s="125">
        <f>SUM(I119:I126)</f>
        <v>16</v>
      </c>
      <c r="J127" s="135">
        <f t="shared" ref="J127:O127" si="57">SUM(J119:J126)</f>
        <v>3</v>
      </c>
      <c r="K127" s="114">
        <f t="shared" si="57"/>
        <v>2</v>
      </c>
      <c r="L127" s="114">
        <f t="shared" si="57"/>
        <v>1</v>
      </c>
      <c r="M127" s="114">
        <f t="shared" si="57"/>
        <v>2</v>
      </c>
      <c r="N127" s="114">
        <f t="shared" si="57"/>
        <v>1</v>
      </c>
      <c r="O127" s="123">
        <f t="shared" si="57"/>
        <v>5</v>
      </c>
      <c r="P127" s="125">
        <f>SUM(P119:P126)</f>
        <v>14</v>
      </c>
      <c r="Q127" s="132">
        <f>SUM(Q119:Q126)</f>
        <v>30</v>
      </c>
    </row>
    <row r="129" spans="1:17" ht="15.75" x14ac:dyDescent="0.25">
      <c r="A129" s="380" t="s">
        <v>118</v>
      </c>
      <c r="B129" s="380"/>
      <c r="C129" s="380"/>
      <c r="D129" s="380"/>
      <c r="E129" s="380"/>
      <c r="F129" s="380"/>
      <c r="G129" s="380"/>
      <c r="H129" s="380"/>
      <c r="I129" s="380"/>
      <c r="J129" s="380"/>
      <c r="K129" s="380"/>
      <c r="L129" s="380"/>
      <c r="M129" s="380"/>
      <c r="N129" s="380"/>
      <c r="O129" s="380"/>
      <c r="P129" s="380"/>
      <c r="Q129" s="380"/>
    </row>
    <row r="130" spans="1:17" ht="15.75" x14ac:dyDescent="0.25">
      <c r="A130" s="380" t="s">
        <v>82</v>
      </c>
      <c r="B130" s="380"/>
      <c r="C130" s="380"/>
      <c r="D130" s="380"/>
      <c r="E130" s="380"/>
      <c r="F130" s="380"/>
      <c r="G130" s="380"/>
      <c r="H130" s="380"/>
      <c r="I130" s="380"/>
      <c r="J130" s="380"/>
      <c r="K130" s="380"/>
      <c r="L130" s="380"/>
      <c r="M130" s="380"/>
      <c r="N130" s="380"/>
      <c r="O130" s="380"/>
      <c r="P130" s="380"/>
      <c r="Q130" s="380"/>
    </row>
    <row r="131" spans="1:17" ht="15.75" thickBot="1" x14ac:dyDescent="0.3">
      <c r="Q131" s="76" t="s">
        <v>1</v>
      </c>
    </row>
    <row r="132" spans="1:17" x14ac:dyDescent="0.25">
      <c r="A132" s="375" t="s">
        <v>2</v>
      </c>
      <c r="B132" s="377" t="s">
        <v>3</v>
      </c>
      <c r="C132" s="381" t="s">
        <v>90</v>
      </c>
      <c r="D132" s="382"/>
      <c r="E132" s="382"/>
      <c r="F132" s="382"/>
      <c r="G132" s="382"/>
      <c r="H132" s="382"/>
      <c r="I132" s="383" t="s">
        <v>83</v>
      </c>
      <c r="J132" s="382">
        <v>2017</v>
      </c>
      <c r="K132" s="382"/>
      <c r="L132" s="382"/>
      <c r="M132" s="382"/>
      <c r="N132" s="382"/>
      <c r="O132" s="382"/>
      <c r="P132" s="383" t="s">
        <v>84</v>
      </c>
      <c r="Q132" s="385" t="s">
        <v>5</v>
      </c>
    </row>
    <row r="133" spans="1:17" x14ac:dyDescent="0.25">
      <c r="A133" s="376"/>
      <c r="B133" s="363"/>
      <c r="C133" s="178" t="s">
        <v>15</v>
      </c>
      <c r="D133" s="178" t="s">
        <v>16</v>
      </c>
      <c r="E133" s="178" t="s">
        <v>17</v>
      </c>
      <c r="F133" s="178" t="s">
        <v>6</v>
      </c>
      <c r="G133" s="178" t="s">
        <v>77</v>
      </c>
      <c r="H133" s="121" t="s">
        <v>78</v>
      </c>
      <c r="I133" s="384"/>
      <c r="J133" s="111" t="s">
        <v>79</v>
      </c>
      <c r="K133" s="178" t="s">
        <v>10</v>
      </c>
      <c r="L133" s="178" t="s">
        <v>11</v>
      </c>
      <c r="M133" s="178" t="s">
        <v>12</v>
      </c>
      <c r="N133" s="178" t="s">
        <v>80</v>
      </c>
      <c r="O133" s="121" t="s">
        <v>81</v>
      </c>
      <c r="P133" s="384"/>
      <c r="Q133" s="386"/>
    </row>
    <row r="134" spans="1:17" ht="15.75" thickBot="1" x14ac:dyDescent="0.3">
      <c r="A134" s="113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2">
        <v>8</v>
      </c>
      <c r="I134" s="124">
        <v>9</v>
      </c>
      <c r="J134" s="112">
        <v>10</v>
      </c>
      <c r="K134" s="5">
        <v>11</v>
      </c>
      <c r="L134" s="5">
        <v>12</v>
      </c>
      <c r="M134" s="5">
        <v>13</v>
      </c>
      <c r="N134" s="5">
        <v>14</v>
      </c>
      <c r="O134" s="122">
        <v>15</v>
      </c>
      <c r="P134" s="124">
        <v>16</v>
      </c>
      <c r="Q134" s="133">
        <v>17</v>
      </c>
    </row>
    <row r="135" spans="1:17" ht="15.75" thickTop="1" x14ac:dyDescent="0.25">
      <c r="A135" s="84">
        <v>1</v>
      </c>
      <c r="B135" s="7" t="s">
        <v>18</v>
      </c>
      <c r="C135" s="138">
        <v>0</v>
      </c>
      <c r="D135" s="138">
        <v>0</v>
      </c>
      <c r="E135" s="138">
        <v>2</v>
      </c>
      <c r="F135" s="138">
        <f>'kc ijo'!C9</f>
        <v>0</v>
      </c>
      <c r="G135" s="138">
        <f>'kc ijo'!D9</f>
        <v>0</v>
      </c>
      <c r="H135" s="138">
        <f>'kc ijo'!E9</f>
        <v>0</v>
      </c>
      <c r="I135" s="126">
        <f>SUM(C135:H135)</f>
        <v>2</v>
      </c>
      <c r="J135" s="158">
        <f>'kc ijo'!F9</f>
        <v>0</v>
      </c>
      <c r="K135" s="158">
        <f>'kc ijo'!G9</f>
        <v>0</v>
      </c>
      <c r="L135" s="158">
        <f>'kc ijo'!H9</f>
        <v>0</v>
      </c>
      <c r="M135" s="158">
        <f>'kc ijo'!I9</f>
        <v>0</v>
      </c>
      <c r="N135" s="158">
        <f>'kc ijo'!J9</f>
        <v>0</v>
      </c>
      <c r="O135" s="158">
        <f>'kc ijo'!K9</f>
        <v>0</v>
      </c>
      <c r="P135" s="126">
        <f>SUM(J135:O135)</f>
        <v>0</v>
      </c>
      <c r="Q135" s="129">
        <f>SUM(I135,P135)</f>
        <v>2</v>
      </c>
    </row>
    <row r="136" spans="1:17" x14ac:dyDescent="0.25">
      <c r="A136" s="85">
        <v>2</v>
      </c>
      <c r="B136" s="12" t="s">
        <v>19</v>
      </c>
      <c r="C136" s="60">
        <v>0</v>
      </c>
      <c r="D136" s="60">
        <v>0</v>
      </c>
      <c r="E136" s="60">
        <v>0</v>
      </c>
      <c r="F136" s="60">
        <f>'kc ijo'!C10</f>
        <v>0</v>
      </c>
      <c r="G136" s="60">
        <f>'kc ijo'!D10</f>
        <v>0</v>
      </c>
      <c r="H136" s="157">
        <f>'kc ijo'!E10</f>
        <v>0</v>
      </c>
      <c r="I136" s="127">
        <f t="shared" ref="I136:I142" si="58">SUM(C136:H136)</f>
        <v>0</v>
      </c>
      <c r="J136" s="262">
        <f>'kc ijo'!F10</f>
        <v>0</v>
      </c>
      <c r="K136" s="134">
        <f>'kc ijo'!G10</f>
        <v>0</v>
      </c>
      <c r="L136" s="134">
        <f>'kc ijo'!H10</f>
        <v>0</v>
      </c>
      <c r="M136" s="134">
        <f>'kc ijo'!I10</f>
        <v>0</v>
      </c>
      <c r="N136" s="134">
        <f>'kc ijo'!J10</f>
        <v>0</v>
      </c>
      <c r="O136" s="159">
        <f>'kc ijo'!K10</f>
        <v>0</v>
      </c>
      <c r="P136" s="127">
        <f t="shared" ref="P136:P141" si="59">SUM(J136:O136)</f>
        <v>0</v>
      </c>
      <c r="Q136" s="130">
        <f t="shared" ref="Q136:Q142" si="60">SUM(I136,P136)</f>
        <v>0</v>
      </c>
    </row>
    <row r="137" spans="1:17" x14ac:dyDescent="0.25">
      <c r="A137" s="85">
        <v>3</v>
      </c>
      <c r="B137" s="7" t="s">
        <v>20</v>
      </c>
      <c r="C137" s="60">
        <v>0</v>
      </c>
      <c r="D137" s="60">
        <v>0</v>
      </c>
      <c r="E137" s="60">
        <v>0</v>
      </c>
      <c r="F137" s="60">
        <f>'kc ijo'!C11</f>
        <v>0</v>
      </c>
      <c r="G137" s="60">
        <f>'kc ijo'!D11</f>
        <v>0</v>
      </c>
      <c r="H137" s="157">
        <f>'kc ijo'!E11</f>
        <v>0</v>
      </c>
      <c r="I137" s="127">
        <f t="shared" si="58"/>
        <v>0</v>
      </c>
      <c r="J137" s="262">
        <f>'kc ijo'!F11</f>
        <v>0</v>
      </c>
      <c r="K137" s="134">
        <f>'kc ijo'!G11</f>
        <v>0</v>
      </c>
      <c r="L137" s="134">
        <f>'kc ijo'!H11</f>
        <v>0</v>
      </c>
      <c r="M137" s="134">
        <f>'kc ijo'!I11</f>
        <v>0</v>
      </c>
      <c r="N137" s="134">
        <f>'kc ijo'!J11</f>
        <v>0</v>
      </c>
      <c r="O137" s="159">
        <f>'kc ijo'!K11</f>
        <v>0</v>
      </c>
      <c r="P137" s="127">
        <f t="shared" si="59"/>
        <v>0</v>
      </c>
      <c r="Q137" s="130">
        <f t="shared" si="60"/>
        <v>0</v>
      </c>
    </row>
    <row r="138" spans="1:17" x14ac:dyDescent="0.25">
      <c r="A138" s="86">
        <v>4</v>
      </c>
      <c r="B138" s="15" t="s">
        <v>21</v>
      </c>
      <c r="C138" s="60">
        <v>1</v>
      </c>
      <c r="D138" s="60">
        <v>0</v>
      </c>
      <c r="E138" s="60">
        <v>2</v>
      </c>
      <c r="F138" s="60">
        <f>'kc ijo'!C12</f>
        <v>0</v>
      </c>
      <c r="G138" s="60">
        <f>'kc ijo'!D12</f>
        <v>0</v>
      </c>
      <c r="H138" s="157">
        <f>'kc ijo'!E12</f>
        <v>4</v>
      </c>
      <c r="I138" s="127">
        <f t="shared" si="58"/>
        <v>7</v>
      </c>
      <c r="J138" s="262">
        <f>'kc ijo'!F12</f>
        <v>0</v>
      </c>
      <c r="K138" s="134">
        <f>'kc ijo'!G12</f>
        <v>15</v>
      </c>
      <c r="L138" s="134">
        <f>'kc ijo'!H12</f>
        <v>0</v>
      </c>
      <c r="M138" s="134">
        <f>'kc ijo'!I12</f>
        <v>0</v>
      </c>
      <c r="N138" s="134">
        <f>'kc ijo'!J12</f>
        <v>0</v>
      </c>
      <c r="O138" s="159">
        <f>'kc ijo'!K12</f>
        <v>10</v>
      </c>
      <c r="P138" s="127">
        <f t="shared" si="59"/>
        <v>25</v>
      </c>
      <c r="Q138" s="130">
        <f t="shared" si="60"/>
        <v>32</v>
      </c>
    </row>
    <row r="139" spans="1:17" x14ac:dyDescent="0.25">
      <c r="A139" s="86">
        <v>5</v>
      </c>
      <c r="B139" s="19" t="s">
        <v>22</v>
      </c>
      <c r="C139" s="60">
        <v>0</v>
      </c>
      <c r="D139" s="60">
        <v>0</v>
      </c>
      <c r="E139" s="60">
        <v>0</v>
      </c>
      <c r="F139" s="60">
        <f>'kc ijo'!C13</f>
        <v>0</v>
      </c>
      <c r="G139" s="60">
        <f>'kc ijo'!D13</f>
        <v>0</v>
      </c>
      <c r="H139" s="157">
        <f>'kc ijo'!E13</f>
        <v>0</v>
      </c>
      <c r="I139" s="127">
        <f t="shared" si="58"/>
        <v>0</v>
      </c>
      <c r="J139" s="262">
        <f>'kc ijo'!F13</f>
        <v>0</v>
      </c>
      <c r="K139" s="134">
        <f>'kc ijo'!G13</f>
        <v>2</v>
      </c>
      <c r="L139" s="134">
        <f>'kc ijo'!H13</f>
        <v>1</v>
      </c>
      <c r="M139" s="134">
        <f>'kc ijo'!I13</f>
        <v>0</v>
      </c>
      <c r="N139" s="134">
        <f>'kc ijo'!J13</f>
        <v>0</v>
      </c>
      <c r="O139" s="159">
        <f>'kc ijo'!K13</f>
        <v>0</v>
      </c>
      <c r="P139" s="127">
        <f t="shared" si="59"/>
        <v>3</v>
      </c>
      <c r="Q139" s="130">
        <f t="shared" si="60"/>
        <v>3</v>
      </c>
    </row>
    <row r="140" spans="1:17" x14ac:dyDescent="0.25">
      <c r="A140" s="86">
        <v>6</v>
      </c>
      <c r="B140" s="19" t="s">
        <v>23</v>
      </c>
      <c r="C140" s="60">
        <v>0</v>
      </c>
      <c r="D140" s="60">
        <v>0</v>
      </c>
      <c r="E140" s="60">
        <v>0</v>
      </c>
      <c r="F140" s="60">
        <f>'kc ijo'!C14</f>
        <v>0</v>
      </c>
      <c r="G140" s="60">
        <f>'kc ijo'!D14</f>
        <v>0</v>
      </c>
      <c r="H140" s="157">
        <f>'kc ijo'!E14</f>
        <v>0</v>
      </c>
      <c r="I140" s="127">
        <f t="shared" si="58"/>
        <v>0</v>
      </c>
      <c r="J140" s="262">
        <f>'kc ijo'!F14</f>
        <v>0</v>
      </c>
      <c r="K140" s="134">
        <f>'kc ijo'!G14</f>
        <v>0</v>
      </c>
      <c r="L140" s="134">
        <f>'kc ijo'!H14</f>
        <v>0</v>
      </c>
      <c r="M140" s="134">
        <f>'kc ijo'!I14</f>
        <v>0</v>
      </c>
      <c r="N140" s="134">
        <f>'kc ijo'!J14</f>
        <v>0</v>
      </c>
      <c r="O140" s="159">
        <f>'kc ijo'!K14</f>
        <v>0</v>
      </c>
      <c r="P140" s="127">
        <f t="shared" si="59"/>
        <v>0</v>
      </c>
      <c r="Q140" s="130">
        <f t="shared" si="60"/>
        <v>0</v>
      </c>
    </row>
    <row r="141" spans="1:17" x14ac:dyDescent="0.25">
      <c r="A141" s="86">
        <v>7</v>
      </c>
      <c r="B141" s="19" t="s">
        <v>24</v>
      </c>
      <c r="C141" s="60">
        <v>0</v>
      </c>
      <c r="D141" s="60">
        <v>0</v>
      </c>
      <c r="E141" s="60">
        <v>0</v>
      </c>
      <c r="F141" s="60">
        <f>'kc ijo'!C15</f>
        <v>1</v>
      </c>
      <c r="G141" s="60">
        <f>'kc ijo'!D15</f>
        <v>0</v>
      </c>
      <c r="H141" s="157">
        <f>'kc ijo'!E15</f>
        <v>0</v>
      </c>
      <c r="I141" s="127">
        <f t="shared" si="58"/>
        <v>1</v>
      </c>
      <c r="J141" s="262">
        <f>'kc ijo'!F15</f>
        <v>0</v>
      </c>
      <c r="K141" s="134">
        <f>'kc ijo'!G15</f>
        <v>0</v>
      </c>
      <c r="L141" s="134">
        <f>'kc ijo'!H15</f>
        <v>0</v>
      </c>
      <c r="M141" s="134">
        <f>'kc ijo'!I15</f>
        <v>0</v>
      </c>
      <c r="N141" s="134">
        <f>'kc ijo'!J15</f>
        <v>0</v>
      </c>
      <c r="O141" s="159">
        <f>'kc ijo'!K15</f>
        <v>0</v>
      </c>
      <c r="P141" s="127">
        <f t="shared" si="59"/>
        <v>0</v>
      </c>
      <c r="Q141" s="130">
        <f t="shared" si="60"/>
        <v>1</v>
      </c>
    </row>
    <row r="142" spans="1:17" ht="15.75" thickBot="1" x14ac:dyDescent="0.3">
      <c r="A142" s="87">
        <v>8</v>
      </c>
      <c r="B142" s="15" t="s">
        <v>25</v>
      </c>
      <c r="C142" s="139">
        <v>0</v>
      </c>
      <c r="D142" s="139">
        <v>0</v>
      </c>
      <c r="E142" s="139">
        <v>0</v>
      </c>
      <c r="F142" s="139">
        <f>'kc ijo'!C16</f>
        <v>0</v>
      </c>
      <c r="G142" s="139">
        <f>'kc ijo'!D16</f>
        <v>0</v>
      </c>
      <c r="H142" s="139">
        <f>'kc ijo'!E16</f>
        <v>0</v>
      </c>
      <c r="I142" s="128">
        <f t="shared" si="58"/>
        <v>0</v>
      </c>
      <c r="J142" s="273">
        <f>'kc ijo'!F16</f>
        <v>0</v>
      </c>
      <c r="K142" s="273">
        <f>'kc ijo'!G16</f>
        <v>0</v>
      </c>
      <c r="L142" s="273">
        <f>'kc ijo'!H16</f>
        <v>0</v>
      </c>
      <c r="M142" s="273">
        <f>'kc ijo'!I16</f>
        <v>0.5</v>
      </c>
      <c r="N142" s="273">
        <f>'kc ijo'!J16</f>
        <v>0</v>
      </c>
      <c r="O142" s="273">
        <f>'kc ijo'!K16</f>
        <v>0</v>
      </c>
      <c r="P142" s="128">
        <f>SUM(J142:O142)</f>
        <v>0.5</v>
      </c>
      <c r="Q142" s="131">
        <f t="shared" si="60"/>
        <v>0.5</v>
      </c>
    </row>
    <row r="143" spans="1:17" ht="16.5" thickTop="1" thickBot="1" x14ac:dyDescent="0.3">
      <c r="A143" s="378" t="s">
        <v>26</v>
      </c>
      <c r="B143" s="379"/>
      <c r="C143" s="114">
        <f t="shared" ref="C143:H143" si="61">SUM(C135:C142)</f>
        <v>1</v>
      </c>
      <c r="D143" s="114">
        <f t="shared" si="61"/>
        <v>0</v>
      </c>
      <c r="E143" s="114">
        <f t="shared" si="61"/>
        <v>4</v>
      </c>
      <c r="F143" s="114">
        <f t="shared" si="61"/>
        <v>1</v>
      </c>
      <c r="G143" s="114">
        <f t="shared" si="61"/>
        <v>0</v>
      </c>
      <c r="H143" s="123">
        <f t="shared" si="61"/>
        <v>4</v>
      </c>
      <c r="I143" s="125">
        <f>SUM(I135:I142)</f>
        <v>10</v>
      </c>
      <c r="J143" s="135">
        <f t="shared" ref="J143:O143" si="62">SUM(J135:J142)</f>
        <v>0</v>
      </c>
      <c r="K143" s="114">
        <f t="shared" si="62"/>
        <v>17</v>
      </c>
      <c r="L143" s="114">
        <f t="shared" si="62"/>
        <v>1</v>
      </c>
      <c r="M143" s="114">
        <f t="shared" si="62"/>
        <v>0.5</v>
      </c>
      <c r="N143" s="114">
        <f t="shared" si="62"/>
        <v>0</v>
      </c>
      <c r="O143" s="123">
        <f t="shared" si="62"/>
        <v>10</v>
      </c>
      <c r="P143" s="125">
        <f>SUM(P135:P142)</f>
        <v>28.5</v>
      </c>
      <c r="Q143" s="132">
        <f>SUM(Q135:Q142)</f>
        <v>38.5</v>
      </c>
    </row>
    <row r="145" spans="1:17" ht="15.75" x14ac:dyDescent="0.25">
      <c r="A145" s="380" t="s">
        <v>147</v>
      </c>
      <c r="B145" s="380"/>
      <c r="C145" s="380"/>
      <c r="D145" s="380"/>
      <c r="E145" s="380"/>
      <c r="F145" s="380"/>
      <c r="G145" s="380"/>
      <c r="H145" s="380"/>
      <c r="I145" s="380"/>
      <c r="J145" s="380"/>
      <c r="K145" s="380"/>
      <c r="L145" s="380"/>
      <c r="M145" s="380"/>
      <c r="N145" s="380"/>
      <c r="O145" s="380"/>
      <c r="P145" s="380"/>
      <c r="Q145" s="380"/>
    </row>
    <row r="146" spans="1:17" ht="15.75" x14ac:dyDescent="0.25">
      <c r="A146" s="380" t="s">
        <v>82</v>
      </c>
      <c r="B146" s="380"/>
      <c r="C146" s="380"/>
      <c r="D146" s="380"/>
      <c r="E146" s="380"/>
      <c r="F146" s="380"/>
      <c r="G146" s="380"/>
      <c r="H146" s="380"/>
      <c r="I146" s="380"/>
      <c r="J146" s="380"/>
      <c r="K146" s="380"/>
      <c r="L146" s="380"/>
      <c r="M146" s="380"/>
      <c r="N146" s="380"/>
      <c r="O146" s="380"/>
      <c r="P146" s="380"/>
      <c r="Q146" s="380"/>
    </row>
    <row r="147" spans="1:17" ht="15.75" thickBot="1" x14ac:dyDescent="0.3">
      <c r="Q147" s="76" t="s">
        <v>1</v>
      </c>
    </row>
    <row r="148" spans="1:17" x14ac:dyDescent="0.25">
      <c r="A148" s="375" t="s">
        <v>2</v>
      </c>
      <c r="B148" s="377" t="s">
        <v>3</v>
      </c>
      <c r="C148" s="381" t="s">
        <v>90</v>
      </c>
      <c r="D148" s="382"/>
      <c r="E148" s="382"/>
      <c r="F148" s="382"/>
      <c r="G148" s="382"/>
      <c r="H148" s="382"/>
      <c r="I148" s="383" t="s">
        <v>83</v>
      </c>
      <c r="J148" s="382">
        <v>2017</v>
      </c>
      <c r="K148" s="382"/>
      <c r="L148" s="382"/>
      <c r="M148" s="382"/>
      <c r="N148" s="382"/>
      <c r="O148" s="382"/>
      <c r="P148" s="383" t="s">
        <v>84</v>
      </c>
      <c r="Q148" s="385" t="s">
        <v>5</v>
      </c>
    </row>
    <row r="149" spans="1:17" x14ac:dyDescent="0.25">
      <c r="A149" s="376"/>
      <c r="B149" s="363"/>
      <c r="C149" s="207" t="s">
        <v>15</v>
      </c>
      <c r="D149" s="207" t="s">
        <v>16</v>
      </c>
      <c r="E149" s="207" t="s">
        <v>17</v>
      </c>
      <c r="F149" s="207" t="s">
        <v>6</v>
      </c>
      <c r="G149" s="207" t="s">
        <v>77</v>
      </c>
      <c r="H149" s="121" t="s">
        <v>78</v>
      </c>
      <c r="I149" s="384"/>
      <c r="J149" s="111" t="s">
        <v>79</v>
      </c>
      <c r="K149" s="207" t="s">
        <v>10</v>
      </c>
      <c r="L149" s="207" t="s">
        <v>11</v>
      </c>
      <c r="M149" s="207" t="s">
        <v>12</v>
      </c>
      <c r="N149" s="207" t="s">
        <v>80</v>
      </c>
      <c r="O149" s="121" t="s">
        <v>81</v>
      </c>
      <c r="P149" s="384"/>
      <c r="Q149" s="386"/>
    </row>
    <row r="150" spans="1:17" ht="15.75" thickBot="1" x14ac:dyDescent="0.3">
      <c r="A150" s="113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2">
        <v>8</v>
      </c>
      <c r="I150" s="124">
        <v>9</v>
      </c>
      <c r="J150" s="112">
        <v>10</v>
      </c>
      <c r="K150" s="5">
        <v>11</v>
      </c>
      <c r="L150" s="5">
        <v>12</v>
      </c>
      <c r="M150" s="5">
        <v>13</v>
      </c>
      <c r="N150" s="5">
        <v>14</v>
      </c>
      <c r="O150" s="122">
        <v>15</v>
      </c>
      <c r="P150" s="124">
        <v>16</v>
      </c>
      <c r="Q150" s="133">
        <v>17</v>
      </c>
    </row>
    <row r="151" spans="1:17" ht="15.75" thickTop="1" x14ac:dyDescent="0.25">
      <c r="A151" s="84">
        <v>1</v>
      </c>
      <c r="B151" s="7" t="s">
        <v>18</v>
      </c>
      <c r="C151" s="138">
        <v>0</v>
      </c>
      <c r="D151" s="138">
        <v>9</v>
      </c>
      <c r="E151" s="138">
        <v>0</v>
      </c>
      <c r="F151" s="138">
        <f>'padi sawah'!C42</f>
        <v>2</v>
      </c>
      <c r="G151" s="138">
        <f>'padi sawah'!D42</f>
        <v>0</v>
      </c>
      <c r="H151" s="138">
        <f>'padi sawah'!E42</f>
        <v>45</v>
      </c>
      <c r="I151" s="126">
        <f>SUM(C151:H151)</f>
        <v>56</v>
      </c>
      <c r="J151" s="158">
        <f>'padi sawah'!F42</f>
        <v>177</v>
      </c>
      <c r="K151" s="158">
        <f>'padi sawah'!G42</f>
        <v>45</v>
      </c>
      <c r="L151" s="158">
        <f>'padi sawah'!H42</f>
        <v>0</v>
      </c>
      <c r="M151" s="158">
        <f>'padi sawah'!I42</f>
        <v>0</v>
      </c>
      <c r="N151" s="158">
        <f>'padi sawah'!J42</f>
        <v>35</v>
      </c>
      <c r="O151" s="158">
        <f>'padi sawah'!K42</f>
        <v>29</v>
      </c>
      <c r="P151" s="126">
        <f>SUM(J151:O151)</f>
        <v>286</v>
      </c>
      <c r="Q151" s="129">
        <f>SUM(I151,P151)</f>
        <v>342</v>
      </c>
    </row>
    <row r="152" spans="1:17" x14ac:dyDescent="0.25">
      <c r="A152" s="85">
        <v>2</v>
      </c>
      <c r="B152" s="12" t="s">
        <v>19</v>
      </c>
      <c r="C152" s="60">
        <v>60</v>
      </c>
      <c r="D152" s="60">
        <v>1</v>
      </c>
      <c r="E152" s="60">
        <v>4</v>
      </c>
      <c r="F152" s="60">
        <f>'padi sawah'!C43</f>
        <v>6</v>
      </c>
      <c r="G152" s="60">
        <f>'padi sawah'!D43</f>
        <v>17</v>
      </c>
      <c r="H152" s="157">
        <f>'padi sawah'!E43</f>
        <v>133</v>
      </c>
      <c r="I152" s="127">
        <f t="shared" ref="I152:I158" si="63">SUM(C152:H152)</f>
        <v>221</v>
      </c>
      <c r="J152" s="262">
        <f>'padi sawah'!F43</f>
        <v>57</v>
      </c>
      <c r="K152" s="134">
        <f>'padi sawah'!G43</f>
        <v>5</v>
      </c>
      <c r="L152" s="134">
        <f>'padi sawah'!H43</f>
        <v>0</v>
      </c>
      <c r="M152" s="134">
        <f>'padi sawah'!I43</f>
        <v>8</v>
      </c>
      <c r="N152" s="134">
        <f>'padi sawah'!J43</f>
        <v>133</v>
      </c>
      <c r="O152" s="159">
        <f>'padi sawah'!K43</f>
        <v>8</v>
      </c>
      <c r="P152" s="127">
        <f t="shared" ref="P152:P157" si="64">SUM(J152:O152)</f>
        <v>211</v>
      </c>
      <c r="Q152" s="130">
        <f t="shared" ref="Q152:Q158" si="65">SUM(I152,P152)</f>
        <v>432</v>
      </c>
    </row>
    <row r="153" spans="1:17" x14ac:dyDescent="0.25">
      <c r="A153" s="85">
        <v>3</v>
      </c>
      <c r="B153" s="7" t="s">
        <v>20</v>
      </c>
      <c r="C153" s="60">
        <v>0</v>
      </c>
      <c r="D153" s="60">
        <v>0</v>
      </c>
      <c r="E153" s="60">
        <v>0</v>
      </c>
      <c r="F153" s="60">
        <f>'padi sawah'!C44</f>
        <v>0</v>
      </c>
      <c r="G153" s="60">
        <f>'padi sawah'!D44+G185</f>
        <v>40</v>
      </c>
      <c r="H153" s="60">
        <f>'padi sawah'!E44+H185</f>
        <v>34</v>
      </c>
      <c r="I153" s="127">
        <f t="shared" si="63"/>
        <v>74</v>
      </c>
      <c r="J153" s="262">
        <f>'padi sawah'!F44</f>
        <v>20</v>
      </c>
      <c r="K153" s="134">
        <f>'padi sawah'!G44</f>
        <v>0</v>
      </c>
      <c r="L153" s="134">
        <f>'padi sawah'!H44</f>
        <v>0</v>
      </c>
      <c r="M153" s="134">
        <f>'padi sawah'!I44</f>
        <v>0</v>
      </c>
      <c r="N153" s="134">
        <f>'padi sawah'!J44</f>
        <v>10</v>
      </c>
      <c r="O153" s="159">
        <f>'padi sawah'!K44</f>
        <v>0</v>
      </c>
      <c r="P153" s="127">
        <f t="shared" si="64"/>
        <v>30</v>
      </c>
      <c r="Q153" s="130">
        <f t="shared" si="65"/>
        <v>104</v>
      </c>
    </row>
    <row r="154" spans="1:17" x14ac:dyDescent="0.25">
      <c r="A154" s="86">
        <v>4</v>
      </c>
      <c r="B154" s="15" t="s">
        <v>21</v>
      </c>
      <c r="C154" s="60">
        <v>0</v>
      </c>
      <c r="D154" s="60">
        <v>1</v>
      </c>
      <c r="E154" s="60">
        <v>5</v>
      </c>
      <c r="F154" s="60">
        <f>'padi sawah'!C45</f>
        <v>5</v>
      </c>
      <c r="G154" s="60">
        <f>'padi sawah'!D45</f>
        <v>0</v>
      </c>
      <c r="H154" s="157">
        <f>'padi sawah'!E45</f>
        <v>10</v>
      </c>
      <c r="I154" s="127">
        <f t="shared" si="63"/>
        <v>21</v>
      </c>
      <c r="J154" s="262">
        <f>'padi sawah'!F45</f>
        <v>161</v>
      </c>
      <c r="K154" s="134">
        <f>'padi sawah'!G45</f>
        <v>25</v>
      </c>
      <c r="L154" s="134">
        <f>'padi sawah'!H45</f>
        <v>0</v>
      </c>
      <c r="M154" s="134">
        <f>'padi sawah'!I45</f>
        <v>3</v>
      </c>
      <c r="N154" s="134">
        <f>'padi sawah'!J45</f>
        <v>10</v>
      </c>
      <c r="O154" s="159">
        <f>'padi sawah'!K45</f>
        <v>0</v>
      </c>
      <c r="P154" s="127">
        <f t="shared" si="64"/>
        <v>199</v>
      </c>
      <c r="Q154" s="130">
        <f t="shared" si="65"/>
        <v>220</v>
      </c>
    </row>
    <row r="155" spans="1:17" x14ac:dyDescent="0.25">
      <c r="A155" s="86">
        <v>5</v>
      </c>
      <c r="B155" s="19" t="s">
        <v>22</v>
      </c>
      <c r="C155" s="60">
        <v>0</v>
      </c>
      <c r="D155" s="60">
        <v>0</v>
      </c>
      <c r="E155" s="60">
        <v>10</v>
      </c>
      <c r="F155" s="60">
        <f>'padi sawah'!C46</f>
        <v>0</v>
      </c>
      <c r="G155" s="60">
        <f>'padi sawah'!D46</f>
        <v>5</v>
      </c>
      <c r="H155" s="157">
        <f>'padi sawah'!E46</f>
        <v>10</v>
      </c>
      <c r="I155" s="127">
        <f t="shared" si="63"/>
        <v>25</v>
      </c>
      <c r="J155" s="262">
        <f>'padi sawah'!F46</f>
        <v>166</v>
      </c>
      <c r="K155" s="134">
        <f>'padi sawah'!G46</f>
        <v>0</v>
      </c>
      <c r="L155" s="134">
        <f>'padi sawah'!H46</f>
        <v>0</v>
      </c>
      <c r="M155" s="134">
        <f>'padi sawah'!I46</f>
        <v>8</v>
      </c>
      <c r="N155" s="134">
        <f>'padi sawah'!J46</f>
        <v>13</v>
      </c>
      <c r="O155" s="159">
        <f>'padi sawah'!K46</f>
        <v>0</v>
      </c>
      <c r="P155" s="127">
        <f t="shared" si="64"/>
        <v>187</v>
      </c>
      <c r="Q155" s="130">
        <f t="shared" si="65"/>
        <v>212</v>
      </c>
    </row>
    <row r="156" spans="1:17" x14ac:dyDescent="0.25">
      <c r="A156" s="86">
        <v>6</v>
      </c>
      <c r="B156" s="19" t="s">
        <v>23</v>
      </c>
      <c r="C156" s="60">
        <v>6</v>
      </c>
      <c r="D156" s="60">
        <v>0</v>
      </c>
      <c r="E156" s="60">
        <v>0</v>
      </c>
      <c r="F156" s="60">
        <f>'padi sawah'!C47</f>
        <v>7</v>
      </c>
      <c r="G156" s="60">
        <f>'padi sawah'!D47</f>
        <v>43</v>
      </c>
      <c r="H156" s="157">
        <f>'padi sawah'!E47</f>
        <v>0</v>
      </c>
      <c r="I156" s="127">
        <f t="shared" si="63"/>
        <v>56</v>
      </c>
      <c r="J156" s="262">
        <f>'padi sawah'!F47</f>
        <v>0</v>
      </c>
      <c r="K156" s="134">
        <f>'padi sawah'!G47</f>
        <v>1</v>
      </c>
      <c r="L156" s="134">
        <f>'padi sawah'!H47</f>
        <v>15</v>
      </c>
      <c r="M156" s="134">
        <f>'padi sawah'!I47</f>
        <v>11</v>
      </c>
      <c r="N156" s="134">
        <f>'padi sawah'!J47</f>
        <v>25</v>
      </c>
      <c r="O156" s="159">
        <f>'padi sawah'!K47</f>
        <v>0</v>
      </c>
      <c r="P156" s="127">
        <f t="shared" si="64"/>
        <v>52</v>
      </c>
      <c r="Q156" s="130">
        <f t="shared" si="65"/>
        <v>108</v>
      </c>
    </row>
    <row r="157" spans="1:17" x14ac:dyDescent="0.25">
      <c r="A157" s="86">
        <v>7</v>
      </c>
      <c r="B157" s="19" t="s">
        <v>24</v>
      </c>
      <c r="C157" s="60">
        <v>3</v>
      </c>
      <c r="D157" s="60">
        <v>0</v>
      </c>
      <c r="E157" s="60">
        <v>4</v>
      </c>
      <c r="F157" s="60">
        <f>'padi sawah'!C48</f>
        <v>15</v>
      </c>
      <c r="G157" s="60">
        <f>'padi sawah'!D48</f>
        <v>5</v>
      </c>
      <c r="H157" s="157">
        <f>'padi sawah'!E48</f>
        <v>162</v>
      </c>
      <c r="I157" s="127">
        <f t="shared" si="63"/>
        <v>189</v>
      </c>
      <c r="J157" s="262">
        <f>'padi sawah'!F48</f>
        <v>158</v>
      </c>
      <c r="K157" s="134">
        <f>'padi sawah'!G48</f>
        <v>2</v>
      </c>
      <c r="L157" s="134">
        <f>'padi sawah'!H48</f>
        <v>15</v>
      </c>
      <c r="M157" s="134">
        <f>'padi sawah'!I48</f>
        <v>12</v>
      </c>
      <c r="N157" s="134">
        <f>'padi sawah'!J48</f>
        <v>165</v>
      </c>
      <c r="O157" s="159">
        <f>'padi sawah'!K48</f>
        <v>48</v>
      </c>
      <c r="P157" s="127">
        <f t="shared" si="64"/>
        <v>400</v>
      </c>
      <c r="Q157" s="130">
        <f t="shared" si="65"/>
        <v>589</v>
      </c>
    </row>
    <row r="158" spans="1:17" ht="15.75" thickBot="1" x14ac:dyDescent="0.3">
      <c r="A158" s="87">
        <v>8</v>
      </c>
      <c r="B158" s="15" t="s">
        <v>25</v>
      </c>
      <c r="C158" s="139">
        <v>0</v>
      </c>
      <c r="D158" s="139">
        <v>48</v>
      </c>
      <c r="E158" s="139">
        <v>27</v>
      </c>
      <c r="F158" s="139">
        <f>'padi sawah'!C49</f>
        <v>26</v>
      </c>
      <c r="G158" s="139">
        <f>'padi sawah'!D49</f>
        <v>113</v>
      </c>
      <c r="H158" s="139">
        <f>'padi sawah'!E49</f>
        <v>134</v>
      </c>
      <c r="I158" s="128">
        <f t="shared" si="63"/>
        <v>348</v>
      </c>
      <c r="J158" s="273">
        <f>'padi sawah'!F49</f>
        <v>0</v>
      </c>
      <c r="K158" s="273">
        <f>'padi sawah'!G49</f>
        <v>40</v>
      </c>
      <c r="L158" s="273">
        <f>'padi sawah'!H49</f>
        <v>30</v>
      </c>
      <c r="M158" s="273">
        <f>'padi sawah'!I49</f>
        <v>112</v>
      </c>
      <c r="N158" s="273">
        <f>'padi sawah'!J49</f>
        <v>16</v>
      </c>
      <c r="O158" s="273">
        <f>'padi sawah'!K49</f>
        <v>25</v>
      </c>
      <c r="P158" s="128">
        <f>SUM(J158:O158)</f>
        <v>223</v>
      </c>
      <c r="Q158" s="131">
        <f t="shared" si="65"/>
        <v>571</v>
      </c>
    </row>
    <row r="159" spans="1:17" ht="16.5" thickTop="1" thickBot="1" x14ac:dyDescent="0.3">
      <c r="A159" s="378" t="s">
        <v>26</v>
      </c>
      <c r="B159" s="379"/>
      <c r="C159" s="114">
        <f t="shared" ref="C159:H159" si="66">SUM(C151:C158)</f>
        <v>69</v>
      </c>
      <c r="D159" s="114">
        <f t="shared" si="66"/>
        <v>59</v>
      </c>
      <c r="E159" s="114">
        <f t="shared" si="66"/>
        <v>50</v>
      </c>
      <c r="F159" s="114">
        <f t="shared" si="66"/>
        <v>61</v>
      </c>
      <c r="G159" s="114">
        <f t="shared" si="66"/>
        <v>223</v>
      </c>
      <c r="H159" s="123">
        <f t="shared" si="66"/>
        <v>528</v>
      </c>
      <c r="I159" s="125">
        <f>SUM(I151:I158)</f>
        <v>990</v>
      </c>
      <c r="J159" s="135">
        <f t="shared" ref="J159:O159" si="67">SUM(J151:J158)</f>
        <v>739</v>
      </c>
      <c r="K159" s="114">
        <f t="shared" si="67"/>
        <v>118</v>
      </c>
      <c r="L159" s="114">
        <f t="shared" si="67"/>
        <v>60</v>
      </c>
      <c r="M159" s="114">
        <f t="shared" si="67"/>
        <v>154</v>
      </c>
      <c r="N159" s="114">
        <f t="shared" si="67"/>
        <v>407</v>
      </c>
      <c r="O159" s="123">
        <f t="shared" si="67"/>
        <v>110</v>
      </c>
      <c r="P159" s="125">
        <f>SUM(P151:P158)</f>
        <v>1588</v>
      </c>
      <c r="Q159" s="132">
        <f>SUM(Q151:Q158)</f>
        <v>2578</v>
      </c>
    </row>
    <row r="161" spans="1:17" ht="15.75" x14ac:dyDescent="0.25">
      <c r="A161" s="380" t="s">
        <v>119</v>
      </c>
      <c r="B161" s="380"/>
      <c r="C161" s="380"/>
      <c r="D161" s="380"/>
      <c r="E161" s="380"/>
      <c r="F161" s="380"/>
      <c r="G161" s="380"/>
      <c r="H161" s="380"/>
      <c r="I161" s="380"/>
      <c r="J161" s="380"/>
      <c r="K161" s="380"/>
      <c r="L161" s="380"/>
      <c r="M161" s="380"/>
      <c r="N161" s="380"/>
      <c r="O161" s="380"/>
      <c r="P161" s="380"/>
      <c r="Q161" s="380"/>
    </row>
    <row r="162" spans="1:17" ht="15.75" x14ac:dyDescent="0.25">
      <c r="A162" s="380" t="s">
        <v>82</v>
      </c>
      <c r="B162" s="380"/>
      <c r="C162" s="380"/>
      <c r="D162" s="380"/>
      <c r="E162" s="380"/>
      <c r="F162" s="380"/>
      <c r="G162" s="380"/>
      <c r="H162" s="380"/>
      <c r="I162" s="380"/>
      <c r="J162" s="380"/>
      <c r="K162" s="380"/>
      <c r="L162" s="380"/>
      <c r="M162" s="380"/>
      <c r="N162" s="380"/>
      <c r="O162" s="380"/>
      <c r="P162" s="380"/>
      <c r="Q162" s="380"/>
    </row>
    <row r="163" spans="1:17" ht="15.75" thickBot="1" x14ac:dyDescent="0.3">
      <c r="Q163" s="76" t="s">
        <v>1</v>
      </c>
    </row>
    <row r="164" spans="1:17" x14ac:dyDescent="0.25">
      <c r="A164" s="375" t="s">
        <v>2</v>
      </c>
      <c r="B164" s="377" t="s">
        <v>3</v>
      </c>
      <c r="C164" s="381" t="s">
        <v>90</v>
      </c>
      <c r="D164" s="382"/>
      <c r="E164" s="382"/>
      <c r="F164" s="382"/>
      <c r="G164" s="382"/>
      <c r="H164" s="382"/>
      <c r="I164" s="383" t="s">
        <v>83</v>
      </c>
      <c r="J164" s="382">
        <v>2017</v>
      </c>
      <c r="K164" s="382"/>
      <c r="L164" s="382"/>
      <c r="M164" s="382"/>
      <c r="N164" s="382"/>
      <c r="O164" s="382"/>
      <c r="P164" s="383" t="s">
        <v>84</v>
      </c>
      <c r="Q164" s="385" t="s">
        <v>5</v>
      </c>
    </row>
    <row r="165" spans="1:17" x14ac:dyDescent="0.25">
      <c r="A165" s="376"/>
      <c r="B165" s="363"/>
      <c r="C165" s="279" t="s">
        <v>15</v>
      </c>
      <c r="D165" s="279" t="s">
        <v>16</v>
      </c>
      <c r="E165" s="279" t="s">
        <v>17</v>
      </c>
      <c r="F165" s="279" t="s">
        <v>6</v>
      </c>
      <c r="G165" s="279" t="s">
        <v>77</v>
      </c>
      <c r="H165" s="121" t="s">
        <v>78</v>
      </c>
      <c r="I165" s="384"/>
      <c r="J165" s="111" t="s">
        <v>79</v>
      </c>
      <c r="K165" s="279" t="s">
        <v>10</v>
      </c>
      <c r="L165" s="279" t="s">
        <v>11</v>
      </c>
      <c r="M165" s="279" t="s">
        <v>12</v>
      </c>
      <c r="N165" s="279" t="s">
        <v>80</v>
      </c>
      <c r="O165" s="121" t="s">
        <v>81</v>
      </c>
      <c r="P165" s="384"/>
      <c r="Q165" s="386"/>
    </row>
    <row r="166" spans="1:17" ht="15.75" thickBot="1" x14ac:dyDescent="0.3">
      <c r="A166" s="113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2">
        <v>8</v>
      </c>
      <c r="I166" s="124">
        <v>9</v>
      </c>
      <c r="J166" s="112">
        <v>10</v>
      </c>
      <c r="K166" s="5">
        <v>11</v>
      </c>
      <c r="L166" s="5">
        <v>12</v>
      </c>
      <c r="M166" s="5">
        <v>13</v>
      </c>
      <c r="N166" s="5">
        <v>14</v>
      </c>
      <c r="O166" s="122">
        <v>15</v>
      </c>
      <c r="P166" s="124">
        <v>16</v>
      </c>
      <c r="Q166" s="133">
        <v>17</v>
      </c>
    </row>
    <row r="167" spans="1:17" ht="15.75" thickTop="1" x14ac:dyDescent="0.25">
      <c r="A167" s="84">
        <v>1</v>
      </c>
      <c r="B167" s="7" t="s">
        <v>18</v>
      </c>
      <c r="C167" s="138">
        <v>0</v>
      </c>
      <c r="D167" s="138">
        <v>9</v>
      </c>
      <c r="E167" s="138">
        <v>0</v>
      </c>
      <c r="F167" s="138">
        <f>'padi sawah'!C42</f>
        <v>2</v>
      </c>
      <c r="G167" s="138">
        <f>'padi sawah'!D42</f>
        <v>0</v>
      </c>
      <c r="H167" s="138">
        <f>'padi sawah'!E42</f>
        <v>45</v>
      </c>
      <c r="I167" s="126">
        <f>SUM(C167:H167)</f>
        <v>56</v>
      </c>
      <c r="J167" s="158">
        <f>'padi sawah'!F42</f>
        <v>177</v>
      </c>
      <c r="K167" s="158">
        <f>'padi sawah'!G42</f>
        <v>45</v>
      </c>
      <c r="L167" s="158">
        <f>'padi sawah'!H42</f>
        <v>0</v>
      </c>
      <c r="M167" s="158">
        <f>'padi sawah'!I42</f>
        <v>0</v>
      </c>
      <c r="N167" s="158">
        <f>'padi sawah'!J42</f>
        <v>35</v>
      </c>
      <c r="O167" s="158">
        <f>'padi sawah'!K42</f>
        <v>29</v>
      </c>
      <c r="P167" s="126">
        <f>SUM(J167:O167)</f>
        <v>286</v>
      </c>
      <c r="Q167" s="129">
        <f>SUM(I167,P167)</f>
        <v>342</v>
      </c>
    </row>
    <row r="168" spans="1:17" x14ac:dyDescent="0.25">
      <c r="A168" s="85">
        <v>2</v>
      </c>
      <c r="B168" s="12" t="s">
        <v>19</v>
      </c>
      <c r="C168" s="60">
        <v>60</v>
      </c>
      <c r="D168" s="60">
        <v>1</v>
      </c>
      <c r="E168" s="60">
        <v>4</v>
      </c>
      <c r="F168" s="60">
        <f>'padi sawah'!C43</f>
        <v>6</v>
      </c>
      <c r="G168" s="60">
        <f>'padi sawah'!D43</f>
        <v>17</v>
      </c>
      <c r="H168" s="60">
        <f>'padi sawah'!E43</f>
        <v>133</v>
      </c>
      <c r="I168" s="127">
        <f t="shared" ref="I168:I174" si="68">SUM(C168:H168)</f>
        <v>221</v>
      </c>
      <c r="J168" s="134">
        <f>'padi sawah'!F43</f>
        <v>57</v>
      </c>
      <c r="K168" s="134">
        <f>'padi sawah'!G43</f>
        <v>5</v>
      </c>
      <c r="L168" s="134">
        <f>'padi sawah'!H43</f>
        <v>0</v>
      </c>
      <c r="M168" s="134">
        <f>'padi sawah'!I43</f>
        <v>8</v>
      </c>
      <c r="N168" s="134">
        <f>'padi sawah'!J43</f>
        <v>133</v>
      </c>
      <c r="O168" s="159">
        <f>'padi sawah'!K43</f>
        <v>8</v>
      </c>
      <c r="P168" s="127">
        <f t="shared" ref="P168:P173" si="69">SUM(J168:O168)</f>
        <v>211</v>
      </c>
      <c r="Q168" s="130">
        <f t="shared" ref="Q168:Q174" si="70">SUM(I168,P168)</f>
        <v>432</v>
      </c>
    </row>
    <row r="169" spans="1:17" x14ac:dyDescent="0.25">
      <c r="A169" s="85">
        <v>3</v>
      </c>
      <c r="B169" s="7" t="s">
        <v>20</v>
      </c>
      <c r="C169" s="60">
        <v>0</v>
      </c>
      <c r="D169" s="60">
        <v>0</v>
      </c>
      <c r="E169" s="60">
        <v>0</v>
      </c>
      <c r="F169" s="60">
        <f>'padi sawah'!C44</f>
        <v>0</v>
      </c>
      <c r="G169" s="60">
        <f>'padi sawah'!D44</f>
        <v>5</v>
      </c>
      <c r="H169" s="60">
        <f>'padi sawah'!E44</f>
        <v>5</v>
      </c>
      <c r="I169" s="127">
        <f t="shared" si="68"/>
        <v>10</v>
      </c>
      <c r="J169" s="134">
        <f>'padi sawah'!F44</f>
        <v>20</v>
      </c>
      <c r="K169" s="134">
        <f>'padi sawah'!G44</f>
        <v>0</v>
      </c>
      <c r="L169" s="134">
        <f>'padi sawah'!H44</f>
        <v>0</v>
      </c>
      <c r="M169" s="134">
        <f>'padi sawah'!I44</f>
        <v>0</v>
      </c>
      <c r="N169" s="134">
        <f>'padi sawah'!J44</f>
        <v>10</v>
      </c>
      <c r="O169" s="159">
        <f>'padi sawah'!K44</f>
        <v>0</v>
      </c>
      <c r="P169" s="127">
        <f t="shared" si="69"/>
        <v>30</v>
      </c>
      <c r="Q169" s="130">
        <f t="shared" si="70"/>
        <v>40</v>
      </c>
    </row>
    <row r="170" spans="1:17" x14ac:dyDescent="0.25">
      <c r="A170" s="86">
        <v>4</v>
      </c>
      <c r="B170" s="15" t="s">
        <v>21</v>
      </c>
      <c r="C170" s="60">
        <v>0</v>
      </c>
      <c r="D170" s="60">
        <v>1</v>
      </c>
      <c r="E170" s="60">
        <v>5</v>
      </c>
      <c r="F170" s="60">
        <f>'padi sawah'!C45</f>
        <v>5</v>
      </c>
      <c r="G170" s="60">
        <f>'padi sawah'!D45</f>
        <v>0</v>
      </c>
      <c r="H170" s="60">
        <f>'padi sawah'!E45</f>
        <v>10</v>
      </c>
      <c r="I170" s="127">
        <f t="shared" si="68"/>
        <v>21</v>
      </c>
      <c r="J170" s="134">
        <f>'padi sawah'!F45</f>
        <v>161</v>
      </c>
      <c r="K170" s="134">
        <f>'padi sawah'!G45</f>
        <v>25</v>
      </c>
      <c r="L170" s="134">
        <f>'padi sawah'!H45</f>
        <v>0</v>
      </c>
      <c r="M170" s="134">
        <f>'padi sawah'!I45</f>
        <v>3</v>
      </c>
      <c r="N170" s="134">
        <f>'padi sawah'!J45</f>
        <v>10</v>
      </c>
      <c r="O170" s="159">
        <f>'padi sawah'!K45</f>
        <v>0</v>
      </c>
      <c r="P170" s="127">
        <f t="shared" si="69"/>
        <v>199</v>
      </c>
      <c r="Q170" s="130">
        <f t="shared" si="70"/>
        <v>220</v>
      </c>
    </row>
    <row r="171" spans="1:17" x14ac:dyDescent="0.25">
      <c r="A171" s="86">
        <v>5</v>
      </c>
      <c r="B171" s="19" t="s">
        <v>22</v>
      </c>
      <c r="C171" s="60">
        <v>0</v>
      </c>
      <c r="D171" s="60">
        <v>0</v>
      </c>
      <c r="E171" s="60">
        <v>10</v>
      </c>
      <c r="F171" s="60">
        <f>'padi sawah'!C46</f>
        <v>0</v>
      </c>
      <c r="G171" s="60">
        <f>'padi sawah'!D46</f>
        <v>5</v>
      </c>
      <c r="H171" s="60">
        <f>'padi sawah'!E46</f>
        <v>10</v>
      </c>
      <c r="I171" s="127">
        <f t="shared" si="68"/>
        <v>25</v>
      </c>
      <c r="J171" s="134">
        <f>'padi sawah'!F46</f>
        <v>166</v>
      </c>
      <c r="K171" s="134">
        <f>'padi sawah'!G46</f>
        <v>0</v>
      </c>
      <c r="L171" s="134">
        <f>'padi sawah'!H46</f>
        <v>0</v>
      </c>
      <c r="M171" s="134">
        <f>'padi sawah'!I46</f>
        <v>8</v>
      </c>
      <c r="N171" s="134">
        <f>'padi sawah'!J46</f>
        <v>13</v>
      </c>
      <c r="O171" s="159">
        <f>'padi sawah'!K46</f>
        <v>0</v>
      </c>
      <c r="P171" s="127">
        <f t="shared" si="69"/>
        <v>187</v>
      </c>
      <c r="Q171" s="130">
        <f t="shared" si="70"/>
        <v>212</v>
      </c>
    </row>
    <row r="172" spans="1:17" x14ac:dyDescent="0.25">
      <c r="A172" s="86">
        <v>6</v>
      </c>
      <c r="B172" s="19" t="s">
        <v>23</v>
      </c>
      <c r="C172" s="60">
        <v>6</v>
      </c>
      <c r="D172" s="60">
        <v>0</v>
      </c>
      <c r="E172" s="60">
        <v>0</v>
      </c>
      <c r="F172" s="60">
        <f>'padi sawah'!C47</f>
        <v>7</v>
      </c>
      <c r="G172" s="60">
        <f>'padi sawah'!D47</f>
        <v>43</v>
      </c>
      <c r="H172" s="60">
        <f>'padi sawah'!E47</f>
        <v>0</v>
      </c>
      <c r="I172" s="127">
        <f t="shared" si="68"/>
        <v>56</v>
      </c>
      <c r="J172" s="134">
        <f>'padi sawah'!F47</f>
        <v>0</v>
      </c>
      <c r="K172" s="134">
        <f>'padi sawah'!G47</f>
        <v>1</v>
      </c>
      <c r="L172" s="134">
        <f>'padi sawah'!H47</f>
        <v>15</v>
      </c>
      <c r="M172" s="134">
        <f>'padi sawah'!I47</f>
        <v>11</v>
      </c>
      <c r="N172" s="134">
        <f>'padi sawah'!J47</f>
        <v>25</v>
      </c>
      <c r="O172" s="159">
        <f>'padi sawah'!K47</f>
        <v>0</v>
      </c>
      <c r="P172" s="127">
        <f t="shared" si="69"/>
        <v>52</v>
      </c>
      <c r="Q172" s="130">
        <f t="shared" si="70"/>
        <v>108</v>
      </c>
    </row>
    <row r="173" spans="1:17" x14ac:dyDescent="0.25">
      <c r="A173" s="86">
        <v>7</v>
      </c>
      <c r="B173" s="19" t="s">
        <v>24</v>
      </c>
      <c r="C173" s="60">
        <v>3</v>
      </c>
      <c r="D173" s="60">
        <v>0</v>
      </c>
      <c r="E173" s="60">
        <v>4</v>
      </c>
      <c r="F173" s="60">
        <f>'padi sawah'!C48</f>
        <v>15</v>
      </c>
      <c r="G173" s="60">
        <f>'padi sawah'!D48</f>
        <v>5</v>
      </c>
      <c r="H173" s="60">
        <f>'padi sawah'!E48</f>
        <v>162</v>
      </c>
      <c r="I173" s="127">
        <f t="shared" si="68"/>
        <v>189</v>
      </c>
      <c r="J173" s="134">
        <f>'padi sawah'!F48</f>
        <v>158</v>
      </c>
      <c r="K173" s="134">
        <f>'padi sawah'!G48</f>
        <v>2</v>
      </c>
      <c r="L173" s="134">
        <f>'padi sawah'!H48</f>
        <v>15</v>
      </c>
      <c r="M173" s="134">
        <f>'padi sawah'!I48</f>
        <v>12</v>
      </c>
      <c r="N173" s="134">
        <f>'padi sawah'!J48</f>
        <v>165</v>
      </c>
      <c r="O173" s="159">
        <f>'padi sawah'!K48</f>
        <v>48</v>
      </c>
      <c r="P173" s="127">
        <f t="shared" si="69"/>
        <v>400</v>
      </c>
      <c r="Q173" s="130">
        <f t="shared" si="70"/>
        <v>589</v>
      </c>
    </row>
    <row r="174" spans="1:17" ht="15.75" thickBot="1" x14ac:dyDescent="0.3">
      <c r="A174" s="87">
        <v>8</v>
      </c>
      <c r="B174" s="15" t="s">
        <v>25</v>
      </c>
      <c r="C174" s="139">
        <v>0</v>
      </c>
      <c r="D174" s="139">
        <v>48</v>
      </c>
      <c r="E174" s="139">
        <v>27</v>
      </c>
      <c r="F174" s="139">
        <f>'padi sawah'!C49</f>
        <v>26</v>
      </c>
      <c r="G174" s="139">
        <f>'padi sawah'!D49</f>
        <v>113</v>
      </c>
      <c r="H174" s="139">
        <f>'padi sawah'!E49</f>
        <v>134</v>
      </c>
      <c r="I174" s="128">
        <f t="shared" si="68"/>
        <v>348</v>
      </c>
      <c r="J174" s="273">
        <f>'padi sawah'!F49</f>
        <v>0</v>
      </c>
      <c r="K174" s="273">
        <f>'padi sawah'!G49</f>
        <v>40</v>
      </c>
      <c r="L174" s="273">
        <f>'padi sawah'!H49</f>
        <v>30</v>
      </c>
      <c r="M174" s="273">
        <f>'padi sawah'!I49</f>
        <v>112</v>
      </c>
      <c r="N174" s="273">
        <f>'padi sawah'!J49</f>
        <v>16</v>
      </c>
      <c r="O174" s="273">
        <f>'padi sawah'!K49</f>
        <v>25</v>
      </c>
      <c r="P174" s="128">
        <f>SUM(J174:O174)</f>
        <v>223</v>
      </c>
      <c r="Q174" s="131">
        <f t="shared" si="70"/>
        <v>571</v>
      </c>
    </row>
    <row r="175" spans="1:17" ht="16.5" thickTop="1" thickBot="1" x14ac:dyDescent="0.3">
      <c r="A175" s="378" t="s">
        <v>26</v>
      </c>
      <c r="B175" s="379"/>
      <c r="C175" s="114">
        <f t="shared" ref="C175:H175" si="71">SUM(C167:C174)</f>
        <v>69</v>
      </c>
      <c r="D175" s="114">
        <f t="shared" si="71"/>
        <v>59</v>
      </c>
      <c r="E175" s="114">
        <f t="shared" si="71"/>
        <v>50</v>
      </c>
      <c r="F175" s="114">
        <f t="shared" si="71"/>
        <v>61</v>
      </c>
      <c r="G175" s="114">
        <f t="shared" si="71"/>
        <v>188</v>
      </c>
      <c r="H175" s="123">
        <f t="shared" si="71"/>
        <v>499</v>
      </c>
      <c r="I175" s="125">
        <f>SUM(I167:I174)</f>
        <v>926</v>
      </c>
      <c r="J175" s="135">
        <f t="shared" ref="J175:O175" si="72">SUM(J167:J174)</f>
        <v>739</v>
      </c>
      <c r="K175" s="114">
        <f t="shared" si="72"/>
        <v>118</v>
      </c>
      <c r="L175" s="114">
        <f t="shared" si="72"/>
        <v>60</v>
      </c>
      <c r="M175" s="114">
        <f t="shared" si="72"/>
        <v>154</v>
      </c>
      <c r="N175" s="114">
        <f t="shared" si="72"/>
        <v>407</v>
      </c>
      <c r="O175" s="123">
        <f t="shared" si="72"/>
        <v>110</v>
      </c>
      <c r="P175" s="125">
        <f>SUM(P167:P174)</f>
        <v>1588</v>
      </c>
      <c r="Q175" s="132">
        <f>SUM(Q167:Q174)</f>
        <v>2514</v>
      </c>
    </row>
    <row r="176" spans="1:17" x14ac:dyDescent="0.25">
      <c r="A176" s="96"/>
      <c r="B176" s="96"/>
      <c r="C176" s="292"/>
      <c r="D176" s="292"/>
      <c r="E176" s="292"/>
      <c r="F176" s="292"/>
      <c r="G176" s="292"/>
      <c r="H176" s="292"/>
      <c r="I176" s="292"/>
      <c r="J176" s="293"/>
      <c r="K176" s="292"/>
      <c r="L176" s="292"/>
      <c r="M176" s="292"/>
      <c r="N176" s="292"/>
      <c r="O176" s="292"/>
      <c r="P176" s="292"/>
      <c r="Q176" s="292"/>
    </row>
    <row r="177" spans="1:17" ht="15.75" x14ac:dyDescent="0.25">
      <c r="A177" s="380" t="s">
        <v>120</v>
      </c>
      <c r="B177" s="380"/>
      <c r="C177" s="380"/>
      <c r="D177" s="380"/>
      <c r="E177" s="380"/>
      <c r="F177" s="380"/>
      <c r="G177" s="380"/>
      <c r="H177" s="380"/>
      <c r="I177" s="380"/>
      <c r="J177" s="380"/>
      <c r="K177" s="380"/>
      <c r="L177" s="380"/>
      <c r="M177" s="380"/>
      <c r="N177" s="380"/>
      <c r="O177" s="380"/>
      <c r="P177" s="380"/>
      <c r="Q177" s="380"/>
    </row>
    <row r="178" spans="1:17" ht="15.75" x14ac:dyDescent="0.25">
      <c r="A178" s="380" t="s">
        <v>82</v>
      </c>
      <c r="B178" s="380"/>
      <c r="C178" s="380"/>
      <c r="D178" s="380"/>
      <c r="E178" s="380"/>
      <c r="F178" s="380"/>
      <c r="G178" s="380"/>
      <c r="H178" s="380"/>
      <c r="I178" s="380"/>
      <c r="J178" s="380"/>
      <c r="K178" s="380"/>
      <c r="L178" s="380"/>
      <c r="M178" s="380"/>
      <c r="N178" s="380"/>
      <c r="O178" s="380"/>
      <c r="P178" s="380"/>
      <c r="Q178" s="380"/>
    </row>
    <row r="179" spans="1:17" ht="15.75" thickBot="1" x14ac:dyDescent="0.3">
      <c r="Q179" s="76" t="s">
        <v>1</v>
      </c>
    </row>
    <row r="180" spans="1:17" x14ac:dyDescent="0.25">
      <c r="A180" s="375" t="s">
        <v>2</v>
      </c>
      <c r="B180" s="377" t="s">
        <v>3</v>
      </c>
      <c r="C180" s="381" t="s">
        <v>90</v>
      </c>
      <c r="D180" s="382"/>
      <c r="E180" s="382"/>
      <c r="F180" s="382"/>
      <c r="G180" s="382"/>
      <c r="H180" s="382"/>
      <c r="I180" s="383" t="s">
        <v>83</v>
      </c>
      <c r="J180" s="382">
        <v>2017</v>
      </c>
      <c r="K180" s="382"/>
      <c r="L180" s="382"/>
      <c r="M180" s="382"/>
      <c r="N180" s="382"/>
      <c r="O180" s="382"/>
      <c r="P180" s="383" t="s">
        <v>84</v>
      </c>
      <c r="Q180" s="385" t="s">
        <v>5</v>
      </c>
    </row>
    <row r="181" spans="1:17" x14ac:dyDescent="0.25">
      <c r="A181" s="376"/>
      <c r="B181" s="363"/>
      <c r="C181" s="207" t="s">
        <v>15</v>
      </c>
      <c r="D181" s="207" t="s">
        <v>16</v>
      </c>
      <c r="E181" s="207" t="s">
        <v>17</v>
      </c>
      <c r="F181" s="207" t="s">
        <v>6</v>
      </c>
      <c r="G181" s="207" t="s">
        <v>77</v>
      </c>
      <c r="H181" s="121" t="s">
        <v>78</v>
      </c>
      <c r="I181" s="384"/>
      <c r="J181" s="111" t="s">
        <v>79</v>
      </c>
      <c r="K181" s="207" t="s">
        <v>10</v>
      </c>
      <c r="L181" s="207" t="s">
        <v>11</v>
      </c>
      <c r="M181" s="207" t="s">
        <v>12</v>
      </c>
      <c r="N181" s="207" t="s">
        <v>80</v>
      </c>
      <c r="O181" s="121" t="s">
        <v>81</v>
      </c>
      <c r="P181" s="384"/>
      <c r="Q181" s="386"/>
    </row>
    <row r="182" spans="1:17" ht="15.75" thickBot="1" x14ac:dyDescent="0.3">
      <c r="A182" s="113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2">
        <v>8</v>
      </c>
      <c r="I182" s="124">
        <v>9</v>
      </c>
      <c r="J182" s="112">
        <v>10</v>
      </c>
      <c r="K182" s="5">
        <v>11</v>
      </c>
      <c r="L182" s="5">
        <v>12</v>
      </c>
      <c r="M182" s="5">
        <v>13</v>
      </c>
      <c r="N182" s="5">
        <v>14</v>
      </c>
      <c r="O182" s="122">
        <v>15</v>
      </c>
      <c r="P182" s="124">
        <v>16</v>
      </c>
      <c r="Q182" s="133">
        <v>17</v>
      </c>
    </row>
    <row r="183" spans="1:17" ht="15.75" thickTop="1" x14ac:dyDescent="0.25">
      <c r="A183" s="84">
        <v>1</v>
      </c>
      <c r="B183" s="7" t="s">
        <v>18</v>
      </c>
      <c r="C183" s="138">
        <v>0</v>
      </c>
      <c r="D183" s="138">
        <v>0</v>
      </c>
      <c r="E183" s="138">
        <v>0</v>
      </c>
      <c r="F183" s="138">
        <f>'padi ladang'!C42</f>
        <v>0</v>
      </c>
      <c r="G183" s="138">
        <f>'padi ladang'!D42</f>
        <v>0</v>
      </c>
      <c r="H183" s="138">
        <f>'padi ladang'!E42</f>
        <v>0</v>
      </c>
      <c r="I183" s="126">
        <f>SUM(C183:H183)</f>
        <v>0</v>
      </c>
      <c r="J183" s="158">
        <f>'padi ladang'!F42</f>
        <v>0</v>
      </c>
      <c r="K183" s="158">
        <f>'padi ladang'!G42</f>
        <v>0</v>
      </c>
      <c r="L183" s="158">
        <f>'padi ladang'!H42</f>
        <v>0</v>
      </c>
      <c r="M183" s="158">
        <f>'padi ladang'!I42</f>
        <v>0</v>
      </c>
      <c r="N183" s="158">
        <f>'padi ladang'!J42</f>
        <v>0</v>
      </c>
      <c r="O183" s="158">
        <f>'padi ladang'!K42</f>
        <v>0</v>
      </c>
      <c r="P183" s="126">
        <f>SUM(J183:O183)</f>
        <v>0</v>
      </c>
      <c r="Q183" s="129">
        <f>SUM(I183,P183)</f>
        <v>0</v>
      </c>
    </row>
    <row r="184" spans="1:17" x14ac:dyDescent="0.25">
      <c r="A184" s="85">
        <v>2</v>
      </c>
      <c r="B184" s="12" t="s">
        <v>19</v>
      </c>
      <c r="C184" s="60">
        <v>0</v>
      </c>
      <c r="D184" s="60">
        <v>0</v>
      </c>
      <c r="E184" s="60">
        <v>0</v>
      </c>
      <c r="F184" s="60">
        <f>'padi ladang'!C43</f>
        <v>0</v>
      </c>
      <c r="G184" s="60">
        <f>'padi ladang'!D43</f>
        <v>0</v>
      </c>
      <c r="H184" s="157">
        <f>'padi ladang'!E43</f>
        <v>0</v>
      </c>
      <c r="I184" s="127">
        <f t="shared" ref="I184:I190" si="73">SUM(C184:H184)</f>
        <v>0</v>
      </c>
      <c r="J184" s="262">
        <f>'padi ladang'!F43</f>
        <v>0</v>
      </c>
      <c r="K184" s="134">
        <f>'padi ladang'!G43</f>
        <v>0</v>
      </c>
      <c r="L184" s="134">
        <f>'padi ladang'!H43</f>
        <v>0</v>
      </c>
      <c r="M184" s="134">
        <f>'padi ladang'!I43</f>
        <v>0</v>
      </c>
      <c r="N184" s="134">
        <f>'padi ladang'!J43</f>
        <v>0</v>
      </c>
      <c r="O184" s="159">
        <f>'padi ladang'!K43</f>
        <v>0</v>
      </c>
      <c r="P184" s="127">
        <f t="shared" ref="P184:P189" si="74">SUM(J184:O184)</f>
        <v>0</v>
      </c>
      <c r="Q184" s="130">
        <f t="shared" ref="Q184:Q190" si="75">SUM(I184,P184)</f>
        <v>0</v>
      </c>
    </row>
    <row r="185" spans="1:17" x14ac:dyDescent="0.25">
      <c r="A185" s="85">
        <v>3</v>
      </c>
      <c r="B185" s="7" t="s">
        <v>20</v>
      </c>
      <c r="C185" s="60">
        <v>0</v>
      </c>
      <c r="D185" s="60">
        <v>0</v>
      </c>
      <c r="E185" s="60">
        <v>0</v>
      </c>
      <c r="F185" s="60">
        <f>'padi ladang'!C44</f>
        <v>0</v>
      </c>
      <c r="G185" s="60">
        <f>'padi ladang'!D44</f>
        <v>35</v>
      </c>
      <c r="H185" s="157">
        <f>'padi ladang'!E44</f>
        <v>29</v>
      </c>
      <c r="I185" s="127">
        <f t="shared" si="73"/>
        <v>64</v>
      </c>
      <c r="J185" s="262">
        <f>'padi ladang'!F44</f>
        <v>18</v>
      </c>
      <c r="K185" s="134">
        <f>'padi ladang'!G44</f>
        <v>0</v>
      </c>
      <c r="L185" s="134">
        <f>'padi ladang'!H44</f>
        <v>0</v>
      </c>
      <c r="M185" s="134">
        <f>'padi ladang'!I44</f>
        <v>0</v>
      </c>
      <c r="N185" s="134">
        <f>'padi ladang'!J44</f>
        <v>0</v>
      </c>
      <c r="O185" s="159">
        <f>'padi ladang'!K44</f>
        <v>0</v>
      </c>
      <c r="P185" s="127">
        <f t="shared" si="74"/>
        <v>18</v>
      </c>
      <c r="Q185" s="130">
        <f t="shared" si="75"/>
        <v>82</v>
      </c>
    </row>
    <row r="186" spans="1:17" x14ac:dyDescent="0.25">
      <c r="A186" s="86">
        <v>4</v>
      </c>
      <c r="B186" s="15" t="s">
        <v>21</v>
      </c>
      <c r="C186" s="60">
        <v>0</v>
      </c>
      <c r="D186" s="60">
        <v>0</v>
      </c>
      <c r="E186" s="60">
        <v>0</v>
      </c>
      <c r="F186" s="60">
        <f>'padi ladang'!C45</f>
        <v>0</v>
      </c>
      <c r="G186" s="60">
        <f>'padi ladang'!D45</f>
        <v>0</v>
      </c>
      <c r="H186" s="157">
        <f>'padi ladang'!E45</f>
        <v>0</v>
      </c>
      <c r="I186" s="127">
        <f t="shared" si="73"/>
        <v>0</v>
      </c>
      <c r="J186" s="262">
        <f>'padi ladang'!F45</f>
        <v>0</v>
      </c>
      <c r="K186" s="134">
        <f>'padi ladang'!G45</f>
        <v>0</v>
      </c>
      <c r="L186" s="134">
        <f>'padi ladang'!H45</f>
        <v>0</v>
      </c>
      <c r="M186" s="134">
        <f>'padi ladang'!I45</f>
        <v>0</v>
      </c>
      <c r="N186" s="134">
        <f>'padi ladang'!J45</f>
        <v>0</v>
      </c>
      <c r="O186" s="159">
        <f>'padi ladang'!K45</f>
        <v>0</v>
      </c>
      <c r="P186" s="127">
        <f t="shared" si="74"/>
        <v>0</v>
      </c>
      <c r="Q186" s="130">
        <f t="shared" si="75"/>
        <v>0</v>
      </c>
    </row>
    <row r="187" spans="1:17" x14ac:dyDescent="0.25">
      <c r="A187" s="86">
        <v>5</v>
      </c>
      <c r="B187" s="19" t="s">
        <v>22</v>
      </c>
      <c r="C187" s="60">
        <v>0</v>
      </c>
      <c r="D187" s="60">
        <v>0</v>
      </c>
      <c r="E187" s="60">
        <v>0</v>
      </c>
      <c r="F187" s="60">
        <f>'padi ladang'!C46</f>
        <v>0</v>
      </c>
      <c r="G187" s="60">
        <f>'padi ladang'!D46</f>
        <v>0</v>
      </c>
      <c r="H187" s="157">
        <f>'padi ladang'!E46</f>
        <v>0</v>
      </c>
      <c r="I187" s="127">
        <f t="shared" si="73"/>
        <v>0</v>
      </c>
      <c r="J187" s="262">
        <f>'padi ladang'!F46</f>
        <v>0</v>
      </c>
      <c r="K187" s="134">
        <f>'padi ladang'!G46</f>
        <v>0</v>
      </c>
      <c r="L187" s="134">
        <f>'padi ladang'!H46</f>
        <v>0</v>
      </c>
      <c r="M187" s="134">
        <f>'padi ladang'!I46</f>
        <v>0</v>
      </c>
      <c r="N187" s="134">
        <f>'padi ladang'!J46</f>
        <v>0</v>
      </c>
      <c r="O187" s="159">
        <f>'padi ladang'!K46</f>
        <v>0</v>
      </c>
      <c r="P187" s="127">
        <f t="shared" si="74"/>
        <v>0</v>
      </c>
      <c r="Q187" s="130">
        <f t="shared" si="75"/>
        <v>0</v>
      </c>
    </row>
    <row r="188" spans="1:17" x14ac:dyDescent="0.25">
      <c r="A188" s="86">
        <v>6</v>
      </c>
      <c r="B188" s="19" t="s">
        <v>23</v>
      </c>
      <c r="C188" s="60">
        <v>0</v>
      </c>
      <c r="D188" s="60">
        <v>0</v>
      </c>
      <c r="E188" s="60">
        <v>0</v>
      </c>
      <c r="F188" s="60">
        <f>'padi ladang'!C47</f>
        <v>0</v>
      </c>
      <c r="G188" s="60">
        <f>'padi ladang'!D47</f>
        <v>0</v>
      </c>
      <c r="H188" s="157">
        <f>'padi ladang'!E47</f>
        <v>0</v>
      </c>
      <c r="I188" s="127">
        <f t="shared" si="73"/>
        <v>0</v>
      </c>
      <c r="J188" s="262">
        <f>'padi ladang'!F47</f>
        <v>0</v>
      </c>
      <c r="K188" s="134">
        <f>'padi ladang'!G47</f>
        <v>0</v>
      </c>
      <c r="L188" s="134">
        <f>'padi ladang'!H47</f>
        <v>0</v>
      </c>
      <c r="M188" s="134">
        <f>'padi ladang'!I47</f>
        <v>0</v>
      </c>
      <c r="N188" s="134">
        <f>'padi ladang'!J47</f>
        <v>0</v>
      </c>
      <c r="O188" s="159">
        <f>'padi ladang'!K47</f>
        <v>0</v>
      </c>
      <c r="P188" s="127">
        <f t="shared" si="74"/>
        <v>0</v>
      </c>
      <c r="Q188" s="130">
        <f t="shared" si="75"/>
        <v>0</v>
      </c>
    </row>
    <row r="189" spans="1:17" x14ac:dyDescent="0.25">
      <c r="A189" s="86">
        <v>7</v>
      </c>
      <c r="B189" s="19" t="s">
        <v>24</v>
      </c>
      <c r="C189" s="60">
        <v>0</v>
      </c>
      <c r="D189" s="60">
        <v>0</v>
      </c>
      <c r="E189" s="60">
        <v>0</v>
      </c>
      <c r="F189" s="60">
        <f>'padi ladang'!C48</f>
        <v>0</v>
      </c>
      <c r="G189" s="60">
        <f>'padi ladang'!D48</f>
        <v>0</v>
      </c>
      <c r="H189" s="157">
        <f>'padi ladang'!E48</f>
        <v>0</v>
      </c>
      <c r="I189" s="127">
        <f t="shared" si="73"/>
        <v>0</v>
      </c>
      <c r="J189" s="262">
        <f>'padi ladang'!F48</f>
        <v>0</v>
      </c>
      <c r="K189" s="134">
        <f>'padi ladang'!G48</f>
        <v>0</v>
      </c>
      <c r="L189" s="134">
        <f>'padi ladang'!H48</f>
        <v>0</v>
      </c>
      <c r="M189" s="134">
        <f>'padi ladang'!I48</f>
        <v>0</v>
      </c>
      <c r="N189" s="134">
        <f>'padi ladang'!J48</f>
        <v>0</v>
      </c>
      <c r="O189" s="159">
        <f>'padi ladang'!K48</f>
        <v>0</v>
      </c>
      <c r="P189" s="127">
        <f t="shared" si="74"/>
        <v>0</v>
      </c>
      <c r="Q189" s="130">
        <f t="shared" si="75"/>
        <v>0</v>
      </c>
    </row>
    <row r="190" spans="1:17" ht="15.75" thickBot="1" x14ac:dyDescent="0.3">
      <c r="A190" s="87">
        <v>8</v>
      </c>
      <c r="B190" s="15" t="s">
        <v>25</v>
      </c>
      <c r="C190" s="139">
        <v>0</v>
      </c>
      <c r="D190" s="139">
        <v>0</v>
      </c>
      <c r="E190" s="139">
        <v>0</v>
      </c>
      <c r="F190" s="139">
        <f>'padi ladang'!C49</f>
        <v>0</v>
      </c>
      <c r="G190" s="139">
        <f>'padi ladang'!D49</f>
        <v>0</v>
      </c>
      <c r="H190" s="139">
        <f>'padi ladang'!E49</f>
        <v>0</v>
      </c>
      <c r="I190" s="128">
        <f t="shared" si="73"/>
        <v>0</v>
      </c>
      <c r="J190" s="273">
        <f>'padi ladang'!F49</f>
        <v>0</v>
      </c>
      <c r="K190" s="273">
        <f>'padi ladang'!G49</f>
        <v>0</v>
      </c>
      <c r="L190" s="273">
        <f>'padi ladang'!H49</f>
        <v>0</v>
      </c>
      <c r="M190" s="273">
        <f>'padi ladang'!I49</f>
        <v>0</v>
      </c>
      <c r="N190" s="273">
        <f>'padi ladang'!J49</f>
        <v>0</v>
      </c>
      <c r="O190" s="273">
        <f>'padi ladang'!K49</f>
        <v>0</v>
      </c>
      <c r="P190" s="128">
        <f>SUM(J190:O190)</f>
        <v>0</v>
      </c>
      <c r="Q190" s="131">
        <f t="shared" si="75"/>
        <v>0</v>
      </c>
    </row>
    <row r="191" spans="1:17" ht="16.5" thickTop="1" thickBot="1" x14ac:dyDescent="0.3">
      <c r="A191" s="378" t="s">
        <v>26</v>
      </c>
      <c r="B191" s="379"/>
      <c r="C191" s="114">
        <f t="shared" ref="C191:H191" si="76">SUM(C183:C190)</f>
        <v>0</v>
      </c>
      <c r="D191" s="114">
        <f t="shared" si="76"/>
        <v>0</v>
      </c>
      <c r="E191" s="114">
        <f t="shared" si="76"/>
        <v>0</v>
      </c>
      <c r="F191" s="114">
        <f t="shared" si="76"/>
        <v>0</v>
      </c>
      <c r="G191" s="114">
        <f t="shared" si="76"/>
        <v>35</v>
      </c>
      <c r="H191" s="123">
        <f t="shared" si="76"/>
        <v>29</v>
      </c>
      <c r="I191" s="125">
        <f>SUM(I183:I190)</f>
        <v>64</v>
      </c>
      <c r="J191" s="135">
        <f t="shared" ref="J191:O191" si="77">SUM(J183:J190)</f>
        <v>18</v>
      </c>
      <c r="K191" s="114">
        <f t="shared" si="77"/>
        <v>0</v>
      </c>
      <c r="L191" s="114">
        <f t="shared" si="77"/>
        <v>0</v>
      </c>
      <c r="M191" s="114">
        <f t="shared" si="77"/>
        <v>0</v>
      </c>
      <c r="N191" s="114">
        <f t="shared" si="77"/>
        <v>0</v>
      </c>
      <c r="O191" s="123">
        <f t="shared" si="77"/>
        <v>0</v>
      </c>
      <c r="P191" s="125">
        <f>SUM(P183:P190)</f>
        <v>18</v>
      </c>
      <c r="Q191" s="132">
        <f>SUM(Q183:Q190)</f>
        <v>82</v>
      </c>
    </row>
    <row r="193" spans="1:17" ht="15.75" x14ac:dyDescent="0.25">
      <c r="A193" s="380" t="s">
        <v>123</v>
      </c>
      <c r="B193" s="380"/>
      <c r="C193" s="380"/>
      <c r="D193" s="380"/>
      <c r="E193" s="380"/>
      <c r="F193" s="380"/>
      <c r="G193" s="380"/>
      <c r="H193" s="380"/>
      <c r="I193" s="380"/>
      <c r="J193" s="380"/>
      <c r="K193" s="380"/>
      <c r="L193" s="380"/>
      <c r="M193" s="380"/>
      <c r="N193" s="380"/>
      <c r="O193" s="380"/>
      <c r="P193" s="380"/>
      <c r="Q193" s="380"/>
    </row>
    <row r="194" spans="1:17" ht="15.75" x14ac:dyDescent="0.25">
      <c r="A194" s="380" t="s">
        <v>82</v>
      </c>
      <c r="B194" s="380"/>
      <c r="C194" s="380"/>
      <c r="D194" s="380"/>
      <c r="E194" s="380"/>
      <c r="F194" s="380"/>
      <c r="G194" s="380"/>
      <c r="H194" s="380"/>
      <c r="I194" s="380"/>
      <c r="J194" s="380"/>
      <c r="K194" s="380"/>
      <c r="L194" s="380"/>
      <c r="M194" s="380"/>
      <c r="N194" s="380"/>
      <c r="O194" s="380"/>
      <c r="P194" s="380"/>
      <c r="Q194" s="380"/>
    </row>
    <row r="195" spans="1:17" ht="15.75" thickBot="1" x14ac:dyDescent="0.3">
      <c r="Q195" s="76" t="s">
        <v>1</v>
      </c>
    </row>
    <row r="196" spans="1:17" x14ac:dyDescent="0.25">
      <c r="A196" s="375" t="s">
        <v>2</v>
      </c>
      <c r="B196" s="377" t="s">
        <v>3</v>
      </c>
      <c r="C196" s="381" t="s">
        <v>90</v>
      </c>
      <c r="D196" s="382"/>
      <c r="E196" s="382"/>
      <c r="F196" s="382"/>
      <c r="G196" s="382"/>
      <c r="H196" s="382"/>
      <c r="I196" s="383" t="s">
        <v>83</v>
      </c>
      <c r="J196" s="382">
        <v>2017</v>
      </c>
      <c r="K196" s="382"/>
      <c r="L196" s="382"/>
      <c r="M196" s="382"/>
      <c r="N196" s="382"/>
      <c r="O196" s="382"/>
      <c r="P196" s="383" t="s">
        <v>84</v>
      </c>
      <c r="Q196" s="385" t="s">
        <v>5</v>
      </c>
    </row>
    <row r="197" spans="1:17" x14ac:dyDescent="0.25">
      <c r="A197" s="376"/>
      <c r="B197" s="363"/>
      <c r="C197" s="207" t="s">
        <v>15</v>
      </c>
      <c r="D197" s="207" t="s">
        <v>16</v>
      </c>
      <c r="E197" s="207" t="s">
        <v>17</v>
      </c>
      <c r="F197" s="207" t="s">
        <v>6</v>
      </c>
      <c r="G197" s="207" t="s">
        <v>77</v>
      </c>
      <c r="H197" s="121" t="s">
        <v>78</v>
      </c>
      <c r="I197" s="384"/>
      <c r="J197" s="111" t="s">
        <v>79</v>
      </c>
      <c r="K197" s="207" t="s">
        <v>10</v>
      </c>
      <c r="L197" s="207" t="s">
        <v>11</v>
      </c>
      <c r="M197" s="207" t="s">
        <v>12</v>
      </c>
      <c r="N197" s="207" t="s">
        <v>80</v>
      </c>
      <c r="O197" s="121" t="s">
        <v>81</v>
      </c>
      <c r="P197" s="384"/>
      <c r="Q197" s="386"/>
    </row>
    <row r="198" spans="1:17" ht="15.75" thickBot="1" x14ac:dyDescent="0.3">
      <c r="A198" s="113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2">
        <v>8</v>
      </c>
      <c r="I198" s="124">
        <v>9</v>
      </c>
      <c r="J198" s="112">
        <v>10</v>
      </c>
      <c r="K198" s="5">
        <v>11</v>
      </c>
      <c r="L198" s="5">
        <v>12</v>
      </c>
      <c r="M198" s="5">
        <v>13</v>
      </c>
      <c r="N198" s="5">
        <v>14</v>
      </c>
      <c r="O198" s="122">
        <v>15</v>
      </c>
      <c r="P198" s="124">
        <v>16</v>
      </c>
      <c r="Q198" s="133">
        <v>17</v>
      </c>
    </row>
    <row r="199" spans="1:17" ht="15.75" thickTop="1" x14ac:dyDescent="0.25">
      <c r="A199" s="84">
        <v>1</v>
      </c>
      <c r="B199" s="7" t="s">
        <v>18</v>
      </c>
      <c r="C199" s="138">
        <v>0</v>
      </c>
      <c r="D199" s="209" t="s">
        <v>89</v>
      </c>
      <c r="E199" s="138">
        <v>0</v>
      </c>
      <c r="F199" s="209" t="str">
        <f>jagung!C42</f>
        <v>1*</v>
      </c>
      <c r="G199" s="138">
        <f>jagung!D42</f>
        <v>0</v>
      </c>
      <c r="H199" s="138">
        <f>jagung!E42</f>
        <v>0</v>
      </c>
      <c r="I199" s="126">
        <f>SUM(C199:H199)</f>
        <v>0</v>
      </c>
      <c r="J199" s="158">
        <f>jagung!F42</f>
        <v>0</v>
      </c>
      <c r="K199" s="158">
        <f>jagung!G42</f>
        <v>0</v>
      </c>
      <c r="L199" s="158">
        <f>jagung!H42</f>
        <v>0</v>
      </c>
      <c r="M199" s="158">
        <f>jagung!I42</f>
        <v>0</v>
      </c>
      <c r="N199" s="158">
        <f>jagung!J42</f>
        <v>0</v>
      </c>
      <c r="O199" s="158">
        <f>jagung!K42</f>
        <v>0</v>
      </c>
      <c r="P199" s="126">
        <f>SUM(J199:O199)</f>
        <v>0</v>
      </c>
      <c r="Q199" s="129">
        <f>SUM(I199,P199)</f>
        <v>0</v>
      </c>
    </row>
    <row r="200" spans="1:17" x14ac:dyDescent="0.25">
      <c r="A200" s="85">
        <v>2</v>
      </c>
      <c r="B200" s="12" t="s">
        <v>19</v>
      </c>
      <c r="C200" s="60">
        <v>1</v>
      </c>
      <c r="D200" s="60">
        <v>0</v>
      </c>
      <c r="E200" s="60">
        <v>0</v>
      </c>
      <c r="F200" s="208" t="str">
        <f>jagung!C43</f>
        <v>1*</v>
      </c>
      <c r="G200" s="60">
        <f>jagung!D43</f>
        <v>0</v>
      </c>
      <c r="H200" s="157">
        <f>jagung!E43</f>
        <v>0</v>
      </c>
      <c r="I200" s="127">
        <f t="shared" ref="I200:I206" si="78">SUM(C200:H200)</f>
        <v>1</v>
      </c>
      <c r="J200" s="262">
        <f>jagung!F43</f>
        <v>0</v>
      </c>
      <c r="K200" s="134">
        <f>jagung!G43</f>
        <v>0</v>
      </c>
      <c r="L200" s="134">
        <f>jagung!H43</f>
        <v>0</v>
      </c>
      <c r="M200" s="134">
        <f>jagung!I43</f>
        <v>0</v>
      </c>
      <c r="N200" s="134">
        <f>jagung!J43</f>
        <v>0</v>
      </c>
      <c r="O200" s="159">
        <f>jagung!K43</f>
        <v>0</v>
      </c>
      <c r="P200" s="127">
        <f t="shared" ref="P200:P205" si="79">SUM(J200:O200)</f>
        <v>0</v>
      </c>
      <c r="Q200" s="130">
        <f t="shared" ref="Q200:Q206" si="80">SUM(I200,P200)</f>
        <v>1</v>
      </c>
    </row>
    <row r="201" spans="1:17" x14ac:dyDescent="0.25">
      <c r="A201" s="85">
        <v>3</v>
      </c>
      <c r="B201" s="7" t="s">
        <v>20</v>
      </c>
      <c r="C201" s="60">
        <v>0</v>
      </c>
      <c r="D201" s="60">
        <v>0</v>
      </c>
      <c r="E201" s="60">
        <v>0</v>
      </c>
      <c r="F201" s="60">
        <f>jagung!C44</f>
        <v>0</v>
      </c>
      <c r="G201" s="60" t="str">
        <f>jagung!D44</f>
        <v>45*</v>
      </c>
      <c r="H201" s="157">
        <f>jagung!E44</f>
        <v>5</v>
      </c>
      <c r="I201" s="127">
        <f t="shared" si="78"/>
        <v>5</v>
      </c>
      <c r="J201" s="262">
        <f>jagung!F44</f>
        <v>0</v>
      </c>
      <c r="K201" s="134">
        <f>jagung!G44</f>
        <v>0</v>
      </c>
      <c r="L201" s="134">
        <f>jagung!H44</f>
        <v>0</v>
      </c>
      <c r="M201" s="134">
        <f>jagung!I44</f>
        <v>0</v>
      </c>
      <c r="N201" s="134">
        <f>jagung!J44</f>
        <v>0</v>
      </c>
      <c r="O201" s="159">
        <f>jagung!K44</f>
        <v>0</v>
      </c>
      <c r="P201" s="127">
        <f t="shared" si="79"/>
        <v>0</v>
      </c>
      <c r="Q201" s="130">
        <f t="shared" si="80"/>
        <v>5</v>
      </c>
    </row>
    <row r="202" spans="1:17" x14ac:dyDescent="0.25">
      <c r="A202" s="86">
        <v>4</v>
      </c>
      <c r="B202" s="15" t="s">
        <v>21</v>
      </c>
      <c r="C202" s="208" t="s">
        <v>89</v>
      </c>
      <c r="D202" s="60">
        <v>1</v>
      </c>
      <c r="E202" s="60">
        <v>0</v>
      </c>
      <c r="F202" s="60">
        <f>jagung!C45</f>
        <v>0</v>
      </c>
      <c r="G202" s="60">
        <f>jagung!D45</f>
        <v>1</v>
      </c>
      <c r="H202" s="157">
        <f>jagung!E45</f>
        <v>0</v>
      </c>
      <c r="I202" s="127">
        <f t="shared" si="78"/>
        <v>2</v>
      </c>
      <c r="J202" s="262">
        <f>jagung!F45</f>
        <v>0</v>
      </c>
      <c r="K202" s="134">
        <f>jagung!G45</f>
        <v>0</v>
      </c>
      <c r="L202" s="134">
        <f>jagung!H45</f>
        <v>0</v>
      </c>
      <c r="M202" s="134">
        <f>jagung!I45</f>
        <v>0</v>
      </c>
      <c r="N202" s="134">
        <f>jagung!J45</f>
        <v>0</v>
      </c>
      <c r="O202" s="159">
        <f>jagung!K45</f>
        <v>0</v>
      </c>
      <c r="P202" s="127">
        <f t="shared" si="79"/>
        <v>0</v>
      </c>
      <c r="Q202" s="130">
        <f t="shared" si="80"/>
        <v>2</v>
      </c>
    </row>
    <row r="203" spans="1:17" x14ac:dyDescent="0.25">
      <c r="A203" s="86">
        <v>5</v>
      </c>
      <c r="B203" s="19" t="s">
        <v>22</v>
      </c>
      <c r="C203" s="60">
        <v>0</v>
      </c>
      <c r="D203" s="60">
        <v>1</v>
      </c>
      <c r="E203" s="60">
        <v>0</v>
      </c>
      <c r="F203" s="60">
        <f>jagung!C46</f>
        <v>0</v>
      </c>
      <c r="G203" s="60">
        <f>jagung!D46</f>
        <v>0</v>
      </c>
      <c r="H203" s="157">
        <f>jagung!E46</f>
        <v>0</v>
      </c>
      <c r="I203" s="127">
        <f t="shared" si="78"/>
        <v>1</v>
      </c>
      <c r="J203" s="262">
        <f>jagung!F46</f>
        <v>0</v>
      </c>
      <c r="K203" s="134">
        <f>jagung!G46</f>
        <v>0</v>
      </c>
      <c r="L203" s="134">
        <f>jagung!H46</f>
        <v>0</v>
      </c>
      <c r="M203" s="134">
        <f>jagung!I46</f>
        <v>0</v>
      </c>
      <c r="N203" s="134">
        <f>jagung!J46</f>
        <v>2</v>
      </c>
      <c r="O203" s="159">
        <f>jagung!K46</f>
        <v>0</v>
      </c>
      <c r="P203" s="127">
        <f t="shared" si="79"/>
        <v>2</v>
      </c>
      <c r="Q203" s="130">
        <f t="shared" si="80"/>
        <v>3</v>
      </c>
    </row>
    <row r="204" spans="1:17" x14ac:dyDescent="0.25">
      <c r="A204" s="86">
        <v>6</v>
      </c>
      <c r="B204" s="19" t="s">
        <v>23</v>
      </c>
      <c r="C204" s="60">
        <v>0</v>
      </c>
      <c r="D204" s="60">
        <v>2</v>
      </c>
      <c r="E204" s="60">
        <v>0</v>
      </c>
      <c r="F204" s="60">
        <f>jagung!C47</f>
        <v>0</v>
      </c>
      <c r="G204" s="60">
        <f>jagung!D47</f>
        <v>0</v>
      </c>
      <c r="H204" s="157">
        <f>jagung!E47</f>
        <v>0</v>
      </c>
      <c r="I204" s="127">
        <f t="shared" si="78"/>
        <v>2</v>
      </c>
      <c r="J204" s="262">
        <f>jagung!F47</f>
        <v>0</v>
      </c>
      <c r="K204" s="134">
        <f>jagung!G47</f>
        <v>0</v>
      </c>
      <c r="L204" s="134">
        <f>jagung!H47</f>
        <v>0</v>
      </c>
      <c r="M204" s="134">
        <f>jagung!I47</f>
        <v>0</v>
      </c>
      <c r="N204" s="134">
        <f>jagung!J47</f>
        <v>0</v>
      </c>
      <c r="O204" s="159">
        <f>jagung!K47</f>
        <v>0</v>
      </c>
      <c r="P204" s="127">
        <f t="shared" si="79"/>
        <v>0</v>
      </c>
      <c r="Q204" s="130">
        <f t="shared" si="80"/>
        <v>2</v>
      </c>
    </row>
    <row r="205" spans="1:17" x14ac:dyDescent="0.25">
      <c r="A205" s="86">
        <v>7</v>
      </c>
      <c r="B205" s="19" t="s">
        <v>24</v>
      </c>
      <c r="C205" s="60">
        <v>0</v>
      </c>
      <c r="D205" s="60">
        <v>0.5</v>
      </c>
      <c r="E205" s="60">
        <v>0</v>
      </c>
      <c r="F205" s="60">
        <f>jagung!C48</f>
        <v>0</v>
      </c>
      <c r="G205" s="60">
        <f>jagung!D48</f>
        <v>0</v>
      </c>
      <c r="H205" s="157">
        <f>jagung!E48</f>
        <v>0</v>
      </c>
      <c r="I205" s="127">
        <f t="shared" si="78"/>
        <v>0.5</v>
      </c>
      <c r="J205" s="262">
        <f>jagung!F48</f>
        <v>0</v>
      </c>
      <c r="K205" s="134">
        <f>jagung!G48</f>
        <v>0</v>
      </c>
      <c r="L205" s="134">
        <f>jagung!H48</f>
        <v>0</v>
      </c>
      <c r="M205" s="134">
        <f>jagung!I48</f>
        <v>0</v>
      </c>
      <c r="N205" s="134">
        <f>jagung!J48</f>
        <v>0</v>
      </c>
      <c r="O205" s="159">
        <f>jagung!K48</f>
        <v>0</v>
      </c>
      <c r="P205" s="127">
        <f t="shared" si="79"/>
        <v>0</v>
      </c>
      <c r="Q205" s="130">
        <f t="shared" si="80"/>
        <v>0.5</v>
      </c>
    </row>
    <row r="206" spans="1:17" ht="15.75" thickBot="1" x14ac:dyDescent="0.3">
      <c r="A206" s="87">
        <v>8</v>
      </c>
      <c r="B206" s="15" t="s">
        <v>25</v>
      </c>
      <c r="C206" s="139">
        <v>0</v>
      </c>
      <c r="D206" s="139">
        <v>1</v>
      </c>
      <c r="E206" s="139">
        <v>1</v>
      </c>
      <c r="F206" s="139">
        <f>jagung!C49</f>
        <v>0</v>
      </c>
      <c r="G206" s="139" t="str">
        <f>jagung!D49</f>
        <v>1*</v>
      </c>
      <c r="H206" s="139">
        <f>jagung!E49</f>
        <v>0</v>
      </c>
      <c r="I206" s="128">
        <f t="shared" si="78"/>
        <v>2</v>
      </c>
      <c r="J206" s="273">
        <f>jagung!F49</f>
        <v>1</v>
      </c>
      <c r="K206" s="273">
        <f>jagung!G49</f>
        <v>0</v>
      </c>
      <c r="L206" s="273" t="str">
        <f>jagung!H49</f>
        <v>1*</v>
      </c>
      <c r="M206" s="273">
        <f>jagung!I49</f>
        <v>0</v>
      </c>
      <c r="N206" s="273">
        <f>jagung!J49</f>
        <v>0</v>
      </c>
      <c r="O206" s="273">
        <f>jagung!K49</f>
        <v>0</v>
      </c>
      <c r="P206" s="128">
        <f>SUM(J206:O206)</f>
        <v>1</v>
      </c>
      <c r="Q206" s="131">
        <f t="shared" si="80"/>
        <v>3</v>
      </c>
    </row>
    <row r="207" spans="1:17" ht="16.5" thickTop="1" thickBot="1" x14ac:dyDescent="0.3">
      <c r="A207" s="378" t="s">
        <v>26</v>
      </c>
      <c r="B207" s="379"/>
      <c r="C207" s="114">
        <v>2</v>
      </c>
      <c r="D207" s="114">
        <v>7</v>
      </c>
      <c r="E207" s="114">
        <f t="shared" ref="E207:H207" si="81">SUM(E199:E206)</f>
        <v>1</v>
      </c>
      <c r="F207" s="114">
        <v>2</v>
      </c>
      <c r="G207" s="114">
        <f t="shared" si="81"/>
        <v>1</v>
      </c>
      <c r="H207" s="123">
        <f t="shared" si="81"/>
        <v>5</v>
      </c>
      <c r="I207" s="125">
        <f>SUM(I199:I206)</f>
        <v>13.5</v>
      </c>
      <c r="J207" s="135">
        <f t="shared" ref="J207:O207" si="82">SUM(J199:J206)</f>
        <v>1</v>
      </c>
      <c r="K207" s="114">
        <f t="shared" si="82"/>
        <v>0</v>
      </c>
      <c r="L207" s="114">
        <f t="shared" si="82"/>
        <v>0</v>
      </c>
      <c r="M207" s="114">
        <f t="shared" si="82"/>
        <v>0</v>
      </c>
      <c r="N207" s="114">
        <f t="shared" si="82"/>
        <v>2</v>
      </c>
      <c r="O207" s="123">
        <f t="shared" si="82"/>
        <v>0</v>
      </c>
      <c r="P207" s="125">
        <f>SUM(P199:P206)</f>
        <v>3</v>
      </c>
      <c r="Q207" s="132">
        <f>SUM(Q199:Q206)</f>
        <v>16.5</v>
      </c>
    </row>
    <row r="208" spans="1:17" x14ac:dyDescent="0.25">
      <c r="A208" t="s">
        <v>143</v>
      </c>
    </row>
    <row r="209" spans="1:17" ht="15.75" x14ac:dyDescent="0.25">
      <c r="A209" s="380" t="s">
        <v>121</v>
      </c>
      <c r="B209" s="380"/>
      <c r="C209" s="380"/>
      <c r="D209" s="380"/>
      <c r="E209" s="380"/>
      <c r="F209" s="380"/>
      <c r="G209" s="380"/>
      <c r="H209" s="380"/>
      <c r="I209" s="380"/>
      <c r="J209" s="380"/>
      <c r="K209" s="380"/>
      <c r="L209" s="380"/>
      <c r="M209" s="380"/>
      <c r="N209" s="380"/>
      <c r="O209" s="380"/>
      <c r="P209" s="380"/>
      <c r="Q209" s="380"/>
    </row>
    <row r="210" spans="1:17" ht="15.75" x14ac:dyDescent="0.25">
      <c r="A210" s="380" t="s">
        <v>82</v>
      </c>
      <c r="B210" s="380"/>
      <c r="C210" s="380"/>
      <c r="D210" s="380"/>
      <c r="E210" s="380"/>
      <c r="F210" s="380"/>
      <c r="G210" s="380"/>
      <c r="H210" s="380"/>
      <c r="I210" s="380"/>
      <c r="J210" s="380"/>
      <c r="K210" s="380"/>
      <c r="L210" s="380"/>
      <c r="M210" s="380"/>
      <c r="N210" s="380"/>
      <c r="O210" s="380"/>
      <c r="P210" s="380"/>
      <c r="Q210" s="380"/>
    </row>
    <row r="211" spans="1:17" ht="15.75" thickBot="1" x14ac:dyDescent="0.3">
      <c r="Q211" s="76" t="s">
        <v>1</v>
      </c>
    </row>
    <row r="212" spans="1:17" x14ac:dyDescent="0.25">
      <c r="A212" s="375" t="s">
        <v>2</v>
      </c>
      <c r="B212" s="377" t="s">
        <v>3</v>
      </c>
      <c r="C212" s="381" t="s">
        <v>90</v>
      </c>
      <c r="D212" s="382"/>
      <c r="E212" s="382"/>
      <c r="F212" s="382"/>
      <c r="G212" s="382"/>
      <c r="H212" s="382"/>
      <c r="I212" s="383" t="s">
        <v>83</v>
      </c>
      <c r="J212" s="382">
        <v>2017</v>
      </c>
      <c r="K212" s="382"/>
      <c r="L212" s="382"/>
      <c r="M212" s="382"/>
      <c r="N212" s="382"/>
      <c r="O212" s="382"/>
      <c r="P212" s="383" t="s">
        <v>84</v>
      </c>
      <c r="Q212" s="385" t="s">
        <v>5</v>
      </c>
    </row>
    <row r="213" spans="1:17" x14ac:dyDescent="0.25">
      <c r="A213" s="376"/>
      <c r="B213" s="363"/>
      <c r="C213" s="207" t="s">
        <v>15</v>
      </c>
      <c r="D213" s="207" t="s">
        <v>16</v>
      </c>
      <c r="E213" s="207" t="s">
        <v>17</v>
      </c>
      <c r="F213" s="207" t="s">
        <v>6</v>
      </c>
      <c r="G213" s="207" t="s">
        <v>77</v>
      </c>
      <c r="H213" s="121" t="s">
        <v>78</v>
      </c>
      <c r="I213" s="384"/>
      <c r="J213" s="111" t="s">
        <v>79</v>
      </c>
      <c r="K213" s="207" t="s">
        <v>10</v>
      </c>
      <c r="L213" s="207" t="s">
        <v>11</v>
      </c>
      <c r="M213" s="207" t="s">
        <v>12</v>
      </c>
      <c r="N213" s="207" t="s">
        <v>80</v>
      </c>
      <c r="O213" s="121" t="s">
        <v>81</v>
      </c>
      <c r="P213" s="384"/>
      <c r="Q213" s="386"/>
    </row>
    <row r="214" spans="1:17" ht="15.75" thickBot="1" x14ac:dyDescent="0.3">
      <c r="A214" s="113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2">
        <v>8</v>
      </c>
      <c r="I214" s="124">
        <v>9</v>
      </c>
      <c r="J214" s="112">
        <v>10</v>
      </c>
      <c r="K214" s="5">
        <v>11</v>
      </c>
      <c r="L214" s="5">
        <v>12</v>
      </c>
      <c r="M214" s="5">
        <v>13</v>
      </c>
      <c r="N214" s="5">
        <v>14</v>
      </c>
      <c r="O214" s="122">
        <v>15</v>
      </c>
      <c r="P214" s="124">
        <v>16</v>
      </c>
      <c r="Q214" s="133">
        <v>17</v>
      </c>
    </row>
    <row r="215" spans="1:17" ht="15.75" thickTop="1" x14ac:dyDescent="0.25">
      <c r="A215" s="84">
        <v>1</v>
      </c>
      <c r="B215" s="7" t="s">
        <v>18</v>
      </c>
      <c r="C215" s="138">
        <v>0</v>
      </c>
      <c r="D215" s="138">
        <v>0</v>
      </c>
      <c r="E215" s="138">
        <v>0</v>
      </c>
      <c r="F215" s="138">
        <f>kedelai!C42</f>
        <v>0</v>
      </c>
      <c r="G215" s="138">
        <f>kedelai!D42</f>
        <v>0</v>
      </c>
      <c r="H215" s="138">
        <f>kedelai!E42</f>
        <v>0</v>
      </c>
      <c r="I215" s="126">
        <f>SUM(C215:H215)</f>
        <v>0</v>
      </c>
      <c r="J215" s="138">
        <v>0</v>
      </c>
      <c r="K215" s="138">
        <v>0</v>
      </c>
      <c r="L215" s="138">
        <v>0</v>
      </c>
      <c r="M215" s="138">
        <f>kedelai!J42</f>
        <v>0</v>
      </c>
      <c r="N215" s="138">
        <f>kedelai!K42</f>
        <v>0</v>
      </c>
      <c r="O215" s="138">
        <f>kedelai!L42</f>
        <v>0</v>
      </c>
      <c r="P215" s="126">
        <f>SUM(J215:O215)</f>
        <v>0</v>
      </c>
      <c r="Q215" s="129">
        <f>SUM(I215,P215)</f>
        <v>0</v>
      </c>
    </row>
    <row r="216" spans="1:17" x14ac:dyDescent="0.25">
      <c r="A216" s="85">
        <v>2</v>
      </c>
      <c r="B216" s="12" t="s">
        <v>19</v>
      </c>
      <c r="C216" s="60">
        <v>0</v>
      </c>
      <c r="D216" s="60">
        <v>0</v>
      </c>
      <c r="E216" s="60">
        <v>0</v>
      </c>
      <c r="F216" s="60">
        <f>kedelai!C43</f>
        <v>0</v>
      </c>
      <c r="G216" s="60">
        <f>kedelai!D43</f>
        <v>0</v>
      </c>
      <c r="H216" s="157">
        <f>kedelai!E43</f>
        <v>0</v>
      </c>
      <c r="I216" s="127">
        <f t="shared" ref="I216:I222" si="83">SUM(C216:H216)</f>
        <v>0</v>
      </c>
      <c r="J216" s="60">
        <v>0</v>
      </c>
      <c r="K216" s="60">
        <v>0</v>
      </c>
      <c r="L216" s="60">
        <v>0</v>
      </c>
      <c r="M216" s="60">
        <f>kedelai!J43</f>
        <v>0</v>
      </c>
      <c r="N216" s="60">
        <f>kedelai!K43</f>
        <v>0</v>
      </c>
      <c r="O216" s="157">
        <f>kedelai!L43</f>
        <v>0</v>
      </c>
      <c r="P216" s="127">
        <f t="shared" ref="P216:P221" si="84">SUM(J216:O216)</f>
        <v>0</v>
      </c>
      <c r="Q216" s="130">
        <f t="shared" ref="Q216:Q222" si="85">SUM(I216,P216)</f>
        <v>0</v>
      </c>
    </row>
    <row r="217" spans="1:17" x14ac:dyDescent="0.25">
      <c r="A217" s="85">
        <v>3</v>
      </c>
      <c r="B217" s="7" t="s">
        <v>20</v>
      </c>
      <c r="C217" s="60">
        <v>0</v>
      </c>
      <c r="D217" s="60">
        <v>0</v>
      </c>
      <c r="E217" s="60">
        <v>0</v>
      </c>
      <c r="F217" s="60">
        <f>kedelai!C44</f>
        <v>0</v>
      </c>
      <c r="G217" s="60">
        <f>kedelai!D44</f>
        <v>0</v>
      </c>
      <c r="H217" s="157">
        <f>kedelai!E44</f>
        <v>0</v>
      </c>
      <c r="I217" s="127">
        <f t="shared" si="83"/>
        <v>0</v>
      </c>
      <c r="J217" s="60">
        <v>0</v>
      </c>
      <c r="K217" s="60">
        <v>0</v>
      </c>
      <c r="L217" s="60">
        <v>0</v>
      </c>
      <c r="M217" s="60">
        <f>kedelai!J44</f>
        <v>0</v>
      </c>
      <c r="N217" s="60">
        <f>kedelai!K44</f>
        <v>0</v>
      </c>
      <c r="O217" s="157">
        <f>kedelai!L44</f>
        <v>0</v>
      </c>
      <c r="P217" s="127">
        <f t="shared" si="84"/>
        <v>0</v>
      </c>
      <c r="Q217" s="130">
        <f t="shared" si="85"/>
        <v>0</v>
      </c>
    </row>
    <row r="218" spans="1:17" x14ac:dyDescent="0.25">
      <c r="A218" s="86">
        <v>4</v>
      </c>
      <c r="B218" s="15" t="s">
        <v>21</v>
      </c>
      <c r="C218" s="60">
        <v>0</v>
      </c>
      <c r="D218" s="60">
        <v>0</v>
      </c>
      <c r="E218" s="60">
        <v>0</v>
      </c>
      <c r="F218" s="60">
        <f>kedelai!C45</f>
        <v>0</v>
      </c>
      <c r="G218" s="60">
        <f>kedelai!D45</f>
        <v>0</v>
      </c>
      <c r="H218" s="157">
        <f>kedelai!E45</f>
        <v>0</v>
      </c>
      <c r="I218" s="127">
        <f t="shared" si="83"/>
        <v>0</v>
      </c>
      <c r="J218" s="60">
        <v>0</v>
      </c>
      <c r="K218" s="60">
        <v>0</v>
      </c>
      <c r="L218" s="60">
        <v>0</v>
      </c>
      <c r="M218" s="60">
        <f>kedelai!J45</f>
        <v>0</v>
      </c>
      <c r="N218" s="60">
        <f>kedelai!K45</f>
        <v>0</v>
      </c>
      <c r="O218" s="157">
        <f>kedelai!L45</f>
        <v>0</v>
      </c>
      <c r="P218" s="127">
        <f t="shared" si="84"/>
        <v>0</v>
      </c>
      <c r="Q218" s="130">
        <f t="shared" si="85"/>
        <v>0</v>
      </c>
    </row>
    <row r="219" spans="1:17" x14ac:dyDescent="0.25">
      <c r="A219" s="86">
        <v>5</v>
      </c>
      <c r="B219" s="19" t="s">
        <v>22</v>
      </c>
      <c r="C219" s="60">
        <v>0</v>
      </c>
      <c r="D219" s="60">
        <v>0</v>
      </c>
      <c r="E219" s="60">
        <v>0</v>
      </c>
      <c r="F219" s="60">
        <f>kedelai!C46</f>
        <v>0</v>
      </c>
      <c r="G219" s="60">
        <f>kedelai!D46</f>
        <v>0</v>
      </c>
      <c r="H219" s="157">
        <f>kedelai!E46</f>
        <v>0</v>
      </c>
      <c r="I219" s="127">
        <f t="shared" si="83"/>
        <v>0</v>
      </c>
      <c r="J219" s="60">
        <v>0</v>
      </c>
      <c r="K219" s="60">
        <v>0</v>
      </c>
      <c r="L219" s="60">
        <v>0</v>
      </c>
      <c r="M219" s="60">
        <f>kedelai!J46</f>
        <v>0</v>
      </c>
      <c r="N219" s="60">
        <f>kedelai!K46</f>
        <v>0</v>
      </c>
      <c r="O219" s="157">
        <f>kedelai!L46</f>
        <v>0</v>
      </c>
      <c r="P219" s="127">
        <f t="shared" si="84"/>
        <v>0</v>
      </c>
      <c r="Q219" s="130">
        <f t="shared" si="85"/>
        <v>0</v>
      </c>
    </row>
    <row r="220" spans="1:17" x14ac:dyDescent="0.25">
      <c r="A220" s="86">
        <v>6</v>
      </c>
      <c r="B220" s="19" t="s">
        <v>23</v>
      </c>
      <c r="C220" s="60">
        <v>0</v>
      </c>
      <c r="D220" s="60">
        <v>0</v>
      </c>
      <c r="E220" s="60">
        <v>0</v>
      </c>
      <c r="F220" s="60">
        <f>kedelai!C47</f>
        <v>0</v>
      </c>
      <c r="G220" s="60">
        <f>kedelai!D47</f>
        <v>0</v>
      </c>
      <c r="H220" s="157">
        <f>kedelai!E47</f>
        <v>0</v>
      </c>
      <c r="I220" s="127">
        <f t="shared" si="83"/>
        <v>0</v>
      </c>
      <c r="J220" s="60">
        <v>0</v>
      </c>
      <c r="K220" s="60">
        <v>0</v>
      </c>
      <c r="L220" s="60">
        <v>0</v>
      </c>
      <c r="M220" s="60">
        <f>kedelai!J47</f>
        <v>0</v>
      </c>
      <c r="N220" s="60">
        <f>kedelai!K47</f>
        <v>0</v>
      </c>
      <c r="O220" s="157">
        <f>kedelai!L47</f>
        <v>0</v>
      </c>
      <c r="P220" s="127">
        <f t="shared" si="84"/>
        <v>0</v>
      </c>
      <c r="Q220" s="130">
        <f t="shared" si="85"/>
        <v>0</v>
      </c>
    </row>
    <row r="221" spans="1:17" x14ac:dyDescent="0.25">
      <c r="A221" s="86">
        <v>7</v>
      </c>
      <c r="B221" s="19" t="s">
        <v>24</v>
      </c>
      <c r="C221" s="60">
        <v>0</v>
      </c>
      <c r="D221" s="60">
        <v>0</v>
      </c>
      <c r="E221" s="60">
        <v>0</v>
      </c>
      <c r="F221" s="60">
        <f>kedelai!C48</f>
        <v>0</v>
      </c>
      <c r="G221" s="60">
        <f>kedelai!D48</f>
        <v>0</v>
      </c>
      <c r="H221" s="157">
        <f>kedelai!E48</f>
        <v>0</v>
      </c>
      <c r="I221" s="127">
        <f t="shared" si="83"/>
        <v>0</v>
      </c>
      <c r="J221" s="60">
        <v>0</v>
      </c>
      <c r="K221" s="60">
        <v>0</v>
      </c>
      <c r="L221" s="60">
        <v>0</v>
      </c>
      <c r="M221" s="60">
        <f>kedelai!J48</f>
        <v>0</v>
      </c>
      <c r="N221" s="60">
        <f>kedelai!K48</f>
        <v>0</v>
      </c>
      <c r="O221" s="157">
        <f>kedelai!L48</f>
        <v>0</v>
      </c>
      <c r="P221" s="127">
        <f t="shared" si="84"/>
        <v>0</v>
      </c>
      <c r="Q221" s="130">
        <f t="shared" si="85"/>
        <v>0</v>
      </c>
    </row>
    <row r="222" spans="1:17" ht="15.75" thickBot="1" x14ac:dyDescent="0.3">
      <c r="A222" s="87">
        <v>8</v>
      </c>
      <c r="B222" s="15" t="s">
        <v>25</v>
      </c>
      <c r="C222" s="139">
        <v>0</v>
      </c>
      <c r="D222" s="139">
        <v>0</v>
      </c>
      <c r="E222" s="139">
        <v>0</v>
      </c>
      <c r="F222" s="139">
        <f>kedelai!C49</f>
        <v>0</v>
      </c>
      <c r="G222" s="139">
        <f>kedelai!D49</f>
        <v>0</v>
      </c>
      <c r="H222" s="139">
        <f>kedelai!E49</f>
        <v>0</v>
      </c>
      <c r="I222" s="128">
        <f t="shared" si="83"/>
        <v>0</v>
      </c>
      <c r="J222" s="139">
        <v>0</v>
      </c>
      <c r="K222" s="139">
        <v>0</v>
      </c>
      <c r="L222" s="139">
        <v>0</v>
      </c>
      <c r="M222" s="139">
        <f>kedelai!J49</f>
        <v>0</v>
      </c>
      <c r="N222" s="139">
        <f>kedelai!K49</f>
        <v>0</v>
      </c>
      <c r="O222" s="139">
        <f>kedelai!L49</f>
        <v>0</v>
      </c>
      <c r="P222" s="128">
        <f>SUM(J222:O222)</f>
        <v>0</v>
      </c>
      <c r="Q222" s="131">
        <f t="shared" si="85"/>
        <v>0</v>
      </c>
    </row>
    <row r="223" spans="1:17" ht="16.5" thickTop="1" thickBot="1" x14ac:dyDescent="0.3">
      <c r="A223" s="378" t="s">
        <v>26</v>
      </c>
      <c r="B223" s="379"/>
      <c r="C223" s="114">
        <f t="shared" ref="C223:H223" si="86">SUM(C215:C222)</f>
        <v>0</v>
      </c>
      <c r="D223" s="114">
        <f t="shared" si="86"/>
        <v>0</v>
      </c>
      <c r="E223" s="114">
        <f t="shared" si="86"/>
        <v>0</v>
      </c>
      <c r="F223" s="114">
        <f t="shared" si="86"/>
        <v>0</v>
      </c>
      <c r="G223" s="114">
        <f t="shared" si="86"/>
        <v>0</v>
      </c>
      <c r="H223" s="123">
        <f t="shared" si="86"/>
        <v>0</v>
      </c>
      <c r="I223" s="125">
        <f>SUM(I215:I222)</f>
        <v>0</v>
      </c>
      <c r="J223" s="135">
        <f t="shared" ref="J223:O223" si="87">SUM(J215:J222)</f>
        <v>0</v>
      </c>
      <c r="K223" s="114">
        <f t="shared" si="87"/>
        <v>0</v>
      </c>
      <c r="L223" s="114">
        <f t="shared" si="87"/>
        <v>0</v>
      </c>
      <c r="M223" s="114">
        <f t="shared" si="87"/>
        <v>0</v>
      </c>
      <c r="N223" s="114">
        <f t="shared" si="87"/>
        <v>0</v>
      </c>
      <c r="O223" s="123">
        <f t="shared" si="87"/>
        <v>0</v>
      </c>
      <c r="P223" s="125">
        <f>SUM(P215:P222)</f>
        <v>0</v>
      </c>
      <c r="Q223" s="132">
        <f>SUM(Q215:Q222)</f>
        <v>0</v>
      </c>
    </row>
    <row r="225" spans="1:17" ht="15.75" x14ac:dyDescent="0.25">
      <c r="A225" s="380" t="s">
        <v>122</v>
      </c>
      <c r="B225" s="380"/>
      <c r="C225" s="380"/>
      <c r="D225" s="380"/>
      <c r="E225" s="380"/>
      <c r="F225" s="380"/>
      <c r="G225" s="380"/>
      <c r="H225" s="380"/>
      <c r="I225" s="380"/>
      <c r="J225" s="380"/>
      <c r="K225" s="380"/>
      <c r="L225" s="380"/>
      <c r="M225" s="380"/>
      <c r="N225" s="380"/>
      <c r="O225" s="380"/>
      <c r="P225" s="380"/>
      <c r="Q225" s="380"/>
    </row>
    <row r="226" spans="1:17" ht="15.75" x14ac:dyDescent="0.25">
      <c r="A226" s="380" t="s">
        <v>82</v>
      </c>
      <c r="B226" s="380"/>
      <c r="C226" s="380"/>
      <c r="D226" s="380"/>
      <c r="E226" s="380"/>
      <c r="F226" s="380"/>
      <c r="G226" s="380"/>
      <c r="H226" s="380"/>
      <c r="I226" s="380"/>
      <c r="J226" s="380"/>
      <c r="K226" s="380"/>
      <c r="L226" s="380"/>
      <c r="M226" s="380"/>
      <c r="N226" s="380"/>
      <c r="O226" s="380"/>
      <c r="P226" s="380"/>
      <c r="Q226" s="380"/>
    </row>
    <row r="227" spans="1:17" ht="15.75" thickBot="1" x14ac:dyDescent="0.3">
      <c r="Q227" s="76" t="s">
        <v>1</v>
      </c>
    </row>
    <row r="228" spans="1:17" x14ac:dyDescent="0.25">
      <c r="A228" s="375" t="s">
        <v>2</v>
      </c>
      <c r="B228" s="377" t="s">
        <v>3</v>
      </c>
      <c r="C228" s="381" t="s">
        <v>90</v>
      </c>
      <c r="D228" s="382"/>
      <c r="E228" s="382"/>
      <c r="F228" s="382"/>
      <c r="G228" s="382"/>
      <c r="H228" s="382"/>
      <c r="I228" s="383" t="s">
        <v>83</v>
      </c>
      <c r="J228" s="382">
        <v>2017</v>
      </c>
      <c r="K228" s="382"/>
      <c r="L228" s="382"/>
      <c r="M228" s="382"/>
      <c r="N228" s="382"/>
      <c r="O228" s="382"/>
      <c r="P228" s="383" t="s">
        <v>84</v>
      </c>
      <c r="Q228" s="385" t="s">
        <v>5</v>
      </c>
    </row>
    <row r="229" spans="1:17" x14ac:dyDescent="0.25">
      <c r="A229" s="376"/>
      <c r="B229" s="363"/>
      <c r="C229" s="207" t="s">
        <v>15</v>
      </c>
      <c r="D229" s="207" t="s">
        <v>16</v>
      </c>
      <c r="E229" s="207" t="s">
        <v>17</v>
      </c>
      <c r="F229" s="207" t="s">
        <v>6</v>
      </c>
      <c r="G229" s="207" t="s">
        <v>77</v>
      </c>
      <c r="H229" s="121" t="s">
        <v>78</v>
      </c>
      <c r="I229" s="384"/>
      <c r="J229" s="111" t="s">
        <v>79</v>
      </c>
      <c r="K229" s="207" t="s">
        <v>10</v>
      </c>
      <c r="L229" s="207" t="s">
        <v>11</v>
      </c>
      <c r="M229" s="207" t="s">
        <v>12</v>
      </c>
      <c r="N229" s="207" t="s">
        <v>80</v>
      </c>
      <c r="O229" s="121" t="s">
        <v>81</v>
      </c>
      <c r="P229" s="384"/>
      <c r="Q229" s="386"/>
    </row>
    <row r="230" spans="1:17" ht="15.75" thickBot="1" x14ac:dyDescent="0.3">
      <c r="A230" s="113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2">
        <v>8</v>
      </c>
      <c r="I230" s="124">
        <v>9</v>
      </c>
      <c r="J230" s="112">
        <v>10</v>
      </c>
      <c r="K230" s="5">
        <v>11</v>
      </c>
      <c r="L230" s="5">
        <v>12</v>
      </c>
      <c r="M230" s="5">
        <v>13</v>
      </c>
      <c r="N230" s="5">
        <v>14</v>
      </c>
      <c r="O230" s="122">
        <v>15</v>
      </c>
      <c r="P230" s="124">
        <v>16</v>
      </c>
      <c r="Q230" s="133">
        <v>17</v>
      </c>
    </row>
    <row r="231" spans="1:17" ht="15.75" thickTop="1" x14ac:dyDescent="0.25">
      <c r="A231" s="84">
        <v>1</v>
      </c>
      <c r="B231" s="7" t="s">
        <v>18</v>
      </c>
      <c r="C231" s="138">
        <v>0</v>
      </c>
      <c r="D231" s="138">
        <v>0</v>
      </c>
      <c r="E231" s="138">
        <v>0</v>
      </c>
      <c r="F231" s="138">
        <f>'kc tanah'!C42</f>
        <v>126</v>
      </c>
      <c r="G231" s="138">
        <f>'kc tanah'!D42</f>
        <v>35</v>
      </c>
      <c r="H231" s="138">
        <f>'kc tanah'!E42</f>
        <v>0</v>
      </c>
      <c r="I231" s="126">
        <f>SUM(C231:H231)</f>
        <v>161</v>
      </c>
      <c r="J231" s="158">
        <f>'kc tanah'!F42</f>
        <v>185</v>
      </c>
      <c r="K231" s="158">
        <f>'kc tanah'!G42</f>
        <v>0</v>
      </c>
      <c r="L231" s="158">
        <f>'kc tanah'!H42</f>
        <v>0</v>
      </c>
      <c r="M231" s="158">
        <f>'kc tanah'!I42</f>
        <v>0</v>
      </c>
      <c r="N231" s="158">
        <f>'kc tanah'!J42</f>
        <v>0</v>
      </c>
      <c r="O231" s="158">
        <f>'kc tanah'!K42</f>
        <v>0</v>
      </c>
      <c r="P231" s="126">
        <f>SUM(J231:O231)</f>
        <v>185</v>
      </c>
      <c r="Q231" s="129">
        <f>SUM(I231,P231)</f>
        <v>346</v>
      </c>
    </row>
    <row r="232" spans="1:17" x14ac:dyDescent="0.25">
      <c r="A232" s="85">
        <v>2</v>
      </c>
      <c r="B232" s="12" t="s">
        <v>19</v>
      </c>
      <c r="C232" s="60">
        <v>0</v>
      </c>
      <c r="D232" s="60">
        <v>0</v>
      </c>
      <c r="E232" s="60">
        <v>0</v>
      </c>
      <c r="F232" s="60">
        <f>'kc tanah'!C43</f>
        <v>122</v>
      </c>
      <c r="G232" s="60">
        <f>'kc tanah'!D43</f>
        <v>64</v>
      </c>
      <c r="H232" s="157">
        <f>'kc tanah'!E43</f>
        <v>0</v>
      </c>
      <c r="I232" s="127">
        <f t="shared" ref="I232:I238" si="88">SUM(C232:H232)</f>
        <v>186</v>
      </c>
      <c r="J232" s="262">
        <f>'kc tanah'!F43</f>
        <v>25</v>
      </c>
      <c r="K232" s="134">
        <f>'kc tanah'!G43</f>
        <v>85</v>
      </c>
      <c r="L232" s="134">
        <f>'kc tanah'!H43</f>
        <v>0</v>
      </c>
      <c r="M232" s="134">
        <f>'kc tanah'!I43</f>
        <v>0</v>
      </c>
      <c r="N232" s="134">
        <f>'kc tanah'!J43</f>
        <v>0</v>
      </c>
      <c r="O232" s="159">
        <f>'kc tanah'!K43</f>
        <v>0</v>
      </c>
      <c r="P232" s="127">
        <f t="shared" ref="P232:P237" si="89">SUM(J232:O232)</f>
        <v>110</v>
      </c>
      <c r="Q232" s="130">
        <f t="shared" ref="Q232:Q238" si="90">SUM(I232,P232)</f>
        <v>296</v>
      </c>
    </row>
    <row r="233" spans="1:17" x14ac:dyDescent="0.25">
      <c r="A233" s="85">
        <v>3</v>
      </c>
      <c r="B233" s="7" t="s">
        <v>20</v>
      </c>
      <c r="C233" s="60">
        <v>0</v>
      </c>
      <c r="D233" s="60">
        <v>0</v>
      </c>
      <c r="E233" s="60">
        <v>0</v>
      </c>
      <c r="F233" s="60">
        <f>'kc tanah'!C44</f>
        <v>0</v>
      </c>
      <c r="G233" s="60">
        <f>'kc tanah'!D44</f>
        <v>305</v>
      </c>
      <c r="H233" s="157">
        <f>'kc tanah'!E44</f>
        <v>200</v>
      </c>
      <c r="I233" s="127">
        <f t="shared" si="88"/>
        <v>505</v>
      </c>
      <c r="J233" s="262">
        <f>'kc tanah'!F44</f>
        <v>57</v>
      </c>
      <c r="K233" s="134">
        <f>'kc tanah'!G44</f>
        <v>0.5</v>
      </c>
      <c r="L233" s="134">
        <f>'kc tanah'!H44</f>
        <v>0</v>
      </c>
      <c r="M233" s="134">
        <f>'kc tanah'!I44</f>
        <v>0</v>
      </c>
      <c r="N233" s="134">
        <f>'kc tanah'!J44</f>
        <v>15</v>
      </c>
      <c r="O233" s="159">
        <f>'kc tanah'!K44</f>
        <v>0</v>
      </c>
      <c r="P233" s="127">
        <f t="shared" si="89"/>
        <v>72.5</v>
      </c>
      <c r="Q233" s="130">
        <f t="shared" si="90"/>
        <v>577.5</v>
      </c>
    </row>
    <row r="234" spans="1:17" x14ac:dyDescent="0.25">
      <c r="A234" s="86">
        <v>4</v>
      </c>
      <c r="B234" s="15" t="s">
        <v>21</v>
      </c>
      <c r="C234" s="60">
        <v>17</v>
      </c>
      <c r="D234" s="60">
        <v>0</v>
      </c>
      <c r="E234" s="60">
        <v>0</v>
      </c>
      <c r="F234" s="60">
        <f>'kc tanah'!C45</f>
        <v>0</v>
      </c>
      <c r="G234" s="60">
        <f>'kc tanah'!D45</f>
        <v>21</v>
      </c>
      <c r="H234" s="157">
        <f>'kc tanah'!E45</f>
        <v>0</v>
      </c>
      <c r="I234" s="127">
        <f t="shared" si="88"/>
        <v>38</v>
      </c>
      <c r="J234" s="262">
        <f>'kc tanah'!F45</f>
        <v>167</v>
      </c>
      <c r="K234" s="134">
        <f>'kc tanah'!G45</f>
        <v>5</v>
      </c>
      <c r="L234" s="134">
        <f>'kc tanah'!H45</f>
        <v>0</v>
      </c>
      <c r="M234" s="134">
        <f>'kc tanah'!I45</f>
        <v>5</v>
      </c>
      <c r="N234" s="134">
        <f>'kc tanah'!J45</f>
        <v>10</v>
      </c>
      <c r="O234" s="159">
        <f>'kc tanah'!K45</f>
        <v>0</v>
      </c>
      <c r="P234" s="127">
        <f t="shared" si="89"/>
        <v>187</v>
      </c>
      <c r="Q234" s="130">
        <f t="shared" si="90"/>
        <v>225</v>
      </c>
    </row>
    <row r="235" spans="1:17" x14ac:dyDescent="0.25">
      <c r="A235" s="86">
        <v>5</v>
      </c>
      <c r="B235" s="19" t="s">
        <v>22</v>
      </c>
      <c r="C235" s="60">
        <v>0</v>
      </c>
      <c r="D235" s="60">
        <v>0</v>
      </c>
      <c r="E235" s="60">
        <v>0</v>
      </c>
      <c r="F235" s="60">
        <f>'kc tanah'!C46</f>
        <v>178</v>
      </c>
      <c r="G235" s="60">
        <f>'kc tanah'!D46</f>
        <v>52</v>
      </c>
      <c r="H235" s="157">
        <f>'kc tanah'!E46</f>
        <v>48</v>
      </c>
      <c r="I235" s="127">
        <f t="shared" si="88"/>
        <v>278</v>
      </c>
      <c r="J235" s="262">
        <f>'kc tanah'!F46</f>
        <v>70</v>
      </c>
      <c r="K235" s="134">
        <f>'kc tanah'!G46</f>
        <v>38</v>
      </c>
      <c r="L235" s="134">
        <f>'kc tanah'!H46</f>
        <v>0</v>
      </c>
      <c r="M235" s="134">
        <f>'kc tanah'!I46</f>
        <v>0</v>
      </c>
      <c r="N235" s="134">
        <f>'kc tanah'!J46</f>
        <v>0</v>
      </c>
      <c r="O235" s="159">
        <f>'kc tanah'!K46</f>
        <v>0</v>
      </c>
      <c r="P235" s="127">
        <f t="shared" si="89"/>
        <v>108</v>
      </c>
      <c r="Q235" s="130">
        <f t="shared" si="90"/>
        <v>386</v>
      </c>
    </row>
    <row r="236" spans="1:17" x14ac:dyDescent="0.25">
      <c r="A236" s="86">
        <v>6</v>
      </c>
      <c r="B236" s="19" t="s">
        <v>23</v>
      </c>
      <c r="C236" s="60">
        <v>15</v>
      </c>
      <c r="D236" s="60">
        <v>5</v>
      </c>
      <c r="E236" s="60">
        <v>0</v>
      </c>
      <c r="F236" s="60">
        <f>'kc tanah'!C47</f>
        <v>0</v>
      </c>
      <c r="G236" s="60">
        <f>'kc tanah'!D47</f>
        <v>15</v>
      </c>
      <c r="H236" s="157">
        <f>'kc tanah'!E47</f>
        <v>0</v>
      </c>
      <c r="I236" s="127">
        <f t="shared" si="88"/>
        <v>35</v>
      </c>
      <c r="J236" s="262">
        <f>'kc tanah'!F47</f>
        <v>0</v>
      </c>
      <c r="K236" s="134">
        <f>'kc tanah'!G47</f>
        <v>5</v>
      </c>
      <c r="L236" s="134">
        <f>'kc tanah'!H47</f>
        <v>45</v>
      </c>
      <c r="M236" s="134">
        <f>'kc tanah'!I47</f>
        <v>0</v>
      </c>
      <c r="N236" s="134">
        <f>'kc tanah'!J47</f>
        <v>40</v>
      </c>
      <c r="O236" s="159">
        <f>'kc tanah'!K47</f>
        <v>0</v>
      </c>
      <c r="P236" s="127">
        <f t="shared" si="89"/>
        <v>90</v>
      </c>
      <c r="Q236" s="130">
        <f t="shared" si="90"/>
        <v>125</v>
      </c>
    </row>
    <row r="237" spans="1:17" x14ac:dyDescent="0.25">
      <c r="A237" s="86">
        <v>7</v>
      </c>
      <c r="B237" s="19" t="s">
        <v>24</v>
      </c>
      <c r="C237" s="60">
        <v>0</v>
      </c>
      <c r="D237" s="60">
        <v>0</v>
      </c>
      <c r="E237" s="60">
        <v>0</v>
      </c>
      <c r="F237" s="60">
        <f>'kc tanah'!C48</f>
        <v>0</v>
      </c>
      <c r="G237" s="60">
        <f>'kc tanah'!D48</f>
        <v>0</v>
      </c>
      <c r="H237" s="157">
        <f>'kc tanah'!E48</f>
        <v>1</v>
      </c>
      <c r="I237" s="127">
        <f t="shared" si="88"/>
        <v>1</v>
      </c>
      <c r="J237" s="262">
        <f>'kc tanah'!F48</f>
        <v>1</v>
      </c>
      <c r="K237" s="134">
        <f>'kc tanah'!G48</f>
        <v>0</v>
      </c>
      <c r="L237" s="134">
        <f>'kc tanah'!H48</f>
        <v>0</v>
      </c>
      <c r="M237" s="134">
        <f>'kc tanah'!I48</f>
        <v>0</v>
      </c>
      <c r="N237" s="134">
        <f>'kc tanah'!J48</f>
        <v>0</v>
      </c>
      <c r="O237" s="159">
        <f>'kc tanah'!K48</f>
        <v>0</v>
      </c>
      <c r="P237" s="127">
        <f t="shared" si="89"/>
        <v>1</v>
      </c>
      <c r="Q237" s="130">
        <f t="shared" si="90"/>
        <v>2</v>
      </c>
    </row>
    <row r="238" spans="1:17" ht="15.75" thickBot="1" x14ac:dyDescent="0.3">
      <c r="A238" s="87">
        <v>8</v>
      </c>
      <c r="B238" s="15" t="s">
        <v>25</v>
      </c>
      <c r="C238" s="139">
        <v>225</v>
      </c>
      <c r="D238" s="139">
        <v>25</v>
      </c>
      <c r="E238" s="139">
        <v>175</v>
      </c>
      <c r="F238" s="139">
        <f>'kc tanah'!C49</f>
        <v>35</v>
      </c>
      <c r="G238" s="139">
        <f>'kc tanah'!D49</f>
        <v>85</v>
      </c>
      <c r="H238" s="139">
        <f>'kc tanah'!E49</f>
        <v>0</v>
      </c>
      <c r="I238" s="128">
        <f t="shared" si="88"/>
        <v>545</v>
      </c>
      <c r="J238" s="273">
        <f>'kc tanah'!F49</f>
        <v>200</v>
      </c>
      <c r="K238" s="273">
        <f>'kc tanah'!G49</f>
        <v>45</v>
      </c>
      <c r="L238" s="273">
        <f>'kc tanah'!H49</f>
        <v>0</v>
      </c>
      <c r="M238" s="273">
        <f>'kc tanah'!I49</f>
        <v>139</v>
      </c>
      <c r="N238" s="273">
        <f>'kc tanah'!J49</f>
        <v>0</v>
      </c>
      <c r="O238" s="273">
        <f>'kc tanah'!K49</f>
        <v>0</v>
      </c>
      <c r="P238" s="128">
        <f>SUM(J238:O238)</f>
        <v>384</v>
      </c>
      <c r="Q238" s="131">
        <f t="shared" si="90"/>
        <v>929</v>
      </c>
    </row>
    <row r="239" spans="1:17" ht="16.5" thickTop="1" thickBot="1" x14ac:dyDescent="0.3">
      <c r="A239" s="378" t="s">
        <v>26</v>
      </c>
      <c r="B239" s="379"/>
      <c r="C239" s="114">
        <f t="shared" ref="C239:H239" si="91">SUM(C231:C238)</f>
        <v>257</v>
      </c>
      <c r="D239" s="114">
        <f t="shared" si="91"/>
        <v>30</v>
      </c>
      <c r="E239" s="114">
        <f t="shared" si="91"/>
        <v>175</v>
      </c>
      <c r="F239" s="114">
        <f t="shared" si="91"/>
        <v>461</v>
      </c>
      <c r="G239" s="114">
        <f t="shared" si="91"/>
        <v>577</v>
      </c>
      <c r="H239" s="123">
        <f t="shared" si="91"/>
        <v>249</v>
      </c>
      <c r="I239" s="125">
        <f>SUM(I231:I238)</f>
        <v>1749</v>
      </c>
      <c r="J239" s="135">
        <f t="shared" ref="J239:O239" si="92">SUM(J231:J238)</f>
        <v>705</v>
      </c>
      <c r="K239" s="114">
        <f t="shared" si="92"/>
        <v>178.5</v>
      </c>
      <c r="L239" s="114">
        <f t="shared" si="92"/>
        <v>45</v>
      </c>
      <c r="M239" s="114">
        <f t="shared" si="92"/>
        <v>144</v>
      </c>
      <c r="N239" s="114">
        <f t="shared" si="92"/>
        <v>65</v>
      </c>
      <c r="O239" s="123">
        <f t="shared" si="92"/>
        <v>0</v>
      </c>
      <c r="P239" s="125">
        <f>SUM(P231:P238)</f>
        <v>1137.5</v>
      </c>
      <c r="Q239" s="132">
        <f>SUM(Q231:Q238)</f>
        <v>2886.5</v>
      </c>
    </row>
    <row r="241" spans="1:17" ht="15.75" x14ac:dyDescent="0.25">
      <c r="A241" s="380" t="s">
        <v>124</v>
      </c>
      <c r="B241" s="380"/>
      <c r="C241" s="380"/>
      <c r="D241" s="380"/>
      <c r="E241" s="380"/>
      <c r="F241" s="380"/>
      <c r="G241" s="380"/>
      <c r="H241" s="380"/>
      <c r="I241" s="380"/>
      <c r="J241" s="380"/>
      <c r="K241" s="380"/>
      <c r="L241" s="380"/>
      <c r="M241" s="380"/>
      <c r="N241" s="380"/>
      <c r="O241" s="380"/>
      <c r="P241" s="380"/>
      <c r="Q241" s="380"/>
    </row>
    <row r="242" spans="1:17" ht="15.75" x14ac:dyDescent="0.25">
      <c r="A242" s="380" t="s">
        <v>82</v>
      </c>
      <c r="B242" s="380"/>
      <c r="C242" s="380"/>
      <c r="D242" s="380"/>
      <c r="E242" s="380"/>
      <c r="F242" s="380"/>
      <c r="G242" s="380"/>
      <c r="H242" s="380"/>
      <c r="I242" s="380"/>
      <c r="J242" s="380"/>
      <c r="K242" s="380"/>
      <c r="L242" s="380"/>
      <c r="M242" s="380"/>
      <c r="N242" s="380"/>
      <c r="O242" s="380"/>
      <c r="P242" s="380"/>
      <c r="Q242" s="380"/>
    </row>
    <row r="243" spans="1:17" ht="15.75" thickBot="1" x14ac:dyDescent="0.3">
      <c r="Q243" s="76" t="s">
        <v>1</v>
      </c>
    </row>
    <row r="244" spans="1:17" x14ac:dyDescent="0.25">
      <c r="A244" s="375" t="s">
        <v>2</v>
      </c>
      <c r="B244" s="377" t="s">
        <v>3</v>
      </c>
      <c r="C244" s="381" t="s">
        <v>90</v>
      </c>
      <c r="D244" s="382"/>
      <c r="E244" s="382"/>
      <c r="F244" s="382"/>
      <c r="G244" s="382"/>
      <c r="H244" s="382"/>
      <c r="I244" s="383" t="s">
        <v>83</v>
      </c>
      <c r="J244" s="382">
        <v>2017</v>
      </c>
      <c r="K244" s="382"/>
      <c r="L244" s="382"/>
      <c r="M244" s="382"/>
      <c r="N244" s="382"/>
      <c r="O244" s="382"/>
      <c r="P244" s="383" t="s">
        <v>84</v>
      </c>
      <c r="Q244" s="385" t="s">
        <v>5</v>
      </c>
    </row>
    <row r="245" spans="1:17" x14ac:dyDescent="0.25">
      <c r="A245" s="376"/>
      <c r="B245" s="363"/>
      <c r="C245" s="207" t="s">
        <v>15</v>
      </c>
      <c r="D245" s="207" t="s">
        <v>16</v>
      </c>
      <c r="E245" s="207" t="s">
        <v>17</v>
      </c>
      <c r="F245" s="207" t="s">
        <v>6</v>
      </c>
      <c r="G245" s="207" t="s">
        <v>77</v>
      </c>
      <c r="H245" s="121" t="s">
        <v>78</v>
      </c>
      <c r="I245" s="384"/>
      <c r="J245" s="111" t="s">
        <v>79</v>
      </c>
      <c r="K245" s="207" t="s">
        <v>10</v>
      </c>
      <c r="L245" s="207" t="s">
        <v>11</v>
      </c>
      <c r="M245" s="207" t="s">
        <v>12</v>
      </c>
      <c r="N245" s="207" t="s">
        <v>80</v>
      </c>
      <c r="O245" s="121" t="s">
        <v>81</v>
      </c>
      <c r="P245" s="384"/>
      <c r="Q245" s="386"/>
    </row>
    <row r="246" spans="1:17" ht="15.75" thickBot="1" x14ac:dyDescent="0.3">
      <c r="A246" s="113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2">
        <v>8</v>
      </c>
      <c r="I246" s="124">
        <v>9</v>
      </c>
      <c r="J246" s="112">
        <v>10</v>
      </c>
      <c r="K246" s="5">
        <v>11</v>
      </c>
      <c r="L246" s="5">
        <v>12</v>
      </c>
      <c r="M246" s="5">
        <v>13</v>
      </c>
      <c r="N246" s="5">
        <v>14</v>
      </c>
      <c r="O246" s="122">
        <v>15</v>
      </c>
      <c r="P246" s="124">
        <v>16</v>
      </c>
      <c r="Q246" s="133">
        <v>17</v>
      </c>
    </row>
    <row r="247" spans="1:17" ht="15.75" thickTop="1" x14ac:dyDescent="0.25">
      <c r="A247" s="84">
        <v>1</v>
      </c>
      <c r="B247" s="7" t="s">
        <v>18</v>
      </c>
      <c r="C247" s="138">
        <v>2</v>
      </c>
      <c r="D247" s="138">
        <v>0</v>
      </c>
      <c r="E247" s="138">
        <v>0</v>
      </c>
      <c r="F247" s="138">
        <f>'ubi kayu'!C41</f>
        <v>0</v>
      </c>
      <c r="G247" s="138">
        <f>'ubi kayu'!D41</f>
        <v>0</v>
      </c>
      <c r="H247" s="138">
        <f>'ubi kayu'!E41</f>
        <v>0</v>
      </c>
      <c r="I247" s="126">
        <f>SUM(C247:H247)</f>
        <v>2</v>
      </c>
      <c r="J247" s="158">
        <f>'ubi kayu'!F41</f>
        <v>0</v>
      </c>
      <c r="K247" s="158">
        <f>'ubi kayu'!G41</f>
        <v>0</v>
      </c>
      <c r="L247" s="158">
        <f>'ubi kayu'!H41</f>
        <v>6</v>
      </c>
      <c r="M247" s="158">
        <f>'ubi kayu'!I41</f>
        <v>0</v>
      </c>
      <c r="N247" s="158">
        <f>'ubi kayu'!J41</f>
        <v>0</v>
      </c>
      <c r="O247" s="158">
        <f>'ubi kayu'!K41</f>
        <v>0</v>
      </c>
      <c r="P247" s="126">
        <f>SUM(J247:O247)</f>
        <v>6</v>
      </c>
      <c r="Q247" s="129">
        <f>SUM(I247,P247)</f>
        <v>8</v>
      </c>
    </row>
    <row r="248" spans="1:17" x14ac:dyDescent="0.25">
      <c r="A248" s="85">
        <v>2</v>
      </c>
      <c r="B248" s="12" t="s">
        <v>19</v>
      </c>
      <c r="C248" s="60">
        <v>0</v>
      </c>
      <c r="D248" s="60">
        <v>0</v>
      </c>
      <c r="E248" s="60">
        <v>0</v>
      </c>
      <c r="F248" s="60">
        <f>'ubi kayu'!C42</f>
        <v>1</v>
      </c>
      <c r="G248" s="60">
        <f>'ubi kayu'!D42</f>
        <v>0</v>
      </c>
      <c r="H248" s="157">
        <f>'ubi kayu'!E42</f>
        <v>0</v>
      </c>
      <c r="I248" s="127">
        <f t="shared" ref="I248:I254" si="93">SUM(C248:H248)</f>
        <v>1</v>
      </c>
      <c r="J248" s="262">
        <f>'ubi kayu'!F42</f>
        <v>1</v>
      </c>
      <c r="K248" s="134">
        <f>'ubi kayu'!G42</f>
        <v>0</v>
      </c>
      <c r="L248" s="134">
        <f>'ubi kayu'!H42</f>
        <v>0</v>
      </c>
      <c r="M248" s="134">
        <f>'ubi kayu'!I42</f>
        <v>0</v>
      </c>
      <c r="N248" s="134">
        <f>'ubi kayu'!J42</f>
        <v>1</v>
      </c>
      <c r="O248" s="159">
        <f>'ubi kayu'!K42</f>
        <v>0</v>
      </c>
      <c r="P248" s="127">
        <f t="shared" ref="P248:P253" si="94">SUM(J248:O248)</f>
        <v>2</v>
      </c>
      <c r="Q248" s="130">
        <f t="shared" ref="Q248:Q254" si="95">SUM(I248,P248)</f>
        <v>3</v>
      </c>
    </row>
    <row r="249" spans="1:17" x14ac:dyDescent="0.25">
      <c r="A249" s="85">
        <v>3</v>
      </c>
      <c r="B249" s="7" t="s">
        <v>20</v>
      </c>
      <c r="C249" s="60">
        <v>2</v>
      </c>
      <c r="D249" s="60">
        <v>0</v>
      </c>
      <c r="E249" s="60">
        <v>0</v>
      </c>
      <c r="F249" s="60">
        <f>'ubi kayu'!C43</f>
        <v>0</v>
      </c>
      <c r="G249" s="60">
        <f>'ubi kayu'!D43</f>
        <v>0</v>
      </c>
      <c r="H249" s="157">
        <f>'ubi kayu'!E43</f>
        <v>0</v>
      </c>
      <c r="I249" s="127">
        <f t="shared" si="93"/>
        <v>2</v>
      </c>
      <c r="J249" s="262">
        <f>'ubi kayu'!F43</f>
        <v>0</v>
      </c>
      <c r="K249" s="134">
        <f>'ubi kayu'!G43</f>
        <v>0</v>
      </c>
      <c r="L249" s="134">
        <f>'ubi kayu'!H43</f>
        <v>0</v>
      </c>
      <c r="M249" s="134">
        <f>'ubi kayu'!I43</f>
        <v>0</v>
      </c>
      <c r="N249" s="134">
        <f>'ubi kayu'!J43</f>
        <v>0</v>
      </c>
      <c r="O249" s="159">
        <f>'ubi kayu'!K43</f>
        <v>8</v>
      </c>
      <c r="P249" s="127">
        <f t="shared" si="94"/>
        <v>8</v>
      </c>
      <c r="Q249" s="130">
        <f t="shared" si="95"/>
        <v>10</v>
      </c>
    </row>
    <row r="250" spans="1:17" x14ac:dyDescent="0.25">
      <c r="A250" s="86">
        <v>4</v>
      </c>
      <c r="B250" s="15" t="s">
        <v>21</v>
      </c>
      <c r="C250" s="60">
        <v>0</v>
      </c>
      <c r="D250" s="60">
        <v>1</v>
      </c>
      <c r="E250" s="60">
        <v>2</v>
      </c>
      <c r="F250" s="60">
        <f>'ubi kayu'!C44</f>
        <v>0</v>
      </c>
      <c r="G250" s="60">
        <f>'ubi kayu'!D44</f>
        <v>0</v>
      </c>
      <c r="H250" s="157">
        <f>'ubi kayu'!E44</f>
        <v>4</v>
      </c>
      <c r="I250" s="127">
        <f t="shared" si="93"/>
        <v>7</v>
      </c>
      <c r="J250" s="262">
        <f>'ubi kayu'!F44</f>
        <v>0</v>
      </c>
      <c r="K250" s="134">
        <f>'ubi kayu'!G44</f>
        <v>0</v>
      </c>
      <c r="L250" s="134">
        <f>'ubi kayu'!H44</f>
        <v>0</v>
      </c>
      <c r="M250" s="134">
        <f>'ubi kayu'!I44</f>
        <v>0</v>
      </c>
      <c r="N250" s="134">
        <f>'ubi kayu'!J44</f>
        <v>0</v>
      </c>
      <c r="O250" s="159">
        <f>'ubi kayu'!K44</f>
        <v>0</v>
      </c>
      <c r="P250" s="127">
        <f t="shared" si="94"/>
        <v>0</v>
      </c>
      <c r="Q250" s="130">
        <f t="shared" si="95"/>
        <v>7</v>
      </c>
    </row>
    <row r="251" spans="1:17" x14ac:dyDescent="0.25">
      <c r="A251" s="86">
        <v>5</v>
      </c>
      <c r="B251" s="19" t="s">
        <v>22</v>
      </c>
      <c r="C251" s="60">
        <v>0</v>
      </c>
      <c r="D251" s="60">
        <v>0</v>
      </c>
      <c r="E251" s="60">
        <v>0</v>
      </c>
      <c r="F251" s="60">
        <f>'ubi kayu'!C45</f>
        <v>0</v>
      </c>
      <c r="G251" s="60">
        <f>'ubi kayu'!D45</f>
        <v>3</v>
      </c>
      <c r="H251" s="157">
        <f>'ubi kayu'!E45</f>
        <v>1</v>
      </c>
      <c r="I251" s="127">
        <f t="shared" si="93"/>
        <v>4</v>
      </c>
      <c r="J251" s="262">
        <f>'ubi kayu'!F45</f>
        <v>1</v>
      </c>
      <c r="K251" s="134">
        <f>'ubi kayu'!G45</f>
        <v>0</v>
      </c>
      <c r="L251" s="134">
        <f>'ubi kayu'!H45</f>
        <v>0</v>
      </c>
      <c r="M251" s="134">
        <f>'ubi kayu'!I45</f>
        <v>0</v>
      </c>
      <c r="N251" s="134">
        <f>'ubi kayu'!J45</f>
        <v>1</v>
      </c>
      <c r="O251" s="159">
        <f>'ubi kayu'!K45</f>
        <v>0</v>
      </c>
      <c r="P251" s="127">
        <f t="shared" si="94"/>
        <v>2</v>
      </c>
      <c r="Q251" s="130">
        <f t="shared" si="95"/>
        <v>6</v>
      </c>
    </row>
    <row r="252" spans="1:17" x14ac:dyDescent="0.25">
      <c r="A252" s="86">
        <v>6</v>
      </c>
      <c r="B252" s="19" t="s">
        <v>23</v>
      </c>
      <c r="C252" s="60">
        <v>0</v>
      </c>
      <c r="D252" s="60">
        <v>4</v>
      </c>
      <c r="E252" s="60">
        <v>0</v>
      </c>
      <c r="F252" s="60">
        <f>'ubi kayu'!C46</f>
        <v>0</v>
      </c>
      <c r="G252" s="60">
        <f>'ubi kayu'!D46</f>
        <v>0</v>
      </c>
      <c r="H252" s="157">
        <f>'ubi kayu'!E46</f>
        <v>0</v>
      </c>
      <c r="I252" s="127">
        <f t="shared" si="93"/>
        <v>4</v>
      </c>
      <c r="J252" s="262">
        <f>'ubi kayu'!F46</f>
        <v>0</v>
      </c>
      <c r="K252" s="134">
        <f>'ubi kayu'!G46</f>
        <v>0</v>
      </c>
      <c r="L252" s="134">
        <f>'ubi kayu'!H46</f>
        <v>2</v>
      </c>
      <c r="M252" s="134">
        <f>'ubi kayu'!I46</f>
        <v>1</v>
      </c>
      <c r="N252" s="134">
        <f>'ubi kayu'!J46</f>
        <v>1</v>
      </c>
      <c r="O252" s="159">
        <f>'ubi kayu'!K46</f>
        <v>0</v>
      </c>
      <c r="P252" s="127">
        <f t="shared" si="94"/>
        <v>4</v>
      </c>
      <c r="Q252" s="130">
        <f t="shared" si="95"/>
        <v>8</v>
      </c>
    </row>
    <row r="253" spans="1:17" x14ac:dyDescent="0.25">
      <c r="A253" s="86">
        <v>7</v>
      </c>
      <c r="B253" s="19" t="s">
        <v>24</v>
      </c>
      <c r="C253" s="60">
        <v>0</v>
      </c>
      <c r="D253" s="60">
        <v>0</v>
      </c>
      <c r="E253" s="60">
        <v>0</v>
      </c>
      <c r="F253" s="60">
        <f>'ubi kayu'!C47</f>
        <v>0</v>
      </c>
      <c r="G253" s="60">
        <f>'ubi kayu'!D47</f>
        <v>0</v>
      </c>
      <c r="H253" s="157">
        <f>'ubi kayu'!E47</f>
        <v>0</v>
      </c>
      <c r="I253" s="127">
        <f t="shared" si="93"/>
        <v>0</v>
      </c>
      <c r="J253" s="262">
        <f>'ubi kayu'!F47</f>
        <v>0</v>
      </c>
      <c r="K253" s="134">
        <f>'ubi kayu'!G47</f>
        <v>0</v>
      </c>
      <c r="L253" s="134">
        <f>'ubi kayu'!H47</f>
        <v>0</v>
      </c>
      <c r="M253" s="134">
        <f>'ubi kayu'!I47</f>
        <v>0</v>
      </c>
      <c r="N253" s="134">
        <f>'ubi kayu'!J47</f>
        <v>0</v>
      </c>
      <c r="O253" s="159">
        <f>'ubi kayu'!K47</f>
        <v>1</v>
      </c>
      <c r="P253" s="127">
        <f t="shared" si="94"/>
        <v>1</v>
      </c>
      <c r="Q253" s="130">
        <f t="shared" si="95"/>
        <v>1</v>
      </c>
    </row>
    <row r="254" spans="1:17" ht="15.75" thickBot="1" x14ac:dyDescent="0.3">
      <c r="A254" s="87">
        <v>8</v>
      </c>
      <c r="B254" s="15" t="s">
        <v>25</v>
      </c>
      <c r="C254" s="139">
        <v>0</v>
      </c>
      <c r="D254" s="139">
        <v>0</v>
      </c>
      <c r="E254" s="139">
        <v>2</v>
      </c>
      <c r="F254" s="139">
        <f>'ubi kayu'!C48</f>
        <v>1</v>
      </c>
      <c r="G254" s="139">
        <f>'ubi kayu'!D48</f>
        <v>0</v>
      </c>
      <c r="H254" s="139">
        <f>'ubi kayu'!E48</f>
        <v>0</v>
      </c>
      <c r="I254" s="128">
        <f t="shared" si="93"/>
        <v>3</v>
      </c>
      <c r="J254" s="273">
        <f>'ubi kayu'!F48</f>
        <v>1</v>
      </c>
      <c r="K254" s="273">
        <f>'ubi kayu'!G48</f>
        <v>0</v>
      </c>
      <c r="L254" s="273">
        <f>'ubi kayu'!H48</f>
        <v>0</v>
      </c>
      <c r="M254" s="273">
        <f>'ubi kayu'!I48</f>
        <v>4</v>
      </c>
      <c r="N254" s="273">
        <f>'ubi kayu'!J48</f>
        <v>0</v>
      </c>
      <c r="O254" s="273">
        <f>'ubi kayu'!K48</f>
        <v>0</v>
      </c>
      <c r="P254" s="128">
        <f>SUM(J254:O254)</f>
        <v>5</v>
      </c>
      <c r="Q254" s="131">
        <f t="shared" si="95"/>
        <v>8</v>
      </c>
    </row>
    <row r="255" spans="1:17" ht="16.5" thickTop="1" thickBot="1" x14ac:dyDescent="0.3">
      <c r="A255" s="378" t="s">
        <v>26</v>
      </c>
      <c r="B255" s="379"/>
      <c r="C255" s="114">
        <f t="shared" ref="C255:H255" si="96">SUM(C247:C254)</f>
        <v>4</v>
      </c>
      <c r="D255" s="114">
        <f t="shared" si="96"/>
        <v>5</v>
      </c>
      <c r="E255" s="114">
        <f t="shared" si="96"/>
        <v>4</v>
      </c>
      <c r="F255" s="114">
        <f t="shared" si="96"/>
        <v>2</v>
      </c>
      <c r="G255" s="114">
        <f t="shared" si="96"/>
        <v>3</v>
      </c>
      <c r="H255" s="123">
        <f t="shared" si="96"/>
        <v>5</v>
      </c>
      <c r="I255" s="125">
        <f>SUM(I247:I254)</f>
        <v>23</v>
      </c>
      <c r="J255" s="135">
        <f t="shared" ref="J255:O255" si="97">SUM(J247:J254)</f>
        <v>3</v>
      </c>
      <c r="K255" s="114">
        <f t="shared" si="97"/>
        <v>0</v>
      </c>
      <c r="L255" s="114">
        <f t="shared" si="97"/>
        <v>8</v>
      </c>
      <c r="M255" s="114">
        <f t="shared" si="97"/>
        <v>5</v>
      </c>
      <c r="N255" s="114">
        <f t="shared" si="97"/>
        <v>3</v>
      </c>
      <c r="O255" s="123">
        <f t="shared" si="97"/>
        <v>9</v>
      </c>
      <c r="P255" s="125">
        <f>SUM(P247:P254)</f>
        <v>28</v>
      </c>
      <c r="Q255" s="132">
        <f>SUM(Q247:Q254)</f>
        <v>51</v>
      </c>
    </row>
    <row r="257" spans="1:17" ht="15.75" x14ac:dyDescent="0.25">
      <c r="A257" s="380" t="s">
        <v>125</v>
      </c>
      <c r="B257" s="380"/>
      <c r="C257" s="380"/>
      <c r="D257" s="380"/>
      <c r="E257" s="380"/>
      <c r="F257" s="380"/>
      <c r="G257" s="380"/>
      <c r="H257" s="380"/>
      <c r="I257" s="380"/>
      <c r="J257" s="380"/>
      <c r="K257" s="380"/>
      <c r="L257" s="380"/>
      <c r="M257" s="380"/>
      <c r="N257" s="380"/>
      <c r="O257" s="380"/>
      <c r="P257" s="380"/>
      <c r="Q257" s="380"/>
    </row>
    <row r="258" spans="1:17" ht="15.75" x14ac:dyDescent="0.25">
      <c r="A258" s="380" t="s">
        <v>82</v>
      </c>
      <c r="B258" s="380"/>
      <c r="C258" s="380"/>
      <c r="D258" s="380"/>
      <c r="E258" s="380"/>
      <c r="F258" s="380"/>
      <c r="G258" s="380"/>
      <c r="H258" s="380"/>
      <c r="I258" s="380"/>
      <c r="J258" s="380"/>
      <c r="K258" s="380"/>
      <c r="L258" s="380"/>
      <c r="M258" s="380"/>
      <c r="N258" s="380"/>
      <c r="O258" s="380"/>
      <c r="P258" s="380"/>
      <c r="Q258" s="380"/>
    </row>
    <row r="259" spans="1:17" ht="15.75" thickBot="1" x14ac:dyDescent="0.3">
      <c r="Q259" s="76" t="s">
        <v>1</v>
      </c>
    </row>
    <row r="260" spans="1:17" x14ac:dyDescent="0.25">
      <c r="A260" s="375" t="s">
        <v>2</v>
      </c>
      <c r="B260" s="377" t="s">
        <v>3</v>
      </c>
      <c r="C260" s="381" t="s">
        <v>90</v>
      </c>
      <c r="D260" s="382"/>
      <c r="E260" s="382"/>
      <c r="F260" s="382"/>
      <c r="G260" s="382"/>
      <c r="H260" s="382"/>
      <c r="I260" s="383" t="s">
        <v>83</v>
      </c>
      <c r="J260" s="382">
        <v>2017</v>
      </c>
      <c r="K260" s="382"/>
      <c r="L260" s="382"/>
      <c r="M260" s="382"/>
      <c r="N260" s="382"/>
      <c r="O260" s="382"/>
      <c r="P260" s="383" t="s">
        <v>84</v>
      </c>
      <c r="Q260" s="385" t="s">
        <v>5</v>
      </c>
    </row>
    <row r="261" spans="1:17" x14ac:dyDescent="0.25">
      <c r="A261" s="376"/>
      <c r="B261" s="363"/>
      <c r="C261" s="207" t="s">
        <v>15</v>
      </c>
      <c r="D261" s="207" t="s">
        <v>16</v>
      </c>
      <c r="E261" s="207" t="s">
        <v>17</v>
      </c>
      <c r="F261" s="207" t="s">
        <v>6</v>
      </c>
      <c r="G261" s="207" t="s">
        <v>77</v>
      </c>
      <c r="H261" s="121" t="s">
        <v>78</v>
      </c>
      <c r="I261" s="384"/>
      <c r="J261" s="111" t="s">
        <v>79</v>
      </c>
      <c r="K261" s="207" t="s">
        <v>10</v>
      </c>
      <c r="L261" s="207" t="s">
        <v>11</v>
      </c>
      <c r="M261" s="207" t="s">
        <v>12</v>
      </c>
      <c r="N261" s="207" t="s">
        <v>80</v>
      </c>
      <c r="O261" s="121" t="s">
        <v>81</v>
      </c>
      <c r="P261" s="384"/>
      <c r="Q261" s="386"/>
    </row>
    <row r="262" spans="1:17" ht="15.75" thickBot="1" x14ac:dyDescent="0.3">
      <c r="A262" s="113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2">
        <v>8</v>
      </c>
      <c r="I262" s="124">
        <v>9</v>
      </c>
      <c r="J262" s="112">
        <v>10</v>
      </c>
      <c r="K262" s="5">
        <v>11</v>
      </c>
      <c r="L262" s="5">
        <v>12</v>
      </c>
      <c r="M262" s="5">
        <v>13</v>
      </c>
      <c r="N262" s="5">
        <v>14</v>
      </c>
      <c r="O262" s="122">
        <v>15</v>
      </c>
      <c r="P262" s="124">
        <v>16</v>
      </c>
      <c r="Q262" s="133">
        <v>17</v>
      </c>
    </row>
    <row r="263" spans="1:17" ht="15.75" thickTop="1" x14ac:dyDescent="0.25">
      <c r="A263" s="84">
        <v>1</v>
      </c>
      <c r="B263" s="7" t="s">
        <v>18</v>
      </c>
      <c r="C263" s="138">
        <v>0</v>
      </c>
      <c r="D263" s="138">
        <v>0</v>
      </c>
      <c r="E263" s="138">
        <v>0</v>
      </c>
      <c r="F263" s="138">
        <f>'ubi jalar'!C42</f>
        <v>1</v>
      </c>
      <c r="G263" s="138">
        <f>'ubi jalar'!D42</f>
        <v>0</v>
      </c>
      <c r="H263" s="138">
        <f>'ubi jalar'!E42</f>
        <v>2</v>
      </c>
      <c r="I263" s="126">
        <f>SUM(C263:H263)</f>
        <v>3</v>
      </c>
      <c r="J263" s="158">
        <f>'ubi jalar'!F42</f>
        <v>0</v>
      </c>
      <c r="K263" s="158">
        <f>'ubi jalar'!G42</f>
        <v>0</v>
      </c>
      <c r="L263" s="158">
        <f>'ubi jalar'!H42</f>
        <v>0</v>
      </c>
      <c r="M263" s="158">
        <f>'ubi jalar'!I42</f>
        <v>0</v>
      </c>
      <c r="N263" s="158">
        <f>'ubi jalar'!J42</f>
        <v>0</v>
      </c>
      <c r="O263" s="158">
        <f>'ubi jalar'!K42</f>
        <v>0</v>
      </c>
      <c r="P263" s="126">
        <f>SUM(J263:O263)</f>
        <v>0</v>
      </c>
      <c r="Q263" s="129">
        <f>SUM(I263,P263)</f>
        <v>3</v>
      </c>
    </row>
    <row r="264" spans="1:17" x14ac:dyDescent="0.25">
      <c r="A264" s="85">
        <v>2</v>
      </c>
      <c r="B264" s="12" t="s">
        <v>19</v>
      </c>
      <c r="C264" s="60">
        <v>1</v>
      </c>
      <c r="D264" s="60">
        <v>0</v>
      </c>
      <c r="E264" s="60">
        <v>0</v>
      </c>
      <c r="F264" s="60">
        <f>'ubi jalar'!C43</f>
        <v>1</v>
      </c>
      <c r="G264" s="60">
        <f>'ubi jalar'!D43</f>
        <v>0</v>
      </c>
      <c r="H264" s="157">
        <f>'ubi jalar'!E43</f>
        <v>0</v>
      </c>
      <c r="I264" s="127">
        <f t="shared" ref="I264:I270" si="98">SUM(C264:H264)</f>
        <v>2</v>
      </c>
      <c r="J264" s="262">
        <f>'ubi jalar'!F43</f>
        <v>0</v>
      </c>
      <c r="K264" s="134">
        <f>'ubi jalar'!G43</f>
        <v>0</v>
      </c>
      <c r="L264" s="134">
        <f>'ubi jalar'!H43</f>
        <v>0</v>
      </c>
      <c r="M264" s="134">
        <f>'ubi jalar'!I43</f>
        <v>0</v>
      </c>
      <c r="N264" s="134">
        <f>'ubi jalar'!J43</f>
        <v>1</v>
      </c>
      <c r="O264" s="159">
        <f>'ubi jalar'!K43</f>
        <v>0</v>
      </c>
      <c r="P264" s="127">
        <f t="shared" ref="P264:P269" si="99">SUM(J264:O264)</f>
        <v>1</v>
      </c>
      <c r="Q264" s="130">
        <f t="shared" ref="Q264:Q270" si="100">SUM(I264,P264)</f>
        <v>3</v>
      </c>
    </row>
    <row r="265" spans="1:17" x14ac:dyDescent="0.25">
      <c r="A265" s="85">
        <v>3</v>
      </c>
      <c r="B265" s="7" t="s">
        <v>20</v>
      </c>
      <c r="C265" s="60">
        <v>0</v>
      </c>
      <c r="D265" s="60">
        <v>0</v>
      </c>
      <c r="E265" s="60">
        <v>0</v>
      </c>
      <c r="F265" s="60">
        <f>'ubi jalar'!C44</f>
        <v>0</v>
      </c>
      <c r="G265" s="60">
        <f>'ubi jalar'!D44</f>
        <v>0</v>
      </c>
      <c r="H265" s="157">
        <f>'ubi jalar'!E44</f>
        <v>0</v>
      </c>
      <c r="I265" s="127">
        <f t="shared" si="98"/>
        <v>0</v>
      </c>
      <c r="J265" s="262">
        <f>'ubi jalar'!F44</f>
        <v>0</v>
      </c>
      <c r="K265" s="134">
        <f>'ubi jalar'!G44</f>
        <v>0</v>
      </c>
      <c r="L265" s="134">
        <f>'ubi jalar'!H44</f>
        <v>0</v>
      </c>
      <c r="M265" s="134">
        <f>'ubi jalar'!I44</f>
        <v>0</v>
      </c>
      <c r="N265" s="134">
        <f>'ubi jalar'!J44</f>
        <v>0</v>
      </c>
      <c r="O265" s="159">
        <f>'ubi jalar'!K44</f>
        <v>0</v>
      </c>
      <c r="P265" s="127">
        <f t="shared" si="99"/>
        <v>0</v>
      </c>
      <c r="Q265" s="130">
        <f t="shared" si="100"/>
        <v>0</v>
      </c>
    </row>
    <row r="266" spans="1:17" x14ac:dyDescent="0.25">
      <c r="A266" s="86">
        <v>4</v>
      </c>
      <c r="B266" s="15" t="s">
        <v>21</v>
      </c>
      <c r="C266" s="60">
        <v>2</v>
      </c>
      <c r="D266" s="60">
        <v>0</v>
      </c>
      <c r="E266" s="60">
        <v>2</v>
      </c>
      <c r="F266" s="60">
        <f>'ubi jalar'!C45</f>
        <v>0</v>
      </c>
      <c r="G266" s="60">
        <f>'ubi jalar'!D45</f>
        <v>0</v>
      </c>
      <c r="H266" s="157">
        <f>'ubi jalar'!E45</f>
        <v>3</v>
      </c>
      <c r="I266" s="127">
        <f t="shared" si="98"/>
        <v>7</v>
      </c>
      <c r="J266" s="262">
        <f>'ubi jalar'!F45</f>
        <v>0</v>
      </c>
      <c r="K266" s="134">
        <f>'ubi jalar'!G45</f>
        <v>0</v>
      </c>
      <c r="L266" s="134">
        <f>'ubi jalar'!H45</f>
        <v>0</v>
      </c>
      <c r="M266" s="134">
        <f>'ubi jalar'!I45</f>
        <v>0</v>
      </c>
      <c r="N266" s="134">
        <f>'ubi jalar'!J45</f>
        <v>0</v>
      </c>
      <c r="O266" s="159">
        <f>'ubi jalar'!K45</f>
        <v>0</v>
      </c>
      <c r="P266" s="127">
        <f t="shared" si="99"/>
        <v>0</v>
      </c>
      <c r="Q266" s="130">
        <f t="shared" si="100"/>
        <v>7</v>
      </c>
    </row>
    <row r="267" spans="1:17" x14ac:dyDescent="0.25">
      <c r="A267" s="86">
        <v>5</v>
      </c>
      <c r="B267" s="19" t="s">
        <v>22</v>
      </c>
      <c r="C267" s="60">
        <v>1</v>
      </c>
      <c r="D267" s="60">
        <v>0</v>
      </c>
      <c r="E267" s="60">
        <v>0</v>
      </c>
      <c r="F267" s="60">
        <f>'ubi jalar'!C46</f>
        <v>2</v>
      </c>
      <c r="G267" s="60">
        <f>'ubi jalar'!D46</f>
        <v>0</v>
      </c>
      <c r="H267" s="157">
        <f>'ubi jalar'!E46</f>
        <v>0</v>
      </c>
      <c r="I267" s="127">
        <f t="shared" si="98"/>
        <v>3</v>
      </c>
      <c r="J267" s="262">
        <f>'ubi jalar'!F46</f>
        <v>0</v>
      </c>
      <c r="K267" s="134">
        <f>'ubi jalar'!G46</f>
        <v>0</v>
      </c>
      <c r="L267" s="134">
        <f>'ubi jalar'!H46</f>
        <v>0</v>
      </c>
      <c r="M267" s="134">
        <f>'ubi jalar'!I46</f>
        <v>0</v>
      </c>
      <c r="N267" s="134">
        <f>'ubi jalar'!J46</f>
        <v>0</v>
      </c>
      <c r="O267" s="159">
        <f>'ubi jalar'!K46</f>
        <v>0</v>
      </c>
      <c r="P267" s="127">
        <f t="shared" si="99"/>
        <v>0</v>
      </c>
      <c r="Q267" s="130">
        <f t="shared" si="100"/>
        <v>3</v>
      </c>
    </row>
    <row r="268" spans="1:17" x14ac:dyDescent="0.25">
      <c r="A268" s="86">
        <v>6</v>
      </c>
      <c r="B268" s="19" t="s">
        <v>23</v>
      </c>
      <c r="C268" s="60">
        <v>0</v>
      </c>
      <c r="D268" s="60">
        <v>0</v>
      </c>
      <c r="E268" s="60">
        <v>0</v>
      </c>
      <c r="F268" s="60">
        <f>'ubi jalar'!C47</f>
        <v>0</v>
      </c>
      <c r="G268" s="60">
        <f>'ubi jalar'!D47</f>
        <v>0</v>
      </c>
      <c r="H268" s="157">
        <f>'ubi jalar'!E47</f>
        <v>0</v>
      </c>
      <c r="I268" s="127">
        <f t="shared" si="98"/>
        <v>0</v>
      </c>
      <c r="J268" s="262">
        <f>'ubi jalar'!F47</f>
        <v>0</v>
      </c>
      <c r="K268" s="134">
        <f>'ubi jalar'!G47</f>
        <v>0</v>
      </c>
      <c r="L268" s="134">
        <f>'ubi jalar'!H47</f>
        <v>1</v>
      </c>
      <c r="M268" s="134">
        <f>'ubi jalar'!I47</f>
        <v>0</v>
      </c>
      <c r="N268" s="134">
        <f>'ubi jalar'!J47</f>
        <v>0</v>
      </c>
      <c r="O268" s="159">
        <f>'ubi jalar'!K47</f>
        <v>0</v>
      </c>
      <c r="P268" s="127">
        <f t="shared" si="99"/>
        <v>1</v>
      </c>
      <c r="Q268" s="130">
        <f t="shared" si="100"/>
        <v>1</v>
      </c>
    </row>
    <row r="269" spans="1:17" x14ac:dyDescent="0.25">
      <c r="A269" s="86">
        <v>7</v>
      </c>
      <c r="B269" s="19" t="s">
        <v>24</v>
      </c>
      <c r="C269" s="60">
        <v>0</v>
      </c>
      <c r="D269" s="60">
        <v>0</v>
      </c>
      <c r="E269" s="60">
        <v>0</v>
      </c>
      <c r="F269" s="60">
        <f>'ubi jalar'!C48</f>
        <v>0</v>
      </c>
      <c r="G269" s="60">
        <f>'ubi jalar'!D48</f>
        <v>0</v>
      </c>
      <c r="H269" s="157">
        <f>'ubi jalar'!E48</f>
        <v>0</v>
      </c>
      <c r="I269" s="127">
        <f t="shared" si="98"/>
        <v>0</v>
      </c>
      <c r="J269" s="262">
        <f>'ubi jalar'!F48</f>
        <v>0</v>
      </c>
      <c r="K269" s="134">
        <f>'ubi jalar'!G48</f>
        <v>0</v>
      </c>
      <c r="L269" s="134">
        <f>'ubi jalar'!H48</f>
        <v>1</v>
      </c>
      <c r="M269" s="134">
        <f>'ubi jalar'!I48</f>
        <v>0</v>
      </c>
      <c r="N269" s="134">
        <f>'ubi jalar'!J48</f>
        <v>0</v>
      </c>
      <c r="O269" s="159">
        <f>'ubi jalar'!K48</f>
        <v>0</v>
      </c>
      <c r="P269" s="127">
        <f t="shared" si="99"/>
        <v>1</v>
      </c>
      <c r="Q269" s="130">
        <f t="shared" si="100"/>
        <v>1</v>
      </c>
    </row>
    <row r="270" spans="1:17" ht="15.75" thickBot="1" x14ac:dyDescent="0.3">
      <c r="A270" s="87">
        <v>8</v>
      </c>
      <c r="B270" s="15" t="s">
        <v>25</v>
      </c>
      <c r="C270" s="139">
        <v>1</v>
      </c>
      <c r="D270" s="139">
        <v>0</v>
      </c>
      <c r="E270" s="139">
        <v>0</v>
      </c>
      <c r="F270" s="139">
        <f>'ubi jalar'!C49</f>
        <v>0</v>
      </c>
      <c r="G270" s="139">
        <f>'ubi jalar'!D49</f>
        <v>0</v>
      </c>
      <c r="H270" s="139">
        <f>'ubi jalar'!E49</f>
        <v>0</v>
      </c>
      <c r="I270" s="128">
        <f t="shared" si="98"/>
        <v>1</v>
      </c>
      <c r="J270" s="273">
        <f>'ubi jalar'!F49</f>
        <v>1</v>
      </c>
      <c r="K270" s="273">
        <f>'ubi jalar'!G49</f>
        <v>0</v>
      </c>
      <c r="L270" s="273">
        <f>'ubi jalar'!H49</f>
        <v>0</v>
      </c>
      <c r="M270" s="273">
        <f>'ubi jalar'!I49</f>
        <v>1</v>
      </c>
      <c r="N270" s="273">
        <f>'ubi jalar'!J49</f>
        <v>0</v>
      </c>
      <c r="O270" s="273">
        <f>'ubi jalar'!K49</f>
        <v>0</v>
      </c>
      <c r="P270" s="128">
        <f>SUM(J270:O270)</f>
        <v>2</v>
      </c>
      <c r="Q270" s="131">
        <f t="shared" si="100"/>
        <v>3</v>
      </c>
    </row>
    <row r="271" spans="1:17" ht="16.5" thickTop="1" thickBot="1" x14ac:dyDescent="0.3">
      <c r="A271" s="378" t="s">
        <v>26</v>
      </c>
      <c r="B271" s="379"/>
      <c r="C271" s="114">
        <f t="shared" ref="C271:H271" si="101">SUM(C263:C270)</f>
        <v>5</v>
      </c>
      <c r="D271" s="114">
        <f t="shared" si="101"/>
        <v>0</v>
      </c>
      <c r="E271" s="114">
        <f t="shared" si="101"/>
        <v>2</v>
      </c>
      <c r="F271" s="114">
        <f t="shared" si="101"/>
        <v>4</v>
      </c>
      <c r="G271" s="114">
        <f t="shared" si="101"/>
        <v>0</v>
      </c>
      <c r="H271" s="123">
        <f t="shared" si="101"/>
        <v>5</v>
      </c>
      <c r="I271" s="125">
        <f>SUM(I263:I270)</f>
        <v>16</v>
      </c>
      <c r="J271" s="135">
        <f t="shared" ref="J271:O271" si="102">SUM(J263:J270)</f>
        <v>1</v>
      </c>
      <c r="K271" s="114">
        <f t="shared" si="102"/>
        <v>0</v>
      </c>
      <c r="L271" s="114">
        <f t="shared" si="102"/>
        <v>2</v>
      </c>
      <c r="M271" s="114">
        <f t="shared" si="102"/>
        <v>1</v>
      </c>
      <c r="N271" s="114">
        <f t="shared" si="102"/>
        <v>1</v>
      </c>
      <c r="O271" s="123">
        <f t="shared" si="102"/>
        <v>0</v>
      </c>
      <c r="P271" s="125">
        <f>SUM(P263:P270)</f>
        <v>5</v>
      </c>
      <c r="Q271" s="132">
        <f>SUM(Q263:Q270)</f>
        <v>21</v>
      </c>
    </row>
    <row r="273" spans="1:17" ht="15.75" x14ac:dyDescent="0.25">
      <c r="A273" s="380" t="s">
        <v>126</v>
      </c>
      <c r="B273" s="380"/>
      <c r="C273" s="380"/>
      <c r="D273" s="380"/>
      <c r="E273" s="380"/>
      <c r="F273" s="380"/>
      <c r="G273" s="380"/>
      <c r="H273" s="380"/>
      <c r="I273" s="380"/>
      <c r="J273" s="380"/>
      <c r="K273" s="380"/>
      <c r="L273" s="380"/>
      <c r="M273" s="380"/>
      <c r="N273" s="380"/>
      <c r="O273" s="380"/>
      <c r="P273" s="380"/>
      <c r="Q273" s="380"/>
    </row>
    <row r="274" spans="1:17" ht="15.75" x14ac:dyDescent="0.25">
      <c r="A274" s="380" t="s">
        <v>82</v>
      </c>
      <c r="B274" s="380"/>
      <c r="C274" s="380"/>
      <c r="D274" s="380"/>
      <c r="E274" s="380"/>
      <c r="F274" s="380"/>
      <c r="G274" s="380"/>
      <c r="H274" s="380"/>
      <c r="I274" s="380"/>
      <c r="J274" s="380"/>
      <c r="K274" s="380"/>
      <c r="L274" s="380"/>
      <c r="M274" s="380"/>
      <c r="N274" s="380"/>
      <c r="O274" s="380"/>
      <c r="P274" s="380"/>
      <c r="Q274" s="380"/>
    </row>
    <row r="275" spans="1:17" ht="15.75" thickBot="1" x14ac:dyDescent="0.3">
      <c r="Q275" s="76" t="s">
        <v>1</v>
      </c>
    </row>
    <row r="276" spans="1:17" x14ac:dyDescent="0.25">
      <c r="A276" s="375" t="s">
        <v>2</v>
      </c>
      <c r="B276" s="377" t="s">
        <v>3</v>
      </c>
      <c r="C276" s="381" t="s">
        <v>90</v>
      </c>
      <c r="D276" s="382"/>
      <c r="E276" s="382"/>
      <c r="F276" s="382"/>
      <c r="G276" s="382"/>
      <c r="H276" s="382"/>
      <c r="I276" s="383" t="s">
        <v>83</v>
      </c>
      <c r="J276" s="382">
        <v>2017</v>
      </c>
      <c r="K276" s="382"/>
      <c r="L276" s="382"/>
      <c r="M276" s="382"/>
      <c r="N276" s="382"/>
      <c r="O276" s="382"/>
      <c r="P276" s="383" t="s">
        <v>84</v>
      </c>
      <c r="Q276" s="385" t="s">
        <v>5</v>
      </c>
    </row>
    <row r="277" spans="1:17" x14ac:dyDescent="0.25">
      <c r="A277" s="376"/>
      <c r="B277" s="363"/>
      <c r="C277" s="207" t="s">
        <v>15</v>
      </c>
      <c r="D277" s="207" t="s">
        <v>16</v>
      </c>
      <c r="E277" s="207" t="s">
        <v>17</v>
      </c>
      <c r="F277" s="207" t="s">
        <v>6</v>
      </c>
      <c r="G277" s="207" t="s">
        <v>77</v>
      </c>
      <c r="H277" s="121" t="s">
        <v>78</v>
      </c>
      <c r="I277" s="384"/>
      <c r="J277" s="111" t="s">
        <v>79</v>
      </c>
      <c r="K277" s="207" t="s">
        <v>10</v>
      </c>
      <c r="L277" s="207" t="s">
        <v>11</v>
      </c>
      <c r="M277" s="207" t="s">
        <v>12</v>
      </c>
      <c r="N277" s="207" t="s">
        <v>80</v>
      </c>
      <c r="O277" s="121" t="s">
        <v>81</v>
      </c>
      <c r="P277" s="384"/>
      <c r="Q277" s="386"/>
    </row>
    <row r="278" spans="1:17" ht="15.75" thickBot="1" x14ac:dyDescent="0.3">
      <c r="A278" s="113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2">
        <v>8</v>
      </c>
      <c r="I278" s="124">
        <v>9</v>
      </c>
      <c r="J278" s="112">
        <v>10</v>
      </c>
      <c r="K278" s="5">
        <v>11</v>
      </c>
      <c r="L278" s="5">
        <v>12</v>
      </c>
      <c r="M278" s="5">
        <v>13</v>
      </c>
      <c r="N278" s="5">
        <v>14</v>
      </c>
      <c r="O278" s="122">
        <v>15</v>
      </c>
      <c r="P278" s="124">
        <v>16</v>
      </c>
      <c r="Q278" s="133">
        <v>17</v>
      </c>
    </row>
    <row r="279" spans="1:17" ht="15.75" thickTop="1" x14ac:dyDescent="0.25">
      <c r="A279" s="84">
        <v>1</v>
      </c>
      <c r="B279" s="7" t="s">
        <v>18</v>
      </c>
      <c r="C279" s="138">
        <v>0</v>
      </c>
      <c r="D279" s="138">
        <v>0</v>
      </c>
      <c r="E279" s="138"/>
      <c r="F279" s="138">
        <f>'kc ijo'!C42</f>
        <v>0</v>
      </c>
      <c r="G279" s="138">
        <f>'kc ijo'!D42</f>
        <v>2</v>
      </c>
      <c r="H279" s="138">
        <f>'kc ijo'!E42</f>
        <v>0</v>
      </c>
      <c r="I279" s="126">
        <f>SUM(C279:H279)</f>
        <v>2</v>
      </c>
      <c r="J279" s="158">
        <f>'kc ijo'!F42</f>
        <v>0</v>
      </c>
      <c r="K279" s="158">
        <f>'kc ijo'!G42</f>
        <v>0</v>
      </c>
      <c r="L279" s="158">
        <f>'kc ijo'!H42</f>
        <v>0</v>
      </c>
      <c r="M279" s="158">
        <f>'kc ijo'!I42</f>
        <v>0</v>
      </c>
      <c r="N279" s="158">
        <f>'kc ijo'!J42</f>
        <v>0</v>
      </c>
      <c r="O279" s="158">
        <f>'kc ijo'!K42</f>
        <v>0</v>
      </c>
      <c r="P279" s="126">
        <f>SUM(J279:O279)</f>
        <v>0</v>
      </c>
      <c r="Q279" s="129">
        <f>SUM(I279,P279)</f>
        <v>2</v>
      </c>
    </row>
    <row r="280" spans="1:17" x14ac:dyDescent="0.25">
      <c r="A280" s="85">
        <v>2</v>
      </c>
      <c r="B280" s="12" t="s">
        <v>19</v>
      </c>
      <c r="C280" s="60">
        <v>0</v>
      </c>
      <c r="D280" s="60">
        <v>0</v>
      </c>
      <c r="E280" s="60">
        <v>0</v>
      </c>
      <c r="F280" s="60">
        <f>'kc ijo'!C43</f>
        <v>0</v>
      </c>
      <c r="G280" s="60">
        <f>'kc ijo'!D43</f>
        <v>0</v>
      </c>
      <c r="H280" s="157">
        <f>'kc ijo'!E43</f>
        <v>0</v>
      </c>
      <c r="I280" s="127">
        <f t="shared" ref="I280:I286" si="103">SUM(C280:H280)</f>
        <v>0</v>
      </c>
      <c r="J280" s="262">
        <f>'kc ijo'!F43</f>
        <v>0</v>
      </c>
      <c r="K280" s="134">
        <f>'kc ijo'!G43</f>
        <v>0</v>
      </c>
      <c r="L280" s="134">
        <f>'kc ijo'!H43</f>
        <v>0</v>
      </c>
      <c r="M280" s="134">
        <f>'kc ijo'!I43</f>
        <v>0</v>
      </c>
      <c r="N280" s="134">
        <f>'kc ijo'!J43</f>
        <v>0</v>
      </c>
      <c r="O280" s="159">
        <f>'kc ijo'!K43</f>
        <v>0</v>
      </c>
      <c r="P280" s="127">
        <f t="shared" ref="P280:P285" si="104">SUM(J280:O280)</f>
        <v>0</v>
      </c>
      <c r="Q280" s="130">
        <f t="shared" ref="Q280:Q286" si="105">SUM(I280,P280)</f>
        <v>0</v>
      </c>
    </row>
    <row r="281" spans="1:17" x14ac:dyDescent="0.25">
      <c r="A281" s="85">
        <v>3</v>
      </c>
      <c r="B281" s="7" t="s">
        <v>20</v>
      </c>
      <c r="C281" s="60">
        <v>0</v>
      </c>
      <c r="D281" s="60">
        <v>0</v>
      </c>
      <c r="E281" s="60">
        <v>0</v>
      </c>
      <c r="F281" s="60">
        <f>'kc ijo'!C44</f>
        <v>0</v>
      </c>
      <c r="G281" s="60">
        <f>'kc ijo'!D44</f>
        <v>0</v>
      </c>
      <c r="H281" s="157">
        <f>'kc ijo'!E44</f>
        <v>0</v>
      </c>
      <c r="I281" s="127">
        <f t="shared" si="103"/>
        <v>0</v>
      </c>
      <c r="J281" s="262">
        <f>'kc ijo'!F44</f>
        <v>0</v>
      </c>
      <c r="K281" s="134">
        <f>'kc ijo'!G44</f>
        <v>0</v>
      </c>
      <c r="L281" s="134">
        <f>'kc ijo'!H44</f>
        <v>0</v>
      </c>
      <c r="M281" s="134">
        <f>'kc ijo'!I44</f>
        <v>0</v>
      </c>
      <c r="N281" s="134">
        <f>'kc ijo'!J44</f>
        <v>0</v>
      </c>
      <c r="O281" s="159">
        <f>'kc ijo'!K44</f>
        <v>0</v>
      </c>
      <c r="P281" s="127">
        <f t="shared" si="104"/>
        <v>0</v>
      </c>
      <c r="Q281" s="130">
        <f t="shared" si="105"/>
        <v>0</v>
      </c>
    </row>
    <row r="282" spans="1:17" x14ac:dyDescent="0.25">
      <c r="A282" s="86">
        <v>4</v>
      </c>
      <c r="B282" s="15" t="s">
        <v>21</v>
      </c>
      <c r="C282" s="60">
        <v>0</v>
      </c>
      <c r="D282" s="60">
        <v>0</v>
      </c>
      <c r="E282" s="60">
        <v>1</v>
      </c>
      <c r="F282" s="60">
        <f>'kc ijo'!C45</f>
        <v>0</v>
      </c>
      <c r="G282" s="60">
        <f>'kc ijo'!D45</f>
        <v>2</v>
      </c>
      <c r="H282" s="157">
        <f>'kc ijo'!E45</f>
        <v>0</v>
      </c>
      <c r="I282" s="127">
        <f t="shared" si="103"/>
        <v>3</v>
      </c>
      <c r="J282" s="262">
        <f>'kc ijo'!F45</f>
        <v>0</v>
      </c>
      <c r="K282" s="134">
        <f>'kc ijo'!G45</f>
        <v>0</v>
      </c>
      <c r="L282" s="134">
        <f>'kc ijo'!H45</f>
        <v>0</v>
      </c>
      <c r="M282" s="134">
        <f>'kc ijo'!I45</f>
        <v>9</v>
      </c>
      <c r="N282" s="134">
        <f>'kc ijo'!J45</f>
        <v>10</v>
      </c>
      <c r="O282" s="159">
        <f>'kc ijo'!K45</f>
        <v>0</v>
      </c>
      <c r="P282" s="127">
        <f t="shared" si="104"/>
        <v>19</v>
      </c>
      <c r="Q282" s="130">
        <f t="shared" si="105"/>
        <v>22</v>
      </c>
    </row>
    <row r="283" spans="1:17" x14ac:dyDescent="0.25">
      <c r="A283" s="86">
        <v>5</v>
      </c>
      <c r="B283" s="19" t="s">
        <v>22</v>
      </c>
      <c r="C283" s="60">
        <v>0</v>
      </c>
      <c r="D283" s="60">
        <v>0</v>
      </c>
      <c r="E283" s="60">
        <v>0</v>
      </c>
      <c r="F283" s="60">
        <f>'kc ijo'!C46</f>
        <v>0</v>
      </c>
      <c r="G283" s="60">
        <f>'kc ijo'!D46</f>
        <v>0</v>
      </c>
      <c r="H283" s="157">
        <f>'kc ijo'!E46</f>
        <v>0</v>
      </c>
      <c r="I283" s="127">
        <f t="shared" si="103"/>
        <v>0</v>
      </c>
      <c r="J283" s="262">
        <f>'kc ijo'!F46</f>
        <v>0</v>
      </c>
      <c r="K283" s="134">
        <f>'kc ijo'!G46</f>
        <v>0</v>
      </c>
      <c r="L283" s="134">
        <f>'kc ijo'!H46</f>
        <v>0</v>
      </c>
      <c r="M283" s="134">
        <f>'kc ijo'!I46</f>
        <v>2</v>
      </c>
      <c r="N283" s="134">
        <f>'kc ijo'!J46</f>
        <v>1</v>
      </c>
      <c r="O283" s="159">
        <f>'kc ijo'!K46</f>
        <v>0</v>
      </c>
      <c r="P283" s="127">
        <f t="shared" si="104"/>
        <v>3</v>
      </c>
      <c r="Q283" s="130">
        <f t="shared" si="105"/>
        <v>3</v>
      </c>
    </row>
    <row r="284" spans="1:17" x14ac:dyDescent="0.25">
      <c r="A284" s="86">
        <v>6</v>
      </c>
      <c r="B284" s="19" t="s">
        <v>23</v>
      </c>
      <c r="C284" s="60">
        <v>0</v>
      </c>
      <c r="D284" s="60">
        <v>0</v>
      </c>
      <c r="E284" s="60">
        <v>0</v>
      </c>
      <c r="F284" s="60">
        <f>'kc ijo'!C47</f>
        <v>0</v>
      </c>
      <c r="G284" s="60">
        <f>'kc ijo'!D47</f>
        <v>0</v>
      </c>
      <c r="H284" s="157">
        <f>'kc ijo'!E47</f>
        <v>0</v>
      </c>
      <c r="I284" s="127">
        <f t="shared" si="103"/>
        <v>0</v>
      </c>
      <c r="J284" s="262">
        <f>'kc ijo'!F47</f>
        <v>0</v>
      </c>
      <c r="K284" s="134">
        <f>'kc ijo'!G47</f>
        <v>0</v>
      </c>
      <c r="L284" s="134">
        <f>'kc ijo'!H47</f>
        <v>0</v>
      </c>
      <c r="M284" s="134">
        <f>'kc ijo'!I47</f>
        <v>0</v>
      </c>
      <c r="N284" s="134">
        <f>'kc ijo'!J47</f>
        <v>0</v>
      </c>
      <c r="O284" s="159">
        <f>'kc ijo'!K47</f>
        <v>0</v>
      </c>
      <c r="P284" s="127">
        <f t="shared" si="104"/>
        <v>0</v>
      </c>
      <c r="Q284" s="130">
        <f t="shared" si="105"/>
        <v>0</v>
      </c>
    </row>
    <row r="285" spans="1:17" x14ac:dyDescent="0.25">
      <c r="A285" s="86">
        <v>7</v>
      </c>
      <c r="B285" s="19" t="s">
        <v>24</v>
      </c>
      <c r="C285" s="60">
        <v>0</v>
      </c>
      <c r="D285" s="60">
        <v>0</v>
      </c>
      <c r="E285" s="60">
        <v>0</v>
      </c>
      <c r="F285" s="60">
        <f>'kc ijo'!C48</f>
        <v>0</v>
      </c>
      <c r="G285" s="60">
        <f>'kc ijo'!D48</f>
        <v>0</v>
      </c>
      <c r="H285" s="157">
        <f>'kc ijo'!E48</f>
        <v>0</v>
      </c>
      <c r="I285" s="127">
        <f t="shared" si="103"/>
        <v>0</v>
      </c>
      <c r="J285" s="262">
        <f>'kc ijo'!F48</f>
        <v>0</v>
      </c>
      <c r="K285" s="134">
        <f>'kc ijo'!G48</f>
        <v>1</v>
      </c>
      <c r="L285" s="134">
        <f>'kc ijo'!H48</f>
        <v>0</v>
      </c>
      <c r="M285" s="134">
        <f>'kc ijo'!I48</f>
        <v>0</v>
      </c>
      <c r="N285" s="134">
        <f>'kc ijo'!J48</f>
        <v>0</v>
      </c>
      <c r="O285" s="159">
        <f>'kc ijo'!K48</f>
        <v>0</v>
      </c>
      <c r="P285" s="127">
        <f t="shared" si="104"/>
        <v>1</v>
      </c>
      <c r="Q285" s="130">
        <f t="shared" si="105"/>
        <v>1</v>
      </c>
    </row>
    <row r="286" spans="1:17" ht="15.75" thickBot="1" x14ac:dyDescent="0.3">
      <c r="A286" s="87">
        <v>8</v>
      </c>
      <c r="B286" s="15" t="s">
        <v>25</v>
      </c>
      <c r="C286" s="139">
        <v>1</v>
      </c>
      <c r="D286" s="139">
        <v>0</v>
      </c>
      <c r="E286" s="139">
        <v>0</v>
      </c>
      <c r="F286" s="139">
        <f>'kc ijo'!C49</f>
        <v>0</v>
      </c>
      <c r="G286" s="139">
        <f>'kc ijo'!D49</f>
        <v>0</v>
      </c>
      <c r="H286" s="139">
        <f>'kc ijo'!E49</f>
        <v>0</v>
      </c>
      <c r="I286" s="128">
        <f t="shared" si="103"/>
        <v>1</v>
      </c>
      <c r="J286" s="273">
        <f>'kc ijo'!F49</f>
        <v>0</v>
      </c>
      <c r="K286" s="273">
        <f>'kc ijo'!G49</f>
        <v>0</v>
      </c>
      <c r="L286" s="273">
        <f>'kc ijo'!H49</f>
        <v>0</v>
      </c>
      <c r="M286" s="273">
        <f>'kc ijo'!I49</f>
        <v>0</v>
      </c>
      <c r="N286" s="273">
        <f>'kc ijo'!J49</f>
        <v>0</v>
      </c>
      <c r="O286" s="273">
        <f>'kc ijo'!K49</f>
        <v>0</v>
      </c>
      <c r="P286" s="128">
        <f>SUM(J286:O286)</f>
        <v>0</v>
      </c>
      <c r="Q286" s="131">
        <f t="shared" si="105"/>
        <v>1</v>
      </c>
    </row>
    <row r="287" spans="1:17" ht="16.5" thickTop="1" thickBot="1" x14ac:dyDescent="0.3">
      <c r="A287" s="378" t="s">
        <v>26</v>
      </c>
      <c r="B287" s="379"/>
      <c r="C287" s="114">
        <f t="shared" ref="C287:H287" si="106">SUM(C279:C286)</f>
        <v>1</v>
      </c>
      <c r="D287" s="114">
        <f t="shared" si="106"/>
        <v>0</v>
      </c>
      <c r="E287" s="114">
        <f t="shared" si="106"/>
        <v>1</v>
      </c>
      <c r="F287" s="114">
        <f t="shared" si="106"/>
        <v>0</v>
      </c>
      <c r="G287" s="114">
        <f t="shared" si="106"/>
        <v>4</v>
      </c>
      <c r="H287" s="123">
        <f t="shared" si="106"/>
        <v>0</v>
      </c>
      <c r="I287" s="125">
        <f>SUM(I279:I286)</f>
        <v>6</v>
      </c>
      <c r="J287" s="135">
        <f t="shared" ref="J287:O287" si="107">SUM(J279:J286)</f>
        <v>0</v>
      </c>
      <c r="K287" s="114">
        <f t="shared" si="107"/>
        <v>1</v>
      </c>
      <c r="L287" s="114">
        <f t="shared" si="107"/>
        <v>0</v>
      </c>
      <c r="M287" s="114">
        <f t="shared" si="107"/>
        <v>11</v>
      </c>
      <c r="N287" s="114">
        <f t="shared" si="107"/>
        <v>11</v>
      </c>
      <c r="O287" s="123">
        <f t="shared" si="107"/>
        <v>0</v>
      </c>
      <c r="P287" s="125">
        <f>SUM(P279:P286)</f>
        <v>23</v>
      </c>
      <c r="Q287" s="132">
        <f>SUM(Q279:Q286)</f>
        <v>29</v>
      </c>
    </row>
    <row r="289" spans="1:17" ht="15.75" x14ac:dyDescent="0.25">
      <c r="A289" s="380" t="s">
        <v>149</v>
      </c>
      <c r="B289" s="380"/>
      <c r="C289" s="380"/>
      <c r="D289" s="380"/>
      <c r="E289" s="380"/>
      <c r="F289" s="380"/>
      <c r="G289" s="380"/>
      <c r="H289" s="380"/>
      <c r="I289" s="380"/>
      <c r="J289" s="380"/>
      <c r="K289" s="380"/>
      <c r="L289" s="380"/>
      <c r="M289" s="380"/>
      <c r="N289" s="380"/>
      <c r="O289" s="380"/>
      <c r="P289" s="380"/>
      <c r="Q289" s="380"/>
    </row>
    <row r="290" spans="1:17" ht="15.75" x14ac:dyDescent="0.25">
      <c r="A290" s="380" t="s">
        <v>82</v>
      </c>
      <c r="B290" s="380"/>
      <c r="C290" s="380"/>
      <c r="D290" s="380"/>
      <c r="E290" s="380"/>
      <c r="F290" s="380"/>
      <c r="G290" s="380"/>
      <c r="H290" s="380"/>
      <c r="I290" s="380"/>
      <c r="J290" s="380"/>
      <c r="K290" s="380"/>
      <c r="L290" s="380"/>
      <c r="M290" s="380"/>
      <c r="N290" s="380"/>
      <c r="O290" s="380"/>
      <c r="P290" s="380"/>
      <c r="Q290" s="380"/>
    </row>
    <row r="291" spans="1:17" ht="15.75" thickBot="1" x14ac:dyDescent="0.3">
      <c r="Q291" s="76" t="s">
        <v>29</v>
      </c>
    </row>
    <row r="292" spans="1:17" x14ac:dyDescent="0.25">
      <c r="A292" s="375" t="s">
        <v>2</v>
      </c>
      <c r="B292" s="377" t="s">
        <v>3</v>
      </c>
      <c r="C292" s="381" t="s">
        <v>90</v>
      </c>
      <c r="D292" s="382"/>
      <c r="E292" s="382"/>
      <c r="F292" s="382"/>
      <c r="G292" s="382"/>
      <c r="H292" s="382"/>
      <c r="I292" s="383" t="s">
        <v>83</v>
      </c>
      <c r="J292" s="382">
        <v>2017</v>
      </c>
      <c r="K292" s="382"/>
      <c r="L292" s="382"/>
      <c r="M292" s="382"/>
      <c r="N292" s="382"/>
      <c r="O292" s="382"/>
      <c r="P292" s="383" t="s">
        <v>84</v>
      </c>
      <c r="Q292" s="385" t="s">
        <v>5</v>
      </c>
    </row>
    <row r="293" spans="1:17" x14ac:dyDescent="0.25">
      <c r="A293" s="376"/>
      <c r="B293" s="363"/>
      <c r="C293" s="264" t="s">
        <v>15</v>
      </c>
      <c r="D293" s="264" t="s">
        <v>16</v>
      </c>
      <c r="E293" s="264" t="s">
        <v>17</v>
      </c>
      <c r="F293" s="264" t="s">
        <v>6</v>
      </c>
      <c r="G293" s="264" t="s">
        <v>77</v>
      </c>
      <c r="H293" s="121" t="s">
        <v>78</v>
      </c>
      <c r="I293" s="384"/>
      <c r="J293" s="111" t="s">
        <v>79</v>
      </c>
      <c r="K293" s="264" t="s">
        <v>10</v>
      </c>
      <c r="L293" s="264" t="s">
        <v>11</v>
      </c>
      <c r="M293" s="264" t="s">
        <v>12</v>
      </c>
      <c r="N293" s="264" t="s">
        <v>80</v>
      </c>
      <c r="O293" s="121" t="s">
        <v>81</v>
      </c>
      <c r="P293" s="384"/>
      <c r="Q293" s="386"/>
    </row>
    <row r="294" spans="1:17" ht="15.75" thickBot="1" x14ac:dyDescent="0.3">
      <c r="A294" s="113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2">
        <v>8</v>
      </c>
      <c r="I294" s="124">
        <v>9</v>
      </c>
      <c r="J294" s="112">
        <v>10</v>
      </c>
      <c r="K294" s="5">
        <v>11</v>
      </c>
      <c r="L294" s="5">
        <v>12</v>
      </c>
      <c r="M294" s="5">
        <v>13</v>
      </c>
      <c r="N294" s="5">
        <v>14</v>
      </c>
      <c r="O294" s="122">
        <v>15</v>
      </c>
      <c r="P294" s="124">
        <v>16</v>
      </c>
      <c r="Q294" s="133">
        <v>17</v>
      </c>
    </row>
    <row r="295" spans="1:17" ht="15.75" thickTop="1" x14ac:dyDescent="0.25">
      <c r="A295" s="84">
        <v>1</v>
      </c>
      <c r="B295" s="7" t="s">
        <v>18</v>
      </c>
      <c r="C295" s="138">
        <v>0</v>
      </c>
      <c r="D295" s="138">
        <v>67</v>
      </c>
      <c r="E295" s="138">
        <v>0</v>
      </c>
      <c r="F295" s="158">
        <f>SUM(F311,F327)</f>
        <v>10</v>
      </c>
      <c r="G295" s="158">
        <f t="shared" ref="G295:H295" si="108">SUM(G311,G327)</f>
        <v>0</v>
      </c>
      <c r="H295" s="158">
        <f t="shared" si="108"/>
        <v>243</v>
      </c>
      <c r="I295" s="126">
        <f>SUM(C295:H295)</f>
        <v>320</v>
      </c>
      <c r="J295" s="158">
        <f>SUM(J311,J327)</f>
        <v>1027</v>
      </c>
      <c r="K295" s="158">
        <f t="shared" ref="K295:O295" si="109">SUM(K311,K327)</f>
        <v>256</v>
      </c>
      <c r="L295" s="158">
        <f t="shared" si="109"/>
        <v>0</v>
      </c>
      <c r="M295" s="158">
        <f t="shared" si="109"/>
        <v>0</v>
      </c>
      <c r="N295" s="158">
        <f t="shared" si="109"/>
        <v>172</v>
      </c>
      <c r="O295" s="158">
        <f t="shared" si="109"/>
        <v>153</v>
      </c>
      <c r="P295" s="126">
        <f>SUM(J295:O295)</f>
        <v>1608</v>
      </c>
      <c r="Q295" s="129">
        <f>SUM(I295,P295)</f>
        <v>1928</v>
      </c>
    </row>
    <row r="296" spans="1:17" x14ac:dyDescent="0.25">
      <c r="A296" s="85">
        <v>2</v>
      </c>
      <c r="B296" s="12" t="s">
        <v>19</v>
      </c>
      <c r="C296" s="60">
        <v>450</v>
      </c>
      <c r="D296" s="60">
        <v>6</v>
      </c>
      <c r="E296" s="60">
        <v>24</v>
      </c>
      <c r="F296" s="60">
        <f t="shared" ref="F296:H296" si="110">SUM(F312,F328)</f>
        <v>54</v>
      </c>
      <c r="G296" s="134">
        <f t="shared" si="110"/>
        <v>134</v>
      </c>
      <c r="H296" s="159">
        <f t="shared" si="110"/>
        <v>1176</v>
      </c>
      <c r="I296" s="127">
        <f t="shared" ref="I296:I302" si="111">SUM(C296:H296)</f>
        <v>1844</v>
      </c>
      <c r="J296" s="262">
        <f t="shared" ref="J296:O296" si="112">SUM(J312,J328)</f>
        <v>481</v>
      </c>
      <c r="K296" s="134">
        <f t="shared" si="112"/>
        <v>42</v>
      </c>
      <c r="L296" s="134">
        <f t="shared" si="112"/>
        <v>0</v>
      </c>
      <c r="M296" s="134">
        <f t="shared" si="112"/>
        <v>65</v>
      </c>
      <c r="N296" s="134">
        <f t="shared" si="112"/>
        <v>1038</v>
      </c>
      <c r="O296" s="159">
        <f t="shared" si="112"/>
        <v>56</v>
      </c>
      <c r="P296" s="127">
        <f t="shared" ref="P296:P301" si="113">SUM(J296:O296)</f>
        <v>1682</v>
      </c>
      <c r="Q296" s="130">
        <f t="shared" ref="Q296:Q302" si="114">SUM(I296,P296)</f>
        <v>3526</v>
      </c>
    </row>
    <row r="297" spans="1:17" x14ac:dyDescent="0.25">
      <c r="A297" s="85">
        <v>3</v>
      </c>
      <c r="B297" s="7" t="s">
        <v>20</v>
      </c>
      <c r="C297" s="60">
        <v>0</v>
      </c>
      <c r="D297" s="60">
        <v>0</v>
      </c>
      <c r="E297" s="60">
        <v>0</v>
      </c>
      <c r="F297" s="60">
        <f t="shared" ref="F297:H297" si="115">SUM(F313,F329)</f>
        <v>0</v>
      </c>
      <c r="G297" s="134">
        <f t="shared" si="115"/>
        <v>154</v>
      </c>
      <c r="H297" s="159">
        <f t="shared" si="115"/>
        <v>145</v>
      </c>
      <c r="I297" s="127">
        <f t="shared" si="111"/>
        <v>299</v>
      </c>
      <c r="J297" s="262">
        <f t="shared" ref="J297:O297" si="116">SUM(J313,J329)</f>
        <v>186</v>
      </c>
      <c r="K297" s="134">
        <f t="shared" si="116"/>
        <v>0</v>
      </c>
      <c r="L297" s="134">
        <f t="shared" si="116"/>
        <v>0</v>
      </c>
      <c r="M297" s="134">
        <f t="shared" si="116"/>
        <v>0</v>
      </c>
      <c r="N297" s="134">
        <f t="shared" si="116"/>
        <v>49</v>
      </c>
      <c r="O297" s="159">
        <f t="shared" si="116"/>
        <v>0</v>
      </c>
      <c r="P297" s="127">
        <f t="shared" si="113"/>
        <v>235</v>
      </c>
      <c r="Q297" s="130">
        <f t="shared" si="114"/>
        <v>534</v>
      </c>
    </row>
    <row r="298" spans="1:17" x14ac:dyDescent="0.25">
      <c r="A298" s="86">
        <v>4</v>
      </c>
      <c r="B298" s="15" t="s">
        <v>21</v>
      </c>
      <c r="C298" s="60">
        <v>0</v>
      </c>
      <c r="D298" s="60">
        <v>7</v>
      </c>
      <c r="E298" s="60">
        <v>43</v>
      </c>
      <c r="F298" s="60">
        <f t="shared" ref="F298:H298" si="117">SUM(F314,F330)</f>
        <v>44</v>
      </c>
      <c r="G298" s="134">
        <f t="shared" si="117"/>
        <v>0</v>
      </c>
      <c r="H298" s="159">
        <f t="shared" si="117"/>
        <v>56</v>
      </c>
      <c r="I298" s="127">
        <f t="shared" si="111"/>
        <v>150</v>
      </c>
      <c r="J298" s="262">
        <f t="shared" ref="J298:O298" si="118">SUM(J314,J330)</f>
        <v>1090</v>
      </c>
      <c r="K298" s="134">
        <f t="shared" si="118"/>
        <v>170</v>
      </c>
      <c r="L298" s="134">
        <f t="shared" si="118"/>
        <v>0</v>
      </c>
      <c r="M298" s="134">
        <f t="shared" si="118"/>
        <v>20</v>
      </c>
      <c r="N298" s="134">
        <f t="shared" si="118"/>
        <v>58</v>
      </c>
      <c r="O298" s="159">
        <f t="shared" si="118"/>
        <v>0</v>
      </c>
      <c r="P298" s="127">
        <f t="shared" si="113"/>
        <v>1338</v>
      </c>
      <c r="Q298" s="130">
        <f t="shared" si="114"/>
        <v>1488</v>
      </c>
    </row>
    <row r="299" spans="1:17" x14ac:dyDescent="0.25">
      <c r="A299" s="86">
        <v>5</v>
      </c>
      <c r="B299" s="19" t="s">
        <v>22</v>
      </c>
      <c r="C299" s="60">
        <v>0</v>
      </c>
      <c r="D299" s="60">
        <v>0</v>
      </c>
      <c r="E299" s="60">
        <v>68</v>
      </c>
      <c r="F299" s="60">
        <f t="shared" ref="F299:H299" si="119">SUM(F315,F331)</f>
        <v>0</v>
      </c>
      <c r="G299" s="134">
        <f t="shared" si="119"/>
        <v>29</v>
      </c>
      <c r="H299" s="159">
        <f t="shared" si="119"/>
        <v>62</v>
      </c>
      <c r="I299" s="127">
        <f t="shared" si="111"/>
        <v>159</v>
      </c>
      <c r="J299" s="262">
        <f t="shared" ref="J299:O299" si="120">SUM(J315,J331)</f>
        <v>1093</v>
      </c>
      <c r="K299" s="134">
        <f t="shared" si="120"/>
        <v>0</v>
      </c>
      <c r="L299" s="134">
        <f t="shared" si="120"/>
        <v>0</v>
      </c>
      <c r="M299" s="134">
        <f t="shared" si="120"/>
        <v>52</v>
      </c>
      <c r="N299" s="134">
        <f t="shared" si="120"/>
        <v>71</v>
      </c>
      <c r="O299" s="159">
        <f t="shared" si="120"/>
        <v>0</v>
      </c>
      <c r="P299" s="127">
        <f t="shared" si="113"/>
        <v>1216</v>
      </c>
      <c r="Q299" s="130">
        <f t="shared" si="114"/>
        <v>1375</v>
      </c>
    </row>
    <row r="300" spans="1:17" x14ac:dyDescent="0.25">
      <c r="A300" s="86">
        <v>6</v>
      </c>
      <c r="B300" s="19" t="s">
        <v>23</v>
      </c>
      <c r="C300" s="60">
        <v>36</v>
      </c>
      <c r="D300" s="60">
        <v>0</v>
      </c>
      <c r="E300" s="60">
        <v>0</v>
      </c>
      <c r="F300" s="60">
        <f t="shared" ref="F300:H300" si="121">SUM(F316,F332)</f>
        <v>53</v>
      </c>
      <c r="G300" s="134">
        <f t="shared" si="121"/>
        <v>268</v>
      </c>
      <c r="H300" s="159">
        <f t="shared" si="121"/>
        <v>0</v>
      </c>
      <c r="I300" s="127">
        <f t="shared" si="111"/>
        <v>357</v>
      </c>
      <c r="J300" s="262">
        <f t="shared" ref="J300:O300" si="122">SUM(J316,J332)</f>
        <v>0</v>
      </c>
      <c r="K300" s="134">
        <f t="shared" si="122"/>
        <v>5</v>
      </c>
      <c r="L300" s="134">
        <f t="shared" si="122"/>
        <v>100</v>
      </c>
      <c r="M300" s="134">
        <f t="shared" si="122"/>
        <v>76</v>
      </c>
      <c r="N300" s="134">
        <f t="shared" si="122"/>
        <v>186</v>
      </c>
      <c r="O300" s="159">
        <f t="shared" si="122"/>
        <v>0</v>
      </c>
      <c r="P300" s="127">
        <f t="shared" si="113"/>
        <v>367</v>
      </c>
      <c r="Q300" s="130">
        <f t="shared" si="114"/>
        <v>724</v>
      </c>
    </row>
    <row r="301" spans="1:17" x14ac:dyDescent="0.25">
      <c r="A301" s="86">
        <v>7</v>
      </c>
      <c r="B301" s="19" t="s">
        <v>24</v>
      </c>
      <c r="C301" s="60">
        <v>17</v>
      </c>
      <c r="D301" s="60">
        <v>0</v>
      </c>
      <c r="E301" s="60">
        <v>21</v>
      </c>
      <c r="F301" s="60">
        <f t="shared" ref="F301:H301" si="123">SUM(F317,F333)</f>
        <v>54</v>
      </c>
      <c r="G301" s="134">
        <f t="shared" si="123"/>
        <v>27</v>
      </c>
      <c r="H301" s="159">
        <f t="shared" si="123"/>
        <v>907</v>
      </c>
      <c r="I301" s="127">
        <f t="shared" si="111"/>
        <v>1026</v>
      </c>
      <c r="J301" s="262">
        <f t="shared" ref="J301:O301" si="124">SUM(J317,J333)</f>
        <v>869</v>
      </c>
      <c r="K301" s="134">
        <f t="shared" si="124"/>
        <v>8</v>
      </c>
      <c r="L301" s="134">
        <f t="shared" si="124"/>
        <v>58</v>
      </c>
      <c r="M301" s="134">
        <f t="shared" si="124"/>
        <v>57</v>
      </c>
      <c r="N301" s="134">
        <f t="shared" si="124"/>
        <v>990</v>
      </c>
      <c r="O301" s="159">
        <f t="shared" si="124"/>
        <v>274</v>
      </c>
      <c r="P301" s="127">
        <f t="shared" si="113"/>
        <v>2256</v>
      </c>
      <c r="Q301" s="130">
        <f t="shared" si="114"/>
        <v>3282</v>
      </c>
    </row>
    <row r="302" spans="1:17" ht="15.75" thickBot="1" x14ac:dyDescent="0.3">
      <c r="A302" s="87">
        <v>8</v>
      </c>
      <c r="B302" s="15" t="s">
        <v>25</v>
      </c>
      <c r="C302" s="139">
        <v>0</v>
      </c>
      <c r="D302" s="139">
        <v>306</v>
      </c>
      <c r="E302" s="139">
        <v>175</v>
      </c>
      <c r="F302" s="273">
        <f t="shared" ref="F302:H302" si="125">SUM(F318,F334)</f>
        <v>205</v>
      </c>
      <c r="G302" s="273">
        <f t="shared" si="125"/>
        <v>678</v>
      </c>
      <c r="H302" s="273">
        <f t="shared" si="125"/>
        <v>791</v>
      </c>
      <c r="I302" s="128">
        <f t="shared" si="111"/>
        <v>2155</v>
      </c>
      <c r="J302" s="273">
        <f t="shared" ref="J302:O302" si="126">SUM(J318,J334)</f>
        <v>0</v>
      </c>
      <c r="K302" s="273">
        <f t="shared" si="126"/>
        <v>354</v>
      </c>
      <c r="L302" s="273">
        <f t="shared" si="126"/>
        <v>147</v>
      </c>
      <c r="M302" s="273">
        <f t="shared" si="126"/>
        <v>647</v>
      </c>
      <c r="N302" s="273">
        <f t="shared" si="126"/>
        <v>80</v>
      </c>
      <c r="O302" s="273">
        <f t="shared" si="126"/>
        <v>138</v>
      </c>
      <c r="P302" s="128">
        <f>SUM(J302:O302)</f>
        <v>1366</v>
      </c>
      <c r="Q302" s="131">
        <f t="shared" si="114"/>
        <v>3521</v>
      </c>
    </row>
    <row r="303" spans="1:17" ht="16.5" thickTop="1" thickBot="1" x14ac:dyDescent="0.3">
      <c r="A303" s="378" t="s">
        <v>26</v>
      </c>
      <c r="B303" s="379"/>
      <c r="C303" s="114">
        <f t="shared" ref="C303:H303" si="127">SUM(C295:C302)</f>
        <v>503</v>
      </c>
      <c r="D303" s="114">
        <f t="shared" si="127"/>
        <v>386</v>
      </c>
      <c r="E303" s="114">
        <f t="shared" si="127"/>
        <v>331</v>
      </c>
      <c r="F303" s="114">
        <f t="shared" si="127"/>
        <v>420</v>
      </c>
      <c r="G303" s="114">
        <f t="shared" si="127"/>
        <v>1290</v>
      </c>
      <c r="H303" s="123">
        <f t="shared" si="127"/>
        <v>3380</v>
      </c>
      <c r="I303" s="125">
        <f>SUM(I295:I302)</f>
        <v>6310</v>
      </c>
      <c r="J303" s="135">
        <f t="shared" ref="J303:O303" si="128">SUM(J295:J302)</f>
        <v>4746</v>
      </c>
      <c r="K303" s="114">
        <f t="shared" si="128"/>
        <v>835</v>
      </c>
      <c r="L303" s="114">
        <f t="shared" si="128"/>
        <v>305</v>
      </c>
      <c r="M303" s="114">
        <f t="shared" si="128"/>
        <v>917</v>
      </c>
      <c r="N303" s="114">
        <f t="shared" si="128"/>
        <v>2644</v>
      </c>
      <c r="O303" s="123">
        <f t="shared" si="128"/>
        <v>621</v>
      </c>
      <c r="P303" s="125">
        <f>SUM(P295:P302)</f>
        <v>10068</v>
      </c>
      <c r="Q303" s="132">
        <f>SUM(Q295:Q302)</f>
        <v>16378</v>
      </c>
    </row>
    <row r="305" spans="1:17" ht="15.75" x14ac:dyDescent="0.25">
      <c r="A305" s="380" t="s">
        <v>127</v>
      </c>
      <c r="B305" s="380"/>
      <c r="C305" s="380"/>
      <c r="D305" s="380"/>
      <c r="E305" s="380"/>
      <c r="F305" s="380"/>
      <c r="G305" s="380"/>
      <c r="H305" s="380"/>
      <c r="I305" s="380"/>
      <c r="J305" s="380"/>
      <c r="K305" s="380"/>
      <c r="L305" s="380"/>
      <c r="M305" s="380"/>
      <c r="N305" s="380"/>
      <c r="O305" s="380"/>
      <c r="P305" s="380"/>
      <c r="Q305" s="380"/>
    </row>
    <row r="306" spans="1:17" ht="15.75" x14ac:dyDescent="0.25">
      <c r="A306" s="380" t="s">
        <v>82</v>
      </c>
      <c r="B306" s="380"/>
      <c r="C306" s="380"/>
      <c r="D306" s="380"/>
      <c r="E306" s="380"/>
      <c r="F306" s="380"/>
      <c r="G306" s="380"/>
      <c r="H306" s="380"/>
      <c r="I306" s="380"/>
      <c r="J306" s="380"/>
      <c r="K306" s="380"/>
      <c r="L306" s="380"/>
      <c r="M306" s="380"/>
      <c r="N306" s="380"/>
      <c r="O306" s="380"/>
      <c r="P306" s="380"/>
      <c r="Q306" s="380"/>
    </row>
    <row r="307" spans="1:17" ht="15.75" thickBot="1" x14ac:dyDescent="0.3">
      <c r="Q307" s="76" t="s">
        <v>29</v>
      </c>
    </row>
    <row r="308" spans="1:17" x14ac:dyDescent="0.25">
      <c r="A308" s="375" t="s">
        <v>2</v>
      </c>
      <c r="B308" s="377" t="s">
        <v>3</v>
      </c>
      <c r="C308" s="381" t="s">
        <v>90</v>
      </c>
      <c r="D308" s="382"/>
      <c r="E308" s="382"/>
      <c r="F308" s="382"/>
      <c r="G308" s="382"/>
      <c r="H308" s="382"/>
      <c r="I308" s="383" t="s">
        <v>83</v>
      </c>
      <c r="J308" s="382">
        <v>2017</v>
      </c>
      <c r="K308" s="382"/>
      <c r="L308" s="382"/>
      <c r="M308" s="382"/>
      <c r="N308" s="382"/>
      <c r="O308" s="382"/>
      <c r="P308" s="383" t="s">
        <v>84</v>
      </c>
      <c r="Q308" s="385" t="s">
        <v>5</v>
      </c>
    </row>
    <row r="309" spans="1:17" x14ac:dyDescent="0.25">
      <c r="A309" s="376"/>
      <c r="B309" s="363"/>
      <c r="C309" s="207" t="s">
        <v>15</v>
      </c>
      <c r="D309" s="207" t="s">
        <v>16</v>
      </c>
      <c r="E309" s="207" t="s">
        <v>17</v>
      </c>
      <c r="F309" s="207" t="s">
        <v>6</v>
      </c>
      <c r="G309" s="207" t="s">
        <v>77</v>
      </c>
      <c r="H309" s="121" t="s">
        <v>78</v>
      </c>
      <c r="I309" s="384"/>
      <c r="J309" s="111" t="s">
        <v>79</v>
      </c>
      <c r="K309" s="207" t="s">
        <v>10</v>
      </c>
      <c r="L309" s="207" t="s">
        <v>11</v>
      </c>
      <c r="M309" s="207" t="s">
        <v>12</v>
      </c>
      <c r="N309" s="207" t="s">
        <v>80</v>
      </c>
      <c r="O309" s="121" t="s">
        <v>81</v>
      </c>
      <c r="P309" s="384"/>
      <c r="Q309" s="386"/>
    </row>
    <row r="310" spans="1:17" ht="15.75" thickBot="1" x14ac:dyDescent="0.3">
      <c r="A310" s="113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2">
        <v>8</v>
      </c>
      <c r="I310" s="124">
        <v>9</v>
      </c>
      <c r="J310" s="112">
        <v>10</v>
      </c>
      <c r="K310" s="5">
        <v>11</v>
      </c>
      <c r="L310" s="5">
        <v>12</v>
      </c>
      <c r="M310" s="5">
        <v>13</v>
      </c>
      <c r="N310" s="5">
        <v>14</v>
      </c>
      <c r="O310" s="122">
        <v>15</v>
      </c>
      <c r="P310" s="124">
        <v>16</v>
      </c>
      <c r="Q310" s="133">
        <v>17</v>
      </c>
    </row>
    <row r="311" spans="1:17" ht="15.75" thickTop="1" x14ac:dyDescent="0.25">
      <c r="A311" s="84">
        <v>1</v>
      </c>
      <c r="B311" s="7" t="s">
        <v>18</v>
      </c>
      <c r="C311" s="138">
        <v>0</v>
      </c>
      <c r="D311" s="138">
        <v>67</v>
      </c>
      <c r="E311" s="138">
        <v>0</v>
      </c>
      <c r="F311" s="138">
        <f>'padi sawah'!C75</f>
        <v>10</v>
      </c>
      <c r="G311" s="138">
        <f>'padi sawah'!D75</f>
        <v>0</v>
      </c>
      <c r="H311" s="138">
        <f>'padi sawah'!E75</f>
        <v>243</v>
      </c>
      <c r="I311" s="126">
        <f>SUM(C311:H311)</f>
        <v>320</v>
      </c>
      <c r="J311" s="158">
        <f>'padi sawah'!F75</f>
        <v>1027</v>
      </c>
      <c r="K311" s="158">
        <f>'padi sawah'!G75</f>
        <v>256</v>
      </c>
      <c r="L311" s="158">
        <f>'padi sawah'!H75</f>
        <v>0</v>
      </c>
      <c r="M311" s="158">
        <f>'padi sawah'!I75</f>
        <v>0</v>
      </c>
      <c r="N311" s="158">
        <f>'padi sawah'!J75</f>
        <v>172</v>
      </c>
      <c r="O311" s="158">
        <f>'padi sawah'!K75</f>
        <v>153</v>
      </c>
      <c r="P311" s="126">
        <f>SUM(J311:O311)</f>
        <v>1608</v>
      </c>
      <c r="Q311" s="129">
        <f>SUM(I311,P311)</f>
        <v>1928</v>
      </c>
    </row>
    <row r="312" spans="1:17" x14ac:dyDescent="0.25">
      <c r="A312" s="85">
        <v>2</v>
      </c>
      <c r="B312" s="12" t="s">
        <v>19</v>
      </c>
      <c r="C312" s="60">
        <v>450</v>
      </c>
      <c r="D312" s="60">
        <v>6</v>
      </c>
      <c r="E312" s="60">
        <v>24</v>
      </c>
      <c r="F312" s="60">
        <f>'padi sawah'!C76</f>
        <v>54</v>
      </c>
      <c r="G312" s="60">
        <f>'padi sawah'!D76</f>
        <v>134</v>
      </c>
      <c r="H312" s="157">
        <f>'padi sawah'!E76</f>
        <v>1176</v>
      </c>
      <c r="I312" s="127">
        <f t="shared" ref="I312:I318" si="129">SUM(C312:H312)</f>
        <v>1844</v>
      </c>
      <c r="J312" s="262">
        <f>'padi sawah'!F76</f>
        <v>481</v>
      </c>
      <c r="K312" s="134">
        <f>'padi sawah'!G76</f>
        <v>42</v>
      </c>
      <c r="L312" s="134">
        <f>'padi sawah'!H76</f>
        <v>0</v>
      </c>
      <c r="M312" s="134">
        <f>'padi sawah'!I76</f>
        <v>65</v>
      </c>
      <c r="N312" s="134">
        <f>'padi sawah'!J76</f>
        <v>1038</v>
      </c>
      <c r="O312" s="159">
        <f>'padi sawah'!K76</f>
        <v>56</v>
      </c>
      <c r="P312" s="127">
        <f t="shared" ref="P312:P317" si="130">SUM(J312:O312)</f>
        <v>1682</v>
      </c>
      <c r="Q312" s="130">
        <f t="shared" ref="Q312:Q318" si="131">SUM(I312,P312)</f>
        <v>3526</v>
      </c>
    </row>
    <row r="313" spans="1:17" x14ac:dyDescent="0.25">
      <c r="A313" s="85">
        <v>3</v>
      </c>
      <c r="B313" s="7" t="s">
        <v>20</v>
      </c>
      <c r="C313" s="60">
        <v>0</v>
      </c>
      <c r="D313" s="60">
        <v>0</v>
      </c>
      <c r="E313" s="60">
        <v>0</v>
      </c>
      <c r="F313" s="60">
        <f>'padi sawah'!C77</f>
        <v>0</v>
      </c>
      <c r="G313" s="60">
        <f>'padi sawah'!D77</f>
        <v>31</v>
      </c>
      <c r="H313" s="157">
        <f>'padi sawah'!E77</f>
        <v>29</v>
      </c>
      <c r="I313" s="127">
        <f t="shared" si="129"/>
        <v>60</v>
      </c>
      <c r="J313" s="262">
        <f>'padi sawah'!F77</f>
        <v>114</v>
      </c>
      <c r="K313" s="134">
        <f>'padi sawah'!G77</f>
        <v>0</v>
      </c>
      <c r="L313" s="134">
        <f>'padi sawah'!H77</f>
        <v>0</v>
      </c>
      <c r="M313" s="134">
        <f>'padi sawah'!I77</f>
        <v>0</v>
      </c>
      <c r="N313" s="134">
        <f>'padi sawah'!J77</f>
        <v>49</v>
      </c>
      <c r="O313" s="159">
        <f>'padi sawah'!K77</f>
        <v>0</v>
      </c>
      <c r="P313" s="127">
        <f t="shared" si="130"/>
        <v>163</v>
      </c>
      <c r="Q313" s="130">
        <f t="shared" si="131"/>
        <v>223</v>
      </c>
    </row>
    <row r="314" spans="1:17" x14ac:dyDescent="0.25">
      <c r="A314" s="86">
        <v>4</v>
      </c>
      <c r="B314" s="15" t="s">
        <v>21</v>
      </c>
      <c r="C314" s="60">
        <v>0</v>
      </c>
      <c r="D314" s="60">
        <v>7</v>
      </c>
      <c r="E314" s="60">
        <v>43</v>
      </c>
      <c r="F314" s="60">
        <f>'padi sawah'!C78</f>
        <v>44</v>
      </c>
      <c r="G314" s="60">
        <f>'padi sawah'!D78</f>
        <v>0</v>
      </c>
      <c r="H314" s="157">
        <f>'padi sawah'!E78</f>
        <v>56</v>
      </c>
      <c r="I314" s="127">
        <f t="shared" si="129"/>
        <v>150</v>
      </c>
      <c r="J314" s="262">
        <f>'padi sawah'!F78</f>
        <v>1090</v>
      </c>
      <c r="K314" s="134">
        <f>'padi sawah'!G78</f>
        <v>170</v>
      </c>
      <c r="L314" s="134">
        <f>'padi sawah'!H78</f>
        <v>0</v>
      </c>
      <c r="M314" s="134">
        <f>'padi sawah'!I78</f>
        <v>20</v>
      </c>
      <c r="N314" s="134">
        <f>'padi sawah'!J78</f>
        <v>58</v>
      </c>
      <c r="O314" s="159">
        <f>'padi sawah'!K78</f>
        <v>0</v>
      </c>
      <c r="P314" s="127">
        <f t="shared" si="130"/>
        <v>1338</v>
      </c>
      <c r="Q314" s="130">
        <f t="shared" si="131"/>
        <v>1488</v>
      </c>
    </row>
    <row r="315" spans="1:17" x14ac:dyDescent="0.25">
      <c r="A315" s="86">
        <v>5</v>
      </c>
      <c r="B315" s="19" t="s">
        <v>22</v>
      </c>
      <c r="C315" s="60">
        <v>0</v>
      </c>
      <c r="D315" s="60">
        <v>0</v>
      </c>
      <c r="E315" s="60">
        <v>68</v>
      </c>
      <c r="F315" s="60">
        <f>'padi sawah'!C79</f>
        <v>0</v>
      </c>
      <c r="G315" s="60">
        <f>'padi sawah'!D79</f>
        <v>29</v>
      </c>
      <c r="H315" s="157">
        <f>'padi sawah'!E79</f>
        <v>62</v>
      </c>
      <c r="I315" s="127">
        <f t="shared" si="129"/>
        <v>159</v>
      </c>
      <c r="J315" s="262">
        <f>'padi sawah'!F79</f>
        <v>1093</v>
      </c>
      <c r="K315" s="134">
        <f>'padi sawah'!G79</f>
        <v>0</v>
      </c>
      <c r="L315" s="134">
        <f>'padi sawah'!H79</f>
        <v>0</v>
      </c>
      <c r="M315" s="134">
        <f>'padi sawah'!I79</f>
        <v>52</v>
      </c>
      <c r="N315" s="134">
        <f>'padi sawah'!J79</f>
        <v>71</v>
      </c>
      <c r="O315" s="159">
        <f>'padi sawah'!K79</f>
        <v>0</v>
      </c>
      <c r="P315" s="127">
        <f t="shared" si="130"/>
        <v>1216</v>
      </c>
      <c r="Q315" s="130">
        <f t="shared" si="131"/>
        <v>1375</v>
      </c>
    </row>
    <row r="316" spans="1:17" x14ac:dyDescent="0.25">
      <c r="A316" s="86">
        <v>6</v>
      </c>
      <c r="B316" s="19" t="s">
        <v>23</v>
      </c>
      <c r="C316" s="60">
        <v>36</v>
      </c>
      <c r="D316" s="60">
        <v>0</v>
      </c>
      <c r="E316" s="60">
        <v>0</v>
      </c>
      <c r="F316" s="60">
        <f>'padi sawah'!C80</f>
        <v>53</v>
      </c>
      <c r="G316" s="60">
        <f>'padi sawah'!D80</f>
        <v>268</v>
      </c>
      <c r="H316" s="157">
        <f>'padi sawah'!E80</f>
        <v>0</v>
      </c>
      <c r="I316" s="127">
        <f t="shared" si="129"/>
        <v>357</v>
      </c>
      <c r="J316" s="262">
        <f>'padi sawah'!F80</f>
        <v>0</v>
      </c>
      <c r="K316" s="134">
        <f>'padi sawah'!G80</f>
        <v>5</v>
      </c>
      <c r="L316" s="134">
        <f>'padi sawah'!H80</f>
        <v>100</v>
      </c>
      <c r="M316" s="134">
        <f>'padi sawah'!I80</f>
        <v>76</v>
      </c>
      <c r="N316" s="134">
        <f>'padi sawah'!J80</f>
        <v>186</v>
      </c>
      <c r="O316" s="159">
        <f>'padi sawah'!K80</f>
        <v>0</v>
      </c>
      <c r="P316" s="127">
        <f t="shared" si="130"/>
        <v>367</v>
      </c>
      <c r="Q316" s="130">
        <f t="shared" si="131"/>
        <v>724</v>
      </c>
    </row>
    <row r="317" spans="1:17" x14ac:dyDescent="0.25">
      <c r="A317" s="86">
        <v>7</v>
      </c>
      <c r="B317" s="19" t="s">
        <v>24</v>
      </c>
      <c r="C317" s="60">
        <v>17</v>
      </c>
      <c r="D317" s="60">
        <v>0</v>
      </c>
      <c r="E317" s="60">
        <v>21</v>
      </c>
      <c r="F317" s="60">
        <f>'padi sawah'!C81</f>
        <v>54</v>
      </c>
      <c r="G317" s="60">
        <f>'padi sawah'!D81</f>
        <v>27</v>
      </c>
      <c r="H317" s="157">
        <f>'padi sawah'!E81</f>
        <v>907</v>
      </c>
      <c r="I317" s="127">
        <f t="shared" si="129"/>
        <v>1026</v>
      </c>
      <c r="J317" s="262">
        <f>'padi sawah'!F81</f>
        <v>869</v>
      </c>
      <c r="K317" s="134">
        <f>'padi sawah'!G81</f>
        <v>8</v>
      </c>
      <c r="L317" s="134">
        <f>'padi sawah'!H81</f>
        <v>58</v>
      </c>
      <c r="M317" s="134">
        <f>'padi sawah'!I81</f>
        <v>57</v>
      </c>
      <c r="N317" s="134">
        <f>'padi sawah'!J81</f>
        <v>990</v>
      </c>
      <c r="O317" s="159">
        <f>'padi sawah'!K81</f>
        <v>274</v>
      </c>
      <c r="P317" s="127">
        <f t="shared" si="130"/>
        <v>2256</v>
      </c>
      <c r="Q317" s="130">
        <f t="shared" si="131"/>
        <v>3282</v>
      </c>
    </row>
    <row r="318" spans="1:17" ht="15.75" thickBot="1" x14ac:dyDescent="0.3">
      <c r="A318" s="87">
        <v>8</v>
      </c>
      <c r="B318" s="15" t="s">
        <v>25</v>
      </c>
      <c r="C318" s="139">
        <v>0</v>
      </c>
      <c r="D318" s="139">
        <v>306</v>
      </c>
      <c r="E318" s="139">
        <v>175</v>
      </c>
      <c r="F318" s="139">
        <f>'padi sawah'!C82</f>
        <v>205</v>
      </c>
      <c r="G318" s="139">
        <f>'padi sawah'!D82</f>
        <v>678</v>
      </c>
      <c r="H318" s="139">
        <f>'padi sawah'!E82</f>
        <v>791</v>
      </c>
      <c r="I318" s="128">
        <f t="shared" si="129"/>
        <v>2155</v>
      </c>
      <c r="J318" s="273">
        <f>'padi sawah'!F82</f>
        <v>0</v>
      </c>
      <c r="K318" s="273">
        <f>'padi sawah'!G82</f>
        <v>354</v>
      </c>
      <c r="L318" s="273">
        <f>'padi sawah'!H82</f>
        <v>147</v>
      </c>
      <c r="M318" s="273">
        <f>'padi sawah'!I82</f>
        <v>647</v>
      </c>
      <c r="N318" s="273">
        <f>'padi sawah'!J82</f>
        <v>80</v>
      </c>
      <c r="O318" s="273">
        <f>'padi sawah'!K82</f>
        <v>138</v>
      </c>
      <c r="P318" s="128">
        <f>SUM(J318:O318)</f>
        <v>1366</v>
      </c>
      <c r="Q318" s="131">
        <f t="shared" si="131"/>
        <v>3521</v>
      </c>
    </row>
    <row r="319" spans="1:17" ht="16.5" thickTop="1" thickBot="1" x14ac:dyDescent="0.3">
      <c r="A319" s="378" t="s">
        <v>26</v>
      </c>
      <c r="B319" s="379"/>
      <c r="C319" s="114">
        <f t="shared" ref="C319:H319" si="132">SUM(C311:C318)</f>
        <v>503</v>
      </c>
      <c r="D319" s="114">
        <f t="shared" si="132"/>
        <v>386</v>
      </c>
      <c r="E319" s="114">
        <f t="shared" si="132"/>
        <v>331</v>
      </c>
      <c r="F319" s="114">
        <f t="shared" si="132"/>
        <v>420</v>
      </c>
      <c r="G319" s="114">
        <f t="shared" si="132"/>
        <v>1167</v>
      </c>
      <c r="H319" s="123">
        <f t="shared" si="132"/>
        <v>3264</v>
      </c>
      <c r="I319" s="125">
        <f>SUM(I311:I318)</f>
        <v>6071</v>
      </c>
      <c r="J319" s="135">
        <f t="shared" ref="J319:O319" si="133">SUM(J311:J318)</f>
        <v>4674</v>
      </c>
      <c r="K319" s="114">
        <f t="shared" si="133"/>
        <v>835</v>
      </c>
      <c r="L319" s="114">
        <f t="shared" si="133"/>
        <v>305</v>
      </c>
      <c r="M319" s="114">
        <f t="shared" si="133"/>
        <v>917</v>
      </c>
      <c r="N319" s="114">
        <f t="shared" si="133"/>
        <v>2644</v>
      </c>
      <c r="O319" s="123">
        <f t="shared" si="133"/>
        <v>621</v>
      </c>
      <c r="P319" s="125">
        <f>SUM(P311:P318)</f>
        <v>9996</v>
      </c>
      <c r="Q319" s="132">
        <f>SUM(Q311:Q318)</f>
        <v>16067</v>
      </c>
    </row>
    <row r="321" spans="1:17" ht="15.75" x14ac:dyDescent="0.25">
      <c r="A321" s="380" t="s">
        <v>128</v>
      </c>
      <c r="B321" s="380"/>
      <c r="C321" s="380"/>
      <c r="D321" s="380"/>
      <c r="E321" s="380"/>
      <c r="F321" s="380"/>
      <c r="G321" s="380"/>
      <c r="H321" s="380"/>
      <c r="I321" s="380"/>
      <c r="J321" s="380"/>
      <c r="K321" s="380"/>
      <c r="L321" s="380"/>
      <c r="M321" s="380"/>
      <c r="N321" s="380"/>
      <c r="O321" s="380"/>
      <c r="P321" s="380"/>
      <c r="Q321" s="380"/>
    </row>
    <row r="322" spans="1:17" ht="15.75" x14ac:dyDescent="0.25">
      <c r="A322" s="380" t="s">
        <v>82</v>
      </c>
      <c r="B322" s="380"/>
      <c r="C322" s="380"/>
      <c r="D322" s="380"/>
      <c r="E322" s="380"/>
      <c r="F322" s="380"/>
      <c r="G322" s="380"/>
      <c r="H322" s="380"/>
      <c r="I322" s="380"/>
      <c r="J322" s="380"/>
      <c r="K322" s="380"/>
      <c r="L322" s="380"/>
      <c r="M322" s="380"/>
      <c r="N322" s="380"/>
      <c r="O322" s="380"/>
      <c r="P322" s="380"/>
      <c r="Q322" s="380"/>
    </row>
    <row r="323" spans="1:17" ht="15.75" thickBot="1" x14ac:dyDescent="0.3">
      <c r="Q323" s="76" t="s">
        <v>29</v>
      </c>
    </row>
    <row r="324" spans="1:17" x14ac:dyDescent="0.25">
      <c r="A324" s="375" t="s">
        <v>2</v>
      </c>
      <c r="B324" s="377" t="s">
        <v>3</v>
      </c>
      <c r="C324" s="381" t="s">
        <v>90</v>
      </c>
      <c r="D324" s="382"/>
      <c r="E324" s="382"/>
      <c r="F324" s="382"/>
      <c r="G324" s="382"/>
      <c r="H324" s="382"/>
      <c r="I324" s="383" t="s">
        <v>83</v>
      </c>
      <c r="J324" s="382">
        <v>2017</v>
      </c>
      <c r="K324" s="382"/>
      <c r="L324" s="382"/>
      <c r="M324" s="382"/>
      <c r="N324" s="382"/>
      <c r="O324" s="382"/>
      <c r="P324" s="383" t="s">
        <v>84</v>
      </c>
      <c r="Q324" s="385" t="s">
        <v>5</v>
      </c>
    </row>
    <row r="325" spans="1:17" x14ac:dyDescent="0.25">
      <c r="A325" s="376"/>
      <c r="B325" s="363"/>
      <c r="C325" s="207" t="s">
        <v>15</v>
      </c>
      <c r="D325" s="207" t="s">
        <v>16</v>
      </c>
      <c r="E325" s="207" t="s">
        <v>17</v>
      </c>
      <c r="F325" s="207" t="s">
        <v>6</v>
      </c>
      <c r="G325" s="207" t="s">
        <v>77</v>
      </c>
      <c r="H325" s="121" t="s">
        <v>78</v>
      </c>
      <c r="I325" s="384"/>
      <c r="J325" s="111" t="s">
        <v>79</v>
      </c>
      <c r="K325" s="207" t="s">
        <v>10</v>
      </c>
      <c r="L325" s="207" t="s">
        <v>11</v>
      </c>
      <c r="M325" s="207" t="s">
        <v>12</v>
      </c>
      <c r="N325" s="207" t="s">
        <v>80</v>
      </c>
      <c r="O325" s="121" t="s">
        <v>81</v>
      </c>
      <c r="P325" s="384"/>
      <c r="Q325" s="386"/>
    </row>
    <row r="326" spans="1:17" ht="15.75" thickBot="1" x14ac:dyDescent="0.3">
      <c r="A326" s="113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2">
        <v>8</v>
      </c>
      <c r="I326" s="124">
        <v>9</v>
      </c>
      <c r="J326" s="112">
        <v>10</v>
      </c>
      <c r="K326" s="5">
        <v>11</v>
      </c>
      <c r="L326" s="5">
        <v>12</v>
      </c>
      <c r="M326" s="5">
        <v>13</v>
      </c>
      <c r="N326" s="5">
        <v>14</v>
      </c>
      <c r="O326" s="122">
        <v>15</v>
      </c>
      <c r="P326" s="124">
        <v>16</v>
      </c>
      <c r="Q326" s="133">
        <v>17</v>
      </c>
    </row>
    <row r="327" spans="1:17" ht="15.75" thickTop="1" x14ac:dyDescent="0.25">
      <c r="A327" s="84">
        <v>1</v>
      </c>
      <c r="B327" s="7" t="s">
        <v>18</v>
      </c>
      <c r="C327" s="138">
        <v>0</v>
      </c>
      <c r="D327" s="138">
        <v>0</v>
      </c>
      <c r="E327" s="138">
        <v>0</v>
      </c>
      <c r="F327" s="138">
        <f>'padi ladang'!C75</f>
        <v>0</v>
      </c>
      <c r="G327" s="138">
        <f>'padi ladang'!D75</f>
        <v>0</v>
      </c>
      <c r="H327" s="138">
        <f>'padi ladang'!E75</f>
        <v>0</v>
      </c>
      <c r="I327" s="126">
        <f>SUM(C327:H327)</f>
        <v>0</v>
      </c>
      <c r="J327" s="158">
        <f>'padi ladang'!F75</f>
        <v>0</v>
      </c>
      <c r="K327" s="158">
        <f>'padi ladang'!G75</f>
        <v>0</v>
      </c>
      <c r="L327" s="158">
        <f>'padi ladang'!H75</f>
        <v>0</v>
      </c>
      <c r="M327" s="158">
        <f>'padi ladang'!I75</f>
        <v>0</v>
      </c>
      <c r="N327" s="158">
        <f>'padi ladang'!J75</f>
        <v>0</v>
      </c>
      <c r="O327" s="158">
        <f>'padi ladang'!K75</f>
        <v>0</v>
      </c>
      <c r="P327" s="126">
        <f>SUM(J327:O327)</f>
        <v>0</v>
      </c>
      <c r="Q327" s="129">
        <f>SUM(I327,P327)</f>
        <v>0</v>
      </c>
    </row>
    <row r="328" spans="1:17" x14ac:dyDescent="0.25">
      <c r="A328" s="85">
        <v>2</v>
      </c>
      <c r="B328" s="12" t="s">
        <v>19</v>
      </c>
      <c r="C328" s="60">
        <v>0</v>
      </c>
      <c r="D328" s="60">
        <v>0</v>
      </c>
      <c r="E328" s="60">
        <v>0</v>
      </c>
      <c r="F328" s="60">
        <f>'padi ladang'!C76</f>
        <v>0</v>
      </c>
      <c r="G328" s="60">
        <f>'padi ladang'!D76</f>
        <v>0</v>
      </c>
      <c r="H328" s="157">
        <f>'padi ladang'!E76</f>
        <v>0</v>
      </c>
      <c r="I328" s="127">
        <f t="shared" ref="I328:I334" si="134">SUM(C328:H328)</f>
        <v>0</v>
      </c>
      <c r="J328" s="262">
        <f>'padi ladang'!F76</f>
        <v>0</v>
      </c>
      <c r="K328" s="134">
        <f>'padi ladang'!G76</f>
        <v>0</v>
      </c>
      <c r="L328" s="134">
        <f>'padi ladang'!H76</f>
        <v>0</v>
      </c>
      <c r="M328" s="134">
        <f>'padi ladang'!I76</f>
        <v>0</v>
      </c>
      <c r="N328" s="134">
        <f>'padi ladang'!J76</f>
        <v>0</v>
      </c>
      <c r="O328" s="159">
        <f>'padi ladang'!K76</f>
        <v>0</v>
      </c>
      <c r="P328" s="127">
        <f t="shared" ref="P328:P333" si="135">SUM(J328:O328)</f>
        <v>0</v>
      </c>
      <c r="Q328" s="130">
        <f t="shared" ref="Q328:Q334" si="136">SUM(I328,P328)</f>
        <v>0</v>
      </c>
    </row>
    <row r="329" spans="1:17" x14ac:dyDescent="0.25">
      <c r="A329" s="85">
        <v>3</v>
      </c>
      <c r="B329" s="7" t="s">
        <v>20</v>
      </c>
      <c r="C329" s="60">
        <v>0</v>
      </c>
      <c r="D329" s="60">
        <v>0</v>
      </c>
      <c r="E329" s="60">
        <v>0</v>
      </c>
      <c r="F329" s="60">
        <f>'padi ladang'!C77</f>
        <v>0</v>
      </c>
      <c r="G329" s="60">
        <f>'padi ladang'!D77</f>
        <v>123</v>
      </c>
      <c r="H329" s="157">
        <f>'padi ladang'!E77</f>
        <v>116</v>
      </c>
      <c r="I329" s="127">
        <f t="shared" si="134"/>
        <v>239</v>
      </c>
      <c r="J329" s="262">
        <f>'padi ladang'!F77</f>
        <v>72</v>
      </c>
      <c r="K329" s="134">
        <f>'padi ladang'!G77</f>
        <v>0</v>
      </c>
      <c r="L329" s="134">
        <f>'padi ladang'!H77</f>
        <v>0</v>
      </c>
      <c r="M329" s="134">
        <f>'padi ladang'!I77</f>
        <v>0</v>
      </c>
      <c r="N329" s="134">
        <f>'padi ladang'!J77</f>
        <v>0</v>
      </c>
      <c r="O329" s="159">
        <f>'padi ladang'!K77</f>
        <v>0</v>
      </c>
      <c r="P329" s="127">
        <f t="shared" si="135"/>
        <v>72</v>
      </c>
      <c r="Q329" s="130">
        <f t="shared" si="136"/>
        <v>311</v>
      </c>
    </row>
    <row r="330" spans="1:17" x14ac:dyDescent="0.25">
      <c r="A330" s="86">
        <v>4</v>
      </c>
      <c r="B330" s="15" t="s">
        <v>21</v>
      </c>
      <c r="C330" s="60">
        <v>0</v>
      </c>
      <c r="D330" s="60">
        <v>0</v>
      </c>
      <c r="E330" s="60">
        <v>0</v>
      </c>
      <c r="F330" s="60">
        <f>'padi ladang'!C78</f>
        <v>0</v>
      </c>
      <c r="G330" s="60">
        <f>'padi ladang'!D78</f>
        <v>0</v>
      </c>
      <c r="H330" s="157">
        <f>'padi ladang'!E78</f>
        <v>0</v>
      </c>
      <c r="I330" s="127">
        <f t="shared" si="134"/>
        <v>0</v>
      </c>
      <c r="J330" s="262">
        <f>'padi ladang'!F78</f>
        <v>0</v>
      </c>
      <c r="K330" s="134">
        <f>'padi ladang'!G78</f>
        <v>0</v>
      </c>
      <c r="L330" s="134">
        <f>'padi ladang'!H78</f>
        <v>0</v>
      </c>
      <c r="M330" s="134">
        <f>'padi ladang'!I78</f>
        <v>0</v>
      </c>
      <c r="N330" s="134">
        <f>'padi ladang'!J78</f>
        <v>0</v>
      </c>
      <c r="O330" s="159">
        <f>'padi ladang'!K78</f>
        <v>0</v>
      </c>
      <c r="P330" s="127">
        <f t="shared" si="135"/>
        <v>0</v>
      </c>
      <c r="Q330" s="130">
        <f t="shared" si="136"/>
        <v>0</v>
      </c>
    </row>
    <row r="331" spans="1:17" x14ac:dyDescent="0.25">
      <c r="A331" s="86">
        <v>5</v>
      </c>
      <c r="B331" s="19" t="s">
        <v>22</v>
      </c>
      <c r="C331" s="60">
        <v>0</v>
      </c>
      <c r="D331" s="60">
        <v>0</v>
      </c>
      <c r="E331" s="60">
        <v>0</v>
      </c>
      <c r="F331" s="60">
        <f>'padi ladang'!C79</f>
        <v>0</v>
      </c>
      <c r="G331" s="60">
        <f>'padi ladang'!D79</f>
        <v>0</v>
      </c>
      <c r="H331" s="157">
        <f>'padi ladang'!E79</f>
        <v>0</v>
      </c>
      <c r="I331" s="127">
        <f t="shared" si="134"/>
        <v>0</v>
      </c>
      <c r="J331" s="262">
        <f>'padi ladang'!F79</f>
        <v>0</v>
      </c>
      <c r="K331" s="134">
        <f>'padi ladang'!G79</f>
        <v>0</v>
      </c>
      <c r="L331" s="134">
        <f>'padi ladang'!H79</f>
        <v>0</v>
      </c>
      <c r="M331" s="134">
        <f>'padi ladang'!I79</f>
        <v>0</v>
      </c>
      <c r="N331" s="134">
        <f>'padi ladang'!J79</f>
        <v>0</v>
      </c>
      <c r="O331" s="159">
        <f>'padi ladang'!K79</f>
        <v>0</v>
      </c>
      <c r="P331" s="127">
        <f t="shared" si="135"/>
        <v>0</v>
      </c>
      <c r="Q331" s="130">
        <f t="shared" si="136"/>
        <v>0</v>
      </c>
    </row>
    <row r="332" spans="1:17" x14ac:dyDescent="0.25">
      <c r="A332" s="86">
        <v>6</v>
      </c>
      <c r="B332" s="19" t="s">
        <v>23</v>
      </c>
      <c r="C332" s="60">
        <v>0</v>
      </c>
      <c r="D332" s="60">
        <v>0</v>
      </c>
      <c r="E332" s="60">
        <v>0</v>
      </c>
      <c r="F332" s="60">
        <f>'padi ladang'!C80</f>
        <v>0</v>
      </c>
      <c r="G332" s="60">
        <f>'padi ladang'!D80</f>
        <v>0</v>
      </c>
      <c r="H332" s="157">
        <f>'padi ladang'!E80</f>
        <v>0</v>
      </c>
      <c r="I332" s="127">
        <f t="shared" si="134"/>
        <v>0</v>
      </c>
      <c r="J332" s="262">
        <f>'padi ladang'!F80</f>
        <v>0</v>
      </c>
      <c r="K332" s="134">
        <f>'padi ladang'!G80</f>
        <v>0</v>
      </c>
      <c r="L332" s="134">
        <f>'padi ladang'!H80</f>
        <v>0</v>
      </c>
      <c r="M332" s="134">
        <f>'padi ladang'!I80</f>
        <v>0</v>
      </c>
      <c r="N332" s="134">
        <f>'padi ladang'!J80</f>
        <v>0</v>
      </c>
      <c r="O332" s="159">
        <f>'padi ladang'!K80</f>
        <v>0</v>
      </c>
      <c r="P332" s="127">
        <f t="shared" si="135"/>
        <v>0</v>
      </c>
      <c r="Q332" s="130">
        <f t="shared" si="136"/>
        <v>0</v>
      </c>
    </row>
    <row r="333" spans="1:17" x14ac:dyDescent="0.25">
      <c r="A333" s="86">
        <v>7</v>
      </c>
      <c r="B333" s="19" t="s">
        <v>24</v>
      </c>
      <c r="C333" s="60">
        <v>0</v>
      </c>
      <c r="D333" s="60">
        <v>0</v>
      </c>
      <c r="E333" s="60">
        <v>0</v>
      </c>
      <c r="F333" s="60">
        <f>'padi ladang'!C81</f>
        <v>0</v>
      </c>
      <c r="G333" s="60">
        <f>'padi ladang'!D81</f>
        <v>0</v>
      </c>
      <c r="H333" s="157">
        <f>'padi ladang'!E81</f>
        <v>0</v>
      </c>
      <c r="I333" s="127">
        <f t="shared" si="134"/>
        <v>0</v>
      </c>
      <c r="J333" s="262">
        <f>'padi ladang'!F81</f>
        <v>0</v>
      </c>
      <c r="K333" s="134">
        <f>'padi ladang'!G81</f>
        <v>0</v>
      </c>
      <c r="L333" s="134">
        <f>'padi ladang'!H81</f>
        <v>0</v>
      </c>
      <c r="M333" s="134">
        <f>'padi ladang'!I81</f>
        <v>0</v>
      </c>
      <c r="N333" s="134">
        <f>'padi ladang'!J81</f>
        <v>0</v>
      </c>
      <c r="O333" s="159">
        <f>'padi ladang'!K81</f>
        <v>0</v>
      </c>
      <c r="P333" s="127">
        <f t="shared" si="135"/>
        <v>0</v>
      </c>
      <c r="Q333" s="130">
        <f t="shared" si="136"/>
        <v>0</v>
      </c>
    </row>
    <row r="334" spans="1:17" ht="15.75" thickBot="1" x14ac:dyDescent="0.3">
      <c r="A334" s="87">
        <v>8</v>
      </c>
      <c r="B334" s="15" t="s">
        <v>25</v>
      </c>
      <c r="C334" s="139">
        <v>0</v>
      </c>
      <c r="D334" s="139">
        <v>0</v>
      </c>
      <c r="E334" s="139">
        <v>0</v>
      </c>
      <c r="F334" s="139">
        <f>'padi ladang'!C82</f>
        <v>0</v>
      </c>
      <c r="G334" s="139">
        <f>'padi ladang'!D82</f>
        <v>0</v>
      </c>
      <c r="H334" s="139">
        <f>'padi ladang'!E82</f>
        <v>0</v>
      </c>
      <c r="I334" s="128">
        <f t="shared" si="134"/>
        <v>0</v>
      </c>
      <c r="J334" s="273">
        <f>'padi ladang'!F82</f>
        <v>0</v>
      </c>
      <c r="K334" s="273">
        <f>'padi ladang'!G82</f>
        <v>0</v>
      </c>
      <c r="L334" s="273">
        <f>'padi ladang'!H82</f>
        <v>0</v>
      </c>
      <c r="M334" s="273">
        <f>'padi ladang'!I82</f>
        <v>0</v>
      </c>
      <c r="N334" s="273">
        <f>'padi ladang'!J82</f>
        <v>0</v>
      </c>
      <c r="O334" s="273">
        <f>'padi ladang'!K82</f>
        <v>0</v>
      </c>
      <c r="P334" s="128">
        <f>SUM(J334:O334)</f>
        <v>0</v>
      </c>
      <c r="Q334" s="131">
        <f t="shared" si="136"/>
        <v>0</v>
      </c>
    </row>
    <row r="335" spans="1:17" ht="16.5" thickTop="1" thickBot="1" x14ac:dyDescent="0.3">
      <c r="A335" s="378" t="s">
        <v>26</v>
      </c>
      <c r="B335" s="379"/>
      <c r="C335" s="114">
        <f t="shared" ref="C335:H335" si="137">SUM(C327:C334)</f>
        <v>0</v>
      </c>
      <c r="D335" s="114">
        <f t="shared" si="137"/>
        <v>0</v>
      </c>
      <c r="E335" s="114">
        <f t="shared" si="137"/>
        <v>0</v>
      </c>
      <c r="F335" s="114">
        <f t="shared" si="137"/>
        <v>0</v>
      </c>
      <c r="G335" s="114">
        <f t="shared" si="137"/>
        <v>123</v>
      </c>
      <c r="H335" s="123">
        <f t="shared" si="137"/>
        <v>116</v>
      </c>
      <c r="I335" s="125">
        <f>SUM(I327:I334)</f>
        <v>239</v>
      </c>
      <c r="J335" s="135">
        <f t="shared" ref="J335:O335" si="138">SUM(J327:J334)</f>
        <v>72</v>
      </c>
      <c r="K335" s="114">
        <f t="shared" si="138"/>
        <v>0</v>
      </c>
      <c r="L335" s="114">
        <f t="shared" si="138"/>
        <v>0</v>
      </c>
      <c r="M335" s="114">
        <f t="shared" si="138"/>
        <v>0</v>
      </c>
      <c r="N335" s="114">
        <f t="shared" si="138"/>
        <v>0</v>
      </c>
      <c r="O335" s="123">
        <f t="shared" si="138"/>
        <v>0</v>
      </c>
      <c r="P335" s="125">
        <f>SUM(P327:P334)</f>
        <v>72</v>
      </c>
      <c r="Q335" s="132">
        <f>SUM(Q327:Q334)</f>
        <v>311</v>
      </c>
    </row>
    <row r="337" spans="1:17" ht="15.75" x14ac:dyDescent="0.25">
      <c r="A337" s="380" t="s">
        <v>129</v>
      </c>
      <c r="B337" s="380"/>
      <c r="C337" s="380"/>
      <c r="D337" s="380"/>
      <c r="E337" s="380"/>
      <c r="F337" s="380"/>
      <c r="G337" s="380"/>
      <c r="H337" s="380"/>
      <c r="I337" s="380"/>
      <c r="J337" s="380"/>
      <c r="K337" s="380"/>
      <c r="L337" s="380"/>
      <c r="M337" s="380"/>
      <c r="N337" s="380"/>
      <c r="O337" s="380"/>
      <c r="P337" s="380"/>
      <c r="Q337" s="380"/>
    </row>
    <row r="338" spans="1:17" ht="15.75" x14ac:dyDescent="0.25">
      <c r="A338" s="380" t="s">
        <v>82</v>
      </c>
      <c r="B338" s="380"/>
      <c r="C338" s="380"/>
      <c r="D338" s="380"/>
      <c r="E338" s="380"/>
      <c r="F338" s="380"/>
      <c r="G338" s="380"/>
      <c r="H338" s="380"/>
      <c r="I338" s="380"/>
      <c r="J338" s="380"/>
      <c r="K338" s="380"/>
      <c r="L338" s="380"/>
      <c r="M338" s="380"/>
      <c r="N338" s="380"/>
      <c r="O338" s="380"/>
      <c r="P338" s="380"/>
      <c r="Q338" s="380"/>
    </row>
    <row r="339" spans="1:17" ht="15.75" thickBot="1" x14ac:dyDescent="0.3">
      <c r="Q339" s="76" t="s">
        <v>29</v>
      </c>
    </row>
    <row r="340" spans="1:17" x14ac:dyDescent="0.25">
      <c r="A340" s="375" t="s">
        <v>2</v>
      </c>
      <c r="B340" s="377" t="s">
        <v>3</v>
      </c>
      <c r="C340" s="381" t="s">
        <v>90</v>
      </c>
      <c r="D340" s="382"/>
      <c r="E340" s="382"/>
      <c r="F340" s="382"/>
      <c r="G340" s="382"/>
      <c r="H340" s="382"/>
      <c r="I340" s="383" t="s">
        <v>83</v>
      </c>
      <c r="J340" s="382">
        <v>2017</v>
      </c>
      <c r="K340" s="382"/>
      <c r="L340" s="382"/>
      <c r="M340" s="382"/>
      <c r="N340" s="382"/>
      <c r="O340" s="382"/>
      <c r="P340" s="383" t="s">
        <v>84</v>
      </c>
      <c r="Q340" s="385" t="s">
        <v>5</v>
      </c>
    </row>
    <row r="341" spans="1:17" x14ac:dyDescent="0.25">
      <c r="A341" s="376"/>
      <c r="B341" s="363"/>
      <c r="C341" s="207" t="s">
        <v>15</v>
      </c>
      <c r="D341" s="207" t="s">
        <v>16</v>
      </c>
      <c r="E341" s="207" t="s">
        <v>17</v>
      </c>
      <c r="F341" s="207" t="s">
        <v>6</v>
      </c>
      <c r="G341" s="207" t="s">
        <v>77</v>
      </c>
      <c r="H341" s="121" t="s">
        <v>78</v>
      </c>
      <c r="I341" s="384"/>
      <c r="J341" s="111" t="s">
        <v>79</v>
      </c>
      <c r="K341" s="207" t="s">
        <v>10</v>
      </c>
      <c r="L341" s="207" t="s">
        <v>11</v>
      </c>
      <c r="M341" s="207" t="s">
        <v>12</v>
      </c>
      <c r="N341" s="207" t="s">
        <v>80</v>
      </c>
      <c r="O341" s="121" t="s">
        <v>81</v>
      </c>
      <c r="P341" s="384"/>
      <c r="Q341" s="386"/>
    </row>
    <row r="342" spans="1:17" ht="15.75" thickBot="1" x14ac:dyDescent="0.3">
      <c r="A342" s="113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2">
        <v>8</v>
      </c>
      <c r="I342" s="124">
        <v>9</v>
      </c>
      <c r="J342" s="112">
        <v>10</v>
      </c>
      <c r="K342" s="5">
        <v>11</v>
      </c>
      <c r="L342" s="5">
        <v>12</v>
      </c>
      <c r="M342" s="5">
        <v>13</v>
      </c>
      <c r="N342" s="5">
        <v>14</v>
      </c>
      <c r="O342" s="122">
        <v>15</v>
      </c>
      <c r="P342" s="124">
        <v>16</v>
      </c>
      <c r="Q342" s="133">
        <v>17</v>
      </c>
    </row>
    <row r="343" spans="1:17" ht="15.75" thickTop="1" x14ac:dyDescent="0.25">
      <c r="A343" s="84">
        <v>1</v>
      </c>
      <c r="B343" s="7" t="s">
        <v>18</v>
      </c>
      <c r="C343" s="138">
        <v>0</v>
      </c>
      <c r="D343" s="138">
        <v>0</v>
      </c>
      <c r="E343" s="138">
        <v>0</v>
      </c>
      <c r="F343" s="138">
        <f>jagung!C75</f>
        <v>0</v>
      </c>
      <c r="G343" s="138">
        <f>jagung!D75</f>
        <v>0</v>
      </c>
      <c r="H343" s="138">
        <f>jagung!E75</f>
        <v>0</v>
      </c>
      <c r="I343" s="126">
        <f>SUM(C343:H343)</f>
        <v>0</v>
      </c>
      <c r="J343" s="158">
        <f>jagung!F75</f>
        <v>0</v>
      </c>
      <c r="K343" s="158">
        <f>jagung!G75</f>
        <v>0</v>
      </c>
      <c r="L343" s="158">
        <f>jagung!H75</f>
        <v>0</v>
      </c>
      <c r="M343" s="158">
        <f>jagung!I75</f>
        <v>0</v>
      </c>
      <c r="N343" s="158">
        <f>jagung!J75</f>
        <v>0</v>
      </c>
      <c r="O343" s="158">
        <f>jagung!K75</f>
        <v>0</v>
      </c>
      <c r="P343" s="126">
        <f>SUM(J343:O343)</f>
        <v>0</v>
      </c>
      <c r="Q343" s="129">
        <f>SUM(I343,P343)</f>
        <v>0</v>
      </c>
    </row>
    <row r="344" spans="1:17" x14ac:dyDescent="0.25">
      <c r="A344" s="85">
        <v>2</v>
      </c>
      <c r="B344" s="12" t="s">
        <v>19</v>
      </c>
      <c r="C344" s="60">
        <v>3</v>
      </c>
      <c r="D344" s="60">
        <v>0</v>
      </c>
      <c r="E344" s="60">
        <v>0</v>
      </c>
      <c r="F344" s="60">
        <f>jagung!C76</f>
        <v>0</v>
      </c>
      <c r="G344" s="60">
        <f>jagung!D76</f>
        <v>0</v>
      </c>
      <c r="H344" s="157">
        <f>jagung!E76</f>
        <v>0</v>
      </c>
      <c r="I344" s="127">
        <f t="shared" ref="I344:I350" si="139">SUM(C344:H344)</f>
        <v>3</v>
      </c>
      <c r="J344" s="262">
        <f>jagung!F76</f>
        <v>0</v>
      </c>
      <c r="K344" s="134">
        <f>jagung!G76</f>
        <v>0</v>
      </c>
      <c r="L344" s="134">
        <f>jagung!H76</f>
        <v>0</v>
      </c>
      <c r="M344" s="134">
        <f>jagung!I76</f>
        <v>0</v>
      </c>
      <c r="N344" s="134">
        <f>jagung!J76</f>
        <v>0</v>
      </c>
      <c r="O344" s="159">
        <f>jagung!K76</f>
        <v>0</v>
      </c>
      <c r="P344" s="127">
        <f t="shared" ref="P344:P349" si="140">SUM(J344:O344)</f>
        <v>0</v>
      </c>
      <c r="Q344" s="130">
        <f t="shared" ref="Q344:Q350" si="141">SUM(I344,P344)</f>
        <v>3</v>
      </c>
    </row>
    <row r="345" spans="1:17" x14ac:dyDescent="0.25">
      <c r="A345" s="85">
        <v>3</v>
      </c>
      <c r="B345" s="7" t="s">
        <v>20</v>
      </c>
      <c r="C345" s="60">
        <v>0</v>
      </c>
      <c r="D345" s="60">
        <v>0</v>
      </c>
      <c r="E345" s="60">
        <v>0</v>
      </c>
      <c r="F345" s="60">
        <f>jagung!C77</f>
        <v>0</v>
      </c>
      <c r="G345" s="60">
        <f>jagung!D77</f>
        <v>0</v>
      </c>
      <c r="H345" s="157">
        <f>jagung!E77</f>
        <v>15</v>
      </c>
      <c r="I345" s="127">
        <f t="shared" si="139"/>
        <v>15</v>
      </c>
      <c r="J345" s="262">
        <f>jagung!F77</f>
        <v>0</v>
      </c>
      <c r="K345" s="134">
        <f>jagung!G77</f>
        <v>0</v>
      </c>
      <c r="L345" s="134">
        <f>jagung!H77</f>
        <v>0</v>
      </c>
      <c r="M345" s="134">
        <f>jagung!I77</f>
        <v>0</v>
      </c>
      <c r="N345" s="134">
        <f>jagung!J77</f>
        <v>0</v>
      </c>
      <c r="O345" s="159">
        <f>jagung!K77</f>
        <v>0</v>
      </c>
      <c r="P345" s="127">
        <f t="shared" si="140"/>
        <v>0</v>
      </c>
      <c r="Q345" s="130">
        <f t="shared" si="141"/>
        <v>15</v>
      </c>
    </row>
    <row r="346" spans="1:17" x14ac:dyDescent="0.25">
      <c r="A346" s="86">
        <v>4</v>
      </c>
      <c r="B346" s="15" t="s">
        <v>21</v>
      </c>
      <c r="C346" s="60">
        <v>0</v>
      </c>
      <c r="D346" s="60">
        <v>4</v>
      </c>
      <c r="E346" s="60">
        <v>0</v>
      </c>
      <c r="F346" s="60">
        <f>jagung!C78</f>
        <v>0</v>
      </c>
      <c r="G346" s="60">
        <f>jagung!D78</f>
        <v>3</v>
      </c>
      <c r="H346" s="157">
        <f>jagung!E78</f>
        <v>0</v>
      </c>
      <c r="I346" s="127">
        <f t="shared" si="139"/>
        <v>7</v>
      </c>
      <c r="J346" s="262">
        <f>jagung!F78</f>
        <v>0</v>
      </c>
      <c r="K346" s="134">
        <f>jagung!G78</f>
        <v>0</v>
      </c>
      <c r="L346" s="134">
        <f>jagung!H78</f>
        <v>0</v>
      </c>
      <c r="M346" s="134">
        <f>jagung!I78</f>
        <v>0</v>
      </c>
      <c r="N346" s="134">
        <f>jagung!J78</f>
        <v>0</v>
      </c>
      <c r="O346" s="159">
        <f>jagung!K78</f>
        <v>0</v>
      </c>
      <c r="P346" s="127">
        <f t="shared" si="140"/>
        <v>0</v>
      </c>
      <c r="Q346" s="130">
        <f t="shared" si="141"/>
        <v>7</v>
      </c>
    </row>
    <row r="347" spans="1:17" x14ac:dyDescent="0.25">
      <c r="A347" s="86">
        <v>5</v>
      </c>
      <c r="B347" s="19" t="s">
        <v>22</v>
      </c>
      <c r="C347" s="60">
        <v>0</v>
      </c>
      <c r="D347" s="60">
        <v>3</v>
      </c>
      <c r="E347" s="60">
        <v>0</v>
      </c>
      <c r="F347" s="60">
        <f>jagung!C79</f>
        <v>0</v>
      </c>
      <c r="G347" s="60">
        <f>jagung!D79</f>
        <v>0</v>
      </c>
      <c r="H347" s="157">
        <f>jagung!E79</f>
        <v>0</v>
      </c>
      <c r="I347" s="127">
        <f t="shared" si="139"/>
        <v>3</v>
      </c>
      <c r="J347" s="262">
        <f>jagung!F79</f>
        <v>0</v>
      </c>
      <c r="K347" s="134">
        <f>jagung!G79</f>
        <v>0</v>
      </c>
      <c r="L347" s="134">
        <f>jagung!H79</f>
        <v>0</v>
      </c>
      <c r="M347" s="134">
        <f>jagung!I79</f>
        <v>0</v>
      </c>
      <c r="N347" s="134">
        <f>jagung!J79</f>
        <v>6.6</v>
      </c>
      <c r="O347" s="159">
        <f>jagung!K79</f>
        <v>0</v>
      </c>
      <c r="P347" s="127">
        <f t="shared" si="140"/>
        <v>6.6</v>
      </c>
      <c r="Q347" s="130">
        <f t="shared" si="141"/>
        <v>9.6</v>
      </c>
    </row>
    <row r="348" spans="1:17" x14ac:dyDescent="0.25">
      <c r="A348" s="86">
        <v>6</v>
      </c>
      <c r="B348" s="19" t="s">
        <v>23</v>
      </c>
      <c r="C348" s="60">
        <v>0</v>
      </c>
      <c r="D348" s="60">
        <v>8</v>
      </c>
      <c r="E348" s="60">
        <v>0</v>
      </c>
      <c r="F348" s="60">
        <f>jagung!C80</f>
        <v>0</v>
      </c>
      <c r="G348" s="60">
        <f>jagung!D80</f>
        <v>0</v>
      </c>
      <c r="H348" s="157">
        <f>jagung!E80</f>
        <v>0</v>
      </c>
      <c r="I348" s="127">
        <f t="shared" si="139"/>
        <v>8</v>
      </c>
      <c r="J348" s="262">
        <f>jagung!F80</f>
        <v>0</v>
      </c>
      <c r="K348" s="134">
        <f>jagung!G80</f>
        <v>0</v>
      </c>
      <c r="L348" s="134">
        <f>jagung!H80</f>
        <v>0</v>
      </c>
      <c r="M348" s="134">
        <f>jagung!I80</f>
        <v>0</v>
      </c>
      <c r="N348" s="134">
        <f>jagung!J80</f>
        <v>0</v>
      </c>
      <c r="O348" s="159">
        <f>jagung!K80</f>
        <v>0</v>
      </c>
      <c r="P348" s="127">
        <f t="shared" si="140"/>
        <v>0</v>
      </c>
      <c r="Q348" s="130">
        <f t="shared" si="141"/>
        <v>8</v>
      </c>
    </row>
    <row r="349" spans="1:17" x14ac:dyDescent="0.25">
      <c r="A349" s="86">
        <v>7</v>
      </c>
      <c r="B349" s="19" t="s">
        <v>24</v>
      </c>
      <c r="C349" s="60">
        <v>0</v>
      </c>
      <c r="D349" s="60">
        <v>2</v>
      </c>
      <c r="E349" s="60">
        <v>0</v>
      </c>
      <c r="F349" s="60">
        <f>jagung!C81</f>
        <v>0</v>
      </c>
      <c r="G349" s="60">
        <f>jagung!D81</f>
        <v>0</v>
      </c>
      <c r="H349" s="157">
        <f>jagung!E81</f>
        <v>0</v>
      </c>
      <c r="I349" s="127">
        <f t="shared" si="139"/>
        <v>2</v>
      </c>
      <c r="J349" s="262">
        <f>jagung!F81</f>
        <v>0</v>
      </c>
      <c r="K349" s="134">
        <f>jagung!G81</f>
        <v>0</v>
      </c>
      <c r="L349" s="134">
        <f>jagung!H81</f>
        <v>0</v>
      </c>
      <c r="M349" s="134">
        <f>jagung!I81</f>
        <v>0</v>
      </c>
      <c r="N349" s="134">
        <f>jagung!J81</f>
        <v>0</v>
      </c>
      <c r="O349" s="159">
        <f>jagung!K81</f>
        <v>0</v>
      </c>
      <c r="P349" s="127">
        <f t="shared" si="140"/>
        <v>0</v>
      </c>
      <c r="Q349" s="130">
        <f t="shared" si="141"/>
        <v>2</v>
      </c>
    </row>
    <row r="350" spans="1:17" ht="15.75" thickBot="1" x14ac:dyDescent="0.3">
      <c r="A350" s="87">
        <v>8</v>
      </c>
      <c r="B350" s="15" t="s">
        <v>25</v>
      </c>
      <c r="C350" s="139">
        <v>0</v>
      </c>
      <c r="D350" s="139">
        <v>3</v>
      </c>
      <c r="E350" s="139">
        <v>3</v>
      </c>
      <c r="F350" s="139">
        <f>jagung!C82</f>
        <v>0</v>
      </c>
      <c r="G350" s="139">
        <f>jagung!D82</f>
        <v>0</v>
      </c>
      <c r="H350" s="139">
        <f>jagung!E82</f>
        <v>0</v>
      </c>
      <c r="I350" s="128">
        <f t="shared" si="139"/>
        <v>6</v>
      </c>
      <c r="J350" s="273">
        <f>jagung!F82</f>
        <v>3</v>
      </c>
      <c r="K350" s="273">
        <f>jagung!G82</f>
        <v>0</v>
      </c>
      <c r="L350" s="273">
        <f>jagung!H82</f>
        <v>0</v>
      </c>
      <c r="M350" s="273">
        <f>jagung!I82</f>
        <v>0</v>
      </c>
      <c r="N350" s="273">
        <f>jagung!J82</f>
        <v>0</v>
      </c>
      <c r="O350" s="273">
        <f>jagung!K82</f>
        <v>0</v>
      </c>
      <c r="P350" s="128">
        <f>SUM(J350:O350)</f>
        <v>3</v>
      </c>
      <c r="Q350" s="131">
        <f t="shared" si="141"/>
        <v>9</v>
      </c>
    </row>
    <row r="351" spans="1:17" ht="16.5" thickTop="1" thickBot="1" x14ac:dyDescent="0.3">
      <c r="A351" s="378" t="s">
        <v>26</v>
      </c>
      <c r="B351" s="379"/>
      <c r="C351" s="114">
        <f t="shared" ref="C351:H351" si="142">SUM(C343:C350)</f>
        <v>3</v>
      </c>
      <c r="D351" s="114">
        <f t="shared" si="142"/>
        <v>20</v>
      </c>
      <c r="E351" s="114">
        <f t="shared" si="142"/>
        <v>3</v>
      </c>
      <c r="F351" s="114">
        <f t="shared" si="142"/>
        <v>0</v>
      </c>
      <c r="G351" s="114">
        <f t="shared" si="142"/>
        <v>3</v>
      </c>
      <c r="H351" s="123">
        <f t="shared" si="142"/>
        <v>15</v>
      </c>
      <c r="I351" s="125">
        <f>SUM(I343:I350)</f>
        <v>44</v>
      </c>
      <c r="J351" s="135">
        <f t="shared" ref="J351:O351" si="143">SUM(J343:J350)</f>
        <v>3</v>
      </c>
      <c r="K351" s="114">
        <f t="shared" si="143"/>
        <v>0</v>
      </c>
      <c r="L351" s="114">
        <f t="shared" si="143"/>
        <v>0</v>
      </c>
      <c r="M351" s="114">
        <f t="shared" si="143"/>
        <v>0</v>
      </c>
      <c r="N351" s="114">
        <f t="shared" si="143"/>
        <v>6.6</v>
      </c>
      <c r="O351" s="123">
        <f t="shared" si="143"/>
        <v>0</v>
      </c>
      <c r="P351" s="125">
        <f>SUM(P343:P350)</f>
        <v>9.6</v>
      </c>
      <c r="Q351" s="132">
        <f>SUM(Q343:Q350)</f>
        <v>53.6</v>
      </c>
    </row>
    <row r="353" spans="1:17" ht="15.75" x14ac:dyDescent="0.25">
      <c r="A353" s="380" t="s">
        <v>130</v>
      </c>
      <c r="B353" s="380"/>
      <c r="C353" s="380"/>
      <c r="D353" s="380"/>
      <c r="E353" s="380"/>
      <c r="F353" s="380"/>
      <c r="G353" s="380"/>
      <c r="H353" s="380"/>
      <c r="I353" s="380"/>
      <c r="J353" s="380"/>
      <c r="K353" s="380"/>
      <c r="L353" s="380"/>
      <c r="M353" s="380"/>
      <c r="N353" s="380"/>
      <c r="O353" s="380"/>
      <c r="P353" s="380"/>
      <c r="Q353" s="380"/>
    </row>
    <row r="354" spans="1:17" ht="15.75" x14ac:dyDescent="0.25">
      <c r="A354" s="380" t="s">
        <v>82</v>
      </c>
      <c r="B354" s="380"/>
      <c r="C354" s="380"/>
      <c r="D354" s="380"/>
      <c r="E354" s="380"/>
      <c r="F354" s="380"/>
      <c r="G354" s="380"/>
      <c r="H354" s="380"/>
      <c r="I354" s="380"/>
      <c r="J354" s="380"/>
      <c r="K354" s="380"/>
      <c r="L354" s="380"/>
      <c r="M354" s="380"/>
      <c r="N354" s="380"/>
      <c r="O354" s="380"/>
      <c r="P354" s="380"/>
      <c r="Q354" s="380"/>
    </row>
    <row r="355" spans="1:17" ht="15.75" thickBot="1" x14ac:dyDescent="0.3">
      <c r="Q355" s="76" t="s">
        <v>29</v>
      </c>
    </row>
    <row r="356" spans="1:17" x14ac:dyDescent="0.25">
      <c r="A356" s="375" t="s">
        <v>2</v>
      </c>
      <c r="B356" s="377" t="s">
        <v>3</v>
      </c>
      <c r="C356" s="381" t="s">
        <v>90</v>
      </c>
      <c r="D356" s="382"/>
      <c r="E356" s="382"/>
      <c r="F356" s="382"/>
      <c r="G356" s="382"/>
      <c r="H356" s="382"/>
      <c r="I356" s="383" t="s">
        <v>83</v>
      </c>
      <c r="J356" s="382">
        <v>2017</v>
      </c>
      <c r="K356" s="382"/>
      <c r="L356" s="382"/>
      <c r="M356" s="382"/>
      <c r="N356" s="382"/>
      <c r="O356" s="382"/>
      <c r="P356" s="383" t="s">
        <v>84</v>
      </c>
      <c r="Q356" s="385" t="s">
        <v>5</v>
      </c>
    </row>
    <row r="357" spans="1:17" x14ac:dyDescent="0.25">
      <c r="A357" s="376"/>
      <c r="B357" s="363"/>
      <c r="C357" s="207" t="s">
        <v>15</v>
      </c>
      <c r="D357" s="207" t="s">
        <v>16</v>
      </c>
      <c r="E357" s="207" t="s">
        <v>17</v>
      </c>
      <c r="F357" s="207" t="s">
        <v>6</v>
      </c>
      <c r="G357" s="207" t="s">
        <v>77</v>
      </c>
      <c r="H357" s="121" t="s">
        <v>78</v>
      </c>
      <c r="I357" s="384"/>
      <c r="J357" s="111" t="s">
        <v>79</v>
      </c>
      <c r="K357" s="207" t="s">
        <v>10</v>
      </c>
      <c r="L357" s="207" t="s">
        <v>11</v>
      </c>
      <c r="M357" s="207" t="s">
        <v>12</v>
      </c>
      <c r="N357" s="207" t="s">
        <v>80</v>
      </c>
      <c r="O357" s="121" t="s">
        <v>81</v>
      </c>
      <c r="P357" s="384"/>
      <c r="Q357" s="386"/>
    </row>
    <row r="358" spans="1:17" ht="15.75" thickBot="1" x14ac:dyDescent="0.3">
      <c r="A358" s="113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2">
        <v>8</v>
      </c>
      <c r="I358" s="124">
        <v>9</v>
      </c>
      <c r="J358" s="112">
        <v>10</v>
      </c>
      <c r="K358" s="5">
        <v>11</v>
      </c>
      <c r="L358" s="5">
        <v>12</v>
      </c>
      <c r="M358" s="5">
        <v>13</v>
      </c>
      <c r="N358" s="5">
        <v>14</v>
      </c>
      <c r="O358" s="122">
        <v>15</v>
      </c>
      <c r="P358" s="124">
        <v>16</v>
      </c>
      <c r="Q358" s="133">
        <v>17</v>
      </c>
    </row>
    <row r="359" spans="1:17" ht="15.75" thickTop="1" x14ac:dyDescent="0.25">
      <c r="A359" s="84">
        <v>1</v>
      </c>
      <c r="B359" s="7" t="s">
        <v>18</v>
      </c>
      <c r="C359" s="138">
        <v>0</v>
      </c>
      <c r="D359" s="138">
        <v>0</v>
      </c>
      <c r="E359" s="138">
        <v>0</v>
      </c>
      <c r="F359" s="138">
        <f>kedelai!C75</f>
        <v>0</v>
      </c>
      <c r="G359" s="138">
        <f>kedelai!D75</f>
        <v>0</v>
      </c>
      <c r="H359" s="138">
        <f>kedelai!E75</f>
        <v>0</v>
      </c>
      <c r="I359" s="126">
        <f>SUM(C359:H359)</f>
        <v>0</v>
      </c>
      <c r="J359" s="138">
        <v>0</v>
      </c>
      <c r="K359" s="138">
        <v>0</v>
      </c>
      <c r="L359" s="138">
        <v>0</v>
      </c>
      <c r="M359" s="138">
        <f>kedelai!J75</f>
        <v>0</v>
      </c>
      <c r="N359" s="138">
        <f>kedelai!K75</f>
        <v>0</v>
      </c>
      <c r="O359" s="138">
        <f>kedelai!L75</f>
        <v>0</v>
      </c>
      <c r="P359" s="126">
        <f>SUM(J359:O359)</f>
        <v>0</v>
      </c>
      <c r="Q359" s="129">
        <f>SUM(I359,P359)</f>
        <v>0</v>
      </c>
    </row>
    <row r="360" spans="1:17" x14ac:dyDescent="0.25">
      <c r="A360" s="85">
        <v>2</v>
      </c>
      <c r="B360" s="12" t="s">
        <v>19</v>
      </c>
      <c r="C360" s="60">
        <v>0</v>
      </c>
      <c r="D360" s="60">
        <v>0</v>
      </c>
      <c r="E360" s="60">
        <v>0</v>
      </c>
      <c r="F360" s="60">
        <f>kedelai!C76</f>
        <v>0</v>
      </c>
      <c r="G360" s="60">
        <f>kedelai!D76</f>
        <v>0</v>
      </c>
      <c r="H360" s="157">
        <f>kedelai!E76</f>
        <v>0</v>
      </c>
      <c r="I360" s="127">
        <f t="shared" ref="I360:I366" si="144">SUM(C360:H360)</f>
        <v>0</v>
      </c>
      <c r="J360" s="60">
        <v>0</v>
      </c>
      <c r="K360" s="60">
        <v>0</v>
      </c>
      <c r="L360" s="60">
        <v>0</v>
      </c>
      <c r="M360" s="60">
        <f>kedelai!J76</f>
        <v>0</v>
      </c>
      <c r="N360" s="60">
        <f>kedelai!K76</f>
        <v>0</v>
      </c>
      <c r="O360" s="157">
        <f>kedelai!L76</f>
        <v>0</v>
      </c>
      <c r="P360" s="127">
        <f t="shared" ref="P360:P365" si="145">SUM(J360:O360)</f>
        <v>0</v>
      </c>
      <c r="Q360" s="130">
        <f t="shared" ref="Q360:Q366" si="146">SUM(I360,P360)</f>
        <v>0</v>
      </c>
    </row>
    <row r="361" spans="1:17" x14ac:dyDescent="0.25">
      <c r="A361" s="85">
        <v>3</v>
      </c>
      <c r="B361" s="7" t="s">
        <v>20</v>
      </c>
      <c r="C361" s="60">
        <v>0</v>
      </c>
      <c r="D361" s="60">
        <v>0</v>
      </c>
      <c r="E361" s="60">
        <v>0</v>
      </c>
      <c r="F361" s="60">
        <f>kedelai!C77</f>
        <v>0</v>
      </c>
      <c r="G361" s="60">
        <f>kedelai!D77</f>
        <v>0</v>
      </c>
      <c r="H361" s="157">
        <f>kedelai!E77</f>
        <v>0</v>
      </c>
      <c r="I361" s="127">
        <f t="shared" si="144"/>
        <v>0</v>
      </c>
      <c r="J361" s="60">
        <v>0</v>
      </c>
      <c r="K361" s="60">
        <v>0</v>
      </c>
      <c r="L361" s="60">
        <v>0</v>
      </c>
      <c r="M361" s="60">
        <f>kedelai!J77</f>
        <v>0</v>
      </c>
      <c r="N361" s="60">
        <f>kedelai!K77</f>
        <v>0</v>
      </c>
      <c r="O361" s="157">
        <f>kedelai!L77</f>
        <v>0</v>
      </c>
      <c r="P361" s="127">
        <f t="shared" si="145"/>
        <v>0</v>
      </c>
      <c r="Q361" s="130">
        <f t="shared" si="146"/>
        <v>0</v>
      </c>
    </row>
    <row r="362" spans="1:17" x14ac:dyDescent="0.25">
      <c r="A362" s="86">
        <v>4</v>
      </c>
      <c r="B362" s="15" t="s">
        <v>21</v>
      </c>
      <c r="C362" s="60">
        <v>0</v>
      </c>
      <c r="D362" s="60">
        <v>0</v>
      </c>
      <c r="E362" s="60">
        <v>0</v>
      </c>
      <c r="F362" s="60">
        <f>kedelai!C78</f>
        <v>0</v>
      </c>
      <c r="G362" s="60">
        <f>kedelai!D78</f>
        <v>0</v>
      </c>
      <c r="H362" s="157">
        <f>kedelai!E78</f>
        <v>0</v>
      </c>
      <c r="I362" s="127">
        <f t="shared" si="144"/>
        <v>0</v>
      </c>
      <c r="J362" s="60">
        <v>0</v>
      </c>
      <c r="K362" s="60">
        <v>0</v>
      </c>
      <c r="L362" s="60">
        <v>0</v>
      </c>
      <c r="M362" s="60">
        <f>kedelai!J78</f>
        <v>0</v>
      </c>
      <c r="N362" s="60">
        <f>kedelai!K78</f>
        <v>0</v>
      </c>
      <c r="O362" s="157">
        <f>kedelai!L78</f>
        <v>0</v>
      </c>
      <c r="P362" s="127">
        <f t="shared" si="145"/>
        <v>0</v>
      </c>
      <c r="Q362" s="130">
        <f t="shared" si="146"/>
        <v>0</v>
      </c>
    </row>
    <row r="363" spans="1:17" x14ac:dyDescent="0.25">
      <c r="A363" s="86">
        <v>5</v>
      </c>
      <c r="B363" s="19" t="s">
        <v>22</v>
      </c>
      <c r="C363" s="60">
        <v>0</v>
      </c>
      <c r="D363" s="60">
        <v>0</v>
      </c>
      <c r="E363" s="60">
        <v>0</v>
      </c>
      <c r="F363" s="60">
        <f>kedelai!C79</f>
        <v>0</v>
      </c>
      <c r="G363" s="60">
        <f>kedelai!D79</f>
        <v>0</v>
      </c>
      <c r="H363" s="157">
        <f>kedelai!E79</f>
        <v>0</v>
      </c>
      <c r="I363" s="127">
        <f t="shared" si="144"/>
        <v>0</v>
      </c>
      <c r="J363" s="60">
        <v>0</v>
      </c>
      <c r="K363" s="60">
        <v>0</v>
      </c>
      <c r="L363" s="60">
        <v>0</v>
      </c>
      <c r="M363" s="60">
        <f>kedelai!J79</f>
        <v>0</v>
      </c>
      <c r="N363" s="60">
        <f>kedelai!K79</f>
        <v>0</v>
      </c>
      <c r="O363" s="157">
        <f>kedelai!L79</f>
        <v>0</v>
      </c>
      <c r="P363" s="127">
        <f t="shared" si="145"/>
        <v>0</v>
      </c>
      <c r="Q363" s="130">
        <f t="shared" si="146"/>
        <v>0</v>
      </c>
    </row>
    <row r="364" spans="1:17" x14ac:dyDescent="0.25">
      <c r="A364" s="86">
        <v>6</v>
      </c>
      <c r="B364" s="19" t="s">
        <v>23</v>
      </c>
      <c r="C364" s="60">
        <v>0</v>
      </c>
      <c r="D364" s="60">
        <v>0</v>
      </c>
      <c r="E364" s="60">
        <v>0</v>
      </c>
      <c r="F364" s="60">
        <f>kedelai!C80</f>
        <v>0</v>
      </c>
      <c r="G364" s="60">
        <f>kedelai!D80</f>
        <v>0</v>
      </c>
      <c r="H364" s="157">
        <f>kedelai!E80</f>
        <v>0</v>
      </c>
      <c r="I364" s="127">
        <f t="shared" si="144"/>
        <v>0</v>
      </c>
      <c r="J364" s="60">
        <v>0</v>
      </c>
      <c r="K364" s="60">
        <v>0</v>
      </c>
      <c r="L364" s="60">
        <v>0</v>
      </c>
      <c r="M364" s="60">
        <f>kedelai!J80</f>
        <v>0</v>
      </c>
      <c r="N364" s="60">
        <f>kedelai!K80</f>
        <v>0</v>
      </c>
      <c r="O364" s="157">
        <f>kedelai!L80</f>
        <v>0</v>
      </c>
      <c r="P364" s="127">
        <f t="shared" si="145"/>
        <v>0</v>
      </c>
      <c r="Q364" s="130">
        <f t="shared" si="146"/>
        <v>0</v>
      </c>
    </row>
    <row r="365" spans="1:17" x14ac:dyDescent="0.25">
      <c r="A365" s="86">
        <v>7</v>
      </c>
      <c r="B365" s="19" t="s">
        <v>24</v>
      </c>
      <c r="C365" s="60">
        <v>0</v>
      </c>
      <c r="D365" s="60">
        <v>0</v>
      </c>
      <c r="E365" s="60">
        <v>0</v>
      </c>
      <c r="F365" s="60">
        <f>kedelai!C81</f>
        <v>0</v>
      </c>
      <c r="G365" s="60">
        <f>kedelai!D81</f>
        <v>0</v>
      </c>
      <c r="H365" s="157">
        <f>kedelai!E81</f>
        <v>0</v>
      </c>
      <c r="I365" s="127">
        <f t="shared" si="144"/>
        <v>0</v>
      </c>
      <c r="J365" s="60">
        <v>0</v>
      </c>
      <c r="K365" s="60">
        <v>0</v>
      </c>
      <c r="L365" s="60">
        <v>0</v>
      </c>
      <c r="M365" s="60">
        <f>kedelai!J81</f>
        <v>0</v>
      </c>
      <c r="N365" s="60">
        <f>kedelai!K81</f>
        <v>0</v>
      </c>
      <c r="O365" s="157">
        <f>kedelai!L81</f>
        <v>0</v>
      </c>
      <c r="P365" s="127">
        <f t="shared" si="145"/>
        <v>0</v>
      </c>
      <c r="Q365" s="130">
        <f t="shared" si="146"/>
        <v>0</v>
      </c>
    </row>
    <row r="366" spans="1:17" ht="15.75" thickBot="1" x14ac:dyDescent="0.3">
      <c r="A366" s="87">
        <v>8</v>
      </c>
      <c r="B366" s="15" t="s">
        <v>25</v>
      </c>
      <c r="C366" s="139">
        <v>0</v>
      </c>
      <c r="D366" s="139">
        <v>0</v>
      </c>
      <c r="E366" s="139">
        <v>0</v>
      </c>
      <c r="F366" s="139">
        <f>kedelai!C82</f>
        <v>0</v>
      </c>
      <c r="G366" s="139">
        <f>kedelai!D82</f>
        <v>0</v>
      </c>
      <c r="H366" s="139">
        <f>kedelai!E82</f>
        <v>0</v>
      </c>
      <c r="I366" s="128">
        <f t="shared" si="144"/>
        <v>0</v>
      </c>
      <c r="J366" s="139">
        <v>0</v>
      </c>
      <c r="K366" s="139">
        <v>0</v>
      </c>
      <c r="L366" s="139">
        <v>0</v>
      </c>
      <c r="M366" s="139">
        <f>kedelai!J82</f>
        <v>0</v>
      </c>
      <c r="N366" s="139">
        <f>kedelai!K82</f>
        <v>0</v>
      </c>
      <c r="O366" s="139">
        <f>kedelai!L82</f>
        <v>0</v>
      </c>
      <c r="P366" s="128">
        <f>SUM(J366:O366)</f>
        <v>0</v>
      </c>
      <c r="Q366" s="131">
        <f t="shared" si="146"/>
        <v>0</v>
      </c>
    </row>
    <row r="367" spans="1:17" ht="16.5" thickTop="1" thickBot="1" x14ac:dyDescent="0.3">
      <c r="A367" s="378" t="s">
        <v>26</v>
      </c>
      <c r="B367" s="379"/>
      <c r="C367" s="114">
        <f t="shared" ref="C367:H367" si="147">SUM(C359:C366)</f>
        <v>0</v>
      </c>
      <c r="D367" s="114">
        <f t="shared" si="147"/>
        <v>0</v>
      </c>
      <c r="E367" s="114">
        <f t="shared" si="147"/>
        <v>0</v>
      </c>
      <c r="F367" s="114">
        <f t="shared" si="147"/>
        <v>0</v>
      </c>
      <c r="G367" s="114">
        <f t="shared" si="147"/>
        <v>0</v>
      </c>
      <c r="H367" s="123">
        <f t="shared" si="147"/>
        <v>0</v>
      </c>
      <c r="I367" s="125">
        <f>SUM(I359:I366)</f>
        <v>0</v>
      </c>
      <c r="J367" s="135">
        <f t="shared" ref="J367:O367" si="148">SUM(J359:J366)</f>
        <v>0</v>
      </c>
      <c r="K367" s="114">
        <f t="shared" si="148"/>
        <v>0</v>
      </c>
      <c r="L367" s="114">
        <f t="shared" si="148"/>
        <v>0</v>
      </c>
      <c r="M367" s="114">
        <f t="shared" si="148"/>
        <v>0</v>
      </c>
      <c r="N367" s="114">
        <f t="shared" si="148"/>
        <v>0</v>
      </c>
      <c r="O367" s="123">
        <f t="shared" si="148"/>
        <v>0</v>
      </c>
      <c r="P367" s="125">
        <f>SUM(P359:P366)</f>
        <v>0</v>
      </c>
      <c r="Q367" s="132">
        <f>SUM(Q359:Q366)</f>
        <v>0</v>
      </c>
    </row>
    <row r="369" spans="1:17" ht="15.75" x14ac:dyDescent="0.25">
      <c r="A369" s="380" t="s">
        <v>131</v>
      </c>
      <c r="B369" s="380"/>
      <c r="C369" s="380"/>
      <c r="D369" s="380"/>
      <c r="E369" s="380"/>
      <c r="F369" s="380"/>
      <c r="G369" s="380"/>
      <c r="H369" s="380"/>
      <c r="I369" s="380"/>
      <c r="J369" s="380"/>
      <c r="K369" s="380"/>
      <c r="L369" s="380"/>
      <c r="M369" s="380"/>
      <c r="N369" s="380"/>
      <c r="O369" s="380"/>
      <c r="P369" s="380"/>
      <c r="Q369" s="380"/>
    </row>
    <row r="370" spans="1:17" ht="15.75" x14ac:dyDescent="0.25">
      <c r="A370" s="380" t="s">
        <v>82</v>
      </c>
      <c r="B370" s="380"/>
      <c r="C370" s="380"/>
      <c r="D370" s="380"/>
      <c r="E370" s="380"/>
      <c r="F370" s="380"/>
      <c r="G370" s="380"/>
      <c r="H370" s="380"/>
      <c r="I370" s="380"/>
      <c r="J370" s="380"/>
      <c r="K370" s="380"/>
      <c r="L370" s="380"/>
      <c r="M370" s="380"/>
      <c r="N370" s="380"/>
      <c r="O370" s="380"/>
      <c r="P370" s="380"/>
      <c r="Q370" s="380"/>
    </row>
    <row r="371" spans="1:17" ht="15.75" thickBot="1" x14ac:dyDescent="0.3">
      <c r="Q371" s="76" t="s">
        <v>29</v>
      </c>
    </row>
    <row r="372" spans="1:17" x14ac:dyDescent="0.25">
      <c r="A372" s="375" t="s">
        <v>2</v>
      </c>
      <c r="B372" s="377" t="s">
        <v>3</v>
      </c>
      <c r="C372" s="381" t="s">
        <v>90</v>
      </c>
      <c r="D372" s="382"/>
      <c r="E372" s="382"/>
      <c r="F372" s="382"/>
      <c r="G372" s="382"/>
      <c r="H372" s="382"/>
      <c r="I372" s="383" t="s">
        <v>83</v>
      </c>
      <c r="J372" s="382">
        <v>2017</v>
      </c>
      <c r="K372" s="382"/>
      <c r="L372" s="382"/>
      <c r="M372" s="382"/>
      <c r="N372" s="382"/>
      <c r="O372" s="382"/>
      <c r="P372" s="383" t="s">
        <v>84</v>
      </c>
      <c r="Q372" s="385" t="s">
        <v>5</v>
      </c>
    </row>
    <row r="373" spans="1:17" x14ac:dyDescent="0.25">
      <c r="A373" s="376"/>
      <c r="B373" s="363"/>
      <c r="C373" s="207" t="s">
        <v>15</v>
      </c>
      <c r="D373" s="207" t="s">
        <v>16</v>
      </c>
      <c r="E373" s="207" t="s">
        <v>17</v>
      </c>
      <c r="F373" s="207" t="s">
        <v>6</v>
      </c>
      <c r="G373" s="207" t="s">
        <v>77</v>
      </c>
      <c r="H373" s="121" t="s">
        <v>78</v>
      </c>
      <c r="I373" s="384"/>
      <c r="J373" s="111" t="s">
        <v>79</v>
      </c>
      <c r="K373" s="207" t="s">
        <v>10</v>
      </c>
      <c r="L373" s="207" t="s">
        <v>11</v>
      </c>
      <c r="M373" s="207" t="s">
        <v>12</v>
      </c>
      <c r="N373" s="207" t="s">
        <v>80</v>
      </c>
      <c r="O373" s="121" t="s">
        <v>81</v>
      </c>
      <c r="P373" s="384"/>
      <c r="Q373" s="386"/>
    </row>
    <row r="374" spans="1:17" ht="15.75" thickBot="1" x14ac:dyDescent="0.3">
      <c r="A374" s="113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2">
        <v>8</v>
      </c>
      <c r="I374" s="124">
        <v>9</v>
      </c>
      <c r="J374" s="112">
        <v>10</v>
      </c>
      <c r="K374" s="5">
        <v>11</v>
      </c>
      <c r="L374" s="5">
        <v>12</v>
      </c>
      <c r="M374" s="5">
        <v>13</v>
      </c>
      <c r="N374" s="5">
        <v>14</v>
      </c>
      <c r="O374" s="122">
        <v>15</v>
      </c>
      <c r="P374" s="124">
        <v>16</v>
      </c>
      <c r="Q374" s="133">
        <v>17</v>
      </c>
    </row>
    <row r="375" spans="1:17" ht="15.75" thickTop="1" x14ac:dyDescent="0.25">
      <c r="A375" s="84">
        <v>1</v>
      </c>
      <c r="B375" s="7" t="s">
        <v>18</v>
      </c>
      <c r="C375" s="138">
        <v>0</v>
      </c>
      <c r="D375" s="138">
        <v>0</v>
      </c>
      <c r="E375" s="138">
        <v>0</v>
      </c>
      <c r="F375" s="138">
        <f>'kc tanah'!C75</f>
        <v>83</v>
      </c>
      <c r="G375" s="138">
        <f>'kc tanah'!D75</f>
        <v>28</v>
      </c>
      <c r="H375" s="138">
        <f>'kc tanah'!E75</f>
        <v>0</v>
      </c>
      <c r="I375" s="126">
        <f>SUM(C375:H375)</f>
        <v>111</v>
      </c>
      <c r="J375" s="158">
        <f>'kc tanah'!F75</f>
        <v>160</v>
      </c>
      <c r="K375" s="158">
        <f>'kc tanah'!G75</f>
        <v>0</v>
      </c>
      <c r="L375" s="158">
        <f>'kc tanah'!H75</f>
        <v>0</v>
      </c>
      <c r="M375" s="158">
        <f>'kc tanah'!I75</f>
        <v>0</v>
      </c>
      <c r="N375" s="158">
        <f>'kc tanah'!J75</f>
        <v>0</v>
      </c>
      <c r="O375" s="158">
        <f>'kc tanah'!K75</f>
        <v>0</v>
      </c>
      <c r="P375" s="126">
        <f>SUM(J375:O375)</f>
        <v>160</v>
      </c>
      <c r="Q375" s="129">
        <f>SUM(I375,P375)</f>
        <v>271</v>
      </c>
    </row>
    <row r="376" spans="1:17" x14ac:dyDescent="0.25">
      <c r="A376" s="85">
        <v>2</v>
      </c>
      <c r="B376" s="12" t="s">
        <v>19</v>
      </c>
      <c r="C376" s="60">
        <v>0</v>
      </c>
      <c r="D376" s="60">
        <v>0</v>
      </c>
      <c r="E376" s="60">
        <v>0</v>
      </c>
      <c r="F376" s="60">
        <f>'kc tanah'!C76</f>
        <v>86</v>
      </c>
      <c r="G376" s="60">
        <f>'kc tanah'!D76</f>
        <v>43</v>
      </c>
      <c r="H376" s="157">
        <f>'kc tanah'!E76</f>
        <v>0</v>
      </c>
      <c r="I376" s="127">
        <f t="shared" ref="I376:I382" si="149">SUM(C376:H376)</f>
        <v>129</v>
      </c>
      <c r="J376" s="262">
        <f>'kc tanah'!F76</f>
        <v>17</v>
      </c>
      <c r="K376" s="134">
        <f>'kc tanah'!G76</f>
        <v>49</v>
      </c>
      <c r="L376" s="134">
        <f>'kc tanah'!H76</f>
        <v>0</v>
      </c>
      <c r="M376" s="134">
        <f>'kc tanah'!I76</f>
        <v>0</v>
      </c>
      <c r="N376" s="134">
        <f>'kc tanah'!J76</f>
        <v>0</v>
      </c>
      <c r="O376" s="159">
        <f>'kc tanah'!K76</f>
        <v>0</v>
      </c>
      <c r="P376" s="127">
        <f t="shared" ref="P376:P381" si="150">SUM(J376:O376)</f>
        <v>66</v>
      </c>
      <c r="Q376" s="130">
        <f t="shared" ref="Q376:Q382" si="151">SUM(I376,P376)</f>
        <v>195</v>
      </c>
    </row>
    <row r="377" spans="1:17" x14ac:dyDescent="0.25">
      <c r="A377" s="85">
        <v>3</v>
      </c>
      <c r="B377" s="7" t="s">
        <v>20</v>
      </c>
      <c r="C377" s="60">
        <v>0</v>
      </c>
      <c r="D377" s="60">
        <v>0</v>
      </c>
      <c r="E377" s="60">
        <v>0</v>
      </c>
      <c r="F377" s="60">
        <f>'kc tanah'!C77</f>
        <v>0</v>
      </c>
      <c r="G377" s="60">
        <f>'kc tanah'!D77</f>
        <v>312</v>
      </c>
      <c r="H377" s="157">
        <f>'kc tanah'!E77</f>
        <v>305</v>
      </c>
      <c r="I377" s="127">
        <f t="shared" si="149"/>
        <v>617</v>
      </c>
      <c r="J377" s="262">
        <f>'kc tanah'!F77</f>
        <v>56</v>
      </c>
      <c r="K377" s="134">
        <f>'kc tanah'!G77</f>
        <v>0.4</v>
      </c>
      <c r="L377" s="134">
        <f>'kc tanah'!H77</f>
        <v>0</v>
      </c>
      <c r="M377" s="134">
        <f>'kc tanah'!I77</f>
        <v>0</v>
      </c>
      <c r="N377" s="134">
        <f>'kc tanah'!J77</f>
        <v>11</v>
      </c>
      <c r="O377" s="159">
        <f>'kc tanah'!K77</f>
        <v>0</v>
      </c>
      <c r="P377" s="127">
        <f t="shared" si="150"/>
        <v>67.400000000000006</v>
      </c>
      <c r="Q377" s="130">
        <f t="shared" si="151"/>
        <v>684.4</v>
      </c>
    </row>
    <row r="378" spans="1:17" x14ac:dyDescent="0.25">
      <c r="A378" s="86">
        <v>4</v>
      </c>
      <c r="B378" s="15" t="s">
        <v>21</v>
      </c>
      <c r="C378" s="60">
        <v>19</v>
      </c>
      <c r="D378" s="60">
        <v>0</v>
      </c>
      <c r="E378" s="60">
        <v>0</v>
      </c>
      <c r="F378" s="60">
        <f>'kc tanah'!C78</f>
        <v>0</v>
      </c>
      <c r="G378" s="60">
        <f>'kc tanah'!D78</f>
        <v>17</v>
      </c>
      <c r="H378" s="157">
        <f>'kc tanah'!E78</f>
        <v>0</v>
      </c>
      <c r="I378" s="127">
        <f t="shared" si="149"/>
        <v>36</v>
      </c>
      <c r="J378" s="262">
        <f>'kc tanah'!F78</f>
        <v>154</v>
      </c>
      <c r="K378" s="134">
        <f>'kc tanah'!G78</f>
        <v>5</v>
      </c>
      <c r="L378" s="134">
        <f>'kc tanah'!H78</f>
        <v>0</v>
      </c>
      <c r="M378" s="134">
        <f>'kc tanah'!I78</f>
        <v>4</v>
      </c>
      <c r="N378" s="134">
        <f>'kc tanah'!J78</f>
        <v>9</v>
      </c>
      <c r="O378" s="159">
        <f>'kc tanah'!K78</f>
        <v>0</v>
      </c>
      <c r="P378" s="127">
        <f t="shared" si="150"/>
        <v>172</v>
      </c>
      <c r="Q378" s="130">
        <f t="shared" si="151"/>
        <v>208</v>
      </c>
    </row>
    <row r="379" spans="1:17" x14ac:dyDescent="0.25">
      <c r="A379" s="86">
        <v>5</v>
      </c>
      <c r="B379" s="19" t="s">
        <v>22</v>
      </c>
      <c r="C379" s="60">
        <v>0</v>
      </c>
      <c r="D379" s="60">
        <v>0</v>
      </c>
      <c r="E379" s="60">
        <v>0</v>
      </c>
      <c r="F379" s="60">
        <f>'kc tanah'!C79</f>
        <v>199</v>
      </c>
      <c r="G379" s="60">
        <f>'kc tanah'!D79</f>
        <v>42</v>
      </c>
      <c r="H379" s="157">
        <f>'kc tanah'!E79</f>
        <v>38</v>
      </c>
      <c r="I379" s="127">
        <f t="shared" si="149"/>
        <v>279</v>
      </c>
      <c r="J379" s="262">
        <f>'kc tanah'!F79</f>
        <v>63</v>
      </c>
      <c r="K379" s="134">
        <f>'kc tanah'!G79</f>
        <v>34</v>
      </c>
      <c r="L379" s="134">
        <f>'kc tanah'!H79</f>
        <v>0</v>
      </c>
      <c r="M379" s="134">
        <f>'kc tanah'!I79</f>
        <v>0</v>
      </c>
      <c r="N379" s="134">
        <f>'kc tanah'!J79</f>
        <v>0</v>
      </c>
      <c r="O379" s="159">
        <f>'kc tanah'!K79</f>
        <v>0</v>
      </c>
      <c r="P379" s="127">
        <f t="shared" si="150"/>
        <v>97</v>
      </c>
      <c r="Q379" s="130">
        <f t="shared" si="151"/>
        <v>376</v>
      </c>
    </row>
    <row r="380" spans="1:17" x14ac:dyDescent="0.25">
      <c r="A380" s="86">
        <v>6</v>
      </c>
      <c r="B380" s="19" t="s">
        <v>23</v>
      </c>
      <c r="C380" s="60">
        <v>16</v>
      </c>
      <c r="D380" s="60">
        <v>7</v>
      </c>
      <c r="E380" s="60">
        <v>0</v>
      </c>
      <c r="F380" s="60">
        <f>'kc tanah'!C80</f>
        <v>0</v>
      </c>
      <c r="G380" s="60">
        <f>'kc tanah'!D80</f>
        <v>10</v>
      </c>
      <c r="H380" s="157">
        <f>'kc tanah'!E80</f>
        <v>0</v>
      </c>
      <c r="I380" s="127">
        <f t="shared" si="149"/>
        <v>33</v>
      </c>
      <c r="J380" s="262">
        <f>'kc tanah'!F80</f>
        <v>0</v>
      </c>
      <c r="K380" s="134">
        <f>'kc tanah'!G80</f>
        <v>3</v>
      </c>
      <c r="L380" s="134">
        <f>'kc tanah'!H80</f>
        <v>33</v>
      </c>
      <c r="M380" s="134">
        <f>'kc tanah'!I80</f>
        <v>0</v>
      </c>
      <c r="N380" s="134">
        <f>'kc tanah'!J80</f>
        <v>29</v>
      </c>
      <c r="O380" s="159">
        <f>'kc tanah'!K80</f>
        <v>0</v>
      </c>
      <c r="P380" s="127">
        <f t="shared" si="150"/>
        <v>65</v>
      </c>
      <c r="Q380" s="130">
        <f t="shared" si="151"/>
        <v>98</v>
      </c>
    </row>
    <row r="381" spans="1:17" x14ac:dyDescent="0.25">
      <c r="A381" s="86">
        <v>7</v>
      </c>
      <c r="B381" s="19" t="s">
        <v>24</v>
      </c>
      <c r="C381" s="60">
        <v>0</v>
      </c>
      <c r="D381" s="60">
        <v>0</v>
      </c>
      <c r="E381" s="60">
        <v>0</v>
      </c>
      <c r="F381" s="60">
        <f>'kc tanah'!C81</f>
        <v>0</v>
      </c>
      <c r="G381" s="60">
        <f>'kc tanah'!D81</f>
        <v>0</v>
      </c>
      <c r="H381" s="157">
        <f>'kc tanah'!E81</f>
        <v>0.6</v>
      </c>
      <c r="I381" s="127">
        <f t="shared" si="149"/>
        <v>0.6</v>
      </c>
      <c r="J381" s="262">
        <f>'kc tanah'!F81</f>
        <v>0.5</v>
      </c>
      <c r="K381" s="134">
        <f>'kc tanah'!G81</f>
        <v>0</v>
      </c>
      <c r="L381" s="134">
        <f>'kc tanah'!H81</f>
        <v>0</v>
      </c>
      <c r="M381" s="134">
        <f>'kc tanah'!I81</f>
        <v>0</v>
      </c>
      <c r="N381" s="134">
        <f>'kc tanah'!J81</f>
        <v>0</v>
      </c>
      <c r="O381" s="159">
        <f>'kc tanah'!K81</f>
        <v>0</v>
      </c>
      <c r="P381" s="127">
        <f t="shared" si="150"/>
        <v>0.5</v>
      </c>
      <c r="Q381" s="130">
        <f t="shared" si="151"/>
        <v>1.1000000000000001</v>
      </c>
    </row>
    <row r="382" spans="1:17" ht="15.75" thickBot="1" x14ac:dyDescent="0.3">
      <c r="A382" s="87">
        <v>8</v>
      </c>
      <c r="B382" s="15" t="s">
        <v>25</v>
      </c>
      <c r="C382" s="139">
        <v>255</v>
      </c>
      <c r="D382" s="139">
        <v>28</v>
      </c>
      <c r="E382" s="139">
        <v>151</v>
      </c>
      <c r="F382" s="139">
        <f>'kc tanah'!C82</f>
        <v>23</v>
      </c>
      <c r="G382" s="139">
        <f>'kc tanah'!D82</f>
        <v>68</v>
      </c>
      <c r="H382" s="139">
        <f>'kc tanah'!E82</f>
        <v>0</v>
      </c>
      <c r="I382" s="128">
        <f t="shared" si="149"/>
        <v>525</v>
      </c>
      <c r="J382" s="273">
        <f>'kc tanah'!F82</f>
        <v>175</v>
      </c>
      <c r="K382" s="273">
        <f>'kc tanah'!G82</f>
        <v>38</v>
      </c>
      <c r="L382" s="273">
        <f>'kc tanah'!H82</f>
        <v>0</v>
      </c>
      <c r="M382" s="273">
        <f>'kc tanah'!I82</f>
        <v>98</v>
      </c>
      <c r="N382" s="273">
        <f>'kc tanah'!J82</f>
        <v>0</v>
      </c>
      <c r="O382" s="273">
        <f>'kc tanah'!K82</f>
        <v>0</v>
      </c>
      <c r="P382" s="128">
        <f>SUM(J382:O382)</f>
        <v>311</v>
      </c>
      <c r="Q382" s="131">
        <f t="shared" si="151"/>
        <v>836</v>
      </c>
    </row>
    <row r="383" spans="1:17" ht="16.5" thickTop="1" thickBot="1" x14ac:dyDescent="0.3">
      <c r="A383" s="378" t="s">
        <v>26</v>
      </c>
      <c r="B383" s="379"/>
      <c r="C383" s="114">
        <f t="shared" ref="C383:H383" si="152">SUM(C375:C382)</f>
        <v>290</v>
      </c>
      <c r="D383" s="114">
        <f t="shared" si="152"/>
        <v>35</v>
      </c>
      <c r="E383" s="114">
        <f t="shared" si="152"/>
        <v>151</v>
      </c>
      <c r="F383" s="114">
        <f t="shared" si="152"/>
        <v>391</v>
      </c>
      <c r="G383" s="114">
        <f t="shared" si="152"/>
        <v>520</v>
      </c>
      <c r="H383" s="123">
        <f t="shared" si="152"/>
        <v>343.6</v>
      </c>
      <c r="I383" s="125">
        <f>SUM(I375:I382)</f>
        <v>1730.6</v>
      </c>
      <c r="J383" s="135">
        <f t="shared" ref="J383:O383" si="153">SUM(J375:J382)</f>
        <v>625.5</v>
      </c>
      <c r="K383" s="114">
        <f t="shared" si="153"/>
        <v>129.4</v>
      </c>
      <c r="L383" s="114">
        <f t="shared" si="153"/>
        <v>33</v>
      </c>
      <c r="M383" s="114">
        <f t="shared" si="153"/>
        <v>102</v>
      </c>
      <c r="N383" s="114">
        <f t="shared" si="153"/>
        <v>49</v>
      </c>
      <c r="O383" s="123">
        <f t="shared" si="153"/>
        <v>0</v>
      </c>
      <c r="P383" s="125">
        <f>SUM(P375:P382)</f>
        <v>938.9</v>
      </c>
      <c r="Q383" s="132">
        <f>SUM(Q375:Q382)</f>
        <v>2669.5</v>
      </c>
    </row>
    <row r="385" spans="1:17" ht="15.75" x14ac:dyDescent="0.25">
      <c r="A385" s="380" t="s">
        <v>132</v>
      </c>
      <c r="B385" s="380"/>
      <c r="C385" s="380"/>
      <c r="D385" s="380"/>
      <c r="E385" s="380"/>
      <c r="F385" s="380"/>
      <c r="G385" s="380"/>
      <c r="H385" s="380"/>
      <c r="I385" s="380"/>
      <c r="J385" s="380"/>
      <c r="K385" s="380"/>
      <c r="L385" s="380"/>
      <c r="M385" s="380"/>
      <c r="N385" s="380"/>
      <c r="O385" s="380"/>
      <c r="P385" s="380"/>
      <c r="Q385" s="380"/>
    </row>
    <row r="386" spans="1:17" ht="15.75" x14ac:dyDescent="0.25">
      <c r="A386" s="380" t="s">
        <v>82</v>
      </c>
      <c r="B386" s="380"/>
      <c r="C386" s="380"/>
      <c r="D386" s="380"/>
      <c r="E386" s="380"/>
      <c r="F386" s="380"/>
      <c r="G386" s="380"/>
      <c r="H386" s="380"/>
      <c r="I386" s="380"/>
      <c r="J386" s="380"/>
      <c r="K386" s="380"/>
      <c r="L386" s="380"/>
      <c r="M386" s="380"/>
      <c r="N386" s="380"/>
      <c r="O386" s="380"/>
      <c r="P386" s="380"/>
      <c r="Q386" s="380"/>
    </row>
    <row r="387" spans="1:17" ht="15.75" thickBot="1" x14ac:dyDescent="0.3">
      <c r="Q387" s="76" t="s">
        <v>29</v>
      </c>
    </row>
    <row r="388" spans="1:17" x14ac:dyDescent="0.25">
      <c r="A388" s="375" t="s">
        <v>2</v>
      </c>
      <c r="B388" s="377" t="s">
        <v>3</v>
      </c>
      <c r="C388" s="381" t="s">
        <v>90</v>
      </c>
      <c r="D388" s="382"/>
      <c r="E388" s="382"/>
      <c r="F388" s="382"/>
      <c r="G388" s="382"/>
      <c r="H388" s="382"/>
      <c r="I388" s="383" t="s">
        <v>83</v>
      </c>
      <c r="J388" s="382">
        <v>2017</v>
      </c>
      <c r="K388" s="382"/>
      <c r="L388" s="382"/>
      <c r="M388" s="382"/>
      <c r="N388" s="382"/>
      <c r="O388" s="382"/>
      <c r="P388" s="383" t="s">
        <v>84</v>
      </c>
      <c r="Q388" s="385" t="s">
        <v>5</v>
      </c>
    </row>
    <row r="389" spans="1:17" x14ac:dyDescent="0.25">
      <c r="A389" s="376"/>
      <c r="B389" s="363"/>
      <c r="C389" s="207" t="s">
        <v>15</v>
      </c>
      <c r="D389" s="207" t="s">
        <v>16</v>
      </c>
      <c r="E389" s="207" t="s">
        <v>17</v>
      </c>
      <c r="F389" s="207" t="s">
        <v>6</v>
      </c>
      <c r="G389" s="207" t="s">
        <v>77</v>
      </c>
      <c r="H389" s="121" t="s">
        <v>78</v>
      </c>
      <c r="I389" s="384"/>
      <c r="J389" s="111" t="s">
        <v>79</v>
      </c>
      <c r="K389" s="207" t="s">
        <v>10</v>
      </c>
      <c r="L389" s="207" t="s">
        <v>11</v>
      </c>
      <c r="M389" s="207" t="s">
        <v>12</v>
      </c>
      <c r="N389" s="207" t="s">
        <v>80</v>
      </c>
      <c r="O389" s="121" t="s">
        <v>81</v>
      </c>
      <c r="P389" s="384"/>
      <c r="Q389" s="386"/>
    </row>
    <row r="390" spans="1:17" ht="15.75" thickBot="1" x14ac:dyDescent="0.3">
      <c r="A390" s="113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2">
        <v>8</v>
      </c>
      <c r="I390" s="124">
        <v>9</v>
      </c>
      <c r="J390" s="112">
        <v>10</v>
      </c>
      <c r="K390" s="5">
        <v>11</v>
      </c>
      <c r="L390" s="5">
        <v>12</v>
      </c>
      <c r="M390" s="5">
        <v>13</v>
      </c>
      <c r="N390" s="5">
        <v>14</v>
      </c>
      <c r="O390" s="122">
        <v>15</v>
      </c>
      <c r="P390" s="124">
        <v>16</v>
      </c>
      <c r="Q390" s="133">
        <v>17</v>
      </c>
    </row>
    <row r="391" spans="1:17" ht="15.75" thickTop="1" x14ac:dyDescent="0.25">
      <c r="A391" s="84">
        <v>1</v>
      </c>
      <c r="B391" s="7" t="s">
        <v>18</v>
      </c>
      <c r="C391" s="138">
        <v>19</v>
      </c>
      <c r="D391" s="138">
        <v>0</v>
      </c>
      <c r="E391" s="138">
        <v>0</v>
      </c>
      <c r="F391" s="138">
        <f>'ubi kayu'!C75</f>
        <v>0</v>
      </c>
      <c r="G391" s="138">
        <f>'ubi kayu'!D75</f>
        <v>0</v>
      </c>
      <c r="H391" s="138">
        <f>'ubi kayu'!E75</f>
        <v>0</v>
      </c>
      <c r="I391" s="126">
        <f>SUM(C391:H391)</f>
        <v>19</v>
      </c>
      <c r="J391" s="158">
        <f>'ubi kayu'!F75</f>
        <v>0</v>
      </c>
      <c r="K391" s="158">
        <f>'ubi kayu'!G75</f>
        <v>0</v>
      </c>
      <c r="L391" s="158">
        <f>'ubi kayu'!H75</f>
        <v>54</v>
      </c>
      <c r="M391" s="158">
        <f>'ubi kayu'!I75</f>
        <v>0</v>
      </c>
      <c r="N391" s="158">
        <f>'ubi kayu'!J75</f>
        <v>0</v>
      </c>
      <c r="O391" s="158">
        <f>'ubi kayu'!K75</f>
        <v>0</v>
      </c>
      <c r="P391" s="126">
        <f>SUM(J391:O391)</f>
        <v>54</v>
      </c>
      <c r="Q391" s="129">
        <f>SUM(I391,P391)</f>
        <v>73</v>
      </c>
    </row>
    <row r="392" spans="1:17" x14ac:dyDescent="0.25">
      <c r="A392" s="85">
        <v>2</v>
      </c>
      <c r="B392" s="12" t="s">
        <v>19</v>
      </c>
      <c r="C392" s="60">
        <v>0</v>
      </c>
      <c r="D392" s="60">
        <v>0</v>
      </c>
      <c r="E392" s="60">
        <v>0</v>
      </c>
      <c r="F392" s="60">
        <f>'ubi kayu'!C76</f>
        <v>25</v>
      </c>
      <c r="G392" s="60">
        <f>'ubi kayu'!D76</f>
        <v>0</v>
      </c>
      <c r="H392" s="157">
        <f>'ubi kayu'!E76</f>
        <v>0</v>
      </c>
      <c r="I392" s="127">
        <f t="shared" ref="I392:I398" si="154">SUM(C392:H392)</f>
        <v>25</v>
      </c>
      <c r="J392" s="262">
        <f>'ubi kayu'!F76</f>
        <v>9</v>
      </c>
      <c r="K392" s="134">
        <f>'ubi kayu'!G76</f>
        <v>0</v>
      </c>
      <c r="L392" s="134">
        <f>'ubi kayu'!H76</f>
        <v>0</v>
      </c>
      <c r="M392" s="134">
        <f>'ubi kayu'!I76</f>
        <v>0</v>
      </c>
      <c r="N392" s="134">
        <f>'ubi kayu'!J76</f>
        <v>11</v>
      </c>
      <c r="O392" s="159">
        <f>'ubi kayu'!K76</f>
        <v>0</v>
      </c>
      <c r="P392" s="127">
        <f t="shared" ref="P392:P397" si="155">SUM(J392:O392)</f>
        <v>20</v>
      </c>
      <c r="Q392" s="130">
        <f t="shared" ref="Q392:Q398" si="156">SUM(I392,P392)</f>
        <v>45</v>
      </c>
    </row>
    <row r="393" spans="1:17" x14ac:dyDescent="0.25">
      <c r="A393" s="85">
        <v>3</v>
      </c>
      <c r="B393" s="7" t="s">
        <v>20</v>
      </c>
      <c r="C393" s="60">
        <v>26</v>
      </c>
      <c r="D393" s="60">
        <v>0</v>
      </c>
      <c r="E393" s="60">
        <v>0</v>
      </c>
      <c r="F393" s="60">
        <f>'ubi kayu'!C77</f>
        <v>0</v>
      </c>
      <c r="G393" s="60">
        <f>'ubi kayu'!D77</f>
        <v>0</v>
      </c>
      <c r="H393" s="157">
        <f>'ubi kayu'!E77</f>
        <v>0</v>
      </c>
      <c r="I393" s="127">
        <f t="shared" si="154"/>
        <v>26</v>
      </c>
      <c r="J393" s="262">
        <f>'ubi kayu'!F77</f>
        <v>0</v>
      </c>
      <c r="K393" s="134">
        <f>'ubi kayu'!G77</f>
        <v>0</v>
      </c>
      <c r="L393" s="134">
        <f>'ubi kayu'!H77</f>
        <v>0</v>
      </c>
      <c r="M393" s="134">
        <f>'ubi kayu'!I77</f>
        <v>0</v>
      </c>
      <c r="N393" s="134">
        <f>'ubi kayu'!J77</f>
        <v>0</v>
      </c>
      <c r="O393" s="159">
        <f>'ubi kayu'!K77</f>
        <v>94</v>
      </c>
      <c r="P393" s="127">
        <f t="shared" si="155"/>
        <v>94</v>
      </c>
      <c r="Q393" s="130">
        <f t="shared" si="156"/>
        <v>120</v>
      </c>
    </row>
    <row r="394" spans="1:17" x14ac:dyDescent="0.25">
      <c r="A394" s="86">
        <v>4</v>
      </c>
      <c r="B394" s="15" t="s">
        <v>21</v>
      </c>
      <c r="C394" s="60">
        <v>0</v>
      </c>
      <c r="D394" s="60">
        <v>15</v>
      </c>
      <c r="E394" s="60">
        <v>37</v>
      </c>
      <c r="F394" s="60">
        <f>'ubi kayu'!C78</f>
        <v>0</v>
      </c>
      <c r="G394" s="60">
        <f>'ubi kayu'!D78</f>
        <v>0</v>
      </c>
      <c r="H394" s="157">
        <f>'ubi kayu'!E78</f>
        <v>30</v>
      </c>
      <c r="I394" s="127">
        <f t="shared" si="154"/>
        <v>82</v>
      </c>
      <c r="J394" s="262">
        <f>'ubi kayu'!F78</f>
        <v>0</v>
      </c>
      <c r="K394" s="134">
        <f>'ubi kayu'!G78</f>
        <v>0</v>
      </c>
      <c r="L394" s="134">
        <f>'ubi kayu'!H78</f>
        <v>0</v>
      </c>
      <c r="M394" s="134">
        <f>'ubi kayu'!I78</f>
        <v>0</v>
      </c>
      <c r="N394" s="134">
        <f>'ubi kayu'!J78</f>
        <v>0</v>
      </c>
      <c r="O394" s="159">
        <f>'ubi kayu'!K78</f>
        <v>0</v>
      </c>
      <c r="P394" s="127">
        <f t="shared" si="155"/>
        <v>0</v>
      </c>
      <c r="Q394" s="130">
        <f t="shared" si="156"/>
        <v>82</v>
      </c>
    </row>
    <row r="395" spans="1:17" x14ac:dyDescent="0.25">
      <c r="A395" s="86">
        <v>5</v>
      </c>
      <c r="B395" s="19" t="s">
        <v>22</v>
      </c>
      <c r="C395" s="60">
        <v>0</v>
      </c>
      <c r="D395" s="60">
        <v>0</v>
      </c>
      <c r="E395" s="60">
        <v>0</v>
      </c>
      <c r="F395" s="60">
        <f>'ubi kayu'!C79</f>
        <v>0</v>
      </c>
      <c r="G395" s="60">
        <f>'ubi kayu'!D79</f>
        <v>24</v>
      </c>
      <c r="H395" s="157">
        <f>'ubi kayu'!E79</f>
        <v>8</v>
      </c>
      <c r="I395" s="127">
        <f t="shared" si="154"/>
        <v>32</v>
      </c>
      <c r="J395" s="262">
        <f>'ubi kayu'!F79</f>
        <v>9</v>
      </c>
      <c r="K395" s="134">
        <f>'ubi kayu'!G79</f>
        <v>0</v>
      </c>
      <c r="L395" s="134">
        <f>'ubi kayu'!H79</f>
        <v>0</v>
      </c>
      <c r="M395" s="134">
        <f>'ubi kayu'!I79</f>
        <v>0</v>
      </c>
      <c r="N395" s="134">
        <f>'ubi kayu'!J79</f>
        <v>10</v>
      </c>
      <c r="O395" s="159">
        <f>'ubi kayu'!K79</f>
        <v>0</v>
      </c>
      <c r="P395" s="127">
        <f t="shared" si="155"/>
        <v>19</v>
      </c>
      <c r="Q395" s="130">
        <f t="shared" si="156"/>
        <v>51</v>
      </c>
    </row>
    <row r="396" spans="1:17" x14ac:dyDescent="0.25">
      <c r="A396" s="86">
        <v>6</v>
      </c>
      <c r="B396" s="19" t="s">
        <v>23</v>
      </c>
      <c r="C396" s="60">
        <v>0</v>
      </c>
      <c r="D396" s="60">
        <v>60</v>
      </c>
      <c r="E396" s="60">
        <v>0</v>
      </c>
      <c r="F396" s="60">
        <f>'ubi kayu'!C80</f>
        <v>0</v>
      </c>
      <c r="G396" s="60">
        <f>'ubi kayu'!D80</f>
        <v>0</v>
      </c>
      <c r="H396" s="157">
        <f>'ubi kayu'!E80</f>
        <v>0</v>
      </c>
      <c r="I396" s="127">
        <f t="shared" si="154"/>
        <v>60</v>
      </c>
      <c r="J396" s="262">
        <f>'ubi kayu'!F80</f>
        <v>0</v>
      </c>
      <c r="K396" s="134">
        <f>'ubi kayu'!G80</f>
        <v>0</v>
      </c>
      <c r="L396" s="134">
        <f>'ubi kayu'!H80</f>
        <v>18</v>
      </c>
      <c r="M396" s="134">
        <f>'ubi kayu'!I80</f>
        <v>9</v>
      </c>
      <c r="N396" s="134">
        <f>'ubi kayu'!J80</f>
        <v>19</v>
      </c>
      <c r="O396" s="159">
        <f>'ubi kayu'!K80</f>
        <v>0</v>
      </c>
      <c r="P396" s="127">
        <f t="shared" si="155"/>
        <v>46</v>
      </c>
      <c r="Q396" s="130">
        <f t="shared" si="156"/>
        <v>106</v>
      </c>
    </row>
    <row r="397" spans="1:17" x14ac:dyDescent="0.25">
      <c r="A397" s="86">
        <v>7</v>
      </c>
      <c r="B397" s="19" t="s">
        <v>24</v>
      </c>
      <c r="C397" s="60">
        <v>0</v>
      </c>
      <c r="D397" s="60">
        <v>0</v>
      </c>
      <c r="E397" s="60">
        <v>0</v>
      </c>
      <c r="F397" s="60">
        <f>'ubi kayu'!C81</f>
        <v>0</v>
      </c>
      <c r="G397" s="60">
        <f>'ubi kayu'!D81</f>
        <v>0</v>
      </c>
      <c r="H397" s="157">
        <f>'ubi kayu'!E81</f>
        <v>0</v>
      </c>
      <c r="I397" s="127">
        <f t="shared" si="154"/>
        <v>0</v>
      </c>
      <c r="J397" s="262">
        <f>'ubi kayu'!F81</f>
        <v>0</v>
      </c>
      <c r="K397" s="134">
        <f>'ubi kayu'!G81</f>
        <v>0</v>
      </c>
      <c r="L397" s="134">
        <f>'ubi kayu'!H81</f>
        <v>0</v>
      </c>
      <c r="M397" s="134">
        <f>'ubi kayu'!I81</f>
        <v>0</v>
      </c>
      <c r="N397" s="134">
        <f>'ubi kayu'!J81</f>
        <v>0</v>
      </c>
      <c r="O397" s="159">
        <f>'ubi kayu'!K81</f>
        <v>15</v>
      </c>
      <c r="P397" s="127">
        <f t="shared" si="155"/>
        <v>15</v>
      </c>
      <c r="Q397" s="130">
        <f t="shared" si="156"/>
        <v>15</v>
      </c>
    </row>
    <row r="398" spans="1:17" ht="15.75" thickBot="1" x14ac:dyDescent="0.3">
      <c r="A398" s="87">
        <v>8</v>
      </c>
      <c r="B398" s="15" t="s">
        <v>25</v>
      </c>
      <c r="C398" s="139">
        <v>0</v>
      </c>
      <c r="D398" s="139">
        <v>0</v>
      </c>
      <c r="E398" s="139">
        <v>31</v>
      </c>
      <c r="F398" s="139">
        <f>'ubi kayu'!C82</f>
        <v>15</v>
      </c>
      <c r="G398" s="139">
        <f>'ubi kayu'!D82</f>
        <v>0</v>
      </c>
      <c r="H398" s="139">
        <f>'ubi kayu'!E82</f>
        <v>0</v>
      </c>
      <c r="I398" s="128">
        <f t="shared" si="154"/>
        <v>46</v>
      </c>
      <c r="J398" s="273">
        <f>'ubi kayu'!F82</f>
        <v>10</v>
      </c>
      <c r="K398" s="273">
        <f>'ubi kayu'!G82</f>
        <v>0</v>
      </c>
      <c r="L398" s="273">
        <f>'ubi kayu'!H82</f>
        <v>0</v>
      </c>
      <c r="M398" s="273">
        <f>'ubi kayu'!I82</f>
        <v>32</v>
      </c>
      <c r="N398" s="273">
        <f>'ubi kayu'!J82</f>
        <v>0</v>
      </c>
      <c r="O398" s="273">
        <f>'ubi kayu'!K82</f>
        <v>0</v>
      </c>
      <c r="P398" s="128">
        <f>SUM(J398:O398)</f>
        <v>42</v>
      </c>
      <c r="Q398" s="131">
        <f t="shared" si="156"/>
        <v>88</v>
      </c>
    </row>
    <row r="399" spans="1:17" ht="16.5" thickTop="1" thickBot="1" x14ac:dyDescent="0.3">
      <c r="A399" s="378" t="s">
        <v>26</v>
      </c>
      <c r="B399" s="379"/>
      <c r="C399" s="114">
        <f t="shared" ref="C399:H399" si="157">SUM(C391:C398)</f>
        <v>45</v>
      </c>
      <c r="D399" s="114">
        <f t="shared" si="157"/>
        <v>75</v>
      </c>
      <c r="E399" s="114">
        <f t="shared" si="157"/>
        <v>68</v>
      </c>
      <c r="F399" s="114">
        <f t="shared" si="157"/>
        <v>40</v>
      </c>
      <c r="G399" s="114">
        <f t="shared" si="157"/>
        <v>24</v>
      </c>
      <c r="H399" s="123">
        <f t="shared" si="157"/>
        <v>38</v>
      </c>
      <c r="I399" s="125">
        <f>SUM(I391:I398)</f>
        <v>290</v>
      </c>
      <c r="J399" s="135">
        <f t="shared" ref="J399:O399" si="158">SUM(J391:J398)</f>
        <v>28</v>
      </c>
      <c r="K399" s="114">
        <f t="shared" si="158"/>
        <v>0</v>
      </c>
      <c r="L399" s="114">
        <f t="shared" si="158"/>
        <v>72</v>
      </c>
      <c r="M399" s="114">
        <f t="shared" si="158"/>
        <v>41</v>
      </c>
      <c r="N399" s="114">
        <f t="shared" si="158"/>
        <v>40</v>
      </c>
      <c r="O399" s="123">
        <f t="shared" si="158"/>
        <v>109</v>
      </c>
      <c r="P399" s="125">
        <f>SUM(P391:P398)</f>
        <v>290</v>
      </c>
      <c r="Q399" s="132">
        <f>SUM(Q391:Q398)</f>
        <v>580</v>
      </c>
    </row>
    <row r="401" spans="1:17" ht="15.75" x14ac:dyDescent="0.25">
      <c r="A401" s="380" t="s">
        <v>133</v>
      </c>
      <c r="B401" s="380"/>
      <c r="C401" s="380"/>
      <c r="D401" s="380"/>
      <c r="E401" s="380"/>
      <c r="F401" s="380"/>
      <c r="G401" s="380"/>
      <c r="H401" s="380"/>
      <c r="I401" s="380"/>
      <c r="J401" s="380"/>
      <c r="K401" s="380"/>
      <c r="L401" s="380"/>
      <c r="M401" s="380"/>
      <c r="N401" s="380"/>
      <c r="O401" s="380"/>
      <c r="P401" s="380"/>
      <c r="Q401" s="380"/>
    </row>
    <row r="402" spans="1:17" ht="15.75" x14ac:dyDescent="0.25">
      <c r="A402" s="380" t="s">
        <v>82</v>
      </c>
      <c r="B402" s="380"/>
      <c r="C402" s="380"/>
      <c r="D402" s="380"/>
      <c r="E402" s="380"/>
      <c r="F402" s="380"/>
      <c r="G402" s="380"/>
      <c r="H402" s="380"/>
      <c r="I402" s="380"/>
      <c r="J402" s="380"/>
      <c r="K402" s="380"/>
      <c r="L402" s="380"/>
      <c r="M402" s="380"/>
      <c r="N402" s="380"/>
      <c r="O402" s="380"/>
      <c r="P402" s="380"/>
      <c r="Q402" s="380"/>
    </row>
    <row r="403" spans="1:17" ht="15.75" thickBot="1" x14ac:dyDescent="0.3">
      <c r="Q403" s="76" t="s">
        <v>29</v>
      </c>
    </row>
    <row r="404" spans="1:17" x14ac:dyDescent="0.25">
      <c r="A404" s="375" t="s">
        <v>2</v>
      </c>
      <c r="B404" s="377" t="s">
        <v>3</v>
      </c>
      <c r="C404" s="381" t="s">
        <v>90</v>
      </c>
      <c r="D404" s="382"/>
      <c r="E404" s="382"/>
      <c r="F404" s="382"/>
      <c r="G404" s="382"/>
      <c r="H404" s="382"/>
      <c r="I404" s="383" t="s">
        <v>83</v>
      </c>
      <c r="J404" s="382">
        <v>2017</v>
      </c>
      <c r="K404" s="382"/>
      <c r="L404" s="382"/>
      <c r="M404" s="382"/>
      <c r="N404" s="382"/>
      <c r="O404" s="382"/>
      <c r="P404" s="383" t="s">
        <v>84</v>
      </c>
      <c r="Q404" s="385" t="s">
        <v>5</v>
      </c>
    </row>
    <row r="405" spans="1:17" x14ac:dyDescent="0.25">
      <c r="A405" s="376"/>
      <c r="B405" s="363"/>
      <c r="C405" s="207" t="s">
        <v>15</v>
      </c>
      <c r="D405" s="207" t="s">
        <v>16</v>
      </c>
      <c r="E405" s="207" t="s">
        <v>17</v>
      </c>
      <c r="F405" s="207" t="s">
        <v>6</v>
      </c>
      <c r="G405" s="207" t="s">
        <v>77</v>
      </c>
      <c r="H405" s="121" t="s">
        <v>78</v>
      </c>
      <c r="I405" s="384"/>
      <c r="J405" s="111" t="s">
        <v>79</v>
      </c>
      <c r="K405" s="207" t="s">
        <v>10</v>
      </c>
      <c r="L405" s="207" t="s">
        <v>11</v>
      </c>
      <c r="M405" s="207" t="s">
        <v>12</v>
      </c>
      <c r="N405" s="207" t="s">
        <v>80</v>
      </c>
      <c r="O405" s="121" t="s">
        <v>81</v>
      </c>
      <c r="P405" s="384"/>
      <c r="Q405" s="386"/>
    </row>
    <row r="406" spans="1:17" ht="15.75" thickBot="1" x14ac:dyDescent="0.3">
      <c r="A406" s="113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2">
        <v>8</v>
      </c>
      <c r="I406" s="124">
        <v>9</v>
      </c>
      <c r="J406" s="112">
        <v>10</v>
      </c>
      <c r="K406" s="5">
        <v>11</v>
      </c>
      <c r="L406" s="5">
        <v>12</v>
      </c>
      <c r="M406" s="5">
        <v>13</v>
      </c>
      <c r="N406" s="5">
        <v>14</v>
      </c>
      <c r="O406" s="122">
        <v>15</v>
      </c>
      <c r="P406" s="124">
        <v>16</v>
      </c>
      <c r="Q406" s="133">
        <v>17</v>
      </c>
    </row>
    <row r="407" spans="1:17" ht="15.75" thickTop="1" x14ac:dyDescent="0.25">
      <c r="A407" s="84">
        <v>1</v>
      </c>
      <c r="B407" s="7" t="s">
        <v>18</v>
      </c>
      <c r="C407" s="138">
        <v>0</v>
      </c>
      <c r="D407" s="138">
        <v>0</v>
      </c>
      <c r="E407" s="138">
        <v>0</v>
      </c>
      <c r="F407" s="138">
        <f>'ubi jalar'!C75</f>
        <v>9</v>
      </c>
      <c r="G407" s="138">
        <f>'ubi jalar'!D75</f>
        <v>0</v>
      </c>
      <c r="H407" s="138">
        <f>'ubi jalar'!E75</f>
        <v>17</v>
      </c>
      <c r="I407" s="126">
        <f>SUM(C407:H407)</f>
        <v>26</v>
      </c>
      <c r="J407" s="158">
        <f>'ubi jalar'!F75</f>
        <v>0</v>
      </c>
      <c r="K407" s="158">
        <f>'ubi jalar'!G75</f>
        <v>0</v>
      </c>
      <c r="L407" s="158">
        <f>'ubi jalar'!H75</f>
        <v>0</v>
      </c>
      <c r="M407" s="158">
        <f>'ubi jalar'!I75</f>
        <v>0</v>
      </c>
      <c r="N407" s="158">
        <f>'ubi jalar'!J75</f>
        <v>0</v>
      </c>
      <c r="O407" s="158">
        <f>'ubi jalar'!K75</f>
        <v>0</v>
      </c>
      <c r="P407" s="126">
        <f>SUM(J407:O407)</f>
        <v>0</v>
      </c>
      <c r="Q407" s="129">
        <f>SUM(I407,P407)</f>
        <v>26</v>
      </c>
    </row>
    <row r="408" spans="1:17" x14ac:dyDescent="0.25">
      <c r="A408" s="85">
        <v>2</v>
      </c>
      <c r="B408" s="12" t="s">
        <v>19</v>
      </c>
      <c r="C408" s="60">
        <v>9</v>
      </c>
      <c r="D408" s="60">
        <v>0</v>
      </c>
      <c r="E408" s="60">
        <v>0</v>
      </c>
      <c r="F408" s="60">
        <f>'ubi jalar'!C76</f>
        <v>12</v>
      </c>
      <c r="G408" s="60">
        <f>'ubi jalar'!D76</f>
        <v>0</v>
      </c>
      <c r="H408" s="157">
        <f>'ubi jalar'!E76</f>
        <v>0</v>
      </c>
      <c r="I408" s="127">
        <f t="shared" ref="I408:I414" si="159">SUM(C408:H408)</f>
        <v>21</v>
      </c>
      <c r="J408" s="262">
        <f>'ubi jalar'!F76</f>
        <v>0</v>
      </c>
      <c r="K408" s="134">
        <f>'ubi jalar'!G76</f>
        <v>0</v>
      </c>
      <c r="L408" s="134">
        <f>'ubi jalar'!H76</f>
        <v>0</v>
      </c>
      <c r="M408" s="134">
        <f>'ubi jalar'!I76</f>
        <v>0</v>
      </c>
      <c r="N408" s="134">
        <f>'ubi jalar'!J76</f>
        <v>10</v>
      </c>
      <c r="O408" s="159">
        <f>'ubi jalar'!K76</f>
        <v>0</v>
      </c>
      <c r="P408" s="127">
        <f t="shared" ref="P408:P413" si="160">SUM(J408:O408)</f>
        <v>10</v>
      </c>
      <c r="Q408" s="130">
        <f t="shared" ref="Q408:Q414" si="161">SUM(I408,P408)</f>
        <v>31</v>
      </c>
    </row>
    <row r="409" spans="1:17" x14ac:dyDescent="0.25">
      <c r="A409" s="85">
        <v>3</v>
      </c>
      <c r="B409" s="7" t="s">
        <v>20</v>
      </c>
      <c r="C409" s="60">
        <v>0</v>
      </c>
      <c r="D409" s="60">
        <v>0</v>
      </c>
      <c r="E409" s="60">
        <v>0</v>
      </c>
      <c r="F409" s="60">
        <f>'ubi jalar'!C77</f>
        <v>0</v>
      </c>
      <c r="G409" s="60">
        <f>'ubi jalar'!D77</f>
        <v>0</v>
      </c>
      <c r="H409" s="157">
        <f>'ubi jalar'!E77</f>
        <v>0</v>
      </c>
      <c r="I409" s="127">
        <f t="shared" si="159"/>
        <v>0</v>
      </c>
      <c r="J409" s="262">
        <f>'ubi jalar'!F77</f>
        <v>0</v>
      </c>
      <c r="K409" s="134">
        <f>'ubi jalar'!G77</f>
        <v>0</v>
      </c>
      <c r="L409" s="134">
        <f>'ubi jalar'!H77</f>
        <v>0</v>
      </c>
      <c r="M409" s="134">
        <f>'ubi jalar'!I77</f>
        <v>0</v>
      </c>
      <c r="N409" s="134">
        <f>'ubi jalar'!J77</f>
        <v>0</v>
      </c>
      <c r="O409" s="159">
        <f>'ubi jalar'!K77</f>
        <v>0</v>
      </c>
      <c r="P409" s="127">
        <f t="shared" si="160"/>
        <v>0</v>
      </c>
      <c r="Q409" s="130">
        <f t="shared" si="161"/>
        <v>0</v>
      </c>
    </row>
    <row r="410" spans="1:17" x14ac:dyDescent="0.25">
      <c r="A410" s="86">
        <v>4</v>
      </c>
      <c r="B410" s="15" t="s">
        <v>21</v>
      </c>
      <c r="C410" s="60">
        <v>30</v>
      </c>
      <c r="D410" s="60">
        <v>0</v>
      </c>
      <c r="E410" s="60">
        <v>25</v>
      </c>
      <c r="F410" s="60">
        <f>'ubi jalar'!C78</f>
        <v>0</v>
      </c>
      <c r="G410" s="60">
        <f>'ubi jalar'!D78</f>
        <v>0</v>
      </c>
      <c r="H410" s="157">
        <f>'ubi jalar'!E78</f>
        <v>19</v>
      </c>
      <c r="I410" s="127">
        <f t="shared" si="159"/>
        <v>74</v>
      </c>
      <c r="J410" s="262">
        <f>'ubi jalar'!F78</f>
        <v>0</v>
      </c>
      <c r="K410" s="134">
        <f>'ubi jalar'!G78</f>
        <v>0</v>
      </c>
      <c r="L410" s="134">
        <f>'ubi jalar'!H78</f>
        <v>0</v>
      </c>
      <c r="M410" s="134">
        <f>'ubi jalar'!I78</f>
        <v>0</v>
      </c>
      <c r="N410" s="134">
        <f>'ubi jalar'!J78</f>
        <v>0</v>
      </c>
      <c r="O410" s="159">
        <f>'ubi jalar'!K78</f>
        <v>0</v>
      </c>
      <c r="P410" s="127">
        <f t="shared" si="160"/>
        <v>0</v>
      </c>
      <c r="Q410" s="130">
        <f t="shared" si="161"/>
        <v>74</v>
      </c>
    </row>
    <row r="411" spans="1:17" x14ac:dyDescent="0.25">
      <c r="A411" s="86">
        <v>5</v>
      </c>
      <c r="B411" s="19" t="s">
        <v>22</v>
      </c>
      <c r="C411" s="60">
        <v>10</v>
      </c>
      <c r="D411" s="60">
        <v>0</v>
      </c>
      <c r="E411" s="60">
        <v>0</v>
      </c>
      <c r="F411" s="60">
        <f>'ubi jalar'!C79</f>
        <v>17</v>
      </c>
      <c r="G411" s="60">
        <f>'ubi jalar'!D79</f>
        <v>0</v>
      </c>
      <c r="H411" s="157">
        <f>'ubi jalar'!E79</f>
        <v>0</v>
      </c>
      <c r="I411" s="127">
        <f t="shared" si="159"/>
        <v>27</v>
      </c>
      <c r="J411" s="262">
        <f>'ubi jalar'!F79</f>
        <v>0</v>
      </c>
      <c r="K411" s="134">
        <f>'ubi jalar'!G79</f>
        <v>0</v>
      </c>
      <c r="L411" s="134">
        <f>'ubi jalar'!H79</f>
        <v>0</v>
      </c>
      <c r="M411" s="134">
        <f>'ubi jalar'!I79</f>
        <v>0</v>
      </c>
      <c r="N411" s="134">
        <f>'ubi jalar'!J79</f>
        <v>0</v>
      </c>
      <c r="O411" s="159">
        <f>'ubi jalar'!K79</f>
        <v>0</v>
      </c>
      <c r="P411" s="127">
        <f t="shared" si="160"/>
        <v>0</v>
      </c>
      <c r="Q411" s="130">
        <f t="shared" si="161"/>
        <v>27</v>
      </c>
    </row>
    <row r="412" spans="1:17" x14ac:dyDescent="0.25">
      <c r="A412" s="86">
        <v>6</v>
      </c>
      <c r="B412" s="19" t="s">
        <v>23</v>
      </c>
      <c r="C412" s="60">
        <v>0</v>
      </c>
      <c r="D412" s="60">
        <v>0</v>
      </c>
      <c r="E412" s="60">
        <v>0</v>
      </c>
      <c r="F412" s="60">
        <f>'ubi jalar'!C80</f>
        <v>0</v>
      </c>
      <c r="G412" s="60">
        <f>'ubi jalar'!D80</f>
        <v>0</v>
      </c>
      <c r="H412" s="157">
        <f>'ubi jalar'!E80</f>
        <v>0</v>
      </c>
      <c r="I412" s="127">
        <f t="shared" si="159"/>
        <v>0</v>
      </c>
      <c r="J412" s="262">
        <f>'ubi jalar'!F80</f>
        <v>0</v>
      </c>
      <c r="K412" s="134">
        <f>'ubi jalar'!G80</f>
        <v>0</v>
      </c>
      <c r="L412" s="134">
        <f>'ubi jalar'!H80</f>
        <v>8</v>
      </c>
      <c r="M412" s="134">
        <f>'ubi jalar'!I80</f>
        <v>0</v>
      </c>
      <c r="N412" s="134">
        <f>'ubi jalar'!J80</f>
        <v>0</v>
      </c>
      <c r="O412" s="159">
        <f>'ubi jalar'!K80</f>
        <v>0</v>
      </c>
      <c r="P412" s="127">
        <f t="shared" si="160"/>
        <v>8</v>
      </c>
      <c r="Q412" s="130">
        <f t="shared" si="161"/>
        <v>8</v>
      </c>
    </row>
    <row r="413" spans="1:17" x14ac:dyDescent="0.25">
      <c r="A413" s="86">
        <v>7</v>
      </c>
      <c r="B413" s="19" t="s">
        <v>24</v>
      </c>
      <c r="C413" s="60">
        <v>0</v>
      </c>
      <c r="D413" s="60">
        <v>0</v>
      </c>
      <c r="E413" s="60">
        <v>0</v>
      </c>
      <c r="F413" s="60">
        <f>'ubi jalar'!C81</f>
        <v>0</v>
      </c>
      <c r="G413" s="60">
        <f>'ubi jalar'!D81</f>
        <v>0</v>
      </c>
      <c r="H413" s="157">
        <f>'ubi jalar'!E81</f>
        <v>0</v>
      </c>
      <c r="I413" s="127">
        <f t="shared" si="159"/>
        <v>0</v>
      </c>
      <c r="J413" s="262">
        <f>'ubi jalar'!F81</f>
        <v>0</v>
      </c>
      <c r="K413" s="134">
        <f>'ubi jalar'!G81</f>
        <v>0</v>
      </c>
      <c r="L413" s="134">
        <f>'ubi jalar'!H81</f>
        <v>8</v>
      </c>
      <c r="M413" s="134">
        <f>'ubi jalar'!I81</f>
        <v>0</v>
      </c>
      <c r="N413" s="134">
        <f>'ubi jalar'!J81</f>
        <v>0</v>
      </c>
      <c r="O413" s="159">
        <f>'ubi jalar'!K81</f>
        <v>0</v>
      </c>
      <c r="P413" s="127">
        <f t="shared" si="160"/>
        <v>8</v>
      </c>
      <c r="Q413" s="130">
        <f t="shared" si="161"/>
        <v>8</v>
      </c>
    </row>
    <row r="414" spans="1:17" ht="15.75" thickBot="1" x14ac:dyDescent="0.3">
      <c r="A414" s="87">
        <v>8</v>
      </c>
      <c r="B414" s="15" t="s">
        <v>25</v>
      </c>
      <c r="C414" s="139">
        <v>8</v>
      </c>
      <c r="D414" s="139">
        <v>0</v>
      </c>
      <c r="E414" s="139">
        <v>0</v>
      </c>
      <c r="F414" s="139">
        <f>'ubi jalar'!C82</f>
        <v>0</v>
      </c>
      <c r="G414" s="139">
        <f>'ubi jalar'!D82</f>
        <v>0</v>
      </c>
      <c r="H414" s="139">
        <f>'ubi jalar'!E82</f>
        <v>0</v>
      </c>
      <c r="I414" s="128">
        <f t="shared" si="159"/>
        <v>8</v>
      </c>
      <c r="J414" s="273">
        <f>'ubi jalar'!F82</f>
        <v>9</v>
      </c>
      <c r="K414" s="273">
        <f>'ubi jalar'!G82</f>
        <v>0</v>
      </c>
      <c r="L414" s="273">
        <f>'ubi jalar'!H82</f>
        <v>0</v>
      </c>
      <c r="M414" s="273">
        <f>'ubi jalar'!I82</f>
        <v>6</v>
      </c>
      <c r="N414" s="273">
        <f>'ubi jalar'!J82</f>
        <v>0</v>
      </c>
      <c r="O414" s="273">
        <f>'ubi jalar'!K82</f>
        <v>0</v>
      </c>
      <c r="P414" s="128">
        <f>SUM(J414:O414)</f>
        <v>15</v>
      </c>
      <c r="Q414" s="131">
        <f t="shared" si="161"/>
        <v>23</v>
      </c>
    </row>
    <row r="415" spans="1:17" ht="16.5" thickTop="1" thickBot="1" x14ac:dyDescent="0.3">
      <c r="A415" s="378" t="s">
        <v>26</v>
      </c>
      <c r="B415" s="379"/>
      <c r="C415" s="114">
        <f t="shared" ref="C415:H415" si="162">SUM(C407:C414)</f>
        <v>57</v>
      </c>
      <c r="D415" s="114">
        <f t="shared" si="162"/>
        <v>0</v>
      </c>
      <c r="E415" s="114">
        <f t="shared" si="162"/>
        <v>25</v>
      </c>
      <c r="F415" s="114">
        <f t="shared" si="162"/>
        <v>38</v>
      </c>
      <c r="G415" s="114">
        <f t="shared" si="162"/>
        <v>0</v>
      </c>
      <c r="H415" s="123">
        <f t="shared" si="162"/>
        <v>36</v>
      </c>
      <c r="I415" s="125">
        <f>SUM(I407:I414)</f>
        <v>156</v>
      </c>
      <c r="J415" s="135">
        <f t="shared" ref="J415:O415" si="163">SUM(J407:J414)</f>
        <v>9</v>
      </c>
      <c r="K415" s="114">
        <f t="shared" si="163"/>
        <v>0</v>
      </c>
      <c r="L415" s="114">
        <f t="shared" si="163"/>
        <v>16</v>
      </c>
      <c r="M415" s="114">
        <f t="shared" si="163"/>
        <v>6</v>
      </c>
      <c r="N415" s="114">
        <f t="shared" si="163"/>
        <v>10</v>
      </c>
      <c r="O415" s="123">
        <f t="shared" si="163"/>
        <v>0</v>
      </c>
      <c r="P415" s="125">
        <f>SUM(P407:P414)</f>
        <v>41</v>
      </c>
      <c r="Q415" s="132">
        <f>SUM(Q407:Q414)</f>
        <v>197</v>
      </c>
    </row>
    <row r="417" spans="1:17" ht="15.75" x14ac:dyDescent="0.25">
      <c r="A417" s="380" t="s">
        <v>134</v>
      </c>
      <c r="B417" s="380"/>
      <c r="C417" s="380"/>
      <c r="D417" s="380"/>
      <c r="E417" s="380"/>
      <c r="F417" s="380"/>
      <c r="G417" s="380"/>
      <c r="H417" s="380"/>
      <c r="I417" s="380"/>
      <c r="J417" s="380"/>
      <c r="K417" s="380"/>
      <c r="L417" s="380"/>
      <c r="M417" s="380"/>
      <c r="N417" s="380"/>
      <c r="O417" s="380"/>
      <c r="P417" s="380"/>
      <c r="Q417" s="380"/>
    </row>
    <row r="418" spans="1:17" ht="15.75" x14ac:dyDescent="0.25">
      <c r="A418" s="380" t="s">
        <v>82</v>
      </c>
      <c r="B418" s="380"/>
      <c r="C418" s="380"/>
      <c r="D418" s="380"/>
      <c r="E418" s="380"/>
      <c r="F418" s="380"/>
      <c r="G418" s="380"/>
      <c r="H418" s="380"/>
      <c r="I418" s="380"/>
      <c r="J418" s="380"/>
      <c r="K418" s="380"/>
      <c r="L418" s="380"/>
      <c r="M418" s="380"/>
      <c r="N418" s="380"/>
      <c r="O418" s="380"/>
      <c r="P418" s="380"/>
      <c r="Q418" s="380"/>
    </row>
    <row r="419" spans="1:17" ht="15.75" thickBot="1" x14ac:dyDescent="0.3">
      <c r="Q419" s="76" t="s">
        <v>29</v>
      </c>
    </row>
    <row r="420" spans="1:17" x14ac:dyDescent="0.25">
      <c r="A420" s="375" t="s">
        <v>2</v>
      </c>
      <c r="B420" s="377" t="s">
        <v>3</v>
      </c>
      <c r="C420" s="381" t="s">
        <v>90</v>
      </c>
      <c r="D420" s="382"/>
      <c r="E420" s="382"/>
      <c r="F420" s="382"/>
      <c r="G420" s="382"/>
      <c r="H420" s="382"/>
      <c r="I420" s="383" t="s">
        <v>83</v>
      </c>
      <c r="J420" s="382">
        <v>2017</v>
      </c>
      <c r="K420" s="382"/>
      <c r="L420" s="382"/>
      <c r="M420" s="382"/>
      <c r="N420" s="382"/>
      <c r="O420" s="382"/>
      <c r="P420" s="383" t="s">
        <v>84</v>
      </c>
      <c r="Q420" s="385" t="s">
        <v>5</v>
      </c>
    </row>
    <row r="421" spans="1:17" x14ac:dyDescent="0.25">
      <c r="A421" s="376"/>
      <c r="B421" s="363"/>
      <c r="C421" s="207" t="s">
        <v>15</v>
      </c>
      <c r="D421" s="207" t="s">
        <v>16</v>
      </c>
      <c r="E421" s="207" t="s">
        <v>17</v>
      </c>
      <c r="F421" s="207" t="s">
        <v>6</v>
      </c>
      <c r="G421" s="207" t="s">
        <v>77</v>
      </c>
      <c r="H421" s="121" t="s">
        <v>78</v>
      </c>
      <c r="I421" s="384"/>
      <c r="J421" s="111" t="s">
        <v>79</v>
      </c>
      <c r="K421" s="207" t="s">
        <v>10</v>
      </c>
      <c r="L421" s="207" t="s">
        <v>11</v>
      </c>
      <c r="M421" s="207" t="s">
        <v>12</v>
      </c>
      <c r="N421" s="207" t="s">
        <v>80</v>
      </c>
      <c r="O421" s="121" t="s">
        <v>81</v>
      </c>
      <c r="P421" s="384"/>
      <c r="Q421" s="386"/>
    </row>
    <row r="422" spans="1:17" ht="15.75" thickBot="1" x14ac:dyDescent="0.3">
      <c r="A422" s="113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2">
        <v>8</v>
      </c>
      <c r="I422" s="124">
        <v>9</v>
      </c>
      <c r="J422" s="112">
        <v>10</v>
      </c>
      <c r="K422" s="5">
        <v>11</v>
      </c>
      <c r="L422" s="5">
        <v>12</v>
      </c>
      <c r="M422" s="5">
        <v>13</v>
      </c>
      <c r="N422" s="5">
        <v>14</v>
      </c>
      <c r="O422" s="122">
        <v>15</v>
      </c>
      <c r="P422" s="124">
        <v>16</v>
      </c>
      <c r="Q422" s="133">
        <v>17</v>
      </c>
    </row>
    <row r="423" spans="1:17" ht="15.75" thickTop="1" x14ac:dyDescent="0.25">
      <c r="A423" s="84">
        <v>1</v>
      </c>
      <c r="B423" s="7" t="s">
        <v>18</v>
      </c>
      <c r="C423" s="216">
        <v>0</v>
      </c>
      <c r="D423" s="216">
        <v>0</v>
      </c>
      <c r="E423" s="216"/>
      <c r="F423" s="138">
        <f>'kc ijo'!C75</f>
        <v>0</v>
      </c>
      <c r="G423" s="138">
        <f>'kc ijo'!D75</f>
        <v>1</v>
      </c>
      <c r="H423" s="138">
        <f>'kc ijo'!E75</f>
        <v>0</v>
      </c>
      <c r="I423" s="212">
        <f>SUM(C423:H423)</f>
        <v>1</v>
      </c>
      <c r="J423" s="158">
        <f>'kc ijo'!F75</f>
        <v>0</v>
      </c>
      <c r="K423" s="158">
        <f>'kc ijo'!G75</f>
        <v>0</v>
      </c>
      <c r="L423" s="158">
        <f>'kc ijo'!H75</f>
        <v>0</v>
      </c>
      <c r="M423" s="158">
        <f>'kc ijo'!I75</f>
        <v>0</v>
      </c>
      <c r="N423" s="158">
        <f>'kc ijo'!J75</f>
        <v>0</v>
      </c>
      <c r="O423" s="158">
        <f>'kc ijo'!K75</f>
        <v>0</v>
      </c>
      <c r="P423" s="126">
        <f>SUM(J423:O423)</f>
        <v>0</v>
      </c>
      <c r="Q423" s="227">
        <f>SUM(I423,P423)</f>
        <v>1</v>
      </c>
    </row>
    <row r="424" spans="1:17" x14ac:dyDescent="0.25">
      <c r="A424" s="85">
        <v>2</v>
      </c>
      <c r="B424" s="12" t="s">
        <v>19</v>
      </c>
      <c r="C424" s="217">
        <v>0</v>
      </c>
      <c r="D424" s="217">
        <v>0</v>
      </c>
      <c r="E424" s="217">
        <v>0</v>
      </c>
      <c r="F424" s="60">
        <f>'kc ijo'!C76</f>
        <v>0</v>
      </c>
      <c r="G424" s="60">
        <f>'kc ijo'!D76</f>
        <v>0</v>
      </c>
      <c r="H424" s="157">
        <f>'kc ijo'!E76</f>
        <v>0</v>
      </c>
      <c r="I424" s="213">
        <f t="shared" ref="I424:I430" si="164">SUM(C424:H424)</f>
        <v>0</v>
      </c>
      <c r="J424" s="262">
        <f>'kc ijo'!F76</f>
        <v>0</v>
      </c>
      <c r="K424" s="134">
        <f>'kc ijo'!G76</f>
        <v>0</v>
      </c>
      <c r="L424" s="134">
        <f>'kc ijo'!H76</f>
        <v>0</v>
      </c>
      <c r="M424" s="134">
        <f>'kc ijo'!I76</f>
        <v>0</v>
      </c>
      <c r="N424" s="134">
        <f>'kc ijo'!J76</f>
        <v>0</v>
      </c>
      <c r="O424" s="159">
        <f>'kc ijo'!K76</f>
        <v>0</v>
      </c>
      <c r="P424" s="127">
        <f t="shared" ref="P424:P429" si="165">SUM(J424:O424)</f>
        <v>0</v>
      </c>
      <c r="Q424" s="228">
        <f t="shared" ref="Q424:Q430" si="166">SUM(I424,P424)</f>
        <v>0</v>
      </c>
    </row>
    <row r="425" spans="1:17" x14ac:dyDescent="0.25">
      <c r="A425" s="85">
        <v>3</v>
      </c>
      <c r="B425" s="7" t="s">
        <v>20</v>
      </c>
      <c r="C425" s="217">
        <v>0</v>
      </c>
      <c r="D425" s="217">
        <v>0</v>
      </c>
      <c r="E425" s="217">
        <v>0</v>
      </c>
      <c r="F425" s="60">
        <f>'kc ijo'!C77</f>
        <v>0</v>
      </c>
      <c r="G425" s="60">
        <f>'kc ijo'!D77</f>
        <v>0</v>
      </c>
      <c r="H425" s="157">
        <f>'kc ijo'!E77</f>
        <v>0</v>
      </c>
      <c r="I425" s="213">
        <f t="shared" si="164"/>
        <v>0</v>
      </c>
      <c r="J425" s="262">
        <f>'kc ijo'!F77</f>
        <v>0</v>
      </c>
      <c r="K425" s="134">
        <f>'kc ijo'!G77</f>
        <v>0</v>
      </c>
      <c r="L425" s="134">
        <f>'kc ijo'!H77</f>
        <v>0</v>
      </c>
      <c r="M425" s="134">
        <f>'kc ijo'!I77</f>
        <v>0</v>
      </c>
      <c r="N425" s="134">
        <f>'kc ijo'!J77</f>
        <v>0</v>
      </c>
      <c r="O425" s="159">
        <f>'kc ijo'!K77</f>
        <v>0</v>
      </c>
      <c r="P425" s="127">
        <f t="shared" si="165"/>
        <v>0</v>
      </c>
      <c r="Q425" s="228">
        <f t="shared" si="166"/>
        <v>0</v>
      </c>
    </row>
    <row r="426" spans="1:17" x14ac:dyDescent="0.25">
      <c r="A426" s="86">
        <v>4</v>
      </c>
      <c r="B426" s="15" t="s">
        <v>21</v>
      </c>
      <c r="C426" s="217">
        <v>0</v>
      </c>
      <c r="D426" s="217">
        <v>0</v>
      </c>
      <c r="E426" s="217">
        <v>0.6</v>
      </c>
      <c r="F426" s="60">
        <f>'kc ijo'!C78</f>
        <v>0</v>
      </c>
      <c r="G426" s="60">
        <f>'kc ijo'!D78</f>
        <v>1</v>
      </c>
      <c r="H426" s="157">
        <f>'kc ijo'!E78</f>
        <v>0</v>
      </c>
      <c r="I426" s="213">
        <f t="shared" si="164"/>
        <v>1.6</v>
      </c>
      <c r="J426" s="262">
        <f>'kc ijo'!F78</f>
        <v>0</v>
      </c>
      <c r="K426" s="134">
        <f>'kc ijo'!G78</f>
        <v>0</v>
      </c>
      <c r="L426" s="134">
        <f>'kc ijo'!H78</f>
        <v>0</v>
      </c>
      <c r="M426" s="134">
        <f>'kc ijo'!I78</f>
        <v>5.76</v>
      </c>
      <c r="N426" s="134">
        <f>'kc ijo'!J78</f>
        <v>6</v>
      </c>
      <c r="O426" s="159">
        <f>'kc ijo'!K78</f>
        <v>0</v>
      </c>
      <c r="P426" s="127">
        <f t="shared" si="165"/>
        <v>11.76</v>
      </c>
      <c r="Q426" s="228">
        <f t="shared" si="166"/>
        <v>13.36</v>
      </c>
    </row>
    <row r="427" spans="1:17" x14ac:dyDescent="0.25">
      <c r="A427" s="86">
        <v>5</v>
      </c>
      <c r="B427" s="19" t="s">
        <v>22</v>
      </c>
      <c r="C427" s="217">
        <v>0</v>
      </c>
      <c r="D427" s="217">
        <v>0</v>
      </c>
      <c r="E427" s="217">
        <v>0</v>
      </c>
      <c r="F427" s="60">
        <f>'kc ijo'!C79</f>
        <v>0</v>
      </c>
      <c r="G427" s="60">
        <f>'kc ijo'!D79</f>
        <v>0</v>
      </c>
      <c r="H427" s="157">
        <f>'kc ijo'!E79</f>
        <v>0</v>
      </c>
      <c r="I427" s="213">
        <f t="shared" si="164"/>
        <v>0</v>
      </c>
      <c r="J427" s="262">
        <f>'kc ijo'!F79</f>
        <v>0</v>
      </c>
      <c r="K427" s="134">
        <f>'kc ijo'!G79</f>
        <v>0</v>
      </c>
      <c r="L427" s="134">
        <f>'kc ijo'!H79</f>
        <v>0</v>
      </c>
      <c r="M427" s="134">
        <f>'kc ijo'!I79</f>
        <v>1.1000000000000001</v>
      </c>
      <c r="N427" s="134">
        <f>'kc ijo'!J79</f>
        <v>0.6</v>
      </c>
      <c r="O427" s="159">
        <f>'kc ijo'!K79</f>
        <v>0</v>
      </c>
      <c r="P427" s="127">
        <f t="shared" si="165"/>
        <v>1.7000000000000002</v>
      </c>
      <c r="Q427" s="228">
        <f t="shared" si="166"/>
        <v>1.7000000000000002</v>
      </c>
    </row>
    <row r="428" spans="1:17" x14ac:dyDescent="0.25">
      <c r="A428" s="86">
        <v>6</v>
      </c>
      <c r="B428" s="19" t="s">
        <v>23</v>
      </c>
      <c r="C428" s="217">
        <v>0</v>
      </c>
      <c r="D428" s="217">
        <v>0</v>
      </c>
      <c r="E428" s="217">
        <v>0</v>
      </c>
      <c r="F428" s="60">
        <f>'kc ijo'!C80</f>
        <v>0</v>
      </c>
      <c r="G428" s="60">
        <f>'kc ijo'!D80</f>
        <v>0</v>
      </c>
      <c r="H428" s="157">
        <f>'kc ijo'!E80</f>
        <v>0</v>
      </c>
      <c r="I428" s="213">
        <f t="shared" si="164"/>
        <v>0</v>
      </c>
      <c r="J428" s="262">
        <f>'kc ijo'!F80</f>
        <v>0</v>
      </c>
      <c r="K428" s="134">
        <f>'kc ijo'!G80</f>
        <v>0</v>
      </c>
      <c r="L428" s="134">
        <f>'kc ijo'!H80</f>
        <v>0</v>
      </c>
      <c r="M428" s="134">
        <f>'kc ijo'!I80</f>
        <v>0</v>
      </c>
      <c r="N428" s="134">
        <f>'kc ijo'!J80</f>
        <v>0</v>
      </c>
      <c r="O428" s="159">
        <f>'kc ijo'!K80</f>
        <v>0</v>
      </c>
      <c r="P428" s="127">
        <f t="shared" si="165"/>
        <v>0</v>
      </c>
      <c r="Q428" s="228">
        <f t="shared" si="166"/>
        <v>0</v>
      </c>
    </row>
    <row r="429" spans="1:17" x14ac:dyDescent="0.25">
      <c r="A429" s="86">
        <v>7</v>
      </c>
      <c r="B429" s="19" t="s">
        <v>24</v>
      </c>
      <c r="C429" s="217">
        <v>0</v>
      </c>
      <c r="D429" s="217">
        <v>0</v>
      </c>
      <c r="E429" s="217">
        <v>0</v>
      </c>
      <c r="F429" s="60">
        <f>'kc ijo'!C81</f>
        <v>0</v>
      </c>
      <c r="G429" s="60">
        <f>'kc ijo'!D81</f>
        <v>0</v>
      </c>
      <c r="H429" s="157">
        <f>'kc ijo'!E81</f>
        <v>0</v>
      </c>
      <c r="I429" s="213">
        <f t="shared" si="164"/>
        <v>0</v>
      </c>
      <c r="J429" s="262">
        <f>'kc ijo'!F81</f>
        <v>0</v>
      </c>
      <c r="K429" s="134">
        <f>'kc ijo'!G81</f>
        <v>0.5</v>
      </c>
      <c r="L429" s="134">
        <f>'kc ijo'!H81</f>
        <v>0</v>
      </c>
      <c r="M429" s="134">
        <f>'kc ijo'!I81</f>
        <v>0</v>
      </c>
      <c r="N429" s="134">
        <f>'kc ijo'!J81</f>
        <v>0</v>
      </c>
      <c r="O429" s="159">
        <f>'kc ijo'!K81</f>
        <v>0</v>
      </c>
      <c r="P429" s="127">
        <f t="shared" si="165"/>
        <v>0.5</v>
      </c>
      <c r="Q429" s="228">
        <f t="shared" si="166"/>
        <v>0.5</v>
      </c>
    </row>
    <row r="430" spans="1:17" ht="15.75" thickBot="1" x14ac:dyDescent="0.3">
      <c r="A430" s="87">
        <v>8</v>
      </c>
      <c r="B430" s="15" t="s">
        <v>25</v>
      </c>
      <c r="C430" s="210">
        <v>0.3</v>
      </c>
      <c r="D430" s="210">
        <v>0</v>
      </c>
      <c r="E430" s="210">
        <v>0</v>
      </c>
      <c r="F430" s="139">
        <f>'kc ijo'!C82</f>
        <v>0</v>
      </c>
      <c r="G430" s="139">
        <f>'kc ijo'!D82</f>
        <v>0</v>
      </c>
      <c r="H430" s="139">
        <f>'kc ijo'!E82</f>
        <v>0</v>
      </c>
      <c r="I430" s="214">
        <f t="shared" si="164"/>
        <v>0.3</v>
      </c>
      <c r="J430" s="273">
        <f>'kc ijo'!F82</f>
        <v>0</v>
      </c>
      <c r="K430" s="273">
        <f>'kc ijo'!G82</f>
        <v>0</v>
      </c>
      <c r="L430" s="273">
        <f>'kc ijo'!H82</f>
        <v>0</v>
      </c>
      <c r="M430" s="273">
        <f>'kc ijo'!I82</f>
        <v>0</v>
      </c>
      <c r="N430" s="273">
        <f>'kc ijo'!J82</f>
        <v>0</v>
      </c>
      <c r="O430" s="273">
        <f>'kc ijo'!K82</f>
        <v>0</v>
      </c>
      <c r="P430" s="128">
        <f>SUM(J430:O430)</f>
        <v>0</v>
      </c>
      <c r="Q430" s="229">
        <f t="shared" si="166"/>
        <v>0.3</v>
      </c>
    </row>
    <row r="431" spans="1:17" ht="16.5" thickTop="1" thickBot="1" x14ac:dyDescent="0.3">
      <c r="A431" s="378" t="s">
        <v>26</v>
      </c>
      <c r="B431" s="379"/>
      <c r="C431" s="211">
        <f t="shared" ref="C431:H431" si="167">SUM(C423:C430)</f>
        <v>0.3</v>
      </c>
      <c r="D431" s="211">
        <f t="shared" si="167"/>
        <v>0</v>
      </c>
      <c r="E431" s="211">
        <f t="shared" si="167"/>
        <v>0.6</v>
      </c>
      <c r="F431" s="114">
        <f t="shared" si="167"/>
        <v>0</v>
      </c>
      <c r="G431" s="114">
        <f t="shared" si="167"/>
        <v>2</v>
      </c>
      <c r="H431" s="123">
        <f t="shared" si="167"/>
        <v>0</v>
      </c>
      <c r="I431" s="215">
        <f>SUM(I423:I430)</f>
        <v>2.9</v>
      </c>
      <c r="J431" s="135">
        <f t="shared" ref="J431:O431" si="168">SUM(J423:J430)</f>
        <v>0</v>
      </c>
      <c r="K431" s="114">
        <f t="shared" si="168"/>
        <v>0.5</v>
      </c>
      <c r="L431" s="114">
        <f t="shared" si="168"/>
        <v>0</v>
      </c>
      <c r="M431" s="114">
        <f t="shared" si="168"/>
        <v>6.8599999999999994</v>
      </c>
      <c r="N431" s="114">
        <f t="shared" si="168"/>
        <v>6.6</v>
      </c>
      <c r="O431" s="123">
        <f t="shared" si="168"/>
        <v>0</v>
      </c>
      <c r="P431" s="125">
        <f>SUM(P423:P430)</f>
        <v>13.96</v>
      </c>
      <c r="Q431" s="242">
        <f>SUM(Q423:Q430)</f>
        <v>16.86</v>
      </c>
    </row>
    <row r="433" spans="1:17" ht="15.75" x14ac:dyDescent="0.25">
      <c r="A433" s="380" t="s">
        <v>150</v>
      </c>
      <c r="B433" s="380"/>
      <c r="C433" s="380"/>
      <c r="D433" s="380"/>
      <c r="E433" s="380"/>
      <c r="F433" s="380"/>
      <c r="G433" s="380"/>
      <c r="H433" s="380"/>
      <c r="I433" s="380"/>
      <c r="J433" s="380"/>
      <c r="K433" s="380"/>
      <c r="L433" s="380"/>
      <c r="M433" s="380"/>
      <c r="N433" s="380"/>
      <c r="O433" s="380"/>
      <c r="P433" s="380"/>
      <c r="Q433" s="380"/>
    </row>
    <row r="434" spans="1:17" ht="15.75" x14ac:dyDescent="0.25">
      <c r="A434" s="380" t="s">
        <v>82</v>
      </c>
      <c r="B434" s="380"/>
      <c r="C434" s="380"/>
      <c r="D434" s="380"/>
      <c r="E434" s="380"/>
      <c r="F434" s="380"/>
      <c r="G434" s="380"/>
      <c r="H434" s="380"/>
      <c r="I434" s="380"/>
      <c r="J434" s="380"/>
      <c r="K434" s="380"/>
      <c r="L434" s="380"/>
      <c r="M434" s="380"/>
      <c r="N434" s="380"/>
      <c r="O434" s="380"/>
      <c r="P434" s="380"/>
      <c r="Q434" s="380"/>
    </row>
    <row r="435" spans="1:17" ht="15.75" thickBot="1" x14ac:dyDescent="0.3">
      <c r="Q435" s="76" t="s">
        <v>31</v>
      </c>
    </row>
    <row r="436" spans="1:17" x14ac:dyDescent="0.25">
      <c r="A436" s="375" t="s">
        <v>2</v>
      </c>
      <c r="B436" s="377" t="s">
        <v>3</v>
      </c>
      <c r="C436" s="381" t="s">
        <v>90</v>
      </c>
      <c r="D436" s="382"/>
      <c r="E436" s="382"/>
      <c r="F436" s="382"/>
      <c r="G436" s="382"/>
      <c r="H436" s="382"/>
      <c r="I436" s="383" t="s">
        <v>83</v>
      </c>
      <c r="J436" s="382">
        <v>2017</v>
      </c>
      <c r="K436" s="382"/>
      <c r="L436" s="382"/>
      <c r="M436" s="382"/>
      <c r="N436" s="382"/>
      <c r="O436" s="382"/>
      <c r="P436" s="383" t="s">
        <v>84</v>
      </c>
      <c r="Q436" s="385" t="s">
        <v>5</v>
      </c>
    </row>
    <row r="437" spans="1:17" x14ac:dyDescent="0.25">
      <c r="A437" s="376"/>
      <c r="B437" s="363"/>
      <c r="C437" s="264" t="s">
        <v>15</v>
      </c>
      <c r="D437" s="264" t="s">
        <v>16</v>
      </c>
      <c r="E437" s="264" t="s">
        <v>17</v>
      </c>
      <c r="F437" s="264" t="s">
        <v>6</v>
      </c>
      <c r="G437" s="264" t="s">
        <v>77</v>
      </c>
      <c r="H437" s="121" t="s">
        <v>78</v>
      </c>
      <c r="I437" s="384"/>
      <c r="J437" s="111" t="s">
        <v>79</v>
      </c>
      <c r="K437" s="264" t="s">
        <v>10</v>
      </c>
      <c r="L437" s="264" t="s">
        <v>11</v>
      </c>
      <c r="M437" s="264" t="s">
        <v>12</v>
      </c>
      <c r="N437" s="264" t="s">
        <v>80</v>
      </c>
      <c r="O437" s="121" t="s">
        <v>81</v>
      </c>
      <c r="P437" s="384"/>
      <c r="Q437" s="386"/>
    </row>
    <row r="438" spans="1:17" ht="15.75" thickBot="1" x14ac:dyDescent="0.3">
      <c r="A438" s="113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2">
        <v>8</v>
      </c>
      <c r="I438" s="124">
        <v>9</v>
      </c>
      <c r="J438" s="112">
        <v>10</v>
      </c>
      <c r="K438" s="5">
        <v>11</v>
      </c>
      <c r="L438" s="5">
        <v>12</v>
      </c>
      <c r="M438" s="5">
        <v>13</v>
      </c>
      <c r="N438" s="5">
        <v>14</v>
      </c>
      <c r="O438" s="122">
        <v>15</v>
      </c>
      <c r="P438" s="124">
        <v>16</v>
      </c>
      <c r="Q438" s="133">
        <v>17</v>
      </c>
    </row>
    <row r="439" spans="1:17" ht="15.75" thickTop="1" x14ac:dyDescent="0.25">
      <c r="A439" s="84">
        <v>1</v>
      </c>
      <c r="B439" s="7" t="s">
        <v>18</v>
      </c>
      <c r="C439" s="218">
        <v>0</v>
      </c>
      <c r="D439" s="218">
        <v>75</v>
      </c>
      <c r="E439" s="218">
        <v>0</v>
      </c>
      <c r="F439" s="218">
        <f>F295/F151*10</f>
        <v>50</v>
      </c>
      <c r="G439" s="218">
        <v>0</v>
      </c>
      <c r="H439" s="218">
        <f>H295/H151*10</f>
        <v>54</v>
      </c>
      <c r="I439" s="226">
        <f>I295/I151*10</f>
        <v>57.142857142857146</v>
      </c>
      <c r="J439" s="236">
        <f>J295/J151*10</f>
        <v>58.022598870056498</v>
      </c>
      <c r="K439" s="236">
        <f t="shared" ref="K439:O439" si="169">K295/K151*10</f>
        <v>56.888888888888893</v>
      </c>
      <c r="L439" s="236" t="e">
        <f t="shared" si="169"/>
        <v>#DIV/0!</v>
      </c>
      <c r="M439" s="236" t="e">
        <f t="shared" si="169"/>
        <v>#DIV/0!</v>
      </c>
      <c r="N439" s="236">
        <f t="shared" si="169"/>
        <v>49.142857142857146</v>
      </c>
      <c r="O439" s="236">
        <f t="shared" si="169"/>
        <v>52.758620689655167</v>
      </c>
      <c r="P439" s="226">
        <f>P295/P151*10</f>
        <v>56.223776223776227</v>
      </c>
      <c r="Q439" s="226">
        <f>Q295/Q151*10</f>
        <v>56.374269005847957</v>
      </c>
    </row>
    <row r="440" spans="1:17" x14ac:dyDescent="0.25">
      <c r="A440" s="85">
        <v>2</v>
      </c>
      <c r="B440" s="12" t="s">
        <v>19</v>
      </c>
      <c r="C440" s="219">
        <v>76.510000000000005</v>
      </c>
      <c r="D440" s="219">
        <v>60</v>
      </c>
      <c r="E440" s="219">
        <v>61.25</v>
      </c>
      <c r="F440" s="288">
        <f t="shared" ref="F440:H440" si="170">F296/F152*10</f>
        <v>90</v>
      </c>
      <c r="G440" s="288">
        <f t="shared" si="170"/>
        <v>78.82352941176471</v>
      </c>
      <c r="H440" s="288">
        <f t="shared" si="170"/>
        <v>88.421052631578959</v>
      </c>
      <c r="I440" s="289">
        <f t="shared" ref="I440:I446" si="171">I296/I152*10</f>
        <v>83.438914027149323</v>
      </c>
      <c r="J440" s="290">
        <f t="shared" ref="J440:Q440" si="172">J296/J152*10</f>
        <v>84.385964912280699</v>
      </c>
      <c r="K440" s="290">
        <f t="shared" si="172"/>
        <v>84</v>
      </c>
      <c r="L440" s="290" t="e">
        <f t="shared" si="172"/>
        <v>#DIV/0!</v>
      </c>
      <c r="M440" s="290">
        <f t="shared" si="172"/>
        <v>81.25</v>
      </c>
      <c r="N440" s="290">
        <f t="shared" si="172"/>
        <v>78.045112781954884</v>
      </c>
      <c r="O440" s="291">
        <f t="shared" si="172"/>
        <v>70</v>
      </c>
      <c r="P440" s="289">
        <f t="shared" si="172"/>
        <v>79.715639810426538</v>
      </c>
      <c r="Q440" s="289">
        <f t="shared" si="172"/>
        <v>81.620370370370367</v>
      </c>
    </row>
    <row r="441" spans="1:17" x14ac:dyDescent="0.25">
      <c r="A441" s="85">
        <v>3</v>
      </c>
      <c r="B441" s="7" t="s">
        <v>20</v>
      </c>
      <c r="C441" s="219">
        <v>0</v>
      </c>
      <c r="D441" s="219">
        <v>0</v>
      </c>
      <c r="E441" s="219">
        <v>0</v>
      </c>
      <c r="F441" s="288">
        <v>0</v>
      </c>
      <c r="G441" s="288">
        <f>G297/G153*10</f>
        <v>38.5</v>
      </c>
      <c r="H441" s="288">
        <f>H297/H153*10</f>
        <v>42.647058823529413</v>
      </c>
      <c r="I441" s="289">
        <f t="shared" si="171"/>
        <v>40.405405405405403</v>
      </c>
      <c r="J441" s="290">
        <f>J297/J153*10</f>
        <v>93</v>
      </c>
      <c r="K441" s="290">
        <v>0</v>
      </c>
      <c r="L441" s="290" t="e">
        <f t="shared" ref="L441:Q441" si="173">L297/L153*10</f>
        <v>#DIV/0!</v>
      </c>
      <c r="M441" s="290" t="e">
        <f t="shared" si="173"/>
        <v>#DIV/0!</v>
      </c>
      <c r="N441" s="290">
        <f t="shared" si="173"/>
        <v>49</v>
      </c>
      <c r="O441" s="291" t="e">
        <f t="shared" si="173"/>
        <v>#DIV/0!</v>
      </c>
      <c r="P441" s="289">
        <f t="shared" si="173"/>
        <v>78.333333333333329</v>
      </c>
      <c r="Q441" s="289">
        <f t="shared" si="173"/>
        <v>51.346153846153854</v>
      </c>
    </row>
    <row r="442" spans="1:17" x14ac:dyDescent="0.25">
      <c r="A442" s="86">
        <v>4</v>
      </c>
      <c r="B442" s="15" t="s">
        <v>21</v>
      </c>
      <c r="C442" s="219">
        <v>0</v>
      </c>
      <c r="D442" s="219">
        <v>69.36</v>
      </c>
      <c r="E442" s="219">
        <v>85.68</v>
      </c>
      <c r="F442" s="288">
        <f>F298/F154*10</f>
        <v>88</v>
      </c>
      <c r="G442" s="288">
        <v>0</v>
      </c>
      <c r="H442" s="288">
        <f>H298/H154*10</f>
        <v>56</v>
      </c>
      <c r="I442" s="289">
        <f t="shared" si="171"/>
        <v>71.428571428571431</v>
      </c>
      <c r="J442" s="290">
        <f t="shared" ref="J442:Q442" si="174">J298/J154*10</f>
        <v>67.701863354037272</v>
      </c>
      <c r="K442" s="290">
        <f t="shared" si="174"/>
        <v>68</v>
      </c>
      <c r="L442" s="290" t="e">
        <f t="shared" si="174"/>
        <v>#DIV/0!</v>
      </c>
      <c r="M442" s="290">
        <f t="shared" si="174"/>
        <v>66.666666666666671</v>
      </c>
      <c r="N442" s="290">
        <f t="shared" si="174"/>
        <v>58</v>
      </c>
      <c r="O442" s="291" t="e">
        <f t="shared" si="174"/>
        <v>#DIV/0!</v>
      </c>
      <c r="P442" s="289">
        <f t="shared" si="174"/>
        <v>67.236180904522612</v>
      </c>
      <c r="Q442" s="289">
        <f t="shared" si="174"/>
        <v>67.63636363636364</v>
      </c>
    </row>
    <row r="443" spans="1:17" x14ac:dyDescent="0.25">
      <c r="A443" s="86">
        <v>5</v>
      </c>
      <c r="B443" s="19" t="s">
        <v>22</v>
      </c>
      <c r="C443" s="219">
        <v>0</v>
      </c>
      <c r="D443" s="219">
        <v>0</v>
      </c>
      <c r="E443" s="219">
        <v>68</v>
      </c>
      <c r="F443" s="288">
        <v>0</v>
      </c>
      <c r="G443" s="288">
        <f>G299/G155*10</f>
        <v>58</v>
      </c>
      <c r="H443" s="288">
        <f>H299/H155*10</f>
        <v>62</v>
      </c>
      <c r="I443" s="289">
        <f t="shared" si="171"/>
        <v>63.6</v>
      </c>
      <c r="J443" s="290">
        <f>J299/J155*10</f>
        <v>65.843373493975903</v>
      </c>
      <c r="K443" s="290">
        <v>0</v>
      </c>
      <c r="L443" s="290" t="e">
        <f t="shared" ref="L443:Q444" si="175">L299/L155*10</f>
        <v>#DIV/0!</v>
      </c>
      <c r="M443" s="290">
        <f t="shared" si="175"/>
        <v>65</v>
      </c>
      <c r="N443" s="290">
        <f t="shared" si="175"/>
        <v>54.615384615384613</v>
      </c>
      <c r="O443" s="291" t="e">
        <f t="shared" si="175"/>
        <v>#DIV/0!</v>
      </c>
      <c r="P443" s="289">
        <f t="shared" si="175"/>
        <v>65.026737967914443</v>
      </c>
      <c r="Q443" s="289">
        <f t="shared" si="175"/>
        <v>64.85849056603773</v>
      </c>
    </row>
    <row r="444" spans="1:17" x14ac:dyDescent="0.25">
      <c r="A444" s="86">
        <v>6</v>
      </c>
      <c r="B444" s="19" t="s">
        <v>23</v>
      </c>
      <c r="C444" s="219">
        <v>60.35</v>
      </c>
      <c r="D444" s="219">
        <v>0</v>
      </c>
      <c r="E444" s="219">
        <v>0</v>
      </c>
      <c r="F444" s="288">
        <f>F300/F156*10</f>
        <v>75.714285714285708</v>
      </c>
      <c r="G444" s="288">
        <f>G300/G156*10</f>
        <v>62.325581395348841</v>
      </c>
      <c r="H444" s="288">
        <v>0</v>
      </c>
      <c r="I444" s="289">
        <f t="shared" si="171"/>
        <v>63.75</v>
      </c>
      <c r="J444" s="290">
        <v>0</v>
      </c>
      <c r="K444" s="290">
        <f>K300/K156*10</f>
        <v>50</v>
      </c>
      <c r="L444" s="290">
        <f t="shared" si="175"/>
        <v>66.666666666666671</v>
      </c>
      <c r="M444" s="290">
        <f t="shared" si="175"/>
        <v>69.090909090909093</v>
      </c>
      <c r="N444" s="290">
        <f t="shared" si="175"/>
        <v>74.400000000000006</v>
      </c>
      <c r="O444" s="291" t="e">
        <f t="shared" si="175"/>
        <v>#DIV/0!</v>
      </c>
      <c r="P444" s="289">
        <f t="shared" si="175"/>
        <v>70.57692307692308</v>
      </c>
      <c r="Q444" s="289">
        <f t="shared" si="175"/>
        <v>67.037037037037038</v>
      </c>
    </row>
    <row r="445" spans="1:17" x14ac:dyDescent="0.25">
      <c r="A445" s="86">
        <v>7</v>
      </c>
      <c r="B445" s="19" t="s">
        <v>24</v>
      </c>
      <c r="C445" s="219">
        <v>57.8</v>
      </c>
      <c r="D445" s="219">
        <v>0</v>
      </c>
      <c r="E445" s="219">
        <v>52.7</v>
      </c>
      <c r="F445" s="288">
        <f t="shared" ref="F445:H445" si="176">F301/F157*10</f>
        <v>36</v>
      </c>
      <c r="G445" s="288">
        <f t="shared" si="176"/>
        <v>54</v>
      </c>
      <c r="H445" s="288">
        <f t="shared" si="176"/>
        <v>55.987654320987659</v>
      </c>
      <c r="I445" s="289">
        <f t="shared" si="171"/>
        <v>54.285714285714292</v>
      </c>
      <c r="J445" s="290">
        <f t="shared" ref="J445:Q445" si="177">J301/J157*10</f>
        <v>55</v>
      </c>
      <c r="K445" s="290">
        <f t="shared" si="177"/>
        <v>40</v>
      </c>
      <c r="L445" s="290">
        <f t="shared" si="177"/>
        <v>38.666666666666664</v>
      </c>
      <c r="M445" s="290">
        <f t="shared" si="177"/>
        <v>47.5</v>
      </c>
      <c r="N445" s="290">
        <f t="shared" si="177"/>
        <v>60</v>
      </c>
      <c r="O445" s="291">
        <f t="shared" si="177"/>
        <v>57.083333333333329</v>
      </c>
      <c r="P445" s="289">
        <f t="shared" si="177"/>
        <v>56.4</v>
      </c>
      <c r="Q445" s="289">
        <f t="shared" si="177"/>
        <v>55.721561969439726</v>
      </c>
    </row>
    <row r="446" spans="1:17" ht="15.75" thickBot="1" x14ac:dyDescent="0.3">
      <c r="A446" s="87">
        <v>8</v>
      </c>
      <c r="B446" s="15" t="s">
        <v>25</v>
      </c>
      <c r="C446" s="220">
        <v>0</v>
      </c>
      <c r="D446" s="220">
        <v>63.75</v>
      </c>
      <c r="E446" s="220">
        <v>65</v>
      </c>
      <c r="F446" s="220">
        <f t="shared" ref="F446:H446" si="178">F302/F158*10</f>
        <v>78.846153846153854</v>
      </c>
      <c r="G446" s="220">
        <f t="shared" si="178"/>
        <v>60</v>
      </c>
      <c r="H446" s="220">
        <f t="shared" si="178"/>
        <v>59.029850746268657</v>
      </c>
      <c r="I446" s="233">
        <f t="shared" si="171"/>
        <v>61.925287356321839</v>
      </c>
      <c r="J446" s="266">
        <v>0</v>
      </c>
      <c r="K446" s="266">
        <f t="shared" ref="K446:Q446" si="179">K302/K158*10</f>
        <v>88.5</v>
      </c>
      <c r="L446" s="266">
        <f t="shared" si="179"/>
        <v>49</v>
      </c>
      <c r="M446" s="266">
        <f t="shared" si="179"/>
        <v>57.767857142857146</v>
      </c>
      <c r="N446" s="266">
        <f t="shared" si="179"/>
        <v>50</v>
      </c>
      <c r="O446" s="266">
        <f t="shared" si="179"/>
        <v>55.199999999999996</v>
      </c>
      <c r="P446" s="233">
        <f t="shared" si="179"/>
        <v>61.255605381165921</v>
      </c>
      <c r="Q446" s="233">
        <f t="shared" si="179"/>
        <v>61.66374781085814</v>
      </c>
    </row>
    <row r="447" spans="1:17" ht="16.5" thickTop="1" thickBot="1" x14ac:dyDescent="0.3">
      <c r="A447" s="378" t="s">
        <v>26</v>
      </c>
      <c r="B447" s="379"/>
      <c r="C447" s="221" t="e">
        <f>C303/#REF!*10</f>
        <v>#REF!</v>
      </c>
      <c r="D447" s="221" t="e">
        <f>D303/#REF!*10</f>
        <v>#REF!</v>
      </c>
      <c r="E447" s="221" t="e">
        <f>E303/#REF!*10</f>
        <v>#REF!</v>
      </c>
      <c r="F447" s="221">
        <f>F303/F159*10</f>
        <v>68.852459016393439</v>
      </c>
      <c r="G447" s="221">
        <f t="shared" ref="G447:Q447" si="180">G303/G159*10</f>
        <v>57.847533632286996</v>
      </c>
      <c r="H447" s="221">
        <f t="shared" si="180"/>
        <v>64.015151515151516</v>
      </c>
      <c r="I447" s="221">
        <f t="shared" si="180"/>
        <v>63.737373737373737</v>
      </c>
      <c r="J447" s="221">
        <f t="shared" si="180"/>
        <v>64.221921515561576</v>
      </c>
      <c r="K447" s="221">
        <f t="shared" si="180"/>
        <v>70.762711864406782</v>
      </c>
      <c r="L447" s="221">
        <f t="shared" si="180"/>
        <v>50.833333333333329</v>
      </c>
      <c r="M447" s="221">
        <f t="shared" si="180"/>
        <v>59.54545454545454</v>
      </c>
      <c r="N447" s="221">
        <f t="shared" si="180"/>
        <v>64.963144963144956</v>
      </c>
      <c r="O447" s="221">
        <f t="shared" si="180"/>
        <v>56.454545454545453</v>
      </c>
      <c r="P447" s="221">
        <f t="shared" si="180"/>
        <v>63.400503778337537</v>
      </c>
      <c r="Q447" s="221">
        <f t="shared" si="180"/>
        <v>63.529868114817688</v>
      </c>
    </row>
    <row r="449" spans="1:17" ht="15.75" x14ac:dyDescent="0.25">
      <c r="A449" s="380" t="s">
        <v>135</v>
      </c>
      <c r="B449" s="380"/>
      <c r="C449" s="380"/>
      <c r="D449" s="380"/>
      <c r="E449" s="380"/>
      <c r="F449" s="380"/>
      <c r="G449" s="380"/>
      <c r="H449" s="380"/>
      <c r="I449" s="380"/>
      <c r="J449" s="380"/>
      <c r="K449" s="380"/>
      <c r="L449" s="380"/>
      <c r="M449" s="380"/>
      <c r="N449" s="380"/>
      <c r="O449" s="380"/>
      <c r="P449" s="380"/>
      <c r="Q449" s="380"/>
    </row>
    <row r="450" spans="1:17" ht="15.75" x14ac:dyDescent="0.25">
      <c r="A450" s="380" t="s">
        <v>82</v>
      </c>
      <c r="B450" s="380"/>
      <c r="C450" s="380"/>
      <c r="D450" s="380"/>
      <c r="E450" s="380"/>
      <c r="F450" s="380"/>
      <c r="G450" s="380"/>
      <c r="H450" s="380"/>
      <c r="I450" s="380"/>
      <c r="J450" s="380"/>
      <c r="K450" s="380"/>
      <c r="L450" s="380"/>
      <c r="M450" s="380"/>
      <c r="N450" s="380"/>
      <c r="O450" s="380"/>
      <c r="P450" s="380"/>
      <c r="Q450" s="380"/>
    </row>
    <row r="451" spans="1:17" ht="15.75" thickBot="1" x14ac:dyDescent="0.3">
      <c r="Q451" s="76" t="s">
        <v>31</v>
      </c>
    </row>
    <row r="452" spans="1:17" x14ac:dyDescent="0.25">
      <c r="A452" s="375" t="s">
        <v>2</v>
      </c>
      <c r="B452" s="377" t="s">
        <v>3</v>
      </c>
      <c r="C452" s="381" t="s">
        <v>90</v>
      </c>
      <c r="D452" s="382"/>
      <c r="E452" s="382"/>
      <c r="F452" s="382"/>
      <c r="G452" s="382"/>
      <c r="H452" s="382"/>
      <c r="I452" s="383" t="s">
        <v>83</v>
      </c>
      <c r="J452" s="382">
        <v>2017</v>
      </c>
      <c r="K452" s="382"/>
      <c r="L452" s="382"/>
      <c r="M452" s="382"/>
      <c r="N452" s="382"/>
      <c r="O452" s="382"/>
      <c r="P452" s="383" t="s">
        <v>84</v>
      </c>
      <c r="Q452" s="385" t="s">
        <v>5</v>
      </c>
    </row>
    <row r="453" spans="1:17" x14ac:dyDescent="0.25">
      <c r="A453" s="376"/>
      <c r="B453" s="363"/>
      <c r="C453" s="207" t="s">
        <v>15</v>
      </c>
      <c r="D453" s="207" t="s">
        <v>16</v>
      </c>
      <c r="E453" s="207" t="s">
        <v>17</v>
      </c>
      <c r="F453" s="207" t="s">
        <v>6</v>
      </c>
      <c r="G453" s="207" t="s">
        <v>77</v>
      </c>
      <c r="H453" s="121" t="s">
        <v>78</v>
      </c>
      <c r="I453" s="384"/>
      <c r="J453" s="111" t="s">
        <v>79</v>
      </c>
      <c r="K453" s="207" t="s">
        <v>10</v>
      </c>
      <c r="L453" s="207" t="s">
        <v>11</v>
      </c>
      <c r="M453" s="207" t="s">
        <v>12</v>
      </c>
      <c r="N453" s="207" t="s">
        <v>80</v>
      </c>
      <c r="O453" s="121" t="s">
        <v>81</v>
      </c>
      <c r="P453" s="384"/>
      <c r="Q453" s="386"/>
    </row>
    <row r="454" spans="1:17" ht="15.75" thickBot="1" x14ac:dyDescent="0.3">
      <c r="A454" s="113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2">
        <v>8</v>
      </c>
      <c r="I454" s="124">
        <v>9</v>
      </c>
      <c r="J454" s="112">
        <v>10</v>
      </c>
      <c r="K454" s="5">
        <v>11</v>
      </c>
      <c r="L454" s="5">
        <v>12</v>
      </c>
      <c r="M454" s="5">
        <v>13</v>
      </c>
      <c r="N454" s="5">
        <v>14</v>
      </c>
      <c r="O454" s="122">
        <v>15</v>
      </c>
      <c r="P454" s="124">
        <v>16</v>
      </c>
      <c r="Q454" s="133">
        <v>17</v>
      </c>
    </row>
    <row r="455" spans="1:17" ht="15.75" thickTop="1" x14ac:dyDescent="0.25">
      <c r="A455" s="84">
        <v>1</v>
      </c>
      <c r="B455" s="7" t="s">
        <v>18</v>
      </c>
      <c r="C455" s="218">
        <v>0</v>
      </c>
      <c r="D455" s="218">
        <v>75</v>
      </c>
      <c r="E455" s="218">
        <v>0</v>
      </c>
      <c r="F455" s="218">
        <f>'padi sawah'!C108</f>
        <v>53</v>
      </c>
      <c r="G455" s="218">
        <f>'padi sawah'!D108</f>
        <v>0</v>
      </c>
      <c r="H455" s="218">
        <f>'padi sawah'!E108</f>
        <v>54</v>
      </c>
      <c r="I455" s="226">
        <f t="shared" ref="I455:I463" si="181">I311/I151*10</f>
        <v>57.142857142857146</v>
      </c>
      <c r="J455" s="236">
        <f>'padi sawah'!F108</f>
        <v>58</v>
      </c>
      <c r="K455" s="236">
        <f>'padi sawah'!G108</f>
        <v>57</v>
      </c>
      <c r="L455" s="265">
        <f>'padi sawah'!H108</f>
        <v>0</v>
      </c>
      <c r="M455" s="265">
        <f>'padi sawah'!I108</f>
        <v>0</v>
      </c>
      <c r="N455" s="265">
        <f>'padi sawah'!J108</f>
        <v>49.3</v>
      </c>
      <c r="O455" s="265">
        <f>'padi sawah'!K108</f>
        <v>52.75</v>
      </c>
      <c r="P455" s="226">
        <f>SUM(J455:O455)</f>
        <v>217.05</v>
      </c>
      <c r="Q455" s="230">
        <f t="shared" ref="Q455:Q463" si="182">Q311/Q151*10</f>
        <v>56.374269005847957</v>
      </c>
    </row>
    <row r="456" spans="1:17" x14ac:dyDescent="0.25">
      <c r="A456" s="85">
        <v>2</v>
      </c>
      <c r="B456" s="12" t="s">
        <v>19</v>
      </c>
      <c r="C456" s="219">
        <v>76.510000000000005</v>
      </c>
      <c r="D456" s="219">
        <v>60</v>
      </c>
      <c r="E456" s="219">
        <v>61.25</v>
      </c>
      <c r="F456" s="219">
        <f>'padi sawah'!C109</f>
        <v>89.76</v>
      </c>
      <c r="G456" s="219">
        <f>'padi sawah'!D109</f>
        <v>78.88</v>
      </c>
      <c r="H456" s="219">
        <f>'padi sawah'!E109</f>
        <v>88.4</v>
      </c>
      <c r="I456" s="235">
        <f t="shared" si="181"/>
        <v>83.438914027149323</v>
      </c>
      <c r="J456" s="237">
        <f>'padi sawah'!F109</f>
        <v>84.32</v>
      </c>
      <c r="K456" s="237">
        <f>'padi sawah'!G109</f>
        <v>84.32</v>
      </c>
      <c r="L456" s="271">
        <f>'padi sawah'!H109</f>
        <v>0</v>
      </c>
      <c r="M456" s="271">
        <f>'padi sawah'!I109</f>
        <v>81.92</v>
      </c>
      <c r="N456" s="271">
        <f>'padi sawah'!J109</f>
        <v>78.08</v>
      </c>
      <c r="O456" s="272">
        <f>'padi sawah'!K109</f>
        <v>70.52</v>
      </c>
      <c r="P456" s="235">
        <f t="shared" ref="P456:P461" si="183">SUM(J456:O456)</f>
        <v>399.15999999999997</v>
      </c>
      <c r="Q456" s="231">
        <f t="shared" si="182"/>
        <v>81.620370370370367</v>
      </c>
    </row>
    <row r="457" spans="1:17" x14ac:dyDescent="0.25">
      <c r="A457" s="85">
        <v>3</v>
      </c>
      <c r="B457" s="7" t="s">
        <v>20</v>
      </c>
      <c r="C457" s="219">
        <v>0</v>
      </c>
      <c r="D457" s="219">
        <v>0</v>
      </c>
      <c r="E457" s="219">
        <v>0</v>
      </c>
      <c r="F457" s="219">
        <f>'padi sawah'!C110</f>
        <v>0</v>
      </c>
      <c r="G457" s="219">
        <f>'padi sawah'!D110</f>
        <v>63</v>
      </c>
      <c r="H457" s="219">
        <f>'padi sawah'!E110</f>
        <v>57.15</v>
      </c>
      <c r="I457" s="235">
        <f t="shared" si="181"/>
        <v>8.1081081081081088</v>
      </c>
      <c r="J457" s="237">
        <f>'padi sawah'!F110</f>
        <v>57</v>
      </c>
      <c r="K457" s="237">
        <f>'padi sawah'!G110</f>
        <v>0</v>
      </c>
      <c r="L457" s="271">
        <f>'padi sawah'!H110</f>
        <v>0</v>
      </c>
      <c r="M457" s="271">
        <f>'padi sawah'!I110</f>
        <v>0</v>
      </c>
      <c r="N457" s="271">
        <f>'padi sawah'!J110</f>
        <v>49.08</v>
      </c>
      <c r="O457" s="272">
        <f>'padi sawah'!K110</f>
        <v>0</v>
      </c>
      <c r="P457" s="235">
        <f t="shared" si="183"/>
        <v>106.08</v>
      </c>
      <c r="Q457" s="231">
        <f t="shared" si="182"/>
        <v>21.442307692307693</v>
      </c>
    </row>
    <row r="458" spans="1:17" x14ac:dyDescent="0.25">
      <c r="A458" s="86">
        <v>4</v>
      </c>
      <c r="B458" s="15" t="s">
        <v>21</v>
      </c>
      <c r="C458" s="219">
        <v>0</v>
      </c>
      <c r="D458" s="219">
        <v>69.36</v>
      </c>
      <c r="E458" s="219">
        <v>85.68</v>
      </c>
      <c r="F458" s="219">
        <f>'padi sawah'!C111</f>
        <v>88.4</v>
      </c>
      <c r="G458" s="219">
        <f>'padi sawah'!D111</f>
        <v>0</v>
      </c>
      <c r="H458" s="219">
        <f>'padi sawah'!E111</f>
        <v>56.48</v>
      </c>
      <c r="I458" s="235">
        <f t="shared" si="181"/>
        <v>71.428571428571431</v>
      </c>
      <c r="J458" s="237">
        <f>'padi sawah'!F111</f>
        <v>67.680000000000007</v>
      </c>
      <c r="K458" s="237">
        <f>'padi sawah'!G111</f>
        <v>67.88</v>
      </c>
      <c r="L458" s="271">
        <f>'padi sawah'!H111</f>
        <v>0</v>
      </c>
      <c r="M458" s="271">
        <f>'padi sawah'!I111</f>
        <v>67.8</v>
      </c>
      <c r="N458" s="271">
        <f>'padi sawah'!J111</f>
        <v>58.48</v>
      </c>
      <c r="O458" s="272">
        <f>'padi sawah'!K111</f>
        <v>0</v>
      </c>
      <c r="P458" s="235">
        <f t="shared" si="183"/>
        <v>261.84000000000003</v>
      </c>
      <c r="Q458" s="231">
        <f t="shared" si="182"/>
        <v>67.63636363636364</v>
      </c>
    </row>
    <row r="459" spans="1:17" x14ac:dyDescent="0.25">
      <c r="A459" s="86">
        <v>5</v>
      </c>
      <c r="B459" s="19" t="s">
        <v>22</v>
      </c>
      <c r="C459" s="219">
        <v>0</v>
      </c>
      <c r="D459" s="219">
        <v>0</v>
      </c>
      <c r="E459" s="219">
        <v>68</v>
      </c>
      <c r="F459" s="219">
        <f>'padi sawah'!C112</f>
        <v>0</v>
      </c>
      <c r="G459" s="219">
        <f>'padi sawah'!D112</f>
        <v>59</v>
      </c>
      <c r="H459" s="219">
        <f>'padi sawah'!E112</f>
        <v>62</v>
      </c>
      <c r="I459" s="235">
        <f t="shared" si="181"/>
        <v>63.6</v>
      </c>
      <c r="J459" s="237">
        <f>'padi sawah'!F112</f>
        <v>65.849999999999994</v>
      </c>
      <c r="K459" s="237">
        <f>'padi sawah'!G112</f>
        <v>0</v>
      </c>
      <c r="L459" s="271">
        <f>'padi sawah'!H112</f>
        <v>0</v>
      </c>
      <c r="M459" s="271">
        <f>'padi sawah'!I112</f>
        <v>64.5</v>
      </c>
      <c r="N459" s="271">
        <f>'padi sawah'!J112</f>
        <v>54.83</v>
      </c>
      <c r="O459" s="272">
        <f>'padi sawah'!K112</f>
        <v>0</v>
      </c>
      <c r="P459" s="235">
        <f t="shared" si="183"/>
        <v>185.18</v>
      </c>
      <c r="Q459" s="231">
        <f t="shared" si="182"/>
        <v>64.85849056603773</v>
      </c>
    </row>
    <row r="460" spans="1:17" x14ac:dyDescent="0.25">
      <c r="A460" s="86">
        <v>6</v>
      </c>
      <c r="B460" s="19" t="s">
        <v>23</v>
      </c>
      <c r="C460" s="219">
        <v>60.35</v>
      </c>
      <c r="D460" s="219">
        <v>0</v>
      </c>
      <c r="E460" s="219">
        <v>0</v>
      </c>
      <c r="F460" s="219">
        <f>'padi sawah'!C113</f>
        <v>76.16</v>
      </c>
      <c r="G460" s="219">
        <f>'padi sawah'!D113</f>
        <v>62.42</v>
      </c>
      <c r="H460" s="219">
        <f>'padi sawah'!E113</f>
        <v>0</v>
      </c>
      <c r="I460" s="235">
        <f t="shared" si="181"/>
        <v>63.75</v>
      </c>
      <c r="J460" s="237">
        <f>'padi sawah'!F113</f>
        <v>0</v>
      </c>
      <c r="K460" s="237">
        <f>'padi sawah'!G113</f>
        <v>56.01</v>
      </c>
      <c r="L460" s="271">
        <f>'padi sawah'!H113</f>
        <v>66.56</v>
      </c>
      <c r="M460" s="271">
        <f>'padi sawah'!I113</f>
        <v>68.36</v>
      </c>
      <c r="N460" s="271">
        <f>'padi sawah'!J113</f>
        <v>74.239999999999995</v>
      </c>
      <c r="O460" s="272">
        <f>'padi sawah'!K113</f>
        <v>0</v>
      </c>
      <c r="P460" s="235">
        <f t="shared" si="183"/>
        <v>265.17</v>
      </c>
      <c r="Q460" s="231">
        <f t="shared" si="182"/>
        <v>67.037037037037038</v>
      </c>
    </row>
    <row r="461" spans="1:17" x14ac:dyDescent="0.25">
      <c r="A461" s="86">
        <v>7</v>
      </c>
      <c r="B461" s="19" t="s">
        <v>24</v>
      </c>
      <c r="C461" s="219">
        <v>57.8</v>
      </c>
      <c r="D461" s="219">
        <v>0</v>
      </c>
      <c r="E461" s="219">
        <v>52.7</v>
      </c>
      <c r="F461" s="219">
        <f>'padi sawah'!C114</f>
        <v>52.7</v>
      </c>
      <c r="G461" s="219">
        <f>'padi sawah'!D114</f>
        <v>53.3</v>
      </c>
      <c r="H461" s="219">
        <f>'padi sawah'!E114</f>
        <v>56</v>
      </c>
      <c r="I461" s="235">
        <f t="shared" si="181"/>
        <v>54.285714285714292</v>
      </c>
      <c r="J461" s="237">
        <f>'padi sawah'!F114</f>
        <v>55</v>
      </c>
      <c r="K461" s="237">
        <f>'padi sawah'!G114</f>
        <v>41.75</v>
      </c>
      <c r="L461" s="271">
        <f>'padi sawah'!H114</f>
        <v>38.299999999999997</v>
      </c>
      <c r="M461" s="271">
        <f>'padi sawah'!I114</f>
        <v>47.6</v>
      </c>
      <c r="N461" s="271">
        <f>'padi sawah'!J114</f>
        <v>60</v>
      </c>
      <c r="O461" s="272">
        <f>'padi sawah'!K114</f>
        <v>57</v>
      </c>
      <c r="P461" s="235">
        <f t="shared" si="183"/>
        <v>299.64999999999998</v>
      </c>
      <c r="Q461" s="231">
        <f t="shared" si="182"/>
        <v>55.721561969439726</v>
      </c>
    </row>
    <row r="462" spans="1:17" ht="15.75" thickBot="1" x14ac:dyDescent="0.3">
      <c r="A462" s="87">
        <v>8</v>
      </c>
      <c r="B462" s="15" t="s">
        <v>25</v>
      </c>
      <c r="C462" s="220">
        <v>0</v>
      </c>
      <c r="D462" s="220">
        <v>63.75</v>
      </c>
      <c r="E462" s="220">
        <v>65</v>
      </c>
      <c r="F462" s="220">
        <f>'padi sawah'!C115</f>
        <v>78.88</v>
      </c>
      <c r="G462" s="220">
        <f>'padi sawah'!D115</f>
        <v>60</v>
      </c>
      <c r="H462" s="220">
        <f>'padi sawah'!E115</f>
        <v>59.01</v>
      </c>
      <c r="I462" s="233">
        <f t="shared" si="181"/>
        <v>61.925287356321839</v>
      </c>
      <c r="J462" s="266">
        <f>'padi sawah'!F115</f>
        <v>0</v>
      </c>
      <c r="K462" s="266">
        <f>'padi sawah'!G115</f>
        <v>88.4</v>
      </c>
      <c r="L462" s="270">
        <f>'padi sawah'!H115</f>
        <v>48.96</v>
      </c>
      <c r="M462" s="270">
        <f>'padi sawah'!I115</f>
        <v>57.74</v>
      </c>
      <c r="N462" s="270">
        <f>'padi sawah'!J115</f>
        <v>49.87</v>
      </c>
      <c r="O462" s="270">
        <f>'padi sawah'!K115</f>
        <v>55.12</v>
      </c>
      <c r="P462" s="239">
        <f>SUM(J462:O462)</f>
        <v>300.09000000000003</v>
      </c>
      <c r="Q462" s="234">
        <f t="shared" si="182"/>
        <v>61.66374781085814</v>
      </c>
    </row>
    <row r="463" spans="1:17" ht="16.5" thickTop="1" thickBot="1" x14ac:dyDescent="0.3">
      <c r="A463" s="378" t="s">
        <v>26</v>
      </c>
      <c r="B463" s="379"/>
      <c r="C463" s="221">
        <f t="shared" ref="C463:H463" si="184">C319/C159*10</f>
        <v>72.898550724637687</v>
      </c>
      <c r="D463" s="221">
        <f t="shared" si="184"/>
        <v>65.423728813559322</v>
      </c>
      <c r="E463" s="221">
        <f t="shared" si="184"/>
        <v>66.2</v>
      </c>
      <c r="F463" s="221">
        <f t="shared" si="184"/>
        <v>68.852459016393439</v>
      </c>
      <c r="G463" s="221">
        <f t="shared" si="184"/>
        <v>52.331838565022423</v>
      </c>
      <c r="H463" s="222">
        <f t="shared" si="184"/>
        <v>61.818181818181813</v>
      </c>
      <c r="I463" s="224">
        <f t="shared" si="181"/>
        <v>61.323232323232318</v>
      </c>
      <c r="J463" s="223">
        <f t="shared" ref="J463:P463" si="185">J319/J159*10</f>
        <v>63.247631935047359</v>
      </c>
      <c r="K463" s="221">
        <f t="shared" si="185"/>
        <v>70.762711864406782</v>
      </c>
      <c r="L463" s="221">
        <f t="shared" si="185"/>
        <v>50.833333333333329</v>
      </c>
      <c r="M463" s="221">
        <f t="shared" si="185"/>
        <v>59.54545454545454</v>
      </c>
      <c r="N463" s="221">
        <f t="shared" si="185"/>
        <v>64.963144963144956</v>
      </c>
      <c r="O463" s="222">
        <f t="shared" si="185"/>
        <v>56.454545454545453</v>
      </c>
      <c r="P463" s="224">
        <f t="shared" si="185"/>
        <v>62.947103274559197</v>
      </c>
      <c r="Q463" s="225">
        <f t="shared" si="182"/>
        <v>62.323506594259115</v>
      </c>
    </row>
    <row r="465" spans="1:17" ht="15.75" x14ac:dyDescent="0.25">
      <c r="A465" s="380" t="s">
        <v>136</v>
      </c>
      <c r="B465" s="380"/>
      <c r="C465" s="380"/>
      <c r="D465" s="380"/>
      <c r="E465" s="380"/>
      <c r="F465" s="380"/>
      <c r="G465" s="380"/>
      <c r="H465" s="380"/>
      <c r="I465" s="380"/>
      <c r="J465" s="380"/>
      <c r="K465" s="380"/>
      <c r="L465" s="380"/>
      <c r="M465" s="380"/>
      <c r="N465" s="380"/>
      <c r="O465" s="380"/>
      <c r="P465" s="380"/>
      <c r="Q465" s="380"/>
    </row>
    <row r="466" spans="1:17" ht="15.75" x14ac:dyDescent="0.25">
      <c r="A466" s="380" t="s">
        <v>82</v>
      </c>
      <c r="B466" s="380"/>
      <c r="C466" s="380"/>
      <c r="D466" s="380"/>
      <c r="E466" s="380"/>
      <c r="F466" s="380"/>
      <c r="G466" s="380"/>
      <c r="H466" s="380"/>
      <c r="I466" s="380"/>
      <c r="J466" s="380"/>
      <c r="K466" s="380"/>
      <c r="L466" s="380"/>
      <c r="M466" s="380"/>
      <c r="N466" s="380"/>
      <c r="O466" s="380"/>
      <c r="P466" s="380"/>
      <c r="Q466" s="380"/>
    </row>
    <row r="467" spans="1:17" ht="15.75" thickBot="1" x14ac:dyDescent="0.3">
      <c r="Q467" s="76" t="s">
        <v>31</v>
      </c>
    </row>
    <row r="468" spans="1:17" x14ac:dyDescent="0.25">
      <c r="A468" s="375" t="s">
        <v>2</v>
      </c>
      <c r="B468" s="377" t="s">
        <v>3</v>
      </c>
      <c r="C468" s="381" t="s">
        <v>90</v>
      </c>
      <c r="D468" s="382"/>
      <c r="E468" s="382"/>
      <c r="F468" s="382"/>
      <c r="G468" s="382"/>
      <c r="H468" s="382"/>
      <c r="I468" s="383" t="s">
        <v>83</v>
      </c>
      <c r="J468" s="382">
        <v>2017</v>
      </c>
      <c r="K468" s="382"/>
      <c r="L468" s="382"/>
      <c r="M468" s="382"/>
      <c r="N468" s="382"/>
      <c r="O468" s="382"/>
      <c r="P468" s="383" t="s">
        <v>84</v>
      </c>
      <c r="Q468" s="385" t="s">
        <v>5</v>
      </c>
    </row>
    <row r="469" spans="1:17" x14ac:dyDescent="0.25">
      <c r="A469" s="376"/>
      <c r="B469" s="363"/>
      <c r="C469" s="207" t="s">
        <v>15</v>
      </c>
      <c r="D469" s="207" t="s">
        <v>16</v>
      </c>
      <c r="E469" s="207" t="s">
        <v>17</v>
      </c>
      <c r="F469" s="207" t="s">
        <v>6</v>
      </c>
      <c r="G469" s="207" t="s">
        <v>77</v>
      </c>
      <c r="H469" s="121" t="s">
        <v>78</v>
      </c>
      <c r="I469" s="384"/>
      <c r="J469" s="111" t="s">
        <v>79</v>
      </c>
      <c r="K469" s="207" t="s">
        <v>10</v>
      </c>
      <c r="L469" s="207" t="s">
        <v>11</v>
      </c>
      <c r="M469" s="207" t="s">
        <v>12</v>
      </c>
      <c r="N469" s="207" t="s">
        <v>80</v>
      </c>
      <c r="O469" s="121" t="s">
        <v>81</v>
      </c>
      <c r="P469" s="384"/>
      <c r="Q469" s="386"/>
    </row>
    <row r="470" spans="1:17" ht="15.75" thickBot="1" x14ac:dyDescent="0.3">
      <c r="A470" s="113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2">
        <v>8</v>
      </c>
      <c r="I470" s="124">
        <v>9</v>
      </c>
      <c r="J470" s="112">
        <v>10</v>
      </c>
      <c r="K470" s="5">
        <v>11</v>
      </c>
      <c r="L470" s="5">
        <v>12</v>
      </c>
      <c r="M470" s="5">
        <v>13</v>
      </c>
      <c r="N470" s="5">
        <v>14</v>
      </c>
      <c r="O470" s="122">
        <v>15</v>
      </c>
      <c r="P470" s="124">
        <v>16</v>
      </c>
      <c r="Q470" s="133">
        <v>17</v>
      </c>
    </row>
    <row r="471" spans="1:17" ht="15.75" thickTop="1" x14ac:dyDescent="0.25">
      <c r="A471" s="84">
        <v>1</v>
      </c>
      <c r="B471" s="7" t="s">
        <v>18</v>
      </c>
      <c r="C471" s="138">
        <v>0</v>
      </c>
      <c r="D471" s="138">
        <v>0</v>
      </c>
      <c r="E471" s="138">
        <v>0</v>
      </c>
      <c r="F471" s="218">
        <f>'padi ladang'!C108</f>
        <v>0</v>
      </c>
      <c r="G471" s="218">
        <f>'padi ladang'!D108</f>
        <v>0</v>
      </c>
      <c r="H471" s="218">
        <f>'padi ladang'!E108</f>
        <v>0</v>
      </c>
      <c r="I471" s="126">
        <f>SUM(C471:H471)</f>
        <v>0</v>
      </c>
      <c r="J471" s="236">
        <f>'padi ladang'!F108</f>
        <v>0</v>
      </c>
      <c r="K471" s="236">
        <f>'padi ladang'!G108</f>
        <v>0</v>
      </c>
      <c r="L471" s="236">
        <f>'padi ladang'!H108</f>
        <v>0</v>
      </c>
      <c r="M471" s="236">
        <f>'padi ladang'!I108</f>
        <v>0</v>
      </c>
      <c r="N471" s="236">
        <f>'padi ladang'!J108</f>
        <v>0</v>
      </c>
      <c r="O471" s="236">
        <f>'padi ladang'!K108</f>
        <v>0</v>
      </c>
      <c r="P471" s="126">
        <f>SUM(J471:O471)</f>
        <v>0</v>
      </c>
      <c r="Q471" s="129">
        <f>SUM(I471,P471)</f>
        <v>0</v>
      </c>
    </row>
    <row r="472" spans="1:17" x14ac:dyDescent="0.25">
      <c r="A472" s="85">
        <v>2</v>
      </c>
      <c r="B472" s="12" t="s">
        <v>19</v>
      </c>
      <c r="C472" s="60">
        <v>0</v>
      </c>
      <c r="D472" s="60">
        <v>0</v>
      </c>
      <c r="E472" s="60">
        <v>0</v>
      </c>
      <c r="F472" s="219">
        <f>'padi ladang'!C109</f>
        <v>0</v>
      </c>
      <c r="G472" s="219">
        <f>'padi ladang'!D109</f>
        <v>0</v>
      </c>
      <c r="H472" s="219">
        <f>'padi ladang'!E109</f>
        <v>0</v>
      </c>
      <c r="I472" s="127">
        <f t="shared" ref="I472:I478" si="186">SUM(C472:H472)</f>
        <v>0</v>
      </c>
      <c r="J472" s="237">
        <f>'padi ladang'!F109</f>
        <v>0</v>
      </c>
      <c r="K472" s="237">
        <f>'padi ladang'!G109</f>
        <v>0</v>
      </c>
      <c r="L472" s="237">
        <f>'padi ladang'!H109</f>
        <v>0</v>
      </c>
      <c r="M472" s="237">
        <f>'padi ladang'!I109</f>
        <v>0</v>
      </c>
      <c r="N472" s="237">
        <f>'padi ladang'!J109</f>
        <v>0</v>
      </c>
      <c r="O472" s="238">
        <f>'padi ladang'!K109</f>
        <v>0</v>
      </c>
      <c r="P472" s="127">
        <f t="shared" ref="P472:P477" si="187">SUM(J472:O472)</f>
        <v>0</v>
      </c>
      <c r="Q472" s="130">
        <f t="shared" ref="Q472:Q478" si="188">SUM(I472,P472)</f>
        <v>0</v>
      </c>
    </row>
    <row r="473" spans="1:17" x14ac:dyDescent="0.25">
      <c r="A473" s="85">
        <v>3</v>
      </c>
      <c r="B473" s="7" t="s">
        <v>20</v>
      </c>
      <c r="C473" s="60">
        <v>0</v>
      </c>
      <c r="D473" s="60">
        <v>0</v>
      </c>
      <c r="E473" s="60">
        <v>0</v>
      </c>
      <c r="F473" s="219">
        <f>'padi ladang'!C110</f>
        <v>0</v>
      </c>
      <c r="G473" s="219">
        <f>'padi ladang'!D110</f>
        <v>35</v>
      </c>
      <c r="H473" s="219">
        <f>'padi ladang'!E110</f>
        <v>40.15</v>
      </c>
      <c r="I473" s="235">
        <f>I329/I185*10</f>
        <v>37.34375</v>
      </c>
      <c r="J473" s="237">
        <f>'padi ladang'!F110</f>
        <v>40.25</v>
      </c>
      <c r="K473" s="237">
        <f>'padi ladang'!G110</f>
        <v>0</v>
      </c>
      <c r="L473" s="237">
        <f>'padi ladang'!H110</f>
        <v>0</v>
      </c>
      <c r="M473" s="237">
        <f>'padi ladang'!I110</f>
        <v>0</v>
      </c>
      <c r="N473" s="237">
        <f>'padi ladang'!J110</f>
        <v>0</v>
      </c>
      <c r="O473" s="238">
        <f>'padi ladang'!K110</f>
        <v>0</v>
      </c>
      <c r="P473" s="127">
        <f t="shared" si="187"/>
        <v>40.25</v>
      </c>
      <c r="Q473" s="130">
        <f t="shared" si="188"/>
        <v>77.59375</v>
      </c>
    </row>
    <row r="474" spans="1:17" x14ac:dyDescent="0.25">
      <c r="A474" s="86">
        <v>4</v>
      </c>
      <c r="B474" s="15" t="s">
        <v>21</v>
      </c>
      <c r="C474" s="60">
        <v>0</v>
      </c>
      <c r="D474" s="60">
        <v>0</v>
      </c>
      <c r="E474" s="60">
        <v>0</v>
      </c>
      <c r="F474" s="219">
        <f>'padi ladang'!C111</f>
        <v>0</v>
      </c>
      <c r="G474" s="219">
        <f>'padi ladang'!D111</f>
        <v>0</v>
      </c>
      <c r="H474" s="219">
        <f>'padi ladang'!E111</f>
        <v>0</v>
      </c>
      <c r="I474" s="127">
        <f t="shared" si="186"/>
        <v>0</v>
      </c>
      <c r="J474" s="237">
        <f>'padi ladang'!F111</f>
        <v>0</v>
      </c>
      <c r="K474" s="237">
        <f>'padi ladang'!G111</f>
        <v>0</v>
      </c>
      <c r="L474" s="237">
        <f>'padi ladang'!H111</f>
        <v>0</v>
      </c>
      <c r="M474" s="237">
        <f>'padi ladang'!I111</f>
        <v>0</v>
      </c>
      <c r="N474" s="237">
        <f>'padi ladang'!J111</f>
        <v>0</v>
      </c>
      <c r="O474" s="238">
        <f>'padi ladang'!K111</f>
        <v>0</v>
      </c>
      <c r="P474" s="127">
        <f t="shared" si="187"/>
        <v>0</v>
      </c>
      <c r="Q474" s="130">
        <f t="shared" si="188"/>
        <v>0</v>
      </c>
    </row>
    <row r="475" spans="1:17" x14ac:dyDescent="0.25">
      <c r="A475" s="86">
        <v>5</v>
      </c>
      <c r="B475" s="19" t="s">
        <v>22</v>
      </c>
      <c r="C475" s="60">
        <v>0</v>
      </c>
      <c r="D475" s="60">
        <v>0</v>
      </c>
      <c r="E475" s="60">
        <v>0</v>
      </c>
      <c r="F475" s="219">
        <f>'padi ladang'!C112</f>
        <v>0</v>
      </c>
      <c r="G475" s="219">
        <f>'padi ladang'!D112</f>
        <v>0</v>
      </c>
      <c r="H475" s="219">
        <f>'padi ladang'!E112</f>
        <v>0</v>
      </c>
      <c r="I475" s="127">
        <f t="shared" si="186"/>
        <v>0</v>
      </c>
      <c r="J475" s="237">
        <f>'padi ladang'!F112</f>
        <v>0</v>
      </c>
      <c r="K475" s="237">
        <f>'padi ladang'!G112</f>
        <v>0</v>
      </c>
      <c r="L475" s="237">
        <f>'padi ladang'!H112</f>
        <v>0</v>
      </c>
      <c r="M475" s="237">
        <f>'padi ladang'!I112</f>
        <v>0</v>
      </c>
      <c r="N475" s="237">
        <f>'padi ladang'!J112</f>
        <v>0</v>
      </c>
      <c r="O475" s="238">
        <f>'padi ladang'!K112</f>
        <v>0</v>
      </c>
      <c r="P475" s="127">
        <f t="shared" si="187"/>
        <v>0</v>
      </c>
      <c r="Q475" s="130">
        <f t="shared" si="188"/>
        <v>0</v>
      </c>
    </row>
    <row r="476" spans="1:17" x14ac:dyDescent="0.25">
      <c r="A476" s="86">
        <v>6</v>
      </c>
      <c r="B476" s="19" t="s">
        <v>23</v>
      </c>
      <c r="C476" s="60">
        <v>0</v>
      </c>
      <c r="D476" s="60">
        <v>0</v>
      </c>
      <c r="E476" s="60">
        <v>0</v>
      </c>
      <c r="F476" s="219">
        <f>'padi ladang'!C113</f>
        <v>0</v>
      </c>
      <c r="G476" s="219">
        <f>'padi ladang'!D113</f>
        <v>0</v>
      </c>
      <c r="H476" s="219">
        <f>'padi ladang'!E113</f>
        <v>0</v>
      </c>
      <c r="I476" s="127">
        <f t="shared" si="186"/>
        <v>0</v>
      </c>
      <c r="J476" s="237">
        <f>'padi ladang'!F113</f>
        <v>0</v>
      </c>
      <c r="K476" s="237">
        <f>'padi ladang'!G113</f>
        <v>0</v>
      </c>
      <c r="L476" s="237">
        <f>'padi ladang'!H113</f>
        <v>0</v>
      </c>
      <c r="M476" s="237">
        <f>'padi ladang'!I113</f>
        <v>0</v>
      </c>
      <c r="N476" s="237">
        <f>'padi ladang'!J113</f>
        <v>0</v>
      </c>
      <c r="O476" s="238">
        <f>'padi ladang'!K113</f>
        <v>0</v>
      </c>
      <c r="P476" s="127">
        <f t="shared" si="187"/>
        <v>0</v>
      </c>
      <c r="Q476" s="130">
        <f t="shared" si="188"/>
        <v>0</v>
      </c>
    </row>
    <row r="477" spans="1:17" x14ac:dyDescent="0.25">
      <c r="A477" s="86">
        <v>7</v>
      </c>
      <c r="B477" s="19" t="s">
        <v>24</v>
      </c>
      <c r="C477" s="60">
        <v>0</v>
      </c>
      <c r="D477" s="60">
        <v>0</v>
      </c>
      <c r="E477" s="60">
        <v>0</v>
      </c>
      <c r="F477" s="219">
        <f>'padi ladang'!C114</f>
        <v>0</v>
      </c>
      <c r="G477" s="219">
        <f>'padi ladang'!D114</f>
        <v>0</v>
      </c>
      <c r="H477" s="219">
        <f>'padi ladang'!E114</f>
        <v>0</v>
      </c>
      <c r="I477" s="127">
        <f t="shared" si="186"/>
        <v>0</v>
      </c>
      <c r="J477" s="237">
        <f>'padi ladang'!F114</f>
        <v>0</v>
      </c>
      <c r="K477" s="237">
        <f>'padi ladang'!G114</f>
        <v>0</v>
      </c>
      <c r="L477" s="237">
        <f>'padi ladang'!H114</f>
        <v>0</v>
      </c>
      <c r="M477" s="237">
        <f>'padi ladang'!I114</f>
        <v>0</v>
      </c>
      <c r="N477" s="237">
        <f>'padi ladang'!J114</f>
        <v>0</v>
      </c>
      <c r="O477" s="238">
        <f>'padi ladang'!K114</f>
        <v>0</v>
      </c>
      <c r="P477" s="127">
        <f t="shared" si="187"/>
        <v>0</v>
      </c>
      <c r="Q477" s="130">
        <f t="shared" si="188"/>
        <v>0</v>
      </c>
    </row>
    <row r="478" spans="1:17" ht="15.75" thickBot="1" x14ac:dyDescent="0.3">
      <c r="A478" s="87">
        <v>8</v>
      </c>
      <c r="B478" s="15" t="s">
        <v>25</v>
      </c>
      <c r="C478" s="139">
        <v>0</v>
      </c>
      <c r="D478" s="139">
        <v>0</v>
      </c>
      <c r="E478" s="139">
        <v>0</v>
      </c>
      <c r="F478" s="220">
        <f>'padi ladang'!C115</f>
        <v>0</v>
      </c>
      <c r="G478" s="220">
        <f>'padi ladang'!D115</f>
        <v>0</v>
      </c>
      <c r="H478" s="220">
        <f>'padi ladang'!E115</f>
        <v>0</v>
      </c>
      <c r="I478" s="128">
        <f t="shared" si="186"/>
        <v>0</v>
      </c>
      <c r="J478" s="266">
        <f>'padi ladang'!F115</f>
        <v>0</v>
      </c>
      <c r="K478" s="266">
        <f>'padi ladang'!G115</f>
        <v>0</v>
      </c>
      <c r="L478" s="266">
        <f>'padi ladang'!H115</f>
        <v>0</v>
      </c>
      <c r="M478" s="266">
        <f>'padi ladang'!I115</f>
        <v>0</v>
      </c>
      <c r="N478" s="266">
        <f>'padi ladang'!J115</f>
        <v>0</v>
      </c>
      <c r="O478" s="266">
        <f>'padi ladang'!K115</f>
        <v>0</v>
      </c>
      <c r="P478" s="128">
        <f>SUM(J478:O478)</f>
        <v>0</v>
      </c>
      <c r="Q478" s="131">
        <f t="shared" si="188"/>
        <v>0</v>
      </c>
    </row>
    <row r="479" spans="1:17" ht="16.5" thickTop="1" thickBot="1" x14ac:dyDescent="0.3">
      <c r="A479" s="378" t="s">
        <v>26</v>
      </c>
      <c r="B479" s="379"/>
      <c r="C479" s="114">
        <f t="shared" ref="C479:H479" si="189">SUM(C471:C478)</f>
        <v>0</v>
      </c>
      <c r="D479" s="114">
        <f t="shared" si="189"/>
        <v>0</v>
      </c>
      <c r="E479" s="114">
        <f t="shared" si="189"/>
        <v>0</v>
      </c>
      <c r="F479" s="114">
        <f t="shared" si="189"/>
        <v>0</v>
      </c>
      <c r="G479" s="221">
        <f t="shared" si="189"/>
        <v>35</v>
      </c>
      <c r="H479" s="222">
        <f t="shared" si="189"/>
        <v>40.15</v>
      </c>
      <c r="I479" s="224">
        <f>SUM(I471:I478)</f>
        <v>37.34375</v>
      </c>
      <c r="J479" s="135">
        <f t="shared" ref="J479:O479" si="190">SUM(J471:J478)</f>
        <v>40.25</v>
      </c>
      <c r="K479" s="114">
        <f t="shared" si="190"/>
        <v>0</v>
      </c>
      <c r="L479" s="114">
        <f t="shared" si="190"/>
        <v>0</v>
      </c>
      <c r="M479" s="114">
        <f t="shared" si="190"/>
        <v>0</v>
      </c>
      <c r="N479" s="114">
        <f t="shared" si="190"/>
        <v>0</v>
      </c>
      <c r="O479" s="123">
        <f t="shared" si="190"/>
        <v>0</v>
      </c>
      <c r="P479" s="125">
        <f>SUM(P471:P478)</f>
        <v>40.25</v>
      </c>
      <c r="Q479" s="132">
        <f>SUM(Q471:Q478)</f>
        <v>77.59375</v>
      </c>
    </row>
    <row r="481" spans="1:17" ht="15.75" x14ac:dyDescent="0.25">
      <c r="A481" s="380" t="s">
        <v>137</v>
      </c>
      <c r="B481" s="380"/>
      <c r="C481" s="380"/>
      <c r="D481" s="380"/>
      <c r="E481" s="380"/>
      <c r="F481" s="380"/>
      <c r="G481" s="380"/>
      <c r="H481" s="380"/>
      <c r="I481" s="380"/>
      <c r="J481" s="380"/>
      <c r="K481" s="380"/>
      <c r="L481" s="380"/>
      <c r="M481" s="380"/>
      <c r="N481" s="380"/>
      <c r="O481" s="380"/>
      <c r="P481" s="380"/>
      <c r="Q481" s="380"/>
    </row>
    <row r="482" spans="1:17" ht="15.75" x14ac:dyDescent="0.25">
      <c r="A482" s="380" t="s">
        <v>82</v>
      </c>
      <c r="B482" s="380"/>
      <c r="C482" s="380"/>
      <c r="D482" s="380"/>
      <c r="E482" s="380"/>
      <c r="F482" s="380"/>
      <c r="G482" s="380"/>
      <c r="H482" s="380"/>
      <c r="I482" s="380"/>
      <c r="J482" s="380"/>
      <c r="K482" s="380"/>
      <c r="L482" s="380"/>
      <c r="M482" s="380"/>
      <c r="N482" s="380"/>
      <c r="O482" s="380"/>
      <c r="P482" s="380"/>
      <c r="Q482" s="380"/>
    </row>
    <row r="483" spans="1:17" ht="15.75" thickBot="1" x14ac:dyDescent="0.3">
      <c r="Q483" s="76" t="s">
        <v>31</v>
      </c>
    </row>
    <row r="484" spans="1:17" x14ac:dyDescent="0.25">
      <c r="A484" s="375" t="s">
        <v>2</v>
      </c>
      <c r="B484" s="377" t="s">
        <v>3</v>
      </c>
      <c r="C484" s="381" t="s">
        <v>90</v>
      </c>
      <c r="D484" s="382"/>
      <c r="E484" s="382"/>
      <c r="F484" s="382"/>
      <c r="G484" s="382"/>
      <c r="H484" s="382"/>
      <c r="I484" s="383" t="s">
        <v>83</v>
      </c>
      <c r="J484" s="382">
        <v>2017</v>
      </c>
      <c r="K484" s="382"/>
      <c r="L484" s="382"/>
      <c r="M484" s="382"/>
      <c r="N484" s="382"/>
      <c r="O484" s="382"/>
      <c r="P484" s="383" t="s">
        <v>84</v>
      </c>
      <c r="Q484" s="385" t="s">
        <v>5</v>
      </c>
    </row>
    <row r="485" spans="1:17" x14ac:dyDescent="0.25">
      <c r="A485" s="376"/>
      <c r="B485" s="363"/>
      <c r="C485" s="207" t="s">
        <v>15</v>
      </c>
      <c r="D485" s="207" t="s">
        <v>16</v>
      </c>
      <c r="E485" s="207" t="s">
        <v>17</v>
      </c>
      <c r="F485" s="207" t="s">
        <v>6</v>
      </c>
      <c r="G485" s="207" t="s">
        <v>77</v>
      </c>
      <c r="H485" s="121" t="s">
        <v>78</v>
      </c>
      <c r="I485" s="384"/>
      <c r="J485" s="111" t="s">
        <v>79</v>
      </c>
      <c r="K485" s="207" t="s">
        <v>10</v>
      </c>
      <c r="L485" s="207" t="s">
        <v>11</v>
      </c>
      <c r="M485" s="207" t="s">
        <v>12</v>
      </c>
      <c r="N485" s="207" t="s">
        <v>80</v>
      </c>
      <c r="O485" s="121" t="s">
        <v>81</v>
      </c>
      <c r="P485" s="384"/>
      <c r="Q485" s="386"/>
    </row>
    <row r="486" spans="1:17" ht="15.75" thickBot="1" x14ac:dyDescent="0.3">
      <c r="A486" s="113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2">
        <v>8</v>
      </c>
      <c r="I486" s="124">
        <v>9</v>
      </c>
      <c r="J486" s="112">
        <v>10</v>
      </c>
      <c r="K486" s="5">
        <v>11</v>
      </c>
      <c r="L486" s="5">
        <v>12</v>
      </c>
      <c r="M486" s="5">
        <v>13</v>
      </c>
      <c r="N486" s="5">
        <v>14</v>
      </c>
      <c r="O486" s="122">
        <v>15</v>
      </c>
      <c r="P486" s="124">
        <v>16</v>
      </c>
      <c r="Q486" s="133">
        <v>17</v>
      </c>
    </row>
    <row r="487" spans="1:17" ht="15.75" thickTop="1" x14ac:dyDescent="0.25">
      <c r="A487" s="84">
        <v>1</v>
      </c>
      <c r="B487" s="7" t="s">
        <v>18</v>
      </c>
      <c r="C487" s="218">
        <v>0</v>
      </c>
      <c r="D487" s="218">
        <v>0</v>
      </c>
      <c r="E487" s="218">
        <v>0</v>
      </c>
      <c r="F487" s="218">
        <f>jagung!C108</f>
        <v>0</v>
      </c>
      <c r="G487" s="218">
        <f>jagung!D108</f>
        <v>0</v>
      </c>
      <c r="H487" s="218">
        <f>jagung!E108</f>
        <v>0</v>
      </c>
      <c r="I487" s="226" t="e">
        <f t="shared" ref="I487:I495" si="191">I343/I199*10</f>
        <v>#DIV/0!</v>
      </c>
      <c r="J487" s="236">
        <f>jagung!F108</f>
        <v>0</v>
      </c>
      <c r="K487" s="236">
        <f>jagung!G108</f>
        <v>0</v>
      </c>
      <c r="L487" s="236">
        <f>jagung!H108</f>
        <v>0</v>
      </c>
      <c r="M487" s="236">
        <f>jagung!I108</f>
        <v>0</v>
      </c>
      <c r="N487" s="236">
        <f>jagung!J108</f>
        <v>0</v>
      </c>
      <c r="O487" s="236">
        <f>jagung!K108</f>
        <v>0</v>
      </c>
      <c r="P487" s="226">
        <f>SUM(J487:O487)</f>
        <v>0</v>
      </c>
      <c r="Q487" s="230" t="e">
        <f t="shared" ref="Q487:Q495" si="192">Q343/Q199*10</f>
        <v>#DIV/0!</v>
      </c>
    </row>
    <row r="488" spans="1:17" x14ac:dyDescent="0.25">
      <c r="A488" s="85">
        <v>2</v>
      </c>
      <c r="B488" s="12" t="s">
        <v>19</v>
      </c>
      <c r="C488" s="219">
        <v>29.13</v>
      </c>
      <c r="D488" s="219">
        <v>0</v>
      </c>
      <c r="E488" s="219">
        <v>0</v>
      </c>
      <c r="F488" s="219">
        <f>jagung!C109</f>
        <v>0</v>
      </c>
      <c r="G488" s="219">
        <f>jagung!D109</f>
        <v>0</v>
      </c>
      <c r="H488" s="219">
        <f>jagung!E109</f>
        <v>0</v>
      </c>
      <c r="I488" s="235">
        <f t="shared" si="191"/>
        <v>30</v>
      </c>
      <c r="J488" s="237">
        <f>jagung!F109</f>
        <v>0</v>
      </c>
      <c r="K488" s="237">
        <f>jagung!G109</f>
        <v>0</v>
      </c>
      <c r="L488" s="237">
        <f>jagung!H109</f>
        <v>0</v>
      </c>
      <c r="M488" s="237">
        <f>jagung!I109</f>
        <v>0</v>
      </c>
      <c r="N488" s="237">
        <f>jagung!J109</f>
        <v>0</v>
      </c>
      <c r="O488" s="238">
        <f>jagung!K109</f>
        <v>0</v>
      </c>
      <c r="P488" s="235">
        <f t="shared" ref="P488:P493" si="193">SUM(J488:O488)</f>
        <v>0</v>
      </c>
      <c r="Q488" s="231">
        <f t="shared" si="192"/>
        <v>30</v>
      </c>
    </row>
    <row r="489" spans="1:17" x14ac:dyDescent="0.25">
      <c r="A489" s="85">
        <v>3</v>
      </c>
      <c r="B489" s="7" t="s">
        <v>20</v>
      </c>
      <c r="C489" s="219">
        <v>0</v>
      </c>
      <c r="D489" s="219">
        <v>0</v>
      </c>
      <c r="E489" s="219">
        <v>0</v>
      </c>
      <c r="F489" s="219">
        <f>jagung!C110</f>
        <v>0</v>
      </c>
      <c r="G489" s="219">
        <f>jagung!D110</f>
        <v>0</v>
      </c>
      <c r="H489" s="219">
        <f>jagung!E110</f>
        <v>30.78</v>
      </c>
      <c r="I489" s="235">
        <f t="shared" si="191"/>
        <v>30</v>
      </c>
      <c r="J489" s="237">
        <f>jagung!F110</f>
        <v>0</v>
      </c>
      <c r="K489" s="237">
        <f>jagung!G110</f>
        <v>0</v>
      </c>
      <c r="L489" s="237">
        <f>jagung!H110</f>
        <v>0</v>
      </c>
      <c r="M489" s="237">
        <f>jagung!I110</f>
        <v>0</v>
      </c>
      <c r="N489" s="237">
        <f>jagung!J110</f>
        <v>0</v>
      </c>
      <c r="O489" s="238">
        <f>jagung!K110</f>
        <v>0</v>
      </c>
      <c r="P489" s="235">
        <f t="shared" si="193"/>
        <v>0</v>
      </c>
      <c r="Q489" s="231">
        <f t="shared" si="192"/>
        <v>30</v>
      </c>
    </row>
    <row r="490" spans="1:17" x14ac:dyDescent="0.25">
      <c r="A490" s="86">
        <v>4</v>
      </c>
      <c r="B490" s="15" t="s">
        <v>21</v>
      </c>
      <c r="C490" s="219">
        <v>0</v>
      </c>
      <c r="D490" s="219">
        <v>46.8</v>
      </c>
      <c r="E490" s="219">
        <v>0</v>
      </c>
      <c r="F490" s="219">
        <f>jagung!C111</f>
        <v>0</v>
      </c>
      <c r="G490" s="219">
        <f>jagung!D111</f>
        <v>31.2</v>
      </c>
      <c r="H490" s="219">
        <f>jagung!E111</f>
        <v>0</v>
      </c>
      <c r="I490" s="235">
        <f t="shared" si="191"/>
        <v>35</v>
      </c>
      <c r="J490" s="237">
        <f>jagung!F111</f>
        <v>0</v>
      </c>
      <c r="K490" s="237">
        <f>jagung!G111</f>
        <v>0</v>
      </c>
      <c r="L490" s="237">
        <f>jagung!H111</f>
        <v>0</v>
      </c>
      <c r="M490" s="237">
        <f>jagung!I111</f>
        <v>0</v>
      </c>
      <c r="N490" s="237">
        <f>jagung!J111</f>
        <v>0</v>
      </c>
      <c r="O490" s="238">
        <f>jagung!K111</f>
        <v>0</v>
      </c>
      <c r="P490" s="235">
        <f t="shared" si="193"/>
        <v>0</v>
      </c>
      <c r="Q490" s="231">
        <f t="shared" si="192"/>
        <v>35</v>
      </c>
    </row>
    <row r="491" spans="1:17" x14ac:dyDescent="0.25">
      <c r="A491" s="86">
        <v>5</v>
      </c>
      <c r="B491" s="19" t="s">
        <v>22</v>
      </c>
      <c r="C491" s="219">
        <v>0</v>
      </c>
      <c r="D491" s="219">
        <v>30.15</v>
      </c>
      <c r="E491" s="219">
        <v>0</v>
      </c>
      <c r="F491" s="219">
        <f>jagung!C112</f>
        <v>0</v>
      </c>
      <c r="G491" s="219">
        <f>jagung!D112</f>
        <v>0</v>
      </c>
      <c r="H491" s="219">
        <f>jagung!E112</f>
        <v>0</v>
      </c>
      <c r="I491" s="235">
        <f t="shared" si="191"/>
        <v>30</v>
      </c>
      <c r="J491" s="237">
        <f>jagung!F112</f>
        <v>0</v>
      </c>
      <c r="K491" s="237">
        <f>jagung!G112</f>
        <v>0</v>
      </c>
      <c r="L491" s="237">
        <f>jagung!H112</f>
        <v>0</v>
      </c>
      <c r="M491" s="237">
        <f>jagung!I112</f>
        <v>0</v>
      </c>
      <c r="N491" s="237">
        <f>jagung!J112</f>
        <v>33.25</v>
      </c>
      <c r="O491" s="238">
        <f>jagung!K112</f>
        <v>0</v>
      </c>
      <c r="P491" s="235">
        <f t="shared" si="193"/>
        <v>33.25</v>
      </c>
      <c r="Q491" s="231">
        <f t="shared" si="192"/>
        <v>31.999999999999996</v>
      </c>
    </row>
    <row r="492" spans="1:17" x14ac:dyDescent="0.25">
      <c r="A492" s="86">
        <v>6</v>
      </c>
      <c r="B492" s="19" t="s">
        <v>23</v>
      </c>
      <c r="C492" s="219">
        <v>0</v>
      </c>
      <c r="D492" s="219">
        <v>40</v>
      </c>
      <c r="E492" s="219">
        <v>0</v>
      </c>
      <c r="F492" s="219">
        <f>jagung!C113</f>
        <v>0</v>
      </c>
      <c r="G492" s="219">
        <f>jagung!D113</f>
        <v>0</v>
      </c>
      <c r="H492" s="219">
        <f>jagung!E113</f>
        <v>0</v>
      </c>
      <c r="I492" s="235">
        <f t="shared" si="191"/>
        <v>40</v>
      </c>
      <c r="J492" s="237">
        <f>jagung!F113</f>
        <v>0</v>
      </c>
      <c r="K492" s="237">
        <f>jagung!G113</f>
        <v>0</v>
      </c>
      <c r="L492" s="237">
        <f>jagung!H113</f>
        <v>0</v>
      </c>
      <c r="M492" s="237">
        <f>jagung!I113</f>
        <v>0</v>
      </c>
      <c r="N492" s="237">
        <f>jagung!J113</f>
        <v>0</v>
      </c>
      <c r="O492" s="238">
        <f>jagung!K113</f>
        <v>0</v>
      </c>
      <c r="P492" s="235">
        <f t="shared" si="193"/>
        <v>0</v>
      </c>
      <c r="Q492" s="231">
        <f t="shared" si="192"/>
        <v>40</v>
      </c>
    </row>
    <row r="493" spans="1:17" x14ac:dyDescent="0.25">
      <c r="A493" s="86">
        <v>7</v>
      </c>
      <c r="B493" s="19" t="s">
        <v>24</v>
      </c>
      <c r="C493" s="219">
        <v>0</v>
      </c>
      <c r="D493" s="219">
        <v>35</v>
      </c>
      <c r="E493" s="219">
        <v>0</v>
      </c>
      <c r="F493" s="219">
        <f>jagung!C114</f>
        <v>0</v>
      </c>
      <c r="G493" s="219">
        <f>jagung!D114</f>
        <v>0</v>
      </c>
      <c r="H493" s="219">
        <f>jagung!E114</f>
        <v>0</v>
      </c>
      <c r="I493" s="235">
        <f t="shared" si="191"/>
        <v>40</v>
      </c>
      <c r="J493" s="237">
        <f>jagung!F114</f>
        <v>0</v>
      </c>
      <c r="K493" s="237">
        <f>jagung!G114</f>
        <v>0</v>
      </c>
      <c r="L493" s="237">
        <f>jagung!H114</f>
        <v>0</v>
      </c>
      <c r="M493" s="237">
        <f>jagung!I114</f>
        <v>0</v>
      </c>
      <c r="N493" s="237">
        <f>jagung!J114</f>
        <v>0</v>
      </c>
      <c r="O493" s="238">
        <f>jagung!K114</f>
        <v>0</v>
      </c>
      <c r="P493" s="235">
        <f t="shared" si="193"/>
        <v>0</v>
      </c>
      <c r="Q493" s="231">
        <f t="shared" si="192"/>
        <v>40</v>
      </c>
    </row>
    <row r="494" spans="1:17" ht="15.75" thickBot="1" x14ac:dyDescent="0.3">
      <c r="A494" s="87">
        <v>8</v>
      </c>
      <c r="B494" s="15" t="s">
        <v>25</v>
      </c>
      <c r="C494" s="220">
        <v>0</v>
      </c>
      <c r="D494" s="220">
        <v>29</v>
      </c>
      <c r="E494" s="220">
        <v>30</v>
      </c>
      <c r="F494" s="220">
        <f>jagung!C115</f>
        <v>0</v>
      </c>
      <c r="G494" s="220">
        <f>jagung!D115</f>
        <v>0</v>
      </c>
      <c r="H494" s="220">
        <f>jagung!E115</f>
        <v>0</v>
      </c>
      <c r="I494" s="233">
        <f t="shared" si="191"/>
        <v>30</v>
      </c>
      <c r="J494" s="266">
        <f>jagung!F115</f>
        <v>29.3</v>
      </c>
      <c r="K494" s="266">
        <f>jagung!G115</f>
        <v>0</v>
      </c>
      <c r="L494" s="266">
        <f>jagung!H115</f>
        <v>0</v>
      </c>
      <c r="M494" s="266">
        <f>jagung!I115</f>
        <v>0</v>
      </c>
      <c r="N494" s="266">
        <f>jagung!J115</f>
        <v>0</v>
      </c>
      <c r="O494" s="266">
        <f>jagung!K115</f>
        <v>0</v>
      </c>
      <c r="P494" s="239">
        <f>SUM(J494:O494)</f>
        <v>29.3</v>
      </c>
      <c r="Q494" s="234">
        <f t="shared" si="192"/>
        <v>30</v>
      </c>
    </row>
    <row r="495" spans="1:17" ht="16.5" thickTop="1" thickBot="1" x14ac:dyDescent="0.3">
      <c r="A495" s="378" t="s">
        <v>26</v>
      </c>
      <c r="B495" s="379"/>
      <c r="C495" s="221">
        <f t="shared" ref="C495:E495" si="194">SUM(C487:C494)</f>
        <v>29.13</v>
      </c>
      <c r="D495" s="221">
        <f>D351/D207*10</f>
        <v>28.571428571428573</v>
      </c>
      <c r="E495" s="221">
        <f t="shared" si="194"/>
        <v>30</v>
      </c>
      <c r="F495" s="221">
        <f>F351/F207*10</f>
        <v>0</v>
      </c>
      <c r="G495" s="221">
        <f>G351/G207*10</f>
        <v>30</v>
      </c>
      <c r="H495" s="222">
        <f>H351/H207*10</f>
        <v>30</v>
      </c>
      <c r="I495" s="224">
        <f t="shared" si="191"/>
        <v>32.592592592592588</v>
      </c>
      <c r="J495" s="223">
        <f t="shared" ref="J495:P495" si="195">J351/J207*10</f>
        <v>30</v>
      </c>
      <c r="K495" s="221" t="e">
        <f t="shared" si="195"/>
        <v>#DIV/0!</v>
      </c>
      <c r="L495" s="221" t="e">
        <f t="shared" si="195"/>
        <v>#DIV/0!</v>
      </c>
      <c r="M495" s="221" t="e">
        <f t="shared" si="195"/>
        <v>#DIV/0!</v>
      </c>
      <c r="N495" s="221">
        <f t="shared" si="195"/>
        <v>33</v>
      </c>
      <c r="O495" s="222" t="e">
        <f t="shared" si="195"/>
        <v>#DIV/0!</v>
      </c>
      <c r="P495" s="224">
        <f t="shared" si="195"/>
        <v>31.999999999999996</v>
      </c>
      <c r="Q495" s="225">
        <f t="shared" si="192"/>
        <v>32.484848484848484</v>
      </c>
    </row>
    <row r="497" spans="1:17" ht="15.75" x14ac:dyDescent="0.25">
      <c r="A497" s="380" t="s">
        <v>138</v>
      </c>
      <c r="B497" s="380"/>
      <c r="C497" s="380"/>
      <c r="D497" s="380"/>
      <c r="E497" s="380"/>
      <c r="F497" s="380"/>
      <c r="G497" s="380"/>
      <c r="H497" s="380"/>
      <c r="I497" s="380"/>
      <c r="J497" s="380"/>
      <c r="K497" s="380"/>
      <c r="L497" s="380"/>
      <c r="M497" s="380"/>
      <c r="N497" s="380"/>
      <c r="O497" s="380"/>
      <c r="P497" s="380"/>
      <c r="Q497" s="380"/>
    </row>
    <row r="498" spans="1:17" ht="15.75" x14ac:dyDescent="0.25">
      <c r="A498" s="380" t="s">
        <v>82</v>
      </c>
      <c r="B498" s="380"/>
      <c r="C498" s="380"/>
      <c r="D498" s="380"/>
      <c r="E498" s="380"/>
      <c r="F498" s="380"/>
      <c r="G498" s="380"/>
      <c r="H498" s="380"/>
      <c r="I498" s="380"/>
      <c r="J498" s="380"/>
      <c r="K498" s="380"/>
      <c r="L498" s="380"/>
      <c r="M498" s="380"/>
      <c r="N498" s="380"/>
      <c r="O498" s="380"/>
      <c r="P498" s="380"/>
      <c r="Q498" s="380"/>
    </row>
    <row r="499" spans="1:17" ht="15.75" thickBot="1" x14ac:dyDescent="0.3">
      <c r="Q499" s="76" t="s">
        <v>31</v>
      </c>
    </row>
    <row r="500" spans="1:17" x14ac:dyDescent="0.25">
      <c r="A500" s="375" t="s">
        <v>2</v>
      </c>
      <c r="B500" s="377" t="s">
        <v>3</v>
      </c>
      <c r="C500" s="381" t="s">
        <v>90</v>
      </c>
      <c r="D500" s="382"/>
      <c r="E500" s="382"/>
      <c r="F500" s="382"/>
      <c r="G500" s="382"/>
      <c r="H500" s="382"/>
      <c r="I500" s="383" t="s">
        <v>83</v>
      </c>
      <c r="J500" s="382">
        <v>2017</v>
      </c>
      <c r="K500" s="382"/>
      <c r="L500" s="382"/>
      <c r="M500" s="382"/>
      <c r="N500" s="382"/>
      <c r="O500" s="382"/>
      <c r="P500" s="383" t="s">
        <v>84</v>
      </c>
      <c r="Q500" s="385" t="s">
        <v>5</v>
      </c>
    </row>
    <row r="501" spans="1:17" x14ac:dyDescent="0.25">
      <c r="A501" s="376"/>
      <c r="B501" s="363"/>
      <c r="C501" s="207" t="s">
        <v>15</v>
      </c>
      <c r="D501" s="207" t="s">
        <v>16</v>
      </c>
      <c r="E501" s="207" t="s">
        <v>17</v>
      </c>
      <c r="F501" s="207" t="s">
        <v>6</v>
      </c>
      <c r="G501" s="207" t="s">
        <v>77</v>
      </c>
      <c r="H501" s="121" t="s">
        <v>78</v>
      </c>
      <c r="I501" s="384"/>
      <c r="J501" s="111" t="s">
        <v>79</v>
      </c>
      <c r="K501" s="207" t="s">
        <v>10</v>
      </c>
      <c r="L501" s="207" t="s">
        <v>11</v>
      </c>
      <c r="M501" s="207" t="s">
        <v>12</v>
      </c>
      <c r="N501" s="207" t="s">
        <v>80</v>
      </c>
      <c r="O501" s="121" t="s">
        <v>81</v>
      </c>
      <c r="P501" s="384"/>
      <c r="Q501" s="386"/>
    </row>
    <row r="502" spans="1:17" ht="15.75" thickBot="1" x14ac:dyDescent="0.3">
      <c r="A502" s="113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2">
        <v>8</v>
      </c>
      <c r="I502" s="124">
        <v>9</v>
      </c>
      <c r="J502" s="112">
        <v>10</v>
      </c>
      <c r="K502" s="5">
        <v>11</v>
      </c>
      <c r="L502" s="5">
        <v>12</v>
      </c>
      <c r="M502" s="5">
        <v>13</v>
      </c>
      <c r="N502" s="5">
        <v>14</v>
      </c>
      <c r="O502" s="122">
        <v>15</v>
      </c>
      <c r="P502" s="124">
        <v>16</v>
      </c>
      <c r="Q502" s="133">
        <v>17</v>
      </c>
    </row>
    <row r="503" spans="1:17" ht="15.75" thickTop="1" x14ac:dyDescent="0.25">
      <c r="A503" s="84">
        <v>1</v>
      </c>
      <c r="B503" s="7" t="s">
        <v>18</v>
      </c>
      <c r="C503" s="138">
        <v>0</v>
      </c>
      <c r="D503" s="138">
        <v>0</v>
      </c>
      <c r="E503" s="138">
        <v>0</v>
      </c>
      <c r="F503" s="138">
        <f>'kc ijo'!C329</f>
        <v>0</v>
      </c>
      <c r="G503" s="138">
        <f>'kc ijo'!D329</f>
        <v>0</v>
      </c>
      <c r="H503" s="138">
        <f>'kc ijo'!E329</f>
        <v>0</v>
      </c>
      <c r="I503" s="126">
        <f>SUM(C503:H503)</f>
        <v>0</v>
      </c>
      <c r="J503" s="138">
        <v>0</v>
      </c>
      <c r="K503" s="138">
        <v>0</v>
      </c>
      <c r="L503" s="138">
        <v>0</v>
      </c>
      <c r="M503" s="138">
        <f>'kc ijo'!J329</f>
        <v>0</v>
      </c>
      <c r="N503" s="138">
        <f>'kc ijo'!K329</f>
        <v>0</v>
      </c>
      <c r="O503" s="138">
        <f>'kc ijo'!L329</f>
        <v>0</v>
      </c>
      <c r="P503" s="126">
        <f>SUM(J503:O503)</f>
        <v>0</v>
      </c>
      <c r="Q503" s="129">
        <f>SUM(I503,P503)</f>
        <v>0</v>
      </c>
    </row>
    <row r="504" spans="1:17" x14ac:dyDescent="0.25">
      <c r="A504" s="85">
        <v>2</v>
      </c>
      <c r="B504" s="12" t="s">
        <v>19</v>
      </c>
      <c r="C504" s="60">
        <v>0</v>
      </c>
      <c r="D504" s="60">
        <v>0</v>
      </c>
      <c r="E504" s="60">
        <v>0</v>
      </c>
      <c r="F504" s="60">
        <f>'kc ijo'!C330</f>
        <v>0</v>
      </c>
      <c r="G504" s="60">
        <f>'kc ijo'!D330</f>
        <v>0</v>
      </c>
      <c r="H504" s="157">
        <f>'kc ijo'!E330</f>
        <v>0</v>
      </c>
      <c r="I504" s="127">
        <f t="shared" ref="I504:I510" si="196">SUM(C504:H504)</f>
        <v>0</v>
      </c>
      <c r="J504" s="60">
        <v>0</v>
      </c>
      <c r="K504" s="60">
        <v>0</v>
      </c>
      <c r="L504" s="60">
        <v>0</v>
      </c>
      <c r="M504" s="60">
        <f>'kc ijo'!J330</f>
        <v>0</v>
      </c>
      <c r="N504" s="60">
        <f>'kc ijo'!K330</f>
        <v>0</v>
      </c>
      <c r="O504" s="157">
        <f>'kc ijo'!L330</f>
        <v>0</v>
      </c>
      <c r="P504" s="127">
        <f t="shared" ref="P504:P509" si="197">SUM(J504:O504)</f>
        <v>0</v>
      </c>
      <c r="Q504" s="130">
        <f t="shared" ref="Q504:Q510" si="198">SUM(I504,P504)</f>
        <v>0</v>
      </c>
    </row>
    <row r="505" spans="1:17" x14ac:dyDescent="0.25">
      <c r="A505" s="85">
        <v>3</v>
      </c>
      <c r="B505" s="7" t="s">
        <v>20</v>
      </c>
      <c r="C505" s="60">
        <v>0</v>
      </c>
      <c r="D505" s="60">
        <v>0</v>
      </c>
      <c r="E505" s="60">
        <v>0</v>
      </c>
      <c r="F505" s="60">
        <f>'kc ijo'!C331</f>
        <v>0</v>
      </c>
      <c r="G505" s="60">
        <f>'kc ijo'!D331</f>
        <v>0</v>
      </c>
      <c r="H505" s="157">
        <f>'kc ijo'!E331</f>
        <v>0</v>
      </c>
      <c r="I505" s="127">
        <f t="shared" si="196"/>
        <v>0</v>
      </c>
      <c r="J505" s="60">
        <v>0</v>
      </c>
      <c r="K505" s="60">
        <v>0</v>
      </c>
      <c r="L505" s="60">
        <v>0</v>
      </c>
      <c r="M505" s="60">
        <f>'kc ijo'!J331</f>
        <v>0</v>
      </c>
      <c r="N505" s="60">
        <f>'kc ijo'!K331</f>
        <v>0</v>
      </c>
      <c r="O505" s="157">
        <f>'kc ijo'!L331</f>
        <v>0</v>
      </c>
      <c r="P505" s="127">
        <f t="shared" si="197"/>
        <v>0</v>
      </c>
      <c r="Q505" s="130">
        <f t="shared" si="198"/>
        <v>0</v>
      </c>
    </row>
    <row r="506" spans="1:17" x14ac:dyDescent="0.25">
      <c r="A506" s="86">
        <v>4</v>
      </c>
      <c r="B506" s="15" t="s">
        <v>21</v>
      </c>
      <c r="C506" s="60">
        <v>0</v>
      </c>
      <c r="D506" s="60">
        <v>0</v>
      </c>
      <c r="E506" s="60">
        <v>0</v>
      </c>
      <c r="F506" s="60">
        <f>'kc ijo'!C332</f>
        <v>0</v>
      </c>
      <c r="G506" s="60">
        <f>'kc ijo'!D332</f>
        <v>0</v>
      </c>
      <c r="H506" s="157">
        <f>'kc ijo'!E332</f>
        <v>0</v>
      </c>
      <c r="I506" s="127">
        <f t="shared" si="196"/>
        <v>0</v>
      </c>
      <c r="J506" s="60">
        <v>0</v>
      </c>
      <c r="K506" s="60">
        <v>0</v>
      </c>
      <c r="L506" s="60">
        <v>0</v>
      </c>
      <c r="M506" s="60">
        <f>'kc ijo'!J332</f>
        <v>0</v>
      </c>
      <c r="N506" s="60">
        <f>'kc ijo'!K332</f>
        <v>0</v>
      </c>
      <c r="O506" s="157">
        <f>'kc ijo'!L332</f>
        <v>0</v>
      </c>
      <c r="P506" s="127">
        <f t="shared" si="197"/>
        <v>0</v>
      </c>
      <c r="Q506" s="130">
        <f t="shared" si="198"/>
        <v>0</v>
      </c>
    </row>
    <row r="507" spans="1:17" x14ac:dyDescent="0.25">
      <c r="A507" s="86">
        <v>5</v>
      </c>
      <c r="B507" s="19" t="s">
        <v>22</v>
      </c>
      <c r="C507" s="60">
        <v>0</v>
      </c>
      <c r="D507" s="60">
        <v>0</v>
      </c>
      <c r="E507" s="60">
        <v>0</v>
      </c>
      <c r="F507" s="60">
        <f>'kc ijo'!C333</f>
        <v>0</v>
      </c>
      <c r="G507" s="60">
        <f>'kc ijo'!D333</f>
        <v>0</v>
      </c>
      <c r="H507" s="157">
        <f>'kc ijo'!E333</f>
        <v>0</v>
      </c>
      <c r="I507" s="127">
        <f t="shared" si="196"/>
        <v>0</v>
      </c>
      <c r="J507" s="60">
        <v>0</v>
      </c>
      <c r="K507" s="60">
        <v>0</v>
      </c>
      <c r="L507" s="60">
        <v>0</v>
      </c>
      <c r="M507" s="60">
        <f>'kc ijo'!J333</f>
        <v>0</v>
      </c>
      <c r="N507" s="60">
        <f>'kc ijo'!K333</f>
        <v>0</v>
      </c>
      <c r="O507" s="157">
        <f>'kc ijo'!L333</f>
        <v>0</v>
      </c>
      <c r="P507" s="127">
        <f t="shared" si="197"/>
        <v>0</v>
      </c>
      <c r="Q507" s="130">
        <f t="shared" si="198"/>
        <v>0</v>
      </c>
    </row>
    <row r="508" spans="1:17" x14ac:dyDescent="0.25">
      <c r="A508" s="86">
        <v>6</v>
      </c>
      <c r="B508" s="19" t="s">
        <v>23</v>
      </c>
      <c r="C508" s="60">
        <v>0</v>
      </c>
      <c r="D508" s="60">
        <v>0</v>
      </c>
      <c r="E508" s="60">
        <v>0</v>
      </c>
      <c r="F508" s="60">
        <f>'kc ijo'!C334</f>
        <v>0</v>
      </c>
      <c r="G508" s="60">
        <f>'kc ijo'!D334</f>
        <v>0</v>
      </c>
      <c r="H508" s="157">
        <f>'kc ijo'!E334</f>
        <v>0</v>
      </c>
      <c r="I508" s="127">
        <f t="shared" si="196"/>
        <v>0</v>
      </c>
      <c r="J508" s="60">
        <v>0</v>
      </c>
      <c r="K508" s="60">
        <v>0</v>
      </c>
      <c r="L508" s="60">
        <v>0</v>
      </c>
      <c r="M508" s="60">
        <f>'kc ijo'!J334</f>
        <v>0</v>
      </c>
      <c r="N508" s="60">
        <f>'kc ijo'!K334</f>
        <v>0</v>
      </c>
      <c r="O508" s="157">
        <f>'kc ijo'!L334</f>
        <v>0</v>
      </c>
      <c r="P508" s="127">
        <f t="shared" si="197"/>
        <v>0</v>
      </c>
      <c r="Q508" s="130">
        <f t="shared" si="198"/>
        <v>0</v>
      </c>
    </row>
    <row r="509" spans="1:17" x14ac:dyDescent="0.25">
      <c r="A509" s="86">
        <v>7</v>
      </c>
      <c r="B509" s="19" t="s">
        <v>24</v>
      </c>
      <c r="C509" s="60">
        <v>0</v>
      </c>
      <c r="D509" s="60">
        <v>0</v>
      </c>
      <c r="E509" s="60">
        <v>0</v>
      </c>
      <c r="F509" s="60">
        <f>'kc ijo'!C335</f>
        <v>0</v>
      </c>
      <c r="G509" s="60">
        <f>'kc ijo'!D335</f>
        <v>0</v>
      </c>
      <c r="H509" s="157">
        <f>'kc ijo'!E335</f>
        <v>0</v>
      </c>
      <c r="I509" s="127">
        <f t="shared" si="196"/>
        <v>0</v>
      </c>
      <c r="J509" s="60">
        <v>0</v>
      </c>
      <c r="K509" s="60">
        <v>0</v>
      </c>
      <c r="L509" s="60">
        <v>0</v>
      </c>
      <c r="M509" s="60">
        <f>'kc ijo'!J335</f>
        <v>0</v>
      </c>
      <c r="N509" s="60">
        <f>'kc ijo'!K335</f>
        <v>0</v>
      </c>
      <c r="O509" s="157">
        <f>'kc ijo'!L335</f>
        <v>0</v>
      </c>
      <c r="P509" s="127">
        <f t="shared" si="197"/>
        <v>0</v>
      </c>
      <c r="Q509" s="130">
        <f t="shared" si="198"/>
        <v>0</v>
      </c>
    </row>
    <row r="510" spans="1:17" ht="15.75" thickBot="1" x14ac:dyDescent="0.3">
      <c r="A510" s="87">
        <v>8</v>
      </c>
      <c r="B510" s="15" t="s">
        <v>25</v>
      </c>
      <c r="C510" s="139">
        <v>0</v>
      </c>
      <c r="D510" s="139">
        <v>0</v>
      </c>
      <c r="E510" s="139">
        <v>0</v>
      </c>
      <c r="F510" s="139">
        <f>'kc ijo'!C336</f>
        <v>0</v>
      </c>
      <c r="G510" s="139">
        <f>'kc ijo'!D336</f>
        <v>0</v>
      </c>
      <c r="H510" s="139">
        <f>'kc ijo'!E336</f>
        <v>0</v>
      </c>
      <c r="I510" s="128">
        <f t="shared" si="196"/>
        <v>0</v>
      </c>
      <c r="J510" s="139">
        <v>0</v>
      </c>
      <c r="K510" s="139">
        <v>0</v>
      </c>
      <c r="L510" s="139">
        <v>0</v>
      </c>
      <c r="M510" s="139">
        <f>'kc ijo'!J336</f>
        <v>0</v>
      </c>
      <c r="N510" s="139">
        <f>'kc ijo'!K336</f>
        <v>0</v>
      </c>
      <c r="O510" s="139">
        <f>'kc ijo'!L336</f>
        <v>0</v>
      </c>
      <c r="P510" s="128">
        <f>SUM(J510:O510)</f>
        <v>0</v>
      </c>
      <c r="Q510" s="131">
        <f t="shared" si="198"/>
        <v>0</v>
      </c>
    </row>
    <row r="511" spans="1:17" ht="16.5" thickTop="1" thickBot="1" x14ac:dyDescent="0.3">
      <c r="A511" s="378" t="s">
        <v>26</v>
      </c>
      <c r="B511" s="379"/>
      <c r="C511" s="114">
        <f t="shared" ref="C511:H511" si="199">SUM(C503:C510)</f>
        <v>0</v>
      </c>
      <c r="D511" s="114">
        <f t="shared" si="199"/>
        <v>0</v>
      </c>
      <c r="E511" s="114">
        <f t="shared" si="199"/>
        <v>0</v>
      </c>
      <c r="F511" s="114">
        <f t="shared" si="199"/>
        <v>0</v>
      </c>
      <c r="G511" s="114">
        <f t="shared" si="199"/>
        <v>0</v>
      </c>
      <c r="H511" s="123">
        <f t="shared" si="199"/>
        <v>0</v>
      </c>
      <c r="I511" s="125">
        <f>SUM(I503:I510)</f>
        <v>0</v>
      </c>
      <c r="J511" s="135">
        <f t="shared" ref="J511:O511" si="200">SUM(J503:J510)</f>
        <v>0</v>
      </c>
      <c r="K511" s="114">
        <f t="shared" si="200"/>
        <v>0</v>
      </c>
      <c r="L511" s="114">
        <f t="shared" si="200"/>
        <v>0</v>
      </c>
      <c r="M511" s="114">
        <f t="shared" si="200"/>
        <v>0</v>
      </c>
      <c r="N511" s="114">
        <f t="shared" si="200"/>
        <v>0</v>
      </c>
      <c r="O511" s="123">
        <f t="shared" si="200"/>
        <v>0</v>
      </c>
      <c r="P511" s="125">
        <f>SUM(P503:P510)</f>
        <v>0</v>
      </c>
      <c r="Q511" s="132">
        <f>SUM(Q503:Q510)</f>
        <v>0</v>
      </c>
    </row>
    <row r="513" spans="1:17" ht="15.75" x14ac:dyDescent="0.25">
      <c r="A513" s="380" t="s">
        <v>139</v>
      </c>
      <c r="B513" s="380"/>
      <c r="C513" s="380"/>
      <c r="D513" s="380"/>
      <c r="E513" s="380"/>
      <c r="F513" s="380"/>
      <c r="G513" s="380"/>
      <c r="H513" s="380"/>
      <c r="I513" s="380"/>
      <c r="J513" s="380"/>
      <c r="K513" s="380"/>
      <c r="L513" s="380"/>
      <c r="M513" s="380"/>
      <c r="N513" s="380"/>
      <c r="O513" s="380"/>
      <c r="P513" s="380"/>
      <c r="Q513" s="380"/>
    </row>
    <row r="514" spans="1:17" ht="15.75" x14ac:dyDescent="0.25">
      <c r="A514" s="380" t="s">
        <v>82</v>
      </c>
      <c r="B514" s="380"/>
      <c r="C514" s="380"/>
      <c r="D514" s="380"/>
      <c r="E514" s="380"/>
      <c r="F514" s="380"/>
      <c r="G514" s="380"/>
      <c r="H514" s="380"/>
      <c r="I514" s="380"/>
      <c r="J514" s="380"/>
      <c r="K514" s="380"/>
      <c r="L514" s="380"/>
      <c r="M514" s="380"/>
      <c r="N514" s="380"/>
      <c r="O514" s="380"/>
      <c r="P514" s="380"/>
      <c r="Q514" s="380"/>
    </row>
    <row r="515" spans="1:17" ht="15.75" thickBot="1" x14ac:dyDescent="0.3">
      <c r="Q515" s="76" t="s">
        <v>31</v>
      </c>
    </row>
    <row r="516" spans="1:17" x14ac:dyDescent="0.25">
      <c r="A516" s="375" t="s">
        <v>2</v>
      </c>
      <c r="B516" s="377" t="s">
        <v>3</v>
      </c>
      <c r="C516" s="381" t="s">
        <v>90</v>
      </c>
      <c r="D516" s="382"/>
      <c r="E516" s="382"/>
      <c r="F516" s="382"/>
      <c r="G516" s="382"/>
      <c r="H516" s="382"/>
      <c r="I516" s="383" t="s">
        <v>83</v>
      </c>
      <c r="J516" s="382">
        <v>2017</v>
      </c>
      <c r="K516" s="382"/>
      <c r="L516" s="382"/>
      <c r="M516" s="382"/>
      <c r="N516" s="382"/>
      <c r="O516" s="382"/>
      <c r="P516" s="383" t="s">
        <v>84</v>
      </c>
      <c r="Q516" s="385" t="s">
        <v>5</v>
      </c>
    </row>
    <row r="517" spans="1:17" x14ac:dyDescent="0.25">
      <c r="A517" s="376"/>
      <c r="B517" s="363"/>
      <c r="C517" s="207" t="s">
        <v>15</v>
      </c>
      <c r="D517" s="207" t="s">
        <v>16</v>
      </c>
      <c r="E517" s="207" t="s">
        <v>17</v>
      </c>
      <c r="F517" s="207" t="s">
        <v>6</v>
      </c>
      <c r="G517" s="207" t="s">
        <v>77</v>
      </c>
      <c r="H517" s="121" t="s">
        <v>78</v>
      </c>
      <c r="I517" s="384"/>
      <c r="J517" s="111" t="s">
        <v>79</v>
      </c>
      <c r="K517" s="207" t="s">
        <v>10</v>
      </c>
      <c r="L517" s="207" t="s">
        <v>11</v>
      </c>
      <c r="M517" s="207" t="s">
        <v>12</v>
      </c>
      <c r="N517" s="207" t="s">
        <v>80</v>
      </c>
      <c r="O517" s="121" t="s">
        <v>81</v>
      </c>
      <c r="P517" s="384"/>
      <c r="Q517" s="386"/>
    </row>
    <row r="518" spans="1:17" ht="15.75" thickBot="1" x14ac:dyDescent="0.3">
      <c r="A518" s="113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2">
        <v>8</v>
      </c>
      <c r="I518" s="124">
        <v>9</v>
      </c>
      <c r="J518" s="112">
        <v>10</v>
      </c>
      <c r="K518" s="5">
        <v>11</v>
      </c>
      <c r="L518" s="5">
        <v>12</v>
      </c>
      <c r="M518" s="5">
        <v>13</v>
      </c>
      <c r="N518" s="5">
        <v>14</v>
      </c>
      <c r="O518" s="122">
        <v>15</v>
      </c>
      <c r="P518" s="124">
        <v>16</v>
      </c>
      <c r="Q518" s="133">
        <v>17</v>
      </c>
    </row>
    <row r="519" spans="1:17" ht="15.75" thickTop="1" x14ac:dyDescent="0.25">
      <c r="A519" s="84">
        <v>1</v>
      </c>
      <c r="B519" s="7" t="s">
        <v>18</v>
      </c>
      <c r="C519" s="218">
        <v>0</v>
      </c>
      <c r="D519" s="218">
        <v>0</v>
      </c>
      <c r="E519" s="218">
        <v>0</v>
      </c>
      <c r="F519" s="218">
        <f>'kc tanah'!C108</f>
        <v>6.56</v>
      </c>
      <c r="G519" s="218">
        <f>'kc tanah'!D108</f>
        <v>8</v>
      </c>
      <c r="H519" s="218">
        <f>'kc tanah'!E108</f>
        <v>0</v>
      </c>
      <c r="I519" s="226">
        <f t="shared" ref="I519:I527" si="201">I375/I231*10</f>
        <v>6.8944099378881987</v>
      </c>
      <c r="J519" s="236">
        <f>'kc tanah'!F108</f>
        <v>8.64</v>
      </c>
      <c r="K519" s="236">
        <f>'kc tanah'!G108</f>
        <v>0</v>
      </c>
      <c r="L519" s="236">
        <f>'kc tanah'!H108</f>
        <v>0</v>
      </c>
      <c r="M519" s="236">
        <f>'kc tanah'!I108</f>
        <v>0</v>
      </c>
      <c r="N519" s="236">
        <f>'kc tanah'!J108</f>
        <v>0</v>
      </c>
      <c r="O519" s="236">
        <f>'kc tanah'!K108</f>
        <v>0</v>
      </c>
      <c r="P519" s="226">
        <f>SUM(J519:O519)</f>
        <v>8.64</v>
      </c>
      <c r="Q519" s="230">
        <f t="shared" ref="Q519:Q527" si="202">Q375/Q231*10</f>
        <v>7.8323699421965323</v>
      </c>
    </row>
    <row r="520" spans="1:17" x14ac:dyDescent="0.25">
      <c r="A520" s="85">
        <v>2</v>
      </c>
      <c r="B520" s="12" t="s">
        <v>19</v>
      </c>
      <c r="C520" s="219">
        <v>0</v>
      </c>
      <c r="D520" s="219">
        <v>0</v>
      </c>
      <c r="E520" s="219">
        <v>0</v>
      </c>
      <c r="F520" s="219">
        <f>'kc tanah'!C109</f>
        <v>7.04</v>
      </c>
      <c r="G520" s="219">
        <f>'kc tanah'!D109</f>
        <v>6.72</v>
      </c>
      <c r="H520" s="219">
        <f>'kc tanah'!E109</f>
        <v>0</v>
      </c>
      <c r="I520" s="235">
        <f t="shared" si="201"/>
        <v>6.935483870967742</v>
      </c>
      <c r="J520" s="268">
        <f>'kc tanah'!F109</f>
        <v>6.72</v>
      </c>
      <c r="K520" s="237">
        <f>'kc tanah'!G109</f>
        <v>5.76</v>
      </c>
      <c r="L520" s="237">
        <f>'kc tanah'!H109</f>
        <v>0</v>
      </c>
      <c r="M520" s="237">
        <f>'kc tanah'!I109</f>
        <v>0</v>
      </c>
      <c r="N520" s="237">
        <f>'kc tanah'!J109</f>
        <v>0</v>
      </c>
      <c r="O520" s="238">
        <f>'kc tanah'!K109</f>
        <v>0</v>
      </c>
      <c r="P520" s="235">
        <f t="shared" ref="P520:P525" si="203">SUM(J520:O520)</f>
        <v>12.48</v>
      </c>
      <c r="Q520" s="231">
        <f t="shared" si="202"/>
        <v>6.5878378378378377</v>
      </c>
    </row>
    <row r="521" spans="1:17" x14ac:dyDescent="0.25">
      <c r="A521" s="85">
        <v>3</v>
      </c>
      <c r="B521" s="7" t="s">
        <v>20</v>
      </c>
      <c r="C521" s="219">
        <v>0</v>
      </c>
      <c r="D521" s="219">
        <v>0</v>
      </c>
      <c r="E521" s="219">
        <v>0</v>
      </c>
      <c r="F521" s="219">
        <f>'kc tanah'!C110</f>
        <v>0</v>
      </c>
      <c r="G521" s="219">
        <f>'kc tanah'!D110</f>
        <v>10.24</v>
      </c>
      <c r="H521" s="219">
        <f>'kc tanah'!E110</f>
        <v>15.25</v>
      </c>
      <c r="I521" s="235">
        <f t="shared" si="201"/>
        <v>12.217821782178218</v>
      </c>
      <c r="J521" s="268">
        <f>'kc tanah'!F110</f>
        <v>9.92</v>
      </c>
      <c r="K521" s="237">
        <f>'kc tanah'!G110</f>
        <v>8.15</v>
      </c>
      <c r="L521" s="237">
        <f>'kc tanah'!H110</f>
        <v>0</v>
      </c>
      <c r="M521" s="237">
        <f>'kc tanah'!I110</f>
        <v>0</v>
      </c>
      <c r="N521" s="237">
        <f>'kc tanah'!J110</f>
        <v>7.25</v>
      </c>
      <c r="O521" s="238">
        <f>'kc tanah'!K110</f>
        <v>0</v>
      </c>
      <c r="P521" s="235">
        <f t="shared" si="203"/>
        <v>25.32</v>
      </c>
      <c r="Q521" s="231">
        <f t="shared" si="202"/>
        <v>11.85108225108225</v>
      </c>
    </row>
    <row r="522" spans="1:17" x14ac:dyDescent="0.25">
      <c r="A522" s="86">
        <v>4</v>
      </c>
      <c r="B522" s="15" t="s">
        <v>21</v>
      </c>
      <c r="C522" s="219">
        <v>11.25</v>
      </c>
      <c r="D522" s="219">
        <v>0</v>
      </c>
      <c r="E522" s="219">
        <v>0</v>
      </c>
      <c r="F522" s="219">
        <f>'kc tanah'!C111</f>
        <v>0</v>
      </c>
      <c r="G522" s="219">
        <f>'kc tanah'!D111</f>
        <v>8</v>
      </c>
      <c r="H522" s="219">
        <f>'kc tanah'!E111</f>
        <v>0</v>
      </c>
      <c r="I522" s="235">
        <f t="shared" si="201"/>
        <v>9.473684210526315</v>
      </c>
      <c r="J522" s="268">
        <f>'kc tanah'!F111</f>
        <v>9.2200000000000006</v>
      </c>
      <c r="K522" s="237">
        <f>'kc tanah'!G111</f>
        <v>9.2200000000000006</v>
      </c>
      <c r="L522" s="237">
        <f>'kc tanah'!H111</f>
        <v>0</v>
      </c>
      <c r="M522" s="237">
        <f>'kc tanah'!I111</f>
        <v>8.9600000000000009</v>
      </c>
      <c r="N522" s="237">
        <f>'kc tanah'!J111</f>
        <v>8.98</v>
      </c>
      <c r="O522" s="238">
        <f>'kc tanah'!K111</f>
        <v>0</v>
      </c>
      <c r="P522" s="235">
        <f t="shared" si="203"/>
        <v>36.380000000000003</v>
      </c>
      <c r="Q522" s="231">
        <f t="shared" si="202"/>
        <v>9.2444444444444436</v>
      </c>
    </row>
    <row r="523" spans="1:17" x14ac:dyDescent="0.25">
      <c r="A523" s="86">
        <v>5</v>
      </c>
      <c r="B523" s="19" t="s">
        <v>22</v>
      </c>
      <c r="C523" s="219">
        <v>0</v>
      </c>
      <c r="D523" s="219">
        <v>0</v>
      </c>
      <c r="E523" s="219">
        <v>0</v>
      </c>
      <c r="F523" s="219">
        <f>'kc tanah'!C112</f>
        <v>11.2</v>
      </c>
      <c r="G523" s="219">
        <f>'kc tanah'!D112</f>
        <v>8</v>
      </c>
      <c r="H523" s="219">
        <f>'kc tanah'!E112</f>
        <v>8</v>
      </c>
      <c r="I523" s="235">
        <f t="shared" si="201"/>
        <v>10.035971223021583</v>
      </c>
      <c r="J523" s="268">
        <f>'kc tanah'!F112</f>
        <v>9</v>
      </c>
      <c r="K523" s="237">
        <f>'kc tanah'!G112</f>
        <v>8.9600000000000009</v>
      </c>
      <c r="L523" s="237">
        <f>'kc tanah'!H112</f>
        <v>0</v>
      </c>
      <c r="M523" s="237">
        <f>'kc tanah'!I112</f>
        <v>0</v>
      </c>
      <c r="N523" s="237">
        <f>'kc tanah'!J112</f>
        <v>0</v>
      </c>
      <c r="O523" s="238">
        <f>'kc tanah'!K112</f>
        <v>0</v>
      </c>
      <c r="P523" s="235">
        <f t="shared" si="203"/>
        <v>17.96</v>
      </c>
      <c r="Q523" s="231">
        <f t="shared" si="202"/>
        <v>9.7409326424870475</v>
      </c>
    </row>
    <row r="524" spans="1:17" x14ac:dyDescent="0.25">
      <c r="A524" s="86">
        <v>6</v>
      </c>
      <c r="B524" s="19" t="s">
        <v>23</v>
      </c>
      <c r="C524" s="219">
        <v>10.88</v>
      </c>
      <c r="D524" s="219">
        <v>13.76</v>
      </c>
      <c r="E524" s="219">
        <v>0</v>
      </c>
      <c r="F524" s="219">
        <f>'kc tanah'!C113</f>
        <v>0</v>
      </c>
      <c r="G524" s="219">
        <f>'kc tanah'!D113</f>
        <v>6.4</v>
      </c>
      <c r="H524" s="219">
        <f>'kc tanah'!E113</f>
        <v>0</v>
      </c>
      <c r="I524" s="235">
        <f t="shared" si="201"/>
        <v>9.4285714285714288</v>
      </c>
      <c r="J524" s="268">
        <f>'kc tanah'!F113</f>
        <v>0</v>
      </c>
      <c r="K524" s="237">
        <f>'kc tanah'!G113</f>
        <v>5.76</v>
      </c>
      <c r="L524" s="237">
        <f>'kc tanah'!H113</f>
        <v>7.36</v>
      </c>
      <c r="M524" s="237">
        <f>'kc tanah'!I113</f>
        <v>0</v>
      </c>
      <c r="N524" s="237">
        <f>'kc tanah'!J113</f>
        <v>7.15</v>
      </c>
      <c r="O524" s="238">
        <f>'kc tanah'!K113</f>
        <v>0</v>
      </c>
      <c r="P524" s="235">
        <f t="shared" si="203"/>
        <v>20.270000000000003</v>
      </c>
      <c r="Q524" s="231">
        <f t="shared" si="202"/>
        <v>7.84</v>
      </c>
    </row>
    <row r="525" spans="1:17" x14ac:dyDescent="0.25">
      <c r="A525" s="86">
        <v>7</v>
      </c>
      <c r="B525" s="19" t="s">
        <v>24</v>
      </c>
      <c r="C525" s="219">
        <v>0</v>
      </c>
      <c r="D525" s="219">
        <v>0</v>
      </c>
      <c r="E525" s="219">
        <v>0</v>
      </c>
      <c r="F525" s="219">
        <f>'kc tanah'!C114</f>
        <v>0</v>
      </c>
      <c r="G525" s="219">
        <f>'kc tanah'!D114</f>
        <v>0</v>
      </c>
      <c r="H525" s="219">
        <f>'kc tanah'!E114</f>
        <v>6.08</v>
      </c>
      <c r="I525" s="235">
        <f t="shared" si="201"/>
        <v>6</v>
      </c>
      <c r="J525" s="268">
        <f>'kc tanah'!F114</f>
        <v>5.44</v>
      </c>
      <c r="K525" s="237">
        <f>'kc tanah'!G114</f>
        <v>0</v>
      </c>
      <c r="L525" s="237">
        <f>'kc tanah'!H114</f>
        <v>0</v>
      </c>
      <c r="M525" s="237">
        <f>'kc tanah'!I114</f>
        <v>0</v>
      </c>
      <c r="N525" s="237">
        <f>'kc tanah'!J114</f>
        <v>0</v>
      </c>
      <c r="O525" s="238">
        <f>'kc tanah'!K114</f>
        <v>0</v>
      </c>
      <c r="P525" s="235">
        <f t="shared" si="203"/>
        <v>5.44</v>
      </c>
      <c r="Q525" s="231">
        <f t="shared" si="202"/>
        <v>5.5</v>
      </c>
    </row>
    <row r="526" spans="1:17" ht="15.75" thickBot="1" x14ac:dyDescent="0.3">
      <c r="A526" s="87">
        <v>8</v>
      </c>
      <c r="B526" s="15" t="s">
        <v>25</v>
      </c>
      <c r="C526" s="220">
        <v>11.32</v>
      </c>
      <c r="D526" s="220">
        <v>11.2</v>
      </c>
      <c r="E526" s="220">
        <v>8.6300000000000008</v>
      </c>
      <c r="F526" s="220">
        <f>'kc tanah'!C115</f>
        <v>6.72</v>
      </c>
      <c r="G526" s="220">
        <f>'kc tanah'!D115</f>
        <v>8</v>
      </c>
      <c r="H526" s="220">
        <f>'kc tanah'!E115</f>
        <v>0</v>
      </c>
      <c r="I526" s="233">
        <f t="shared" si="201"/>
        <v>9.6330275229357802</v>
      </c>
      <c r="J526" s="266">
        <f>'kc tanah'!F115</f>
        <v>8.75</v>
      </c>
      <c r="K526" s="266">
        <f>'kc tanah'!G115</f>
        <v>8.5</v>
      </c>
      <c r="L526" s="266">
        <f>'kc tanah'!H115</f>
        <v>0</v>
      </c>
      <c r="M526" s="266">
        <f>'kc tanah'!I115</f>
        <v>7.04</v>
      </c>
      <c r="N526" s="266">
        <f>'kc tanah'!J115</f>
        <v>0</v>
      </c>
      <c r="O526" s="266">
        <f>'kc tanah'!K115</f>
        <v>0</v>
      </c>
      <c r="P526" s="239">
        <f>SUM(J526:O526)</f>
        <v>24.29</v>
      </c>
      <c r="Q526" s="234">
        <f t="shared" si="202"/>
        <v>8.9989235737351994</v>
      </c>
    </row>
    <row r="527" spans="1:17" ht="16.5" thickTop="1" thickBot="1" x14ac:dyDescent="0.3">
      <c r="A527" s="378" t="s">
        <v>26</v>
      </c>
      <c r="B527" s="379"/>
      <c r="C527" s="221">
        <f t="shared" ref="C527:H527" si="204">C383/C239*10</f>
        <v>11.284046692607003</v>
      </c>
      <c r="D527" s="221">
        <f t="shared" si="204"/>
        <v>11.666666666666668</v>
      </c>
      <c r="E527" s="221">
        <f t="shared" si="204"/>
        <v>8.6285714285714281</v>
      </c>
      <c r="F527" s="221">
        <f t="shared" si="204"/>
        <v>8.4815618221258138</v>
      </c>
      <c r="G527" s="221">
        <f t="shared" si="204"/>
        <v>9.0121317157712291</v>
      </c>
      <c r="H527" s="222">
        <f t="shared" si="204"/>
        <v>13.799196787148595</v>
      </c>
      <c r="I527" s="224">
        <f t="shared" si="201"/>
        <v>9.8947970268724976</v>
      </c>
      <c r="J527" s="223">
        <f t="shared" ref="J527:P527" si="205">J383/J239*10</f>
        <v>8.8723404255319149</v>
      </c>
      <c r="K527" s="221">
        <f t="shared" si="205"/>
        <v>7.2492997198879552</v>
      </c>
      <c r="L527" s="221">
        <f t="shared" si="205"/>
        <v>7.333333333333333</v>
      </c>
      <c r="M527" s="221">
        <f t="shared" si="205"/>
        <v>7.0833333333333339</v>
      </c>
      <c r="N527" s="221">
        <f t="shared" si="205"/>
        <v>7.5384615384615383</v>
      </c>
      <c r="O527" s="222" t="e">
        <f t="shared" si="205"/>
        <v>#DIV/0!</v>
      </c>
      <c r="P527" s="224">
        <f t="shared" si="205"/>
        <v>8.2540659340659346</v>
      </c>
      <c r="Q527" s="225">
        <f t="shared" si="202"/>
        <v>9.2482244933310245</v>
      </c>
    </row>
    <row r="529" spans="1:17" ht="15.75" x14ac:dyDescent="0.25">
      <c r="A529" s="380" t="s">
        <v>140</v>
      </c>
      <c r="B529" s="380"/>
      <c r="C529" s="380"/>
      <c r="D529" s="380"/>
      <c r="E529" s="380"/>
      <c r="F529" s="380"/>
      <c r="G529" s="380"/>
      <c r="H529" s="380"/>
      <c r="I529" s="380"/>
      <c r="J529" s="380"/>
      <c r="K529" s="380"/>
      <c r="L529" s="380"/>
      <c r="M529" s="380"/>
      <c r="N529" s="380"/>
      <c r="O529" s="380"/>
      <c r="P529" s="380"/>
      <c r="Q529" s="380"/>
    </row>
    <row r="530" spans="1:17" ht="15.75" x14ac:dyDescent="0.25">
      <c r="A530" s="380" t="s">
        <v>82</v>
      </c>
      <c r="B530" s="380"/>
      <c r="C530" s="380"/>
      <c r="D530" s="380"/>
      <c r="E530" s="380"/>
      <c r="F530" s="380"/>
      <c r="G530" s="380"/>
      <c r="H530" s="380"/>
      <c r="I530" s="380"/>
      <c r="J530" s="380"/>
      <c r="K530" s="380"/>
      <c r="L530" s="380"/>
      <c r="M530" s="380"/>
      <c r="N530" s="380"/>
      <c r="O530" s="380"/>
      <c r="P530" s="380"/>
      <c r="Q530" s="380"/>
    </row>
    <row r="531" spans="1:17" ht="15.75" thickBot="1" x14ac:dyDescent="0.3">
      <c r="Q531" s="76" t="s">
        <v>31</v>
      </c>
    </row>
    <row r="532" spans="1:17" x14ac:dyDescent="0.25">
      <c r="A532" s="375" t="s">
        <v>2</v>
      </c>
      <c r="B532" s="377" t="s">
        <v>3</v>
      </c>
      <c r="C532" s="381" t="s">
        <v>90</v>
      </c>
      <c r="D532" s="382"/>
      <c r="E532" s="382"/>
      <c r="F532" s="382"/>
      <c r="G532" s="382"/>
      <c r="H532" s="382"/>
      <c r="I532" s="383" t="s">
        <v>83</v>
      </c>
      <c r="J532" s="382">
        <v>2017</v>
      </c>
      <c r="K532" s="382"/>
      <c r="L532" s="382"/>
      <c r="M532" s="382"/>
      <c r="N532" s="382"/>
      <c r="O532" s="382"/>
      <c r="P532" s="383" t="s">
        <v>84</v>
      </c>
      <c r="Q532" s="385" t="s">
        <v>5</v>
      </c>
    </row>
    <row r="533" spans="1:17" x14ac:dyDescent="0.25">
      <c r="A533" s="376"/>
      <c r="B533" s="363"/>
      <c r="C533" s="207" t="s">
        <v>15</v>
      </c>
      <c r="D533" s="207" t="s">
        <v>16</v>
      </c>
      <c r="E533" s="207" t="s">
        <v>17</v>
      </c>
      <c r="F533" s="207" t="s">
        <v>6</v>
      </c>
      <c r="G533" s="207" t="s">
        <v>77</v>
      </c>
      <c r="H533" s="121" t="s">
        <v>78</v>
      </c>
      <c r="I533" s="384"/>
      <c r="J533" s="111" t="s">
        <v>79</v>
      </c>
      <c r="K533" s="207" t="s">
        <v>10</v>
      </c>
      <c r="L533" s="207" t="s">
        <v>11</v>
      </c>
      <c r="M533" s="207" t="s">
        <v>12</v>
      </c>
      <c r="N533" s="207" t="s">
        <v>80</v>
      </c>
      <c r="O533" s="121" t="s">
        <v>81</v>
      </c>
      <c r="P533" s="384"/>
      <c r="Q533" s="386"/>
    </row>
    <row r="534" spans="1:17" ht="15.75" thickBot="1" x14ac:dyDescent="0.3">
      <c r="A534" s="113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2">
        <v>8</v>
      </c>
      <c r="I534" s="124">
        <v>9</v>
      </c>
      <c r="J534" s="112">
        <v>10</v>
      </c>
      <c r="K534" s="5">
        <v>11</v>
      </c>
      <c r="L534" s="5">
        <v>12</v>
      </c>
      <c r="M534" s="5">
        <v>13</v>
      </c>
      <c r="N534" s="5">
        <v>14</v>
      </c>
      <c r="O534" s="122">
        <v>15</v>
      </c>
      <c r="P534" s="124">
        <v>16</v>
      </c>
      <c r="Q534" s="133">
        <v>17</v>
      </c>
    </row>
    <row r="535" spans="1:17" ht="15.75" thickTop="1" x14ac:dyDescent="0.25">
      <c r="A535" s="84">
        <v>1</v>
      </c>
      <c r="B535" s="7" t="s">
        <v>18</v>
      </c>
      <c r="C535" s="244">
        <v>95.21</v>
      </c>
      <c r="D535" s="244">
        <v>0</v>
      </c>
      <c r="E535" s="244">
        <v>0</v>
      </c>
      <c r="F535" s="244">
        <f>'ubi kayu'!C103</f>
        <v>0</v>
      </c>
      <c r="G535" s="244">
        <f>'ubi kayu'!D103</f>
        <v>0</v>
      </c>
      <c r="H535" s="244">
        <f>'ubi kayu'!E103</f>
        <v>0</v>
      </c>
      <c r="I535" s="245">
        <f t="shared" ref="I535:I540" si="206">I391/I247*10</f>
        <v>95</v>
      </c>
      <c r="J535" s="246">
        <f>'ubi kayu'!F103</f>
        <v>0</v>
      </c>
      <c r="K535" s="246">
        <f>'ubi kayu'!G103</f>
        <v>0</v>
      </c>
      <c r="L535" s="246">
        <f>'ubi kayu'!H103</f>
        <v>89.7</v>
      </c>
      <c r="M535" s="246">
        <f>'ubi kayu'!I103</f>
        <v>0</v>
      </c>
      <c r="N535" s="246">
        <f>'ubi kayu'!J103</f>
        <v>0</v>
      </c>
      <c r="O535" s="246">
        <f>'ubi kayu'!K103</f>
        <v>0</v>
      </c>
      <c r="P535" s="245">
        <f>SUM(J535:O535)</f>
        <v>89.7</v>
      </c>
      <c r="Q535" s="247">
        <f t="shared" ref="Q535:Q543" si="207">Q391/Q247*10</f>
        <v>91.25</v>
      </c>
    </row>
    <row r="536" spans="1:17" x14ac:dyDescent="0.25">
      <c r="A536" s="85">
        <v>2</v>
      </c>
      <c r="B536" s="12" t="s">
        <v>19</v>
      </c>
      <c r="C536" s="248">
        <v>0</v>
      </c>
      <c r="D536" s="248">
        <v>0</v>
      </c>
      <c r="E536" s="248">
        <v>0</v>
      </c>
      <c r="F536" s="248">
        <f>'ubi kayu'!C104</f>
        <v>250</v>
      </c>
      <c r="G536" s="248">
        <f>'ubi kayu'!D104</f>
        <v>0</v>
      </c>
      <c r="H536" s="248">
        <f>'ubi kayu'!E104</f>
        <v>0</v>
      </c>
      <c r="I536" s="249">
        <f t="shared" si="206"/>
        <v>250</v>
      </c>
      <c r="J536" s="269">
        <f>'ubi kayu'!F104</f>
        <v>90.65</v>
      </c>
      <c r="K536" s="250">
        <f>'ubi kayu'!G104</f>
        <v>0</v>
      </c>
      <c r="L536" s="250">
        <f>'ubi kayu'!H104</f>
        <v>0</v>
      </c>
      <c r="M536" s="250">
        <f>'ubi kayu'!I104</f>
        <v>0</v>
      </c>
      <c r="N536" s="250">
        <f>'ubi kayu'!J104</f>
        <v>115</v>
      </c>
      <c r="O536" s="251">
        <f>'ubi kayu'!K104</f>
        <v>0</v>
      </c>
      <c r="P536" s="249">
        <f t="shared" ref="P536:P541" si="208">SUM(J536:O536)</f>
        <v>205.65</v>
      </c>
      <c r="Q536" s="252">
        <f t="shared" si="207"/>
        <v>150</v>
      </c>
    </row>
    <row r="537" spans="1:17" x14ac:dyDescent="0.25">
      <c r="A537" s="85">
        <v>3</v>
      </c>
      <c r="B537" s="7" t="s">
        <v>20</v>
      </c>
      <c r="C537" s="248">
        <v>131.5</v>
      </c>
      <c r="D537" s="248">
        <v>0</v>
      </c>
      <c r="E537" s="248">
        <v>0</v>
      </c>
      <c r="F537" s="248">
        <f>'ubi kayu'!C105</f>
        <v>0</v>
      </c>
      <c r="G537" s="248">
        <f>'ubi kayu'!D105</f>
        <v>0</v>
      </c>
      <c r="H537" s="248">
        <f>'ubi kayu'!E105</f>
        <v>0</v>
      </c>
      <c r="I537" s="249">
        <f t="shared" si="206"/>
        <v>130</v>
      </c>
      <c r="J537" s="269">
        <f>'ubi kayu'!F105</f>
        <v>0</v>
      </c>
      <c r="K537" s="250">
        <f>'ubi kayu'!G105</f>
        <v>0</v>
      </c>
      <c r="L537" s="250">
        <f>'ubi kayu'!H105</f>
        <v>0</v>
      </c>
      <c r="M537" s="250">
        <f>'ubi kayu'!I105</f>
        <v>0</v>
      </c>
      <c r="N537" s="250">
        <f>'ubi kayu'!J105</f>
        <v>0</v>
      </c>
      <c r="O537" s="251">
        <f>'ubi kayu'!K105</f>
        <v>118.21</v>
      </c>
      <c r="P537" s="249">
        <f t="shared" si="208"/>
        <v>118.21</v>
      </c>
      <c r="Q537" s="252">
        <f t="shared" si="207"/>
        <v>120</v>
      </c>
    </row>
    <row r="538" spans="1:17" x14ac:dyDescent="0.25">
      <c r="A538" s="86">
        <v>4</v>
      </c>
      <c r="B538" s="15" t="s">
        <v>21</v>
      </c>
      <c r="C538" s="248">
        <v>0</v>
      </c>
      <c r="D538" s="248">
        <v>150.25</v>
      </c>
      <c r="E538" s="248">
        <v>187</v>
      </c>
      <c r="F538" s="248">
        <f>'ubi kayu'!C106</f>
        <v>0</v>
      </c>
      <c r="G538" s="248">
        <f>'ubi kayu'!D106</f>
        <v>0</v>
      </c>
      <c r="H538" s="248">
        <f>'ubi kayu'!E106</f>
        <v>74</v>
      </c>
      <c r="I538" s="249">
        <f t="shared" si="206"/>
        <v>117.14285714285714</v>
      </c>
      <c r="J538" s="269">
        <f>'ubi kayu'!F106</f>
        <v>0</v>
      </c>
      <c r="K538" s="250">
        <f>'ubi kayu'!G106</f>
        <v>0</v>
      </c>
      <c r="L538" s="250">
        <f>'ubi kayu'!H106</f>
        <v>0</v>
      </c>
      <c r="M538" s="250">
        <f>'ubi kayu'!I106</f>
        <v>0</v>
      </c>
      <c r="N538" s="250">
        <f>'ubi kayu'!J106</f>
        <v>0</v>
      </c>
      <c r="O538" s="251">
        <f>'ubi kayu'!K106</f>
        <v>0</v>
      </c>
      <c r="P538" s="249">
        <f t="shared" si="208"/>
        <v>0</v>
      </c>
      <c r="Q538" s="252">
        <f t="shared" si="207"/>
        <v>117.14285714285714</v>
      </c>
    </row>
    <row r="539" spans="1:17" x14ac:dyDescent="0.25">
      <c r="A539" s="86">
        <v>5</v>
      </c>
      <c r="B539" s="19" t="s">
        <v>22</v>
      </c>
      <c r="C539" s="248">
        <v>0</v>
      </c>
      <c r="D539" s="248">
        <v>0</v>
      </c>
      <c r="E539" s="248">
        <v>0</v>
      </c>
      <c r="F539" s="248">
        <f>'ubi kayu'!C107</f>
        <v>0</v>
      </c>
      <c r="G539" s="248">
        <f>'ubi kayu'!D107</f>
        <v>80</v>
      </c>
      <c r="H539" s="248">
        <f>'ubi kayu'!E107</f>
        <v>82</v>
      </c>
      <c r="I539" s="249">
        <f t="shared" si="206"/>
        <v>80</v>
      </c>
      <c r="J539" s="269">
        <f>'ubi kayu'!F107</f>
        <v>90.45</v>
      </c>
      <c r="K539" s="250">
        <f>'ubi kayu'!G107</f>
        <v>0</v>
      </c>
      <c r="L539" s="250">
        <f>'ubi kayu'!H107</f>
        <v>0</v>
      </c>
      <c r="M539" s="250">
        <f>'ubi kayu'!I107</f>
        <v>0</v>
      </c>
      <c r="N539" s="250">
        <f>'ubi kayu'!J107</f>
        <v>99</v>
      </c>
      <c r="O539" s="251">
        <f>'ubi kayu'!K107</f>
        <v>0</v>
      </c>
      <c r="P539" s="249">
        <f t="shared" si="208"/>
        <v>189.45</v>
      </c>
      <c r="Q539" s="252">
        <f t="shared" si="207"/>
        <v>85</v>
      </c>
    </row>
    <row r="540" spans="1:17" x14ac:dyDescent="0.25">
      <c r="A540" s="86">
        <v>6</v>
      </c>
      <c r="B540" s="19" t="s">
        <v>23</v>
      </c>
      <c r="C540" s="248">
        <v>0</v>
      </c>
      <c r="D540" s="248">
        <v>150.01</v>
      </c>
      <c r="E540" s="248">
        <v>0</v>
      </c>
      <c r="F540" s="248">
        <f>'ubi kayu'!C108</f>
        <v>0</v>
      </c>
      <c r="G540" s="248">
        <f>'ubi kayu'!D108</f>
        <v>0</v>
      </c>
      <c r="H540" s="248">
        <f>'ubi kayu'!E108</f>
        <v>0</v>
      </c>
      <c r="I540" s="249">
        <f t="shared" si="206"/>
        <v>150</v>
      </c>
      <c r="J540" s="269">
        <f>'ubi kayu'!F108</f>
        <v>0</v>
      </c>
      <c r="K540" s="250">
        <f>'ubi kayu'!G108</f>
        <v>0</v>
      </c>
      <c r="L540" s="250">
        <f>'ubi kayu'!H108</f>
        <v>90.1</v>
      </c>
      <c r="M540" s="250">
        <f>'ubi kayu'!I108</f>
        <v>90.13</v>
      </c>
      <c r="N540" s="250">
        <f>'ubi kayu'!J108</f>
        <v>190</v>
      </c>
      <c r="O540" s="251">
        <f>'ubi kayu'!K108</f>
        <v>0</v>
      </c>
      <c r="P540" s="249">
        <f t="shared" si="208"/>
        <v>370.23</v>
      </c>
      <c r="Q540" s="252">
        <f t="shared" si="207"/>
        <v>132.5</v>
      </c>
    </row>
    <row r="541" spans="1:17" x14ac:dyDescent="0.25">
      <c r="A541" s="86">
        <v>7</v>
      </c>
      <c r="B541" s="19" t="s">
        <v>24</v>
      </c>
      <c r="C541" s="248">
        <v>0</v>
      </c>
      <c r="D541" s="248">
        <v>0</v>
      </c>
      <c r="E541" s="248">
        <v>0</v>
      </c>
      <c r="F541" s="248">
        <f>'ubi kayu'!C109</f>
        <v>0</v>
      </c>
      <c r="G541" s="248">
        <f>'ubi kayu'!D109</f>
        <v>0</v>
      </c>
      <c r="H541" s="248">
        <f>'ubi kayu'!E109</f>
        <v>0</v>
      </c>
      <c r="I541" s="249">
        <v>0</v>
      </c>
      <c r="J541" s="269">
        <f>'ubi kayu'!F109</f>
        <v>0</v>
      </c>
      <c r="K541" s="250">
        <f>'ubi kayu'!G109</f>
        <v>0</v>
      </c>
      <c r="L541" s="250">
        <f>'ubi kayu'!H109</f>
        <v>0</v>
      </c>
      <c r="M541" s="250">
        <f>'ubi kayu'!I109</f>
        <v>0</v>
      </c>
      <c r="N541" s="250">
        <f>'ubi kayu'!J109</f>
        <v>0</v>
      </c>
      <c r="O541" s="251">
        <f>'ubi kayu'!K109</f>
        <v>150.75</v>
      </c>
      <c r="P541" s="249">
        <f t="shared" si="208"/>
        <v>150.75</v>
      </c>
      <c r="Q541" s="252">
        <f t="shared" si="207"/>
        <v>150</v>
      </c>
    </row>
    <row r="542" spans="1:17" ht="15.75" thickBot="1" x14ac:dyDescent="0.3">
      <c r="A542" s="87">
        <v>8</v>
      </c>
      <c r="B542" s="15" t="s">
        <v>25</v>
      </c>
      <c r="C542" s="253">
        <v>0</v>
      </c>
      <c r="D542" s="253">
        <v>0</v>
      </c>
      <c r="E542" s="253">
        <v>157.5</v>
      </c>
      <c r="F542" s="253">
        <f>'ubi kayu'!C110</f>
        <v>150.21</v>
      </c>
      <c r="G542" s="253">
        <f>'ubi kayu'!D110</f>
        <v>0</v>
      </c>
      <c r="H542" s="253">
        <f>'ubi kayu'!E110</f>
        <v>0</v>
      </c>
      <c r="I542" s="258">
        <f>I398/I254*10</f>
        <v>153.33333333333334</v>
      </c>
      <c r="J542" s="267">
        <f>'ubi kayu'!F110</f>
        <v>100.12</v>
      </c>
      <c r="K542" s="267">
        <f>'ubi kayu'!G110</f>
        <v>0</v>
      </c>
      <c r="L542" s="267">
        <f>'ubi kayu'!H110</f>
        <v>0</v>
      </c>
      <c r="M542" s="267">
        <f>'ubi kayu'!I110</f>
        <v>80</v>
      </c>
      <c r="N542" s="267">
        <f>'ubi kayu'!J110</f>
        <v>0</v>
      </c>
      <c r="O542" s="267">
        <f>'ubi kayu'!K110</f>
        <v>0</v>
      </c>
      <c r="P542" s="254">
        <f>SUM(J542:O542)</f>
        <v>180.12</v>
      </c>
      <c r="Q542" s="259">
        <f t="shared" si="207"/>
        <v>110</v>
      </c>
    </row>
    <row r="543" spans="1:17" ht="16.5" thickTop="1" thickBot="1" x14ac:dyDescent="0.3">
      <c r="A543" s="378" t="s">
        <v>26</v>
      </c>
      <c r="B543" s="379"/>
      <c r="C543" s="255">
        <f t="shared" ref="C543:H543" si="209">C399/C255*10</f>
        <v>112.5</v>
      </c>
      <c r="D543" s="255">
        <f t="shared" si="209"/>
        <v>150</v>
      </c>
      <c r="E543" s="255">
        <f t="shared" si="209"/>
        <v>170</v>
      </c>
      <c r="F543" s="255">
        <f t="shared" si="209"/>
        <v>200</v>
      </c>
      <c r="G543" s="255">
        <f t="shared" si="209"/>
        <v>80</v>
      </c>
      <c r="H543" s="256">
        <f t="shared" si="209"/>
        <v>76</v>
      </c>
      <c r="I543" s="257">
        <f>I399/I255*10</f>
        <v>126.08695652173913</v>
      </c>
      <c r="J543" s="260">
        <f t="shared" ref="J543:P543" si="210">J399/J255*10</f>
        <v>93.333333333333343</v>
      </c>
      <c r="K543" s="255" t="e">
        <f t="shared" si="210"/>
        <v>#DIV/0!</v>
      </c>
      <c r="L543" s="255">
        <f t="shared" si="210"/>
        <v>90</v>
      </c>
      <c r="M543" s="255">
        <f t="shared" si="210"/>
        <v>82</v>
      </c>
      <c r="N543" s="255">
        <f t="shared" si="210"/>
        <v>133.33333333333334</v>
      </c>
      <c r="O543" s="256">
        <f t="shared" si="210"/>
        <v>121.11111111111111</v>
      </c>
      <c r="P543" s="257">
        <f t="shared" si="210"/>
        <v>103.57142857142858</v>
      </c>
      <c r="Q543" s="261">
        <f t="shared" si="207"/>
        <v>113.72549019607844</v>
      </c>
    </row>
    <row r="545" spans="1:17" ht="15.75" x14ac:dyDescent="0.25">
      <c r="A545" s="380" t="s">
        <v>141</v>
      </c>
      <c r="B545" s="380"/>
      <c r="C545" s="380"/>
      <c r="D545" s="380"/>
      <c r="E545" s="380"/>
      <c r="F545" s="380"/>
      <c r="G545" s="380"/>
      <c r="H545" s="380"/>
      <c r="I545" s="380"/>
      <c r="J545" s="380"/>
      <c r="K545" s="380"/>
      <c r="L545" s="380"/>
      <c r="M545" s="380"/>
      <c r="N545" s="380"/>
      <c r="O545" s="380"/>
      <c r="P545" s="380"/>
      <c r="Q545" s="380"/>
    </row>
    <row r="546" spans="1:17" ht="15.75" x14ac:dyDescent="0.25">
      <c r="A546" s="380" t="s">
        <v>82</v>
      </c>
      <c r="B546" s="380"/>
      <c r="C546" s="380"/>
      <c r="D546" s="380"/>
      <c r="E546" s="380"/>
      <c r="F546" s="380"/>
      <c r="G546" s="380"/>
      <c r="H546" s="380"/>
      <c r="I546" s="380"/>
      <c r="J546" s="380"/>
      <c r="K546" s="380"/>
      <c r="L546" s="380"/>
      <c r="M546" s="380"/>
      <c r="N546" s="380"/>
      <c r="O546" s="380"/>
      <c r="P546" s="380"/>
      <c r="Q546" s="380"/>
    </row>
    <row r="547" spans="1:17" ht="15.75" thickBot="1" x14ac:dyDescent="0.3">
      <c r="Q547" s="76" t="s">
        <v>31</v>
      </c>
    </row>
    <row r="548" spans="1:17" x14ac:dyDescent="0.25">
      <c r="A548" s="375" t="s">
        <v>2</v>
      </c>
      <c r="B548" s="377" t="s">
        <v>3</v>
      </c>
      <c r="C548" s="381" t="s">
        <v>90</v>
      </c>
      <c r="D548" s="382"/>
      <c r="E548" s="382"/>
      <c r="F548" s="382"/>
      <c r="G548" s="382"/>
      <c r="H548" s="382"/>
      <c r="I548" s="383" t="s">
        <v>83</v>
      </c>
      <c r="J548" s="382">
        <v>2017</v>
      </c>
      <c r="K548" s="382"/>
      <c r="L548" s="382"/>
      <c r="M548" s="382"/>
      <c r="N548" s="382"/>
      <c r="O548" s="382"/>
      <c r="P548" s="383" t="s">
        <v>84</v>
      </c>
      <c r="Q548" s="385" t="s">
        <v>5</v>
      </c>
    </row>
    <row r="549" spans="1:17" x14ac:dyDescent="0.25">
      <c r="A549" s="376"/>
      <c r="B549" s="363"/>
      <c r="C549" s="207" t="s">
        <v>15</v>
      </c>
      <c r="D549" s="207" t="s">
        <v>16</v>
      </c>
      <c r="E549" s="207" t="s">
        <v>17</v>
      </c>
      <c r="F549" s="207" t="s">
        <v>6</v>
      </c>
      <c r="G549" s="207" t="s">
        <v>77</v>
      </c>
      <c r="H549" s="121" t="s">
        <v>78</v>
      </c>
      <c r="I549" s="384"/>
      <c r="J549" s="111" t="s">
        <v>79</v>
      </c>
      <c r="K549" s="207" t="s">
        <v>10</v>
      </c>
      <c r="L549" s="207" t="s">
        <v>11</v>
      </c>
      <c r="M549" s="207" t="s">
        <v>12</v>
      </c>
      <c r="N549" s="207" t="s">
        <v>80</v>
      </c>
      <c r="O549" s="121" t="s">
        <v>81</v>
      </c>
      <c r="P549" s="384"/>
      <c r="Q549" s="386"/>
    </row>
    <row r="550" spans="1:17" ht="15.75" thickBot="1" x14ac:dyDescent="0.3">
      <c r="A550" s="113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2">
        <v>8</v>
      </c>
      <c r="I550" s="124">
        <v>9</v>
      </c>
      <c r="J550" s="112">
        <v>10</v>
      </c>
      <c r="K550" s="5">
        <v>11</v>
      </c>
      <c r="L550" s="5">
        <v>12</v>
      </c>
      <c r="M550" s="5">
        <v>13</v>
      </c>
      <c r="N550" s="5">
        <v>14</v>
      </c>
      <c r="O550" s="122">
        <v>15</v>
      </c>
      <c r="P550" s="124">
        <v>16</v>
      </c>
      <c r="Q550" s="133">
        <v>17</v>
      </c>
    </row>
    <row r="551" spans="1:17" ht="15.75" thickTop="1" x14ac:dyDescent="0.25">
      <c r="A551" s="84">
        <v>1</v>
      </c>
      <c r="B551" s="7" t="s">
        <v>18</v>
      </c>
      <c r="C551" s="244">
        <v>0</v>
      </c>
      <c r="D551" s="244">
        <v>0</v>
      </c>
      <c r="E551" s="244">
        <v>0</v>
      </c>
      <c r="F551" s="244">
        <f>'ubi jalar'!C108</f>
        <v>96</v>
      </c>
      <c r="G551" s="244">
        <f>'ubi jalar'!D108</f>
        <v>0</v>
      </c>
      <c r="H551" s="244">
        <f>'ubi jalar'!E108</f>
        <v>87</v>
      </c>
      <c r="I551" s="245">
        <f>I407/I263*10</f>
        <v>86.666666666666657</v>
      </c>
      <c r="J551" s="246">
        <f>'ubi jalar'!F108</f>
        <v>0</v>
      </c>
      <c r="K551" s="246">
        <f>'ubi jalar'!G108</f>
        <v>0</v>
      </c>
      <c r="L551" s="246">
        <f>'ubi jalar'!H108</f>
        <v>0</v>
      </c>
      <c r="M551" s="246">
        <f>'ubi jalar'!I108</f>
        <v>0</v>
      </c>
      <c r="N551" s="246">
        <f>'ubi jalar'!J108</f>
        <v>0</v>
      </c>
      <c r="O551" s="246">
        <f>'ubi jalar'!K108</f>
        <v>0</v>
      </c>
      <c r="P551" s="245">
        <f>SUM(J551:O551)</f>
        <v>0</v>
      </c>
      <c r="Q551" s="247">
        <f t="shared" ref="Q551:Q559" si="211">Q407/Q263*10</f>
        <v>86.666666666666657</v>
      </c>
    </row>
    <row r="552" spans="1:17" x14ac:dyDescent="0.25">
      <c r="A552" s="85">
        <v>2</v>
      </c>
      <c r="B552" s="12" t="s">
        <v>19</v>
      </c>
      <c r="C552" s="248">
        <v>90.31</v>
      </c>
      <c r="D552" s="248">
        <v>0</v>
      </c>
      <c r="E552" s="248">
        <v>0</v>
      </c>
      <c r="F552" s="248">
        <f>'ubi jalar'!C109</f>
        <v>125.01</v>
      </c>
      <c r="G552" s="248">
        <f>'ubi jalar'!D109</f>
        <v>0</v>
      </c>
      <c r="H552" s="248">
        <f>'ubi jalar'!E109</f>
        <v>0</v>
      </c>
      <c r="I552" s="249">
        <f>I408/I264*10</f>
        <v>105</v>
      </c>
      <c r="J552" s="269">
        <f>'ubi jalar'!F109</f>
        <v>0</v>
      </c>
      <c r="K552" s="250">
        <f>'ubi jalar'!G109</f>
        <v>0</v>
      </c>
      <c r="L552" s="250">
        <f>'ubi jalar'!H109</f>
        <v>0</v>
      </c>
      <c r="M552" s="250">
        <f>'ubi jalar'!I109</f>
        <v>0</v>
      </c>
      <c r="N552" s="250">
        <f>'ubi jalar'!J109</f>
        <v>96.3</v>
      </c>
      <c r="O552" s="251">
        <f>'ubi jalar'!K109</f>
        <v>0</v>
      </c>
      <c r="P552" s="249">
        <f t="shared" ref="P552:P557" si="212">SUM(J552:O552)</f>
        <v>96.3</v>
      </c>
      <c r="Q552" s="252">
        <f t="shared" si="211"/>
        <v>103.33333333333334</v>
      </c>
    </row>
    <row r="553" spans="1:17" x14ac:dyDescent="0.25">
      <c r="A553" s="85">
        <v>3</v>
      </c>
      <c r="B553" s="7" t="s">
        <v>20</v>
      </c>
      <c r="C553" s="248">
        <v>0</v>
      </c>
      <c r="D553" s="248">
        <v>0</v>
      </c>
      <c r="E553" s="248">
        <v>0</v>
      </c>
      <c r="F553" s="248">
        <f>'ubi jalar'!C110</f>
        <v>0</v>
      </c>
      <c r="G553" s="248">
        <f>'ubi jalar'!D110</f>
        <v>0</v>
      </c>
      <c r="H553" s="248">
        <f>'ubi jalar'!E110</f>
        <v>0</v>
      </c>
      <c r="I553" s="249">
        <v>0</v>
      </c>
      <c r="J553" s="269">
        <f>'ubi jalar'!F110</f>
        <v>0</v>
      </c>
      <c r="K553" s="250">
        <f>'ubi jalar'!G110</f>
        <v>0</v>
      </c>
      <c r="L553" s="250">
        <f>'ubi jalar'!H110</f>
        <v>0</v>
      </c>
      <c r="M553" s="250">
        <f>'ubi jalar'!I110</f>
        <v>0</v>
      </c>
      <c r="N553" s="250">
        <f>'ubi jalar'!J110</f>
        <v>0</v>
      </c>
      <c r="O553" s="251">
        <f>'ubi jalar'!K110</f>
        <v>0</v>
      </c>
      <c r="P553" s="249">
        <f t="shared" si="212"/>
        <v>0</v>
      </c>
      <c r="Q553" s="252" t="e">
        <f t="shared" si="211"/>
        <v>#DIV/0!</v>
      </c>
    </row>
    <row r="554" spans="1:17" x14ac:dyDescent="0.25">
      <c r="A554" s="86">
        <v>4</v>
      </c>
      <c r="B554" s="15" t="s">
        <v>21</v>
      </c>
      <c r="C554" s="248">
        <v>150</v>
      </c>
      <c r="D554" s="248">
        <v>0</v>
      </c>
      <c r="E554" s="248">
        <v>125.25</v>
      </c>
      <c r="F554" s="248">
        <f>'ubi jalar'!C111</f>
        <v>0</v>
      </c>
      <c r="G554" s="248">
        <f>'ubi jalar'!D111</f>
        <v>0</v>
      </c>
      <c r="H554" s="248">
        <f>'ubi jalar'!E111</f>
        <v>65</v>
      </c>
      <c r="I554" s="249">
        <f>I410/I266*10</f>
        <v>105.71428571428571</v>
      </c>
      <c r="J554" s="269">
        <f>'ubi jalar'!F111</f>
        <v>0</v>
      </c>
      <c r="K554" s="250">
        <f>'ubi jalar'!G111</f>
        <v>0</v>
      </c>
      <c r="L554" s="250">
        <f>'ubi jalar'!H111</f>
        <v>0</v>
      </c>
      <c r="M554" s="250">
        <f>'ubi jalar'!I111</f>
        <v>0</v>
      </c>
      <c r="N554" s="250">
        <f>'ubi jalar'!J111</f>
        <v>0</v>
      </c>
      <c r="O554" s="251">
        <f>'ubi jalar'!K111</f>
        <v>0</v>
      </c>
      <c r="P554" s="249">
        <f t="shared" si="212"/>
        <v>0</v>
      </c>
      <c r="Q554" s="252">
        <f t="shared" si="211"/>
        <v>105.71428571428571</v>
      </c>
    </row>
    <row r="555" spans="1:17" x14ac:dyDescent="0.25">
      <c r="A555" s="86">
        <v>5</v>
      </c>
      <c r="B555" s="19" t="s">
        <v>22</v>
      </c>
      <c r="C555" s="248">
        <v>101.26</v>
      </c>
      <c r="D555" s="248">
        <v>0</v>
      </c>
      <c r="E555" s="248">
        <v>0</v>
      </c>
      <c r="F555" s="248">
        <f>'ubi jalar'!C112</f>
        <v>86</v>
      </c>
      <c r="G555" s="248">
        <f>'ubi jalar'!D112</f>
        <v>0</v>
      </c>
      <c r="H555" s="248">
        <f>'ubi jalar'!E112</f>
        <v>0</v>
      </c>
      <c r="I555" s="249">
        <f>I411/I267*10</f>
        <v>90</v>
      </c>
      <c r="J555" s="269">
        <f>'ubi jalar'!F112</f>
        <v>0</v>
      </c>
      <c r="K555" s="250">
        <f>'ubi jalar'!G112</f>
        <v>0</v>
      </c>
      <c r="L555" s="250">
        <f>'ubi jalar'!H112</f>
        <v>0</v>
      </c>
      <c r="M555" s="250">
        <f>'ubi jalar'!I112</f>
        <v>0</v>
      </c>
      <c r="N555" s="250">
        <f>'ubi jalar'!J112</f>
        <v>0</v>
      </c>
      <c r="O555" s="251">
        <f>'ubi jalar'!K112</f>
        <v>0</v>
      </c>
      <c r="P555" s="249">
        <f t="shared" si="212"/>
        <v>0</v>
      </c>
      <c r="Q555" s="252">
        <f t="shared" si="211"/>
        <v>90</v>
      </c>
    </row>
    <row r="556" spans="1:17" x14ac:dyDescent="0.25">
      <c r="A556" s="86">
        <v>6</v>
      </c>
      <c r="B556" s="19" t="s">
        <v>23</v>
      </c>
      <c r="C556" s="248">
        <v>0</v>
      </c>
      <c r="D556" s="248">
        <v>0</v>
      </c>
      <c r="E556" s="248">
        <v>0</v>
      </c>
      <c r="F556" s="248">
        <f>'ubi jalar'!C113</f>
        <v>0</v>
      </c>
      <c r="G556" s="248">
        <f>'ubi jalar'!D113</f>
        <v>0</v>
      </c>
      <c r="H556" s="248">
        <f>'ubi jalar'!E113</f>
        <v>0</v>
      </c>
      <c r="I556" s="249">
        <v>0</v>
      </c>
      <c r="J556" s="269">
        <f>'ubi jalar'!F113</f>
        <v>0</v>
      </c>
      <c r="K556" s="250">
        <f>'ubi jalar'!G113</f>
        <v>0</v>
      </c>
      <c r="L556" s="250">
        <f>'ubi jalar'!H113</f>
        <v>85</v>
      </c>
      <c r="M556" s="250">
        <f>'ubi jalar'!I113</f>
        <v>0</v>
      </c>
      <c r="N556" s="250">
        <f>'ubi jalar'!J113</f>
        <v>0</v>
      </c>
      <c r="O556" s="251">
        <f>'ubi jalar'!K113</f>
        <v>0</v>
      </c>
      <c r="P556" s="249">
        <f t="shared" si="212"/>
        <v>85</v>
      </c>
      <c r="Q556" s="252">
        <f t="shared" si="211"/>
        <v>80</v>
      </c>
    </row>
    <row r="557" spans="1:17" x14ac:dyDescent="0.25">
      <c r="A557" s="86">
        <v>7</v>
      </c>
      <c r="B557" s="19" t="s">
        <v>24</v>
      </c>
      <c r="C557" s="248">
        <v>0</v>
      </c>
      <c r="D557" s="248">
        <v>0</v>
      </c>
      <c r="E557" s="248">
        <v>0</v>
      </c>
      <c r="F557" s="248">
        <f>'ubi jalar'!C114</f>
        <v>0</v>
      </c>
      <c r="G557" s="248">
        <f>'ubi jalar'!D114</f>
        <v>0</v>
      </c>
      <c r="H557" s="248">
        <f>'ubi jalar'!E114</f>
        <v>0</v>
      </c>
      <c r="I557" s="249">
        <v>0</v>
      </c>
      <c r="J557" s="269">
        <f>'ubi jalar'!F114</f>
        <v>0</v>
      </c>
      <c r="K557" s="250">
        <f>'ubi jalar'!G114</f>
        <v>0</v>
      </c>
      <c r="L557" s="250">
        <f>'ubi jalar'!H114</f>
        <v>82</v>
      </c>
      <c r="M557" s="250">
        <f>'ubi jalar'!I114</f>
        <v>0</v>
      </c>
      <c r="N557" s="250">
        <f>'ubi jalar'!J114</f>
        <v>0</v>
      </c>
      <c r="O557" s="251">
        <f>'ubi jalar'!K114</f>
        <v>0</v>
      </c>
      <c r="P557" s="249">
        <f t="shared" si="212"/>
        <v>82</v>
      </c>
      <c r="Q557" s="252">
        <f t="shared" si="211"/>
        <v>80</v>
      </c>
    </row>
    <row r="558" spans="1:17" ht="15.75" thickBot="1" x14ac:dyDescent="0.3">
      <c r="A558" s="87">
        <v>8</v>
      </c>
      <c r="B558" s="15" t="s">
        <v>25</v>
      </c>
      <c r="C558" s="253">
        <v>80.12</v>
      </c>
      <c r="D558" s="253">
        <v>0</v>
      </c>
      <c r="E558" s="253">
        <v>0</v>
      </c>
      <c r="F558" s="253">
        <f>'ubi jalar'!C115</f>
        <v>0</v>
      </c>
      <c r="G558" s="253">
        <f>'ubi jalar'!D115</f>
        <v>0</v>
      </c>
      <c r="H558" s="253">
        <f>'ubi jalar'!E115</f>
        <v>0</v>
      </c>
      <c r="I558" s="258">
        <f>I414/I270*10</f>
        <v>80</v>
      </c>
      <c r="J558" s="267">
        <f>'ubi jalar'!F115</f>
        <v>90.51</v>
      </c>
      <c r="K558" s="267">
        <f>'ubi jalar'!G115</f>
        <v>0</v>
      </c>
      <c r="L558" s="267">
        <f>'ubi jalar'!H115</f>
        <v>0</v>
      </c>
      <c r="M558" s="267">
        <f>'ubi jalar'!I115</f>
        <v>65</v>
      </c>
      <c r="N558" s="267">
        <f>'ubi jalar'!J115</f>
        <v>0</v>
      </c>
      <c r="O558" s="267">
        <f>'ubi jalar'!K115</f>
        <v>0</v>
      </c>
      <c r="P558" s="254">
        <f>SUM(J558:O558)</f>
        <v>155.51</v>
      </c>
      <c r="Q558" s="259">
        <f t="shared" si="211"/>
        <v>76.666666666666671</v>
      </c>
    </row>
    <row r="559" spans="1:17" ht="16.5" thickTop="1" thickBot="1" x14ac:dyDescent="0.3">
      <c r="A559" s="378" t="s">
        <v>26</v>
      </c>
      <c r="B559" s="379"/>
      <c r="C559" s="255">
        <f>C415/C271*10</f>
        <v>114</v>
      </c>
      <c r="D559" s="255">
        <f t="shared" ref="D559:E559" si="213">SUM(D551:D558)</f>
        <v>0</v>
      </c>
      <c r="E559" s="255">
        <f t="shared" si="213"/>
        <v>125.25</v>
      </c>
      <c r="F559" s="255">
        <f>F415/F271*10</f>
        <v>95</v>
      </c>
      <c r="G559" s="255" t="e">
        <f>G415/G271*10</f>
        <v>#DIV/0!</v>
      </c>
      <c r="H559" s="256">
        <f>H415/H271*10</f>
        <v>72</v>
      </c>
      <c r="I559" s="257">
        <f>I415/I271*10</f>
        <v>97.5</v>
      </c>
      <c r="J559" s="260">
        <v>90.51</v>
      </c>
      <c r="K559" s="255" t="e">
        <f t="shared" ref="K559:P559" si="214">K415/K271*10</f>
        <v>#DIV/0!</v>
      </c>
      <c r="L559" s="255">
        <f t="shared" si="214"/>
        <v>80</v>
      </c>
      <c r="M559" s="255">
        <f t="shared" si="214"/>
        <v>60</v>
      </c>
      <c r="N559" s="255">
        <f t="shared" si="214"/>
        <v>100</v>
      </c>
      <c r="O559" s="256" t="e">
        <f t="shared" si="214"/>
        <v>#DIV/0!</v>
      </c>
      <c r="P559" s="257">
        <f t="shared" si="214"/>
        <v>82</v>
      </c>
      <c r="Q559" s="261">
        <f t="shared" si="211"/>
        <v>93.80952380952381</v>
      </c>
    </row>
    <row r="561" spans="1:17" ht="15.75" x14ac:dyDescent="0.25">
      <c r="A561" s="380" t="s">
        <v>142</v>
      </c>
      <c r="B561" s="380"/>
      <c r="C561" s="380"/>
      <c r="D561" s="380"/>
      <c r="E561" s="380"/>
      <c r="F561" s="380"/>
      <c r="G561" s="380"/>
      <c r="H561" s="380"/>
      <c r="I561" s="380"/>
      <c r="J561" s="380"/>
      <c r="K561" s="380"/>
      <c r="L561" s="380"/>
      <c r="M561" s="380"/>
      <c r="N561" s="380"/>
      <c r="O561" s="380"/>
      <c r="P561" s="380"/>
      <c r="Q561" s="380"/>
    </row>
    <row r="562" spans="1:17" ht="15.75" x14ac:dyDescent="0.25">
      <c r="A562" s="380" t="s">
        <v>82</v>
      </c>
      <c r="B562" s="380"/>
      <c r="C562" s="380"/>
      <c r="D562" s="380"/>
      <c r="E562" s="380"/>
      <c r="F562" s="380"/>
      <c r="G562" s="380"/>
      <c r="H562" s="380"/>
      <c r="I562" s="380"/>
      <c r="J562" s="380"/>
      <c r="K562" s="380"/>
      <c r="L562" s="380"/>
      <c r="M562" s="380"/>
      <c r="N562" s="380"/>
      <c r="O562" s="380"/>
      <c r="P562" s="380"/>
      <c r="Q562" s="380"/>
    </row>
    <row r="563" spans="1:17" ht="15.75" thickBot="1" x14ac:dyDescent="0.3">
      <c r="Q563" s="76" t="s">
        <v>31</v>
      </c>
    </row>
    <row r="564" spans="1:17" x14ac:dyDescent="0.25">
      <c r="A564" s="375" t="s">
        <v>2</v>
      </c>
      <c r="B564" s="377" t="s">
        <v>3</v>
      </c>
      <c r="C564" s="381" t="s">
        <v>90</v>
      </c>
      <c r="D564" s="382"/>
      <c r="E564" s="382"/>
      <c r="F564" s="382"/>
      <c r="G564" s="382"/>
      <c r="H564" s="382"/>
      <c r="I564" s="383" t="s">
        <v>83</v>
      </c>
      <c r="J564" s="382">
        <v>2017</v>
      </c>
      <c r="K564" s="382"/>
      <c r="L564" s="382"/>
      <c r="M564" s="382"/>
      <c r="N564" s="382"/>
      <c r="O564" s="382"/>
      <c r="P564" s="383" t="s">
        <v>84</v>
      </c>
      <c r="Q564" s="385" t="s">
        <v>5</v>
      </c>
    </row>
    <row r="565" spans="1:17" x14ac:dyDescent="0.25">
      <c r="A565" s="376"/>
      <c r="B565" s="363"/>
      <c r="C565" s="207" t="s">
        <v>15</v>
      </c>
      <c r="D565" s="207" t="s">
        <v>16</v>
      </c>
      <c r="E565" s="207" t="s">
        <v>17</v>
      </c>
      <c r="F565" s="207" t="s">
        <v>6</v>
      </c>
      <c r="G565" s="207" t="s">
        <v>77</v>
      </c>
      <c r="H565" s="121" t="s">
        <v>78</v>
      </c>
      <c r="I565" s="384"/>
      <c r="J565" s="111" t="s">
        <v>79</v>
      </c>
      <c r="K565" s="207" t="s">
        <v>10</v>
      </c>
      <c r="L565" s="207" t="s">
        <v>11</v>
      </c>
      <c r="M565" s="207" t="s">
        <v>12</v>
      </c>
      <c r="N565" s="207" t="s">
        <v>80</v>
      </c>
      <c r="O565" s="121" t="s">
        <v>81</v>
      </c>
      <c r="P565" s="384"/>
      <c r="Q565" s="386"/>
    </row>
    <row r="566" spans="1:17" ht="15.75" thickBot="1" x14ac:dyDescent="0.3">
      <c r="A566" s="113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2">
        <v>8</v>
      </c>
      <c r="I566" s="124">
        <v>9</v>
      </c>
      <c r="J566" s="112">
        <v>10</v>
      </c>
      <c r="K566" s="5">
        <v>11</v>
      </c>
      <c r="L566" s="5">
        <v>12</v>
      </c>
      <c r="M566" s="5">
        <v>13</v>
      </c>
      <c r="N566" s="5">
        <v>14</v>
      </c>
      <c r="O566" s="122">
        <v>15</v>
      </c>
      <c r="P566" s="124">
        <v>16</v>
      </c>
      <c r="Q566" s="133">
        <v>17</v>
      </c>
    </row>
    <row r="567" spans="1:17" ht="15.75" thickTop="1" x14ac:dyDescent="0.25">
      <c r="A567" s="84">
        <v>1</v>
      </c>
      <c r="B567" s="7" t="s">
        <v>18</v>
      </c>
      <c r="C567" s="218">
        <v>0</v>
      </c>
      <c r="D567" s="218">
        <v>0</v>
      </c>
      <c r="E567" s="218">
        <v>0</v>
      </c>
      <c r="F567" s="218">
        <f>'kc ijo'!C108</f>
        <v>0</v>
      </c>
      <c r="G567" s="218">
        <f>'kc ijo'!D108</f>
        <v>5</v>
      </c>
      <c r="H567" s="218">
        <f>'kc ijo'!E108</f>
        <v>0</v>
      </c>
      <c r="I567" s="226">
        <f>SUM(C567:H567)</f>
        <v>5</v>
      </c>
      <c r="J567" s="236">
        <f>'kc ijo'!F108</f>
        <v>0</v>
      </c>
      <c r="K567" s="236">
        <f>'kc ijo'!G108</f>
        <v>0</v>
      </c>
      <c r="L567" s="236">
        <f>'kc ijo'!H108</f>
        <v>0</v>
      </c>
      <c r="M567" s="236">
        <f>'kc ijo'!I108</f>
        <v>0</v>
      </c>
      <c r="N567" s="236">
        <f>'kc ijo'!J108</f>
        <v>0</v>
      </c>
      <c r="O567" s="236">
        <f>'kc ijo'!K108</f>
        <v>0</v>
      </c>
      <c r="P567" s="226">
        <f>SUM(J567:O567)</f>
        <v>0</v>
      </c>
      <c r="Q567" s="230">
        <f>SUM(I567,P567)</f>
        <v>5</v>
      </c>
    </row>
    <row r="568" spans="1:17" x14ac:dyDescent="0.25">
      <c r="A568" s="85">
        <v>2</v>
      </c>
      <c r="B568" s="12" t="s">
        <v>19</v>
      </c>
      <c r="C568" s="219">
        <v>0</v>
      </c>
      <c r="D568" s="219">
        <v>0</v>
      </c>
      <c r="E568" s="219">
        <v>0</v>
      </c>
      <c r="F568" s="219">
        <f>'kc ijo'!C109</f>
        <v>0</v>
      </c>
      <c r="G568" s="219">
        <f>'kc ijo'!D109</f>
        <v>0</v>
      </c>
      <c r="H568" s="243">
        <f>'kc ijo'!E109</f>
        <v>0</v>
      </c>
      <c r="I568" s="235">
        <f t="shared" ref="I568:I574" si="215">SUM(C568:H568)</f>
        <v>0</v>
      </c>
      <c r="J568" s="268">
        <f>'kc ijo'!F109</f>
        <v>0</v>
      </c>
      <c r="K568" s="237">
        <f>'kc ijo'!G109</f>
        <v>0</v>
      </c>
      <c r="L568" s="237">
        <f>'kc ijo'!H109</f>
        <v>0</v>
      </c>
      <c r="M568" s="237">
        <f>'kc ijo'!I109</f>
        <v>0</v>
      </c>
      <c r="N568" s="237">
        <f>'kc ijo'!J109</f>
        <v>0</v>
      </c>
      <c r="O568" s="238">
        <f>'kc ijo'!K109</f>
        <v>0</v>
      </c>
      <c r="P568" s="235">
        <f t="shared" ref="P568:P573" si="216">SUM(J568:O568)</f>
        <v>0</v>
      </c>
      <c r="Q568" s="231">
        <f t="shared" ref="Q568:Q574" si="217">SUM(I568,P568)</f>
        <v>0</v>
      </c>
    </row>
    <row r="569" spans="1:17" x14ac:dyDescent="0.25">
      <c r="A569" s="85">
        <v>3</v>
      </c>
      <c r="B569" s="7" t="s">
        <v>20</v>
      </c>
      <c r="C569" s="219">
        <v>0</v>
      </c>
      <c r="D569" s="219">
        <v>0</v>
      </c>
      <c r="E569" s="219">
        <v>0</v>
      </c>
      <c r="F569" s="219">
        <f>'kc ijo'!C110</f>
        <v>0</v>
      </c>
      <c r="G569" s="219">
        <f>'kc ijo'!D110</f>
        <v>0</v>
      </c>
      <c r="H569" s="243">
        <f>'kc ijo'!E110</f>
        <v>0</v>
      </c>
      <c r="I569" s="235">
        <f t="shared" si="215"/>
        <v>0</v>
      </c>
      <c r="J569" s="268">
        <f>'kc ijo'!F110</f>
        <v>0</v>
      </c>
      <c r="K569" s="237">
        <f>'kc ijo'!G110</f>
        <v>0</v>
      </c>
      <c r="L569" s="237">
        <f>'kc ijo'!H110</f>
        <v>0</v>
      </c>
      <c r="M569" s="237">
        <f>'kc ijo'!I110</f>
        <v>0</v>
      </c>
      <c r="N569" s="237">
        <f>'kc ijo'!J110</f>
        <v>0</v>
      </c>
      <c r="O569" s="238">
        <f>'kc ijo'!K110</f>
        <v>0</v>
      </c>
      <c r="P569" s="235">
        <f t="shared" si="216"/>
        <v>0</v>
      </c>
      <c r="Q569" s="231">
        <f t="shared" si="217"/>
        <v>0</v>
      </c>
    </row>
    <row r="570" spans="1:17" x14ac:dyDescent="0.25">
      <c r="A570" s="86">
        <v>4</v>
      </c>
      <c r="B570" s="15" t="s">
        <v>21</v>
      </c>
      <c r="C570" s="219">
        <v>0</v>
      </c>
      <c r="D570" s="219">
        <v>0</v>
      </c>
      <c r="E570" s="219">
        <v>6</v>
      </c>
      <c r="F570" s="219">
        <f>'kc ijo'!C111</f>
        <v>0</v>
      </c>
      <c r="G570" s="219">
        <f>'kc ijo'!D111</f>
        <v>5</v>
      </c>
      <c r="H570" s="243">
        <f>'kc ijo'!E111</f>
        <v>0</v>
      </c>
      <c r="I570" s="235">
        <f t="shared" si="215"/>
        <v>11</v>
      </c>
      <c r="J570" s="268">
        <f>'kc ijo'!F111</f>
        <v>0</v>
      </c>
      <c r="K570" s="237">
        <f>'kc ijo'!G111</f>
        <v>0</v>
      </c>
      <c r="L570" s="237">
        <f>'kc ijo'!H111</f>
        <v>0</v>
      </c>
      <c r="M570" s="237">
        <f>'kc ijo'!I111</f>
        <v>6.4</v>
      </c>
      <c r="N570" s="237">
        <f>'kc ijo'!J111</f>
        <v>6.32</v>
      </c>
      <c r="O570" s="238">
        <f>'kc ijo'!K111</f>
        <v>0</v>
      </c>
      <c r="P570" s="235">
        <f t="shared" si="216"/>
        <v>12.72</v>
      </c>
      <c r="Q570" s="231">
        <f t="shared" si="217"/>
        <v>23.72</v>
      </c>
    </row>
    <row r="571" spans="1:17" x14ac:dyDescent="0.25">
      <c r="A571" s="86">
        <v>5</v>
      </c>
      <c r="B571" s="19" t="s">
        <v>22</v>
      </c>
      <c r="C571" s="219">
        <v>0</v>
      </c>
      <c r="D571" s="219">
        <v>0</v>
      </c>
      <c r="E571" s="219">
        <v>0</v>
      </c>
      <c r="F571" s="219">
        <f>'kc ijo'!C112</f>
        <v>0</v>
      </c>
      <c r="G571" s="219">
        <f>'kc ijo'!D112</f>
        <v>0</v>
      </c>
      <c r="H571" s="243">
        <f>'kc ijo'!E112</f>
        <v>0</v>
      </c>
      <c r="I571" s="235">
        <f t="shared" si="215"/>
        <v>0</v>
      </c>
      <c r="J571" s="268">
        <f>'kc ijo'!F112</f>
        <v>0</v>
      </c>
      <c r="K571" s="237">
        <f>'kc ijo'!G112</f>
        <v>0</v>
      </c>
      <c r="L571" s="237">
        <f>'kc ijo'!H112</f>
        <v>0</v>
      </c>
      <c r="M571" s="237">
        <f>'kc ijo'!I112</f>
        <v>5.5</v>
      </c>
      <c r="N571" s="237">
        <f>'kc ijo'!J112</f>
        <v>6.5</v>
      </c>
      <c r="O571" s="238">
        <f>'kc ijo'!K112</f>
        <v>0</v>
      </c>
      <c r="P571" s="235">
        <f t="shared" si="216"/>
        <v>12</v>
      </c>
      <c r="Q571" s="231">
        <f t="shared" si="217"/>
        <v>12</v>
      </c>
    </row>
    <row r="572" spans="1:17" x14ac:dyDescent="0.25">
      <c r="A572" s="86">
        <v>6</v>
      </c>
      <c r="B572" s="19" t="s">
        <v>23</v>
      </c>
      <c r="C572" s="219">
        <v>0</v>
      </c>
      <c r="D572" s="219">
        <v>0</v>
      </c>
      <c r="E572" s="219">
        <v>0</v>
      </c>
      <c r="F572" s="219">
        <f>'kc ijo'!C113</f>
        <v>0</v>
      </c>
      <c r="G572" s="219">
        <f>'kc ijo'!D113</f>
        <v>0</v>
      </c>
      <c r="H572" s="243">
        <f>'kc ijo'!E113</f>
        <v>0</v>
      </c>
      <c r="I572" s="235">
        <f t="shared" si="215"/>
        <v>0</v>
      </c>
      <c r="J572" s="268">
        <f>'kc ijo'!F113</f>
        <v>0</v>
      </c>
      <c r="K572" s="237">
        <f>'kc ijo'!G113</f>
        <v>0</v>
      </c>
      <c r="L572" s="237">
        <f>'kc ijo'!H113</f>
        <v>0</v>
      </c>
      <c r="M572" s="237">
        <f>'kc ijo'!I113</f>
        <v>0</v>
      </c>
      <c r="N572" s="237">
        <f>'kc ijo'!J113</f>
        <v>0</v>
      </c>
      <c r="O572" s="238">
        <f>'kc ijo'!K113</f>
        <v>0</v>
      </c>
      <c r="P572" s="235">
        <f t="shared" si="216"/>
        <v>0</v>
      </c>
      <c r="Q572" s="231">
        <f t="shared" si="217"/>
        <v>0</v>
      </c>
    </row>
    <row r="573" spans="1:17" x14ac:dyDescent="0.25">
      <c r="A573" s="86">
        <v>7</v>
      </c>
      <c r="B573" s="19" t="s">
        <v>24</v>
      </c>
      <c r="C573" s="219">
        <v>0</v>
      </c>
      <c r="D573" s="219">
        <v>0</v>
      </c>
      <c r="E573" s="219">
        <v>0</v>
      </c>
      <c r="F573" s="219">
        <f>'kc ijo'!C114</f>
        <v>0</v>
      </c>
      <c r="G573" s="219">
        <f>'kc ijo'!D114</f>
        <v>0</v>
      </c>
      <c r="H573" s="243">
        <f>'kc ijo'!E114</f>
        <v>0</v>
      </c>
      <c r="I573" s="235">
        <f t="shared" si="215"/>
        <v>0</v>
      </c>
      <c r="J573" s="268">
        <f>'kc ijo'!F114</f>
        <v>0</v>
      </c>
      <c r="K573" s="237">
        <f>'kc ijo'!G114</f>
        <v>5.03</v>
      </c>
      <c r="L573" s="237">
        <f>'kc ijo'!H114</f>
        <v>0</v>
      </c>
      <c r="M573" s="237">
        <f>'kc ijo'!I114</f>
        <v>0</v>
      </c>
      <c r="N573" s="237">
        <f>'kc ijo'!J114</f>
        <v>0</v>
      </c>
      <c r="O573" s="238">
        <f>'kc ijo'!K114</f>
        <v>0</v>
      </c>
      <c r="P573" s="235">
        <f t="shared" si="216"/>
        <v>5.03</v>
      </c>
      <c r="Q573" s="231">
        <f t="shared" si="217"/>
        <v>5.03</v>
      </c>
    </row>
    <row r="574" spans="1:17" ht="15.75" thickBot="1" x14ac:dyDescent="0.3">
      <c r="A574" s="87">
        <v>8</v>
      </c>
      <c r="B574" s="15" t="s">
        <v>25</v>
      </c>
      <c r="C574" s="220">
        <v>3.11</v>
      </c>
      <c r="D574" s="220">
        <v>0</v>
      </c>
      <c r="E574" s="220">
        <v>0</v>
      </c>
      <c r="F574" s="220">
        <f>'kc ijo'!C115</f>
        <v>0</v>
      </c>
      <c r="G574" s="220">
        <f>'kc ijo'!D115</f>
        <v>0</v>
      </c>
      <c r="H574" s="220">
        <f>'kc ijo'!E115</f>
        <v>0</v>
      </c>
      <c r="I574" s="239">
        <f t="shared" si="215"/>
        <v>3.11</v>
      </c>
      <c r="J574" s="266">
        <f>'kc ijo'!F115</f>
        <v>0</v>
      </c>
      <c r="K574" s="266">
        <f>'kc ijo'!G115</f>
        <v>0</v>
      </c>
      <c r="L574" s="266">
        <f>'kc ijo'!H115</f>
        <v>0</v>
      </c>
      <c r="M574" s="266">
        <f>'kc ijo'!I115</f>
        <v>0</v>
      </c>
      <c r="N574" s="266">
        <f>'kc ijo'!J115</f>
        <v>0</v>
      </c>
      <c r="O574" s="266">
        <f>'kc ijo'!K115</f>
        <v>0</v>
      </c>
      <c r="P574" s="239">
        <f>SUM(J574:O574)</f>
        <v>0</v>
      </c>
      <c r="Q574" s="232">
        <f t="shared" si="217"/>
        <v>3.11</v>
      </c>
    </row>
    <row r="575" spans="1:17" ht="16.5" thickTop="1" thickBot="1" x14ac:dyDescent="0.3">
      <c r="A575" s="378" t="s">
        <v>26</v>
      </c>
      <c r="B575" s="379"/>
      <c r="C575" s="221">
        <f t="shared" ref="C575:H575" si="218">SUM(C567:C574)</f>
        <v>3.11</v>
      </c>
      <c r="D575" s="221">
        <f t="shared" si="218"/>
        <v>0</v>
      </c>
      <c r="E575" s="221">
        <f t="shared" si="218"/>
        <v>6</v>
      </c>
      <c r="F575" s="221">
        <f t="shared" si="218"/>
        <v>0</v>
      </c>
      <c r="G575" s="221">
        <f t="shared" si="218"/>
        <v>10</v>
      </c>
      <c r="H575" s="222">
        <f t="shared" si="218"/>
        <v>0</v>
      </c>
      <c r="I575" s="224">
        <f>I431/I287*10</f>
        <v>4.833333333333333</v>
      </c>
      <c r="J575" s="240">
        <f t="shared" ref="J575:O575" si="219">SUM(J567:J574)</f>
        <v>0</v>
      </c>
      <c r="K575" s="221">
        <f t="shared" si="219"/>
        <v>5.03</v>
      </c>
      <c r="L575" s="221">
        <f t="shared" si="219"/>
        <v>0</v>
      </c>
      <c r="M575" s="221">
        <f t="shared" si="219"/>
        <v>11.9</v>
      </c>
      <c r="N575" s="221">
        <f t="shared" si="219"/>
        <v>12.82</v>
      </c>
      <c r="O575" s="222">
        <f t="shared" si="219"/>
        <v>0</v>
      </c>
      <c r="P575" s="224">
        <f>SUM(P567:P574)</f>
        <v>29.75</v>
      </c>
      <c r="Q575" s="241">
        <f>SUM(Q567:Q574)</f>
        <v>48.86</v>
      </c>
    </row>
    <row r="579" spans="1:17" ht="15.75" x14ac:dyDescent="0.25">
      <c r="A579" s="380" t="s">
        <v>168</v>
      </c>
      <c r="B579" s="380"/>
      <c r="C579" s="380"/>
      <c r="D579" s="380"/>
      <c r="E579" s="380"/>
      <c r="F579" s="380"/>
      <c r="G579" s="380"/>
      <c r="H579" s="380"/>
      <c r="I579" s="380"/>
      <c r="J579" s="380"/>
      <c r="K579" s="380"/>
      <c r="L579" s="380"/>
      <c r="M579" s="380"/>
      <c r="N579" s="380"/>
      <c r="O579" s="380"/>
      <c r="P579" s="380"/>
      <c r="Q579" s="380"/>
    </row>
    <row r="580" spans="1:17" ht="15.75" x14ac:dyDescent="0.25">
      <c r="A580" s="380" t="s">
        <v>82</v>
      </c>
      <c r="B580" s="380"/>
      <c r="C580" s="380"/>
      <c r="D580" s="380"/>
      <c r="E580" s="380"/>
      <c r="F580" s="380"/>
      <c r="G580" s="380"/>
      <c r="H580" s="380"/>
      <c r="I580" s="380"/>
      <c r="J580" s="380"/>
      <c r="K580" s="380"/>
      <c r="L580" s="380"/>
      <c r="M580" s="380"/>
      <c r="N580" s="380"/>
      <c r="O580" s="380"/>
      <c r="P580" s="380"/>
      <c r="Q580" s="380"/>
    </row>
    <row r="581" spans="1:17" ht="15.75" thickBot="1" x14ac:dyDescent="0.3">
      <c r="Q581" s="76" t="s">
        <v>1</v>
      </c>
    </row>
    <row r="582" spans="1:17" x14ac:dyDescent="0.25">
      <c r="A582" s="375" t="s">
        <v>2</v>
      </c>
      <c r="B582" s="377" t="s">
        <v>3</v>
      </c>
      <c r="C582" s="381" t="s">
        <v>90</v>
      </c>
      <c r="D582" s="382"/>
      <c r="E582" s="382"/>
      <c r="F582" s="382"/>
      <c r="G582" s="382"/>
      <c r="H582" s="382"/>
      <c r="I582" s="383" t="s">
        <v>83</v>
      </c>
      <c r="J582" s="382">
        <v>2017</v>
      </c>
      <c r="K582" s="382"/>
      <c r="L582" s="382"/>
      <c r="M582" s="382"/>
      <c r="N582" s="382"/>
      <c r="O582" s="382"/>
      <c r="P582" s="383" t="s">
        <v>84</v>
      </c>
      <c r="Q582" s="385" t="s">
        <v>5</v>
      </c>
    </row>
    <row r="583" spans="1:17" x14ac:dyDescent="0.25">
      <c r="A583" s="376"/>
      <c r="B583" s="363"/>
      <c r="C583" s="356" t="s">
        <v>15</v>
      </c>
      <c r="D583" s="356" t="s">
        <v>16</v>
      </c>
      <c r="E583" s="356" t="s">
        <v>17</v>
      </c>
      <c r="F583" s="356" t="s">
        <v>6</v>
      </c>
      <c r="G583" s="356" t="s">
        <v>77</v>
      </c>
      <c r="H583" s="121" t="s">
        <v>78</v>
      </c>
      <c r="I583" s="384"/>
      <c r="J583" s="111" t="s">
        <v>79</v>
      </c>
      <c r="K583" s="356" t="s">
        <v>10</v>
      </c>
      <c r="L583" s="356" t="s">
        <v>11</v>
      </c>
      <c r="M583" s="356" t="s">
        <v>12</v>
      </c>
      <c r="N583" s="356" t="s">
        <v>80</v>
      </c>
      <c r="O583" s="121" t="s">
        <v>81</v>
      </c>
      <c r="P583" s="384"/>
      <c r="Q583" s="386"/>
    </row>
    <row r="584" spans="1:17" ht="15.75" thickBot="1" x14ac:dyDescent="0.3">
      <c r="A584" s="113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22">
        <v>8</v>
      </c>
      <c r="I584" s="124">
        <v>9</v>
      </c>
      <c r="J584" s="112">
        <v>10</v>
      </c>
      <c r="K584" s="5">
        <v>11</v>
      </c>
      <c r="L584" s="5">
        <v>12</v>
      </c>
      <c r="M584" s="5">
        <v>13</v>
      </c>
      <c r="N584" s="5">
        <v>14</v>
      </c>
      <c r="O584" s="122">
        <v>15</v>
      </c>
      <c r="P584" s="124">
        <v>16</v>
      </c>
      <c r="Q584" s="133">
        <v>17</v>
      </c>
    </row>
    <row r="585" spans="1:17" ht="15.75" thickTop="1" x14ac:dyDescent="0.25">
      <c r="A585" s="84">
        <v>1</v>
      </c>
      <c r="B585" s="7" t="s">
        <v>18</v>
      </c>
      <c r="C585" s="138">
        <f>'padi sawah'!L9</f>
        <v>1</v>
      </c>
      <c r="D585" s="138">
        <f>'padi sawah'!M9</f>
        <v>1</v>
      </c>
      <c r="E585" s="138">
        <f>'padi sawah'!N9</f>
        <v>5</v>
      </c>
      <c r="F585" s="138">
        <f>'padi sawah'!C571</f>
        <v>0</v>
      </c>
      <c r="G585" s="138">
        <f>'padi sawah'!D571</f>
        <v>0</v>
      </c>
      <c r="H585" s="138">
        <f>'padi sawah'!E571</f>
        <v>0</v>
      </c>
      <c r="I585" s="126">
        <f>SUM(C585:H585)</f>
        <v>7</v>
      </c>
      <c r="J585" s="138">
        <f>'padi sawah'!F571</f>
        <v>0</v>
      </c>
      <c r="K585" s="138">
        <f>'padi sawah'!G571</f>
        <v>0</v>
      </c>
      <c r="L585" s="138">
        <f>'padi sawah'!H571</f>
        <v>0</v>
      </c>
      <c r="M585" s="138">
        <f>'padi sawah'!I571</f>
        <v>0</v>
      </c>
      <c r="N585" s="138">
        <f>'padi sawah'!J571</f>
        <v>0</v>
      </c>
      <c r="O585" s="138">
        <f>'padi sawah'!K571</f>
        <v>0</v>
      </c>
      <c r="P585" s="126">
        <f>SUM(J585:O585)</f>
        <v>0</v>
      </c>
      <c r="Q585" s="129">
        <f>SUM(I585,P585)</f>
        <v>7</v>
      </c>
    </row>
    <row r="586" spans="1:17" x14ac:dyDescent="0.25">
      <c r="A586" s="85">
        <v>2</v>
      </c>
      <c r="B586" s="12" t="s">
        <v>19</v>
      </c>
      <c r="C586" s="60">
        <f>'padi sawah'!L10</f>
        <v>14</v>
      </c>
      <c r="D586" s="60">
        <f>'padi sawah'!M10</f>
        <v>0</v>
      </c>
      <c r="E586" s="60">
        <f>'padi sawah'!N10</f>
        <v>35</v>
      </c>
      <c r="F586" s="60">
        <f>'padi sawah'!C572</f>
        <v>0</v>
      </c>
      <c r="G586" s="60">
        <f>'padi sawah'!D572</f>
        <v>0</v>
      </c>
      <c r="H586" s="157">
        <f>'padi sawah'!E572</f>
        <v>0</v>
      </c>
      <c r="I586" s="127">
        <f t="shared" ref="I586:I592" si="220">SUM(C586:H586)</f>
        <v>49</v>
      </c>
      <c r="J586" s="262">
        <f>'padi sawah'!F572</f>
        <v>0</v>
      </c>
      <c r="K586" s="60">
        <f>'padi sawah'!G572</f>
        <v>0</v>
      </c>
      <c r="L586" s="60">
        <f>'padi sawah'!H572</f>
        <v>0</v>
      </c>
      <c r="M586" s="60">
        <f>'padi sawah'!I572</f>
        <v>0</v>
      </c>
      <c r="N586" s="60">
        <f>'padi sawah'!J572</f>
        <v>0</v>
      </c>
      <c r="O586" s="157">
        <f>'padi sawah'!K572</f>
        <v>0</v>
      </c>
      <c r="P586" s="127">
        <f t="shared" ref="P586:P591" si="221">SUM(J586:O586)</f>
        <v>0</v>
      </c>
      <c r="Q586" s="130">
        <f t="shared" ref="Q586:Q592" si="222">SUM(I586,P586)</f>
        <v>49</v>
      </c>
    </row>
    <row r="587" spans="1:17" x14ac:dyDescent="0.25">
      <c r="A587" s="85">
        <v>3</v>
      </c>
      <c r="B587" s="7" t="s">
        <v>20</v>
      </c>
      <c r="C587" s="60">
        <f>'padi sawah'!L11</f>
        <v>0</v>
      </c>
      <c r="D587" s="60">
        <f>'padi sawah'!M11</f>
        <v>0</v>
      </c>
      <c r="E587" s="60">
        <f>'padi sawah'!N11</f>
        <v>0</v>
      </c>
      <c r="F587" s="60">
        <f>'padi sawah'!C573</f>
        <v>0</v>
      </c>
      <c r="G587" s="60">
        <f>'padi sawah'!D573</f>
        <v>0</v>
      </c>
      <c r="H587" s="157">
        <f>'padi sawah'!E573</f>
        <v>0</v>
      </c>
      <c r="I587" s="127">
        <f t="shared" si="220"/>
        <v>0</v>
      </c>
      <c r="J587" s="262">
        <f>'padi sawah'!F573</f>
        <v>0</v>
      </c>
      <c r="K587" s="60">
        <f>'padi sawah'!G573</f>
        <v>0</v>
      </c>
      <c r="L587" s="60">
        <f>'padi sawah'!H573</f>
        <v>0</v>
      </c>
      <c r="M587" s="60">
        <f>'padi sawah'!I573</f>
        <v>0</v>
      </c>
      <c r="N587" s="60">
        <f>'padi sawah'!J573</f>
        <v>0</v>
      </c>
      <c r="O587" s="157">
        <f>'padi sawah'!K573</f>
        <v>0</v>
      </c>
      <c r="P587" s="127">
        <f t="shared" si="221"/>
        <v>0</v>
      </c>
      <c r="Q587" s="130">
        <f t="shared" si="222"/>
        <v>0</v>
      </c>
    </row>
    <row r="588" spans="1:17" x14ac:dyDescent="0.25">
      <c r="A588" s="86">
        <v>4</v>
      </c>
      <c r="B588" s="15" t="s">
        <v>21</v>
      </c>
      <c r="C588" s="60">
        <f>'padi sawah'!L12</f>
        <v>0</v>
      </c>
      <c r="D588" s="60">
        <f>'padi sawah'!M12</f>
        <v>0</v>
      </c>
      <c r="E588" s="60">
        <f>'padi sawah'!N12</f>
        <v>15</v>
      </c>
      <c r="F588" s="60">
        <f>'padi sawah'!C574</f>
        <v>0</v>
      </c>
      <c r="G588" s="60">
        <f>'padi sawah'!D574</f>
        <v>0</v>
      </c>
      <c r="H588" s="157">
        <f>'padi sawah'!E574</f>
        <v>0</v>
      </c>
      <c r="I588" s="127">
        <f t="shared" si="220"/>
        <v>15</v>
      </c>
      <c r="J588" s="262">
        <f>'padi sawah'!F574</f>
        <v>0</v>
      </c>
      <c r="K588" s="60">
        <f>'padi sawah'!G574</f>
        <v>0</v>
      </c>
      <c r="L588" s="60">
        <f>'padi sawah'!H574</f>
        <v>0</v>
      </c>
      <c r="M588" s="60">
        <f>'padi sawah'!I574</f>
        <v>0</v>
      </c>
      <c r="N588" s="60">
        <f>'padi sawah'!J574</f>
        <v>0</v>
      </c>
      <c r="O588" s="157">
        <f>'padi sawah'!K574</f>
        <v>0</v>
      </c>
      <c r="P588" s="127">
        <f t="shared" si="221"/>
        <v>0</v>
      </c>
      <c r="Q588" s="130">
        <f t="shared" si="222"/>
        <v>15</v>
      </c>
    </row>
    <row r="589" spans="1:17" x14ac:dyDescent="0.25">
      <c r="A589" s="86">
        <v>5</v>
      </c>
      <c r="B589" s="19" t="s">
        <v>22</v>
      </c>
      <c r="C589" s="60">
        <f>'padi sawah'!L13</f>
        <v>0</v>
      </c>
      <c r="D589" s="60">
        <f>'padi sawah'!M13</f>
        <v>0</v>
      </c>
      <c r="E589" s="60">
        <f>'padi sawah'!N13</f>
        <v>0</v>
      </c>
      <c r="F589" s="60">
        <f>'padi sawah'!C575</f>
        <v>0</v>
      </c>
      <c r="G589" s="60">
        <f>'padi sawah'!D575</f>
        <v>0</v>
      </c>
      <c r="H589" s="157">
        <f>'padi sawah'!E575</f>
        <v>0</v>
      </c>
      <c r="I589" s="127">
        <f t="shared" si="220"/>
        <v>0</v>
      </c>
      <c r="J589" s="262">
        <f>'padi sawah'!F575</f>
        <v>0</v>
      </c>
      <c r="K589" s="60">
        <f>'padi sawah'!G575</f>
        <v>0</v>
      </c>
      <c r="L589" s="60">
        <f>'padi sawah'!H575</f>
        <v>0</v>
      </c>
      <c r="M589" s="60">
        <f>'padi sawah'!I575</f>
        <v>0</v>
      </c>
      <c r="N589" s="60">
        <f>'padi sawah'!J575</f>
        <v>0</v>
      </c>
      <c r="O589" s="157">
        <f>'padi sawah'!K575</f>
        <v>0</v>
      </c>
      <c r="P589" s="127">
        <f t="shared" si="221"/>
        <v>0</v>
      </c>
      <c r="Q589" s="130">
        <f t="shared" si="222"/>
        <v>0</v>
      </c>
    </row>
    <row r="590" spans="1:17" x14ac:dyDescent="0.25">
      <c r="A590" s="86">
        <v>6</v>
      </c>
      <c r="B590" s="19" t="s">
        <v>23</v>
      </c>
      <c r="C590" s="60">
        <f>'padi sawah'!L14</f>
        <v>8</v>
      </c>
      <c r="D590" s="60">
        <f>'padi sawah'!M14</f>
        <v>4</v>
      </c>
      <c r="E590" s="60">
        <f>'padi sawah'!N14</f>
        <v>6</v>
      </c>
      <c r="F590" s="60">
        <f>'padi sawah'!C576</f>
        <v>0</v>
      </c>
      <c r="G590" s="60">
        <f>'padi sawah'!D576</f>
        <v>0</v>
      </c>
      <c r="H590" s="157">
        <f>'padi sawah'!E576</f>
        <v>0</v>
      </c>
      <c r="I590" s="127">
        <f t="shared" si="220"/>
        <v>18</v>
      </c>
      <c r="J590" s="262">
        <f>'padi sawah'!F576</f>
        <v>0</v>
      </c>
      <c r="K590" s="60">
        <f>'padi sawah'!G576</f>
        <v>0</v>
      </c>
      <c r="L590" s="60">
        <f>'padi sawah'!H576</f>
        <v>0</v>
      </c>
      <c r="M590" s="60">
        <f>'padi sawah'!I576</f>
        <v>0</v>
      </c>
      <c r="N590" s="60">
        <f>'padi sawah'!J576</f>
        <v>0</v>
      </c>
      <c r="O590" s="157">
        <f>'padi sawah'!K576</f>
        <v>0</v>
      </c>
      <c r="P590" s="127">
        <f t="shared" si="221"/>
        <v>0</v>
      </c>
      <c r="Q590" s="130">
        <f t="shared" si="222"/>
        <v>18</v>
      </c>
    </row>
    <row r="591" spans="1:17" x14ac:dyDescent="0.25">
      <c r="A591" s="86">
        <v>7</v>
      </c>
      <c r="B591" s="19" t="s">
        <v>24</v>
      </c>
      <c r="C591" s="60">
        <f>'padi sawah'!L15</f>
        <v>0</v>
      </c>
      <c r="D591" s="60">
        <f>'padi sawah'!M15</f>
        <v>5</v>
      </c>
      <c r="E591" s="60">
        <f>'padi sawah'!N15</f>
        <v>41</v>
      </c>
      <c r="F591" s="60">
        <f>'padi sawah'!C577</f>
        <v>0</v>
      </c>
      <c r="G591" s="60">
        <f>'padi sawah'!D577</f>
        <v>0</v>
      </c>
      <c r="H591" s="157">
        <f>'padi sawah'!E577</f>
        <v>0</v>
      </c>
      <c r="I591" s="127">
        <f t="shared" si="220"/>
        <v>46</v>
      </c>
      <c r="J591" s="262">
        <f>'padi sawah'!F577</f>
        <v>0</v>
      </c>
      <c r="K591" s="60">
        <f>'padi sawah'!G577</f>
        <v>0</v>
      </c>
      <c r="L591" s="60">
        <f>'padi sawah'!H577</f>
        <v>0</v>
      </c>
      <c r="M591" s="60">
        <f>'padi sawah'!I577</f>
        <v>0</v>
      </c>
      <c r="N591" s="60">
        <f>'padi sawah'!J577</f>
        <v>0</v>
      </c>
      <c r="O591" s="157">
        <f>'padi sawah'!K577</f>
        <v>0</v>
      </c>
      <c r="P591" s="127">
        <f t="shared" si="221"/>
        <v>0</v>
      </c>
      <c r="Q591" s="130">
        <f t="shared" si="222"/>
        <v>46</v>
      </c>
    </row>
    <row r="592" spans="1:17" ht="15.75" thickBot="1" x14ac:dyDescent="0.3">
      <c r="A592" s="87">
        <v>8</v>
      </c>
      <c r="B592" s="15" t="s">
        <v>25</v>
      </c>
      <c r="C592" s="139">
        <f>'padi sawah'!L16</f>
        <v>0</v>
      </c>
      <c r="D592" s="139">
        <f>'padi sawah'!M16</f>
        <v>13</v>
      </c>
      <c r="E592" s="139">
        <f>'padi sawah'!N16</f>
        <v>115</v>
      </c>
      <c r="F592" s="139">
        <f>'padi sawah'!C578</f>
        <v>0</v>
      </c>
      <c r="G592" s="139">
        <f>'padi sawah'!D578</f>
        <v>0</v>
      </c>
      <c r="H592" s="139">
        <f>'padi sawah'!E578</f>
        <v>0</v>
      </c>
      <c r="I592" s="128">
        <f t="shared" si="220"/>
        <v>128</v>
      </c>
      <c r="J592" s="139">
        <f>'padi sawah'!F578</f>
        <v>0</v>
      </c>
      <c r="K592" s="139">
        <f>'padi sawah'!G578</f>
        <v>0</v>
      </c>
      <c r="L592" s="139">
        <f>'padi sawah'!H578</f>
        <v>0</v>
      </c>
      <c r="M592" s="139">
        <f>'padi sawah'!I578</f>
        <v>0</v>
      </c>
      <c r="N592" s="139">
        <f>'padi sawah'!J578</f>
        <v>0</v>
      </c>
      <c r="O592" s="139">
        <f>'padi sawah'!K578</f>
        <v>0</v>
      </c>
      <c r="P592" s="128">
        <f>SUM(J592:O592)</f>
        <v>0</v>
      </c>
      <c r="Q592" s="131">
        <f t="shared" si="222"/>
        <v>128</v>
      </c>
    </row>
    <row r="593" spans="1:17" ht="16.5" thickTop="1" thickBot="1" x14ac:dyDescent="0.3">
      <c r="A593" s="378" t="s">
        <v>26</v>
      </c>
      <c r="B593" s="379"/>
      <c r="C593" s="114">
        <f t="shared" ref="C593:H593" si="223">SUM(C585:C592)</f>
        <v>23</v>
      </c>
      <c r="D593" s="114">
        <f t="shared" si="223"/>
        <v>23</v>
      </c>
      <c r="E593" s="114">
        <f t="shared" si="223"/>
        <v>217</v>
      </c>
      <c r="F593" s="114">
        <f t="shared" si="223"/>
        <v>0</v>
      </c>
      <c r="G593" s="114">
        <f t="shared" si="223"/>
        <v>0</v>
      </c>
      <c r="H593" s="123">
        <f t="shared" si="223"/>
        <v>0</v>
      </c>
      <c r="I593" s="125">
        <f>SUM(I585:I592)</f>
        <v>263</v>
      </c>
      <c r="J593" s="135">
        <f t="shared" ref="J593:O593" si="224">SUM(J585:J592)</f>
        <v>0</v>
      </c>
      <c r="K593" s="114">
        <f t="shared" si="224"/>
        <v>0</v>
      </c>
      <c r="L593" s="114">
        <f t="shared" si="224"/>
        <v>0</v>
      </c>
      <c r="M593" s="114">
        <f t="shared" si="224"/>
        <v>0</v>
      </c>
      <c r="N593" s="114">
        <f t="shared" si="224"/>
        <v>0</v>
      </c>
      <c r="O593" s="123">
        <f t="shared" si="224"/>
        <v>0</v>
      </c>
      <c r="P593" s="125">
        <f>SUM(P585:P592)</f>
        <v>0</v>
      </c>
      <c r="Q593" s="132">
        <f>SUM(Q585:Q592)</f>
        <v>263</v>
      </c>
    </row>
  </sheetData>
  <mergeCells count="370"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593:B593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zoomScale="90" zoomScaleNormal="90" workbookViewId="0">
      <selection activeCell="M23" sqref="M23"/>
    </sheetView>
  </sheetViews>
  <sheetFormatPr defaultRowHeight="15" x14ac:dyDescent="0.25"/>
  <cols>
    <col min="1" max="1" width="4.28515625" customWidth="1"/>
    <col min="2" max="2" width="14.28515625" customWidth="1"/>
    <col min="3" max="3" width="10.7109375" customWidth="1"/>
    <col min="4" max="20" width="8" customWidth="1"/>
    <col min="21" max="21" width="7.5703125" customWidth="1"/>
    <col min="22" max="34" width="7.140625" customWidth="1"/>
  </cols>
  <sheetData>
    <row r="1" spans="1:29" ht="15.75" x14ac:dyDescent="0.25">
      <c r="A1" s="380" t="s">
        <v>107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</row>
    <row r="2" spans="1:29" ht="15.75" x14ac:dyDescent="0.25">
      <c r="A2" s="380" t="s">
        <v>82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</row>
    <row r="3" spans="1:29" ht="15.75" thickBot="1" x14ac:dyDescent="0.3"/>
    <row r="4" spans="1:29" ht="25.5" x14ac:dyDescent="0.25">
      <c r="A4" s="387" t="s">
        <v>2</v>
      </c>
      <c r="B4" s="389" t="s">
        <v>3</v>
      </c>
      <c r="C4" s="194" t="s">
        <v>93</v>
      </c>
      <c r="D4" s="391" t="s">
        <v>94</v>
      </c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4" t="s">
        <v>83</v>
      </c>
      <c r="Q4" s="397"/>
      <c r="R4" s="399" t="s">
        <v>158</v>
      </c>
      <c r="S4" s="187"/>
      <c r="T4" s="187"/>
    </row>
    <row r="5" spans="1:29" ht="25.5" x14ac:dyDescent="0.25">
      <c r="A5" s="388"/>
      <c r="B5" s="390"/>
      <c r="C5" s="189" t="s">
        <v>101</v>
      </c>
      <c r="D5" s="395" t="s">
        <v>97</v>
      </c>
      <c r="E5" s="395"/>
      <c r="F5" s="395" t="s">
        <v>98</v>
      </c>
      <c r="G5" s="395"/>
      <c r="H5" s="395" t="s">
        <v>99</v>
      </c>
      <c r="I5" s="395"/>
      <c r="J5" s="395" t="s">
        <v>96</v>
      </c>
      <c r="K5" s="395"/>
      <c r="L5" s="395" t="s">
        <v>100</v>
      </c>
      <c r="M5" s="395"/>
      <c r="N5" s="395" t="s">
        <v>8</v>
      </c>
      <c r="O5" s="395"/>
      <c r="P5" s="395"/>
      <c r="Q5" s="398"/>
      <c r="R5" s="400"/>
      <c r="S5" s="187"/>
      <c r="T5" s="187"/>
    </row>
    <row r="6" spans="1:29" x14ac:dyDescent="0.25">
      <c r="A6" s="388"/>
      <c r="B6" s="390"/>
      <c r="C6" s="191" t="s">
        <v>1</v>
      </c>
      <c r="D6" s="174" t="s">
        <v>95</v>
      </c>
      <c r="E6" s="174" t="s">
        <v>88</v>
      </c>
      <c r="F6" s="174" t="s">
        <v>95</v>
      </c>
      <c r="G6" s="174" t="s">
        <v>88</v>
      </c>
      <c r="H6" s="174" t="s">
        <v>95</v>
      </c>
      <c r="I6" s="174" t="s">
        <v>88</v>
      </c>
      <c r="J6" s="174" t="s">
        <v>95</v>
      </c>
      <c r="K6" s="174" t="s">
        <v>88</v>
      </c>
      <c r="L6" s="174" t="s">
        <v>95</v>
      </c>
      <c r="M6" s="174" t="s">
        <v>88</v>
      </c>
      <c r="N6" s="174" t="s">
        <v>95</v>
      </c>
      <c r="O6" s="174" t="s">
        <v>88</v>
      </c>
      <c r="P6" s="174" t="s">
        <v>95</v>
      </c>
      <c r="Q6" s="319" t="s">
        <v>88</v>
      </c>
      <c r="R6" s="321"/>
      <c r="S6" s="187"/>
      <c r="T6" s="187"/>
    </row>
    <row r="7" spans="1:29" ht="15.75" thickBot="1" x14ac:dyDescent="0.3">
      <c r="A7" s="160">
        <v>1</v>
      </c>
      <c r="B7" s="161">
        <v>2</v>
      </c>
      <c r="C7" s="193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403"/>
      <c r="R7" s="318">
        <v>11</v>
      </c>
      <c r="S7" s="187"/>
      <c r="T7" s="187"/>
    </row>
    <row r="8" spans="1:29" ht="15.75" thickTop="1" x14ac:dyDescent="0.25">
      <c r="A8" s="162">
        <v>1</v>
      </c>
      <c r="B8" s="163" t="s">
        <v>18</v>
      </c>
      <c r="C8" s="195">
        <v>1799</v>
      </c>
      <c r="D8" s="195">
        <v>0</v>
      </c>
      <c r="E8" s="195">
        <v>0</v>
      </c>
      <c r="F8" s="195">
        <v>0</v>
      </c>
      <c r="G8" s="195">
        <v>1.93</v>
      </c>
      <c r="H8" s="195">
        <v>10</v>
      </c>
      <c r="I8" s="195">
        <v>43.515000000000001</v>
      </c>
      <c r="J8" s="195">
        <v>15</v>
      </c>
      <c r="K8" s="195">
        <f>SUM(K41,K73)</f>
        <v>169.92</v>
      </c>
      <c r="L8" s="195">
        <v>221</v>
      </c>
      <c r="M8" s="195">
        <f>SUM(M41,M73)</f>
        <v>43.199999999999996</v>
      </c>
      <c r="N8" s="195">
        <v>53</v>
      </c>
      <c r="O8" s="195">
        <f>SUM(O41,O73)</f>
        <v>0</v>
      </c>
      <c r="P8" s="195">
        <f>SUM(D8,F8,H8,J8,L8,N8)</f>
        <v>299</v>
      </c>
      <c r="Q8" s="304">
        <f>SUM(E8,G8,I8,K8,M8,O8)</f>
        <v>258.565</v>
      </c>
      <c r="R8" s="323">
        <f>Q8-P8</f>
        <v>-40.435000000000002</v>
      </c>
      <c r="V8" s="206">
        <f t="shared" ref="V8:V15" si="0">SUM(E8,G8,I8)</f>
        <v>45.445</v>
      </c>
      <c r="W8">
        <v>292</v>
      </c>
      <c r="X8">
        <v>0</v>
      </c>
      <c r="Y8">
        <f>X8*0.96</f>
        <v>0</v>
      </c>
      <c r="Z8">
        <v>2</v>
      </c>
      <c r="AA8">
        <f>Z8*0.965</f>
        <v>1.93</v>
      </c>
      <c r="AB8">
        <v>45</v>
      </c>
      <c r="AC8">
        <f>AB8*0.967</f>
        <v>43.515000000000001</v>
      </c>
    </row>
    <row r="9" spans="1:29" x14ac:dyDescent="0.25">
      <c r="A9" s="164">
        <v>2</v>
      </c>
      <c r="B9" s="165" t="s">
        <v>19</v>
      </c>
      <c r="C9" s="196">
        <v>243</v>
      </c>
      <c r="D9" s="196">
        <v>3</v>
      </c>
      <c r="E9" s="196">
        <v>4.75</v>
      </c>
      <c r="F9" s="196">
        <v>47</v>
      </c>
      <c r="G9" s="196">
        <v>26.055</v>
      </c>
      <c r="H9" s="196">
        <v>105</v>
      </c>
      <c r="I9" s="196">
        <v>138.28100000000001</v>
      </c>
      <c r="J9" s="196">
        <v>78</v>
      </c>
      <c r="K9" s="196">
        <f>SUM(K42,K74)</f>
        <v>23.04</v>
      </c>
      <c r="L9" s="196">
        <v>45</v>
      </c>
      <c r="M9" s="196">
        <f t="shared" ref="M9:M15" si="1">SUM(M42,M74)</f>
        <v>8.64</v>
      </c>
      <c r="N9" s="196">
        <v>20</v>
      </c>
      <c r="O9" s="196">
        <f t="shared" ref="O9:O15" si="2">SUM(O42,O74)</f>
        <v>0</v>
      </c>
      <c r="P9" s="196">
        <f t="shared" ref="P9:Q15" si="3">SUM(D9,F9,H9,J9,L9,N9)</f>
        <v>298</v>
      </c>
      <c r="Q9" s="305">
        <f t="shared" si="3"/>
        <v>200.76600000000002</v>
      </c>
      <c r="R9" s="324">
        <f t="shared" ref="R9:R15" si="4">Q9-P9</f>
        <v>-97.23399999999998</v>
      </c>
      <c r="V9" s="206">
        <f t="shared" si="0"/>
        <v>169.08600000000001</v>
      </c>
      <c r="W9">
        <v>298</v>
      </c>
      <c r="X9">
        <v>5</v>
      </c>
      <c r="Y9">
        <f t="shared" ref="Y9:Y15" si="5">X9*0.96</f>
        <v>4.8</v>
      </c>
      <c r="Z9">
        <v>27</v>
      </c>
      <c r="AA9">
        <f t="shared" ref="AA9:AA15" si="6">Z9*0.965</f>
        <v>26.055</v>
      </c>
      <c r="AB9">
        <v>143</v>
      </c>
      <c r="AC9">
        <f t="shared" ref="AC9:AC15" si="7">AB9*0.967</f>
        <v>138.28100000000001</v>
      </c>
    </row>
    <row r="10" spans="1:29" x14ac:dyDescent="0.25">
      <c r="A10" s="164">
        <v>3</v>
      </c>
      <c r="B10" s="163" t="s">
        <v>20</v>
      </c>
      <c r="C10" s="196">
        <v>275</v>
      </c>
      <c r="D10" s="196">
        <v>40</v>
      </c>
      <c r="E10" s="196">
        <v>4.75</v>
      </c>
      <c r="F10" s="196">
        <v>0</v>
      </c>
      <c r="G10" s="196">
        <v>8.6850000000000005</v>
      </c>
      <c r="H10" s="196">
        <v>10</v>
      </c>
      <c r="I10" s="196">
        <v>24.175000000000001</v>
      </c>
      <c r="J10" s="196">
        <v>14</v>
      </c>
      <c r="K10" s="196">
        <f t="shared" ref="K10:K15" si="8">SUM(K43,K75)</f>
        <v>26.880000000000003</v>
      </c>
      <c r="L10" s="196">
        <v>0</v>
      </c>
      <c r="M10" s="196">
        <f t="shared" si="1"/>
        <v>4.8</v>
      </c>
      <c r="N10" s="196">
        <v>13</v>
      </c>
      <c r="O10" s="196">
        <f t="shared" si="2"/>
        <v>0</v>
      </c>
      <c r="P10" s="196">
        <f>SUM(D10,F10,H10,J10,L10,N10)</f>
        <v>77</v>
      </c>
      <c r="Q10" s="305">
        <f t="shared" si="3"/>
        <v>69.290000000000006</v>
      </c>
      <c r="R10" s="324">
        <f t="shared" si="4"/>
        <v>-7.7099999999999937</v>
      </c>
      <c r="V10" s="206">
        <f t="shared" si="0"/>
        <v>37.61</v>
      </c>
      <c r="W10">
        <v>84</v>
      </c>
      <c r="X10">
        <v>5</v>
      </c>
      <c r="Y10">
        <f t="shared" si="5"/>
        <v>4.8</v>
      </c>
      <c r="Z10">
        <v>9</v>
      </c>
      <c r="AA10">
        <f t="shared" si="6"/>
        <v>8.6850000000000005</v>
      </c>
      <c r="AB10">
        <v>25</v>
      </c>
      <c r="AC10">
        <f t="shared" si="7"/>
        <v>24.175000000000001</v>
      </c>
    </row>
    <row r="11" spans="1:29" x14ac:dyDescent="0.25">
      <c r="A11" s="166">
        <v>4</v>
      </c>
      <c r="B11" s="167" t="s">
        <v>21</v>
      </c>
      <c r="C11" s="196">
        <v>206</v>
      </c>
      <c r="D11" s="196">
        <v>0</v>
      </c>
      <c r="E11" s="196">
        <v>8.5499999999999989</v>
      </c>
      <c r="F11" s="196">
        <v>0</v>
      </c>
      <c r="G11" s="196">
        <v>0.96499999999999997</v>
      </c>
      <c r="H11" s="196">
        <v>68</v>
      </c>
      <c r="I11" s="196">
        <v>34.811999999999998</v>
      </c>
      <c r="J11" s="196">
        <v>116</v>
      </c>
      <c r="K11" s="196">
        <f t="shared" si="8"/>
        <v>123.83999999999999</v>
      </c>
      <c r="L11" s="196">
        <v>0</v>
      </c>
      <c r="M11" s="196">
        <f t="shared" si="1"/>
        <v>19.2</v>
      </c>
      <c r="N11" s="196">
        <v>0</v>
      </c>
      <c r="O11" s="196">
        <f t="shared" si="2"/>
        <v>4.8</v>
      </c>
      <c r="P11" s="196">
        <f t="shared" si="3"/>
        <v>184</v>
      </c>
      <c r="Q11" s="305">
        <f t="shared" si="3"/>
        <v>192.16699999999997</v>
      </c>
      <c r="R11" s="322">
        <f t="shared" si="4"/>
        <v>8.1669999999999732</v>
      </c>
      <c r="V11" s="206">
        <f t="shared" si="0"/>
        <v>44.326999999999998</v>
      </c>
      <c r="W11">
        <v>203</v>
      </c>
      <c r="X11">
        <v>9</v>
      </c>
      <c r="Y11">
        <f t="shared" si="5"/>
        <v>8.64</v>
      </c>
      <c r="Z11">
        <v>1</v>
      </c>
      <c r="AA11">
        <f t="shared" si="6"/>
        <v>0.96499999999999997</v>
      </c>
      <c r="AB11">
        <v>36</v>
      </c>
      <c r="AC11">
        <f t="shared" si="7"/>
        <v>34.811999999999998</v>
      </c>
    </row>
    <row r="12" spans="1:29" x14ac:dyDescent="0.25">
      <c r="A12" s="166">
        <v>5</v>
      </c>
      <c r="B12" s="168" t="s">
        <v>22</v>
      </c>
      <c r="C12" s="196">
        <v>363</v>
      </c>
      <c r="D12" s="196">
        <v>0</v>
      </c>
      <c r="E12" s="196">
        <v>0</v>
      </c>
      <c r="F12" s="196">
        <v>0</v>
      </c>
      <c r="G12" s="196">
        <v>0</v>
      </c>
      <c r="H12" s="196">
        <v>50</v>
      </c>
      <c r="I12" s="196">
        <v>14.504999999999999</v>
      </c>
      <c r="J12" s="196">
        <v>209</v>
      </c>
      <c r="K12" s="196">
        <f t="shared" si="8"/>
        <v>159.35999999999999</v>
      </c>
      <c r="L12" s="196">
        <v>0</v>
      </c>
      <c r="M12" s="196">
        <f t="shared" si="1"/>
        <v>0</v>
      </c>
      <c r="N12" s="196">
        <v>17</v>
      </c>
      <c r="O12" s="196">
        <f t="shared" si="2"/>
        <v>0</v>
      </c>
      <c r="P12" s="196">
        <f t="shared" si="3"/>
        <v>276</v>
      </c>
      <c r="Q12" s="305">
        <f t="shared" si="3"/>
        <v>173.86499999999998</v>
      </c>
      <c r="R12" s="324">
        <f t="shared" si="4"/>
        <v>-102.13500000000002</v>
      </c>
      <c r="V12" s="206">
        <f t="shared" si="0"/>
        <v>14.504999999999999</v>
      </c>
      <c r="W12">
        <v>184</v>
      </c>
      <c r="X12">
        <v>0</v>
      </c>
      <c r="Y12">
        <f t="shared" si="5"/>
        <v>0</v>
      </c>
      <c r="Z12">
        <v>0</v>
      </c>
      <c r="AA12">
        <f t="shared" si="6"/>
        <v>0</v>
      </c>
      <c r="AB12">
        <v>15</v>
      </c>
      <c r="AC12">
        <f t="shared" si="7"/>
        <v>14.504999999999999</v>
      </c>
    </row>
    <row r="13" spans="1:29" x14ac:dyDescent="0.25">
      <c r="A13" s="166">
        <v>6</v>
      </c>
      <c r="B13" s="168" t="s">
        <v>23</v>
      </c>
      <c r="C13" s="196">
        <v>59</v>
      </c>
      <c r="D13" s="196">
        <v>0</v>
      </c>
      <c r="E13" s="196">
        <v>6.6499999999999995</v>
      </c>
      <c r="F13" s="196">
        <v>0</v>
      </c>
      <c r="G13" s="196">
        <v>41.494999999999997</v>
      </c>
      <c r="H13" s="196">
        <v>19</v>
      </c>
      <c r="I13" s="196">
        <v>0</v>
      </c>
      <c r="J13" s="196">
        <v>0</v>
      </c>
      <c r="K13" s="196">
        <f t="shared" si="8"/>
        <v>0</v>
      </c>
      <c r="L13" s="196">
        <v>10</v>
      </c>
      <c r="M13" s="196">
        <f t="shared" si="1"/>
        <v>0.96</v>
      </c>
      <c r="N13" s="196">
        <v>28</v>
      </c>
      <c r="O13" s="196">
        <f t="shared" si="2"/>
        <v>8.64</v>
      </c>
      <c r="P13" s="196">
        <f t="shared" si="3"/>
        <v>57</v>
      </c>
      <c r="Q13" s="305">
        <f t="shared" si="3"/>
        <v>57.744999999999997</v>
      </c>
      <c r="R13" s="322">
        <f t="shared" si="4"/>
        <v>0.74499999999999744</v>
      </c>
      <c r="V13" s="206">
        <f t="shared" si="0"/>
        <v>48.144999999999996</v>
      </c>
      <c r="W13">
        <v>89</v>
      </c>
      <c r="X13">
        <v>7</v>
      </c>
      <c r="Y13">
        <f t="shared" si="5"/>
        <v>6.72</v>
      </c>
      <c r="Z13">
        <v>43</v>
      </c>
      <c r="AA13">
        <f t="shared" si="6"/>
        <v>41.494999999999997</v>
      </c>
      <c r="AB13">
        <v>0</v>
      </c>
      <c r="AC13">
        <f t="shared" si="7"/>
        <v>0</v>
      </c>
    </row>
    <row r="14" spans="1:29" x14ac:dyDescent="0.25">
      <c r="A14" s="166">
        <v>7</v>
      </c>
      <c r="B14" s="168" t="s">
        <v>24</v>
      </c>
      <c r="C14" s="196">
        <v>405</v>
      </c>
      <c r="D14" s="196">
        <v>0</v>
      </c>
      <c r="E14" s="196">
        <v>14.25</v>
      </c>
      <c r="F14" s="196">
        <v>0</v>
      </c>
      <c r="G14" s="196">
        <v>13.51</v>
      </c>
      <c r="H14" s="196">
        <v>117</v>
      </c>
      <c r="I14" s="196">
        <v>131.512</v>
      </c>
      <c r="J14" s="196">
        <v>276</v>
      </c>
      <c r="K14" s="196">
        <f t="shared" si="8"/>
        <v>170.88</v>
      </c>
      <c r="L14" s="196">
        <v>0</v>
      </c>
      <c r="M14" s="196">
        <f t="shared" si="1"/>
        <v>2.88</v>
      </c>
      <c r="N14" s="196">
        <v>37</v>
      </c>
      <c r="O14" s="196">
        <f t="shared" si="2"/>
        <v>0</v>
      </c>
      <c r="P14" s="196">
        <f t="shared" si="3"/>
        <v>430</v>
      </c>
      <c r="Q14" s="305">
        <f t="shared" si="3"/>
        <v>333.03199999999998</v>
      </c>
      <c r="R14" s="324">
        <f t="shared" si="4"/>
        <v>-96.968000000000018</v>
      </c>
      <c r="V14" s="206">
        <f t="shared" si="0"/>
        <v>159.27199999999999</v>
      </c>
      <c r="W14">
        <v>471</v>
      </c>
      <c r="X14">
        <v>15</v>
      </c>
      <c r="Y14">
        <f t="shared" si="5"/>
        <v>14.399999999999999</v>
      </c>
      <c r="Z14">
        <v>14</v>
      </c>
      <c r="AA14">
        <f t="shared" si="6"/>
        <v>13.51</v>
      </c>
      <c r="AB14">
        <v>136</v>
      </c>
      <c r="AC14">
        <f t="shared" si="7"/>
        <v>131.512</v>
      </c>
    </row>
    <row r="15" spans="1:29" ht="15.75" thickBot="1" x14ac:dyDescent="0.3">
      <c r="A15" s="169">
        <v>8</v>
      </c>
      <c r="B15" s="167" t="s">
        <v>25</v>
      </c>
      <c r="C15" s="197">
        <v>280</v>
      </c>
      <c r="D15" s="197">
        <v>0</v>
      </c>
      <c r="E15" s="197">
        <v>24.7</v>
      </c>
      <c r="F15" s="197">
        <v>52</v>
      </c>
      <c r="G15" s="197">
        <v>120.625</v>
      </c>
      <c r="H15" s="197">
        <v>126</v>
      </c>
      <c r="I15" s="197">
        <v>117.97399999999999</v>
      </c>
      <c r="J15" s="197">
        <v>129</v>
      </c>
      <c r="K15" s="197">
        <f t="shared" si="8"/>
        <v>6.72</v>
      </c>
      <c r="L15" s="197">
        <v>0</v>
      </c>
      <c r="M15" s="197">
        <f t="shared" si="1"/>
        <v>31.68</v>
      </c>
      <c r="N15" s="197">
        <v>38</v>
      </c>
      <c r="O15" s="197">
        <f t="shared" si="2"/>
        <v>0</v>
      </c>
      <c r="P15" s="195">
        <f t="shared" si="3"/>
        <v>345</v>
      </c>
      <c r="Q15" s="304">
        <f t="shared" si="3"/>
        <v>301.69900000000001</v>
      </c>
      <c r="R15" s="325">
        <f t="shared" si="4"/>
        <v>-43.300999999999988</v>
      </c>
      <c r="V15" s="206">
        <f t="shared" si="0"/>
        <v>263.29899999999998</v>
      </c>
      <c r="W15">
        <v>345</v>
      </c>
      <c r="X15">
        <v>26</v>
      </c>
      <c r="Y15">
        <f t="shared" si="5"/>
        <v>24.96</v>
      </c>
      <c r="Z15">
        <v>125</v>
      </c>
      <c r="AA15">
        <f t="shared" si="6"/>
        <v>120.625</v>
      </c>
      <c r="AB15">
        <v>122</v>
      </c>
      <c r="AC15">
        <f t="shared" si="7"/>
        <v>117.97399999999999</v>
      </c>
    </row>
    <row r="16" spans="1:29" ht="16.5" thickTop="1" thickBot="1" x14ac:dyDescent="0.3">
      <c r="A16" s="392" t="s">
        <v>26</v>
      </c>
      <c r="B16" s="393"/>
      <c r="C16" s="198">
        <f>SUM(C8:C15)</f>
        <v>3630</v>
      </c>
      <c r="D16" s="198">
        <f t="shared" ref="D16:P16" si="9">SUM(D8:D15)</f>
        <v>43</v>
      </c>
      <c r="E16" s="198">
        <f t="shared" si="9"/>
        <v>63.649999999999991</v>
      </c>
      <c r="F16" s="198">
        <f t="shared" si="9"/>
        <v>99</v>
      </c>
      <c r="G16" s="198">
        <f t="shared" si="9"/>
        <v>213.26499999999999</v>
      </c>
      <c r="H16" s="198">
        <f t="shared" si="9"/>
        <v>505</v>
      </c>
      <c r="I16" s="198">
        <f t="shared" si="9"/>
        <v>504.774</v>
      </c>
      <c r="J16" s="198">
        <f t="shared" si="9"/>
        <v>837</v>
      </c>
      <c r="K16" s="198">
        <f t="shared" si="9"/>
        <v>680.64</v>
      </c>
      <c r="L16" s="198">
        <f t="shared" si="9"/>
        <v>276</v>
      </c>
      <c r="M16" s="198">
        <f t="shared" si="9"/>
        <v>111.35999999999999</v>
      </c>
      <c r="N16" s="198">
        <f t="shared" si="9"/>
        <v>206</v>
      </c>
      <c r="O16" s="198">
        <f t="shared" si="9"/>
        <v>13.440000000000001</v>
      </c>
      <c r="P16" s="202">
        <f t="shared" si="9"/>
        <v>1966</v>
      </c>
      <c r="Q16" s="306">
        <f>SUM(Q8:Q15)</f>
        <v>1587.1290000000001</v>
      </c>
      <c r="R16" s="326">
        <f>SUM(R8:R15)</f>
        <v>-378.87100000000004</v>
      </c>
      <c r="S16" s="294"/>
      <c r="T16" s="294"/>
      <c r="V16" s="206">
        <f>SUM(V8:V15)</f>
        <v>781.68899999999996</v>
      </c>
      <c r="W16">
        <f>SUM(W8:W15)</f>
        <v>1966</v>
      </c>
      <c r="X16">
        <f>SUM(X8:X15)</f>
        <v>67</v>
      </c>
      <c r="Y16">
        <f t="shared" ref="Y16:AC16" si="10">SUM(Y8:Y15)</f>
        <v>64.319999999999993</v>
      </c>
      <c r="Z16">
        <f t="shared" si="10"/>
        <v>221</v>
      </c>
      <c r="AA16">
        <f t="shared" si="10"/>
        <v>213.26499999999999</v>
      </c>
      <c r="AB16">
        <f t="shared" si="10"/>
        <v>522</v>
      </c>
      <c r="AC16">
        <f t="shared" si="10"/>
        <v>504.774</v>
      </c>
    </row>
    <row r="17" spans="1:26" ht="15.75" thickBot="1" x14ac:dyDescent="0.3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 spans="1:26" ht="25.5" x14ac:dyDescent="0.25">
      <c r="A18" s="387" t="s">
        <v>2</v>
      </c>
      <c r="B18" s="389" t="s">
        <v>3</v>
      </c>
      <c r="C18" s="194" t="s">
        <v>93</v>
      </c>
      <c r="D18" s="391" t="s">
        <v>104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4" t="s">
        <v>105</v>
      </c>
      <c r="Q18" s="394"/>
      <c r="R18" s="401" t="s">
        <v>106</v>
      </c>
      <c r="S18" s="401"/>
      <c r="T18" s="407" t="s">
        <v>158</v>
      </c>
    </row>
    <row r="19" spans="1:26" ht="25.5" x14ac:dyDescent="0.25">
      <c r="A19" s="388"/>
      <c r="B19" s="390"/>
      <c r="C19" s="189" t="s">
        <v>101</v>
      </c>
      <c r="D19" s="395" t="s">
        <v>79</v>
      </c>
      <c r="E19" s="395"/>
      <c r="F19" s="395" t="s">
        <v>10</v>
      </c>
      <c r="G19" s="395"/>
      <c r="H19" s="395" t="s">
        <v>11</v>
      </c>
      <c r="I19" s="395"/>
      <c r="J19" s="395" t="s">
        <v>12</v>
      </c>
      <c r="K19" s="395"/>
      <c r="L19" s="395" t="s">
        <v>102</v>
      </c>
      <c r="M19" s="395"/>
      <c r="N19" s="395" t="s">
        <v>103</v>
      </c>
      <c r="O19" s="395"/>
      <c r="P19" s="395"/>
      <c r="Q19" s="395"/>
      <c r="R19" s="402"/>
      <c r="S19" s="402"/>
      <c r="T19" s="408"/>
    </row>
    <row r="20" spans="1:26" x14ac:dyDescent="0.25">
      <c r="A20" s="388"/>
      <c r="B20" s="390"/>
      <c r="C20" s="191" t="s">
        <v>1</v>
      </c>
      <c r="D20" s="174" t="s">
        <v>95</v>
      </c>
      <c r="E20" s="174" t="s">
        <v>88</v>
      </c>
      <c r="F20" s="174" t="s">
        <v>95</v>
      </c>
      <c r="G20" s="174" t="s">
        <v>88</v>
      </c>
      <c r="H20" s="174" t="s">
        <v>95</v>
      </c>
      <c r="I20" s="174" t="s">
        <v>88</v>
      </c>
      <c r="J20" s="174" t="s">
        <v>95</v>
      </c>
      <c r="K20" s="174" t="s">
        <v>88</v>
      </c>
      <c r="L20" s="174" t="s">
        <v>95</v>
      </c>
      <c r="M20" s="174" t="s">
        <v>88</v>
      </c>
      <c r="N20" s="174" t="s">
        <v>95</v>
      </c>
      <c r="O20" s="174" t="s">
        <v>88</v>
      </c>
      <c r="P20" s="174" t="s">
        <v>95</v>
      </c>
      <c r="Q20" s="174" t="s">
        <v>88</v>
      </c>
      <c r="R20" s="174" t="s">
        <v>95</v>
      </c>
      <c r="S20" s="174" t="s">
        <v>88</v>
      </c>
      <c r="T20" s="327"/>
    </row>
    <row r="21" spans="1:26" ht="15.75" thickBot="1" x14ac:dyDescent="0.3">
      <c r="A21" s="160">
        <v>1</v>
      </c>
      <c r="B21" s="161">
        <v>2</v>
      </c>
      <c r="C21" s="193">
        <v>3</v>
      </c>
      <c r="D21" s="396">
        <v>12</v>
      </c>
      <c r="E21" s="396"/>
      <c r="F21" s="396">
        <v>13</v>
      </c>
      <c r="G21" s="396"/>
      <c r="H21" s="396">
        <v>14</v>
      </c>
      <c r="I21" s="396"/>
      <c r="J21" s="396">
        <v>15</v>
      </c>
      <c r="K21" s="396"/>
      <c r="L21" s="396">
        <v>16</v>
      </c>
      <c r="M21" s="396"/>
      <c r="N21" s="396">
        <v>17</v>
      </c>
      <c r="O21" s="396"/>
      <c r="P21" s="396">
        <v>18</v>
      </c>
      <c r="Q21" s="396"/>
      <c r="R21" s="396">
        <v>19</v>
      </c>
      <c r="S21" s="396"/>
      <c r="T21" s="320">
        <v>20</v>
      </c>
    </row>
    <row r="22" spans="1:26" ht="15.75" thickTop="1" x14ac:dyDescent="0.25">
      <c r="A22" s="162">
        <v>1</v>
      </c>
      <c r="B22" s="163" t="s">
        <v>18</v>
      </c>
      <c r="C22" s="195">
        <v>1799</v>
      </c>
      <c r="D22" s="195">
        <v>0</v>
      </c>
      <c r="E22" s="195">
        <f>SUM(E55,E87)</f>
        <v>0</v>
      </c>
      <c r="F22" s="195">
        <v>12</v>
      </c>
      <c r="G22" s="195">
        <f>SUM(G55,G87)</f>
        <v>33.25</v>
      </c>
      <c r="H22" s="195">
        <v>0</v>
      </c>
      <c r="I22" s="195">
        <f>SUM(I55,I87)</f>
        <v>27.549999999999997</v>
      </c>
      <c r="J22" s="195">
        <v>0</v>
      </c>
      <c r="K22" s="195">
        <v>0</v>
      </c>
      <c r="L22" s="195">
        <v>0</v>
      </c>
      <c r="M22" s="195">
        <v>0</v>
      </c>
      <c r="N22" s="195">
        <v>0</v>
      </c>
      <c r="O22" s="195">
        <f>SUM(O55,O87)</f>
        <v>0</v>
      </c>
      <c r="P22" s="195">
        <f>SUM(D22,F22,H22,J22,L22,N22)</f>
        <v>12</v>
      </c>
      <c r="Q22" s="195">
        <f>SUM(E22,G22,I22,K22,M22,O22)</f>
        <v>60.8</v>
      </c>
      <c r="R22" s="195">
        <f>SUM(P8,P22)</f>
        <v>311</v>
      </c>
      <c r="S22" s="195">
        <f>SUM(Q8,Q22)</f>
        <v>319.36500000000001</v>
      </c>
      <c r="T22" s="331">
        <f>S22-R22</f>
        <v>8.3650000000000091</v>
      </c>
      <c r="V22">
        <v>311</v>
      </c>
      <c r="X22" s="294">
        <f>R22-S22</f>
        <v>-8.3650000000000091</v>
      </c>
      <c r="Y22">
        <v>0</v>
      </c>
      <c r="Z22">
        <f>0.95*Y22</f>
        <v>0</v>
      </c>
    </row>
    <row r="23" spans="1:26" x14ac:dyDescent="0.25">
      <c r="A23" s="164">
        <v>2</v>
      </c>
      <c r="B23" s="165" t="s">
        <v>19</v>
      </c>
      <c r="C23" s="196">
        <v>243</v>
      </c>
      <c r="D23" s="196">
        <v>27</v>
      </c>
      <c r="E23" s="196">
        <f t="shared" ref="E23:E29" si="11">SUM(E56,E88)</f>
        <v>0</v>
      </c>
      <c r="F23" s="196">
        <v>20</v>
      </c>
      <c r="G23" s="196">
        <f t="shared" ref="G23:G29" si="12">SUM(G56,G88)</f>
        <v>95</v>
      </c>
      <c r="H23" s="196">
        <v>5</v>
      </c>
      <c r="I23" s="196">
        <f t="shared" ref="I23:I29" si="13">SUM(I56,I88)</f>
        <v>46.55</v>
      </c>
      <c r="J23" s="196">
        <v>0</v>
      </c>
      <c r="K23" s="196">
        <v>0</v>
      </c>
      <c r="L23" s="196">
        <v>0</v>
      </c>
      <c r="M23" s="196">
        <v>3.8</v>
      </c>
      <c r="N23" s="196">
        <v>0</v>
      </c>
      <c r="O23" s="196">
        <f t="shared" ref="O23:O29" si="14">SUM(O56,O88)</f>
        <v>0</v>
      </c>
      <c r="P23" s="196">
        <f t="shared" ref="P23:P29" si="15">SUM(D23,F23,H23,J23,L23,N23)</f>
        <v>52</v>
      </c>
      <c r="Q23" s="196">
        <f t="shared" ref="Q23:Q29" si="16">SUM(E23,G23,I23,K23,M23,O23)</f>
        <v>145.35000000000002</v>
      </c>
      <c r="R23" s="196">
        <f t="shared" ref="R23:S29" si="17">SUM(P9,P23)</f>
        <v>350</v>
      </c>
      <c r="S23" s="196">
        <f t="shared" si="17"/>
        <v>346.11600000000004</v>
      </c>
      <c r="T23" s="328">
        <f t="shared" ref="T23:T29" si="18">S23-R23</f>
        <v>-3.8839999999999577</v>
      </c>
      <c r="V23">
        <v>350</v>
      </c>
      <c r="X23" s="294">
        <f t="shared" ref="X23:X29" si="19">R23-S23</f>
        <v>3.8839999999999577</v>
      </c>
      <c r="Y23">
        <v>4</v>
      </c>
      <c r="Z23">
        <f t="shared" ref="Z23:Z29" si="20">0.95*Y23</f>
        <v>3.8</v>
      </c>
    </row>
    <row r="24" spans="1:26" x14ac:dyDescent="0.25">
      <c r="A24" s="164">
        <v>3</v>
      </c>
      <c r="B24" s="163" t="s">
        <v>20</v>
      </c>
      <c r="C24" s="196">
        <v>275</v>
      </c>
      <c r="D24" s="196">
        <v>10</v>
      </c>
      <c r="E24" s="196">
        <f t="shared" si="11"/>
        <v>0</v>
      </c>
      <c r="F24" s="196">
        <v>0</v>
      </c>
      <c r="G24" s="196">
        <f t="shared" si="12"/>
        <v>9.5</v>
      </c>
      <c r="H24" s="196">
        <v>0</v>
      </c>
      <c r="I24" s="196">
        <f t="shared" si="13"/>
        <v>0</v>
      </c>
      <c r="J24" s="196">
        <v>0</v>
      </c>
      <c r="K24" s="196">
        <v>0</v>
      </c>
      <c r="L24" s="196">
        <v>0</v>
      </c>
      <c r="M24" s="196">
        <v>0</v>
      </c>
      <c r="N24" s="196">
        <v>0</v>
      </c>
      <c r="O24" s="196">
        <f t="shared" si="14"/>
        <v>0</v>
      </c>
      <c r="P24" s="196">
        <f t="shared" si="15"/>
        <v>10</v>
      </c>
      <c r="Q24" s="196">
        <f t="shared" si="16"/>
        <v>9.5</v>
      </c>
      <c r="R24" s="196">
        <f>SUM(P10,P24)</f>
        <v>87</v>
      </c>
      <c r="S24" s="196">
        <f t="shared" si="17"/>
        <v>78.790000000000006</v>
      </c>
      <c r="T24" s="328">
        <f t="shared" si="18"/>
        <v>-8.2099999999999937</v>
      </c>
      <c r="V24">
        <v>94</v>
      </c>
      <c r="X24" s="294">
        <f t="shared" si="19"/>
        <v>8.2099999999999937</v>
      </c>
      <c r="Y24">
        <v>0</v>
      </c>
      <c r="Z24">
        <f t="shared" si="20"/>
        <v>0</v>
      </c>
    </row>
    <row r="25" spans="1:26" x14ac:dyDescent="0.25">
      <c r="A25" s="166">
        <v>4</v>
      </c>
      <c r="B25" s="167" t="s">
        <v>21</v>
      </c>
      <c r="C25" s="196">
        <v>206</v>
      </c>
      <c r="D25" s="196">
        <v>0</v>
      </c>
      <c r="E25" s="196">
        <f t="shared" si="11"/>
        <v>0</v>
      </c>
      <c r="F25" s="196">
        <v>27</v>
      </c>
      <c r="G25" s="196">
        <f t="shared" si="12"/>
        <v>2.8499999999999996</v>
      </c>
      <c r="H25" s="196">
        <v>0</v>
      </c>
      <c r="I25" s="196">
        <f t="shared" si="13"/>
        <v>9.5</v>
      </c>
      <c r="J25" s="196">
        <v>0</v>
      </c>
      <c r="K25" s="196">
        <v>0</v>
      </c>
      <c r="L25" s="196">
        <v>0</v>
      </c>
      <c r="M25" s="196">
        <v>0.95</v>
      </c>
      <c r="N25" s="196">
        <v>5</v>
      </c>
      <c r="O25" s="196">
        <f t="shared" si="14"/>
        <v>0</v>
      </c>
      <c r="P25" s="196">
        <f t="shared" si="15"/>
        <v>32</v>
      </c>
      <c r="Q25" s="196">
        <f t="shared" si="16"/>
        <v>13.299999999999999</v>
      </c>
      <c r="R25" s="196">
        <f t="shared" si="17"/>
        <v>216</v>
      </c>
      <c r="S25" s="196">
        <f t="shared" si="17"/>
        <v>205.46699999999998</v>
      </c>
      <c r="T25" s="328">
        <f t="shared" si="18"/>
        <v>-10.533000000000015</v>
      </c>
      <c r="V25">
        <v>235</v>
      </c>
      <c r="X25" s="294">
        <f t="shared" si="19"/>
        <v>10.533000000000015</v>
      </c>
      <c r="Y25">
        <v>1</v>
      </c>
      <c r="Z25">
        <f t="shared" si="20"/>
        <v>0.95</v>
      </c>
    </row>
    <row r="26" spans="1:26" x14ac:dyDescent="0.25">
      <c r="A26" s="166">
        <v>5</v>
      </c>
      <c r="B26" s="168" t="s">
        <v>22</v>
      </c>
      <c r="C26" s="196">
        <v>363</v>
      </c>
      <c r="D26" s="196">
        <v>0</v>
      </c>
      <c r="E26" s="196">
        <f t="shared" si="11"/>
        <v>7.6</v>
      </c>
      <c r="F26" s="196">
        <v>0</v>
      </c>
      <c r="G26" s="196">
        <f t="shared" si="12"/>
        <v>12.35</v>
      </c>
      <c r="H26" s="196">
        <v>0</v>
      </c>
      <c r="I26" s="196">
        <f t="shared" si="13"/>
        <v>0</v>
      </c>
      <c r="J26" s="196">
        <v>0</v>
      </c>
      <c r="K26" s="196">
        <v>0</v>
      </c>
      <c r="L26" s="196">
        <v>0</v>
      </c>
      <c r="M26" s="196">
        <v>0</v>
      </c>
      <c r="N26" s="196">
        <v>0</v>
      </c>
      <c r="O26" s="196">
        <f t="shared" si="14"/>
        <v>0</v>
      </c>
      <c r="P26" s="196">
        <f t="shared" si="15"/>
        <v>0</v>
      </c>
      <c r="Q26" s="196">
        <f t="shared" si="16"/>
        <v>19.95</v>
      </c>
      <c r="R26" s="196">
        <f t="shared" si="17"/>
        <v>276</v>
      </c>
      <c r="S26" s="196">
        <f t="shared" si="17"/>
        <v>193.81499999999997</v>
      </c>
      <c r="T26" s="328">
        <f t="shared" si="18"/>
        <v>-82.185000000000031</v>
      </c>
      <c r="V26">
        <v>201</v>
      </c>
      <c r="X26" s="294">
        <f t="shared" si="19"/>
        <v>82.185000000000031</v>
      </c>
      <c r="Y26">
        <v>0</v>
      </c>
      <c r="Z26">
        <f t="shared" si="20"/>
        <v>0</v>
      </c>
    </row>
    <row r="27" spans="1:26" x14ac:dyDescent="0.25">
      <c r="A27" s="166">
        <v>6</v>
      </c>
      <c r="B27" s="168" t="s">
        <v>23</v>
      </c>
      <c r="C27" s="196">
        <v>59</v>
      </c>
      <c r="D27" s="196">
        <v>0</v>
      </c>
      <c r="E27" s="196">
        <f t="shared" si="11"/>
        <v>16.149999999999999</v>
      </c>
      <c r="F27" s="196">
        <v>0</v>
      </c>
      <c r="G27" s="196">
        <f t="shared" si="12"/>
        <v>23.75</v>
      </c>
      <c r="H27" s="196">
        <v>0</v>
      </c>
      <c r="I27" s="196">
        <f t="shared" si="13"/>
        <v>0</v>
      </c>
      <c r="J27" s="196">
        <v>0</v>
      </c>
      <c r="K27" s="196">
        <v>0</v>
      </c>
      <c r="L27" s="196">
        <v>0</v>
      </c>
      <c r="M27" s="196">
        <v>6.6499999999999995</v>
      </c>
      <c r="N27" s="196">
        <v>0</v>
      </c>
      <c r="O27" s="196">
        <f t="shared" si="14"/>
        <v>0</v>
      </c>
      <c r="P27" s="196">
        <f t="shared" si="15"/>
        <v>0</v>
      </c>
      <c r="Q27" s="196">
        <f t="shared" si="16"/>
        <v>46.55</v>
      </c>
      <c r="R27" s="196">
        <f t="shared" si="17"/>
        <v>57</v>
      </c>
      <c r="S27" s="196">
        <f t="shared" si="17"/>
        <v>104.29499999999999</v>
      </c>
      <c r="T27" s="329">
        <f t="shared" si="18"/>
        <v>47.294999999999987</v>
      </c>
      <c r="V27">
        <v>99</v>
      </c>
      <c r="X27" s="294">
        <f t="shared" si="19"/>
        <v>-47.294999999999987</v>
      </c>
      <c r="Y27">
        <v>7</v>
      </c>
      <c r="Z27">
        <f t="shared" si="20"/>
        <v>6.6499999999999995</v>
      </c>
    </row>
    <row r="28" spans="1:26" x14ac:dyDescent="0.25">
      <c r="A28" s="166">
        <v>7</v>
      </c>
      <c r="B28" s="168" t="s">
        <v>24</v>
      </c>
      <c r="C28" s="196">
        <v>405</v>
      </c>
      <c r="D28" s="196">
        <v>90</v>
      </c>
      <c r="E28" s="196">
        <f t="shared" si="11"/>
        <v>11.399999999999999</v>
      </c>
      <c r="F28" s="196">
        <v>30</v>
      </c>
      <c r="G28" s="196">
        <f t="shared" si="12"/>
        <v>160.54999999999998</v>
      </c>
      <c r="H28" s="196">
        <v>35</v>
      </c>
      <c r="I28" s="196">
        <f t="shared" si="13"/>
        <v>55.099999999999994</v>
      </c>
      <c r="J28" s="196">
        <v>0</v>
      </c>
      <c r="K28" s="196">
        <v>23.75</v>
      </c>
      <c r="L28" s="196">
        <v>0</v>
      </c>
      <c r="M28" s="196">
        <v>0</v>
      </c>
      <c r="N28" s="196">
        <v>0</v>
      </c>
      <c r="O28" s="196">
        <f t="shared" si="14"/>
        <v>0</v>
      </c>
      <c r="P28" s="196">
        <f t="shared" si="15"/>
        <v>155</v>
      </c>
      <c r="Q28" s="196">
        <f t="shared" si="16"/>
        <v>250.79999999999998</v>
      </c>
      <c r="R28" s="196">
        <f t="shared" si="17"/>
        <v>585</v>
      </c>
      <c r="S28" s="196">
        <f t="shared" si="17"/>
        <v>583.83199999999999</v>
      </c>
      <c r="T28" s="328">
        <f t="shared" si="18"/>
        <v>-1.1680000000000064</v>
      </c>
      <c r="V28">
        <v>589</v>
      </c>
      <c r="X28" s="294">
        <f t="shared" si="19"/>
        <v>1.1680000000000064</v>
      </c>
      <c r="Y28">
        <v>0</v>
      </c>
      <c r="Z28">
        <f t="shared" si="20"/>
        <v>0</v>
      </c>
    </row>
    <row r="29" spans="1:26" ht="15.75" thickBot="1" x14ac:dyDescent="0.3">
      <c r="A29" s="169">
        <v>8</v>
      </c>
      <c r="B29" s="167" t="s">
        <v>25</v>
      </c>
      <c r="C29" s="197">
        <v>280</v>
      </c>
      <c r="D29" s="199">
        <v>0</v>
      </c>
      <c r="E29" s="197">
        <f t="shared" si="11"/>
        <v>50.349999999999994</v>
      </c>
      <c r="F29" s="197">
        <v>120</v>
      </c>
      <c r="G29" s="197">
        <f t="shared" si="12"/>
        <v>84.55</v>
      </c>
      <c r="H29" s="197">
        <v>8</v>
      </c>
      <c r="I29" s="197">
        <f t="shared" si="13"/>
        <v>15.2</v>
      </c>
      <c r="J29" s="197">
        <v>0</v>
      </c>
      <c r="K29" s="197">
        <v>23.75</v>
      </c>
      <c r="L29" s="199">
        <v>0</v>
      </c>
      <c r="M29" s="197">
        <v>19.95</v>
      </c>
      <c r="N29" s="197">
        <v>0</v>
      </c>
      <c r="O29" s="197">
        <f t="shared" si="14"/>
        <v>0</v>
      </c>
      <c r="P29" s="195">
        <f t="shared" si="15"/>
        <v>128</v>
      </c>
      <c r="Q29" s="195">
        <f t="shared" si="16"/>
        <v>193.79999999999995</v>
      </c>
      <c r="R29" s="195">
        <f t="shared" si="17"/>
        <v>473</v>
      </c>
      <c r="S29" s="195">
        <f t="shared" si="17"/>
        <v>495.49899999999997</v>
      </c>
      <c r="T29" s="335">
        <f t="shared" si="18"/>
        <v>22.498999999999967</v>
      </c>
      <c r="V29">
        <v>476</v>
      </c>
      <c r="X29" s="294">
        <f t="shared" si="19"/>
        <v>-22.498999999999967</v>
      </c>
      <c r="Y29">
        <v>21</v>
      </c>
      <c r="Z29">
        <f t="shared" si="20"/>
        <v>19.95</v>
      </c>
    </row>
    <row r="30" spans="1:26" ht="16.5" thickTop="1" thickBot="1" x14ac:dyDescent="0.3">
      <c r="A30" s="392" t="s">
        <v>26</v>
      </c>
      <c r="B30" s="393"/>
      <c r="C30" s="198">
        <f>SUM(C22:C29)</f>
        <v>3630</v>
      </c>
      <c r="D30" s="198">
        <f t="shared" ref="D30:R30" si="21">SUM(D22:D29)</f>
        <v>127</v>
      </c>
      <c r="E30" s="198">
        <f t="shared" si="21"/>
        <v>85.5</v>
      </c>
      <c r="F30" s="198">
        <f t="shared" si="21"/>
        <v>209</v>
      </c>
      <c r="G30" s="198">
        <f t="shared" si="21"/>
        <v>421.8</v>
      </c>
      <c r="H30" s="198">
        <f t="shared" si="21"/>
        <v>48</v>
      </c>
      <c r="I30" s="198">
        <f t="shared" si="21"/>
        <v>153.89999999999998</v>
      </c>
      <c r="J30" s="198">
        <f t="shared" si="21"/>
        <v>0</v>
      </c>
      <c r="K30" s="198">
        <f t="shared" si="21"/>
        <v>47.5</v>
      </c>
      <c r="L30" s="198">
        <f t="shared" si="21"/>
        <v>0</v>
      </c>
      <c r="M30" s="198">
        <f t="shared" si="21"/>
        <v>31.349999999999998</v>
      </c>
      <c r="N30" s="198">
        <f t="shared" si="21"/>
        <v>5</v>
      </c>
      <c r="O30" s="198">
        <f t="shared" si="21"/>
        <v>0</v>
      </c>
      <c r="P30" s="202">
        <f t="shared" si="21"/>
        <v>389</v>
      </c>
      <c r="Q30" s="202">
        <f t="shared" si="21"/>
        <v>740.05</v>
      </c>
      <c r="R30" s="202">
        <f t="shared" si="21"/>
        <v>2355</v>
      </c>
      <c r="S30" s="202">
        <f>SUM(S22:S29)</f>
        <v>2327.1789999999996</v>
      </c>
      <c r="T30" s="330">
        <f>SUM(T22:T29)</f>
        <v>-27.821000000000041</v>
      </c>
      <c r="U30" s="274">
        <f>S30/R30*100</f>
        <v>98.818641188959646</v>
      </c>
      <c r="V30" s="204">
        <f>SUM(V22:V29)</f>
        <v>2355</v>
      </c>
      <c r="X30" s="294">
        <f>SUM(X22:X29)</f>
        <v>27.821000000000041</v>
      </c>
      <c r="Y30">
        <f>SUM(Y22:Y29)</f>
        <v>33</v>
      </c>
      <c r="Z30">
        <f>SUM(Z22:Z29)</f>
        <v>31.349999999999998</v>
      </c>
    </row>
    <row r="31" spans="1:26" x14ac:dyDescent="0.25">
      <c r="P31">
        <v>379</v>
      </c>
      <c r="Q31" s="315">
        <f>Q30/P30*100</f>
        <v>190.24421593830334</v>
      </c>
      <c r="S31" s="294">
        <f>R30-S30</f>
        <v>27.821000000000367</v>
      </c>
      <c r="T31" s="294"/>
    </row>
    <row r="32" spans="1:26" x14ac:dyDescent="0.25">
      <c r="E32">
        <v>54</v>
      </c>
      <c r="G32">
        <v>439</v>
      </c>
      <c r="I32" s="316">
        <v>174</v>
      </c>
      <c r="K32">
        <v>8</v>
      </c>
      <c r="L32">
        <f>SUM(E32:K32)</f>
        <v>675</v>
      </c>
      <c r="P32" s="294">
        <f>SUM(P30:P31)</f>
        <v>768</v>
      </c>
      <c r="Q32">
        <f>Q30/P32*100</f>
        <v>96.360677083333329</v>
      </c>
    </row>
    <row r="33" spans="1:25" x14ac:dyDescent="0.25">
      <c r="P33" s="294">
        <f>P32-Q30</f>
        <v>27.950000000000045</v>
      </c>
    </row>
    <row r="34" spans="1:25" ht="15.75" x14ac:dyDescent="0.25">
      <c r="A34" s="380" t="s">
        <v>108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17"/>
    </row>
    <row r="35" spans="1:25" ht="15.75" x14ac:dyDescent="0.25">
      <c r="A35" s="380" t="s">
        <v>82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17"/>
    </row>
    <row r="36" spans="1:25" ht="15.75" thickBot="1" x14ac:dyDescent="0.3"/>
    <row r="37" spans="1:25" ht="25.5" x14ac:dyDescent="0.25">
      <c r="A37" s="387" t="s">
        <v>2</v>
      </c>
      <c r="B37" s="389" t="s">
        <v>3</v>
      </c>
      <c r="C37" s="194" t="s">
        <v>93</v>
      </c>
      <c r="D37" s="391" t="s">
        <v>94</v>
      </c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4" t="s">
        <v>83</v>
      </c>
      <c r="Q37" s="404"/>
      <c r="R37" s="187"/>
      <c r="S37" s="187"/>
      <c r="T37" s="187"/>
    </row>
    <row r="38" spans="1:25" x14ac:dyDescent="0.25">
      <c r="A38" s="388"/>
      <c r="B38" s="390"/>
      <c r="C38" s="189" t="s">
        <v>111</v>
      </c>
      <c r="D38" s="395" t="s">
        <v>97</v>
      </c>
      <c r="E38" s="395"/>
      <c r="F38" s="395" t="s">
        <v>98</v>
      </c>
      <c r="G38" s="395"/>
      <c r="H38" s="395" t="s">
        <v>99</v>
      </c>
      <c r="I38" s="395"/>
      <c r="J38" s="395" t="s">
        <v>96</v>
      </c>
      <c r="K38" s="395"/>
      <c r="L38" s="395" t="s">
        <v>100</v>
      </c>
      <c r="M38" s="395"/>
      <c r="N38" s="395" t="s">
        <v>8</v>
      </c>
      <c r="O38" s="395"/>
      <c r="P38" s="395"/>
      <c r="Q38" s="405"/>
      <c r="R38" s="187"/>
      <c r="S38" s="187"/>
      <c r="T38" s="187"/>
    </row>
    <row r="39" spans="1:25" x14ac:dyDescent="0.25">
      <c r="A39" s="388"/>
      <c r="B39" s="390"/>
      <c r="C39" s="191" t="s">
        <v>1</v>
      </c>
      <c r="D39" s="174" t="s">
        <v>95</v>
      </c>
      <c r="E39" s="174" t="s">
        <v>88</v>
      </c>
      <c r="F39" s="174" t="s">
        <v>95</v>
      </c>
      <c r="G39" s="174" t="s">
        <v>88</v>
      </c>
      <c r="H39" s="174" t="s">
        <v>95</v>
      </c>
      <c r="I39" s="174" t="s">
        <v>88</v>
      </c>
      <c r="J39" s="174" t="s">
        <v>95</v>
      </c>
      <c r="K39" s="174" t="s">
        <v>88</v>
      </c>
      <c r="L39" s="174" t="s">
        <v>95</v>
      </c>
      <c r="M39" s="174" t="s">
        <v>88</v>
      </c>
      <c r="N39" s="174" t="s">
        <v>95</v>
      </c>
      <c r="O39" s="174" t="s">
        <v>88</v>
      </c>
      <c r="P39" s="174" t="s">
        <v>95</v>
      </c>
      <c r="Q39" s="190" t="s">
        <v>88</v>
      </c>
      <c r="R39" s="187"/>
      <c r="S39" s="187"/>
      <c r="T39" s="187"/>
    </row>
    <row r="40" spans="1:25" ht="15.75" thickBot="1" x14ac:dyDescent="0.3">
      <c r="A40" s="160">
        <v>1</v>
      </c>
      <c r="B40" s="161">
        <v>2</v>
      </c>
      <c r="C40" s="193">
        <v>3</v>
      </c>
      <c r="D40" s="396">
        <v>4</v>
      </c>
      <c r="E40" s="396"/>
      <c r="F40" s="396">
        <v>5</v>
      </c>
      <c r="G40" s="396"/>
      <c r="H40" s="396">
        <v>6</v>
      </c>
      <c r="I40" s="396"/>
      <c r="J40" s="396">
        <v>7</v>
      </c>
      <c r="K40" s="396"/>
      <c r="L40" s="396">
        <v>8</v>
      </c>
      <c r="M40" s="396"/>
      <c r="N40" s="396">
        <v>9</v>
      </c>
      <c r="O40" s="396"/>
      <c r="P40" s="396">
        <v>10</v>
      </c>
      <c r="Q40" s="406"/>
      <c r="R40" s="187"/>
      <c r="S40" s="187"/>
      <c r="T40" s="187"/>
    </row>
    <row r="41" spans="1:25" ht="15.75" thickTop="1" x14ac:dyDescent="0.25">
      <c r="A41" s="162">
        <v>1</v>
      </c>
      <c r="B41" s="163" t="s">
        <v>18</v>
      </c>
      <c r="C41" s="195">
        <v>287</v>
      </c>
      <c r="D41" s="195">
        <v>0</v>
      </c>
      <c r="E41" s="195">
        <v>0</v>
      </c>
      <c r="F41" s="195">
        <v>0</v>
      </c>
      <c r="G41" s="195">
        <v>1.93</v>
      </c>
      <c r="H41" s="195">
        <v>10</v>
      </c>
      <c r="I41" s="195">
        <v>43.515000000000001</v>
      </c>
      <c r="J41" s="195">
        <v>15</v>
      </c>
      <c r="K41" s="195">
        <f>W41</f>
        <v>169.92</v>
      </c>
      <c r="L41" s="195">
        <v>221</v>
      </c>
      <c r="M41" s="195">
        <f>Y41</f>
        <v>43.199999999999996</v>
      </c>
      <c r="N41" s="195">
        <v>53</v>
      </c>
      <c r="O41" s="195">
        <f>'okt-mar'!H23*0.96</f>
        <v>0</v>
      </c>
      <c r="P41" s="195">
        <f>SUM(D41,F41,H41,J41,L41,N41)</f>
        <v>299</v>
      </c>
      <c r="Q41" s="200">
        <f>SUM(E41,G41,I41,K41,M41,O41)</f>
        <v>258.565</v>
      </c>
      <c r="R41" s="187"/>
      <c r="S41" s="187"/>
      <c r="T41" s="187"/>
      <c r="V41">
        <v>177</v>
      </c>
      <c r="W41">
        <f>V41*0.96</f>
        <v>169.92</v>
      </c>
      <c r="X41">
        <v>45</v>
      </c>
      <c r="Y41">
        <f>X41*0.96</f>
        <v>43.199999999999996</v>
      </c>
    </row>
    <row r="42" spans="1:25" x14ac:dyDescent="0.25">
      <c r="A42" s="164">
        <v>2</v>
      </c>
      <c r="B42" s="165" t="s">
        <v>19</v>
      </c>
      <c r="C42" s="196">
        <v>208</v>
      </c>
      <c r="D42" s="196">
        <v>3</v>
      </c>
      <c r="E42" s="196">
        <v>4.75</v>
      </c>
      <c r="F42" s="196">
        <v>47</v>
      </c>
      <c r="G42" s="196">
        <v>26.055</v>
      </c>
      <c r="H42" s="196">
        <v>105</v>
      </c>
      <c r="I42" s="196">
        <v>138.28100000000001</v>
      </c>
      <c r="J42" s="196">
        <v>78</v>
      </c>
      <c r="K42" s="196">
        <f t="shared" ref="K42:K48" si="22">W42</f>
        <v>23.04</v>
      </c>
      <c r="L42" s="196">
        <v>45</v>
      </c>
      <c r="M42" s="196">
        <f t="shared" ref="M42:M48" si="23">Y42</f>
        <v>8.64</v>
      </c>
      <c r="N42" s="196">
        <v>20</v>
      </c>
      <c r="O42" s="196">
        <f>'okt-mar'!H24*0.96</f>
        <v>0</v>
      </c>
      <c r="P42" s="196">
        <f t="shared" ref="P42:Q48" si="24">SUM(D42,F42,H42,J42,L42,N42)</f>
        <v>298</v>
      </c>
      <c r="Q42" s="201">
        <f t="shared" si="24"/>
        <v>200.76600000000002</v>
      </c>
      <c r="R42" s="187"/>
      <c r="S42" s="187"/>
      <c r="T42" s="187"/>
      <c r="V42">
        <v>24</v>
      </c>
      <c r="W42">
        <f t="shared" ref="W42:W48" si="25">V42*0.96</f>
        <v>23.04</v>
      </c>
      <c r="X42">
        <v>9</v>
      </c>
      <c r="Y42">
        <f t="shared" ref="Y42:Y48" si="26">X42*0.96</f>
        <v>8.64</v>
      </c>
    </row>
    <row r="43" spans="1:25" x14ac:dyDescent="0.25">
      <c r="A43" s="164">
        <v>3</v>
      </c>
      <c r="B43" s="163" t="s">
        <v>20</v>
      </c>
      <c r="C43" s="196">
        <v>25</v>
      </c>
      <c r="D43" s="196">
        <v>0</v>
      </c>
      <c r="E43" s="196">
        <v>4.75</v>
      </c>
      <c r="F43" s="196">
        <v>0</v>
      </c>
      <c r="G43" s="196">
        <v>8.6850000000000005</v>
      </c>
      <c r="H43" s="196">
        <v>10</v>
      </c>
      <c r="I43" s="196">
        <v>24.175000000000001</v>
      </c>
      <c r="J43" s="196">
        <v>14</v>
      </c>
      <c r="K43" s="196">
        <f t="shared" si="22"/>
        <v>9.6</v>
      </c>
      <c r="L43" s="196">
        <v>0</v>
      </c>
      <c r="M43" s="196">
        <f t="shared" si="23"/>
        <v>4.8</v>
      </c>
      <c r="N43" s="196">
        <v>13</v>
      </c>
      <c r="O43" s="196">
        <f>'okt-mar'!H25*0.96</f>
        <v>0</v>
      </c>
      <c r="P43" s="196">
        <f t="shared" si="24"/>
        <v>37</v>
      </c>
      <c r="Q43" s="201">
        <f t="shared" si="24"/>
        <v>52.01</v>
      </c>
      <c r="R43" s="187"/>
      <c r="S43" s="187"/>
      <c r="T43" s="187"/>
      <c r="V43">
        <v>10</v>
      </c>
      <c r="W43">
        <f t="shared" si="25"/>
        <v>9.6</v>
      </c>
      <c r="X43">
        <v>5</v>
      </c>
      <c r="Y43">
        <f t="shared" si="26"/>
        <v>4.8</v>
      </c>
    </row>
    <row r="44" spans="1:25" x14ac:dyDescent="0.25">
      <c r="A44" s="166">
        <v>4</v>
      </c>
      <c r="B44" s="167" t="s">
        <v>21</v>
      </c>
      <c r="C44" s="196">
        <v>206</v>
      </c>
      <c r="D44" s="196">
        <v>0</v>
      </c>
      <c r="E44" s="196">
        <v>8.5499999999999989</v>
      </c>
      <c r="F44" s="196">
        <v>0</v>
      </c>
      <c r="G44" s="196">
        <v>0.96499999999999997</v>
      </c>
      <c r="H44" s="196">
        <v>68</v>
      </c>
      <c r="I44" s="196">
        <v>34.811999999999998</v>
      </c>
      <c r="J44" s="196">
        <v>116</v>
      </c>
      <c r="K44" s="196">
        <f t="shared" si="22"/>
        <v>123.83999999999999</v>
      </c>
      <c r="L44" s="196">
        <v>0</v>
      </c>
      <c r="M44" s="196">
        <f t="shared" si="23"/>
        <v>19.2</v>
      </c>
      <c r="N44" s="196">
        <v>0</v>
      </c>
      <c r="O44" s="196">
        <f>'okt-mar'!H26*0.96</f>
        <v>4.8</v>
      </c>
      <c r="P44" s="196">
        <f t="shared" si="24"/>
        <v>184</v>
      </c>
      <c r="Q44" s="201">
        <f t="shared" si="24"/>
        <v>192.16699999999997</v>
      </c>
      <c r="R44" s="187"/>
      <c r="S44" s="187"/>
      <c r="T44" s="187"/>
      <c r="V44">
        <v>129</v>
      </c>
      <c r="W44">
        <f t="shared" si="25"/>
        <v>123.83999999999999</v>
      </c>
      <c r="X44">
        <v>20</v>
      </c>
      <c r="Y44">
        <f t="shared" si="26"/>
        <v>19.2</v>
      </c>
    </row>
    <row r="45" spans="1:25" x14ac:dyDescent="0.25">
      <c r="A45" s="166">
        <v>5</v>
      </c>
      <c r="B45" s="168" t="s">
        <v>22</v>
      </c>
      <c r="C45" s="196">
        <v>184</v>
      </c>
      <c r="D45" s="196">
        <v>0</v>
      </c>
      <c r="E45" s="196">
        <v>0</v>
      </c>
      <c r="F45" s="196">
        <v>0</v>
      </c>
      <c r="G45" s="196">
        <v>0</v>
      </c>
      <c r="H45" s="196">
        <v>50</v>
      </c>
      <c r="I45" s="196">
        <v>14.504999999999999</v>
      </c>
      <c r="J45" s="196">
        <v>209</v>
      </c>
      <c r="K45" s="196">
        <f t="shared" si="22"/>
        <v>159.35999999999999</v>
      </c>
      <c r="L45" s="196">
        <v>0</v>
      </c>
      <c r="M45" s="196">
        <f t="shared" si="23"/>
        <v>0</v>
      </c>
      <c r="N45" s="196">
        <v>17</v>
      </c>
      <c r="O45" s="196">
        <f>'okt-mar'!H27*0.96</f>
        <v>0</v>
      </c>
      <c r="P45" s="196">
        <f t="shared" si="24"/>
        <v>276</v>
      </c>
      <c r="Q45" s="201">
        <f t="shared" si="24"/>
        <v>173.86499999999998</v>
      </c>
      <c r="R45" s="187"/>
      <c r="S45" s="187"/>
      <c r="T45" s="187"/>
      <c r="V45">
        <v>166</v>
      </c>
      <c r="W45">
        <f t="shared" si="25"/>
        <v>159.35999999999999</v>
      </c>
      <c r="X45">
        <v>0</v>
      </c>
      <c r="Y45">
        <f t="shared" si="26"/>
        <v>0</v>
      </c>
    </row>
    <row r="46" spans="1:25" x14ac:dyDescent="0.25">
      <c r="A46" s="166">
        <v>6</v>
      </c>
      <c r="B46" s="168" t="s">
        <v>23</v>
      </c>
      <c r="C46" s="196">
        <v>54</v>
      </c>
      <c r="D46" s="196">
        <v>0</v>
      </c>
      <c r="E46" s="196">
        <v>6.6499999999999995</v>
      </c>
      <c r="F46" s="196">
        <v>0</v>
      </c>
      <c r="G46" s="196">
        <v>41.494999999999997</v>
      </c>
      <c r="H46" s="196">
        <v>19</v>
      </c>
      <c r="I46" s="196">
        <v>0</v>
      </c>
      <c r="J46" s="196">
        <v>0</v>
      </c>
      <c r="K46" s="196">
        <f t="shared" si="22"/>
        <v>0</v>
      </c>
      <c r="L46" s="196">
        <v>10</v>
      </c>
      <c r="M46" s="196">
        <f t="shared" si="23"/>
        <v>0.96</v>
      </c>
      <c r="N46" s="196">
        <v>28</v>
      </c>
      <c r="O46" s="196">
        <f>'okt-mar'!H28*0.96</f>
        <v>8.64</v>
      </c>
      <c r="P46" s="196">
        <f t="shared" si="24"/>
        <v>57</v>
      </c>
      <c r="Q46" s="201">
        <f t="shared" si="24"/>
        <v>57.744999999999997</v>
      </c>
      <c r="R46" s="187"/>
      <c r="S46" s="187"/>
      <c r="T46" s="187"/>
      <c r="V46">
        <v>0</v>
      </c>
      <c r="W46">
        <f t="shared" si="25"/>
        <v>0</v>
      </c>
      <c r="X46">
        <v>1</v>
      </c>
      <c r="Y46">
        <f t="shared" si="26"/>
        <v>0.96</v>
      </c>
    </row>
    <row r="47" spans="1:25" x14ac:dyDescent="0.25">
      <c r="A47" s="166">
        <v>7</v>
      </c>
      <c r="B47" s="168" t="s">
        <v>24</v>
      </c>
      <c r="C47" s="196">
        <v>367</v>
      </c>
      <c r="D47" s="196">
        <v>0</v>
      </c>
      <c r="E47" s="196">
        <v>14.25</v>
      </c>
      <c r="F47" s="196">
        <v>0</v>
      </c>
      <c r="G47" s="196">
        <v>13.51</v>
      </c>
      <c r="H47" s="196">
        <v>117</v>
      </c>
      <c r="I47" s="196">
        <v>131.512</v>
      </c>
      <c r="J47" s="196">
        <v>276</v>
      </c>
      <c r="K47" s="196">
        <f t="shared" si="22"/>
        <v>170.88</v>
      </c>
      <c r="L47" s="196">
        <v>0</v>
      </c>
      <c r="M47" s="196">
        <f t="shared" si="23"/>
        <v>2.88</v>
      </c>
      <c r="N47" s="196">
        <v>37</v>
      </c>
      <c r="O47" s="196">
        <f>'okt-mar'!H29*0.96</f>
        <v>0</v>
      </c>
      <c r="P47" s="196">
        <f t="shared" si="24"/>
        <v>430</v>
      </c>
      <c r="Q47" s="201">
        <f t="shared" si="24"/>
        <v>333.03199999999998</v>
      </c>
      <c r="R47" s="187"/>
      <c r="S47" s="187"/>
      <c r="T47" s="187"/>
      <c r="V47">
        <v>178</v>
      </c>
      <c r="W47">
        <f t="shared" si="25"/>
        <v>170.88</v>
      </c>
      <c r="X47">
        <v>3</v>
      </c>
      <c r="Y47">
        <f t="shared" si="26"/>
        <v>2.88</v>
      </c>
    </row>
    <row r="48" spans="1:25" ht="15.75" thickBot="1" x14ac:dyDescent="0.3">
      <c r="A48" s="169">
        <v>8</v>
      </c>
      <c r="B48" s="167" t="s">
        <v>25</v>
      </c>
      <c r="C48" s="197">
        <v>280</v>
      </c>
      <c r="D48" s="197">
        <v>0</v>
      </c>
      <c r="E48" s="197">
        <v>24.7</v>
      </c>
      <c r="F48" s="197">
        <v>52</v>
      </c>
      <c r="G48" s="197">
        <v>120.625</v>
      </c>
      <c r="H48" s="197">
        <v>126</v>
      </c>
      <c r="I48" s="197">
        <v>117.97399999999999</v>
      </c>
      <c r="J48" s="197">
        <v>129</v>
      </c>
      <c r="K48" s="197">
        <f t="shared" si="22"/>
        <v>6.72</v>
      </c>
      <c r="L48" s="197">
        <v>0</v>
      </c>
      <c r="M48" s="197">
        <f t="shared" si="23"/>
        <v>31.68</v>
      </c>
      <c r="N48" s="197">
        <v>38</v>
      </c>
      <c r="O48" s="197">
        <f>'okt-mar'!H30*0.96</f>
        <v>0</v>
      </c>
      <c r="P48" s="195">
        <f t="shared" si="24"/>
        <v>345</v>
      </c>
      <c r="Q48" s="200">
        <f t="shared" si="24"/>
        <v>301.69900000000001</v>
      </c>
      <c r="R48" s="187"/>
      <c r="S48" s="187"/>
      <c r="T48" s="187"/>
      <c r="V48">
        <v>7</v>
      </c>
      <c r="W48">
        <f t="shared" si="25"/>
        <v>6.72</v>
      </c>
      <c r="X48">
        <v>33</v>
      </c>
      <c r="Y48">
        <f t="shared" si="26"/>
        <v>31.68</v>
      </c>
    </row>
    <row r="49" spans="1:26" ht="16.5" thickTop="1" thickBot="1" x14ac:dyDescent="0.3">
      <c r="A49" s="392" t="s">
        <v>26</v>
      </c>
      <c r="B49" s="393"/>
      <c r="C49" s="198">
        <f>SUM(C41:C48)</f>
        <v>1611</v>
      </c>
      <c r="D49" s="198">
        <f t="shared" ref="D49:P49" si="27">SUM(D41:D48)</f>
        <v>3</v>
      </c>
      <c r="E49" s="198">
        <f t="shared" si="27"/>
        <v>63.649999999999991</v>
      </c>
      <c r="F49" s="198">
        <f t="shared" si="27"/>
        <v>99</v>
      </c>
      <c r="G49" s="198">
        <f t="shared" si="27"/>
        <v>213.26499999999999</v>
      </c>
      <c r="H49" s="198">
        <f t="shared" si="27"/>
        <v>505</v>
      </c>
      <c r="I49" s="198">
        <f t="shared" si="27"/>
        <v>504.774</v>
      </c>
      <c r="J49" s="198">
        <f t="shared" si="27"/>
        <v>837</v>
      </c>
      <c r="K49" s="198">
        <f t="shared" si="27"/>
        <v>663.36</v>
      </c>
      <c r="L49" s="198">
        <f t="shared" si="27"/>
        <v>276</v>
      </c>
      <c r="M49" s="198">
        <f t="shared" si="27"/>
        <v>111.35999999999999</v>
      </c>
      <c r="N49" s="198">
        <f t="shared" si="27"/>
        <v>206</v>
      </c>
      <c r="O49" s="198">
        <f t="shared" si="27"/>
        <v>13.440000000000001</v>
      </c>
      <c r="P49" s="202">
        <f t="shared" si="27"/>
        <v>1926</v>
      </c>
      <c r="Q49" s="203">
        <f>SUM(Q41:Q48)</f>
        <v>1569.8490000000002</v>
      </c>
      <c r="R49" s="187"/>
      <c r="S49" s="187"/>
      <c r="T49" s="187"/>
      <c r="V49">
        <f>SUM(V41:V48)</f>
        <v>691</v>
      </c>
      <c r="W49">
        <f t="shared" ref="W49:Z49" si="28">SUM(W41:W48)</f>
        <v>663.36</v>
      </c>
      <c r="X49">
        <f t="shared" si="28"/>
        <v>116</v>
      </c>
      <c r="Y49">
        <f t="shared" si="28"/>
        <v>111.35999999999999</v>
      </c>
      <c r="Z49">
        <f t="shared" si="28"/>
        <v>0</v>
      </c>
    </row>
    <row r="50" spans="1:26" ht="15.75" thickBot="1" x14ac:dyDescent="0.3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</row>
    <row r="51" spans="1:26" ht="25.5" x14ac:dyDescent="0.25">
      <c r="A51" s="387" t="s">
        <v>2</v>
      </c>
      <c r="B51" s="389" t="s">
        <v>3</v>
      </c>
      <c r="C51" s="194" t="s">
        <v>93</v>
      </c>
      <c r="D51" s="391" t="s">
        <v>104</v>
      </c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4" t="s">
        <v>105</v>
      </c>
      <c r="Q51" s="394"/>
      <c r="R51" s="401" t="s">
        <v>106</v>
      </c>
      <c r="S51" s="399"/>
      <c r="T51" s="295"/>
    </row>
    <row r="52" spans="1:26" x14ac:dyDescent="0.25">
      <c r="A52" s="388"/>
      <c r="B52" s="390"/>
      <c r="C52" s="189" t="s">
        <v>111</v>
      </c>
      <c r="D52" s="395" t="s">
        <v>79</v>
      </c>
      <c r="E52" s="395"/>
      <c r="F52" s="395" t="s">
        <v>10</v>
      </c>
      <c r="G52" s="395"/>
      <c r="H52" s="395" t="s">
        <v>11</v>
      </c>
      <c r="I52" s="395"/>
      <c r="J52" s="395" t="s">
        <v>12</v>
      </c>
      <c r="K52" s="395"/>
      <c r="L52" s="395" t="s">
        <v>102</v>
      </c>
      <c r="M52" s="395"/>
      <c r="N52" s="395" t="s">
        <v>103</v>
      </c>
      <c r="O52" s="395"/>
      <c r="P52" s="395"/>
      <c r="Q52" s="395"/>
      <c r="R52" s="402"/>
      <c r="S52" s="400"/>
      <c r="T52" s="295"/>
    </row>
    <row r="53" spans="1:26" x14ac:dyDescent="0.25">
      <c r="A53" s="388"/>
      <c r="B53" s="390"/>
      <c r="C53" s="191" t="s">
        <v>1</v>
      </c>
      <c r="D53" s="174" t="s">
        <v>95</v>
      </c>
      <c r="E53" s="174" t="s">
        <v>88</v>
      </c>
      <c r="F53" s="174" t="s">
        <v>95</v>
      </c>
      <c r="G53" s="174" t="s">
        <v>88</v>
      </c>
      <c r="H53" s="174" t="s">
        <v>95</v>
      </c>
      <c r="I53" s="174" t="s">
        <v>88</v>
      </c>
      <c r="J53" s="174" t="s">
        <v>95</v>
      </c>
      <c r="K53" s="174" t="s">
        <v>88</v>
      </c>
      <c r="L53" s="174" t="s">
        <v>95</v>
      </c>
      <c r="M53" s="174" t="s">
        <v>88</v>
      </c>
      <c r="N53" s="174" t="s">
        <v>95</v>
      </c>
      <c r="O53" s="174" t="s">
        <v>88</v>
      </c>
      <c r="P53" s="174" t="s">
        <v>95</v>
      </c>
      <c r="Q53" s="174" t="s">
        <v>88</v>
      </c>
      <c r="R53" s="174" t="s">
        <v>95</v>
      </c>
      <c r="S53" s="190" t="s">
        <v>88</v>
      </c>
      <c r="T53" s="296"/>
    </row>
    <row r="54" spans="1:26" ht="15.75" thickBot="1" x14ac:dyDescent="0.3">
      <c r="A54" s="160">
        <v>1</v>
      </c>
      <c r="B54" s="161">
        <v>2</v>
      </c>
      <c r="C54" s="193">
        <v>3</v>
      </c>
      <c r="D54" s="396">
        <v>11</v>
      </c>
      <c r="E54" s="396"/>
      <c r="F54" s="396">
        <v>12</v>
      </c>
      <c r="G54" s="396"/>
      <c r="H54" s="396">
        <v>13</v>
      </c>
      <c r="I54" s="396"/>
      <c r="J54" s="396">
        <v>14</v>
      </c>
      <c r="K54" s="396"/>
      <c r="L54" s="396">
        <v>15</v>
      </c>
      <c r="M54" s="396"/>
      <c r="N54" s="396">
        <v>16</v>
      </c>
      <c r="O54" s="396"/>
      <c r="P54" s="396">
        <v>17</v>
      </c>
      <c r="Q54" s="396"/>
      <c r="R54" s="396">
        <v>18</v>
      </c>
      <c r="S54" s="406"/>
      <c r="T54" s="297"/>
    </row>
    <row r="55" spans="1:26" ht="15.75" thickTop="1" x14ac:dyDescent="0.25">
      <c r="A55" s="162">
        <v>1</v>
      </c>
      <c r="B55" s="163" t="s">
        <v>18</v>
      </c>
      <c r="C55" s="195">
        <v>287</v>
      </c>
      <c r="D55" s="195">
        <v>0</v>
      </c>
      <c r="E55" s="195">
        <v>0</v>
      </c>
      <c r="F55" s="195">
        <v>19</v>
      </c>
      <c r="G55" s="195">
        <v>33.25</v>
      </c>
      <c r="H55" s="195">
        <v>0</v>
      </c>
      <c r="I55" s="195">
        <v>27.549999999999997</v>
      </c>
      <c r="J55" s="195">
        <v>0</v>
      </c>
      <c r="K55" s="195">
        <v>0</v>
      </c>
      <c r="L55" s="195">
        <v>0</v>
      </c>
      <c r="M55" s="195"/>
      <c r="N55" s="195">
        <v>0</v>
      </c>
      <c r="O55" s="195"/>
      <c r="P55" s="195">
        <f>SUM(D55,F55,H55,J55,L55,N55)</f>
        <v>19</v>
      </c>
      <c r="Q55" s="195">
        <f>SUM(E55,G55,I55,K55,M55,O55)</f>
        <v>60.8</v>
      </c>
      <c r="R55" s="195">
        <f>SUM(P41,P55)</f>
        <v>318</v>
      </c>
      <c r="S55" s="200">
        <f>SUM(Q41,Q55)</f>
        <v>319.36500000000001</v>
      </c>
      <c r="T55" s="298"/>
      <c r="W55">
        <v>0</v>
      </c>
      <c r="X55" s="263">
        <f>0.95*W55</f>
        <v>0</v>
      </c>
      <c r="Y55" s="59">
        <v>35</v>
      </c>
      <c r="Z55" s="263">
        <f>0.95*Y55</f>
        <v>33.25</v>
      </c>
    </row>
    <row r="56" spans="1:26" x14ac:dyDescent="0.25">
      <c r="A56" s="164">
        <v>2</v>
      </c>
      <c r="B56" s="165" t="s">
        <v>19</v>
      </c>
      <c r="C56" s="196">
        <v>208</v>
      </c>
      <c r="D56" s="196">
        <v>27</v>
      </c>
      <c r="E56" s="196">
        <v>0</v>
      </c>
      <c r="F56" s="196">
        <v>20</v>
      </c>
      <c r="G56" s="196">
        <v>95</v>
      </c>
      <c r="H56" s="196">
        <v>5</v>
      </c>
      <c r="I56" s="196">
        <v>46.55</v>
      </c>
      <c r="J56" s="196">
        <v>0</v>
      </c>
      <c r="K56" s="196">
        <v>0</v>
      </c>
      <c r="L56" s="196">
        <v>0</v>
      </c>
      <c r="M56" s="196"/>
      <c r="N56" s="196">
        <v>0</v>
      </c>
      <c r="O56" s="196"/>
      <c r="P56" s="196">
        <f t="shared" ref="P56:P62" si="29">SUM(D56,F56,H56,J56,L56,N56)</f>
        <v>52</v>
      </c>
      <c r="Q56" s="196">
        <f t="shared" ref="Q56:Q62" si="30">SUM(E56,G56,I56,K56,M56,O56)</f>
        <v>141.55000000000001</v>
      </c>
      <c r="R56" s="196">
        <f t="shared" ref="R56:S62" si="31">SUM(P42,P56)</f>
        <v>350</v>
      </c>
      <c r="S56" s="201">
        <f t="shared" si="31"/>
        <v>342.31600000000003</v>
      </c>
      <c r="T56" s="298"/>
      <c r="W56">
        <v>0</v>
      </c>
      <c r="X56" s="263">
        <f t="shared" ref="X56:X62" si="32">0.95*W56</f>
        <v>0</v>
      </c>
      <c r="Y56">
        <v>100</v>
      </c>
      <c r="Z56" s="263">
        <f t="shared" ref="Z56:Z62" si="33">0.95*Y56</f>
        <v>95</v>
      </c>
    </row>
    <row r="57" spans="1:26" x14ac:dyDescent="0.25">
      <c r="A57" s="164">
        <v>3</v>
      </c>
      <c r="B57" s="163" t="s">
        <v>20</v>
      </c>
      <c r="C57" s="196">
        <v>25</v>
      </c>
      <c r="D57" s="196">
        <v>10</v>
      </c>
      <c r="E57" s="196">
        <v>0</v>
      </c>
      <c r="F57" s="196">
        <v>0</v>
      </c>
      <c r="G57" s="196">
        <v>9.5</v>
      </c>
      <c r="H57" s="196">
        <v>0</v>
      </c>
      <c r="I57" s="196">
        <v>0</v>
      </c>
      <c r="J57" s="196">
        <v>0</v>
      </c>
      <c r="K57" s="196">
        <v>0</v>
      </c>
      <c r="L57" s="196">
        <v>0</v>
      </c>
      <c r="M57" s="196"/>
      <c r="N57" s="196">
        <v>0</v>
      </c>
      <c r="O57" s="196"/>
      <c r="P57" s="196">
        <f t="shared" si="29"/>
        <v>10</v>
      </c>
      <c r="Q57" s="196">
        <f t="shared" si="30"/>
        <v>9.5</v>
      </c>
      <c r="R57" s="196">
        <f t="shared" si="31"/>
        <v>47</v>
      </c>
      <c r="S57" s="201">
        <f t="shared" si="31"/>
        <v>61.51</v>
      </c>
      <c r="T57" s="298"/>
      <c r="W57">
        <v>0</v>
      </c>
      <c r="X57" s="263">
        <f t="shared" si="32"/>
        <v>0</v>
      </c>
      <c r="Y57">
        <v>10</v>
      </c>
      <c r="Z57" s="263">
        <f t="shared" si="33"/>
        <v>9.5</v>
      </c>
    </row>
    <row r="58" spans="1:26" x14ac:dyDescent="0.25">
      <c r="A58" s="166">
        <v>4</v>
      </c>
      <c r="B58" s="167" t="s">
        <v>21</v>
      </c>
      <c r="C58" s="196">
        <v>206</v>
      </c>
      <c r="D58" s="196">
        <v>0</v>
      </c>
      <c r="E58" s="196">
        <v>0</v>
      </c>
      <c r="F58" s="196">
        <v>27</v>
      </c>
      <c r="G58" s="196">
        <v>2.8499999999999996</v>
      </c>
      <c r="H58" s="196">
        <v>0</v>
      </c>
      <c r="I58" s="196">
        <v>9.5</v>
      </c>
      <c r="J58" s="196">
        <v>0</v>
      </c>
      <c r="K58" s="196">
        <v>0</v>
      </c>
      <c r="L58" s="196">
        <v>0</v>
      </c>
      <c r="M58" s="196"/>
      <c r="N58" s="196">
        <v>5</v>
      </c>
      <c r="O58" s="196"/>
      <c r="P58" s="196">
        <f t="shared" si="29"/>
        <v>32</v>
      </c>
      <c r="Q58" s="196">
        <f t="shared" si="30"/>
        <v>12.35</v>
      </c>
      <c r="R58" s="196">
        <f t="shared" si="31"/>
        <v>216</v>
      </c>
      <c r="S58" s="201">
        <f t="shared" si="31"/>
        <v>204.51699999999997</v>
      </c>
      <c r="T58" s="298"/>
      <c r="W58">
        <v>0</v>
      </c>
      <c r="X58" s="263">
        <f t="shared" si="32"/>
        <v>0</v>
      </c>
      <c r="Y58">
        <v>3</v>
      </c>
      <c r="Z58" s="263">
        <f t="shared" si="33"/>
        <v>2.8499999999999996</v>
      </c>
    </row>
    <row r="59" spans="1:26" x14ac:dyDescent="0.25">
      <c r="A59" s="166">
        <v>5</v>
      </c>
      <c r="B59" s="168" t="s">
        <v>22</v>
      </c>
      <c r="C59" s="196">
        <v>184</v>
      </c>
      <c r="D59" s="196">
        <v>5</v>
      </c>
      <c r="E59" s="196">
        <v>7.6</v>
      </c>
      <c r="F59" s="196">
        <v>12</v>
      </c>
      <c r="G59" s="196">
        <v>12.35</v>
      </c>
      <c r="H59" s="196">
        <v>0</v>
      </c>
      <c r="I59" s="196">
        <v>0</v>
      </c>
      <c r="J59" s="196">
        <v>0</v>
      </c>
      <c r="K59" s="196">
        <v>0</v>
      </c>
      <c r="L59" s="196">
        <v>0</v>
      </c>
      <c r="M59" s="196"/>
      <c r="N59" s="196">
        <v>0</v>
      </c>
      <c r="O59" s="196"/>
      <c r="P59" s="196">
        <f t="shared" si="29"/>
        <v>17</v>
      </c>
      <c r="Q59" s="196">
        <f t="shared" si="30"/>
        <v>19.95</v>
      </c>
      <c r="R59" s="196">
        <f t="shared" si="31"/>
        <v>293</v>
      </c>
      <c r="S59" s="201">
        <f t="shared" si="31"/>
        <v>193.81499999999997</v>
      </c>
      <c r="T59" s="298"/>
      <c r="W59">
        <v>8</v>
      </c>
      <c r="X59" s="263">
        <f t="shared" si="32"/>
        <v>7.6</v>
      </c>
      <c r="Y59">
        <v>13</v>
      </c>
      <c r="Z59" s="263">
        <f t="shared" si="33"/>
        <v>12.35</v>
      </c>
    </row>
    <row r="60" spans="1:26" x14ac:dyDescent="0.25">
      <c r="A60" s="166">
        <v>6</v>
      </c>
      <c r="B60" s="168" t="s">
        <v>23</v>
      </c>
      <c r="C60" s="196">
        <v>54</v>
      </c>
      <c r="D60" s="196">
        <v>0</v>
      </c>
      <c r="E60" s="196">
        <v>16.149999999999999</v>
      </c>
      <c r="F60" s="196">
        <v>10</v>
      </c>
      <c r="G60" s="196">
        <v>23.75</v>
      </c>
      <c r="H60" s="196">
        <v>0</v>
      </c>
      <c r="I60" s="196">
        <v>0</v>
      </c>
      <c r="J60" s="196">
        <v>0</v>
      </c>
      <c r="K60" s="196">
        <v>0</v>
      </c>
      <c r="L60" s="196">
        <v>0</v>
      </c>
      <c r="M60" s="196"/>
      <c r="N60" s="196">
        <v>0</v>
      </c>
      <c r="O60" s="196"/>
      <c r="P60" s="196">
        <f t="shared" si="29"/>
        <v>10</v>
      </c>
      <c r="Q60" s="196">
        <f t="shared" si="30"/>
        <v>39.9</v>
      </c>
      <c r="R60" s="196">
        <f t="shared" si="31"/>
        <v>67</v>
      </c>
      <c r="S60" s="201">
        <f t="shared" si="31"/>
        <v>97.644999999999996</v>
      </c>
      <c r="T60" s="298"/>
      <c r="W60">
        <v>17</v>
      </c>
      <c r="X60" s="263">
        <f t="shared" si="32"/>
        <v>16.149999999999999</v>
      </c>
      <c r="Y60">
        <v>25</v>
      </c>
      <c r="Z60" s="263">
        <f t="shared" si="33"/>
        <v>23.75</v>
      </c>
    </row>
    <row r="61" spans="1:26" x14ac:dyDescent="0.25">
      <c r="A61" s="166">
        <v>7</v>
      </c>
      <c r="B61" s="168" t="s">
        <v>24</v>
      </c>
      <c r="C61" s="196">
        <v>367</v>
      </c>
      <c r="D61" s="196">
        <v>90</v>
      </c>
      <c r="E61" s="196">
        <v>11.399999999999999</v>
      </c>
      <c r="F61" s="196">
        <v>28</v>
      </c>
      <c r="G61" s="196">
        <v>160.54999999999998</v>
      </c>
      <c r="H61" s="196">
        <v>0</v>
      </c>
      <c r="I61" s="196">
        <v>55.099999999999994</v>
      </c>
      <c r="J61" s="196">
        <v>0</v>
      </c>
      <c r="K61" s="196">
        <v>23.75</v>
      </c>
      <c r="L61" s="196">
        <v>0</v>
      </c>
      <c r="M61" s="196"/>
      <c r="N61" s="196">
        <v>0</v>
      </c>
      <c r="O61" s="196"/>
      <c r="P61" s="196">
        <f t="shared" si="29"/>
        <v>118</v>
      </c>
      <c r="Q61" s="196">
        <f t="shared" si="30"/>
        <v>250.79999999999998</v>
      </c>
      <c r="R61" s="196">
        <f t="shared" si="31"/>
        <v>548</v>
      </c>
      <c r="S61" s="201">
        <f t="shared" si="31"/>
        <v>583.83199999999999</v>
      </c>
      <c r="T61" s="298"/>
      <c r="W61">
        <v>12</v>
      </c>
      <c r="X61" s="263">
        <f t="shared" si="32"/>
        <v>11.399999999999999</v>
      </c>
      <c r="Y61">
        <v>169</v>
      </c>
      <c r="Z61" s="263">
        <f t="shared" si="33"/>
        <v>160.54999999999998</v>
      </c>
    </row>
    <row r="62" spans="1:26" ht="15.75" thickBot="1" x14ac:dyDescent="0.3">
      <c r="A62" s="169">
        <v>8</v>
      </c>
      <c r="B62" s="167" t="s">
        <v>25</v>
      </c>
      <c r="C62" s="197">
        <v>280</v>
      </c>
      <c r="D62" s="199">
        <v>0</v>
      </c>
      <c r="E62" s="199">
        <v>50.349999999999994</v>
      </c>
      <c r="F62" s="199">
        <v>97</v>
      </c>
      <c r="G62" s="199">
        <v>84.55</v>
      </c>
      <c r="H62" s="199">
        <v>34</v>
      </c>
      <c r="I62" s="197">
        <v>15.2</v>
      </c>
      <c r="J62" s="199">
        <v>0</v>
      </c>
      <c r="K62" s="197">
        <v>8.5499999999999989</v>
      </c>
      <c r="L62" s="199">
        <v>0</v>
      </c>
      <c r="M62" s="199"/>
      <c r="N62" s="199">
        <v>0</v>
      </c>
      <c r="O62" s="199"/>
      <c r="P62" s="195">
        <f t="shared" si="29"/>
        <v>131</v>
      </c>
      <c r="Q62" s="195">
        <f t="shared" si="30"/>
        <v>158.64999999999998</v>
      </c>
      <c r="R62" s="195">
        <f t="shared" si="31"/>
        <v>476</v>
      </c>
      <c r="S62" s="200">
        <f t="shared" si="31"/>
        <v>460.34899999999999</v>
      </c>
      <c r="T62" s="298"/>
      <c r="W62">
        <v>53</v>
      </c>
      <c r="X62" s="263">
        <f t="shared" si="32"/>
        <v>50.349999999999994</v>
      </c>
      <c r="Y62">
        <v>89</v>
      </c>
      <c r="Z62" s="263">
        <f t="shared" si="33"/>
        <v>84.55</v>
      </c>
    </row>
    <row r="63" spans="1:26" ht="16.5" thickTop="1" thickBot="1" x14ac:dyDescent="0.3">
      <c r="A63" s="392" t="s">
        <v>26</v>
      </c>
      <c r="B63" s="393"/>
      <c r="C63" s="198">
        <f>SUM(C55:C62)</f>
        <v>1611</v>
      </c>
      <c r="D63" s="198">
        <f t="shared" ref="D63:R63" si="34">SUM(D55:D62)</f>
        <v>132</v>
      </c>
      <c r="E63" s="198">
        <f t="shared" si="34"/>
        <v>85.5</v>
      </c>
      <c r="F63" s="198">
        <f t="shared" si="34"/>
        <v>213</v>
      </c>
      <c r="G63" s="198">
        <f t="shared" si="34"/>
        <v>421.8</v>
      </c>
      <c r="H63" s="198">
        <f t="shared" si="34"/>
        <v>39</v>
      </c>
      <c r="I63" s="198">
        <f t="shared" si="34"/>
        <v>153.89999999999998</v>
      </c>
      <c r="J63" s="198">
        <f t="shared" si="34"/>
        <v>0</v>
      </c>
      <c r="K63" s="198">
        <f t="shared" si="34"/>
        <v>32.299999999999997</v>
      </c>
      <c r="L63" s="198">
        <f t="shared" si="34"/>
        <v>0</v>
      </c>
      <c r="M63" s="198">
        <f t="shared" si="34"/>
        <v>0</v>
      </c>
      <c r="N63" s="198">
        <f t="shared" si="34"/>
        <v>5</v>
      </c>
      <c r="O63" s="198">
        <f t="shared" si="34"/>
        <v>0</v>
      </c>
      <c r="P63" s="202">
        <f t="shared" si="34"/>
        <v>389</v>
      </c>
      <c r="Q63" s="202">
        <f>SUM(Q55:Q62)</f>
        <v>693.5</v>
      </c>
      <c r="R63" s="202">
        <f t="shared" si="34"/>
        <v>2315</v>
      </c>
      <c r="S63" s="203">
        <f>SUM(S55:S62)</f>
        <v>2263.3490000000002</v>
      </c>
      <c r="T63" s="299"/>
      <c r="U63" s="274">
        <f>S63/R63*100</f>
        <v>97.768855291576685</v>
      </c>
      <c r="W63">
        <f>SUM(W55:W62)</f>
        <v>90</v>
      </c>
      <c r="X63">
        <f t="shared" ref="X63:Z63" si="35">SUM(X55:X62)</f>
        <v>85.5</v>
      </c>
      <c r="Y63">
        <f t="shared" si="35"/>
        <v>444</v>
      </c>
      <c r="Z63">
        <f t="shared" si="35"/>
        <v>421.8</v>
      </c>
    </row>
    <row r="66" spans="1:23" ht="15.75" x14ac:dyDescent="0.25">
      <c r="A66" s="380" t="s">
        <v>109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17"/>
    </row>
    <row r="67" spans="1:23" ht="15.75" x14ac:dyDescent="0.25">
      <c r="A67" s="380" t="s">
        <v>82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17"/>
    </row>
    <row r="68" spans="1:23" ht="15.75" thickBot="1" x14ac:dyDescent="0.3"/>
    <row r="69" spans="1:23" ht="25.5" x14ac:dyDescent="0.25">
      <c r="A69" s="387" t="s">
        <v>2</v>
      </c>
      <c r="B69" s="389" t="s">
        <v>3</v>
      </c>
      <c r="C69" s="194" t="s">
        <v>93</v>
      </c>
      <c r="D69" s="391" t="s">
        <v>94</v>
      </c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4" t="s">
        <v>83</v>
      </c>
      <c r="Q69" s="404"/>
      <c r="R69" s="187"/>
      <c r="S69" s="187"/>
      <c r="T69" s="187"/>
    </row>
    <row r="70" spans="1:23" x14ac:dyDescent="0.25">
      <c r="A70" s="388"/>
      <c r="B70" s="390"/>
      <c r="C70" s="189" t="s">
        <v>112</v>
      </c>
      <c r="D70" s="395" t="s">
        <v>97</v>
      </c>
      <c r="E70" s="395"/>
      <c r="F70" s="395" t="s">
        <v>98</v>
      </c>
      <c r="G70" s="395"/>
      <c r="H70" s="395" t="s">
        <v>99</v>
      </c>
      <c r="I70" s="395"/>
      <c r="J70" s="395" t="s">
        <v>96</v>
      </c>
      <c r="K70" s="395"/>
      <c r="L70" s="395" t="s">
        <v>100</v>
      </c>
      <c r="M70" s="395"/>
      <c r="N70" s="395" t="s">
        <v>8</v>
      </c>
      <c r="O70" s="395"/>
      <c r="P70" s="395"/>
      <c r="Q70" s="405"/>
      <c r="R70" s="187"/>
      <c r="S70" s="187"/>
      <c r="T70" s="187"/>
    </row>
    <row r="71" spans="1:23" x14ac:dyDescent="0.25">
      <c r="A71" s="388"/>
      <c r="B71" s="390"/>
      <c r="C71" s="191" t="s">
        <v>1</v>
      </c>
      <c r="D71" s="174" t="s">
        <v>95</v>
      </c>
      <c r="E71" s="174" t="s">
        <v>88</v>
      </c>
      <c r="F71" s="174" t="s">
        <v>95</v>
      </c>
      <c r="G71" s="174" t="s">
        <v>88</v>
      </c>
      <c r="H71" s="174" t="s">
        <v>95</v>
      </c>
      <c r="I71" s="174" t="s">
        <v>88</v>
      </c>
      <c r="J71" s="174" t="s">
        <v>95</v>
      </c>
      <c r="K71" s="174" t="s">
        <v>88</v>
      </c>
      <c r="L71" s="174" t="s">
        <v>95</v>
      </c>
      <c r="M71" s="174" t="s">
        <v>88</v>
      </c>
      <c r="N71" s="174" t="s">
        <v>95</v>
      </c>
      <c r="O71" s="174" t="s">
        <v>88</v>
      </c>
      <c r="P71" s="174" t="s">
        <v>95</v>
      </c>
      <c r="Q71" s="190" t="s">
        <v>88</v>
      </c>
      <c r="R71" s="187"/>
      <c r="S71" s="187"/>
      <c r="T71" s="187"/>
    </row>
    <row r="72" spans="1:23" ht="15.75" thickBot="1" x14ac:dyDescent="0.3">
      <c r="A72" s="160">
        <v>1</v>
      </c>
      <c r="B72" s="161">
        <v>2</v>
      </c>
      <c r="C72" s="193">
        <v>3</v>
      </c>
      <c r="D72" s="396">
        <v>4</v>
      </c>
      <c r="E72" s="396"/>
      <c r="F72" s="396">
        <v>5</v>
      </c>
      <c r="G72" s="396"/>
      <c r="H72" s="396">
        <v>6</v>
      </c>
      <c r="I72" s="396"/>
      <c r="J72" s="396">
        <v>7</v>
      </c>
      <c r="K72" s="396"/>
      <c r="L72" s="396">
        <v>8</v>
      </c>
      <c r="M72" s="396"/>
      <c r="N72" s="396">
        <v>9</v>
      </c>
      <c r="O72" s="396"/>
      <c r="P72" s="396">
        <v>10</v>
      </c>
      <c r="Q72" s="406"/>
      <c r="R72" s="187"/>
      <c r="S72" s="187"/>
      <c r="T72" s="187"/>
    </row>
    <row r="73" spans="1:23" ht="15.75" thickTop="1" x14ac:dyDescent="0.25">
      <c r="A73" s="162">
        <v>1</v>
      </c>
      <c r="B73" s="163" t="s">
        <v>18</v>
      </c>
      <c r="C73" s="195">
        <v>1512</v>
      </c>
      <c r="D73" s="195">
        <v>0</v>
      </c>
      <c r="E73" s="195">
        <v>0</v>
      </c>
      <c r="F73" s="195">
        <v>0</v>
      </c>
      <c r="G73" s="195">
        <v>0</v>
      </c>
      <c r="H73" s="195">
        <v>0</v>
      </c>
      <c r="I73" s="195">
        <v>0</v>
      </c>
      <c r="J73" s="195">
        <v>0</v>
      </c>
      <c r="K73" s="195">
        <v>0</v>
      </c>
      <c r="L73" s="195">
        <v>0</v>
      </c>
      <c r="M73" s="195">
        <v>0</v>
      </c>
      <c r="N73" s="195">
        <v>0</v>
      </c>
      <c r="O73" s="195">
        <v>0</v>
      </c>
      <c r="P73" s="195">
        <f>SUM(D73,F73,H73,J73,L73,N73)</f>
        <v>0</v>
      </c>
      <c r="Q73" s="200">
        <f>SUM(E73,G73,I73,K73,M73,O73)</f>
        <v>0</v>
      </c>
      <c r="R73" s="187"/>
      <c r="S73" s="187"/>
      <c r="T73" s="187"/>
    </row>
    <row r="74" spans="1:23" x14ac:dyDescent="0.25">
      <c r="A74" s="164">
        <v>2</v>
      </c>
      <c r="B74" s="165" t="s">
        <v>19</v>
      </c>
      <c r="C74" s="196">
        <v>35</v>
      </c>
      <c r="D74" s="196">
        <v>0</v>
      </c>
      <c r="E74" s="196">
        <v>0</v>
      </c>
      <c r="F74" s="196">
        <v>0</v>
      </c>
      <c r="G74" s="196">
        <v>0</v>
      </c>
      <c r="H74" s="196">
        <v>0</v>
      </c>
      <c r="I74" s="196">
        <v>0</v>
      </c>
      <c r="J74" s="196">
        <v>0</v>
      </c>
      <c r="K74" s="196">
        <v>0</v>
      </c>
      <c r="L74" s="196">
        <v>0</v>
      </c>
      <c r="M74" s="196">
        <v>0</v>
      </c>
      <c r="N74" s="196">
        <v>0</v>
      </c>
      <c r="O74" s="196">
        <v>0</v>
      </c>
      <c r="P74" s="196">
        <f t="shared" ref="P74:Q80" si="36">SUM(D74,F74,H74,J74,L74,N74)</f>
        <v>0</v>
      </c>
      <c r="Q74" s="201">
        <f t="shared" si="36"/>
        <v>0</v>
      </c>
      <c r="R74" s="187"/>
      <c r="S74" s="187"/>
      <c r="T74" s="187"/>
    </row>
    <row r="75" spans="1:23" x14ac:dyDescent="0.25">
      <c r="A75" s="164">
        <v>3</v>
      </c>
      <c r="B75" s="163" t="s">
        <v>20</v>
      </c>
      <c r="C75" s="196">
        <v>250</v>
      </c>
      <c r="D75" s="196">
        <v>40</v>
      </c>
      <c r="E75" s="196">
        <v>0</v>
      </c>
      <c r="F75" s="196">
        <v>0</v>
      </c>
      <c r="G75" s="196">
        <v>4</v>
      </c>
      <c r="H75" s="196">
        <v>0</v>
      </c>
      <c r="I75" s="196">
        <v>24.175000000000001</v>
      </c>
      <c r="J75" s="196">
        <v>0</v>
      </c>
      <c r="K75" s="196">
        <f>W75</f>
        <v>17.28</v>
      </c>
      <c r="L75" s="196">
        <v>0</v>
      </c>
      <c r="M75" s="196">
        <v>0</v>
      </c>
      <c r="N75" s="196">
        <v>0</v>
      </c>
      <c r="O75" s="196">
        <v>0</v>
      </c>
      <c r="P75" s="196">
        <f t="shared" si="36"/>
        <v>40</v>
      </c>
      <c r="Q75" s="201">
        <f t="shared" si="36"/>
        <v>45.454999999999998</v>
      </c>
      <c r="R75" s="187"/>
      <c r="S75" s="187"/>
      <c r="T75" s="187"/>
      <c r="V75">
        <v>18</v>
      </c>
      <c r="W75">
        <f>V75*0.96</f>
        <v>17.28</v>
      </c>
    </row>
    <row r="76" spans="1:23" x14ac:dyDescent="0.25">
      <c r="A76" s="166">
        <v>4</v>
      </c>
      <c r="B76" s="167" t="s">
        <v>21</v>
      </c>
      <c r="C76" s="196">
        <v>0</v>
      </c>
      <c r="D76" s="196">
        <v>0</v>
      </c>
      <c r="E76" s="196">
        <v>0</v>
      </c>
      <c r="F76" s="196">
        <v>0</v>
      </c>
      <c r="G76" s="196">
        <v>0</v>
      </c>
      <c r="H76" s="196">
        <v>0</v>
      </c>
      <c r="I76" s="196">
        <v>0</v>
      </c>
      <c r="J76" s="196">
        <v>0</v>
      </c>
      <c r="K76" s="196">
        <v>0</v>
      </c>
      <c r="L76" s="196">
        <v>0</v>
      </c>
      <c r="M76" s="196">
        <v>0</v>
      </c>
      <c r="N76" s="196">
        <v>0</v>
      </c>
      <c r="O76" s="196">
        <v>0</v>
      </c>
      <c r="P76" s="196">
        <f t="shared" si="36"/>
        <v>0</v>
      </c>
      <c r="Q76" s="201">
        <f t="shared" si="36"/>
        <v>0</v>
      </c>
      <c r="R76" s="187"/>
      <c r="S76" s="187"/>
      <c r="T76" s="187"/>
    </row>
    <row r="77" spans="1:23" x14ac:dyDescent="0.25">
      <c r="A77" s="166">
        <v>5</v>
      </c>
      <c r="B77" s="168" t="s">
        <v>22</v>
      </c>
      <c r="C77" s="196">
        <v>179</v>
      </c>
      <c r="D77" s="196">
        <v>0</v>
      </c>
      <c r="E77" s="196">
        <v>0</v>
      </c>
      <c r="F77" s="196">
        <v>0</v>
      </c>
      <c r="G77" s="196">
        <v>0</v>
      </c>
      <c r="H77" s="196">
        <v>0</v>
      </c>
      <c r="I77" s="196">
        <v>0</v>
      </c>
      <c r="J77" s="196">
        <v>0</v>
      </c>
      <c r="K77" s="196">
        <v>0</v>
      </c>
      <c r="L77" s="196">
        <v>0</v>
      </c>
      <c r="M77" s="196">
        <v>0</v>
      </c>
      <c r="N77" s="196">
        <v>0</v>
      </c>
      <c r="O77" s="196">
        <v>0</v>
      </c>
      <c r="P77" s="196">
        <f t="shared" si="36"/>
        <v>0</v>
      </c>
      <c r="Q77" s="201">
        <f t="shared" si="36"/>
        <v>0</v>
      </c>
      <c r="R77" s="187"/>
      <c r="S77" s="187"/>
      <c r="T77" s="187"/>
    </row>
    <row r="78" spans="1:23" x14ac:dyDescent="0.25">
      <c r="A78" s="166">
        <v>6</v>
      </c>
      <c r="B78" s="168" t="s">
        <v>23</v>
      </c>
      <c r="C78" s="196">
        <v>5</v>
      </c>
      <c r="D78" s="196">
        <v>0</v>
      </c>
      <c r="E78" s="196">
        <v>0</v>
      </c>
      <c r="F78" s="196">
        <v>0</v>
      </c>
      <c r="G78" s="196">
        <v>0</v>
      </c>
      <c r="H78" s="196">
        <v>0</v>
      </c>
      <c r="I78" s="196">
        <v>0</v>
      </c>
      <c r="J78" s="196">
        <v>0</v>
      </c>
      <c r="K78" s="196">
        <v>0</v>
      </c>
      <c r="L78" s="196">
        <v>0</v>
      </c>
      <c r="M78" s="196">
        <v>0</v>
      </c>
      <c r="N78" s="196">
        <v>0</v>
      </c>
      <c r="O78" s="196">
        <v>0</v>
      </c>
      <c r="P78" s="196">
        <f t="shared" si="36"/>
        <v>0</v>
      </c>
      <c r="Q78" s="201">
        <f t="shared" si="36"/>
        <v>0</v>
      </c>
      <c r="R78" s="187"/>
      <c r="S78" s="187"/>
      <c r="T78" s="187"/>
    </row>
    <row r="79" spans="1:23" x14ac:dyDescent="0.25">
      <c r="A79" s="166">
        <v>7</v>
      </c>
      <c r="B79" s="168" t="s">
        <v>24</v>
      </c>
      <c r="C79" s="196">
        <v>38</v>
      </c>
      <c r="D79" s="196">
        <v>0</v>
      </c>
      <c r="E79" s="196">
        <v>0</v>
      </c>
      <c r="F79" s="196">
        <v>0</v>
      </c>
      <c r="G79" s="196">
        <v>0</v>
      </c>
      <c r="H79" s="196">
        <v>0</v>
      </c>
      <c r="I79" s="196">
        <v>0</v>
      </c>
      <c r="J79" s="196">
        <v>0</v>
      </c>
      <c r="K79" s="196">
        <v>0</v>
      </c>
      <c r="L79" s="196">
        <v>0</v>
      </c>
      <c r="M79" s="196">
        <v>0</v>
      </c>
      <c r="N79" s="196">
        <v>0</v>
      </c>
      <c r="O79" s="196">
        <v>0</v>
      </c>
      <c r="P79" s="196">
        <f t="shared" si="36"/>
        <v>0</v>
      </c>
      <c r="Q79" s="201">
        <f t="shared" si="36"/>
        <v>0</v>
      </c>
      <c r="R79" s="187"/>
      <c r="S79" s="187"/>
      <c r="T79" s="187"/>
    </row>
    <row r="80" spans="1:23" ht="15.75" thickBot="1" x14ac:dyDescent="0.3">
      <c r="A80" s="169">
        <v>8</v>
      </c>
      <c r="B80" s="167" t="s">
        <v>25</v>
      </c>
      <c r="C80" s="197">
        <v>0</v>
      </c>
      <c r="D80" s="197">
        <v>0</v>
      </c>
      <c r="E80" s="197">
        <v>0</v>
      </c>
      <c r="F80" s="197">
        <v>0</v>
      </c>
      <c r="G80" s="197">
        <v>0</v>
      </c>
      <c r="H80" s="197">
        <v>0</v>
      </c>
      <c r="I80" s="197">
        <v>0</v>
      </c>
      <c r="J80" s="197">
        <v>0</v>
      </c>
      <c r="K80" s="197">
        <v>0</v>
      </c>
      <c r="L80" s="197">
        <v>0</v>
      </c>
      <c r="M80" s="197">
        <v>0</v>
      </c>
      <c r="N80" s="197">
        <v>0</v>
      </c>
      <c r="O80" s="197">
        <v>0</v>
      </c>
      <c r="P80" s="195">
        <f t="shared" si="36"/>
        <v>0</v>
      </c>
      <c r="Q80" s="200">
        <f t="shared" si="36"/>
        <v>0</v>
      </c>
      <c r="R80" s="187"/>
      <c r="S80" s="187"/>
      <c r="T80" s="187"/>
    </row>
    <row r="81" spans="1:21" ht="16.5" thickTop="1" thickBot="1" x14ac:dyDescent="0.3">
      <c r="A81" s="392" t="s">
        <v>26</v>
      </c>
      <c r="B81" s="393"/>
      <c r="C81" s="198">
        <f>SUM(C73:C80)</f>
        <v>2019</v>
      </c>
      <c r="D81" s="198">
        <f t="shared" ref="D81:P81" si="37">SUM(D73:D80)</f>
        <v>40</v>
      </c>
      <c r="E81" s="198">
        <f t="shared" si="37"/>
        <v>0</v>
      </c>
      <c r="F81" s="198">
        <f t="shared" si="37"/>
        <v>0</v>
      </c>
      <c r="G81" s="198">
        <f t="shared" si="37"/>
        <v>4</v>
      </c>
      <c r="H81" s="198">
        <f t="shared" si="37"/>
        <v>0</v>
      </c>
      <c r="I81" s="198">
        <f t="shared" si="37"/>
        <v>24.175000000000001</v>
      </c>
      <c r="J81" s="198">
        <f t="shared" si="37"/>
        <v>0</v>
      </c>
      <c r="K81" s="198">
        <f t="shared" si="37"/>
        <v>17.28</v>
      </c>
      <c r="L81" s="198">
        <f t="shared" si="37"/>
        <v>0</v>
      </c>
      <c r="M81" s="198">
        <f t="shared" si="37"/>
        <v>0</v>
      </c>
      <c r="N81" s="198">
        <f t="shared" si="37"/>
        <v>0</v>
      </c>
      <c r="O81" s="198">
        <f t="shared" si="37"/>
        <v>0</v>
      </c>
      <c r="P81" s="202">
        <f t="shared" si="37"/>
        <v>40</v>
      </c>
      <c r="Q81" s="203">
        <f>SUM(Q73:Q80)</f>
        <v>45.454999999999998</v>
      </c>
      <c r="R81" s="187"/>
      <c r="S81" s="187"/>
      <c r="T81" s="187"/>
    </row>
    <row r="82" spans="1:21" ht="15.75" thickBot="1" x14ac:dyDescent="0.3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 spans="1:21" ht="25.5" x14ac:dyDescent="0.25">
      <c r="A83" s="387" t="s">
        <v>2</v>
      </c>
      <c r="B83" s="389" t="s">
        <v>3</v>
      </c>
      <c r="C83" s="194" t="s">
        <v>93</v>
      </c>
      <c r="D83" s="391" t="s">
        <v>104</v>
      </c>
      <c r="E83" s="391"/>
      <c r="F83" s="391"/>
      <c r="G83" s="391"/>
      <c r="H83" s="391"/>
      <c r="I83" s="391"/>
      <c r="J83" s="391"/>
      <c r="K83" s="391"/>
      <c r="L83" s="391"/>
      <c r="M83" s="391"/>
      <c r="N83" s="391"/>
      <c r="O83" s="391"/>
      <c r="P83" s="394" t="s">
        <v>105</v>
      </c>
      <c r="Q83" s="394"/>
      <c r="R83" s="401" t="s">
        <v>106</v>
      </c>
      <c r="S83" s="399"/>
      <c r="T83" s="295"/>
    </row>
    <row r="84" spans="1:21" x14ac:dyDescent="0.25">
      <c r="A84" s="388"/>
      <c r="B84" s="390"/>
      <c r="C84" s="189" t="s">
        <v>112</v>
      </c>
      <c r="D84" s="395" t="s">
        <v>79</v>
      </c>
      <c r="E84" s="395"/>
      <c r="F84" s="395" t="s">
        <v>10</v>
      </c>
      <c r="G84" s="395"/>
      <c r="H84" s="395" t="s">
        <v>11</v>
      </c>
      <c r="I84" s="395"/>
      <c r="J84" s="395" t="s">
        <v>12</v>
      </c>
      <c r="K84" s="395"/>
      <c r="L84" s="395" t="s">
        <v>102</v>
      </c>
      <c r="M84" s="395"/>
      <c r="N84" s="395" t="s">
        <v>103</v>
      </c>
      <c r="O84" s="395"/>
      <c r="P84" s="395"/>
      <c r="Q84" s="395"/>
      <c r="R84" s="402"/>
      <c r="S84" s="400"/>
      <c r="T84" s="295"/>
    </row>
    <row r="85" spans="1:21" x14ac:dyDescent="0.25">
      <c r="A85" s="388"/>
      <c r="B85" s="390"/>
      <c r="C85" s="191" t="s">
        <v>1</v>
      </c>
      <c r="D85" s="174" t="s">
        <v>95</v>
      </c>
      <c r="E85" s="174" t="s">
        <v>88</v>
      </c>
      <c r="F85" s="174" t="s">
        <v>95</v>
      </c>
      <c r="G85" s="174" t="s">
        <v>88</v>
      </c>
      <c r="H85" s="174" t="s">
        <v>95</v>
      </c>
      <c r="I85" s="174" t="s">
        <v>88</v>
      </c>
      <c r="J85" s="174" t="s">
        <v>95</v>
      </c>
      <c r="K85" s="174" t="s">
        <v>88</v>
      </c>
      <c r="L85" s="174" t="s">
        <v>95</v>
      </c>
      <c r="M85" s="174" t="s">
        <v>88</v>
      </c>
      <c r="N85" s="174" t="s">
        <v>95</v>
      </c>
      <c r="O85" s="174" t="s">
        <v>88</v>
      </c>
      <c r="P85" s="174" t="s">
        <v>95</v>
      </c>
      <c r="Q85" s="174" t="s">
        <v>88</v>
      </c>
      <c r="R85" s="174" t="s">
        <v>95</v>
      </c>
      <c r="S85" s="190" t="s">
        <v>88</v>
      </c>
      <c r="T85" s="296"/>
    </row>
    <row r="86" spans="1:21" ht="15.75" thickBot="1" x14ac:dyDescent="0.3">
      <c r="A86" s="160">
        <v>1</v>
      </c>
      <c r="B86" s="161">
        <v>2</v>
      </c>
      <c r="C86" s="193">
        <v>3</v>
      </c>
      <c r="D86" s="396">
        <v>11</v>
      </c>
      <c r="E86" s="396"/>
      <c r="F86" s="396">
        <v>12</v>
      </c>
      <c r="G86" s="396"/>
      <c r="H86" s="396">
        <v>13</v>
      </c>
      <c r="I86" s="396"/>
      <c r="J86" s="396">
        <v>14</v>
      </c>
      <c r="K86" s="396"/>
      <c r="L86" s="396">
        <v>15</v>
      </c>
      <c r="M86" s="396"/>
      <c r="N86" s="396">
        <v>16</v>
      </c>
      <c r="O86" s="396"/>
      <c r="P86" s="396">
        <v>17</v>
      </c>
      <c r="Q86" s="396"/>
      <c r="R86" s="396">
        <v>18</v>
      </c>
      <c r="S86" s="406"/>
      <c r="T86" s="297"/>
    </row>
    <row r="87" spans="1:21" ht="15.75" thickTop="1" x14ac:dyDescent="0.25">
      <c r="A87" s="162">
        <v>1</v>
      </c>
      <c r="B87" s="163" t="s">
        <v>18</v>
      </c>
      <c r="C87" s="195">
        <v>1512</v>
      </c>
      <c r="D87" s="195">
        <v>0</v>
      </c>
      <c r="E87" s="195">
        <v>0</v>
      </c>
      <c r="F87" s="195">
        <v>0</v>
      </c>
      <c r="G87" s="195">
        <v>0</v>
      </c>
      <c r="H87" s="195">
        <v>0</v>
      </c>
      <c r="I87" s="195"/>
      <c r="J87" s="195">
        <v>0</v>
      </c>
      <c r="K87" s="195"/>
      <c r="L87" s="195">
        <v>0</v>
      </c>
      <c r="M87" s="195"/>
      <c r="N87" s="195">
        <v>0</v>
      </c>
      <c r="O87" s="195"/>
      <c r="P87" s="195">
        <f>SUM(D87,F87,H87,J87,L87,N87)</f>
        <v>0</v>
      </c>
      <c r="Q87" s="195"/>
      <c r="R87" s="195">
        <f>SUM(P73,P87)</f>
        <v>0</v>
      </c>
      <c r="S87" s="200">
        <f>SUM(Q73,Q87)</f>
        <v>0</v>
      </c>
      <c r="T87" s="298"/>
    </row>
    <row r="88" spans="1:21" x14ac:dyDescent="0.25">
      <c r="A88" s="164">
        <v>2</v>
      </c>
      <c r="B88" s="165" t="s">
        <v>19</v>
      </c>
      <c r="C88" s="196">
        <v>35</v>
      </c>
      <c r="D88" s="196">
        <v>0</v>
      </c>
      <c r="E88" s="196">
        <v>0</v>
      </c>
      <c r="F88" s="196">
        <v>0</v>
      </c>
      <c r="G88" s="196">
        <v>0</v>
      </c>
      <c r="H88" s="196">
        <v>0</v>
      </c>
      <c r="I88" s="196"/>
      <c r="J88" s="196">
        <v>0</v>
      </c>
      <c r="K88" s="196"/>
      <c r="L88" s="196">
        <v>0</v>
      </c>
      <c r="M88" s="196"/>
      <c r="N88" s="196">
        <v>0</v>
      </c>
      <c r="O88" s="196"/>
      <c r="P88" s="196">
        <f t="shared" ref="P88:P94" si="38">SUM(D88,F88,H88,J88,L88,N88)</f>
        <v>0</v>
      </c>
      <c r="Q88" s="196"/>
      <c r="R88" s="196">
        <f t="shared" ref="R88:S94" si="39">SUM(P74,P88)</f>
        <v>0</v>
      </c>
      <c r="S88" s="201">
        <f t="shared" si="39"/>
        <v>0</v>
      </c>
      <c r="T88" s="298"/>
    </row>
    <row r="89" spans="1:21" x14ac:dyDescent="0.25">
      <c r="A89" s="164">
        <v>3</v>
      </c>
      <c r="B89" s="163" t="s">
        <v>20</v>
      </c>
      <c r="C89" s="196">
        <v>250</v>
      </c>
      <c r="D89" s="196">
        <v>0</v>
      </c>
      <c r="E89" s="196">
        <v>0</v>
      </c>
      <c r="F89" s="196">
        <v>0</v>
      </c>
      <c r="G89" s="196">
        <v>0</v>
      </c>
      <c r="H89" s="196">
        <v>0</v>
      </c>
      <c r="I89" s="196"/>
      <c r="J89" s="196">
        <v>0</v>
      </c>
      <c r="K89" s="196"/>
      <c r="L89" s="196">
        <v>0</v>
      </c>
      <c r="M89" s="196"/>
      <c r="N89" s="196">
        <v>0</v>
      </c>
      <c r="O89" s="196"/>
      <c r="P89" s="196">
        <f t="shared" si="38"/>
        <v>0</v>
      </c>
      <c r="Q89" s="196"/>
      <c r="R89" s="196">
        <f t="shared" si="39"/>
        <v>40</v>
      </c>
      <c r="S89" s="201">
        <f t="shared" si="39"/>
        <v>45.454999999999998</v>
      </c>
      <c r="T89" s="298"/>
    </row>
    <row r="90" spans="1:21" x14ac:dyDescent="0.25">
      <c r="A90" s="166">
        <v>4</v>
      </c>
      <c r="B90" s="167" t="s">
        <v>21</v>
      </c>
      <c r="C90" s="196">
        <v>0</v>
      </c>
      <c r="D90" s="196">
        <v>0</v>
      </c>
      <c r="E90" s="196">
        <v>0</v>
      </c>
      <c r="F90" s="196">
        <v>0</v>
      </c>
      <c r="G90" s="196">
        <v>0</v>
      </c>
      <c r="H90" s="196">
        <v>0</v>
      </c>
      <c r="I90" s="196"/>
      <c r="J90" s="196">
        <v>0</v>
      </c>
      <c r="K90" s="196"/>
      <c r="L90" s="196">
        <v>0</v>
      </c>
      <c r="M90" s="196"/>
      <c r="N90" s="196">
        <v>0</v>
      </c>
      <c r="O90" s="196"/>
      <c r="P90" s="196">
        <f t="shared" si="38"/>
        <v>0</v>
      </c>
      <c r="Q90" s="196"/>
      <c r="R90" s="196">
        <f t="shared" si="39"/>
        <v>0</v>
      </c>
      <c r="S90" s="201">
        <f t="shared" si="39"/>
        <v>0</v>
      </c>
      <c r="T90" s="298"/>
    </row>
    <row r="91" spans="1:21" x14ac:dyDescent="0.25">
      <c r="A91" s="166">
        <v>5</v>
      </c>
      <c r="B91" s="168" t="s">
        <v>22</v>
      </c>
      <c r="C91" s="196">
        <v>179</v>
      </c>
      <c r="D91" s="196">
        <v>0</v>
      </c>
      <c r="E91" s="196">
        <v>0</v>
      </c>
      <c r="F91" s="196">
        <v>0</v>
      </c>
      <c r="G91" s="196">
        <v>0</v>
      </c>
      <c r="H91" s="196">
        <v>0</v>
      </c>
      <c r="I91" s="196"/>
      <c r="J91" s="196">
        <v>0</v>
      </c>
      <c r="K91" s="196"/>
      <c r="L91" s="196">
        <v>0</v>
      </c>
      <c r="M91" s="196"/>
      <c r="N91" s="196">
        <v>0</v>
      </c>
      <c r="O91" s="196"/>
      <c r="P91" s="196">
        <f t="shared" si="38"/>
        <v>0</v>
      </c>
      <c r="Q91" s="196"/>
      <c r="R91" s="196">
        <f t="shared" si="39"/>
        <v>0</v>
      </c>
      <c r="S91" s="201">
        <f t="shared" si="39"/>
        <v>0</v>
      </c>
      <c r="T91" s="298"/>
    </row>
    <row r="92" spans="1:21" x14ac:dyDescent="0.25">
      <c r="A92" s="166">
        <v>6</v>
      </c>
      <c r="B92" s="168" t="s">
        <v>23</v>
      </c>
      <c r="C92" s="196">
        <v>5</v>
      </c>
      <c r="D92" s="196">
        <v>0</v>
      </c>
      <c r="E92" s="196">
        <v>0</v>
      </c>
      <c r="F92" s="196">
        <v>0</v>
      </c>
      <c r="G92" s="196">
        <v>0</v>
      </c>
      <c r="H92" s="196">
        <v>0</v>
      </c>
      <c r="I92" s="196"/>
      <c r="J92" s="196">
        <v>0</v>
      </c>
      <c r="K92" s="196"/>
      <c r="L92" s="196">
        <v>0</v>
      </c>
      <c r="M92" s="196"/>
      <c r="N92" s="196">
        <v>0</v>
      </c>
      <c r="O92" s="196"/>
      <c r="P92" s="196">
        <f t="shared" si="38"/>
        <v>0</v>
      </c>
      <c r="Q92" s="196"/>
      <c r="R92" s="196">
        <f t="shared" si="39"/>
        <v>0</v>
      </c>
      <c r="S92" s="201">
        <f t="shared" si="39"/>
        <v>0</v>
      </c>
      <c r="T92" s="298"/>
    </row>
    <row r="93" spans="1:21" x14ac:dyDescent="0.25">
      <c r="A93" s="166">
        <v>7</v>
      </c>
      <c r="B93" s="168" t="s">
        <v>24</v>
      </c>
      <c r="C93" s="196">
        <v>38</v>
      </c>
      <c r="D93" s="196">
        <v>0</v>
      </c>
      <c r="E93" s="196">
        <v>0</v>
      </c>
      <c r="F93" s="196">
        <v>0</v>
      </c>
      <c r="G93" s="196">
        <v>0</v>
      </c>
      <c r="H93" s="196">
        <v>0</v>
      </c>
      <c r="I93" s="196"/>
      <c r="J93" s="196">
        <v>0</v>
      </c>
      <c r="K93" s="196"/>
      <c r="L93" s="196">
        <v>0</v>
      </c>
      <c r="M93" s="196"/>
      <c r="N93" s="196">
        <v>0</v>
      </c>
      <c r="O93" s="196"/>
      <c r="P93" s="196">
        <f t="shared" si="38"/>
        <v>0</v>
      </c>
      <c r="Q93" s="196"/>
      <c r="R93" s="196">
        <f t="shared" si="39"/>
        <v>0</v>
      </c>
      <c r="S93" s="201">
        <f t="shared" si="39"/>
        <v>0</v>
      </c>
      <c r="T93" s="298"/>
    </row>
    <row r="94" spans="1:21" ht="15.75" thickBot="1" x14ac:dyDescent="0.3">
      <c r="A94" s="169">
        <v>8</v>
      </c>
      <c r="B94" s="167" t="s">
        <v>25</v>
      </c>
      <c r="C94" s="197">
        <v>0</v>
      </c>
      <c r="D94" s="197">
        <v>0</v>
      </c>
      <c r="E94" s="199">
        <v>0</v>
      </c>
      <c r="F94" s="197">
        <v>0</v>
      </c>
      <c r="G94" s="199">
        <v>0</v>
      </c>
      <c r="H94" s="197">
        <v>0</v>
      </c>
      <c r="I94" s="199"/>
      <c r="J94" s="199">
        <v>0</v>
      </c>
      <c r="K94" s="199"/>
      <c r="L94" s="199">
        <v>0</v>
      </c>
      <c r="M94" s="199"/>
      <c r="N94" s="197">
        <v>0</v>
      </c>
      <c r="O94" s="199"/>
      <c r="P94" s="195">
        <f t="shared" si="38"/>
        <v>0</v>
      </c>
      <c r="Q94" s="195"/>
      <c r="R94" s="195">
        <f t="shared" si="39"/>
        <v>0</v>
      </c>
      <c r="S94" s="200">
        <f t="shared" si="39"/>
        <v>0</v>
      </c>
      <c r="T94" s="298"/>
    </row>
    <row r="95" spans="1:21" ht="16.5" thickTop="1" thickBot="1" x14ac:dyDescent="0.3">
      <c r="A95" s="392" t="s">
        <v>26</v>
      </c>
      <c r="B95" s="393"/>
      <c r="C95" s="198">
        <f>SUM(C87:C94)</f>
        <v>2019</v>
      </c>
      <c r="D95" s="198">
        <f t="shared" ref="D95:R95" si="40">SUM(D87:D94)</f>
        <v>0</v>
      </c>
      <c r="E95" s="198">
        <f t="shared" si="40"/>
        <v>0</v>
      </c>
      <c r="F95" s="198">
        <f t="shared" si="40"/>
        <v>0</v>
      </c>
      <c r="G95" s="198">
        <f t="shared" si="40"/>
        <v>0</v>
      </c>
      <c r="H95" s="198">
        <f t="shared" si="40"/>
        <v>0</v>
      </c>
      <c r="I95" s="198">
        <f t="shared" si="40"/>
        <v>0</v>
      </c>
      <c r="J95" s="198">
        <f t="shared" si="40"/>
        <v>0</v>
      </c>
      <c r="K95" s="198">
        <f t="shared" si="40"/>
        <v>0</v>
      </c>
      <c r="L95" s="198">
        <f t="shared" si="40"/>
        <v>0</v>
      </c>
      <c r="M95" s="198">
        <f t="shared" si="40"/>
        <v>0</v>
      </c>
      <c r="N95" s="198">
        <f t="shared" si="40"/>
        <v>0</v>
      </c>
      <c r="O95" s="198">
        <f t="shared" si="40"/>
        <v>0</v>
      </c>
      <c r="P95" s="202">
        <f t="shared" si="40"/>
        <v>0</v>
      </c>
      <c r="Q95" s="202">
        <f t="shared" si="40"/>
        <v>0</v>
      </c>
      <c r="R95" s="202">
        <f t="shared" si="40"/>
        <v>40</v>
      </c>
      <c r="S95" s="203">
        <f>SUM(S87:S94)</f>
        <v>45.454999999999998</v>
      </c>
      <c r="T95" s="299"/>
      <c r="U95" s="274">
        <f>S95/R95*100</f>
        <v>113.63749999999999</v>
      </c>
    </row>
    <row r="98" spans="1:26" ht="15.75" x14ac:dyDescent="0.25">
      <c r="A98" s="380" t="s">
        <v>110</v>
      </c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17"/>
    </row>
    <row r="99" spans="1:26" ht="15.75" x14ac:dyDescent="0.25">
      <c r="A99" s="380" t="s">
        <v>82</v>
      </c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17"/>
    </row>
    <row r="100" spans="1:26" ht="15.75" thickBot="1" x14ac:dyDescent="0.3"/>
    <row r="101" spans="1:26" ht="25.5" x14ac:dyDescent="0.25">
      <c r="A101" s="387" t="s">
        <v>2</v>
      </c>
      <c r="B101" s="389" t="s">
        <v>3</v>
      </c>
      <c r="C101" s="194" t="s">
        <v>93</v>
      </c>
      <c r="D101" s="391" t="s">
        <v>94</v>
      </c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4" t="s">
        <v>83</v>
      </c>
      <c r="Q101" s="404"/>
      <c r="R101" s="187"/>
      <c r="S101" s="187"/>
      <c r="T101" s="187"/>
    </row>
    <row r="102" spans="1:26" ht="25.5" x14ac:dyDescent="0.25">
      <c r="A102" s="388"/>
      <c r="B102" s="390"/>
      <c r="C102" s="189" t="s">
        <v>101</v>
      </c>
      <c r="D102" s="395" t="s">
        <v>97</v>
      </c>
      <c r="E102" s="395"/>
      <c r="F102" s="395" t="s">
        <v>98</v>
      </c>
      <c r="G102" s="395"/>
      <c r="H102" s="395" t="s">
        <v>99</v>
      </c>
      <c r="I102" s="395"/>
      <c r="J102" s="395" t="s">
        <v>96</v>
      </c>
      <c r="K102" s="395"/>
      <c r="L102" s="395" t="s">
        <v>100</v>
      </c>
      <c r="M102" s="395"/>
      <c r="N102" s="395" t="s">
        <v>8</v>
      </c>
      <c r="O102" s="395"/>
      <c r="P102" s="395"/>
      <c r="Q102" s="405"/>
      <c r="R102" s="187"/>
      <c r="S102" s="187"/>
      <c r="T102" s="187"/>
    </row>
    <row r="103" spans="1:26" x14ac:dyDescent="0.25">
      <c r="A103" s="388"/>
      <c r="B103" s="390"/>
      <c r="C103" s="191" t="s">
        <v>1</v>
      </c>
      <c r="D103" s="174" t="s">
        <v>95</v>
      </c>
      <c r="E103" s="174" t="s">
        <v>88</v>
      </c>
      <c r="F103" s="174" t="s">
        <v>95</v>
      </c>
      <c r="G103" s="174" t="s">
        <v>88</v>
      </c>
      <c r="H103" s="174" t="s">
        <v>95</v>
      </c>
      <c r="I103" s="174" t="s">
        <v>88</v>
      </c>
      <c r="J103" s="174" t="s">
        <v>95</v>
      </c>
      <c r="K103" s="174" t="s">
        <v>88</v>
      </c>
      <c r="L103" s="174" t="s">
        <v>95</v>
      </c>
      <c r="M103" s="174" t="s">
        <v>88</v>
      </c>
      <c r="N103" s="174" t="s">
        <v>95</v>
      </c>
      <c r="O103" s="174" t="s">
        <v>88</v>
      </c>
      <c r="P103" s="174" t="s">
        <v>95</v>
      </c>
      <c r="Q103" s="190" t="s">
        <v>88</v>
      </c>
      <c r="R103" s="187"/>
      <c r="S103" s="187"/>
      <c r="T103" s="187"/>
    </row>
    <row r="104" spans="1:26" ht="15.75" thickBot="1" x14ac:dyDescent="0.3">
      <c r="A104" s="160">
        <v>1</v>
      </c>
      <c r="B104" s="161">
        <v>2</v>
      </c>
      <c r="C104" s="193">
        <v>3</v>
      </c>
      <c r="D104" s="396">
        <v>4</v>
      </c>
      <c r="E104" s="396"/>
      <c r="F104" s="396">
        <v>5</v>
      </c>
      <c r="G104" s="396"/>
      <c r="H104" s="396">
        <v>6</v>
      </c>
      <c r="I104" s="396"/>
      <c r="J104" s="396">
        <v>7</v>
      </c>
      <c r="K104" s="396"/>
      <c r="L104" s="396">
        <v>8</v>
      </c>
      <c r="M104" s="396"/>
      <c r="N104" s="396">
        <v>9</v>
      </c>
      <c r="O104" s="396"/>
      <c r="P104" s="396">
        <v>10</v>
      </c>
      <c r="Q104" s="406"/>
      <c r="R104" s="187"/>
      <c r="S104" s="187"/>
      <c r="T104" s="187"/>
    </row>
    <row r="105" spans="1:26" ht="15.75" thickTop="1" x14ac:dyDescent="0.25">
      <c r="A105" s="162">
        <v>1</v>
      </c>
      <c r="B105" s="163" t="s">
        <v>18</v>
      </c>
      <c r="C105" s="195">
        <v>1799</v>
      </c>
      <c r="D105" s="195">
        <v>0</v>
      </c>
      <c r="E105" s="195">
        <v>1</v>
      </c>
      <c r="F105" s="195">
        <v>0</v>
      </c>
      <c r="G105" s="195">
        <v>0</v>
      </c>
      <c r="H105" s="195">
        <v>0</v>
      </c>
      <c r="I105" s="195">
        <v>0</v>
      </c>
      <c r="J105" s="195">
        <v>0</v>
      </c>
      <c r="K105" s="195">
        <v>0</v>
      </c>
      <c r="L105" s="195">
        <v>0</v>
      </c>
      <c r="M105" s="195">
        <f>'okt-mar'!G55</f>
        <v>0</v>
      </c>
      <c r="N105" s="195">
        <v>4</v>
      </c>
      <c r="O105" s="195">
        <f>'okt-mar'!H55</f>
        <v>0</v>
      </c>
      <c r="P105" s="195">
        <f>SUM(D105,F105,H105,J105,L105,N105)</f>
        <v>4</v>
      </c>
      <c r="Q105" s="200">
        <f>SUM(E105,G105,I105,K105,M105,O105)</f>
        <v>1</v>
      </c>
      <c r="R105" s="187"/>
      <c r="S105" s="187"/>
      <c r="T105" s="187"/>
    </row>
    <row r="106" spans="1:26" x14ac:dyDescent="0.25">
      <c r="A106" s="164">
        <v>2</v>
      </c>
      <c r="B106" s="165" t="s">
        <v>19</v>
      </c>
      <c r="C106" s="196">
        <v>243</v>
      </c>
      <c r="D106" s="196">
        <v>0</v>
      </c>
      <c r="E106" s="196">
        <v>1</v>
      </c>
      <c r="F106" s="196">
        <v>0</v>
      </c>
      <c r="G106" s="196">
        <v>0</v>
      </c>
      <c r="H106" s="196">
        <v>0</v>
      </c>
      <c r="I106" s="196">
        <v>0</v>
      </c>
      <c r="J106" s="196">
        <v>0</v>
      </c>
      <c r="K106" s="196">
        <v>0</v>
      </c>
      <c r="L106" s="196">
        <v>1</v>
      </c>
      <c r="M106" s="196">
        <f>'okt-mar'!G56</f>
        <v>0</v>
      </c>
      <c r="N106" s="196">
        <v>0</v>
      </c>
      <c r="O106" s="196">
        <f>'okt-mar'!H56</f>
        <v>0</v>
      </c>
      <c r="P106" s="196">
        <f t="shared" ref="P106:Q112" si="41">SUM(D106,F106,H106,J106,L106,N106)</f>
        <v>1</v>
      </c>
      <c r="Q106" s="201">
        <f t="shared" si="41"/>
        <v>1</v>
      </c>
      <c r="R106" s="187"/>
      <c r="S106" s="187"/>
      <c r="T106" s="187"/>
      <c r="W106">
        <v>35</v>
      </c>
      <c r="X106">
        <f>W106*0.967</f>
        <v>33.844999999999999</v>
      </c>
      <c r="Y106">
        <v>15</v>
      </c>
      <c r="Z106">
        <f>Y106*0.96</f>
        <v>14.399999999999999</v>
      </c>
    </row>
    <row r="107" spans="1:26" x14ac:dyDescent="0.25">
      <c r="A107" s="164">
        <v>3</v>
      </c>
      <c r="B107" s="163" t="s">
        <v>20</v>
      </c>
      <c r="C107" s="196">
        <v>275</v>
      </c>
      <c r="D107" s="196">
        <v>0</v>
      </c>
      <c r="E107" s="196">
        <v>0</v>
      </c>
      <c r="F107" s="196">
        <v>3</v>
      </c>
      <c r="G107" s="196">
        <v>34</v>
      </c>
      <c r="H107" s="196">
        <v>2</v>
      </c>
      <c r="I107" s="196">
        <v>14</v>
      </c>
      <c r="J107" s="196">
        <v>0</v>
      </c>
      <c r="K107" s="196">
        <v>0</v>
      </c>
      <c r="L107" s="196">
        <v>0</v>
      </c>
      <c r="M107" s="196">
        <f>'okt-mar'!G57</f>
        <v>0</v>
      </c>
      <c r="N107" s="196">
        <v>0</v>
      </c>
      <c r="O107" s="196">
        <f>'okt-mar'!H57</f>
        <v>0</v>
      </c>
      <c r="P107" s="196">
        <f t="shared" si="41"/>
        <v>5</v>
      </c>
      <c r="Q107" s="201">
        <f t="shared" si="41"/>
        <v>48</v>
      </c>
      <c r="R107" s="187"/>
      <c r="S107" s="187"/>
      <c r="T107" s="187"/>
    </row>
    <row r="108" spans="1:26" x14ac:dyDescent="0.25">
      <c r="A108" s="166">
        <v>4</v>
      </c>
      <c r="B108" s="167" t="s">
        <v>21</v>
      </c>
      <c r="C108" s="196">
        <v>206</v>
      </c>
      <c r="D108" s="196">
        <v>0</v>
      </c>
      <c r="E108" s="196">
        <v>0</v>
      </c>
      <c r="F108" s="196">
        <v>0</v>
      </c>
      <c r="G108" s="196">
        <v>0</v>
      </c>
      <c r="H108" s="196">
        <v>0</v>
      </c>
      <c r="I108" s="196">
        <v>1</v>
      </c>
      <c r="J108" s="196">
        <v>2</v>
      </c>
      <c r="K108" s="196">
        <v>0</v>
      </c>
      <c r="L108" s="196">
        <v>0</v>
      </c>
      <c r="M108" s="196">
        <f>'okt-mar'!G58</f>
        <v>0</v>
      </c>
      <c r="N108" s="196">
        <v>0</v>
      </c>
      <c r="O108" s="196">
        <f>'okt-mar'!H58</f>
        <v>0</v>
      </c>
      <c r="P108" s="196">
        <f t="shared" si="41"/>
        <v>2</v>
      </c>
      <c r="Q108" s="201">
        <f t="shared" si="41"/>
        <v>1</v>
      </c>
      <c r="R108" s="187"/>
      <c r="S108" s="187"/>
      <c r="T108" s="187"/>
    </row>
    <row r="109" spans="1:26" x14ac:dyDescent="0.25">
      <c r="A109" s="166">
        <v>5</v>
      </c>
      <c r="B109" s="168" t="s">
        <v>22</v>
      </c>
      <c r="C109" s="196">
        <v>363</v>
      </c>
      <c r="D109" s="196">
        <v>0</v>
      </c>
      <c r="E109" s="196">
        <v>0</v>
      </c>
      <c r="F109" s="196">
        <v>0</v>
      </c>
      <c r="G109" s="196">
        <v>0</v>
      </c>
      <c r="H109" s="196">
        <v>1</v>
      </c>
      <c r="I109" s="196">
        <v>0</v>
      </c>
      <c r="J109" s="196">
        <v>1</v>
      </c>
      <c r="K109" s="196">
        <v>0</v>
      </c>
      <c r="L109" s="196">
        <v>0</v>
      </c>
      <c r="M109" s="196">
        <f>'okt-mar'!G59</f>
        <v>0</v>
      </c>
      <c r="N109" s="196">
        <v>0</v>
      </c>
      <c r="O109" s="196">
        <f>'okt-mar'!H59</f>
        <v>0</v>
      </c>
      <c r="P109" s="196">
        <f t="shared" si="41"/>
        <v>2</v>
      </c>
      <c r="Q109" s="201">
        <f t="shared" si="41"/>
        <v>0</v>
      </c>
      <c r="R109" s="187"/>
      <c r="S109" s="187"/>
      <c r="T109" s="187"/>
    </row>
    <row r="110" spans="1:26" x14ac:dyDescent="0.25">
      <c r="A110" s="166">
        <v>6</v>
      </c>
      <c r="B110" s="168" t="s">
        <v>23</v>
      </c>
      <c r="C110" s="196">
        <v>59</v>
      </c>
      <c r="D110" s="196">
        <v>0</v>
      </c>
      <c r="E110" s="196">
        <v>0</v>
      </c>
      <c r="F110" s="196">
        <v>0</v>
      </c>
      <c r="G110" s="196">
        <v>0</v>
      </c>
      <c r="H110" s="196">
        <v>0</v>
      </c>
      <c r="I110" s="196">
        <v>0</v>
      </c>
      <c r="J110" s="196">
        <v>0</v>
      </c>
      <c r="K110" s="196">
        <v>0</v>
      </c>
      <c r="L110" s="196">
        <v>0</v>
      </c>
      <c r="M110" s="196">
        <f>'okt-mar'!G60</f>
        <v>0</v>
      </c>
      <c r="N110" s="196">
        <v>0</v>
      </c>
      <c r="O110" s="196">
        <f>'okt-mar'!H60</f>
        <v>0</v>
      </c>
      <c r="P110" s="196">
        <f t="shared" si="41"/>
        <v>0</v>
      </c>
      <c r="Q110" s="201">
        <f t="shared" si="41"/>
        <v>0</v>
      </c>
      <c r="R110" s="187"/>
      <c r="S110" s="187"/>
      <c r="T110" s="187"/>
    </row>
    <row r="111" spans="1:26" x14ac:dyDescent="0.25">
      <c r="A111" s="166">
        <v>7</v>
      </c>
      <c r="B111" s="168" t="s">
        <v>24</v>
      </c>
      <c r="C111" s="196">
        <v>405</v>
      </c>
      <c r="D111" s="196">
        <v>0</v>
      </c>
      <c r="E111" s="196">
        <v>0</v>
      </c>
      <c r="F111" s="196">
        <v>0</v>
      </c>
      <c r="G111" s="196">
        <v>0</v>
      </c>
      <c r="H111" s="196">
        <v>0</v>
      </c>
      <c r="I111" s="196">
        <v>0</v>
      </c>
      <c r="J111" s="196">
        <v>0</v>
      </c>
      <c r="K111" s="196">
        <v>0</v>
      </c>
      <c r="L111" s="196">
        <v>0</v>
      </c>
      <c r="M111" s="196">
        <f>'okt-mar'!G61</f>
        <v>0</v>
      </c>
      <c r="N111" s="196">
        <v>0</v>
      </c>
      <c r="O111" s="196">
        <f>'okt-mar'!H61</f>
        <v>0</v>
      </c>
      <c r="P111" s="196">
        <f t="shared" si="41"/>
        <v>0</v>
      </c>
      <c r="Q111" s="201">
        <f t="shared" si="41"/>
        <v>0</v>
      </c>
      <c r="R111" s="187"/>
      <c r="S111" s="187"/>
      <c r="T111" s="187"/>
    </row>
    <row r="112" spans="1:26" ht="15.75" thickBot="1" x14ac:dyDescent="0.3">
      <c r="A112" s="169">
        <v>8</v>
      </c>
      <c r="B112" s="167" t="s">
        <v>25</v>
      </c>
      <c r="C112" s="197">
        <v>280</v>
      </c>
      <c r="D112" s="197">
        <v>0</v>
      </c>
      <c r="E112" s="197">
        <v>1</v>
      </c>
      <c r="F112" s="197">
        <v>0</v>
      </c>
      <c r="G112" s="197">
        <v>1</v>
      </c>
      <c r="H112" s="197">
        <v>3</v>
      </c>
      <c r="I112" s="197">
        <v>0</v>
      </c>
      <c r="J112" s="197">
        <v>0</v>
      </c>
      <c r="K112" s="197">
        <v>0</v>
      </c>
      <c r="L112" s="197">
        <v>0</v>
      </c>
      <c r="M112" s="197">
        <f>'okt-mar'!G62</f>
        <v>1</v>
      </c>
      <c r="N112" s="197">
        <v>0</v>
      </c>
      <c r="O112" s="197">
        <f>'okt-mar'!H62</f>
        <v>0</v>
      </c>
      <c r="P112" s="195">
        <f t="shared" si="41"/>
        <v>3</v>
      </c>
      <c r="Q112" s="200">
        <f t="shared" si="41"/>
        <v>3</v>
      </c>
      <c r="R112" s="187"/>
      <c r="S112" s="187"/>
      <c r="T112" s="187"/>
    </row>
    <row r="113" spans="1:21" ht="16.5" thickTop="1" thickBot="1" x14ac:dyDescent="0.3">
      <c r="A113" s="392" t="s">
        <v>26</v>
      </c>
      <c r="B113" s="393"/>
      <c r="C113" s="198">
        <f>SUM(C105:C112)</f>
        <v>3630</v>
      </c>
      <c r="D113" s="198">
        <f t="shared" ref="D113:P113" si="42">SUM(D105:D112)</f>
        <v>0</v>
      </c>
      <c r="E113" s="198">
        <f t="shared" si="42"/>
        <v>3</v>
      </c>
      <c r="F113" s="198">
        <f t="shared" si="42"/>
        <v>3</v>
      </c>
      <c r="G113" s="198">
        <f t="shared" si="42"/>
        <v>35</v>
      </c>
      <c r="H113" s="198">
        <f t="shared" si="42"/>
        <v>6</v>
      </c>
      <c r="I113" s="198">
        <f t="shared" si="42"/>
        <v>15</v>
      </c>
      <c r="J113" s="198">
        <f t="shared" si="42"/>
        <v>3</v>
      </c>
      <c r="K113" s="198">
        <f t="shared" si="42"/>
        <v>0</v>
      </c>
      <c r="L113" s="198">
        <f t="shared" si="42"/>
        <v>1</v>
      </c>
      <c r="M113" s="198">
        <f t="shared" si="42"/>
        <v>1</v>
      </c>
      <c r="N113" s="198">
        <f t="shared" si="42"/>
        <v>4</v>
      </c>
      <c r="O113" s="198">
        <f t="shared" si="42"/>
        <v>0</v>
      </c>
      <c r="P113" s="202">
        <f t="shared" si="42"/>
        <v>17</v>
      </c>
      <c r="Q113" s="203">
        <f>SUM(Q105:Q112)</f>
        <v>54</v>
      </c>
      <c r="R113" s="187"/>
      <c r="S113" s="187"/>
      <c r="T113" s="187"/>
    </row>
    <row r="114" spans="1:21" ht="15.75" thickBot="1" x14ac:dyDescent="0.3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 spans="1:21" ht="25.5" x14ac:dyDescent="0.25">
      <c r="A115" s="387" t="s">
        <v>2</v>
      </c>
      <c r="B115" s="389" t="s">
        <v>3</v>
      </c>
      <c r="C115" s="194" t="s">
        <v>93</v>
      </c>
      <c r="D115" s="391" t="s">
        <v>104</v>
      </c>
      <c r="E115" s="391"/>
      <c r="F115" s="391"/>
      <c r="G115" s="391"/>
      <c r="H115" s="391"/>
      <c r="I115" s="391"/>
      <c r="J115" s="391"/>
      <c r="K115" s="391"/>
      <c r="L115" s="391"/>
      <c r="M115" s="391"/>
      <c r="N115" s="391"/>
      <c r="O115" s="391"/>
      <c r="P115" s="394" t="s">
        <v>105</v>
      </c>
      <c r="Q115" s="394"/>
      <c r="R115" s="401" t="s">
        <v>106</v>
      </c>
      <c r="S115" s="399"/>
      <c r="T115" s="295"/>
    </row>
    <row r="116" spans="1:21" ht="25.5" x14ac:dyDescent="0.25">
      <c r="A116" s="388"/>
      <c r="B116" s="390"/>
      <c r="C116" s="189" t="s">
        <v>101</v>
      </c>
      <c r="D116" s="395" t="s">
        <v>79</v>
      </c>
      <c r="E116" s="395"/>
      <c r="F116" s="395" t="s">
        <v>10</v>
      </c>
      <c r="G116" s="395"/>
      <c r="H116" s="395" t="s">
        <v>11</v>
      </c>
      <c r="I116" s="395"/>
      <c r="J116" s="395" t="s">
        <v>12</v>
      </c>
      <c r="K116" s="395"/>
      <c r="L116" s="395" t="s">
        <v>102</v>
      </c>
      <c r="M116" s="395"/>
      <c r="N116" s="395" t="s">
        <v>103</v>
      </c>
      <c r="O116" s="395"/>
      <c r="P116" s="395"/>
      <c r="Q116" s="395"/>
      <c r="R116" s="402"/>
      <c r="S116" s="400"/>
      <c r="T116" s="295"/>
    </row>
    <row r="117" spans="1:21" x14ac:dyDescent="0.25">
      <c r="A117" s="388"/>
      <c r="B117" s="390"/>
      <c r="C117" s="191" t="s">
        <v>1</v>
      </c>
      <c r="D117" s="174" t="s">
        <v>95</v>
      </c>
      <c r="E117" s="174" t="s">
        <v>88</v>
      </c>
      <c r="F117" s="174" t="s">
        <v>95</v>
      </c>
      <c r="G117" s="174" t="s">
        <v>88</v>
      </c>
      <c r="H117" s="174" t="s">
        <v>95</v>
      </c>
      <c r="I117" s="174" t="s">
        <v>88</v>
      </c>
      <c r="J117" s="174" t="s">
        <v>95</v>
      </c>
      <c r="K117" s="174" t="s">
        <v>88</v>
      </c>
      <c r="L117" s="174" t="s">
        <v>95</v>
      </c>
      <c r="M117" s="174" t="s">
        <v>88</v>
      </c>
      <c r="N117" s="174" t="s">
        <v>95</v>
      </c>
      <c r="O117" s="174" t="s">
        <v>88</v>
      </c>
      <c r="P117" s="174" t="s">
        <v>95</v>
      </c>
      <c r="Q117" s="174" t="s">
        <v>88</v>
      </c>
      <c r="R117" s="174" t="s">
        <v>95</v>
      </c>
      <c r="S117" s="190" t="s">
        <v>88</v>
      </c>
      <c r="T117" s="296"/>
    </row>
    <row r="118" spans="1:21" ht="15.75" thickBot="1" x14ac:dyDescent="0.3">
      <c r="A118" s="160">
        <v>1</v>
      </c>
      <c r="B118" s="161">
        <v>2</v>
      </c>
      <c r="C118" s="193">
        <v>3</v>
      </c>
      <c r="D118" s="396">
        <v>11</v>
      </c>
      <c r="E118" s="396"/>
      <c r="F118" s="396">
        <v>12</v>
      </c>
      <c r="G118" s="396"/>
      <c r="H118" s="396">
        <v>13</v>
      </c>
      <c r="I118" s="396"/>
      <c r="J118" s="396">
        <v>14</v>
      </c>
      <c r="K118" s="396"/>
      <c r="L118" s="396">
        <v>15</v>
      </c>
      <c r="M118" s="396"/>
      <c r="N118" s="396">
        <v>16</v>
      </c>
      <c r="O118" s="396"/>
      <c r="P118" s="396">
        <v>17</v>
      </c>
      <c r="Q118" s="396"/>
      <c r="R118" s="396">
        <v>18</v>
      </c>
      <c r="S118" s="406"/>
      <c r="T118" s="297"/>
    </row>
    <row r="119" spans="1:21" ht="15.75" thickTop="1" x14ac:dyDescent="0.25">
      <c r="A119" s="162">
        <v>1</v>
      </c>
      <c r="B119" s="163" t="s">
        <v>18</v>
      </c>
      <c r="C119" s="195">
        <v>1799</v>
      </c>
      <c r="D119" s="195">
        <v>3</v>
      </c>
      <c r="E119" s="195">
        <f>'okt-mar'!J55</f>
        <v>0</v>
      </c>
      <c r="F119" s="195">
        <v>0</v>
      </c>
      <c r="G119" s="195">
        <v>0</v>
      </c>
      <c r="H119" s="195">
        <v>5</v>
      </c>
      <c r="I119" s="195"/>
      <c r="J119" s="195">
        <v>3</v>
      </c>
      <c r="K119" s="195"/>
      <c r="L119" s="195">
        <v>0</v>
      </c>
      <c r="M119" s="195"/>
      <c r="N119" s="195">
        <v>0</v>
      </c>
      <c r="O119" s="195"/>
      <c r="P119" s="195">
        <f>SUM(D119,F119,H119,J119,L119,N119)</f>
        <v>11</v>
      </c>
      <c r="Q119" s="195"/>
      <c r="R119" s="195">
        <f>SUM(P105,P119)</f>
        <v>15</v>
      </c>
      <c r="S119" s="200">
        <f>SUM(Q105,Q119)</f>
        <v>1</v>
      </c>
      <c r="T119" s="298"/>
    </row>
    <row r="120" spans="1:21" x14ac:dyDescent="0.25">
      <c r="A120" s="164">
        <v>2</v>
      </c>
      <c r="B120" s="165" t="s">
        <v>19</v>
      </c>
      <c r="C120" s="196">
        <v>243</v>
      </c>
      <c r="D120" s="196">
        <v>3</v>
      </c>
      <c r="E120" s="196">
        <f>'okt-mar'!J56</f>
        <v>0</v>
      </c>
      <c r="F120" s="196">
        <v>3</v>
      </c>
      <c r="G120" s="196">
        <v>0</v>
      </c>
      <c r="H120" s="196">
        <v>2</v>
      </c>
      <c r="I120" s="196"/>
      <c r="J120" s="196">
        <v>3</v>
      </c>
      <c r="K120" s="196"/>
      <c r="L120" s="196">
        <v>0</v>
      </c>
      <c r="M120" s="196"/>
      <c r="N120" s="196">
        <v>0</v>
      </c>
      <c r="O120" s="196"/>
      <c r="P120" s="196">
        <f t="shared" ref="P120:P126" si="43">SUM(D120,F120,H120,J120,L120,N120)</f>
        <v>11</v>
      </c>
      <c r="Q120" s="196"/>
      <c r="R120" s="196">
        <f t="shared" ref="R120:S126" si="44">SUM(P106,P120)</f>
        <v>12</v>
      </c>
      <c r="S120" s="201">
        <f t="shared" si="44"/>
        <v>1</v>
      </c>
      <c r="T120" s="298"/>
    </row>
    <row r="121" spans="1:21" x14ac:dyDescent="0.25">
      <c r="A121" s="164">
        <v>3</v>
      </c>
      <c r="B121" s="163" t="s">
        <v>20</v>
      </c>
      <c r="C121" s="196">
        <v>275</v>
      </c>
      <c r="D121" s="196">
        <v>7</v>
      </c>
      <c r="E121" s="196">
        <f>'okt-mar'!J57</f>
        <v>0</v>
      </c>
      <c r="F121" s="196">
        <v>0</v>
      </c>
      <c r="G121" s="196">
        <v>0</v>
      </c>
      <c r="H121" s="196">
        <v>4</v>
      </c>
      <c r="I121" s="196"/>
      <c r="J121" s="196">
        <v>2</v>
      </c>
      <c r="K121" s="196"/>
      <c r="L121" s="196">
        <v>0</v>
      </c>
      <c r="M121" s="196"/>
      <c r="N121" s="196">
        <v>0</v>
      </c>
      <c r="O121" s="196"/>
      <c r="P121" s="196">
        <f t="shared" si="43"/>
        <v>13</v>
      </c>
      <c r="Q121" s="196"/>
      <c r="R121" s="196">
        <f t="shared" si="44"/>
        <v>18</v>
      </c>
      <c r="S121" s="201">
        <f t="shared" si="44"/>
        <v>48</v>
      </c>
      <c r="T121" s="298"/>
    </row>
    <row r="122" spans="1:21" x14ac:dyDescent="0.25">
      <c r="A122" s="166">
        <v>4</v>
      </c>
      <c r="B122" s="167" t="s">
        <v>21</v>
      </c>
      <c r="C122" s="196">
        <v>206</v>
      </c>
      <c r="D122" s="196">
        <v>5</v>
      </c>
      <c r="E122" s="196">
        <f>'okt-mar'!J58</f>
        <v>0</v>
      </c>
      <c r="F122" s="196">
        <v>0</v>
      </c>
      <c r="G122" s="196">
        <v>0</v>
      </c>
      <c r="H122" s="196">
        <v>0</v>
      </c>
      <c r="I122" s="196"/>
      <c r="J122" s="196">
        <v>4</v>
      </c>
      <c r="K122" s="196"/>
      <c r="L122" s="196">
        <v>0</v>
      </c>
      <c r="M122" s="196"/>
      <c r="N122" s="196">
        <v>0</v>
      </c>
      <c r="O122" s="196"/>
      <c r="P122" s="196">
        <f t="shared" si="43"/>
        <v>9</v>
      </c>
      <c r="Q122" s="196"/>
      <c r="R122" s="196">
        <f t="shared" si="44"/>
        <v>11</v>
      </c>
      <c r="S122" s="201">
        <f t="shared" si="44"/>
        <v>1</v>
      </c>
      <c r="T122" s="298"/>
    </row>
    <row r="123" spans="1:21" x14ac:dyDescent="0.25">
      <c r="A123" s="166">
        <v>5</v>
      </c>
      <c r="B123" s="168" t="s">
        <v>22</v>
      </c>
      <c r="C123" s="196">
        <v>363</v>
      </c>
      <c r="D123" s="196">
        <v>6</v>
      </c>
      <c r="E123" s="196">
        <f>'okt-mar'!J59</f>
        <v>0</v>
      </c>
      <c r="F123" s="196">
        <v>0</v>
      </c>
      <c r="G123" s="196">
        <v>2</v>
      </c>
      <c r="H123" s="196">
        <v>4</v>
      </c>
      <c r="I123" s="196"/>
      <c r="J123" s="196">
        <v>1</v>
      </c>
      <c r="K123" s="196"/>
      <c r="L123" s="196">
        <v>0</v>
      </c>
      <c r="M123" s="196"/>
      <c r="N123" s="196">
        <v>0</v>
      </c>
      <c r="O123" s="196"/>
      <c r="P123" s="196">
        <f t="shared" si="43"/>
        <v>11</v>
      </c>
      <c r="Q123" s="196"/>
      <c r="R123" s="196">
        <f t="shared" si="44"/>
        <v>13</v>
      </c>
      <c r="S123" s="201">
        <f t="shared" si="44"/>
        <v>0</v>
      </c>
      <c r="T123" s="298"/>
    </row>
    <row r="124" spans="1:21" x14ac:dyDescent="0.25">
      <c r="A124" s="166">
        <v>6</v>
      </c>
      <c r="B124" s="168" t="s">
        <v>23</v>
      </c>
      <c r="C124" s="196">
        <v>59</v>
      </c>
      <c r="D124" s="196">
        <v>5</v>
      </c>
      <c r="E124" s="196">
        <f>'okt-mar'!J60</f>
        <v>0</v>
      </c>
      <c r="F124" s="196">
        <v>0</v>
      </c>
      <c r="G124" s="196">
        <v>0</v>
      </c>
      <c r="H124" s="196">
        <v>4</v>
      </c>
      <c r="I124" s="196"/>
      <c r="J124" s="196">
        <v>1</v>
      </c>
      <c r="K124" s="196"/>
      <c r="L124" s="196">
        <v>0</v>
      </c>
      <c r="M124" s="196"/>
      <c r="N124" s="196">
        <v>0</v>
      </c>
      <c r="O124" s="196"/>
      <c r="P124" s="196">
        <f t="shared" si="43"/>
        <v>10</v>
      </c>
      <c r="Q124" s="196"/>
      <c r="R124" s="196">
        <f t="shared" si="44"/>
        <v>10</v>
      </c>
      <c r="S124" s="201">
        <f t="shared" si="44"/>
        <v>0</v>
      </c>
      <c r="T124" s="298"/>
    </row>
    <row r="125" spans="1:21" x14ac:dyDescent="0.25">
      <c r="A125" s="166">
        <v>7</v>
      </c>
      <c r="B125" s="168" t="s">
        <v>24</v>
      </c>
      <c r="C125" s="196">
        <v>405</v>
      </c>
      <c r="D125" s="196">
        <v>4</v>
      </c>
      <c r="E125" s="196">
        <f>'okt-mar'!J61</f>
        <v>0</v>
      </c>
      <c r="F125" s="196">
        <v>0</v>
      </c>
      <c r="G125" s="196">
        <v>0</v>
      </c>
      <c r="H125" s="196">
        <v>4</v>
      </c>
      <c r="I125" s="196"/>
      <c r="J125" s="196">
        <v>0</v>
      </c>
      <c r="K125" s="196"/>
      <c r="L125" s="196">
        <v>0</v>
      </c>
      <c r="M125" s="196"/>
      <c r="N125" s="196">
        <v>0</v>
      </c>
      <c r="O125" s="196"/>
      <c r="P125" s="196">
        <f t="shared" si="43"/>
        <v>8</v>
      </c>
      <c r="Q125" s="196"/>
      <c r="R125" s="196">
        <f t="shared" si="44"/>
        <v>8</v>
      </c>
      <c r="S125" s="201">
        <f t="shared" si="44"/>
        <v>0</v>
      </c>
      <c r="T125" s="298"/>
    </row>
    <row r="126" spans="1:21" ht="15.75" thickBot="1" x14ac:dyDescent="0.3">
      <c r="A126" s="169">
        <v>8</v>
      </c>
      <c r="B126" s="167" t="s">
        <v>25</v>
      </c>
      <c r="C126" s="197">
        <v>280</v>
      </c>
      <c r="D126" s="199">
        <v>5</v>
      </c>
      <c r="E126" s="197">
        <f>'okt-mar'!J62</f>
        <v>0</v>
      </c>
      <c r="F126" s="199">
        <v>0</v>
      </c>
      <c r="G126" s="199">
        <v>1</v>
      </c>
      <c r="H126" s="199">
        <v>4</v>
      </c>
      <c r="I126" s="199"/>
      <c r="J126" s="199">
        <v>1</v>
      </c>
      <c r="K126" s="199"/>
      <c r="L126" s="199">
        <v>0</v>
      </c>
      <c r="M126" s="199"/>
      <c r="N126" s="199">
        <v>0</v>
      </c>
      <c r="O126" s="199"/>
      <c r="P126" s="195">
        <f t="shared" si="43"/>
        <v>10</v>
      </c>
      <c r="Q126" s="195"/>
      <c r="R126" s="195">
        <f t="shared" si="44"/>
        <v>13</v>
      </c>
      <c r="S126" s="200">
        <f t="shared" si="44"/>
        <v>3</v>
      </c>
      <c r="T126" s="298"/>
    </row>
    <row r="127" spans="1:21" ht="16.5" thickTop="1" thickBot="1" x14ac:dyDescent="0.3">
      <c r="A127" s="392" t="s">
        <v>26</v>
      </c>
      <c r="B127" s="393"/>
      <c r="C127" s="198">
        <f>SUM(C119:C126)</f>
        <v>3630</v>
      </c>
      <c r="D127" s="198">
        <f t="shared" ref="D127:R127" si="45">SUM(D119:D126)</f>
        <v>38</v>
      </c>
      <c r="E127" s="198">
        <f t="shared" si="45"/>
        <v>0</v>
      </c>
      <c r="F127" s="198">
        <f t="shared" si="45"/>
        <v>3</v>
      </c>
      <c r="G127" s="198">
        <f t="shared" si="45"/>
        <v>3</v>
      </c>
      <c r="H127" s="198">
        <f t="shared" si="45"/>
        <v>27</v>
      </c>
      <c r="I127" s="198">
        <f t="shared" si="45"/>
        <v>0</v>
      </c>
      <c r="J127" s="198">
        <f t="shared" si="45"/>
        <v>15</v>
      </c>
      <c r="K127" s="198">
        <f t="shared" si="45"/>
        <v>0</v>
      </c>
      <c r="L127" s="198">
        <f t="shared" si="45"/>
        <v>0</v>
      </c>
      <c r="M127" s="198">
        <f t="shared" si="45"/>
        <v>0</v>
      </c>
      <c r="N127" s="198">
        <f t="shared" si="45"/>
        <v>0</v>
      </c>
      <c r="O127" s="198">
        <f t="shared" si="45"/>
        <v>0</v>
      </c>
      <c r="P127" s="202">
        <f t="shared" si="45"/>
        <v>83</v>
      </c>
      <c r="Q127" s="202">
        <f t="shared" si="45"/>
        <v>0</v>
      </c>
      <c r="R127" s="202">
        <f t="shared" si="45"/>
        <v>100</v>
      </c>
      <c r="S127" s="203">
        <f>SUM(S119:S126)</f>
        <v>54</v>
      </c>
      <c r="T127" s="299"/>
      <c r="U127" s="274">
        <f>S127/R127*100</f>
        <v>54</v>
      </c>
    </row>
  </sheetData>
  <mergeCells count="162">
    <mergeCell ref="T18:T19"/>
    <mergeCell ref="A2:T2"/>
    <mergeCell ref="A1:T1"/>
    <mergeCell ref="P118:Q118"/>
    <mergeCell ref="R118:S118"/>
    <mergeCell ref="A127:B127"/>
    <mergeCell ref="D118:E118"/>
    <mergeCell ref="F118:G118"/>
    <mergeCell ref="H118:I118"/>
    <mergeCell ref="J118:K118"/>
    <mergeCell ref="L118:M118"/>
    <mergeCell ref="N118:O118"/>
    <mergeCell ref="R115:S116"/>
    <mergeCell ref="D116:E116"/>
    <mergeCell ref="F116:G116"/>
    <mergeCell ref="H116:I116"/>
    <mergeCell ref="J116:K116"/>
    <mergeCell ref="L116:M116"/>
    <mergeCell ref="N116:O116"/>
    <mergeCell ref="N104:O104"/>
    <mergeCell ref="P104:Q104"/>
    <mergeCell ref="A113:B113"/>
    <mergeCell ref="A115:A117"/>
    <mergeCell ref="B115:B117"/>
    <mergeCell ref="D115:O115"/>
    <mergeCell ref="P115:Q116"/>
    <mergeCell ref="F102:G102"/>
    <mergeCell ref="H102:I102"/>
    <mergeCell ref="J102:K102"/>
    <mergeCell ref="L102:M102"/>
    <mergeCell ref="N102:O102"/>
    <mergeCell ref="D104:E104"/>
    <mergeCell ref="F104:G104"/>
    <mergeCell ref="H104:I104"/>
    <mergeCell ref="J104:K104"/>
    <mergeCell ref="L104:M104"/>
    <mergeCell ref="P86:Q86"/>
    <mergeCell ref="R86:S86"/>
    <mergeCell ref="A95:B95"/>
    <mergeCell ref="A98:S98"/>
    <mergeCell ref="A99:S99"/>
    <mergeCell ref="A101:A103"/>
    <mergeCell ref="B101:B103"/>
    <mergeCell ref="D101:O101"/>
    <mergeCell ref="P101:Q102"/>
    <mergeCell ref="D102:E102"/>
    <mergeCell ref="D86:E86"/>
    <mergeCell ref="F86:G86"/>
    <mergeCell ref="H86:I86"/>
    <mergeCell ref="J86:K86"/>
    <mergeCell ref="L86:M86"/>
    <mergeCell ref="N86:O86"/>
    <mergeCell ref="R83:S84"/>
    <mergeCell ref="D84:E84"/>
    <mergeCell ref="F84:G84"/>
    <mergeCell ref="H84:I84"/>
    <mergeCell ref="J84:K84"/>
    <mergeCell ref="L84:M84"/>
    <mergeCell ref="N84:O84"/>
    <mergeCell ref="N72:O72"/>
    <mergeCell ref="P72:Q72"/>
    <mergeCell ref="A81:B81"/>
    <mergeCell ref="A83:A85"/>
    <mergeCell ref="B83:B85"/>
    <mergeCell ref="D83:O83"/>
    <mergeCell ref="P83:Q84"/>
    <mergeCell ref="F70:G70"/>
    <mergeCell ref="H70:I70"/>
    <mergeCell ref="J70:K70"/>
    <mergeCell ref="L70:M70"/>
    <mergeCell ref="N70:O70"/>
    <mergeCell ref="D72:E72"/>
    <mergeCell ref="F72:G72"/>
    <mergeCell ref="H72:I72"/>
    <mergeCell ref="J72:K72"/>
    <mergeCell ref="L72:M72"/>
    <mergeCell ref="P54:Q54"/>
    <mergeCell ref="R54:S54"/>
    <mergeCell ref="A63:B63"/>
    <mergeCell ref="A66:S66"/>
    <mergeCell ref="A67:S67"/>
    <mergeCell ref="A69:A71"/>
    <mergeCell ref="B69:B71"/>
    <mergeCell ref="D69:O69"/>
    <mergeCell ref="P69:Q70"/>
    <mergeCell ref="D70:E70"/>
    <mergeCell ref="D54:E54"/>
    <mergeCell ref="F54:G54"/>
    <mergeCell ref="H54:I54"/>
    <mergeCell ref="J54:K54"/>
    <mergeCell ref="L54:M54"/>
    <mergeCell ref="N54:O54"/>
    <mergeCell ref="R51:S52"/>
    <mergeCell ref="D52:E52"/>
    <mergeCell ref="F52:G52"/>
    <mergeCell ref="H52:I52"/>
    <mergeCell ref="J52:K52"/>
    <mergeCell ref="L52:M52"/>
    <mergeCell ref="N52:O52"/>
    <mergeCell ref="N40:O40"/>
    <mergeCell ref="P40:Q40"/>
    <mergeCell ref="A49:B49"/>
    <mergeCell ref="A51:A53"/>
    <mergeCell ref="B51:B53"/>
    <mergeCell ref="D51:O51"/>
    <mergeCell ref="P51:Q52"/>
    <mergeCell ref="F38:G38"/>
    <mergeCell ref="H38:I38"/>
    <mergeCell ref="J38:K38"/>
    <mergeCell ref="L38:M38"/>
    <mergeCell ref="N38:O38"/>
    <mergeCell ref="D40:E40"/>
    <mergeCell ref="F40:G40"/>
    <mergeCell ref="H40:I40"/>
    <mergeCell ref="J40:K40"/>
    <mergeCell ref="L40:M40"/>
    <mergeCell ref="A30:B30"/>
    <mergeCell ref="A34:S34"/>
    <mergeCell ref="A35:S35"/>
    <mergeCell ref="A37:A39"/>
    <mergeCell ref="B37:B39"/>
    <mergeCell ref="D37:O37"/>
    <mergeCell ref="P37:Q38"/>
    <mergeCell ref="D38:E38"/>
    <mergeCell ref="D21:E21"/>
    <mergeCell ref="F21:G21"/>
    <mergeCell ref="H21:I21"/>
    <mergeCell ref="J21:K21"/>
    <mergeCell ref="L21:M21"/>
    <mergeCell ref="N21:O21"/>
    <mergeCell ref="R4:R5"/>
    <mergeCell ref="L5:M5"/>
    <mergeCell ref="N5:O5"/>
    <mergeCell ref="P21:Q21"/>
    <mergeCell ref="R21:S21"/>
    <mergeCell ref="R18:S19"/>
    <mergeCell ref="D19:E19"/>
    <mergeCell ref="F19:G19"/>
    <mergeCell ref="H19:I19"/>
    <mergeCell ref="J19:K19"/>
    <mergeCell ref="L19:M19"/>
    <mergeCell ref="N19:O19"/>
    <mergeCell ref="P7:Q7"/>
    <mergeCell ref="A4:A6"/>
    <mergeCell ref="B4:B6"/>
    <mergeCell ref="D4:O4"/>
    <mergeCell ref="A16:B16"/>
    <mergeCell ref="A18:A20"/>
    <mergeCell ref="B18:B20"/>
    <mergeCell ref="D18:O18"/>
    <mergeCell ref="P18:Q19"/>
    <mergeCell ref="D7:E7"/>
    <mergeCell ref="F7:G7"/>
    <mergeCell ref="H7:I7"/>
    <mergeCell ref="J7:K7"/>
    <mergeCell ref="L7:M7"/>
    <mergeCell ref="N7:O7"/>
    <mergeCell ref="P4:Q5"/>
    <mergeCell ref="D5:E5"/>
    <mergeCell ref="F5:G5"/>
    <mergeCell ref="H5:I5"/>
    <mergeCell ref="J5:K5"/>
  </mergeCells>
  <pageMargins left="0.7" right="0.7" top="0.75" bottom="0.75" header="0.3" footer="0.3"/>
  <pageSetup paperSize="5" scale="90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9"/>
  <sheetViews>
    <sheetView topLeftCell="A10" zoomScale="90" zoomScaleNormal="90" workbookViewId="0">
      <selection activeCell="M25" sqref="M25"/>
    </sheetView>
  </sheetViews>
  <sheetFormatPr defaultRowHeight="15" x14ac:dyDescent="0.25"/>
  <cols>
    <col min="1" max="1" width="4.28515625" customWidth="1"/>
    <col min="2" max="2" width="12.28515625" customWidth="1"/>
    <col min="3" max="3" width="10.28515625" customWidth="1"/>
    <col min="4" max="17" width="7.140625" customWidth="1"/>
    <col min="18" max="19" width="6.7109375" customWidth="1"/>
    <col min="20" max="20" width="6.140625" customWidth="1"/>
    <col min="21" max="21" width="7.5703125" customWidth="1"/>
    <col min="22" max="34" width="7.140625" customWidth="1"/>
  </cols>
  <sheetData>
    <row r="1" spans="1:31" x14ac:dyDescent="0.25">
      <c r="A1" t="s">
        <v>157</v>
      </c>
    </row>
    <row r="3" spans="1:31" ht="15.75" x14ac:dyDescent="0.25">
      <c r="A3" s="380" t="s">
        <v>107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</row>
    <row r="4" spans="1:31" ht="15.75" x14ac:dyDescent="0.25">
      <c r="A4" s="380" t="s">
        <v>82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0"/>
    </row>
    <row r="5" spans="1:31" ht="15.75" thickBot="1" x14ac:dyDescent="0.3"/>
    <row r="6" spans="1:31" ht="25.5" x14ac:dyDescent="0.25">
      <c r="A6" s="387" t="s">
        <v>2</v>
      </c>
      <c r="B6" s="389" t="s">
        <v>3</v>
      </c>
      <c r="C6" s="283" t="s">
        <v>93</v>
      </c>
      <c r="D6" s="391" t="s">
        <v>94</v>
      </c>
      <c r="E6" s="391"/>
      <c r="F6" s="391"/>
      <c r="G6" s="391"/>
      <c r="H6" s="391"/>
      <c r="I6" s="391"/>
      <c r="J6" s="391"/>
      <c r="K6" s="391"/>
      <c r="L6" s="391"/>
      <c r="M6" s="391"/>
      <c r="N6" s="391"/>
      <c r="O6" s="391"/>
      <c r="P6" s="394" t="s">
        <v>83</v>
      </c>
      <c r="Q6" s="404"/>
      <c r="R6" s="187"/>
      <c r="S6" s="187"/>
    </row>
    <row r="7" spans="1:31" ht="25.5" x14ac:dyDescent="0.25">
      <c r="A7" s="388"/>
      <c r="B7" s="390"/>
      <c r="C7" s="189" t="s">
        <v>101</v>
      </c>
      <c r="D7" s="395" t="s">
        <v>97</v>
      </c>
      <c r="E7" s="395"/>
      <c r="F7" s="395" t="s">
        <v>98</v>
      </c>
      <c r="G7" s="395"/>
      <c r="H7" s="395" t="s">
        <v>99</v>
      </c>
      <c r="I7" s="395"/>
      <c r="J7" s="395" t="s">
        <v>96</v>
      </c>
      <c r="K7" s="395"/>
      <c r="L7" s="395" t="s">
        <v>100</v>
      </c>
      <c r="M7" s="395"/>
      <c r="N7" s="395" t="s">
        <v>8</v>
      </c>
      <c r="O7" s="395"/>
      <c r="P7" s="395"/>
      <c r="Q7" s="405"/>
      <c r="R7" s="187"/>
      <c r="S7" s="187"/>
    </row>
    <row r="8" spans="1:31" x14ac:dyDescent="0.25">
      <c r="A8" s="388"/>
      <c r="B8" s="390"/>
      <c r="C8" s="284" t="s">
        <v>1</v>
      </c>
      <c r="D8" s="301" t="s">
        <v>95</v>
      </c>
      <c r="E8" s="301" t="s">
        <v>88</v>
      </c>
      <c r="F8" s="301" t="s">
        <v>95</v>
      </c>
      <c r="G8" s="301" t="s">
        <v>88</v>
      </c>
      <c r="H8" s="301" t="s">
        <v>95</v>
      </c>
      <c r="I8" s="301" t="s">
        <v>88</v>
      </c>
      <c r="J8" s="301" t="s">
        <v>95</v>
      </c>
      <c r="K8" s="301" t="s">
        <v>88</v>
      </c>
      <c r="L8" s="301" t="s">
        <v>95</v>
      </c>
      <c r="M8" s="301" t="s">
        <v>88</v>
      </c>
      <c r="N8" s="301" t="s">
        <v>95</v>
      </c>
      <c r="O8" s="301" t="s">
        <v>88</v>
      </c>
      <c r="P8" s="301" t="s">
        <v>95</v>
      </c>
      <c r="Q8" s="302" t="s">
        <v>88</v>
      </c>
      <c r="R8" s="187"/>
      <c r="S8" s="187"/>
    </row>
    <row r="9" spans="1:31" ht="15.75" thickBot="1" x14ac:dyDescent="0.3">
      <c r="A9" s="160">
        <v>1</v>
      </c>
      <c r="B9" s="161">
        <v>2</v>
      </c>
      <c r="C9" s="281">
        <v>3</v>
      </c>
      <c r="D9" s="396">
        <v>4</v>
      </c>
      <c r="E9" s="396"/>
      <c r="F9" s="396">
        <v>5</v>
      </c>
      <c r="G9" s="396"/>
      <c r="H9" s="396">
        <v>6</v>
      </c>
      <c r="I9" s="396"/>
      <c r="J9" s="396">
        <v>7</v>
      </c>
      <c r="K9" s="396"/>
      <c r="L9" s="396">
        <v>8</v>
      </c>
      <c r="M9" s="396"/>
      <c r="N9" s="396">
        <v>9</v>
      </c>
      <c r="O9" s="396"/>
      <c r="P9" s="396">
        <v>10</v>
      </c>
      <c r="Q9" s="406"/>
      <c r="R9" s="187"/>
      <c r="S9" s="187"/>
    </row>
    <row r="10" spans="1:31" ht="15.75" thickTop="1" x14ac:dyDescent="0.25">
      <c r="A10" s="162">
        <v>1</v>
      </c>
      <c r="B10" s="163" t="s">
        <v>18</v>
      </c>
      <c r="C10" s="195">
        <v>1799</v>
      </c>
      <c r="D10" s="195">
        <v>0</v>
      </c>
      <c r="E10" s="195">
        <v>0</v>
      </c>
      <c r="F10" s="195">
        <v>0</v>
      </c>
      <c r="G10" s="195">
        <v>1.93</v>
      </c>
      <c r="H10" s="195">
        <v>10</v>
      </c>
      <c r="I10" s="195">
        <v>43.515000000000001</v>
      </c>
      <c r="J10" s="195">
        <v>31</v>
      </c>
      <c r="K10" s="195">
        <f>SUM(K43,K75)</f>
        <v>169.92</v>
      </c>
      <c r="L10" s="195">
        <v>221</v>
      </c>
      <c r="M10" s="195">
        <f>SUM(M43,M75)</f>
        <v>43.199999999999996</v>
      </c>
      <c r="N10" s="195">
        <v>53</v>
      </c>
      <c r="O10" s="195">
        <f>SUM(O43,O75)</f>
        <v>0</v>
      </c>
      <c r="P10" s="195">
        <f>SUM(D10,F10,H10,J10,L10,N10)</f>
        <v>315</v>
      </c>
      <c r="Q10" s="200">
        <f>SUM(E10,G10,I10,K10,M10,O10)</f>
        <v>258.565</v>
      </c>
      <c r="R10" s="187"/>
      <c r="V10">
        <v>299</v>
      </c>
      <c r="W10">
        <v>258.565</v>
      </c>
      <c r="X10" s="206">
        <f t="shared" ref="X10:X17" si="0">SUM(E10,G10,I10)</f>
        <v>45.445</v>
      </c>
      <c r="Y10">
        <v>292</v>
      </c>
      <c r="Z10">
        <v>0</v>
      </c>
      <c r="AA10">
        <f>Z10*0.96</f>
        <v>0</v>
      </c>
      <c r="AB10">
        <v>2</v>
      </c>
      <c r="AC10">
        <f>AB10*0.965</f>
        <v>1.93</v>
      </c>
      <c r="AD10">
        <v>45</v>
      </c>
      <c r="AE10">
        <f>AD10*0.967</f>
        <v>43.515000000000001</v>
      </c>
    </row>
    <row r="11" spans="1:31" x14ac:dyDescent="0.25">
      <c r="A11" s="164">
        <v>2</v>
      </c>
      <c r="B11" s="165" t="s">
        <v>19</v>
      </c>
      <c r="C11" s="196">
        <v>243</v>
      </c>
      <c r="D11" s="196">
        <v>3</v>
      </c>
      <c r="E11" s="196">
        <v>4.75</v>
      </c>
      <c r="F11" s="196">
        <v>47</v>
      </c>
      <c r="G11" s="196">
        <v>26.055</v>
      </c>
      <c r="H11" s="196">
        <v>105</v>
      </c>
      <c r="I11" s="196">
        <v>138.28100000000001</v>
      </c>
      <c r="J11" s="196">
        <v>78</v>
      </c>
      <c r="K11" s="196">
        <f>SUM(K44,K76)</f>
        <v>23.04</v>
      </c>
      <c r="L11" s="196">
        <v>45</v>
      </c>
      <c r="M11" s="196">
        <f t="shared" ref="M11:M17" si="1">SUM(M44,M76)</f>
        <v>8.64</v>
      </c>
      <c r="N11" s="196">
        <v>20</v>
      </c>
      <c r="O11" s="196">
        <f t="shared" ref="O11:O17" si="2">SUM(O44,O76)</f>
        <v>0</v>
      </c>
      <c r="P11" s="196">
        <f t="shared" ref="P11:Q17" si="3">SUM(D11,F11,H11,J11,L11,N11)</f>
        <v>298</v>
      </c>
      <c r="Q11" s="201">
        <f t="shared" si="3"/>
        <v>200.76600000000002</v>
      </c>
      <c r="R11" s="187"/>
      <c r="V11">
        <v>298</v>
      </c>
      <c r="W11">
        <v>200.76600000000002</v>
      </c>
      <c r="X11" s="206">
        <f t="shared" si="0"/>
        <v>169.08600000000001</v>
      </c>
      <c r="Y11">
        <v>298</v>
      </c>
      <c r="Z11">
        <v>5</v>
      </c>
      <c r="AA11">
        <f t="shared" ref="AA11:AA17" si="4">Z11*0.96</f>
        <v>4.8</v>
      </c>
      <c r="AB11">
        <v>27</v>
      </c>
      <c r="AC11">
        <f t="shared" ref="AC11:AC17" si="5">AB11*0.965</f>
        <v>26.055</v>
      </c>
      <c r="AD11">
        <v>143</v>
      </c>
      <c r="AE11">
        <f t="shared" ref="AE11:AE17" si="6">AD11*0.967</f>
        <v>138.28100000000001</v>
      </c>
    </row>
    <row r="12" spans="1:31" x14ac:dyDescent="0.25">
      <c r="A12" s="164">
        <v>3</v>
      </c>
      <c r="B12" s="163" t="s">
        <v>20</v>
      </c>
      <c r="C12" s="196">
        <v>275</v>
      </c>
      <c r="D12" s="196">
        <v>40</v>
      </c>
      <c r="E12" s="196">
        <v>4.75</v>
      </c>
      <c r="F12" s="196">
        <v>0</v>
      </c>
      <c r="G12" s="196">
        <v>8.6850000000000005</v>
      </c>
      <c r="H12" s="196">
        <v>10</v>
      </c>
      <c r="I12" s="196">
        <v>24.175000000000001</v>
      </c>
      <c r="J12" s="196">
        <v>14</v>
      </c>
      <c r="K12" s="196">
        <f t="shared" ref="K12:K17" si="7">SUM(K45,K77)</f>
        <v>26.880000000000003</v>
      </c>
      <c r="L12" s="196">
        <v>0</v>
      </c>
      <c r="M12" s="196">
        <f t="shared" si="1"/>
        <v>4.8</v>
      </c>
      <c r="N12" s="196">
        <v>13</v>
      </c>
      <c r="O12" s="196">
        <f t="shared" si="2"/>
        <v>0</v>
      </c>
      <c r="P12" s="196">
        <f>SUM(D12,F12,H12,J12,L12,N12)</f>
        <v>77</v>
      </c>
      <c r="Q12" s="201">
        <f t="shared" si="3"/>
        <v>69.290000000000006</v>
      </c>
      <c r="R12" s="187"/>
      <c r="V12">
        <v>77</v>
      </c>
      <c r="W12">
        <v>69.290000000000006</v>
      </c>
      <c r="X12" s="206">
        <f t="shared" si="0"/>
        <v>37.61</v>
      </c>
      <c r="Y12">
        <v>84</v>
      </c>
      <c r="Z12">
        <v>5</v>
      </c>
      <c r="AA12">
        <f t="shared" si="4"/>
        <v>4.8</v>
      </c>
      <c r="AB12">
        <v>9</v>
      </c>
      <c r="AC12">
        <f t="shared" si="5"/>
        <v>8.6850000000000005</v>
      </c>
      <c r="AD12">
        <v>25</v>
      </c>
      <c r="AE12">
        <f t="shared" si="6"/>
        <v>24.175000000000001</v>
      </c>
    </row>
    <row r="13" spans="1:31" x14ac:dyDescent="0.25">
      <c r="A13" s="166">
        <v>4</v>
      </c>
      <c r="B13" s="167" t="s">
        <v>21</v>
      </c>
      <c r="C13" s="196">
        <v>206</v>
      </c>
      <c r="D13" s="196">
        <v>0</v>
      </c>
      <c r="E13" s="196">
        <v>8.5499999999999989</v>
      </c>
      <c r="F13" s="196">
        <v>0</v>
      </c>
      <c r="G13" s="196">
        <v>0.96499999999999997</v>
      </c>
      <c r="H13" s="196">
        <v>48</v>
      </c>
      <c r="I13" s="196">
        <v>34.811999999999998</v>
      </c>
      <c r="J13" s="196">
        <v>150</v>
      </c>
      <c r="K13" s="196">
        <f t="shared" si="7"/>
        <v>123.83999999999999</v>
      </c>
      <c r="L13" s="196">
        <v>0</v>
      </c>
      <c r="M13" s="196">
        <f t="shared" si="1"/>
        <v>19.2</v>
      </c>
      <c r="N13" s="196">
        <v>0</v>
      </c>
      <c r="O13" s="196">
        <f t="shared" si="2"/>
        <v>4.8</v>
      </c>
      <c r="P13" s="196">
        <f t="shared" si="3"/>
        <v>198</v>
      </c>
      <c r="Q13" s="201">
        <f t="shared" si="3"/>
        <v>192.16699999999997</v>
      </c>
      <c r="R13" s="187"/>
      <c r="V13">
        <v>184</v>
      </c>
      <c r="W13">
        <v>192.16699999999997</v>
      </c>
      <c r="X13" s="206">
        <f t="shared" si="0"/>
        <v>44.326999999999998</v>
      </c>
      <c r="Y13">
        <v>203</v>
      </c>
      <c r="Z13">
        <v>9</v>
      </c>
      <c r="AA13">
        <f t="shared" si="4"/>
        <v>8.64</v>
      </c>
      <c r="AB13">
        <v>1</v>
      </c>
      <c r="AC13">
        <f t="shared" si="5"/>
        <v>0.96499999999999997</v>
      </c>
      <c r="AD13">
        <v>36</v>
      </c>
      <c r="AE13">
        <f t="shared" si="6"/>
        <v>34.811999999999998</v>
      </c>
    </row>
    <row r="14" spans="1:31" x14ac:dyDescent="0.25">
      <c r="A14" s="166">
        <v>5</v>
      </c>
      <c r="B14" s="168" t="s">
        <v>22</v>
      </c>
      <c r="C14" s="196">
        <v>363</v>
      </c>
      <c r="D14" s="196">
        <v>0</v>
      </c>
      <c r="E14" s="196">
        <v>0</v>
      </c>
      <c r="F14" s="196">
        <v>0</v>
      </c>
      <c r="G14" s="196">
        <v>0</v>
      </c>
      <c r="H14" s="196">
        <v>50</v>
      </c>
      <c r="I14" s="196">
        <v>14.504999999999999</v>
      </c>
      <c r="J14" s="196">
        <v>138</v>
      </c>
      <c r="K14" s="196">
        <f t="shared" si="7"/>
        <v>159.35999999999999</v>
      </c>
      <c r="L14" s="196">
        <v>0</v>
      </c>
      <c r="M14" s="196">
        <f t="shared" si="1"/>
        <v>0</v>
      </c>
      <c r="N14" s="196">
        <v>17</v>
      </c>
      <c r="O14" s="196">
        <f t="shared" si="2"/>
        <v>0</v>
      </c>
      <c r="P14" s="196">
        <f t="shared" si="3"/>
        <v>205</v>
      </c>
      <c r="Q14" s="201">
        <f t="shared" si="3"/>
        <v>173.86499999999998</v>
      </c>
      <c r="R14" s="187"/>
      <c r="V14">
        <v>276</v>
      </c>
      <c r="W14">
        <v>173.86499999999998</v>
      </c>
      <c r="X14" s="206">
        <f t="shared" si="0"/>
        <v>14.504999999999999</v>
      </c>
      <c r="Y14">
        <v>184</v>
      </c>
      <c r="Z14">
        <v>0</v>
      </c>
      <c r="AA14">
        <f t="shared" si="4"/>
        <v>0</v>
      </c>
      <c r="AB14">
        <v>0</v>
      </c>
      <c r="AC14">
        <f t="shared" si="5"/>
        <v>0</v>
      </c>
      <c r="AD14">
        <v>15</v>
      </c>
      <c r="AE14">
        <f t="shared" si="6"/>
        <v>14.504999999999999</v>
      </c>
    </row>
    <row r="15" spans="1:31" x14ac:dyDescent="0.25">
      <c r="A15" s="166">
        <v>6</v>
      </c>
      <c r="B15" s="168" t="s">
        <v>23</v>
      </c>
      <c r="C15" s="196">
        <v>59</v>
      </c>
      <c r="D15" s="196">
        <v>0</v>
      </c>
      <c r="E15" s="196">
        <v>6.6499999999999995</v>
      </c>
      <c r="F15" s="196">
        <v>0</v>
      </c>
      <c r="G15" s="196">
        <v>41.494999999999997</v>
      </c>
      <c r="H15" s="196">
        <v>35</v>
      </c>
      <c r="I15" s="196">
        <v>0</v>
      </c>
      <c r="J15" s="196">
        <v>0</v>
      </c>
      <c r="K15" s="196">
        <f t="shared" si="7"/>
        <v>0</v>
      </c>
      <c r="L15" s="196">
        <v>10</v>
      </c>
      <c r="M15" s="196">
        <f t="shared" si="1"/>
        <v>0.96</v>
      </c>
      <c r="N15" s="196">
        <v>28</v>
      </c>
      <c r="O15" s="196">
        <f t="shared" si="2"/>
        <v>8.64</v>
      </c>
      <c r="P15" s="196">
        <f t="shared" si="3"/>
        <v>73</v>
      </c>
      <c r="Q15" s="201">
        <f t="shared" si="3"/>
        <v>57.744999999999997</v>
      </c>
      <c r="R15" s="187"/>
      <c r="V15">
        <v>57</v>
      </c>
      <c r="W15">
        <v>57.744999999999997</v>
      </c>
      <c r="X15" s="206">
        <f t="shared" si="0"/>
        <v>48.144999999999996</v>
      </c>
      <c r="Y15">
        <v>89</v>
      </c>
      <c r="Z15">
        <v>7</v>
      </c>
      <c r="AA15">
        <f t="shared" si="4"/>
        <v>6.72</v>
      </c>
      <c r="AB15">
        <v>43</v>
      </c>
      <c r="AC15">
        <f t="shared" si="5"/>
        <v>41.494999999999997</v>
      </c>
      <c r="AD15">
        <v>0</v>
      </c>
      <c r="AE15">
        <f t="shared" si="6"/>
        <v>0</v>
      </c>
    </row>
    <row r="16" spans="1:31" x14ac:dyDescent="0.25">
      <c r="A16" s="166">
        <v>7</v>
      </c>
      <c r="B16" s="168" t="s">
        <v>24</v>
      </c>
      <c r="C16" s="196">
        <v>405</v>
      </c>
      <c r="D16" s="196">
        <v>0</v>
      </c>
      <c r="E16" s="196">
        <v>14.25</v>
      </c>
      <c r="F16" s="196">
        <v>0</v>
      </c>
      <c r="G16" s="196">
        <v>13.51</v>
      </c>
      <c r="H16" s="196">
        <v>121</v>
      </c>
      <c r="I16" s="196">
        <v>131.512</v>
      </c>
      <c r="J16" s="196">
        <v>276</v>
      </c>
      <c r="K16" s="196">
        <f t="shared" si="7"/>
        <v>170.88</v>
      </c>
      <c r="L16" s="196">
        <v>0</v>
      </c>
      <c r="M16" s="196">
        <f t="shared" si="1"/>
        <v>2.88</v>
      </c>
      <c r="N16" s="196">
        <v>37</v>
      </c>
      <c r="O16" s="196">
        <f t="shared" si="2"/>
        <v>0</v>
      </c>
      <c r="P16" s="196">
        <f t="shared" si="3"/>
        <v>434</v>
      </c>
      <c r="Q16" s="201">
        <f t="shared" si="3"/>
        <v>333.03199999999998</v>
      </c>
      <c r="R16" s="187"/>
      <c r="V16">
        <v>430</v>
      </c>
      <c r="W16">
        <v>333.03199999999998</v>
      </c>
      <c r="X16" s="206">
        <f t="shared" si="0"/>
        <v>159.27199999999999</v>
      </c>
      <c r="Y16">
        <v>471</v>
      </c>
      <c r="Z16">
        <v>15</v>
      </c>
      <c r="AA16">
        <f t="shared" si="4"/>
        <v>14.399999999999999</v>
      </c>
      <c r="AB16">
        <v>14</v>
      </c>
      <c r="AC16">
        <f t="shared" si="5"/>
        <v>13.51</v>
      </c>
      <c r="AD16">
        <v>136</v>
      </c>
      <c r="AE16">
        <f t="shared" si="6"/>
        <v>131.512</v>
      </c>
    </row>
    <row r="17" spans="1:31" ht="15.75" thickBot="1" x14ac:dyDescent="0.3">
      <c r="A17" s="169">
        <v>8</v>
      </c>
      <c r="B17" s="167" t="s">
        <v>25</v>
      </c>
      <c r="C17" s="197">
        <v>280</v>
      </c>
      <c r="D17" s="197">
        <v>0</v>
      </c>
      <c r="E17" s="197">
        <v>24.7</v>
      </c>
      <c r="F17" s="197">
        <v>52</v>
      </c>
      <c r="G17" s="197">
        <v>120.625</v>
      </c>
      <c r="H17" s="197">
        <v>126</v>
      </c>
      <c r="I17" s="197">
        <v>117.97399999999999</v>
      </c>
      <c r="J17" s="197">
        <v>150</v>
      </c>
      <c r="K17" s="197">
        <f t="shared" si="7"/>
        <v>6.72</v>
      </c>
      <c r="L17" s="197">
        <v>0</v>
      </c>
      <c r="M17" s="197">
        <f t="shared" si="1"/>
        <v>31.68</v>
      </c>
      <c r="N17" s="197">
        <v>38</v>
      </c>
      <c r="O17" s="197">
        <f t="shared" si="2"/>
        <v>0</v>
      </c>
      <c r="P17" s="195">
        <f t="shared" si="3"/>
        <v>366</v>
      </c>
      <c r="Q17" s="200">
        <f t="shared" si="3"/>
        <v>301.69900000000001</v>
      </c>
      <c r="R17" s="187"/>
      <c r="V17">
        <v>345</v>
      </c>
      <c r="W17">
        <v>301.69900000000001</v>
      </c>
      <c r="X17" s="206">
        <f t="shared" si="0"/>
        <v>263.29899999999998</v>
      </c>
      <c r="Y17">
        <v>345</v>
      </c>
      <c r="Z17">
        <v>26</v>
      </c>
      <c r="AA17">
        <f t="shared" si="4"/>
        <v>24.96</v>
      </c>
      <c r="AB17">
        <v>125</v>
      </c>
      <c r="AC17">
        <f t="shared" si="5"/>
        <v>120.625</v>
      </c>
      <c r="AD17">
        <v>122</v>
      </c>
      <c r="AE17">
        <f t="shared" si="6"/>
        <v>117.97399999999999</v>
      </c>
    </row>
    <row r="18" spans="1:31" ht="16.5" thickTop="1" thickBot="1" x14ac:dyDescent="0.3">
      <c r="A18" s="392" t="s">
        <v>26</v>
      </c>
      <c r="B18" s="393"/>
      <c r="C18" s="198">
        <f>SUM(C10:C17)</f>
        <v>3630</v>
      </c>
      <c r="D18" s="198">
        <f t="shared" ref="D18:P18" si="8">SUM(D10:D17)</f>
        <v>43</v>
      </c>
      <c r="E18" s="198">
        <f t="shared" si="8"/>
        <v>63.649999999999991</v>
      </c>
      <c r="F18" s="198">
        <f t="shared" si="8"/>
        <v>99</v>
      </c>
      <c r="G18" s="198">
        <f t="shared" si="8"/>
        <v>213.26499999999999</v>
      </c>
      <c r="H18" s="198">
        <f t="shared" si="8"/>
        <v>505</v>
      </c>
      <c r="I18" s="198">
        <f t="shared" si="8"/>
        <v>504.774</v>
      </c>
      <c r="J18" s="198">
        <f t="shared" si="8"/>
        <v>837</v>
      </c>
      <c r="K18" s="198">
        <f t="shared" si="8"/>
        <v>680.64</v>
      </c>
      <c r="L18" s="198">
        <f t="shared" si="8"/>
        <v>276</v>
      </c>
      <c r="M18" s="198">
        <f t="shared" si="8"/>
        <v>111.35999999999999</v>
      </c>
      <c r="N18" s="198">
        <f t="shared" si="8"/>
        <v>206</v>
      </c>
      <c r="O18" s="198">
        <f t="shared" si="8"/>
        <v>13.440000000000001</v>
      </c>
      <c r="P18" s="202">
        <f t="shared" si="8"/>
        <v>1966</v>
      </c>
      <c r="Q18" s="203">
        <f>SUM(Q10:Q17)</f>
        <v>1587.1290000000001</v>
      </c>
      <c r="R18" s="187"/>
      <c r="V18">
        <v>1966</v>
      </c>
      <c r="W18">
        <v>1587.1290000000001</v>
      </c>
      <c r="X18" s="206">
        <f>SUM(X10:X17)</f>
        <v>781.68899999999996</v>
      </c>
      <c r="Y18">
        <f>SUM(Y10:Y17)</f>
        <v>1966</v>
      </c>
      <c r="Z18">
        <f>SUM(Z10:Z17)</f>
        <v>67</v>
      </c>
      <c r="AA18">
        <f t="shared" ref="AA18:AE18" si="9">SUM(AA10:AA17)</f>
        <v>64.319999999999993</v>
      </c>
      <c r="AB18">
        <f t="shared" si="9"/>
        <v>221</v>
      </c>
      <c r="AC18">
        <f t="shared" si="9"/>
        <v>213.26499999999999</v>
      </c>
      <c r="AD18">
        <f t="shared" si="9"/>
        <v>522</v>
      </c>
      <c r="AE18">
        <f t="shared" si="9"/>
        <v>504.774</v>
      </c>
    </row>
    <row r="19" spans="1:31" ht="15.75" thickBot="1" x14ac:dyDescent="0.3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</row>
    <row r="20" spans="1:31" ht="25.5" x14ac:dyDescent="0.25">
      <c r="A20" s="387" t="s">
        <v>2</v>
      </c>
      <c r="B20" s="389" t="s">
        <v>3</v>
      </c>
      <c r="C20" s="283" t="s">
        <v>93</v>
      </c>
      <c r="D20" s="391" t="s">
        <v>104</v>
      </c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4" t="s">
        <v>105</v>
      </c>
      <c r="Q20" s="394"/>
      <c r="R20" s="401" t="s">
        <v>106</v>
      </c>
      <c r="S20" s="409"/>
      <c r="T20" s="411" t="s">
        <v>156</v>
      </c>
      <c r="U20" s="310"/>
    </row>
    <row r="21" spans="1:31" ht="25.5" x14ac:dyDescent="0.25">
      <c r="A21" s="388"/>
      <c r="B21" s="390"/>
      <c r="C21" s="189" t="s">
        <v>101</v>
      </c>
      <c r="D21" s="395" t="s">
        <v>79</v>
      </c>
      <c r="E21" s="395"/>
      <c r="F21" s="395" t="s">
        <v>10</v>
      </c>
      <c r="G21" s="395"/>
      <c r="H21" s="395" t="s">
        <v>11</v>
      </c>
      <c r="I21" s="395"/>
      <c r="J21" s="395" t="s">
        <v>12</v>
      </c>
      <c r="K21" s="395"/>
      <c r="L21" s="395" t="s">
        <v>102</v>
      </c>
      <c r="M21" s="395"/>
      <c r="N21" s="395" t="s">
        <v>103</v>
      </c>
      <c r="O21" s="395"/>
      <c r="P21" s="395"/>
      <c r="Q21" s="395"/>
      <c r="R21" s="402"/>
      <c r="S21" s="410"/>
      <c r="T21" s="412"/>
      <c r="U21" s="310"/>
    </row>
    <row r="22" spans="1:31" x14ac:dyDescent="0.25">
      <c r="A22" s="388"/>
      <c r="B22" s="390"/>
      <c r="C22" s="284" t="s">
        <v>1</v>
      </c>
      <c r="D22" s="301" t="s">
        <v>95</v>
      </c>
      <c r="E22" s="301" t="s">
        <v>88</v>
      </c>
      <c r="F22" s="301" t="s">
        <v>95</v>
      </c>
      <c r="G22" s="301" t="s">
        <v>88</v>
      </c>
      <c r="H22" s="301" t="s">
        <v>95</v>
      </c>
      <c r="I22" s="301" t="s">
        <v>88</v>
      </c>
      <c r="J22" s="301" t="s">
        <v>95</v>
      </c>
      <c r="K22" s="301" t="s">
        <v>88</v>
      </c>
      <c r="L22" s="301" t="s">
        <v>95</v>
      </c>
      <c r="M22" s="301" t="s">
        <v>88</v>
      </c>
      <c r="N22" s="301" t="s">
        <v>95</v>
      </c>
      <c r="O22" s="301" t="s">
        <v>88</v>
      </c>
      <c r="P22" s="301" t="s">
        <v>95</v>
      </c>
      <c r="Q22" s="301" t="s">
        <v>88</v>
      </c>
      <c r="R22" s="301" t="s">
        <v>95</v>
      </c>
      <c r="S22" s="303" t="s">
        <v>88</v>
      </c>
      <c r="T22" s="412"/>
      <c r="U22" s="310"/>
    </row>
    <row r="23" spans="1:31" ht="15.75" thickBot="1" x14ac:dyDescent="0.3">
      <c r="A23" s="160">
        <v>1</v>
      </c>
      <c r="B23" s="161">
        <v>2</v>
      </c>
      <c r="C23" s="281">
        <v>3</v>
      </c>
      <c r="D23" s="396">
        <v>11</v>
      </c>
      <c r="E23" s="396"/>
      <c r="F23" s="396">
        <v>12</v>
      </c>
      <c r="G23" s="396"/>
      <c r="H23" s="396">
        <v>13</v>
      </c>
      <c r="I23" s="396"/>
      <c r="J23" s="396">
        <v>14</v>
      </c>
      <c r="K23" s="396"/>
      <c r="L23" s="396">
        <v>15</v>
      </c>
      <c r="M23" s="396"/>
      <c r="N23" s="396">
        <v>16</v>
      </c>
      <c r="O23" s="396"/>
      <c r="P23" s="396">
        <v>17</v>
      </c>
      <c r="Q23" s="396"/>
      <c r="R23" s="396">
        <v>18</v>
      </c>
      <c r="S23" s="403"/>
      <c r="T23" s="282">
        <v>19</v>
      </c>
      <c r="U23" s="297"/>
    </row>
    <row r="24" spans="1:31" ht="15.75" thickTop="1" x14ac:dyDescent="0.25">
      <c r="A24" s="162">
        <v>1</v>
      </c>
      <c r="B24" s="163" t="s">
        <v>18</v>
      </c>
      <c r="C24" s="195">
        <v>1799</v>
      </c>
      <c r="D24" s="195">
        <v>0</v>
      </c>
      <c r="E24" s="195">
        <f>SUM(E57,E89)</f>
        <v>0</v>
      </c>
      <c r="F24" s="195">
        <v>2</v>
      </c>
      <c r="G24" s="195">
        <f>SUM(G57,G89)</f>
        <v>33.25</v>
      </c>
      <c r="H24" s="195">
        <v>0</v>
      </c>
      <c r="I24" s="195">
        <v>29</v>
      </c>
      <c r="J24" s="195">
        <v>0</v>
      </c>
      <c r="K24" s="195">
        <v>0</v>
      </c>
      <c r="L24" s="195">
        <v>0</v>
      </c>
      <c r="M24" s="195">
        <v>0</v>
      </c>
      <c r="N24" s="195">
        <v>0</v>
      </c>
      <c r="O24" s="195">
        <f>SUM(O57,O89)</f>
        <v>0</v>
      </c>
      <c r="P24" s="195">
        <f>SUM(D24,F24,H24,J24,L24,N24)</f>
        <v>2</v>
      </c>
      <c r="Q24" s="195">
        <f>SUM(E24,G24,I24,K24,M24,O24)</f>
        <v>62.25</v>
      </c>
      <c r="R24" s="195">
        <f>SUM(P10,P24)</f>
        <v>317</v>
      </c>
      <c r="S24" s="304">
        <f>SUM(Q10,Q24)</f>
        <v>320.815</v>
      </c>
      <c r="T24" s="307">
        <f>S24-R24</f>
        <v>3.8149999999999977</v>
      </c>
      <c r="U24" s="311"/>
      <c r="X24">
        <v>311</v>
      </c>
      <c r="Z24" s="294">
        <f t="shared" ref="Z24:Z31" si="10">R24-S24</f>
        <v>-3.8149999999999977</v>
      </c>
      <c r="AA24" s="294">
        <f>S24-R24</f>
        <v>3.8149999999999977</v>
      </c>
    </row>
    <row r="25" spans="1:31" x14ac:dyDescent="0.25">
      <c r="A25" s="164">
        <v>2</v>
      </c>
      <c r="B25" s="165" t="s">
        <v>19</v>
      </c>
      <c r="C25" s="196">
        <v>243</v>
      </c>
      <c r="D25" s="196">
        <v>27</v>
      </c>
      <c r="E25" s="196">
        <f t="shared" ref="E25:E31" si="11">SUM(E58,E90)</f>
        <v>0</v>
      </c>
      <c r="F25" s="196">
        <v>20</v>
      </c>
      <c r="G25" s="196">
        <f t="shared" ref="G25:G31" si="12">SUM(G58,G90)</f>
        <v>95</v>
      </c>
      <c r="H25" s="196">
        <v>5</v>
      </c>
      <c r="I25" s="196">
        <v>49</v>
      </c>
      <c r="J25" s="196">
        <v>0</v>
      </c>
      <c r="K25" s="196">
        <v>0</v>
      </c>
      <c r="L25" s="196">
        <v>0</v>
      </c>
      <c r="M25" s="196">
        <v>4</v>
      </c>
      <c r="N25" s="196">
        <v>0</v>
      </c>
      <c r="O25" s="196">
        <f t="shared" ref="O25:O31" si="13">SUM(O58,O90)</f>
        <v>0</v>
      </c>
      <c r="P25" s="196">
        <f t="shared" ref="P25:Q31" si="14">SUM(D25,F25,H25,J25,L25,N25)</f>
        <v>52</v>
      </c>
      <c r="Q25" s="196">
        <f t="shared" si="14"/>
        <v>148</v>
      </c>
      <c r="R25" s="196">
        <f t="shared" ref="R25:S31" si="15">SUM(P11,P25)</f>
        <v>350</v>
      </c>
      <c r="S25" s="305">
        <f t="shared" si="15"/>
        <v>348.76600000000002</v>
      </c>
      <c r="T25" s="308">
        <f t="shared" ref="T25:T31" si="16">S25-R25</f>
        <v>-1.2339999999999804</v>
      </c>
      <c r="U25" s="312"/>
      <c r="X25">
        <v>350</v>
      </c>
      <c r="Z25" s="294">
        <f t="shared" si="10"/>
        <v>1.2339999999999804</v>
      </c>
      <c r="AA25" s="294">
        <f t="shared" ref="AA25:AA31" si="17">S25-R25</f>
        <v>-1.2339999999999804</v>
      </c>
    </row>
    <row r="26" spans="1:31" x14ac:dyDescent="0.25">
      <c r="A26" s="164">
        <v>3</v>
      </c>
      <c r="B26" s="163" t="s">
        <v>20</v>
      </c>
      <c r="C26" s="196">
        <v>275</v>
      </c>
      <c r="D26" s="196">
        <v>10</v>
      </c>
      <c r="E26" s="196">
        <f t="shared" si="11"/>
        <v>0</v>
      </c>
      <c r="F26" s="196">
        <v>0</v>
      </c>
      <c r="G26" s="196">
        <f t="shared" si="12"/>
        <v>9.5</v>
      </c>
      <c r="H26" s="196">
        <v>0</v>
      </c>
      <c r="I26" s="196">
        <v>0</v>
      </c>
      <c r="J26" s="196">
        <v>0</v>
      </c>
      <c r="K26" s="196">
        <v>0</v>
      </c>
      <c r="L26" s="196">
        <v>0</v>
      </c>
      <c r="M26" s="196">
        <v>0</v>
      </c>
      <c r="N26" s="196">
        <v>0</v>
      </c>
      <c r="O26" s="196">
        <f t="shared" si="13"/>
        <v>0</v>
      </c>
      <c r="P26" s="196">
        <f t="shared" si="14"/>
        <v>10</v>
      </c>
      <c r="Q26" s="196">
        <f t="shared" si="14"/>
        <v>9.5</v>
      </c>
      <c r="R26" s="196">
        <f>SUM(P12,P26)</f>
        <v>87</v>
      </c>
      <c r="S26" s="305">
        <f t="shared" si="15"/>
        <v>78.790000000000006</v>
      </c>
      <c r="T26" s="308">
        <f t="shared" si="16"/>
        <v>-8.2099999999999937</v>
      </c>
      <c r="U26" s="312"/>
      <c r="X26">
        <v>94</v>
      </c>
      <c r="Z26" s="294">
        <f t="shared" si="10"/>
        <v>8.2099999999999937</v>
      </c>
      <c r="AA26" s="294">
        <f t="shared" si="17"/>
        <v>-8.2099999999999937</v>
      </c>
    </row>
    <row r="27" spans="1:31" x14ac:dyDescent="0.25">
      <c r="A27" s="166">
        <v>4</v>
      </c>
      <c r="B27" s="167" t="s">
        <v>21</v>
      </c>
      <c r="C27" s="196">
        <v>206</v>
      </c>
      <c r="D27" s="196">
        <v>0</v>
      </c>
      <c r="E27" s="196">
        <f t="shared" si="11"/>
        <v>0</v>
      </c>
      <c r="F27" s="196">
        <v>15</v>
      </c>
      <c r="G27" s="196">
        <f t="shared" si="12"/>
        <v>2.8499999999999996</v>
      </c>
      <c r="H27" s="196">
        <v>0</v>
      </c>
      <c r="I27" s="196">
        <v>10</v>
      </c>
      <c r="J27" s="196">
        <v>0</v>
      </c>
      <c r="K27" s="196">
        <v>0</v>
      </c>
      <c r="L27" s="196">
        <v>0</v>
      </c>
      <c r="M27" s="196">
        <v>1</v>
      </c>
      <c r="N27" s="196">
        <v>5</v>
      </c>
      <c r="O27" s="196">
        <f t="shared" si="13"/>
        <v>0</v>
      </c>
      <c r="P27" s="196">
        <f t="shared" si="14"/>
        <v>20</v>
      </c>
      <c r="Q27" s="196">
        <f t="shared" si="14"/>
        <v>13.85</v>
      </c>
      <c r="R27" s="196">
        <f t="shared" si="15"/>
        <v>218</v>
      </c>
      <c r="S27" s="305">
        <f t="shared" si="15"/>
        <v>206.01699999999997</v>
      </c>
      <c r="T27" s="308">
        <f t="shared" si="16"/>
        <v>-11.983000000000033</v>
      </c>
      <c r="U27" s="312"/>
      <c r="X27">
        <v>235</v>
      </c>
      <c r="Z27" s="294">
        <f t="shared" si="10"/>
        <v>11.983000000000033</v>
      </c>
      <c r="AA27" s="294">
        <f t="shared" si="17"/>
        <v>-11.983000000000033</v>
      </c>
    </row>
    <row r="28" spans="1:31" x14ac:dyDescent="0.25">
      <c r="A28" s="166">
        <v>5</v>
      </c>
      <c r="B28" s="168" t="s">
        <v>22</v>
      </c>
      <c r="C28" s="196">
        <v>363</v>
      </c>
      <c r="D28" s="196">
        <v>0</v>
      </c>
      <c r="E28" s="196">
        <f t="shared" si="11"/>
        <v>7.6</v>
      </c>
      <c r="F28" s="196">
        <v>0</v>
      </c>
      <c r="G28" s="196">
        <f t="shared" si="12"/>
        <v>12.35</v>
      </c>
      <c r="H28" s="196">
        <v>0</v>
      </c>
      <c r="I28" s="196">
        <v>0</v>
      </c>
      <c r="J28" s="196">
        <v>0</v>
      </c>
      <c r="K28" s="196">
        <v>0</v>
      </c>
      <c r="L28" s="196">
        <v>0</v>
      </c>
      <c r="M28" s="196">
        <v>0</v>
      </c>
      <c r="N28" s="196">
        <v>0</v>
      </c>
      <c r="O28" s="196">
        <f t="shared" si="13"/>
        <v>0</v>
      </c>
      <c r="P28" s="196">
        <f t="shared" si="14"/>
        <v>0</v>
      </c>
      <c r="Q28" s="196">
        <f t="shared" si="14"/>
        <v>19.95</v>
      </c>
      <c r="R28" s="196">
        <f t="shared" si="15"/>
        <v>205</v>
      </c>
      <c r="S28" s="305">
        <f t="shared" si="15"/>
        <v>193.81499999999997</v>
      </c>
      <c r="T28" s="308">
        <f t="shared" si="16"/>
        <v>-11.185000000000031</v>
      </c>
      <c r="U28" s="312"/>
      <c r="X28">
        <v>201</v>
      </c>
      <c r="Z28" s="294">
        <f t="shared" si="10"/>
        <v>11.185000000000031</v>
      </c>
      <c r="AA28" s="294">
        <f t="shared" si="17"/>
        <v>-11.185000000000031</v>
      </c>
    </row>
    <row r="29" spans="1:31" x14ac:dyDescent="0.25">
      <c r="A29" s="166">
        <v>6</v>
      </c>
      <c r="B29" s="168" t="s">
        <v>23</v>
      </c>
      <c r="C29" s="196">
        <v>59</v>
      </c>
      <c r="D29" s="196">
        <v>22</v>
      </c>
      <c r="E29" s="196">
        <f t="shared" si="11"/>
        <v>16.149999999999999</v>
      </c>
      <c r="F29" s="196">
        <v>0</v>
      </c>
      <c r="G29" s="196">
        <f t="shared" si="12"/>
        <v>23.75</v>
      </c>
      <c r="H29" s="196">
        <v>0</v>
      </c>
      <c r="I29" s="196">
        <v>0</v>
      </c>
      <c r="J29" s="196">
        <v>0</v>
      </c>
      <c r="K29" s="196">
        <v>0</v>
      </c>
      <c r="L29" s="196">
        <v>0</v>
      </c>
      <c r="M29" s="196">
        <v>7</v>
      </c>
      <c r="N29" s="196">
        <v>0</v>
      </c>
      <c r="O29" s="196">
        <f t="shared" si="13"/>
        <v>0</v>
      </c>
      <c r="P29" s="196">
        <f t="shared" si="14"/>
        <v>22</v>
      </c>
      <c r="Q29" s="196">
        <f t="shared" si="14"/>
        <v>46.9</v>
      </c>
      <c r="R29" s="196">
        <f t="shared" si="15"/>
        <v>95</v>
      </c>
      <c r="S29" s="305">
        <f t="shared" si="15"/>
        <v>104.645</v>
      </c>
      <c r="T29" s="307">
        <f t="shared" si="16"/>
        <v>9.644999999999996</v>
      </c>
      <c r="U29" s="311"/>
      <c r="X29">
        <v>99</v>
      </c>
      <c r="Z29" s="294">
        <f t="shared" si="10"/>
        <v>-9.644999999999996</v>
      </c>
      <c r="AA29" s="294">
        <f t="shared" si="17"/>
        <v>9.644999999999996</v>
      </c>
    </row>
    <row r="30" spans="1:31" x14ac:dyDescent="0.25">
      <c r="A30" s="166">
        <v>7</v>
      </c>
      <c r="B30" s="168" t="s">
        <v>24</v>
      </c>
      <c r="C30" s="196">
        <v>405</v>
      </c>
      <c r="D30" s="196">
        <v>90</v>
      </c>
      <c r="E30" s="196">
        <f t="shared" si="11"/>
        <v>11.399999999999999</v>
      </c>
      <c r="F30" s="196">
        <v>30</v>
      </c>
      <c r="G30" s="196">
        <f t="shared" si="12"/>
        <v>160.54999999999998</v>
      </c>
      <c r="H30" s="196">
        <v>35</v>
      </c>
      <c r="I30" s="196">
        <v>55</v>
      </c>
      <c r="J30" s="196">
        <v>0</v>
      </c>
      <c r="K30" s="196">
        <v>25</v>
      </c>
      <c r="L30" s="196">
        <v>0</v>
      </c>
      <c r="M30" s="196">
        <v>0</v>
      </c>
      <c r="N30" s="196">
        <v>0</v>
      </c>
      <c r="O30" s="196">
        <f t="shared" si="13"/>
        <v>0</v>
      </c>
      <c r="P30" s="196">
        <f t="shared" si="14"/>
        <v>155</v>
      </c>
      <c r="Q30" s="196">
        <f t="shared" si="14"/>
        <v>251.95</v>
      </c>
      <c r="R30" s="196">
        <f t="shared" si="15"/>
        <v>589</v>
      </c>
      <c r="S30" s="305">
        <f t="shared" si="15"/>
        <v>584.98199999999997</v>
      </c>
      <c r="T30" s="308">
        <f t="shared" si="16"/>
        <v>-4.0180000000000291</v>
      </c>
      <c r="U30" s="312"/>
      <c r="X30">
        <v>589</v>
      </c>
      <c r="Z30" s="294">
        <f t="shared" si="10"/>
        <v>4.0180000000000291</v>
      </c>
      <c r="AA30" s="294">
        <f t="shared" si="17"/>
        <v>-4.0180000000000291</v>
      </c>
    </row>
    <row r="31" spans="1:31" ht="15.75" thickBot="1" x14ac:dyDescent="0.3">
      <c r="A31" s="169">
        <v>8</v>
      </c>
      <c r="B31" s="167" t="s">
        <v>25</v>
      </c>
      <c r="C31" s="197">
        <v>280</v>
      </c>
      <c r="D31" s="199">
        <v>0</v>
      </c>
      <c r="E31" s="197">
        <f t="shared" si="11"/>
        <v>50.349999999999994</v>
      </c>
      <c r="F31" s="197">
        <v>120</v>
      </c>
      <c r="G31" s="197">
        <f t="shared" si="12"/>
        <v>84.55</v>
      </c>
      <c r="H31" s="197">
        <v>8</v>
      </c>
      <c r="I31" s="197">
        <v>23</v>
      </c>
      <c r="J31" s="197">
        <v>0</v>
      </c>
      <c r="K31" s="197">
        <v>25</v>
      </c>
      <c r="L31" s="197">
        <v>0</v>
      </c>
      <c r="M31" s="197">
        <v>21</v>
      </c>
      <c r="N31" s="197">
        <v>0</v>
      </c>
      <c r="O31" s="197">
        <f t="shared" si="13"/>
        <v>0</v>
      </c>
      <c r="P31" s="195">
        <f t="shared" si="14"/>
        <v>128</v>
      </c>
      <c r="Q31" s="195">
        <f t="shared" si="14"/>
        <v>203.89999999999998</v>
      </c>
      <c r="R31" s="195">
        <f t="shared" si="15"/>
        <v>494</v>
      </c>
      <c r="S31" s="304">
        <f t="shared" si="15"/>
        <v>505.59899999999999</v>
      </c>
      <c r="T31" s="346">
        <f t="shared" si="16"/>
        <v>11.59899999999999</v>
      </c>
      <c r="U31" s="312"/>
      <c r="X31">
        <v>476</v>
      </c>
      <c r="Z31" s="294">
        <f t="shared" si="10"/>
        <v>-11.59899999999999</v>
      </c>
      <c r="AA31" s="294">
        <f t="shared" si="17"/>
        <v>11.59899999999999</v>
      </c>
    </row>
    <row r="32" spans="1:31" ht="16.5" thickTop="1" thickBot="1" x14ac:dyDescent="0.3">
      <c r="A32" s="392" t="s">
        <v>26</v>
      </c>
      <c r="B32" s="393"/>
      <c r="C32" s="198">
        <f>SUM(C24:C31)</f>
        <v>3630</v>
      </c>
      <c r="D32" s="198">
        <f t="shared" ref="D32:R32" si="18">SUM(D24:D31)</f>
        <v>149</v>
      </c>
      <c r="E32" s="198">
        <f t="shared" si="18"/>
        <v>85.5</v>
      </c>
      <c r="F32" s="198">
        <f t="shared" si="18"/>
        <v>187</v>
      </c>
      <c r="G32" s="198">
        <f t="shared" si="18"/>
        <v>421.8</v>
      </c>
      <c r="H32" s="198">
        <f t="shared" si="18"/>
        <v>48</v>
      </c>
      <c r="I32" s="198">
        <f t="shared" si="18"/>
        <v>166</v>
      </c>
      <c r="J32" s="198">
        <f t="shared" si="18"/>
        <v>0</v>
      </c>
      <c r="K32" s="198">
        <f t="shared" si="18"/>
        <v>50</v>
      </c>
      <c r="L32" s="198">
        <f t="shared" si="18"/>
        <v>0</v>
      </c>
      <c r="M32" s="198">
        <f t="shared" si="18"/>
        <v>33</v>
      </c>
      <c r="N32" s="198">
        <f t="shared" si="18"/>
        <v>5</v>
      </c>
      <c r="O32" s="198">
        <f t="shared" si="18"/>
        <v>0</v>
      </c>
      <c r="P32" s="202">
        <f t="shared" si="18"/>
        <v>389</v>
      </c>
      <c r="Q32" s="202">
        <f t="shared" si="18"/>
        <v>756.3</v>
      </c>
      <c r="R32" s="202">
        <f t="shared" si="18"/>
        <v>2355</v>
      </c>
      <c r="S32" s="306">
        <f>SUM(S24:S31)</f>
        <v>2343.4290000000001</v>
      </c>
      <c r="T32" s="309">
        <f>SUM(T24:T31)</f>
        <v>-11.571000000000083</v>
      </c>
      <c r="U32" s="313"/>
      <c r="W32" s="274">
        <f>S32/R32*100</f>
        <v>99.508662420382166</v>
      </c>
      <c r="X32" s="204">
        <f>SUM(X24:X31)</f>
        <v>2355</v>
      </c>
      <c r="Z32" s="294">
        <f>SUM(Z24:Z31)</f>
        <v>11.571000000000083</v>
      </c>
    </row>
    <row r="33" spans="1:25" x14ac:dyDescent="0.25">
      <c r="D33" s="300"/>
    </row>
    <row r="36" spans="1:25" ht="15.75" x14ac:dyDescent="0.25">
      <c r="A36" s="380" t="s">
        <v>108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</row>
    <row r="37" spans="1:25" ht="15.75" x14ac:dyDescent="0.25">
      <c r="A37" s="380" t="s">
        <v>82</v>
      </c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</row>
    <row r="38" spans="1:25" ht="15.75" thickBot="1" x14ac:dyDescent="0.3"/>
    <row r="39" spans="1:25" ht="25.5" x14ac:dyDescent="0.25">
      <c r="A39" s="387" t="s">
        <v>2</v>
      </c>
      <c r="B39" s="389" t="s">
        <v>3</v>
      </c>
      <c r="C39" s="283" t="s">
        <v>93</v>
      </c>
      <c r="D39" s="391" t="s">
        <v>94</v>
      </c>
      <c r="E39" s="391"/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394" t="s">
        <v>83</v>
      </c>
      <c r="Q39" s="404"/>
      <c r="R39" s="187"/>
      <c r="S39" s="187"/>
    </row>
    <row r="40" spans="1:25" x14ac:dyDescent="0.25">
      <c r="A40" s="388"/>
      <c r="B40" s="390"/>
      <c r="C40" s="189" t="s">
        <v>111</v>
      </c>
      <c r="D40" s="395" t="s">
        <v>97</v>
      </c>
      <c r="E40" s="395"/>
      <c r="F40" s="395" t="s">
        <v>98</v>
      </c>
      <c r="G40" s="395"/>
      <c r="H40" s="395" t="s">
        <v>99</v>
      </c>
      <c r="I40" s="395"/>
      <c r="J40" s="395" t="s">
        <v>96</v>
      </c>
      <c r="K40" s="395"/>
      <c r="L40" s="395" t="s">
        <v>100</v>
      </c>
      <c r="M40" s="395"/>
      <c r="N40" s="395" t="s">
        <v>8</v>
      </c>
      <c r="O40" s="395"/>
      <c r="P40" s="395"/>
      <c r="Q40" s="405"/>
      <c r="R40" s="187"/>
      <c r="S40" s="187"/>
    </row>
    <row r="41" spans="1:25" x14ac:dyDescent="0.25">
      <c r="A41" s="388"/>
      <c r="B41" s="390"/>
      <c r="C41" s="284" t="s">
        <v>1</v>
      </c>
      <c r="D41" s="174" t="s">
        <v>95</v>
      </c>
      <c r="E41" s="174" t="s">
        <v>88</v>
      </c>
      <c r="F41" s="174" t="s">
        <v>95</v>
      </c>
      <c r="G41" s="174" t="s">
        <v>88</v>
      </c>
      <c r="H41" s="174" t="s">
        <v>95</v>
      </c>
      <c r="I41" s="174" t="s">
        <v>88</v>
      </c>
      <c r="J41" s="174" t="s">
        <v>95</v>
      </c>
      <c r="K41" s="174" t="s">
        <v>88</v>
      </c>
      <c r="L41" s="174" t="s">
        <v>95</v>
      </c>
      <c r="M41" s="174" t="s">
        <v>88</v>
      </c>
      <c r="N41" s="174" t="s">
        <v>95</v>
      </c>
      <c r="O41" s="174" t="s">
        <v>88</v>
      </c>
      <c r="P41" s="174" t="s">
        <v>95</v>
      </c>
      <c r="Q41" s="190" t="s">
        <v>88</v>
      </c>
      <c r="R41" s="187"/>
      <c r="S41" s="187"/>
    </row>
    <row r="42" spans="1:25" ht="15.75" thickBot="1" x14ac:dyDescent="0.3">
      <c r="A42" s="160">
        <v>1</v>
      </c>
      <c r="B42" s="161">
        <v>2</v>
      </c>
      <c r="C42" s="281">
        <v>3</v>
      </c>
      <c r="D42" s="396">
        <v>4</v>
      </c>
      <c r="E42" s="396"/>
      <c r="F42" s="396">
        <v>5</v>
      </c>
      <c r="G42" s="396"/>
      <c r="H42" s="396">
        <v>6</v>
      </c>
      <c r="I42" s="396"/>
      <c r="J42" s="396">
        <v>7</v>
      </c>
      <c r="K42" s="396"/>
      <c r="L42" s="396">
        <v>8</v>
      </c>
      <c r="M42" s="396"/>
      <c r="N42" s="396">
        <v>9</v>
      </c>
      <c r="O42" s="396"/>
      <c r="P42" s="396">
        <v>10</v>
      </c>
      <c r="Q42" s="406"/>
      <c r="R42" s="187"/>
      <c r="S42" s="187"/>
    </row>
    <row r="43" spans="1:25" ht="15.75" thickTop="1" x14ac:dyDescent="0.25">
      <c r="A43" s="162">
        <v>1</v>
      </c>
      <c r="B43" s="163" t="s">
        <v>18</v>
      </c>
      <c r="C43" s="195">
        <v>287</v>
      </c>
      <c r="D43" s="195">
        <v>0</v>
      </c>
      <c r="E43" s="195">
        <v>0</v>
      </c>
      <c r="F43" s="195">
        <v>0</v>
      </c>
      <c r="G43" s="195">
        <v>1.93</v>
      </c>
      <c r="H43" s="195">
        <v>10</v>
      </c>
      <c r="I43" s="195">
        <v>43.515000000000001</v>
      </c>
      <c r="J43" s="195">
        <v>15</v>
      </c>
      <c r="K43" s="195">
        <f>W43</f>
        <v>169.92</v>
      </c>
      <c r="L43" s="195">
        <v>221</v>
      </c>
      <c r="M43" s="195">
        <f>Y43</f>
        <v>43.199999999999996</v>
      </c>
      <c r="N43" s="195">
        <v>53</v>
      </c>
      <c r="O43" s="195">
        <f>'okt-mar'!H23*0.96</f>
        <v>0</v>
      </c>
      <c r="P43" s="195">
        <f>SUM(D43,F43,H43,J43,L43,N43)</f>
        <v>299</v>
      </c>
      <c r="Q43" s="200">
        <f>SUM(E43,G43,I43,K43,M43,O43)</f>
        <v>258.565</v>
      </c>
      <c r="R43" s="187"/>
      <c r="S43" s="187"/>
      <c r="V43">
        <v>177</v>
      </c>
      <c r="W43">
        <f>V43*0.96</f>
        <v>169.92</v>
      </c>
      <c r="X43">
        <v>45</v>
      </c>
      <c r="Y43">
        <f>X43*0.96</f>
        <v>43.199999999999996</v>
      </c>
    </row>
    <row r="44" spans="1:25" x14ac:dyDescent="0.25">
      <c r="A44" s="164">
        <v>2</v>
      </c>
      <c r="B44" s="165" t="s">
        <v>19</v>
      </c>
      <c r="C44" s="196">
        <v>208</v>
      </c>
      <c r="D44" s="196">
        <v>3</v>
      </c>
      <c r="E44" s="196">
        <v>4.75</v>
      </c>
      <c r="F44" s="196">
        <v>47</v>
      </c>
      <c r="G44" s="196">
        <v>26.055</v>
      </c>
      <c r="H44" s="196">
        <v>105</v>
      </c>
      <c r="I44" s="196">
        <v>138.28100000000001</v>
      </c>
      <c r="J44" s="196">
        <v>78</v>
      </c>
      <c r="K44" s="196">
        <f t="shared" ref="K44:K50" si="19">W44</f>
        <v>23.04</v>
      </c>
      <c r="L44" s="196">
        <v>45</v>
      </c>
      <c r="M44" s="196">
        <f t="shared" ref="M44:M50" si="20">Y44</f>
        <v>8.64</v>
      </c>
      <c r="N44" s="196">
        <v>20</v>
      </c>
      <c r="O44" s="196">
        <f>'okt-mar'!H24*0.96</f>
        <v>0</v>
      </c>
      <c r="P44" s="196">
        <f t="shared" ref="P44:Q50" si="21">SUM(D44,F44,H44,J44,L44,N44)</f>
        <v>298</v>
      </c>
      <c r="Q44" s="201">
        <f t="shared" si="21"/>
        <v>200.76600000000002</v>
      </c>
      <c r="R44" s="187"/>
      <c r="S44" s="187"/>
      <c r="V44">
        <v>24</v>
      </c>
      <c r="W44">
        <f t="shared" ref="W44:W50" si="22">V44*0.96</f>
        <v>23.04</v>
      </c>
      <c r="X44">
        <v>9</v>
      </c>
      <c r="Y44">
        <f t="shared" ref="Y44:Y50" si="23">X44*0.96</f>
        <v>8.64</v>
      </c>
    </row>
    <row r="45" spans="1:25" x14ac:dyDescent="0.25">
      <c r="A45" s="164">
        <v>3</v>
      </c>
      <c r="B45" s="163" t="s">
        <v>20</v>
      </c>
      <c r="C45" s="196">
        <v>25</v>
      </c>
      <c r="D45" s="196">
        <v>0</v>
      </c>
      <c r="E45" s="196">
        <v>4.75</v>
      </c>
      <c r="F45" s="196">
        <v>0</v>
      </c>
      <c r="G45" s="196">
        <v>8.6850000000000005</v>
      </c>
      <c r="H45" s="196">
        <v>10</v>
      </c>
      <c r="I45" s="196">
        <v>24.175000000000001</v>
      </c>
      <c r="J45" s="196">
        <v>14</v>
      </c>
      <c r="K45" s="196">
        <f t="shared" si="19"/>
        <v>9.6</v>
      </c>
      <c r="L45" s="196">
        <v>0</v>
      </c>
      <c r="M45" s="196">
        <f t="shared" si="20"/>
        <v>4.8</v>
      </c>
      <c r="N45" s="196">
        <v>13</v>
      </c>
      <c r="O45" s="196">
        <f>'okt-mar'!H25*0.96</f>
        <v>0</v>
      </c>
      <c r="P45" s="196">
        <f t="shared" si="21"/>
        <v>37</v>
      </c>
      <c r="Q45" s="201">
        <f t="shared" si="21"/>
        <v>52.01</v>
      </c>
      <c r="R45" s="187"/>
      <c r="S45" s="187"/>
      <c r="V45">
        <v>10</v>
      </c>
      <c r="W45">
        <f t="shared" si="22"/>
        <v>9.6</v>
      </c>
      <c r="X45">
        <v>5</v>
      </c>
      <c r="Y45">
        <f t="shared" si="23"/>
        <v>4.8</v>
      </c>
    </row>
    <row r="46" spans="1:25" x14ac:dyDescent="0.25">
      <c r="A46" s="166">
        <v>4</v>
      </c>
      <c r="B46" s="167" t="s">
        <v>21</v>
      </c>
      <c r="C46" s="196">
        <v>206</v>
      </c>
      <c r="D46" s="196">
        <v>0</v>
      </c>
      <c r="E46" s="196">
        <v>8.5499999999999989</v>
      </c>
      <c r="F46" s="196">
        <v>0</v>
      </c>
      <c r="G46" s="196">
        <v>0.96499999999999997</v>
      </c>
      <c r="H46" s="196">
        <v>68</v>
      </c>
      <c r="I46" s="196">
        <v>34.811999999999998</v>
      </c>
      <c r="J46" s="196">
        <v>116</v>
      </c>
      <c r="K46" s="196">
        <f t="shared" si="19"/>
        <v>123.83999999999999</v>
      </c>
      <c r="L46" s="196">
        <v>0</v>
      </c>
      <c r="M46" s="196">
        <f t="shared" si="20"/>
        <v>19.2</v>
      </c>
      <c r="N46" s="196">
        <v>0</v>
      </c>
      <c r="O46" s="196">
        <f>'okt-mar'!H26*0.96</f>
        <v>4.8</v>
      </c>
      <c r="P46" s="196">
        <f t="shared" si="21"/>
        <v>184</v>
      </c>
      <c r="Q46" s="201">
        <f t="shared" si="21"/>
        <v>192.16699999999997</v>
      </c>
      <c r="R46" s="187"/>
      <c r="S46" s="187"/>
      <c r="V46">
        <v>129</v>
      </c>
      <c r="W46">
        <f t="shared" si="22"/>
        <v>123.83999999999999</v>
      </c>
      <c r="X46">
        <v>20</v>
      </c>
      <c r="Y46">
        <f t="shared" si="23"/>
        <v>19.2</v>
      </c>
    </row>
    <row r="47" spans="1:25" x14ac:dyDescent="0.25">
      <c r="A47" s="166">
        <v>5</v>
      </c>
      <c r="B47" s="168" t="s">
        <v>22</v>
      </c>
      <c r="C47" s="196">
        <v>184</v>
      </c>
      <c r="D47" s="196">
        <v>0</v>
      </c>
      <c r="E47" s="196">
        <v>0</v>
      </c>
      <c r="F47" s="196">
        <v>0</v>
      </c>
      <c r="G47" s="196">
        <v>0</v>
      </c>
      <c r="H47" s="196">
        <v>50</v>
      </c>
      <c r="I47" s="196">
        <v>14.504999999999999</v>
      </c>
      <c r="J47" s="196">
        <v>209</v>
      </c>
      <c r="K47" s="196">
        <f t="shared" si="19"/>
        <v>159.35999999999999</v>
      </c>
      <c r="L47" s="196">
        <v>0</v>
      </c>
      <c r="M47" s="196">
        <f t="shared" si="20"/>
        <v>0</v>
      </c>
      <c r="N47" s="196">
        <v>17</v>
      </c>
      <c r="O47" s="196">
        <f>'okt-mar'!H27*0.96</f>
        <v>0</v>
      </c>
      <c r="P47" s="196">
        <f t="shared" si="21"/>
        <v>276</v>
      </c>
      <c r="Q47" s="201">
        <f t="shared" si="21"/>
        <v>173.86499999999998</v>
      </c>
      <c r="R47" s="187"/>
      <c r="S47" s="187"/>
      <c r="V47">
        <v>166</v>
      </c>
      <c r="W47">
        <f t="shared" si="22"/>
        <v>159.35999999999999</v>
      </c>
      <c r="X47">
        <v>0</v>
      </c>
      <c r="Y47">
        <f t="shared" si="23"/>
        <v>0</v>
      </c>
    </row>
    <row r="48" spans="1:25" x14ac:dyDescent="0.25">
      <c r="A48" s="166">
        <v>6</v>
      </c>
      <c r="B48" s="168" t="s">
        <v>23</v>
      </c>
      <c r="C48" s="196">
        <v>54</v>
      </c>
      <c r="D48" s="196">
        <v>0</v>
      </c>
      <c r="E48" s="196">
        <v>6.6499999999999995</v>
      </c>
      <c r="F48" s="196">
        <v>0</v>
      </c>
      <c r="G48" s="196">
        <v>41.494999999999997</v>
      </c>
      <c r="H48" s="196">
        <v>19</v>
      </c>
      <c r="I48" s="196">
        <v>0</v>
      </c>
      <c r="J48" s="196">
        <v>0</v>
      </c>
      <c r="K48" s="196">
        <f t="shared" si="19"/>
        <v>0</v>
      </c>
      <c r="L48" s="196">
        <v>10</v>
      </c>
      <c r="M48" s="196">
        <f t="shared" si="20"/>
        <v>0.96</v>
      </c>
      <c r="N48" s="196">
        <v>28</v>
      </c>
      <c r="O48" s="196">
        <f>'okt-mar'!H28*0.96</f>
        <v>8.64</v>
      </c>
      <c r="P48" s="196">
        <f t="shared" si="21"/>
        <v>57</v>
      </c>
      <c r="Q48" s="201">
        <f t="shared" si="21"/>
        <v>57.744999999999997</v>
      </c>
      <c r="R48" s="187"/>
      <c r="S48" s="187"/>
      <c r="V48">
        <v>0</v>
      </c>
      <c r="W48">
        <f t="shared" si="22"/>
        <v>0</v>
      </c>
      <c r="X48">
        <v>1</v>
      </c>
      <c r="Y48">
        <f t="shared" si="23"/>
        <v>0.96</v>
      </c>
    </row>
    <row r="49" spans="1:26" x14ac:dyDescent="0.25">
      <c r="A49" s="166">
        <v>7</v>
      </c>
      <c r="B49" s="168" t="s">
        <v>24</v>
      </c>
      <c r="C49" s="196">
        <v>367</v>
      </c>
      <c r="D49" s="196">
        <v>0</v>
      </c>
      <c r="E49" s="196">
        <v>14.25</v>
      </c>
      <c r="F49" s="196">
        <v>0</v>
      </c>
      <c r="G49" s="196">
        <v>13.51</v>
      </c>
      <c r="H49" s="196">
        <v>117</v>
      </c>
      <c r="I49" s="196">
        <v>131.512</v>
      </c>
      <c r="J49" s="196">
        <v>276</v>
      </c>
      <c r="K49" s="196">
        <f t="shared" si="19"/>
        <v>170.88</v>
      </c>
      <c r="L49" s="196">
        <v>0</v>
      </c>
      <c r="M49" s="196">
        <f t="shared" si="20"/>
        <v>2.88</v>
      </c>
      <c r="N49" s="196">
        <v>37</v>
      </c>
      <c r="O49" s="196">
        <f>'okt-mar'!H29*0.96</f>
        <v>0</v>
      </c>
      <c r="P49" s="196">
        <f t="shared" si="21"/>
        <v>430</v>
      </c>
      <c r="Q49" s="201">
        <f t="shared" si="21"/>
        <v>333.03199999999998</v>
      </c>
      <c r="R49" s="187"/>
      <c r="S49" s="187"/>
      <c r="V49">
        <v>178</v>
      </c>
      <c r="W49">
        <f t="shared" si="22"/>
        <v>170.88</v>
      </c>
      <c r="X49">
        <v>3</v>
      </c>
      <c r="Y49">
        <f t="shared" si="23"/>
        <v>2.88</v>
      </c>
    </row>
    <row r="50" spans="1:26" ht="15.75" thickBot="1" x14ac:dyDescent="0.3">
      <c r="A50" s="169">
        <v>8</v>
      </c>
      <c r="B50" s="167" t="s">
        <v>25</v>
      </c>
      <c r="C50" s="197">
        <v>280</v>
      </c>
      <c r="D50" s="197">
        <v>0</v>
      </c>
      <c r="E50" s="197">
        <v>24.7</v>
      </c>
      <c r="F50" s="197">
        <v>52</v>
      </c>
      <c r="G50" s="197">
        <v>120.625</v>
      </c>
      <c r="H50" s="197">
        <v>126</v>
      </c>
      <c r="I50" s="197">
        <v>117.97399999999999</v>
      </c>
      <c r="J50" s="197">
        <v>129</v>
      </c>
      <c r="K50" s="197">
        <f t="shared" si="19"/>
        <v>6.72</v>
      </c>
      <c r="L50" s="197">
        <v>0</v>
      </c>
      <c r="M50" s="197">
        <f t="shared" si="20"/>
        <v>31.68</v>
      </c>
      <c r="N50" s="197">
        <v>38</v>
      </c>
      <c r="O50" s="197">
        <f>'okt-mar'!H30*0.96</f>
        <v>0</v>
      </c>
      <c r="P50" s="195">
        <f t="shared" si="21"/>
        <v>345</v>
      </c>
      <c r="Q50" s="200">
        <f t="shared" si="21"/>
        <v>301.69900000000001</v>
      </c>
      <c r="R50" s="187"/>
      <c r="S50" s="187"/>
      <c r="V50">
        <v>7</v>
      </c>
      <c r="W50">
        <f t="shared" si="22"/>
        <v>6.72</v>
      </c>
      <c r="X50">
        <v>33</v>
      </c>
      <c r="Y50">
        <f t="shared" si="23"/>
        <v>31.68</v>
      </c>
    </row>
    <row r="51" spans="1:26" ht="16.5" thickTop="1" thickBot="1" x14ac:dyDescent="0.3">
      <c r="A51" s="392" t="s">
        <v>26</v>
      </c>
      <c r="B51" s="393"/>
      <c r="C51" s="198">
        <f>SUM(C43:C50)</f>
        <v>1611</v>
      </c>
      <c r="D51" s="198">
        <f t="shared" ref="D51:P51" si="24">SUM(D43:D50)</f>
        <v>3</v>
      </c>
      <c r="E51" s="198">
        <f t="shared" si="24"/>
        <v>63.649999999999991</v>
      </c>
      <c r="F51" s="198">
        <f t="shared" si="24"/>
        <v>99</v>
      </c>
      <c r="G51" s="198">
        <f t="shared" si="24"/>
        <v>213.26499999999999</v>
      </c>
      <c r="H51" s="198">
        <f t="shared" si="24"/>
        <v>505</v>
      </c>
      <c r="I51" s="198">
        <f t="shared" si="24"/>
        <v>504.774</v>
      </c>
      <c r="J51" s="198">
        <f t="shared" si="24"/>
        <v>837</v>
      </c>
      <c r="K51" s="198">
        <f t="shared" si="24"/>
        <v>663.36</v>
      </c>
      <c r="L51" s="198">
        <f t="shared" si="24"/>
        <v>276</v>
      </c>
      <c r="M51" s="198">
        <f t="shared" si="24"/>
        <v>111.35999999999999</v>
      </c>
      <c r="N51" s="198">
        <f t="shared" si="24"/>
        <v>206</v>
      </c>
      <c r="O51" s="198">
        <f t="shared" si="24"/>
        <v>13.440000000000001</v>
      </c>
      <c r="P51" s="202">
        <f t="shared" si="24"/>
        <v>1926</v>
      </c>
      <c r="Q51" s="203">
        <f>SUM(Q43:Q50)</f>
        <v>1569.8490000000002</v>
      </c>
      <c r="R51" s="187"/>
      <c r="S51" s="187"/>
      <c r="V51">
        <f>SUM(V43:V50)</f>
        <v>691</v>
      </c>
      <c r="W51">
        <f t="shared" ref="W51:Z51" si="25">SUM(W43:W50)</f>
        <v>663.36</v>
      </c>
      <c r="X51">
        <f t="shared" si="25"/>
        <v>116</v>
      </c>
      <c r="Y51">
        <f t="shared" si="25"/>
        <v>111.35999999999999</v>
      </c>
      <c r="Z51">
        <f t="shared" si="25"/>
        <v>0</v>
      </c>
    </row>
    <row r="52" spans="1:26" ht="15.75" thickBot="1" x14ac:dyDescent="0.3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</row>
    <row r="53" spans="1:26" ht="25.5" x14ac:dyDescent="0.25">
      <c r="A53" s="387" t="s">
        <v>2</v>
      </c>
      <c r="B53" s="389" t="s">
        <v>3</v>
      </c>
      <c r="C53" s="283" t="s">
        <v>93</v>
      </c>
      <c r="D53" s="391" t="s">
        <v>104</v>
      </c>
      <c r="E53" s="391"/>
      <c r="F53" s="391"/>
      <c r="G53" s="391"/>
      <c r="H53" s="391"/>
      <c r="I53" s="391"/>
      <c r="J53" s="391"/>
      <c r="K53" s="391"/>
      <c r="L53" s="391"/>
      <c r="M53" s="391"/>
      <c r="N53" s="391"/>
      <c r="O53" s="391"/>
      <c r="P53" s="394" t="s">
        <v>105</v>
      </c>
      <c r="Q53" s="394"/>
      <c r="R53" s="401" t="s">
        <v>106</v>
      </c>
      <c r="S53" s="399"/>
    </row>
    <row r="54" spans="1:26" x14ac:dyDescent="0.25">
      <c r="A54" s="388"/>
      <c r="B54" s="390"/>
      <c r="C54" s="189" t="s">
        <v>111</v>
      </c>
      <c r="D54" s="395" t="s">
        <v>79</v>
      </c>
      <c r="E54" s="395"/>
      <c r="F54" s="395" t="s">
        <v>10</v>
      </c>
      <c r="G54" s="395"/>
      <c r="H54" s="395" t="s">
        <v>11</v>
      </c>
      <c r="I54" s="395"/>
      <c r="J54" s="395" t="s">
        <v>12</v>
      </c>
      <c r="K54" s="395"/>
      <c r="L54" s="395" t="s">
        <v>102</v>
      </c>
      <c r="M54" s="395"/>
      <c r="N54" s="395" t="s">
        <v>103</v>
      </c>
      <c r="O54" s="395"/>
      <c r="P54" s="395"/>
      <c r="Q54" s="395"/>
      <c r="R54" s="402"/>
      <c r="S54" s="400"/>
    </row>
    <row r="55" spans="1:26" x14ac:dyDescent="0.25">
      <c r="A55" s="388"/>
      <c r="B55" s="390"/>
      <c r="C55" s="284" t="s">
        <v>1</v>
      </c>
      <c r="D55" s="174" t="s">
        <v>95</v>
      </c>
      <c r="E55" s="174" t="s">
        <v>88</v>
      </c>
      <c r="F55" s="174" t="s">
        <v>95</v>
      </c>
      <c r="G55" s="174" t="s">
        <v>88</v>
      </c>
      <c r="H55" s="174" t="s">
        <v>95</v>
      </c>
      <c r="I55" s="174" t="s">
        <v>88</v>
      </c>
      <c r="J55" s="174" t="s">
        <v>95</v>
      </c>
      <c r="K55" s="174" t="s">
        <v>88</v>
      </c>
      <c r="L55" s="174" t="s">
        <v>95</v>
      </c>
      <c r="M55" s="174" t="s">
        <v>88</v>
      </c>
      <c r="N55" s="174" t="s">
        <v>95</v>
      </c>
      <c r="O55" s="174" t="s">
        <v>88</v>
      </c>
      <c r="P55" s="174" t="s">
        <v>95</v>
      </c>
      <c r="Q55" s="174" t="s">
        <v>88</v>
      </c>
      <c r="R55" s="174" t="s">
        <v>95</v>
      </c>
      <c r="S55" s="190" t="s">
        <v>88</v>
      </c>
    </row>
    <row r="56" spans="1:26" ht="15.75" thickBot="1" x14ac:dyDescent="0.3">
      <c r="A56" s="160">
        <v>1</v>
      </c>
      <c r="B56" s="161">
        <v>2</v>
      </c>
      <c r="C56" s="281">
        <v>3</v>
      </c>
      <c r="D56" s="396">
        <v>11</v>
      </c>
      <c r="E56" s="396"/>
      <c r="F56" s="396">
        <v>12</v>
      </c>
      <c r="G56" s="396"/>
      <c r="H56" s="396">
        <v>13</v>
      </c>
      <c r="I56" s="396"/>
      <c r="J56" s="396">
        <v>14</v>
      </c>
      <c r="K56" s="396"/>
      <c r="L56" s="396">
        <v>15</v>
      </c>
      <c r="M56" s="396"/>
      <c r="N56" s="396">
        <v>16</v>
      </c>
      <c r="O56" s="396"/>
      <c r="P56" s="396">
        <v>17</v>
      </c>
      <c r="Q56" s="396"/>
      <c r="R56" s="396">
        <v>18</v>
      </c>
      <c r="S56" s="406"/>
    </row>
    <row r="57" spans="1:26" ht="15.75" thickTop="1" x14ac:dyDescent="0.25">
      <c r="A57" s="162">
        <v>1</v>
      </c>
      <c r="B57" s="163" t="s">
        <v>18</v>
      </c>
      <c r="C57" s="195">
        <v>287</v>
      </c>
      <c r="D57" s="195">
        <v>0</v>
      </c>
      <c r="E57" s="195">
        <v>0</v>
      </c>
      <c r="F57" s="195">
        <v>19</v>
      </c>
      <c r="G57" s="195">
        <v>33.25</v>
      </c>
      <c r="H57" s="195">
        <v>0</v>
      </c>
      <c r="I57" s="195"/>
      <c r="J57" s="195">
        <v>0</v>
      </c>
      <c r="K57" s="195"/>
      <c r="L57" s="195">
        <v>0</v>
      </c>
      <c r="M57" s="195"/>
      <c r="N57" s="195">
        <v>0</v>
      </c>
      <c r="O57" s="195"/>
      <c r="P57" s="195">
        <f>SUM(D57,F57,H57,J57,L57,N57)</f>
        <v>19</v>
      </c>
      <c r="Q57" s="195">
        <f>SUM(E57,G57,I57,K57,M57,O57)</f>
        <v>33.25</v>
      </c>
      <c r="R57" s="195">
        <f>SUM(P43,P57)</f>
        <v>318</v>
      </c>
      <c r="S57" s="200">
        <f>SUM(Q43,Q57)</f>
        <v>291.815</v>
      </c>
      <c r="W57">
        <v>0</v>
      </c>
      <c r="X57" s="263">
        <f>0.95*W57</f>
        <v>0</v>
      </c>
      <c r="Y57" s="59">
        <v>35</v>
      </c>
      <c r="Z57" s="263">
        <f>0.95*Y57</f>
        <v>33.25</v>
      </c>
    </row>
    <row r="58" spans="1:26" x14ac:dyDescent="0.25">
      <c r="A58" s="164">
        <v>2</v>
      </c>
      <c r="B58" s="165" t="s">
        <v>19</v>
      </c>
      <c r="C58" s="196">
        <v>208</v>
      </c>
      <c r="D58" s="196">
        <v>27</v>
      </c>
      <c r="E58" s="196">
        <v>0</v>
      </c>
      <c r="F58" s="196">
        <v>20</v>
      </c>
      <c r="G58" s="196">
        <v>95</v>
      </c>
      <c r="H58" s="196">
        <v>5</v>
      </c>
      <c r="I58" s="196"/>
      <c r="J58" s="196">
        <v>0</v>
      </c>
      <c r="K58" s="196"/>
      <c r="L58" s="196">
        <v>0</v>
      </c>
      <c r="M58" s="196"/>
      <c r="N58" s="196">
        <v>0</v>
      </c>
      <c r="O58" s="196"/>
      <c r="P58" s="196">
        <f t="shared" ref="P58:Q64" si="26">SUM(D58,F58,H58,J58,L58,N58)</f>
        <v>52</v>
      </c>
      <c r="Q58" s="196">
        <f t="shared" si="26"/>
        <v>95</v>
      </c>
      <c r="R58" s="196">
        <f t="shared" ref="R58:S64" si="27">SUM(P44,P58)</f>
        <v>350</v>
      </c>
      <c r="S58" s="201">
        <f t="shared" si="27"/>
        <v>295.76600000000002</v>
      </c>
      <c r="W58">
        <v>0</v>
      </c>
      <c r="X58" s="263">
        <f t="shared" ref="X58:X64" si="28">0.95*W58</f>
        <v>0</v>
      </c>
      <c r="Y58">
        <v>100</v>
      </c>
      <c r="Z58" s="263">
        <f t="shared" ref="Z58:Z64" si="29">0.95*Y58</f>
        <v>95</v>
      </c>
    </row>
    <row r="59" spans="1:26" x14ac:dyDescent="0.25">
      <c r="A59" s="164">
        <v>3</v>
      </c>
      <c r="B59" s="163" t="s">
        <v>20</v>
      </c>
      <c r="C59" s="196">
        <v>25</v>
      </c>
      <c r="D59" s="196">
        <v>10</v>
      </c>
      <c r="E59" s="196">
        <v>0</v>
      </c>
      <c r="F59" s="196">
        <v>0</v>
      </c>
      <c r="G59" s="196">
        <v>9.5</v>
      </c>
      <c r="H59" s="196">
        <v>0</v>
      </c>
      <c r="I59" s="196"/>
      <c r="J59" s="196">
        <v>0</v>
      </c>
      <c r="K59" s="196"/>
      <c r="L59" s="196">
        <v>0</v>
      </c>
      <c r="M59" s="196"/>
      <c r="N59" s="196">
        <v>0</v>
      </c>
      <c r="O59" s="196"/>
      <c r="P59" s="196">
        <f t="shared" si="26"/>
        <v>10</v>
      </c>
      <c r="Q59" s="196">
        <f t="shared" si="26"/>
        <v>9.5</v>
      </c>
      <c r="R59" s="196">
        <f t="shared" si="27"/>
        <v>47</v>
      </c>
      <c r="S59" s="201">
        <f t="shared" si="27"/>
        <v>61.51</v>
      </c>
      <c r="W59">
        <v>0</v>
      </c>
      <c r="X59" s="263">
        <f t="shared" si="28"/>
        <v>0</v>
      </c>
      <c r="Y59">
        <v>10</v>
      </c>
      <c r="Z59" s="263">
        <f t="shared" si="29"/>
        <v>9.5</v>
      </c>
    </row>
    <row r="60" spans="1:26" x14ac:dyDescent="0.25">
      <c r="A60" s="166">
        <v>4</v>
      </c>
      <c r="B60" s="167" t="s">
        <v>21</v>
      </c>
      <c r="C60" s="196">
        <v>206</v>
      </c>
      <c r="D60" s="196">
        <v>0</v>
      </c>
      <c r="E60" s="196">
        <v>0</v>
      </c>
      <c r="F60" s="196">
        <v>27</v>
      </c>
      <c r="G60" s="196">
        <v>2.8499999999999996</v>
      </c>
      <c r="H60" s="196">
        <v>0</v>
      </c>
      <c r="I60" s="196"/>
      <c r="J60" s="196">
        <v>0</v>
      </c>
      <c r="K60" s="196"/>
      <c r="L60" s="196">
        <v>0</v>
      </c>
      <c r="M60" s="196"/>
      <c r="N60" s="196">
        <v>5</v>
      </c>
      <c r="O60" s="196"/>
      <c r="P60" s="196">
        <f t="shared" si="26"/>
        <v>32</v>
      </c>
      <c r="Q60" s="196">
        <f t="shared" si="26"/>
        <v>2.8499999999999996</v>
      </c>
      <c r="R60" s="196">
        <f t="shared" si="27"/>
        <v>216</v>
      </c>
      <c r="S60" s="201">
        <f t="shared" si="27"/>
        <v>195.01699999999997</v>
      </c>
      <c r="W60">
        <v>0</v>
      </c>
      <c r="X60" s="263">
        <f t="shared" si="28"/>
        <v>0</v>
      </c>
      <c r="Y60">
        <v>3</v>
      </c>
      <c r="Z60" s="263">
        <f t="shared" si="29"/>
        <v>2.8499999999999996</v>
      </c>
    </row>
    <row r="61" spans="1:26" x14ac:dyDescent="0.25">
      <c r="A61" s="166">
        <v>5</v>
      </c>
      <c r="B61" s="168" t="s">
        <v>22</v>
      </c>
      <c r="C61" s="196">
        <v>184</v>
      </c>
      <c r="D61" s="196">
        <v>5</v>
      </c>
      <c r="E61" s="196">
        <v>7.6</v>
      </c>
      <c r="F61" s="196">
        <v>12</v>
      </c>
      <c r="G61" s="196">
        <v>12.35</v>
      </c>
      <c r="H61" s="196">
        <v>0</v>
      </c>
      <c r="I61" s="196"/>
      <c r="J61" s="196">
        <v>0</v>
      </c>
      <c r="K61" s="196"/>
      <c r="L61" s="196">
        <v>0</v>
      </c>
      <c r="M61" s="196"/>
      <c r="N61" s="196">
        <v>0</v>
      </c>
      <c r="O61" s="196"/>
      <c r="P61" s="196">
        <f t="shared" si="26"/>
        <v>17</v>
      </c>
      <c r="Q61" s="196">
        <f t="shared" si="26"/>
        <v>19.95</v>
      </c>
      <c r="R61" s="196">
        <f t="shared" si="27"/>
        <v>293</v>
      </c>
      <c r="S61" s="201">
        <f t="shared" si="27"/>
        <v>193.81499999999997</v>
      </c>
      <c r="W61">
        <v>8</v>
      </c>
      <c r="X61" s="263">
        <f t="shared" si="28"/>
        <v>7.6</v>
      </c>
      <c r="Y61">
        <v>13</v>
      </c>
      <c r="Z61" s="263">
        <f t="shared" si="29"/>
        <v>12.35</v>
      </c>
    </row>
    <row r="62" spans="1:26" x14ac:dyDescent="0.25">
      <c r="A62" s="166">
        <v>6</v>
      </c>
      <c r="B62" s="168" t="s">
        <v>23</v>
      </c>
      <c r="C62" s="196">
        <v>54</v>
      </c>
      <c r="D62" s="196">
        <v>0</v>
      </c>
      <c r="E62" s="196">
        <v>16.149999999999999</v>
      </c>
      <c r="F62" s="196">
        <v>10</v>
      </c>
      <c r="G62" s="196">
        <v>23.75</v>
      </c>
      <c r="H62" s="196">
        <v>0</v>
      </c>
      <c r="I62" s="196"/>
      <c r="J62" s="196">
        <v>0</v>
      </c>
      <c r="K62" s="196"/>
      <c r="L62" s="196">
        <v>0</v>
      </c>
      <c r="M62" s="196"/>
      <c r="N62" s="196">
        <v>0</v>
      </c>
      <c r="O62" s="196"/>
      <c r="P62" s="196">
        <f t="shared" si="26"/>
        <v>10</v>
      </c>
      <c r="Q62" s="196">
        <f t="shared" si="26"/>
        <v>39.9</v>
      </c>
      <c r="R62" s="196">
        <f t="shared" si="27"/>
        <v>67</v>
      </c>
      <c r="S62" s="201">
        <f t="shared" si="27"/>
        <v>97.644999999999996</v>
      </c>
      <c r="W62">
        <v>17</v>
      </c>
      <c r="X62" s="263">
        <f t="shared" si="28"/>
        <v>16.149999999999999</v>
      </c>
      <c r="Y62">
        <v>25</v>
      </c>
      <c r="Z62" s="263">
        <f t="shared" si="29"/>
        <v>23.75</v>
      </c>
    </row>
    <row r="63" spans="1:26" x14ac:dyDescent="0.25">
      <c r="A63" s="166">
        <v>7</v>
      </c>
      <c r="B63" s="168" t="s">
        <v>24</v>
      </c>
      <c r="C63" s="196">
        <v>367</v>
      </c>
      <c r="D63" s="196">
        <v>90</v>
      </c>
      <c r="E63" s="196">
        <v>11.399999999999999</v>
      </c>
      <c r="F63" s="196">
        <v>28</v>
      </c>
      <c r="G63" s="196">
        <v>160.54999999999998</v>
      </c>
      <c r="H63" s="196">
        <v>0</v>
      </c>
      <c r="I63" s="196"/>
      <c r="J63" s="196">
        <v>0</v>
      </c>
      <c r="K63" s="196"/>
      <c r="L63" s="196">
        <v>0</v>
      </c>
      <c r="M63" s="196"/>
      <c r="N63" s="196">
        <v>0</v>
      </c>
      <c r="O63" s="196"/>
      <c r="P63" s="196">
        <f t="shared" si="26"/>
        <v>118</v>
      </c>
      <c r="Q63" s="196">
        <f t="shared" si="26"/>
        <v>171.95</v>
      </c>
      <c r="R63" s="196">
        <f t="shared" si="27"/>
        <v>548</v>
      </c>
      <c r="S63" s="201">
        <f t="shared" si="27"/>
        <v>504.98199999999997</v>
      </c>
      <c r="W63">
        <v>12</v>
      </c>
      <c r="X63" s="263">
        <f t="shared" si="28"/>
        <v>11.399999999999999</v>
      </c>
      <c r="Y63">
        <v>169</v>
      </c>
      <c r="Z63" s="263">
        <f t="shared" si="29"/>
        <v>160.54999999999998</v>
      </c>
    </row>
    <row r="64" spans="1:26" ht="15.75" thickBot="1" x14ac:dyDescent="0.3">
      <c r="A64" s="169">
        <v>8</v>
      </c>
      <c r="B64" s="167" t="s">
        <v>25</v>
      </c>
      <c r="C64" s="197">
        <v>280</v>
      </c>
      <c r="D64" s="199">
        <v>0</v>
      </c>
      <c r="E64" s="199">
        <v>50.349999999999994</v>
      </c>
      <c r="F64" s="199">
        <v>97</v>
      </c>
      <c r="G64" s="199">
        <v>84.55</v>
      </c>
      <c r="H64" s="199">
        <v>34</v>
      </c>
      <c r="I64" s="199"/>
      <c r="J64" s="199">
        <v>0</v>
      </c>
      <c r="K64" s="199"/>
      <c r="L64" s="199">
        <v>0</v>
      </c>
      <c r="M64" s="199"/>
      <c r="N64" s="199">
        <v>0</v>
      </c>
      <c r="O64" s="199"/>
      <c r="P64" s="195">
        <f t="shared" si="26"/>
        <v>131</v>
      </c>
      <c r="Q64" s="195">
        <f t="shared" si="26"/>
        <v>134.89999999999998</v>
      </c>
      <c r="R64" s="195">
        <f t="shared" si="27"/>
        <v>476</v>
      </c>
      <c r="S64" s="200">
        <f t="shared" si="27"/>
        <v>436.59899999999999</v>
      </c>
      <c r="W64">
        <v>53</v>
      </c>
      <c r="X64" s="263">
        <f t="shared" si="28"/>
        <v>50.349999999999994</v>
      </c>
      <c r="Y64">
        <v>89</v>
      </c>
      <c r="Z64" s="263">
        <f t="shared" si="29"/>
        <v>84.55</v>
      </c>
    </row>
    <row r="65" spans="1:26" ht="16.5" thickTop="1" thickBot="1" x14ac:dyDescent="0.3">
      <c r="A65" s="392" t="s">
        <v>26</v>
      </c>
      <c r="B65" s="393"/>
      <c r="C65" s="198">
        <f>SUM(C57:C64)</f>
        <v>1611</v>
      </c>
      <c r="D65" s="198">
        <f t="shared" ref="D65:R65" si="30">SUM(D57:D64)</f>
        <v>132</v>
      </c>
      <c r="E65" s="198">
        <f t="shared" si="30"/>
        <v>85.5</v>
      </c>
      <c r="F65" s="198">
        <f t="shared" si="30"/>
        <v>213</v>
      </c>
      <c r="G65" s="198">
        <f t="shared" si="30"/>
        <v>421.8</v>
      </c>
      <c r="H65" s="198">
        <f t="shared" si="30"/>
        <v>39</v>
      </c>
      <c r="I65" s="198">
        <f t="shared" si="30"/>
        <v>0</v>
      </c>
      <c r="J65" s="198">
        <f t="shared" si="30"/>
        <v>0</v>
      </c>
      <c r="K65" s="198">
        <f t="shared" si="30"/>
        <v>0</v>
      </c>
      <c r="L65" s="198">
        <f t="shared" si="30"/>
        <v>0</v>
      </c>
      <c r="M65" s="198">
        <f t="shared" si="30"/>
        <v>0</v>
      </c>
      <c r="N65" s="198">
        <f t="shared" si="30"/>
        <v>5</v>
      </c>
      <c r="O65" s="198">
        <f t="shared" si="30"/>
        <v>0</v>
      </c>
      <c r="P65" s="202">
        <f t="shared" si="30"/>
        <v>389</v>
      </c>
      <c r="Q65" s="202">
        <f>SUM(Q57:Q64)</f>
        <v>507.29999999999995</v>
      </c>
      <c r="R65" s="202">
        <f t="shared" si="30"/>
        <v>2315</v>
      </c>
      <c r="S65" s="203">
        <f>SUM(S57:S64)</f>
        <v>2077.1489999999999</v>
      </c>
      <c r="T65" s="274">
        <f>S65/R65*100</f>
        <v>89.725658747300201</v>
      </c>
      <c r="U65" s="314"/>
      <c r="W65">
        <f>SUM(W57:W64)</f>
        <v>90</v>
      </c>
      <c r="X65">
        <f t="shared" ref="X65:Z65" si="31">SUM(X57:X64)</f>
        <v>85.5</v>
      </c>
      <c r="Y65">
        <f t="shared" si="31"/>
        <v>444</v>
      </c>
      <c r="Z65">
        <f t="shared" si="31"/>
        <v>421.8</v>
      </c>
    </row>
    <row r="68" spans="1:26" ht="15.75" x14ac:dyDescent="0.25">
      <c r="A68" s="380" t="s">
        <v>109</v>
      </c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</row>
    <row r="69" spans="1:26" ht="15.75" x14ac:dyDescent="0.25">
      <c r="A69" s="380" t="s">
        <v>82</v>
      </c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</row>
    <row r="70" spans="1:26" ht="15.75" thickBot="1" x14ac:dyDescent="0.3"/>
    <row r="71" spans="1:26" ht="25.5" x14ac:dyDescent="0.25">
      <c r="A71" s="387" t="s">
        <v>2</v>
      </c>
      <c r="B71" s="389" t="s">
        <v>3</v>
      </c>
      <c r="C71" s="283" t="s">
        <v>93</v>
      </c>
      <c r="D71" s="391" t="s">
        <v>94</v>
      </c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4" t="s">
        <v>83</v>
      </c>
      <c r="Q71" s="404"/>
      <c r="R71" s="187"/>
      <c r="S71" s="187"/>
    </row>
    <row r="72" spans="1:26" x14ac:dyDescent="0.25">
      <c r="A72" s="388"/>
      <c r="B72" s="390"/>
      <c r="C72" s="189" t="s">
        <v>112</v>
      </c>
      <c r="D72" s="395" t="s">
        <v>97</v>
      </c>
      <c r="E72" s="395"/>
      <c r="F72" s="395" t="s">
        <v>98</v>
      </c>
      <c r="G72" s="395"/>
      <c r="H72" s="395" t="s">
        <v>99</v>
      </c>
      <c r="I72" s="395"/>
      <c r="J72" s="395" t="s">
        <v>96</v>
      </c>
      <c r="K72" s="395"/>
      <c r="L72" s="395" t="s">
        <v>100</v>
      </c>
      <c r="M72" s="395"/>
      <c r="N72" s="395" t="s">
        <v>8</v>
      </c>
      <c r="O72" s="395"/>
      <c r="P72" s="395"/>
      <c r="Q72" s="405"/>
      <c r="R72" s="187"/>
      <c r="S72" s="187"/>
    </row>
    <row r="73" spans="1:26" x14ac:dyDescent="0.25">
      <c r="A73" s="388"/>
      <c r="B73" s="390"/>
      <c r="C73" s="284" t="s">
        <v>1</v>
      </c>
      <c r="D73" s="174" t="s">
        <v>95</v>
      </c>
      <c r="E73" s="174" t="s">
        <v>88</v>
      </c>
      <c r="F73" s="174" t="s">
        <v>95</v>
      </c>
      <c r="G73" s="174" t="s">
        <v>88</v>
      </c>
      <c r="H73" s="174" t="s">
        <v>95</v>
      </c>
      <c r="I73" s="174" t="s">
        <v>88</v>
      </c>
      <c r="J73" s="174" t="s">
        <v>95</v>
      </c>
      <c r="K73" s="174" t="s">
        <v>88</v>
      </c>
      <c r="L73" s="174" t="s">
        <v>95</v>
      </c>
      <c r="M73" s="174" t="s">
        <v>88</v>
      </c>
      <c r="N73" s="174" t="s">
        <v>95</v>
      </c>
      <c r="O73" s="174" t="s">
        <v>88</v>
      </c>
      <c r="P73" s="174" t="s">
        <v>95</v>
      </c>
      <c r="Q73" s="190" t="s">
        <v>88</v>
      </c>
      <c r="R73" s="187"/>
      <c r="S73" s="187"/>
    </row>
    <row r="74" spans="1:26" ht="15.75" thickBot="1" x14ac:dyDescent="0.3">
      <c r="A74" s="160">
        <v>1</v>
      </c>
      <c r="B74" s="161">
        <v>2</v>
      </c>
      <c r="C74" s="281">
        <v>3</v>
      </c>
      <c r="D74" s="396">
        <v>4</v>
      </c>
      <c r="E74" s="396"/>
      <c r="F74" s="396">
        <v>5</v>
      </c>
      <c r="G74" s="396"/>
      <c r="H74" s="396">
        <v>6</v>
      </c>
      <c r="I74" s="396"/>
      <c r="J74" s="396">
        <v>7</v>
      </c>
      <c r="K74" s="396"/>
      <c r="L74" s="396">
        <v>8</v>
      </c>
      <c r="M74" s="396"/>
      <c r="N74" s="396">
        <v>9</v>
      </c>
      <c r="O74" s="396"/>
      <c r="P74" s="396">
        <v>10</v>
      </c>
      <c r="Q74" s="406"/>
      <c r="R74" s="187"/>
      <c r="S74" s="187"/>
    </row>
    <row r="75" spans="1:26" ht="15.75" thickTop="1" x14ac:dyDescent="0.25">
      <c r="A75" s="162">
        <v>1</v>
      </c>
      <c r="B75" s="163" t="s">
        <v>18</v>
      </c>
      <c r="C75" s="195">
        <v>1512</v>
      </c>
      <c r="D75" s="195">
        <v>0</v>
      </c>
      <c r="E75" s="195">
        <v>0</v>
      </c>
      <c r="F75" s="195">
        <v>0</v>
      </c>
      <c r="G75" s="195">
        <v>0</v>
      </c>
      <c r="H75" s="195">
        <v>0</v>
      </c>
      <c r="I75" s="195">
        <v>0</v>
      </c>
      <c r="J75" s="195">
        <v>0</v>
      </c>
      <c r="K75" s="195">
        <v>0</v>
      </c>
      <c r="L75" s="195">
        <v>0</v>
      </c>
      <c r="M75" s="195">
        <v>0</v>
      </c>
      <c r="N75" s="195">
        <v>0</v>
      </c>
      <c r="O75" s="195">
        <v>0</v>
      </c>
      <c r="P75" s="195">
        <f>SUM(D75,F75,H75,J75,L75,N75)</f>
        <v>0</v>
      </c>
      <c r="Q75" s="200">
        <f>SUM(E75,G75,I75,K75,M75,O75)</f>
        <v>0</v>
      </c>
      <c r="R75" s="187"/>
      <c r="S75" s="187"/>
    </row>
    <row r="76" spans="1:26" x14ac:dyDescent="0.25">
      <c r="A76" s="164">
        <v>2</v>
      </c>
      <c r="B76" s="165" t="s">
        <v>19</v>
      </c>
      <c r="C76" s="196">
        <v>35</v>
      </c>
      <c r="D76" s="196">
        <v>0</v>
      </c>
      <c r="E76" s="196">
        <v>0</v>
      </c>
      <c r="F76" s="196">
        <v>0</v>
      </c>
      <c r="G76" s="196">
        <v>0</v>
      </c>
      <c r="H76" s="196">
        <v>0</v>
      </c>
      <c r="I76" s="196">
        <v>0</v>
      </c>
      <c r="J76" s="196">
        <v>0</v>
      </c>
      <c r="K76" s="196">
        <v>0</v>
      </c>
      <c r="L76" s="196">
        <v>0</v>
      </c>
      <c r="M76" s="196">
        <v>0</v>
      </c>
      <c r="N76" s="196">
        <v>0</v>
      </c>
      <c r="O76" s="196">
        <v>0</v>
      </c>
      <c r="P76" s="196">
        <f t="shared" ref="P76:Q82" si="32">SUM(D76,F76,H76,J76,L76,N76)</f>
        <v>0</v>
      </c>
      <c r="Q76" s="201">
        <f t="shared" si="32"/>
        <v>0</v>
      </c>
      <c r="R76" s="187"/>
      <c r="S76" s="187"/>
    </row>
    <row r="77" spans="1:26" x14ac:dyDescent="0.25">
      <c r="A77" s="164">
        <v>3</v>
      </c>
      <c r="B77" s="163" t="s">
        <v>20</v>
      </c>
      <c r="C77" s="196">
        <v>250</v>
      </c>
      <c r="D77" s="196">
        <v>40</v>
      </c>
      <c r="E77" s="196">
        <v>0</v>
      </c>
      <c r="F77" s="196">
        <v>0</v>
      </c>
      <c r="G77" s="196">
        <v>4</v>
      </c>
      <c r="H77" s="196">
        <v>0</v>
      </c>
      <c r="I77" s="196">
        <v>24.175000000000001</v>
      </c>
      <c r="J77" s="196">
        <v>0</v>
      </c>
      <c r="K77" s="196">
        <f>W77</f>
        <v>17.28</v>
      </c>
      <c r="L77" s="196">
        <v>0</v>
      </c>
      <c r="M77" s="196">
        <v>0</v>
      </c>
      <c r="N77" s="196">
        <v>0</v>
      </c>
      <c r="O77" s="196">
        <v>0</v>
      </c>
      <c r="P77" s="196">
        <f t="shared" si="32"/>
        <v>40</v>
      </c>
      <c r="Q77" s="201">
        <f t="shared" si="32"/>
        <v>45.454999999999998</v>
      </c>
      <c r="R77" s="187"/>
      <c r="S77" s="187"/>
      <c r="V77">
        <v>18</v>
      </c>
      <c r="W77">
        <f>V77*0.96</f>
        <v>17.28</v>
      </c>
    </row>
    <row r="78" spans="1:26" x14ac:dyDescent="0.25">
      <c r="A78" s="166">
        <v>4</v>
      </c>
      <c r="B78" s="167" t="s">
        <v>21</v>
      </c>
      <c r="C78" s="196">
        <v>0</v>
      </c>
      <c r="D78" s="196">
        <v>0</v>
      </c>
      <c r="E78" s="196">
        <v>0</v>
      </c>
      <c r="F78" s="196">
        <v>0</v>
      </c>
      <c r="G78" s="196">
        <v>0</v>
      </c>
      <c r="H78" s="196">
        <v>0</v>
      </c>
      <c r="I78" s="196">
        <v>0</v>
      </c>
      <c r="J78" s="196">
        <v>0</v>
      </c>
      <c r="K78" s="196">
        <v>0</v>
      </c>
      <c r="L78" s="196">
        <v>0</v>
      </c>
      <c r="M78" s="196">
        <v>0</v>
      </c>
      <c r="N78" s="196">
        <v>0</v>
      </c>
      <c r="O78" s="196">
        <v>0</v>
      </c>
      <c r="P78" s="196">
        <f t="shared" si="32"/>
        <v>0</v>
      </c>
      <c r="Q78" s="201">
        <f t="shared" si="32"/>
        <v>0</v>
      </c>
      <c r="R78" s="187"/>
      <c r="S78" s="187"/>
    </row>
    <row r="79" spans="1:26" x14ac:dyDescent="0.25">
      <c r="A79" s="166">
        <v>5</v>
      </c>
      <c r="B79" s="168" t="s">
        <v>22</v>
      </c>
      <c r="C79" s="196">
        <v>179</v>
      </c>
      <c r="D79" s="196">
        <v>0</v>
      </c>
      <c r="E79" s="196">
        <v>0</v>
      </c>
      <c r="F79" s="196">
        <v>0</v>
      </c>
      <c r="G79" s="196">
        <v>0</v>
      </c>
      <c r="H79" s="196">
        <v>0</v>
      </c>
      <c r="I79" s="196">
        <v>0</v>
      </c>
      <c r="J79" s="196">
        <v>0</v>
      </c>
      <c r="K79" s="196">
        <v>0</v>
      </c>
      <c r="L79" s="196">
        <v>0</v>
      </c>
      <c r="M79" s="196">
        <v>0</v>
      </c>
      <c r="N79" s="196">
        <v>0</v>
      </c>
      <c r="O79" s="196">
        <v>0</v>
      </c>
      <c r="P79" s="196">
        <f t="shared" si="32"/>
        <v>0</v>
      </c>
      <c r="Q79" s="201">
        <f t="shared" si="32"/>
        <v>0</v>
      </c>
      <c r="R79" s="187"/>
      <c r="S79" s="187"/>
    </row>
    <row r="80" spans="1:26" x14ac:dyDescent="0.25">
      <c r="A80" s="166">
        <v>6</v>
      </c>
      <c r="B80" s="168" t="s">
        <v>23</v>
      </c>
      <c r="C80" s="196">
        <v>5</v>
      </c>
      <c r="D80" s="196">
        <v>0</v>
      </c>
      <c r="E80" s="196">
        <v>0</v>
      </c>
      <c r="F80" s="196">
        <v>0</v>
      </c>
      <c r="G80" s="196">
        <v>0</v>
      </c>
      <c r="H80" s="196">
        <v>0</v>
      </c>
      <c r="I80" s="196">
        <v>0</v>
      </c>
      <c r="J80" s="196">
        <v>0</v>
      </c>
      <c r="K80" s="196">
        <v>0</v>
      </c>
      <c r="L80" s="196">
        <v>0</v>
      </c>
      <c r="M80" s="196">
        <v>0</v>
      </c>
      <c r="N80" s="196">
        <v>0</v>
      </c>
      <c r="O80" s="196">
        <v>0</v>
      </c>
      <c r="P80" s="196">
        <f t="shared" si="32"/>
        <v>0</v>
      </c>
      <c r="Q80" s="201">
        <f t="shared" si="32"/>
        <v>0</v>
      </c>
      <c r="R80" s="187"/>
      <c r="S80" s="187"/>
    </row>
    <row r="81" spans="1:19" x14ac:dyDescent="0.25">
      <c r="A81" s="166">
        <v>7</v>
      </c>
      <c r="B81" s="168" t="s">
        <v>24</v>
      </c>
      <c r="C81" s="196">
        <v>38</v>
      </c>
      <c r="D81" s="196">
        <v>0</v>
      </c>
      <c r="E81" s="196">
        <v>0</v>
      </c>
      <c r="F81" s="196">
        <v>0</v>
      </c>
      <c r="G81" s="196">
        <v>0</v>
      </c>
      <c r="H81" s="196">
        <v>0</v>
      </c>
      <c r="I81" s="196">
        <v>0</v>
      </c>
      <c r="J81" s="196">
        <v>0</v>
      </c>
      <c r="K81" s="196">
        <v>0</v>
      </c>
      <c r="L81" s="196">
        <v>0</v>
      </c>
      <c r="M81" s="196">
        <v>0</v>
      </c>
      <c r="N81" s="196">
        <v>0</v>
      </c>
      <c r="O81" s="196">
        <v>0</v>
      </c>
      <c r="P81" s="196">
        <f t="shared" si="32"/>
        <v>0</v>
      </c>
      <c r="Q81" s="201">
        <f t="shared" si="32"/>
        <v>0</v>
      </c>
      <c r="R81" s="187"/>
      <c r="S81" s="187"/>
    </row>
    <row r="82" spans="1:19" ht="15.75" thickBot="1" x14ac:dyDescent="0.3">
      <c r="A82" s="169">
        <v>8</v>
      </c>
      <c r="B82" s="167" t="s">
        <v>25</v>
      </c>
      <c r="C82" s="197">
        <v>0</v>
      </c>
      <c r="D82" s="197">
        <v>0</v>
      </c>
      <c r="E82" s="197">
        <v>0</v>
      </c>
      <c r="F82" s="197">
        <v>0</v>
      </c>
      <c r="G82" s="197">
        <v>0</v>
      </c>
      <c r="H82" s="197">
        <v>0</v>
      </c>
      <c r="I82" s="197">
        <v>0</v>
      </c>
      <c r="J82" s="197">
        <v>0</v>
      </c>
      <c r="K82" s="197">
        <v>0</v>
      </c>
      <c r="L82" s="197">
        <v>0</v>
      </c>
      <c r="M82" s="197">
        <v>0</v>
      </c>
      <c r="N82" s="197">
        <v>0</v>
      </c>
      <c r="O82" s="197">
        <v>0</v>
      </c>
      <c r="P82" s="195">
        <f t="shared" si="32"/>
        <v>0</v>
      </c>
      <c r="Q82" s="200">
        <f t="shared" si="32"/>
        <v>0</v>
      </c>
      <c r="R82" s="187"/>
      <c r="S82" s="187"/>
    </row>
    <row r="83" spans="1:19" ht="16.5" thickTop="1" thickBot="1" x14ac:dyDescent="0.3">
      <c r="A83" s="392" t="s">
        <v>26</v>
      </c>
      <c r="B83" s="393"/>
      <c r="C83" s="198">
        <f>SUM(C75:C82)</f>
        <v>2019</v>
      </c>
      <c r="D83" s="198">
        <f t="shared" ref="D83:P83" si="33">SUM(D75:D82)</f>
        <v>40</v>
      </c>
      <c r="E83" s="198">
        <f t="shared" si="33"/>
        <v>0</v>
      </c>
      <c r="F83" s="198">
        <f t="shared" si="33"/>
        <v>0</v>
      </c>
      <c r="G83" s="198">
        <f t="shared" si="33"/>
        <v>4</v>
      </c>
      <c r="H83" s="198">
        <f t="shared" si="33"/>
        <v>0</v>
      </c>
      <c r="I83" s="198">
        <f t="shared" si="33"/>
        <v>24.175000000000001</v>
      </c>
      <c r="J83" s="198">
        <f t="shared" si="33"/>
        <v>0</v>
      </c>
      <c r="K83" s="198">
        <f t="shared" si="33"/>
        <v>17.28</v>
      </c>
      <c r="L83" s="198">
        <f t="shared" si="33"/>
        <v>0</v>
      </c>
      <c r="M83" s="198">
        <f t="shared" si="33"/>
        <v>0</v>
      </c>
      <c r="N83" s="198">
        <f t="shared" si="33"/>
        <v>0</v>
      </c>
      <c r="O83" s="198">
        <f t="shared" si="33"/>
        <v>0</v>
      </c>
      <c r="P83" s="202">
        <f t="shared" si="33"/>
        <v>40</v>
      </c>
      <c r="Q83" s="203">
        <f>SUM(Q75:Q82)</f>
        <v>45.454999999999998</v>
      </c>
      <c r="R83" s="187"/>
      <c r="S83" s="187"/>
    </row>
    <row r="84" spans="1:19" ht="15.75" thickBot="1" x14ac:dyDescent="0.3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</row>
    <row r="85" spans="1:19" ht="25.5" x14ac:dyDescent="0.25">
      <c r="A85" s="387" t="s">
        <v>2</v>
      </c>
      <c r="B85" s="389" t="s">
        <v>3</v>
      </c>
      <c r="C85" s="283" t="s">
        <v>93</v>
      </c>
      <c r="D85" s="391" t="s">
        <v>104</v>
      </c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4" t="s">
        <v>105</v>
      </c>
      <c r="Q85" s="394"/>
      <c r="R85" s="401" t="s">
        <v>106</v>
      </c>
      <c r="S85" s="399"/>
    </row>
    <row r="86" spans="1:19" x14ac:dyDescent="0.25">
      <c r="A86" s="388"/>
      <c r="B86" s="390"/>
      <c r="C86" s="189" t="s">
        <v>112</v>
      </c>
      <c r="D86" s="395" t="s">
        <v>79</v>
      </c>
      <c r="E86" s="395"/>
      <c r="F86" s="395" t="s">
        <v>10</v>
      </c>
      <c r="G86" s="395"/>
      <c r="H86" s="395" t="s">
        <v>11</v>
      </c>
      <c r="I86" s="395"/>
      <c r="J86" s="395" t="s">
        <v>12</v>
      </c>
      <c r="K86" s="395"/>
      <c r="L86" s="395" t="s">
        <v>102</v>
      </c>
      <c r="M86" s="395"/>
      <c r="N86" s="395" t="s">
        <v>103</v>
      </c>
      <c r="O86" s="395"/>
      <c r="P86" s="395"/>
      <c r="Q86" s="395"/>
      <c r="R86" s="402"/>
      <c r="S86" s="400"/>
    </row>
    <row r="87" spans="1:19" x14ac:dyDescent="0.25">
      <c r="A87" s="388"/>
      <c r="B87" s="390"/>
      <c r="C87" s="284" t="s">
        <v>1</v>
      </c>
      <c r="D87" s="174" t="s">
        <v>95</v>
      </c>
      <c r="E87" s="174" t="s">
        <v>88</v>
      </c>
      <c r="F87" s="174" t="s">
        <v>95</v>
      </c>
      <c r="G87" s="174" t="s">
        <v>88</v>
      </c>
      <c r="H87" s="174" t="s">
        <v>95</v>
      </c>
      <c r="I87" s="174" t="s">
        <v>88</v>
      </c>
      <c r="J87" s="174" t="s">
        <v>95</v>
      </c>
      <c r="K87" s="174" t="s">
        <v>88</v>
      </c>
      <c r="L87" s="174" t="s">
        <v>95</v>
      </c>
      <c r="M87" s="174" t="s">
        <v>88</v>
      </c>
      <c r="N87" s="174" t="s">
        <v>95</v>
      </c>
      <c r="O87" s="174" t="s">
        <v>88</v>
      </c>
      <c r="P87" s="174" t="s">
        <v>95</v>
      </c>
      <c r="Q87" s="174" t="s">
        <v>88</v>
      </c>
      <c r="R87" s="174" t="s">
        <v>95</v>
      </c>
      <c r="S87" s="190" t="s">
        <v>88</v>
      </c>
    </row>
    <row r="88" spans="1:19" ht="15.75" thickBot="1" x14ac:dyDescent="0.3">
      <c r="A88" s="160">
        <v>1</v>
      </c>
      <c r="B88" s="161">
        <v>2</v>
      </c>
      <c r="C88" s="281">
        <v>3</v>
      </c>
      <c r="D88" s="396">
        <v>11</v>
      </c>
      <c r="E88" s="396"/>
      <c r="F88" s="396">
        <v>12</v>
      </c>
      <c r="G88" s="396"/>
      <c r="H88" s="396">
        <v>13</v>
      </c>
      <c r="I88" s="396"/>
      <c r="J88" s="396">
        <v>14</v>
      </c>
      <c r="K88" s="396"/>
      <c r="L88" s="396">
        <v>15</v>
      </c>
      <c r="M88" s="396"/>
      <c r="N88" s="396">
        <v>16</v>
      </c>
      <c r="O88" s="396"/>
      <c r="P88" s="396">
        <v>17</v>
      </c>
      <c r="Q88" s="396"/>
      <c r="R88" s="396">
        <v>18</v>
      </c>
      <c r="S88" s="406"/>
    </row>
    <row r="89" spans="1:19" ht="15.75" thickTop="1" x14ac:dyDescent="0.25">
      <c r="A89" s="162">
        <v>1</v>
      </c>
      <c r="B89" s="163" t="s">
        <v>18</v>
      </c>
      <c r="C89" s="195">
        <v>1512</v>
      </c>
      <c r="D89" s="195">
        <v>0</v>
      </c>
      <c r="E89" s="195">
        <v>0</v>
      </c>
      <c r="F89" s="195">
        <v>0</v>
      </c>
      <c r="G89" s="195">
        <v>0</v>
      </c>
      <c r="H89" s="195">
        <v>0</v>
      </c>
      <c r="I89" s="195"/>
      <c r="J89" s="195">
        <v>0</v>
      </c>
      <c r="K89" s="195"/>
      <c r="L89" s="195">
        <v>0</v>
      </c>
      <c r="M89" s="195"/>
      <c r="N89" s="195">
        <v>0</v>
      </c>
      <c r="O89" s="195"/>
      <c r="P89" s="195">
        <f>SUM(D89,F89,H89,J89,L89,N89)</f>
        <v>0</v>
      </c>
      <c r="Q89" s="195"/>
      <c r="R89" s="195">
        <f>SUM(P75,P89)</f>
        <v>0</v>
      </c>
      <c r="S89" s="200">
        <f>SUM(Q75,Q89)</f>
        <v>0</v>
      </c>
    </row>
    <row r="90" spans="1:19" x14ac:dyDescent="0.25">
      <c r="A90" s="164">
        <v>2</v>
      </c>
      <c r="B90" s="165" t="s">
        <v>19</v>
      </c>
      <c r="C90" s="196">
        <v>35</v>
      </c>
      <c r="D90" s="196">
        <v>0</v>
      </c>
      <c r="E90" s="196">
        <v>0</v>
      </c>
      <c r="F90" s="196">
        <v>0</v>
      </c>
      <c r="G90" s="196">
        <v>0</v>
      </c>
      <c r="H90" s="196">
        <v>0</v>
      </c>
      <c r="I90" s="196"/>
      <c r="J90" s="196">
        <v>0</v>
      </c>
      <c r="K90" s="196"/>
      <c r="L90" s="196">
        <v>0</v>
      </c>
      <c r="M90" s="196"/>
      <c r="N90" s="196">
        <v>0</v>
      </c>
      <c r="O90" s="196"/>
      <c r="P90" s="196">
        <f t="shared" ref="P90:P96" si="34">SUM(D90,F90,H90,J90,L90,N90)</f>
        <v>0</v>
      </c>
      <c r="Q90" s="196"/>
      <c r="R90" s="196">
        <f t="shared" ref="R90:S96" si="35">SUM(P76,P90)</f>
        <v>0</v>
      </c>
      <c r="S90" s="201">
        <f t="shared" si="35"/>
        <v>0</v>
      </c>
    </row>
    <row r="91" spans="1:19" x14ac:dyDescent="0.25">
      <c r="A91" s="164">
        <v>3</v>
      </c>
      <c r="B91" s="163" t="s">
        <v>20</v>
      </c>
      <c r="C91" s="196">
        <v>250</v>
      </c>
      <c r="D91" s="196">
        <v>0</v>
      </c>
      <c r="E91" s="196">
        <v>0</v>
      </c>
      <c r="F91" s="196">
        <v>0</v>
      </c>
      <c r="G91" s="196">
        <v>0</v>
      </c>
      <c r="H91" s="196">
        <v>0</v>
      </c>
      <c r="I91" s="196"/>
      <c r="J91" s="196">
        <v>0</v>
      </c>
      <c r="K91" s="196"/>
      <c r="L91" s="196">
        <v>0</v>
      </c>
      <c r="M91" s="196"/>
      <c r="N91" s="196">
        <v>0</v>
      </c>
      <c r="O91" s="196"/>
      <c r="P91" s="196">
        <f t="shared" si="34"/>
        <v>0</v>
      </c>
      <c r="Q91" s="196"/>
      <c r="R91" s="196">
        <f t="shared" si="35"/>
        <v>40</v>
      </c>
      <c r="S91" s="201">
        <f t="shared" si="35"/>
        <v>45.454999999999998</v>
      </c>
    </row>
    <row r="92" spans="1:19" x14ac:dyDescent="0.25">
      <c r="A92" s="166">
        <v>4</v>
      </c>
      <c r="B92" s="167" t="s">
        <v>21</v>
      </c>
      <c r="C92" s="196">
        <v>0</v>
      </c>
      <c r="D92" s="196">
        <v>0</v>
      </c>
      <c r="E92" s="196">
        <v>0</v>
      </c>
      <c r="F92" s="196">
        <v>0</v>
      </c>
      <c r="G92" s="196">
        <v>0</v>
      </c>
      <c r="H92" s="196">
        <v>0</v>
      </c>
      <c r="I92" s="196"/>
      <c r="J92" s="196">
        <v>0</v>
      </c>
      <c r="K92" s="196"/>
      <c r="L92" s="196">
        <v>0</v>
      </c>
      <c r="M92" s="196"/>
      <c r="N92" s="196">
        <v>0</v>
      </c>
      <c r="O92" s="196"/>
      <c r="P92" s="196">
        <f t="shared" si="34"/>
        <v>0</v>
      </c>
      <c r="Q92" s="196"/>
      <c r="R92" s="196">
        <f t="shared" si="35"/>
        <v>0</v>
      </c>
      <c r="S92" s="201">
        <f t="shared" si="35"/>
        <v>0</v>
      </c>
    </row>
    <row r="93" spans="1:19" x14ac:dyDescent="0.25">
      <c r="A93" s="166">
        <v>5</v>
      </c>
      <c r="B93" s="168" t="s">
        <v>22</v>
      </c>
      <c r="C93" s="196">
        <v>179</v>
      </c>
      <c r="D93" s="196">
        <v>0</v>
      </c>
      <c r="E93" s="196">
        <v>0</v>
      </c>
      <c r="F93" s="196">
        <v>0</v>
      </c>
      <c r="G93" s="196">
        <v>0</v>
      </c>
      <c r="H93" s="196">
        <v>0</v>
      </c>
      <c r="I93" s="196"/>
      <c r="J93" s="196">
        <v>0</v>
      </c>
      <c r="K93" s="196"/>
      <c r="L93" s="196">
        <v>0</v>
      </c>
      <c r="M93" s="196"/>
      <c r="N93" s="196">
        <v>0</v>
      </c>
      <c r="O93" s="196"/>
      <c r="P93" s="196">
        <f t="shared" si="34"/>
        <v>0</v>
      </c>
      <c r="Q93" s="196"/>
      <c r="R93" s="196">
        <f t="shared" si="35"/>
        <v>0</v>
      </c>
      <c r="S93" s="201">
        <f t="shared" si="35"/>
        <v>0</v>
      </c>
    </row>
    <row r="94" spans="1:19" x14ac:dyDescent="0.25">
      <c r="A94" s="166">
        <v>6</v>
      </c>
      <c r="B94" s="168" t="s">
        <v>23</v>
      </c>
      <c r="C94" s="196">
        <v>5</v>
      </c>
      <c r="D94" s="196">
        <v>0</v>
      </c>
      <c r="E94" s="196">
        <v>0</v>
      </c>
      <c r="F94" s="196">
        <v>0</v>
      </c>
      <c r="G94" s="196">
        <v>0</v>
      </c>
      <c r="H94" s="196">
        <v>0</v>
      </c>
      <c r="I94" s="196"/>
      <c r="J94" s="196">
        <v>0</v>
      </c>
      <c r="K94" s="196"/>
      <c r="L94" s="196">
        <v>0</v>
      </c>
      <c r="M94" s="196"/>
      <c r="N94" s="196">
        <v>0</v>
      </c>
      <c r="O94" s="196"/>
      <c r="P94" s="196">
        <f t="shared" si="34"/>
        <v>0</v>
      </c>
      <c r="Q94" s="196"/>
      <c r="R94" s="196">
        <f t="shared" si="35"/>
        <v>0</v>
      </c>
      <c r="S94" s="201">
        <f t="shared" si="35"/>
        <v>0</v>
      </c>
    </row>
    <row r="95" spans="1:19" x14ac:dyDescent="0.25">
      <c r="A95" s="166">
        <v>7</v>
      </c>
      <c r="B95" s="168" t="s">
        <v>24</v>
      </c>
      <c r="C95" s="196">
        <v>38</v>
      </c>
      <c r="D95" s="196">
        <v>0</v>
      </c>
      <c r="E95" s="196">
        <v>0</v>
      </c>
      <c r="F95" s="196">
        <v>0</v>
      </c>
      <c r="G95" s="196">
        <v>0</v>
      </c>
      <c r="H95" s="196">
        <v>0</v>
      </c>
      <c r="I95" s="196"/>
      <c r="J95" s="196">
        <v>0</v>
      </c>
      <c r="K95" s="196"/>
      <c r="L95" s="196">
        <v>0</v>
      </c>
      <c r="M95" s="196"/>
      <c r="N95" s="196">
        <v>0</v>
      </c>
      <c r="O95" s="196"/>
      <c r="P95" s="196">
        <f t="shared" si="34"/>
        <v>0</v>
      </c>
      <c r="Q95" s="196"/>
      <c r="R95" s="196">
        <f t="shared" si="35"/>
        <v>0</v>
      </c>
      <c r="S95" s="201">
        <f t="shared" si="35"/>
        <v>0</v>
      </c>
    </row>
    <row r="96" spans="1:19" ht="15.75" thickBot="1" x14ac:dyDescent="0.3">
      <c r="A96" s="169">
        <v>8</v>
      </c>
      <c r="B96" s="167" t="s">
        <v>25</v>
      </c>
      <c r="C96" s="197">
        <v>0</v>
      </c>
      <c r="D96" s="197">
        <v>0</v>
      </c>
      <c r="E96" s="199">
        <v>0</v>
      </c>
      <c r="F96" s="197">
        <v>0</v>
      </c>
      <c r="G96" s="199">
        <v>0</v>
      </c>
      <c r="H96" s="197">
        <v>0</v>
      </c>
      <c r="I96" s="199"/>
      <c r="J96" s="199">
        <v>0</v>
      </c>
      <c r="K96" s="199"/>
      <c r="L96" s="199">
        <v>0</v>
      </c>
      <c r="M96" s="199"/>
      <c r="N96" s="197">
        <v>0</v>
      </c>
      <c r="O96" s="199"/>
      <c r="P96" s="195">
        <f t="shared" si="34"/>
        <v>0</v>
      </c>
      <c r="Q96" s="195"/>
      <c r="R96" s="195">
        <f t="shared" si="35"/>
        <v>0</v>
      </c>
      <c r="S96" s="200">
        <f t="shared" si="35"/>
        <v>0</v>
      </c>
    </row>
    <row r="97" spans="1:26" ht="16.5" thickTop="1" thickBot="1" x14ac:dyDescent="0.3">
      <c r="A97" s="392" t="s">
        <v>26</v>
      </c>
      <c r="B97" s="393"/>
      <c r="C97" s="198">
        <f>SUM(C89:C96)</f>
        <v>2019</v>
      </c>
      <c r="D97" s="198">
        <f t="shared" ref="D97:R97" si="36">SUM(D89:D96)</f>
        <v>0</v>
      </c>
      <c r="E97" s="198">
        <f t="shared" si="36"/>
        <v>0</v>
      </c>
      <c r="F97" s="198">
        <f t="shared" si="36"/>
        <v>0</v>
      </c>
      <c r="G97" s="198">
        <f t="shared" si="36"/>
        <v>0</v>
      </c>
      <c r="H97" s="198">
        <f t="shared" si="36"/>
        <v>0</v>
      </c>
      <c r="I97" s="198">
        <f t="shared" si="36"/>
        <v>0</v>
      </c>
      <c r="J97" s="198">
        <f t="shared" si="36"/>
        <v>0</v>
      </c>
      <c r="K97" s="198">
        <f t="shared" si="36"/>
        <v>0</v>
      </c>
      <c r="L97" s="198">
        <f t="shared" si="36"/>
        <v>0</v>
      </c>
      <c r="M97" s="198">
        <f t="shared" si="36"/>
        <v>0</v>
      </c>
      <c r="N97" s="198">
        <f t="shared" si="36"/>
        <v>0</v>
      </c>
      <c r="O97" s="198">
        <f t="shared" si="36"/>
        <v>0</v>
      </c>
      <c r="P97" s="202">
        <f t="shared" si="36"/>
        <v>0</v>
      </c>
      <c r="Q97" s="202">
        <f t="shared" si="36"/>
        <v>0</v>
      </c>
      <c r="R97" s="202">
        <f t="shared" si="36"/>
        <v>40</v>
      </c>
      <c r="S97" s="203">
        <f>SUM(S89:S96)</f>
        <v>45.454999999999998</v>
      </c>
      <c r="T97" s="274">
        <f>S97/R97*100</f>
        <v>113.63749999999999</v>
      </c>
      <c r="U97" s="314"/>
    </row>
    <row r="100" spans="1:26" ht="15.75" x14ac:dyDescent="0.25">
      <c r="A100" s="380" t="s">
        <v>110</v>
      </c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</row>
    <row r="101" spans="1:26" ht="15.75" x14ac:dyDescent="0.25">
      <c r="A101" s="380" t="s">
        <v>82</v>
      </c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</row>
    <row r="102" spans="1:26" ht="15.75" thickBot="1" x14ac:dyDescent="0.3"/>
    <row r="103" spans="1:26" ht="25.5" x14ac:dyDescent="0.25">
      <c r="A103" s="387" t="s">
        <v>2</v>
      </c>
      <c r="B103" s="389" t="s">
        <v>3</v>
      </c>
      <c r="C103" s="283" t="s">
        <v>93</v>
      </c>
      <c r="D103" s="391" t="s">
        <v>94</v>
      </c>
      <c r="E103" s="391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4" t="s">
        <v>83</v>
      </c>
      <c r="Q103" s="404"/>
      <c r="R103" s="187"/>
      <c r="S103" s="187"/>
    </row>
    <row r="104" spans="1:26" ht="25.5" x14ac:dyDescent="0.25">
      <c r="A104" s="388"/>
      <c r="B104" s="390"/>
      <c r="C104" s="189" t="s">
        <v>101</v>
      </c>
      <c r="D104" s="395" t="s">
        <v>97</v>
      </c>
      <c r="E104" s="395"/>
      <c r="F104" s="395" t="s">
        <v>98</v>
      </c>
      <c r="G104" s="395"/>
      <c r="H104" s="395" t="s">
        <v>99</v>
      </c>
      <c r="I104" s="395"/>
      <c r="J104" s="395" t="s">
        <v>96</v>
      </c>
      <c r="K104" s="395"/>
      <c r="L104" s="395" t="s">
        <v>100</v>
      </c>
      <c r="M104" s="395"/>
      <c r="N104" s="395" t="s">
        <v>8</v>
      </c>
      <c r="O104" s="395"/>
      <c r="P104" s="395"/>
      <c r="Q104" s="405"/>
      <c r="R104" s="187"/>
      <c r="S104" s="187"/>
    </row>
    <row r="105" spans="1:26" x14ac:dyDescent="0.25">
      <c r="A105" s="388"/>
      <c r="B105" s="390"/>
      <c r="C105" s="284" t="s">
        <v>1</v>
      </c>
      <c r="D105" s="174" t="s">
        <v>95</v>
      </c>
      <c r="E105" s="174" t="s">
        <v>88</v>
      </c>
      <c r="F105" s="174" t="s">
        <v>95</v>
      </c>
      <c r="G105" s="174" t="s">
        <v>88</v>
      </c>
      <c r="H105" s="174" t="s">
        <v>95</v>
      </c>
      <c r="I105" s="174" t="s">
        <v>88</v>
      </c>
      <c r="J105" s="174" t="s">
        <v>95</v>
      </c>
      <c r="K105" s="174" t="s">
        <v>88</v>
      </c>
      <c r="L105" s="174" t="s">
        <v>95</v>
      </c>
      <c r="M105" s="174" t="s">
        <v>88</v>
      </c>
      <c r="N105" s="174" t="s">
        <v>95</v>
      </c>
      <c r="O105" s="174" t="s">
        <v>88</v>
      </c>
      <c r="P105" s="174" t="s">
        <v>95</v>
      </c>
      <c r="Q105" s="190" t="s">
        <v>88</v>
      </c>
      <c r="R105" s="187"/>
      <c r="S105" s="187"/>
    </row>
    <row r="106" spans="1:26" ht="15.75" thickBot="1" x14ac:dyDescent="0.3">
      <c r="A106" s="160">
        <v>1</v>
      </c>
      <c r="B106" s="161">
        <v>2</v>
      </c>
      <c r="C106" s="281">
        <v>3</v>
      </c>
      <c r="D106" s="396">
        <v>4</v>
      </c>
      <c r="E106" s="396"/>
      <c r="F106" s="396">
        <v>5</v>
      </c>
      <c r="G106" s="396"/>
      <c r="H106" s="396">
        <v>6</v>
      </c>
      <c r="I106" s="396"/>
      <c r="J106" s="396">
        <v>7</v>
      </c>
      <c r="K106" s="396"/>
      <c r="L106" s="396">
        <v>8</v>
      </c>
      <c r="M106" s="396"/>
      <c r="N106" s="396">
        <v>9</v>
      </c>
      <c r="O106" s="396"/>
      <c r="P106" s="396">
        <v>10</v>
      </c>
      <c r="Q106" s="406"/>
      <c r="R106" s="187"/>
      <c r="S106" s="187"/>
    </row>
    <row r="107" spans="1:26" ht="15.75" thickTop="1" x14ac:dyDescent="0.25">
      <c r="A107" s="162">
        <v>1</v>
      </c>
      <c r="B107" s="163" t="s">
        <v>18</v>
      </c>
      <c r="C107" s="195">
        <v>1799</v>
      </c>
      <c r="D107" s="195">
        <v>0</v>
      </c>
      <c r="E107" s="195">
        <v>1</v>
      </c>
      <c r="F107" s="195">
        <v>0</v>
      </c>
      <c r="G107" s="195">
        <v>0</v>
      </c>
      <c r="H107" s="195">
        <v>0</v>
      </c>
      <c r="I107" s="195">
        <v>0</v>
      </c>
      <c r="J107" s="195">
        <v>0</v>
      </c>
      <c r="K107" s="195">
        <v>0</v>
      </c>
      <c r="L107" s="195">
        <v>0</v>
      </c>
      <c r="M107" s="195">
        <f>'okt-mar'!G55</f>
        <v>0</v>
      </c>
      <c r="N107" s="195">
        <v>4</v>
      </c>
      <c r="O107" s="195">
        <f>'okt-mar'!H55</f>
        <v>0</v>
      </c>
      <c r="P107" s="195">
        <f>SUM(D107,F107,H107,J107,L107,N107)</f>
        <v>4</v>
      </c>
      <c r="Q107" s="200">
        <f>SUM(E107,G107,I107,K107,M107,O107)</f>
        <v>1</v>
      </c>
      <c r="R107" s="187"/>
      <c r="S107" s="187"/>
    </row>
    <row r="108" spans="1:26" x14ac:dyDescent="0.25">
      <c r="A108" s="164">
        <v>2</v>
      </c>
      <c r="B108" s="165" t="s">
        <v>19</v>
      </c>
      <c r="C108" s="196">
        <v>243</v>
      </c>
      <c r="D108" s="196">
        <v>0</v>
      </c>
      <c r="E108" s="196">
        <v>1</v>
      </c>
      <c r="F108" s="196">
        <v>0</v>
      </c>
      <c r="G108" s="196">
        <v>0</v>
      </c>
      <c r="H108" s="196">
        <v>0</v>
      </c>
      <c r="I108" s="196">
        <v>0</v>
      </c>
      <c r="J108" s="196">
        <v>0</v>
      </c>
      <c r="K108" s="196">
        <v>0</v>
      </c>
      <c r="L108" s="196">
        <v>1</v>
      </c>
      <c r="M108" s="196">
        <f>'okt-mar'!G56</f>
        <v>0</v>
      </c>
      <c r="N108" s="196">
        <v>0</v>
      </c>
      <c r="O108" s="196">
        <f>'okt-mar'!H56</f>
        <v>0</v>
      </c>
      <c r="P108" s="196">
        <f t="shared" ref="P108:Q114" si="37">SUM(D108,F108,H108,J108,L108,N108)</f>
        <v>1</v>
      </c>
      <c r="Q108" s="201">
        <f t="shared" si="37"/>
        <v>1</v>
      </c>
      <c r="R108" s="187"/>
      <c r="S108" s="187"/>
      <c r="W108">
        <v>35</v>
      </c>
      <c r="X108">
        <f>W108*0.967</f>
        <v>33.844999999999999</v>
      </c>
      <c r="Y108">
        <v>15</v>
      </c>
      <c r="Z108">
        <f>Y108*0.96</f>
        <v>14.399999999999999</v>
      </c>
    </row>
    <row r="109" spans="1:26" x14ac:dyDescent="0.25">
      <c r="A109" s="164">
        <v>3</v>
      </c>
      <c r="B109" s="163" t="s">
        <v>20</v>
      </c>
      <c r="C109" s="196">
        <v>275</v>
      </c>
      <c r="D109" s="196">
        <v>0</v>
      </c>
      <c r="E109" s="196">
        <v>0</v>
      </c>
      <c r="F109" s="196">
        <v>3</v>
      </c>
      <c r="G109" s="196">
        <v>34</v>
      </c>
      <c r="H109" s="196">
        <v>2</v>
      </c>
      <c r="I109" s="196">
        <v>14</v>
      </c>
      <c r="J109" s="196">
        <v>0</v>
      </c>
      <c r="K109" s="196">
        <v>0</v>
      </c>
      <c r="L109" s="196">
        <v>0</v>
      </c>
      <c r="M109" s="196">
        <f>'okt-mar'!G57</f>
        <v>0</v>
      </c>
      <c r="N109" s="196">
        <v>0</v>
      </c>
      <c r="O109" s="196">
        <f>'okt-mar'!H57</f>
        <v>0</v>
      </c>
      <c r="P109" s="196">
        <f t="shared" si="37"/>
        <v>5</v>
      </c>
      <c r="Q109" s="201">
        <f t="shared" si="37"/>
        <v>48</v>
      </c>
      <c r="R109" s="187"/>
      <c r="S109" s="187"/>
    </row>
    <row r="110" spans="1:26" x14ac:dyDescent="0.25">
      <c r="A110" s="166">
        <v>4</v>
      </c>
      <c r="B110" s="167" t="s">
        <v>21</v>
      </c>
      <c r="C110" s="196">
        <v>206</v>
      </c>
      <c r="D110" s="196">
        <v>0</v>
      </c>
      <c r="E110" s="196">
        <v>0</v>
      </c>
      <c r="F110" s="196">
        <v>0</v>
      </c>
      <c r="G110" s="196">
        <v>0</v>
      </c>
      <c r="H110" s="196">
        <v>0</v>
      </c>
      <c r="I110" s="196">
        <v>1</v>
      </c>
      <c r="J110" s="196">
        <v>2</v>
      </c>
      <c r="K110" s="196">
        <v>0</v>
      </c>
      <c r="L110" s="196">
        <v>0</v>
      </c>
      <c r="M110" s="196">
        <f>'okt-mar'!G58</f>
        <v>0</v>
      </c>
      <c r="N110" s="196">
        <v>0</v>
      </c>
      <c r="O110" s="196">
        <f>'okt-mar'!H58</f>
        <v>0</v>
      </c>
      <c r="P110" s="196">
        <f t="shared" si="37"/>
        <v>2</v>
      </c>
      <c r="Q110" s="201">
        <f t="shared" si="37"/>
        <v>1</v>
      </c>
      <c r="R110" s="187"/>
      <c r="S110" s="187"/>
    </row>
    <row r="111" spans="1:26" x14ac:dyDescent="0.25">
      <c r="A111" s="166">
        <v>5</v>
      </c>
      <c r="B111" s="168" t="s">
        <v>22</v>
      </c>
      <c r="C111" s="196">
        <v>363</v>
      </c>
      <c r="D111" s="196">
        <v>0</v>
      </c>
      <c r="E111" s="196">
        <v>0</v>
      </c>
      <c r="F111" s="196">
        <v>0</v>
      </c>
      <c r="G111" s="196">
        <v>0</v>
      </c>
      <c r="H111" s="196">
        <v>1</v>
      </c>
      <c r="I111" s="196">
        <v>0</v>
      </c>
      <c r="J111" s="196">
        <v>1</v>
      </c>
      <c r="K111" s="196">
        <v>0</v>
      </c>
      <c r="L111" s="196">
        <v>0</v>
      </c>
      <c r="M111" s="196">
        <f>'okt-mar'!G59</f>
        <v>0</v>
      </c>
      <c r="N111" s="196">
        <v>0</v>
      </c>
      <c r="O111" s="196">
        <f>'okt-mar'!H59</f>
        <v>0</v>
      </c>
      <c r="P111" s="196">
        <f t="shared" si="37"/>
        <v>2</v>
      </c>
      <c r="Q111" s="201">
        <f t="shared" si="37"/>
        <v>0</v>
      </c>
      <c r="R111" s="187"/>
      <c r="S111" s="187"/>
    </row>
    <row r="112" spans="1:26" x14ac:dyDescent="0.25">
      <c r="A112" s="166">
        <v>6</v>
      </c>
      <c r="B112" s="168" t="s">
        <v>23</v>
      </c>
      <c r="C112" s="196">
        <v>59</v>
      </c>
      <c r="D112" s="196">
        <v>0</v>
      </c>
      <c r="E112" s="196">
        <v>0</v>
      </c>
      <c r="F112" s="196">
        <v>0</v>
      </c>
      <c r="G112" s="196">
        <v>0</v>
      </c>
      <c r="H112" s="196">
        <v>0</v>
      </c>
      <c r="I112" s="196">
        <v>0</v>
      </c>
      <c r="J112" s="196">
        <v>0</v>
      </c>
      <c r="K112" s="196">
        <v>0</v>
      </c>
      <c r="L112" s="196">
        <v>0</v>
      </c>
      <c r="M112" s="196">
        <f>'okt-mar'!G60</f>
        <v>0</v>
      </c>
      <c r="N112" s="196">
        <v>0</v>
      </c>
      <c r="O112" s="196">
        <f>'okt-mar'!H60</f>
        <v>0</v>
      </c>
      <c r="P112" s="196">
        <f t="shared" si="37"/>
        <v>0</v>
      </c>
      <c r="Q112" s="201">
        <f t="shared" si="37"/>
        <v>0</v>
      </c>
      <c r="R112" s="187"/>
      <c r="S112" s="187"/>
    </row>
    <row r="113" spans="1:19" x14ac:dyDescent="0.25">
      <c r="A113" s="166">
        <v>7</v>
      </c>
      <c r="B113" s="168" t="s">
        <v>24</v>
      </c>
      <c r="C113" s="196">
        <v>405</v>
      </c>
      <c r="D113" s="196">
        <v>0</v>
      </c>
      <c r="E113" s="196">
        <v>0</v>
      </c>
      <c r="F113" s="196">
        <v>0</v>
      </c>
      <c r="G113" s="196">
        <v>0</v>
      </c>
      <c r="H113" s="196">
        <v>0</v>
      </c>
      <c r="I113" s="196">
        <v>0</v>
      </c>
      <c r="J113" s="196">
        <v>0</v>
      </c>
      <c r="K113" s="196">
        <v>0</v>
      </c>
      <c r="L113" s="196">
        <v>0</v>
      </c>
      <c r="M113" s="196">
        <f>'okt-mar'!G61</f>
        <v>0</v>
      </c>
      <c r="N113" s="196">
        <v>0</v>
      </c>
      <c r="O113" s="196">
        <f>'okt-mar'!H61</f>
        <v>0</v>
      </c>
      <c r="P113" s="196">
        <f t="shared" si="37"/>
        <v>0</v>
      </c>
      <c r="Q113" s="201">
        <f t="shared" si="37"/>
        <v>0</v>
      </c>
      <c r="R113" s="187"/>
      <c r="S113" s="187"/>
    </row>
    <row r="114" spans="1:19" ht="15.75" thickBot="1" x14ac:dyDescent="0.3">
      <c r="A114" s="169">
        <v>8</v>
      </c>
      <c r="B114" s="167" t="s">
        <v>25</v>
      </c>
      <c r="C114" s="197">
        <v>280</v>
      </c>
      <c r="D114" s="197">
        <v>0</v>
      </c>
      <c r="E114" s="197">
        <v>1</v>
      </c>
      <c r="F114" s="197">
        <v>0</v>
      </c>
      <c r="G114" s="197">
        <v>1</v>
      </c>
      <c r="H114" s="197">
        <v>3</v>
      </c>
      <c r="I114" s="197">
        <v>0</v>
      </c>
      <c r="J114" s="197">
        <v>0</v>
      </c>
      <c r="K114" s="197">
        <v>0</v>
      </c>
      <c r="L114" s="197">
        <v>0</v>
      </c>
      <c r="M114" s="197">
        <f>'okt-mar'!G62</f>
        <v>1</v>
      </c>
      <c r="N114" s="197">
        <v>0</v>
      </c>
      <c r="O114" s="197">
        <f>'okt-mar'!H62</f>
        <v>0</v>
      </c>
      <c r="P114" s="195">
        <f t="shared" si="37"/>
        <v>3</v>
      </c>
      <c r="Q114" s="200">
        <f t="shared" si="37"/>
        <v>3</v>
      </c>
      <c r="R114" s="187"/>
      <c r="S114" s="187"/>
    </row>
    <row r="115" spans="1:19" ht="16.5" thickTop="1" thickBot="1" x14ac:dyDescent="0.3">
      <c r="A115" s="392" t="s">
        <v>26</v>
      </c>
      <c r="B115" s="393"/>
      <c r="C115" s="198">
        <f>SUM(C107:C114)</f>
        <v>3630</v>
      </c>
      <c r="D115" s="198">
        <f t="shared" ref="D115:P115" si="38">SUM(D107:D114)</f>
        <v>0</v>
      </c>
      <c r="E115" s="198">
        <f t="shared" si="38"/>
        <v>3</v>
      </c>
      <c r="F115" s="198">
        <f t="shared" si="38"/>
        <v>3</v>
      </c>
      <c r="G115" s="198">
        <f t="shared" si="38"/>
        <v>35</v>
      </c>
      <c r="H115" s="198">
        <f t="shared" si="38"/>
        <v>6</v>
      </c>
      <c r="I115" s="198">
        <f t="shared" si="38"/>
        <v>15</v>
      </c>
      <c r="J115" s="198">
        <f t="shared" si="38"/>
        <v>3</v>
      </c>
      <c r="K115" s="198">
        <f t="shared" si="38"/>
        <v>0</v>
      </c>
      <c r="L115" s="198">
        <f t="shared" si="38"/>
        <v>1</v>
      </c>
      <c r="M115" s="198">
        <f t="shared" si="38"/>
        <v>1</v>
      </c>
      <c r="N115" s="198">
        <f t="shared" si="38"/>
        <v>4</v>
      </c>
      <c r="O115" s="198">
        <f t="shared" si="38"/>
        <v>0</v>
      </c>
      <c r="P115" s="202">
        <f t="shared" si="38"/>
        <v>17</v>
      </c>
      <c r="Q115" s="203">
        <f>SUM(Q107:Q114)</f>
        <v>54</v>
      </c>
      <c r="R115" s="187"/>
      <c r="S115" s="187"/>
    </row>
    <row r="116" spans="1:19" ht="15.75" thickBot="1" x14ac:dyDescent="0.3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</row>
    <row r="117" spans="1:19" ht="25.5" x14ac:dyDescent="0.25">
      <c r="A117" s="387" t="s">
        <v>2</v>
      </c>
      <c r="B117" s="389" t="s">
        <v>3</v>
      </c>
      <c r="C117" s="283" t="s">
        <v>93</v>
      </c>
      <c r="D117" s="391" t="s">
        <v>104</v>
      </c>
      <c r="E117" s="391"/>
      <c r="F117" s="391"/>
      <c r="G117" s="391"/>
      <c r="H117" s="391"/>
      <c r="I117" s="391"/>
      <c r="J117" s="391"/>
      <c r="K117" s="391"/>
      <c r="L117" s="391"/>
      <c r="M117" s="391"/>
      <c r="N117" s="391"/>
      <c r="O117" s="391"/>
      <c r="P117" s="394" t="s">
        <v>105</v>
      </c>
      <c r="Q117" s="394"/>
      <c r="R117" s="401" t="s">
        <v>106</v>
      </c>
      <c r="S117" s="399"/>
    </row>
    <row r="118" spans="1:19" ht="25.5" x14ac:dyDescent="0.25">
      <c r="A118" s="388"/>
      <c r="B118" s="390"/>
      <c r="C118" s="189" t="s">
        <v>101</v>
      </c>
      <c r="D118" s="395" t="s">
        <v>79</v>
      </c>
      <c r="E118" s="395"/>
      <c r="F118" s="395" t="s">
        <v>10</v>
      </c>
      <c r="G118" s="395"/>
      <c r="H118" s="395" t="s">
        <v>11</v>
      </c>
      <c r="I118" s="395"/>
      <c r="J118" s="395" t="s">
        <v>12</v>
      </c>
      <c r="K118" s="395"/>
      <c r="L118" s="395" t="s">
        <v>102</v>
      </c>
      <c r="M118" s="395"/>
      <c r="N118" s="395" t="s">
        <v>103</v>
      </c>
      <c r="O118" s="395"/>
      <c r="P118" s="395"/>
      <c r="Q118" s="395"/>
      <c r="R118" s="402"/>
      <c r="S118" s="400"/>
    </row>
    <row r="119" spans="1:19" x14ac:dyDescent="0.25">
      <c r="A119" s="388"/>
      <c r="B119" s="390"/>
      <c r="C119" s="284" t="s">
        <v>1</v>
      </c>
      <c r="D119" s="174" t="s">
        <v>95</v>
      </c>
      <c r="E119" s="174" t="s">
        <v>88</v>
      </c>
      <c r="F119" s="174" t="s">
        <v>95</v>
      </c>
      <c r="G119" s="174" t="s">
        <v>88</v>
      </c>
      <c r="H119" s="174" t="s">
        <v>95</v>
      </c>
      <c r="I119" s="174" t="s">
        <v>88</v>
      </c>
      <c r="J119" s="174" t="s">
        <v>95</v>
      </c>
      <c r="K119" s="174" t="s">
        <v>88</v>
      </c>
      <c r="L119" s="174" t="s">
        <v>95</v>
      </c>
      <c r="M119" s="174" t="s">
        <v>88</v>
      </c>
      <c r="N119" s="174" t="s">
        <v>95</v>
      </c>
      <c r="O119" s="174" t="s">
        <v>88</v>
      </c>
      <c r="P119" s="174" t="s">
        <v>95</v>
      </c>
      <c r="Q119" s="174" t="s">
        <v>88</v>
      </c>
      <c r="R119" s="174" t="s">
        <v>95</v>
      </c>
      <c r="S119" s="190" t="s">
        <v>88</v>
      </c>
    </row>
    <row r="120" spans="1:19" ht="15.75" thickBot="1" x14ac:dyDescent="0.3">
      <c r="A120" s="160">
        <v>1</v>
      </c>
      <c r="B120" s="161">
        <v>2</v>
      </c>
      <c r="C120" s="281">
        <v>3</v>
      </c>
      <c r="D120" s="396">
        <v>11</v>
      </c>
      <c r="E120" s="396"/>
      <c r="F120" s="396">
        <v>12</v>
      </c>
      <c r="G120" s="396"/>
      <c r="H120" s="396">
        <v>13</v>
      </c>
      <c r="I120" s="396"/>
      <c r="J120" s="396">
        <v>14</v>
      </c>
      <c r="K120" s="396"/>
      <c r="L120" s="396">
        <v>15</v>
      </c>
      <c r="M120" s="396"/>
      <c r="N120" s="396">
        <v>16</v>
      </c>
      <c r="O120" s="396"/>
      <c r="P120" s="396">
        <v>17</v>
      </c>
      <c r="Q120" s="396"/>
      <c r="R120" s="396">
        <v>18</v>
      </c>
      <c r="S120" s="406"/>
    </row>
    <row r="121" spans="1:19" ht="15.75" thickTop="1" x14ac:dyDescent="0.25">
      <c r="A121" s="162">
        <v>1</v>
      </c>
      <c r="B121" s="163" t="s">
        <v>18</v>
      </c>
      <c r="C121" s="195">
        <v>1799</v>
      </c>
      <c r="D121" s="195">
        <v>3</v>
      </c>
      <c r="E121" s="195">
        <f>'okt-mar'!J55</f>
        <v>0</v>
      </c>
      <c r="F121" s="195">
        <v>0</v>
      </c>
      <c r="G121" s="195">
        <v>0</v>
      </c>
      <c r="H121" s="195">
        <v>5</v>
      </c>
      <c r="I121" s="195"/>
      <c r="J121" s="195">
        <v>3</v>
      </c>
      <c r="K121" s="195"/>
      <c r="L121" s="195">
        <v>0</v>
      </c>
      <c r="M121" s="195"/>
      <c r="N121" s="195">
        <v>0</v>
      </c>
      <c r="O121" s="195"/>
      <c r="P121" s="195">
        <f>SUM(D121,F121,H121,J121,L121,N121)</f>
        <v>11</v>
      </c>
      <c r="Q121" s="195"/>
      <c r="R121" s="195">
        <f>SUM(P107,P121)</f>
        <v>15</v>
      </c>
      <c r="S121" s="200">
        <f>SUM(Q107,Q121)</f>
        <v>1</v>
      </c>
    </row>
    <row r="122" spans="1:19" x14ac:dyDescent="0.25">
      <c r="A122" s="164">
        <v>2</v>
      </c>
      <c r="B122" s="165" t="s">
        <v>19</v>
      </c>
      <c r="C122" s="196">
        <v>243</v>
      </c>
      <c r="D122" s="196">
        <v>3</v>
      </c>
      <c r="E122" s="196">
        <f>'okt-mar'!J56</f>
        <v>0</v>
      </c>
      <c r="F122" s="196">
        <v>3</v>
      </c>
      <c r="G122" s="196">
        <v>0</v>
      </c>
      <c r="H122" s="196">
        <v>2</v>
      </c>
      <c r="I122" s="196"/>
      <c r="J122" s="196">
        <v>3</v>
      </c>
      <c r="K122" s="196"/>
      <c r="L122" s="196">
        <v>0</v>
      </c>
      <c r="M122" s="196"/>
      <c r="N122" s="196">
        <v>0</v>
      </c>
      <c r="O122" s="196"/>
      <c r="P122" s="196">
        <f t="shared" ref="P122:P128" si="39">SUM(D122,F122,H122,J122,L122,N122)</f>
        <v>11</v>
      </c>
      <c r="Q122" s="196"/>
      <c r="R122" s="196">
        <f t="shared" ref="R122:S128" si="40">SUM(P108,P122)</f>
        <v>12</v>
      </c>
      <c r="S122" s="201">
        <f t="shared" si="40"/>
        <v>1</v>
      </c>
    </row>
    <row r="123" spans="1:19" x14ac:dyDescent="0.25">
      <c r="A123" s="164">
        <v>3</v>
      </c>
      <c r="B123" s="163" t="s">
        <v>20</v>
      </c>
      <c r="C123" s="196">
        <v>275</v>
      </c>
      <c r="D123" s="196">
        <v>7</v>
      </c>
      <c r="E123" s="196">
        <f>'okt-mar'!J57</f>
        <v>0</v>
      </c>
      <c r="F123" s="196">
        <v>0</v>
      </c>
      <c r="G123" s="196">
        <v>0</v>
      </c>
      <c r="H123" s="196">
        <v>4</v>
      </c>
      <c r="I123" s="196"/>
      <c r="J123" s="196">
        <v>2</v>
      </c>
      <c r="K123" s="196"/>
      <c r="L123" s="196">
        <v>0</v>
      </c>
      <c r="M123" s="196"/>
      <c r="N123" s="196">
        <v>0</v>
      </c>
      <c r="O123" s="196"/>
      <c r="P123" s="196">
        <f t="shared" si="39"/>
        <v>13</v>
      </c>
      <c r="Q123" s="196"/>
      <c r="R123" s="196">
        <f t="shared" si="40"/>
        <v>18</v>
      </c>
      <c r="S123" s="201">
        <f t="shared" si="40"/>
        <v>48</v>
      </c>
    </row>
    <row r="124" spans="1:19" x14ac:dyDescent="0.25">
      <c r="A124" s="166">
        <v>4</v>
      </c>
      <c r="B124" s="167" t="s">
        <v>21</v>
      </c>
      <c r="C124" s="196">
        <v>206</v>
      </c>
      <c r="D124" s="196">
        <v>5</v>
      </c>
      <c r="E124" s="196">
        <f>'okt-mar'!J58</f>
        <v>0</v>
      </c>
      <c r="F124" s="196">
        <v>0</v>
      </c>
      <c r="G124" s="196">
        <v>0</v>
      </c>
      <c r="H124" s="196">
        <v>0</v>
      </c>
      <c r="I124" s="196"/>
      <c r="J124" s="196">
        <v>4</v>
      </c>
      <c r="K124" s="196"/>
      <c r="L124" s="196">
        <v>0</v>
      </c>
      <c r="M124" s="196"/>
      <c r="N124" s="196">
        <v>0</v>
      </c>
      <c r="O124" s="196"/>
      <c r="P124" s="196">
        <f t="shared" si="39"/>
        <v>9</v>
      </c>
      <c r="Q124" s="196"/>
      <c r="R124" s="196">
        <f t="shared" si="40"/>
        <v>11</v>
      </c>
      <c r="S124" s="201">
        <f t="shared" si="40"/>
        <v>1</v>
      </c>
    </row>
    <row r="125" spans="1:19" x14ac:dyDescent="0.25">
      <c r="A125" s="166">
        <v>5</v>
      </c>
      <c r="B125" s="168" t="s">
        <v>22</v>
      </c>
      <c r="C125" s="196">
        <v>363</v>
      </c>
      <c r="D125" s="196">
        <v>6</v>
      </c>
      <c r="E125" s="196">
        <f>'okt-mar'!J59</f>
        <v>0</v>
      </c>
      <c r="F125" s="196">
        <v>0</v>
      </c>
      <c r="G125" s="196">
        <v>2</v>
      </c>
      <c r="H125" s="196">
        <v>4</v>
      </c>
      <c r="I125" s="196"/>
      <c r="J125" s="196">
        <v>1</v>
      </c>
      <c r="K125" s="196"/>
      <c r="L125" s="196">
        <v>0</v>
      </c>
      <c r="M125" s="196"/>
      <c r="N125" s="196">
        <v>0</v>
      </c>
      <c r="O125" s="196"/>
      <c r="P125" s="196">
        <f t="shared" si="39"/>
        <v>11</v>
      </c>
      <c r="Q125" s="196"/>
      <c r="R125" s="196">
        <f t="shared" si="40"/>
        <v>13</v>
      </c>
      <c r="S125" s="201">
        <f t="shared" si="40"/>
        <v>0</v>
      </c>
    </row>
    <row r="126" spans="1:19" x14ac:dyDescent="0.25">
      <c r="A126" s="166">
        <v>6</v>
      </c>
      <c r="B126" s="168" t="s">
        <v>23</v>
      </c>
      <c r="C126" s="196">
        <v>59</v>
      </c>
      <c r="D126" s="196">
        <v>5</v>
      </c>
      <c r="E126" s="196">
        <f>'okt-mar'!J60</f>
        <v>0</v>
      </c>
      <c r="F126" s="196">
        <v>0</v>
      </c>
      <c r="G126" s="196">
        <v>0</v>
      </c>
      <c r="H126" s="196">
        <v>4</v>
      </c>
      <c r="I126" s="196"/>
      <c r="J126" s="196">
        <v>1</v>
      </c>
      <c r="K126" s="196"/>
      <c r="L126" s="196">
        <v>0</v>
      </c>
      <c r="M126" s="196"/>
      <c r="N126" s="196">
        <v>0</v>
      </c>
      <c r="O126" s="196"/>
      <c r="P126" s="196">
        <f t="shared" si="39"/>
        <v>10</v>
      </c>
      <c r="Q126" s="196"/>
      <c r="R126" s="196">
        <f t="shared" si="40"/>
        <v>10</v>
      </c>
      <c r="S126" s="201">
        <f t="shared" si="40"/>
        <v>0</v>
      </c>
    </row>
    <row r="127" spans="1:19" x14ac:dyDescent="0.25">
      <c r="A127" s="166">
        <v>7</v>
      </c>
      <c r="B127" s="168" t="s">
        <v>24</v>
      </c>
      <c r="C127" s="196">
        <v>405</v>
      </c>
      <c r="D127" s="196">
        <v>4</v>
      </c>
      <c r="E127" s="196">
        <f>'okt-mar'!J61</f>
        <v>0</v>
      </c>
      <c r="F127" s="196">
        <v>0</v>
      </c>
      <c r="G127" s="196">
        <v>0</v>
      </c>
      <c r="H127" s="196">
        <v>4</v>
      </c>
      <c r="I127" s="196"/>
      <c r="J127" s="196">
        <v>0</v>
      </c>
      <c r="K127" s="196"/>
      <c r="L127" s="196">
        <v>0</v>
      </c>
      <c r="M127" s="196"/>
      <c r="N127" s="196">
        <v>0</v>
      </c>
      <c r="O127" s="196"/>
      <c r="P127" s="196">
        <f t="shared" si="39"/>
        <v>8</v>
      </c>
      <c r="Q127" s="196"/>
      <c r="R127" s="196">
        <f t="shared" si="40"/>
        <v>8</v>
      </c>
      <c r="S127" s="201">
        <f t="shared" si="40"/>
        <v>0</v>
      </c>
    </row>
    <row r="128" spans="1:19" ht="15.75" thickBot="1" x14ac:dyDescent="0.3">
      <c r="A128" s="169">
        <v>8</v>
      </c>
      <c r="B128" s="167" t="s">
        <v>25</v>
      </c>
      <c r="C128" s="197">
        <v>280</v>
      </c>
      <c r="D128" s="199">
        <v>5</v>
      </c>
      <c r="E128" s="197">
        <f>'okt-mar'!J62</f>
        <v>0</v>
      </c>
      <c r="F128" s="199">
        <v>0</v>
      </c>
      <c r="G128" s="199">
        <v>1</v>
      </c>
      <c r="H128" s="199">
        <v>4</v>
      </c>
      <c r="I128" s="199"/>
      <c r="J128" s="199">
        <v>1</v>
      </c>
      <c r="K128" s="199"/>
      <c r="L128" s="199">
        <v>0</v>
      </c>
      <c r="M128" s="199"/>
      <c r="N128" s="199">
        <v>0</v>
      </c>
      <c r="O128" s="199"/>
      <c r="P128" s="195">
        <f t="shared" si="39"/>
        <v>10</v>
      </c>
      <c r="Q128" s="195"/>
      <c r="R128" s="195">
        <f t="shared" si="40"/>
        <v>13</v>
      </c>
      <c r="S128" s="200">
        <f t="shared" si="40"/>
        <v>3</v>
      </c>
    </row>
    <row r="129" spans="1:21" ht="16.5" thickTop="1" thickBot="1" x14ac:dyDescent="0.3">
      <c r="A129" s="392" t="s">
        <v>26</v>
      </c>
      <c r="B129" s="393"/>
      <c r="C129" s="198">
        <f>SUM(C121:C128)</f>
        <v>3630</v>
      </c>
      <c r="D129" s="198">
        <f t="shared" ref="D129:R129" si="41">SUM(D121:D128)</f>
        <v>38</v>
      </c>
      <c r="E129" s="198">
        <f t="shared" si="41"/>
        <v>0</v>
      </c>
      <c r="F129" s="198">
        <f t="shared" si="41"/>
        <v>3</v>
      </c>
      <c r="G129" s="198">
        <f t="shared" si="41"/>
        <v>3</v>
      </c>
      <c r="H129" s="198">
        <f t="shared" si="41"/>
        <v>27</v>
      </c>
      <c r="I129" s="198">
        <f t="shared" si="41"/>
        <v>0</v>
      </c>
      <c r="J129" s="198">
        <f t="shared" si="41"/>
        <v>15</v>
      </c>
      <c r="K129" s="198">
        <f t="shared" si="41"/>
        <v>0</v>
      </c>
      <c r="L129" s="198">
        <f t="shared" si="41"/>
        <v>0</v>
      </c>
      <c r="M129" s="198">
        <f t="shared" si="41"/>
        <v>0</v>
      </c>
      <c r="N129" s="198">
        <f t="shared" si="41"/>
        <v>0</v>
      </c>
      <c r="O129" s="198">
        <f t="shared" si="41"/>
        <v>0</v>
      </c>
      <c r="P129" s="202">
        <f t="shared" si="41"/>
        <v>83</v>
      </c>
      <c r="Q129" s="202">
        <f t="shared" si="41"/>
        <v>0</v>
      </c>
      <c r="R129" s="202">
        <f t="shared" si="41"/>
        <v>100</v>
      </c>
      <c r="S129" s="203">
        <f>SUM(S121:S128)</f>
        <v>54</v>
      </c>
      <c r="T129" s="274">
        <f>S129/R129*100</f>
        <v>54</v>
      </c>
      <c r="U129" s="314"/>
    </row>
  </sheetData>
  <mergeCells count="161">
    <mergeCell ref="A3:T3"/>
    <mergeCell ref="P120:Q120"/>
    <mergeCell ref="R120:S120"/>
    <mergeCell ref="A129:B129"/>
    <mergeCell ref="T20:T22"/>
    <mergeCell ref="A4:T4"/>
    <mergeCell ref="D120:E120"/>
    <mergeCell ref="F120:G120"/>
    <mergeCell ref="H120:I120"/>
    <mergeCell ref="J120:K120"/>
    <mergeCell ref="L120:M120"/>
    <mergeCell ref="N120:O120"/>
    <mergeCell ref="R117:S118"/>
    <mergeCell ref="D118:E118"/>
    <mergeCell ref="F118:G118"/>
    <mergeCell ref="H118:I118"/>
    <mergeCell ref="J118:K118"/>
    <mergeCell ref="L118:M118"/>
    <mergeCell ref="N118:O118"/>
    <mergeCell ref="N106:O106"/>
    <mergeCell ref="P106:Q106"/>
    <mergeCell ref="A115:B115"/>
    <mergeCell ref="A117:A119"/>
    <mergeCell ref="B117:B119"/>
    <mergeCell ref="D117:O117"/>
    <mergeCell ref="P117:Q118"/>
    <mergeCell ref="F104:G104"/>
    <mergeCell ref="H104:I104"/>
    <mergeCell ref="J104:K104"/>
    <mergeCell ref="L104:M104"/>
    <mergeCell ref="N104:O104"/>
    <mergeCell ref="D106:E106"/>
    <mergeCell ref="F106:G106"/>
    <mergeCell ref="H106:I106"/>
    <mergeCell ref="J106:K106"/>
    <mergeCell ref="L106:M106"/>
    <mergeCell ref="P88:Q88"/>
    <mergeCell ref="R88:S88"/>
    <mergeCell ref="A97:B97"/>
    <mergeCell ref="A100:S100"/>
    <mergeCell ref="A101:S101"/>
    <mergeCell ref="A103:A105"/>
    <mergeCell ref="B103:B105"/>
    <mergeCell ref="D103:O103"/>
    <mergeCell ref="P103:Q104"/>
    <mergeCell ref="D104:E104"/>
    <mergeCell ref="D88:E88"/>
    <mergeCell ref="F88:G88"/>
    <mergeCell ref="H88:I88"/>
    <mergeCell ref="J88:K88"/>
    <mergeCell ref="L88:M88"/>
    <mergeCell ref="N88:O88"/>
    <mergeCell ref="R85:S86"/>
    <mergeCell ref="D86:E86"/>
    <mergeCell ref="F86:G86"/>
    <mergeCell ref="H86:I86"/>
    <mergeCell ref="J86:K86"/>
    <mergeCell ref="L86:M86"/>
    <mergeCell ref="N86:O86"/>
    <mergeCell ref="N74:O74"/>
    <mergeCell ref="P74:Q74"/>
    <mergeCell ref="A83:B83"/>
    <mergeCell ref="A85:A87"/>
    <mergeCell ref="B85:B87"/>
    <mergeCell ref="D85:O85"/>
    <mergeCell ref="P85:Q86"/>
    <mergeCell ref="F72:G72"/>
    <mergeCell ref="H72:I72"/>
    <mergeCell ref="J72:K72"/>
    <mergeCell ref="L72:M72"/>
    <mergeCell ref="N72:O72"/>
    <mergeCell ref="D74:E74"/>
    <mergeCell ref="F74:G74"/>
    <mergeCell ref="H74:I74"/>
    <mergeCell ref="J74:K74"/>
    <mergeCell ref="L74:M74"/>
    <mergeCell ref="P56:Q56"/>
    <mergeCell ref="R56:S56"/>
    <mergeCell ref="A65:B65"/>
    <mergeCell ref="A68:S68"/>
    <mergeCell ref="A69:S69"/>
    <mergeCell ref="A71:A73"/>
    <mergeCell ref="B71:B73"/>
    <mergeCell ref="D71:O71"/>
    <mergeCell ref="P71:Q72"/>
    <mergeCell ref="D72:E72"/>
    <mergeCell ref="D56:E56"/>
    <mergeCell ref="F56:G56"/>
    <mergeCell ref="H56:I56"/>
    <mergeCell ref="J56:K56"/>
    <mergeCell ref="L56:M56"/>
    <mergeCell ref="N56:O56"/>
    <mergeCell ref="R53:S54"/>
    <mergeCell ref="D54:E54"/>
    <mergeCell ref="F54:G54"/>
    <mergeCell ref="H54:I54"/>
    <mergeCell ref="J54:K54"/>
    <mergeCell ref="L54:M54"/>
    <mergeCell ref="N54:O54"/>
    <mergeCell ref="N42:O42"/>
    <mergeCell ref="P42:Q42"/>
    <mergeCell ref="A51:B51"/>
    <mergeCell ref="A53:A55"/>
    <mergeCell ref="B53:B55"/>
    <mergeCell ref="D53:O53"/>
    <mergeCell ref="P53:Q54"/>
    <mergeCell ref="F40:G40"/>
    <mergeCell ref="H40:I40"/>
    <mergeCell ref="J40:K40"/>
    <mergeCell ref="L40:M40"/>
    <mergeCell ref="N40:O40"/>
    <mergeCell ref="D42:E42"/>
    <mergeCell ref="F42:G42"/>
    <mergeCell ref="H42:I42"/>
    <mergeCell ref="J42:K42"/>
    <mergeCell ref="L42:M42"/>
    <mergeCell ref="A39:A41"/>
    <mergeCell ref="B39:B41"/>
    <mergeCell ref="D39:O39"/>
    <mergeCell ref="P39:Q40"/>
    <mergeCell ref="D40:E40"/>
    <mergeCell ref="R20:S21"/>
    <mergeCell ref="D21:E21"/>
    <mergeCell ref="F21:G21"/>
    <mergeCell ref="H21:I21"/>
    <mergeCell ref="J21:K21"/>
    <mergeCell ref="L21:M21"/>
    <mergeCell ref="N21:O21"/>
    <mergeCell ref="P9:Q9"/>
    <mergeCell ref="A37:S37"/>
    <mergeCell ref="R23:S23"/>
    <mergeCell ref="A18:B18"/>
    <mergeCell ref="A20:A22"/>
    <mergeCell ref="B20:B22"/>
    <mergeCell ref="D20:O20"/>
    <mergeCell ref="P20:Q21"/>
    <mergeCell ref="D23:E23"/>
    <mergeCell ref="F23:G23"/>
    <mergeCell ref="H23:I23"/>
    <mergeCell ref="J23:K23"/>
    <mergeCell ref="L23:M23"/>
    <mergeCell ref="N23:O23"/>
    <mergeCell ref="P23:Q23"/>
    <mergeCell ref="A32:B32"/>
    <mergeCell ref="A36:S36"/>
    <mergeCell ref="P6:Q7"/>
    <mergeCell ref="D7:E7"/>
    <mergeCell ref="F7:G7"/>
    <mergeCell ref="H7:I7"/>
    <mergeCell ref="J7:K7"/>
    <mergeCell ref="L7:M7"/>
    <mergeCell ref="N7:O7"/>
    <mergeCell ref="D9:E9"/>
    <mergeCell ref="A6:A8"/>
    <mergeCell ref="B6:B8"/>
    <mergeCell ref="D6:O6"/>
    <mergeCell ref="F9:G9"/>
    <mergeCell ref="H9:I9"/>
    <mergeCell ref="J9:K9"/>
    <mergeCell ref="L9:M9"/>
    <mergeCell ref="N9:O9"/>
  </mergeCells>
  <pageMargins left="0.88" right="0.7" top="0.75" bottom="0.75" header="0.3" footer="0.3"/>
  <pageSetup paperSize="5" scale="95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topLeftCell="A7" zoomScale="90" zoomScaleNormal="90" workbookViewId="0">
      <selection activeCell="P26" sqref="P26"/>
    </sheetView>
  </sheetViews>
  <sheetFormatPr defaultRowHeight="15" x14ac:dyDescent="0.25"/>
  <cols>
    <col min="1" max="1" width="4.28515625" customWidth="1"/>
    <col min="2" max="2" width="13.42578125" customWidth="1"/>
    <col min="3" max="3" width="10.7109375" customWidth="1"/>
    <col min="4" max="20" width="8" customWidth="1"/>
    <col min="21" max="21" width="7.5703125" customWidth="1"/>
    <col min="22" max="34" width="7.140625" customWidth="1"/>
  </cols>
  <sheetData>
    <row r="1" spans="1:29" ht="15.75" x14ac:dyDescent="0.25">
      <c r="A1" s="380" t="s">
        <v>107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280"/>
    </row>
    <row r="2" spans="1:29" ht="15.75" x14ac:dyDescent="0.25">
      <c r="A2" s="380" t="s">
        <v>82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280"/>
    </row>
    <row r="3" spans="1:29" ht="15.75" thickBot="1" x14ac:dyDescent="0.3"/>
    <row r="4" spans="1:29" ht="25.5" x14ac:dyDescent="0.25">
      <c r="A4" s="387" t="s">
        <v>2</v>
      </c>
      <c r="B4" s="389" t="s">
        <v>3</v>
      </c>
      <c r="C4" s="283" t="s">
        <v>93</v>
      </c>
      <c r="D4" s="391" t="s">
        <v>94</v>
      </c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4" t="s">
        <v>83</v>
      </c>
      <c r="Q4" s="404"/>
      <c r="R4" s="187"/>
      <c r="S4" s="187"/>
      <c r="T4" s="187"/>
    </row>
    <row r="5" spans="1:29" ht="25.5" x14ac:dyDescent="0.25">
      <c r="A5" s="388"/>
      <c r="B5" s="390"/>
      <c r="C5" s="189" t="s">
        <v>101</v>
      </c>
      <c r="D5" s="395" t="s">
        <v>97</v>
      </c>
      <c r="E5" s="395"/>
      <c r="F5" s="395" t="s">
        <v>98</v>
      </c>
      <c r="G5" s="395"/>
      <c r="H5" s="395" t="s">
        <v>99</v>
      </c>
      <c r="I5" s="395"/>
      <c r="J5" s="395" t="s">
        <v>96</v>
      </c>
      <c r="K5" s="395"/>
      <c r="L5" s="395" t="s">
        <v>100</v>
      </c>
      <c r="M5" s="395"/>
      <c r="N5" s="395" t="s">
        <v>8</v>
      </c>
      <c r="O5" s="395"/>
      <c r="P5" s="395"/>
      <c r="Q5" s="405"/>
      <c r="R5" s="187"/>
      <c r="S5" s="187"/>
      <c r="T5" s="187"/>
    </row>
    <row r="6" spans="1:29" x14ac:dyDescent="0.25">
      <c r="A6" s="388"/>
      <c r="B6" s="390"/>
      <c r="C6" s="284" t="s">
        <v>1</v>
      </c>
      <c r="D6" s="174" t="s">
        <v>95</v>
      </c>
      <c r="E6" s="174" t="s">
        <v>88</v>
      </c>
      <c r="F6" s="174" t="s">
        <v>95</v>
      </c>
      <c r="G6" s="174" t="s">
        <v>88</v>
      </c>
      <c r="H6" s="174" t="s">
        <v>95</v>
      </c>
      <c r="I6" s="174" t="s">
        <v>88</v>
      </c>
      <c r="J6" s="174" t="s">
        <v>95</v>
      </c>
      <c r="K6" s="174" t="s">
        <v>88</v>
      </c>
      <c r="L6" s="174" t="s">
        <v>95</v>
      </c>
      <c r="M6" s="174" t="s">
        <v>88</v>
      </c>
      <c r="N6" s="174" t="s">
        <v>95</v>
      </c>
      <c r="O6" s="174" t="s">
        <v>88</v>
      </c>
      <c r="P6" s="174" t="s">
        <v>95</v>
      </c>
      <c r="Q6" s="190" t="s">
        <v>88</v>
      </c>
      <c r="R6" s="187"/>
      <c r="S6" s="187"/>
      <c r="T6" s="187"/>
    </row>
    <row r="7" spans="1:29" ht="15.75" thickBot="1" x14ac:dyDescent="0.3">
      <c r="A7" s="160">
        <v>1</v>
      </c>
      <c r="B7" s="161">
        <v>2</v>
      </c>
      <c r="C7" s="281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406"/>
      <c r="R7" s="187"/>
      <c r="S7" s="187"/>
      <c r="T7" s="187"/>
    </row>
    <row r="8" spans="1:29" ht="15.75" thickTop="1" x14ac:dyDescent="0.25">
      <c r="A8" s="162">
        <v>1</v>
      </c>
      <c r="B8" s="163" t="s">
        <v>18</v>
      </c>
      <c r="C8" s="195">
        <v>1799</v>
      </c>
      <c r="D8" s="195">
        <v>0</v>
      </c>
      <c r="E8" s="195">
        <v>0</v>
      </c>
      <c r="F8" s="195">
        <v>0</v>
      </c>
      <c r="G8" s="195">
        <v>1.93</v>
      </c>
      <c r="H8" s="195">
        <v>10</v>
      </c>
      <c r="I8" s="195">
        <v>43.515000000000001</v>
      </c>
      <c r="J8" s="195">
        <v>15</v>
      </c>
      <c r="K8" s="195">
        <f>SUM(K41,K73)</f>
        <v>169.92</v>
      </c>
      <c r="L8" s="195">
        <v>221</v>
      </c>
      <c r="M8" s="195">
        <f>SUM(M41,M73)</f>
        <v>43.199999999999996</v>
      </c>
      <c r="N8" s="195">
        <v>53</v>
      </c>
      <c r="O8" s="195">
        <f>SUM(O41,O73)</f>
        <v>0</v>
      </c>
      <c r="P8" s="195">
        <f>SUM(D8,F8,H8,J8,L8,N8)</f>
        <v>299</v>
      </c>
      <c r="Q8" s="200">
        <f>SUM(E8,G8,I8,K8,M8,O8)</f>
        <v>258.565</v>
      </c>
      <c r="R8" s="187"/>
      <c r="U8" s="294">
        <f>P8-Q8</f>
        <v>40.435000000000002</v>
      </c>
      <c r="V8" s="206">
        <f t="shared" ref="V8:V15" si="0">SUM(E8,G8,I8)</f>
        <v>45.445</v>
      </c>
      <c r="W8">
        <v>292</v>
      </c>
      <c r="X8">
        <v>0</v>
      </c>
      <c r="Y8">
        <f>X8*0.96</f>
        <v>0</v>
      </c>
      <c r="Z8">
        <v>2</v>
      </c>
      <c r="AA8">
        <f>Z8*0.965</f>
        <v>1.93</v>
      </c>
      <c r="AB8">
        <v>45</v>
      </c>
      <c r="AC8">
        <f>AB8*0.967</f>
        <v>43.515000000000001</v>
      </c>
    </row>
    <row r="9" spans="1:29" x14ac:dyDescent="0.25">
      <c r="A9" s="164">
        <v>2</v>
      </c>
      <c r="B9" s="165" t="s">
        <v>19</v>
      </c>
      <c r="C9" s="196">
        <v>243</v>
      </c>
      <c r="D9" s="196">
        <v>3</v>
      </c>
      <c r="E9" s="196">
        <v>4.75</v>
      </c>
      <c r="F9" s="196">
        <v>47</v>
      </c>
      <c r="G9" s="196">
        <v>26.055</v>
      </c>
      <c r="H9" s="196">
        <v>105</v>
      </c>
      <c r="I9" s="196">
        <v>138.28100000000001</v>
      </c>
      <c r="J9" s="196">
        <v>78</v>
      </c>
      <c r="K9" s="196">
        <f>SUM(K42,K74)</f>
        <v>23.04</v>
      </c>
      <c r="L9" s="196">
        <v>45</v>
      </c>
      <c r="M9" s="196">
        <f t="shared" ref="M9:M15" si="1">SUM(M42,M74)</f>
        <v>8.64</v>
      </c>
      <c r="N9" s="196">
        <v>20</v>
      </c>
      <c r="O9" s="196">
        <f t="shared" ref="O9:O15" si="2">SUM(O42,O74)</f>
        <v>0</v>
      </c>
      <c r="P9" s="196">
        <f t="shared" ref="P9:Q15" si="3">SUM(D9,F9,H9,J9,L9,N9)</f>
        <v>298</v>
      </c>
      <c r="Q9" s="201">
        <f t="shared" si="3"/>
        <v>200.76600000000002</v>
      </c>
      <c r="R9" s="187"/>
      <c r="U9" s="294">
        <f t="shared" ref="U9:U16" si="4">P9-Q9</f>
        <v>97.23399999999998</v>
      </c>
      <c r="V9" s="206">
        <f t="shared" si="0"/>
        <v>169.08600000000001</v>
      </c>
      <c r="W9">
        <v>298</v>
      </c>
      <c r="X9">
        <v>5</v>
      </c>
      <c r="Y9">
        <f t="shared" ref="Y9:Y15" si="5">X9*0.96</f>
        <v>4.8</v>
      </c>
      <c r="Z9">
        <v>27</v>
      </c>
      <c r="AA9">
        <f t="shared" ref="AA9:AA15" si="6">Z9*0.965</f>
        <v>26.055</v>
      </c>
      <c r="AB9">
        <v>143</v>
      </c>
      <c r="AC9">
        <f t="shared" ref="AC9:AC15" si="7">AB9*0.967</f>
        <v>138.28100000000001</v>
      </c>
    </row>
    <row r="10" spans="1:29" x14ac:dyDescent="0.25">
      <c r="A10" s="164">
        <v>3</v>
      </c>
      <c r="B10" s="163" t="s">
        <v>20</v>
      </c>
      <c r="C10" s="196">
        <v>275</v>
      </c>
      <c r="D10" s="196">
        <v>40</v>
      </c>
      <c r="E10" s="196">
        <v>4.75</v>
      </c>
      <c r="F10" s="196">
        <v>0</v>
      </c>
      <c r="G10" s="196">
        <v>8.6850000000000005</v>
      </c>
      <c r="H10" s="196">
        <v>10</v>
      </c>
      <c r="I10" s="196">
        <v>24.175000000000001</v>
      </c>
      <c r="J10" s="196">
        <v>14</v>
      </c>
      <c r="K10" s="196">
        <f t="shared" ref="K10:K15" si="8">SUM(K43,K75)</f>
        <v>26.880000000000003</v>
      </c>
      <c r="L10" s="196">
        <v>0</v>
      </c>
      <c r="M10" s="196">
        <f t="shared" si="1"/>
        <v>4.8</v>
      </c>
      <c r="N10" s="196">
        <v>13</v>
      </c>
      <c r="O10" s="196">
        <f t="shared" si="2"/>
        <v>0</v>
      </c>
      <c r="P10" s="196">
        <f>SUM(D10,F10,H10,J10,L10,N10)</f>
        <v>77</v>
      </c>
      <c r="Q10" s="201">
        <f t="shared" si="3"/>
        <v>69.290000000000006</v>
      </c>
      <c r="R10" s="187"/>
      <c r="U10" s="294">
        <f t="shared" si="4"/>
        <v>7.7099999999999937</v>
      </c>
      <c r="V10" s="206">
        <f t="shared" si="0"/>
        <v>37.61</v>
      </c>
      <c r="W10">
        <v>84</v>
      </c>
      <c r="X10">
        <v>5</v>
      </c>
      <c r="Y10">
        <f t="shared" si="5"/>
        <v>4.8</v>
      </c>
      <c r="Z10">
        <v>9</v>
      </c>
      <c r="AA10">
        <f t="shared" si="6"/>
        <v>8.6850000000000005</v>
      </c>
      <c r="AB10">
        <v>25</v>
      </c>
      <c r="AC10">
        <f t="shared" si="7"/>
        <v>24.175000000000001</v>
      </c>
    </row>
    <row r="11" spans="1:29" x14ac:dyDescent="0.25">
      <c r="A11" s="166">
        <v>4</v>
      </c>
      <c r="B11" s="167" t="s">
        <v>21</v>
      </c>
      <c r="C11" s="196">
        <v>206</v>
      </c>
      <c r="D11" s="196">
        <v>0</v>
      </c>
      <c r="E11" s="196">
        <v>8.5499999999999989</v>
      </c>
      <c r="F11" s="196">
        <v>0</v>
      </c>
      <c r="G11" s="196">
        <v>0.96499999999999997</v>
      </c>
      <c r="H11" s="196">
        <v>68</v>
      </c>
      <c r="I11" s="196">
        <v>34.811999999999998</v>
      </c>
      <c r="J11" s="196">
        <v>116</v>
      </c>
      <c r="K11" s="196">
        <f t="shared" si="8"/>
        <v>123.83999999999999</v>
      </c>
      <c r="L11" s="196">
        <v>0</v>
      </c>
      <c r="M11" s="196">
        <f t="shared" si="1"/>
        <v>19.2</v>
      </c>
      <c r="N11" s="196">
        <v>0</v>
      </c>
      <c r="O11" s="196">
        <f t="shared" si="2"/>
        <v>4.8</v>
      </c>
      <c r="P11" s="196">
        <v>192</v>
      </c>
      <c r="Q11" s="201">
        <f t="shared" si="3"/>
        <v>192.16699999999997</v>
      </c>
      <c r="R11" s="187"/>
      <c r="U11" s="294">
        <f t="shared" si="4"/>
        <v>-0.16699999999997317</v>
      </c>
      <c r="V11" s="206">
        <f t="shared" si="0"/>
        <v>44.326999999999998</v>
      </c>
      <c r="W11">
        <v>203</v>
      </c>
      <c r="X11">
        <v>9</v>
      </c>
      <c r="Y11">
        <f t="shared" si="5"/>
        <v>8.64</v>
      </c>
      <c r="Z11">
        <v>1</v>
      </c>
      <c r="AA11">
        <f t="shared" si="6"/>
        <v>0.96499999999999997</v>
      </c>
      <c r="AB11">
        <v>36</v>
      </c>
      <c r="AC11">
        <f t="shared" si="7"/>
        <v>34.811999999999998</v>
      </c>
    </row>
    <row r="12" spans="1:29" x14ac:dyDescent="0.25">
      <c r="A12" s="166">
        <v>5</v>
      </c>
      <c r="B12" s="168" t="s">
        <v>22</v>
      </c>
      <c r="C12" s="196">
        <v>363</v>
      </c>
      <c r="D12" s="196">
        <v>0</v>
      </c>
      <c r="E12" s="196">
        <v>0</v>
      </c>
      <c r="F12" s="196">
        <v>0</v>
      </c>
      <c r="G12" s="196">
        <v>0</v>
      </c>
      <c r="H12" s="196">
        <v>50</v>
      </c>
      <c r="I12" s="196">
        <v>14.504999999999999</v>
      </c>
      <c r="J12" s="196">
        <v>209</v>
      </c>
      <c r="K12" s="196">
        <f t="shared" si="8"/>
        <v>159.35999999999999</v>
      </c>
      <c r="L12" s="196">
        <v>0</v>
      </c>
      <c r="M12" s="196">
        <f t="shared" si="1"/>
        <v>0</v>
      </c>
      <c r="N12" s="196">
        <v>17</v>
      </c>
      <c r="O12" s="196">
        <f t="shared" si="2"/>
        <v>0</v>
      </c>
      <c r="P12" s="196">
        <v>174</v>
      </c>
      <c r="Q12" s="201">
        <f t="shared" si="3"/>
        <v>173.86499999999998</v>
      </c>
      <c r="R12" s="187"/>
      <c r="U12" s="294">
        <f t="shared" si="4"/>
        <v>0.13500000000001933</v>
      </c>
      <c r="V12" s="206">
        <f t="shared" si="0"/>
        <v>14.504999999999999</v>
      </c>
      <c r="W12">
        <v>184</v>
      </c>
      <c r="X12">
        <v>0</v>
      </c>
      <c r="Y12">
        <f t="shared" si="5"/>
        <v>0</v>
      </c>
      <c r="Z12">
        <v>0</v>
      </c>
      <c r="AA12">
        <f t="shared" si="6"/>
        <v>0</v>
      </c>
      <c r="AB12">
        <v>15</v>
      </c>
      <c r="AC12">
        <f t="shared" si="7"/>
        <v>14.504999999999999</v>
      </c>
    </row>
    <row r="13" spans="1:29" x14ac:dyDescent="0.25">
      <c r="A13" s="166">
        <v>6</v>
      </c>
      <c r="B13" s="168" t="s">
        <v>23</v>
      </c>
      <c r="C13" s="196">
        <v>59</v>
      </c>
      <c r="D13" s="196">
        <v>0</v>
      </c>
      <c r="E13" s="196">
        <v>6.6499999999999995</v>
      </c>
      <c r="F13" s="196">
        <v>0</v>
      </c>
      <c r="G13" s="196">
        <v>41.494999999999997</v>
      </c>
      <c r="H13" s="196">
        <v>19</v>
      </c>
      <c r="I13" s="196">
        <v>0</v>
      </c>
      <c r="J13" s="196">
        <v>0</v>
      </c>
      <c r="K13" s="196">
        <f t="shared" si="8"/>
        <v>0</v>
      </c>
      <c r="L13" s="196">
        <v>10</v>
      </c>
      <c r="M13" s="196">
        <f t="shared" si="1"/>
        <v>0.96</v>
      </c>
      <c r="N13" s="196">
        <v>28</v>
      </c>
      <c r="O13" s="196">
        <f t="shared" si="2"/>
        <v>8.64</v>
      </c>
      <c r="P13" s="196">
        <f t="shared" si="3"/>
        <v>57</v>
      </c>
      <c r="Q13" s="201">
        <f t="shared" si="3"/>
        <v>57.744999999999997</v>
      </c>
      <c r="R13" s="187"/>
      <c r="U13" s="294">
        <f t="shared" si="4"/>
        <v>-0.74499999999999744</v>
      </c>
      <c r="V13" s="206">
        <f t="shared" si="0"/>
        <v>48.144999999999996</v>
      </c>
      <c r="W13">
        <v>89</v>
      </c>
      <c r="X13">
        <v>7</v>
      </c>
      <c r="Y13">
        <f t="shared" si="5"/>
        <v>6.72</v>
      </c>
      <c r="Z13">
        <v>43</v>
      </c>
      <c r="AA13">
        <f t="shared" si="6"/>
        <v>41.494999999999997</v>
      </c>
      <c r="AB13">
        <v>0</v>
      </c>
      <c r="AC13">
        <f t="shared" si="7"/>
        <v>0</v>
      </c>
    </row>
    <row r="14" spans="1:29" x14ac:dyDescent="0.25">
      <c r="A14" s="166">
        <v>7</v>
      </c>
      <c r="B14" s="168" t="s">
        <v>24</v>
      </c>
      <c r="C14" s="196">
        <v>405</v>
      </c>
      <c r="D14" s="196">
        <v>0</v>
      </c>
      <c r="E14" s="196">
        <v>14.25</v>
      </c>
      <c r="F14" s="196">
        <v>0</v>
      </c>
      <c r="G14" s="196">
        <v>13.51</v>
      </c>
      <c r="H14" s="196">
        <v>117</v>
      </c>
      <c r="I14" s="196">
        <v>131.512</v>
      </c>
      <c r="J14" s="196">
        <v>276</v>
      </c>
      <c r="K14" s="196">
        <f t="shared" si="8"/>
        <v>170.88</v>
      </c>
      <c r="L14" s="196">
        <v>0</v>
      </c>
      <c r="M14" s="196">
        <f t="shared" si="1"/>
        <v>2.88</v>
      </c>
      <c r="N14" s="196">
        <v>37</v>
      </c>
      <c r="O14" s="196">
        <f t="shared" si="2"/>
        <v>0</v>
      </c>
      <c r="P14" s="196">
        <f t="shared" si="3"/>
        <v>430</v>
      </c>
      <c r="Q14" s="201">
        <f t="shared" si="3"/>
        <v>333.03199999999998</v>
      </c>
      <c r="R14" s="187"/>
      <c r="U14" s="294">
        <f t="shared" si="4"/>
        <v>96.968000000000018</v>
      </c>
      <c r="V14" s="206">
        <f t="shared" si="0"/>
        <v>159.27199999999999</v>
      </c>
      <c r="W14">
        <v>471</v>
      </c>
      <c r="X14">
        <v>15</v>
      </c>
      <c r="Y14">
        <f t="shared" si="5"/>
        <v>14.399999999999999</v>
      </c>
      <c r="Z14">
        <v>14</v>
      </c>
      <c r="AA14">
        <f t="shared" si="6"/>
        <v>13.51</v>
      </c>
      <c r="AB14">
        <v>136</v>
      </c>
      <c r="AC14">
        <f t="shared" si="7"/>
        <v>131.512</v>
      </c>
    </row>
    <row r="15" spans="1:29" ht="15.75" thickBot="1" x14ac:dyDescent="0.3">
      <c r="A15" s="169">
        <v>8</v>
      </c>
      <c r="B15" s="167" t="s">
        <v>25</v>
      </c>
      <c r="C15" s="197">
        <v>280</v>
      </c>
      <c r="D15" s="197">
        <v>0</v>
      </c>
      <c r="E15" s="197">
        <v>24.7</v>
      </c>
      <c r="F15" s="197">
        <v>52</v>
      </c>
      <c r="G15" s="197">
        <v>120.625</v>
      </c>
      <c r="H15" s="197">
        <v>126</v>
      </c>
      <c r="I15" s="197">
        <v>117.97399999999999</v>
      </c>
      <c r="J15" s="197">
        <v>129</v>
      </c>
      <c r="K15" s="197">
        <f t="shared" si="8"/>
        <v>6.72</v>
      </c>
      <c r="L15" s="197">
        <v>0</v>
      </c>
      <c r="M15" s="197">
        <f t="shared" si="1"/>
        <v>31.68</v>
      </c>
      <c r="N15" s="197">
        <v>38</v>
      </c>
      <c r="O15" s="197">
        <f t="shared" si="2"/>
        <v>0</v>
      </c>
      <c r="P15" s="195">
        <f t="shared" si="3"/>
        <v>345</v>
      </c>
      <c r="Q15" s="200">
        <f t="shared" si="3"/>
        <v>301.69900000000001</v>
      </c>
      <c r="R15" s="187"/>
      <c r="U15" s="294">
        <f t="shared" si="4"/>
        <v>43.300999999999988</v>
      </c>
      <c r="V15" s="206">
        <f t="shared" si="0"/>
        <v>263.29899999999998</v>
      </c>
      <c r="W15">
        <v>345</v>
      </c>
      <c r="X15">
        <v>26</v>
      </c>
      <c r="Y15">
        <f t="shared" si="5"/>
        <v>24.96</v>
      </c>
      <c r="Z15">
        <v>125</v>
      </c>
      <c r="AA15">
        <f t="shared" si="6"/>
        <v>120.625</v>
      </c>
      <c r="AB15">
        <v>122</v>
      </c>
      <c r="AC15">
        <f t="shared" si="7"/>
        <v>117.97399999999999</v>
      </c>
    </row>
    <row r="16" spans="1:29" ht="16.5" thickTop="1" thickBot="1" x14ac:dyDescent="0.3">
      <c r="A16" s="392" t="s">
        <v>26</v>
      </c>
      <c r="B16" s="393"/>
      <c r="C16" s="198">
        <f>SUM(C8:C15)</f>
        <v>3630</v>
      </c>
      <c r="D16" s="198">
        <f t="shared" ref="D16:P16" si="9">SUM(D8:D15)</f>
        <v>43</v>
      </c>
      <c r="E16" s="198">
        <f t="shared" si="9"/>
        <v>63.649999999999991</v>
      </c>
      <c r="F16" s="198">
        <f t="shared" si="9"/>
        <v>99</v>
      </c>
      <c r="G16" s="198">
        <f t="shared" si="9"/>
        <v>213.26499999999999</v>
      </c>
      <c r="H16" s="198">
        <f t="shared" si="9"/>
        <v>505</v>
      </c>
      <c r="I16" s="198">
        <f t="shared" si="9"/>
        <v>504.774</v>
      </c>
      <c r="J16" s="198">
        <f t="shared" si="9"/>
        <v>837</v>
      </c>
      <c r="K16" s="198">
        <f t="shared" si="9"/>
        <v>680.64</v>
      </c>
      <c r="L16" s="198">
        <f t="shared" si="9"/>
        <v>276</v>
      </c>
      <c r="M16" s="198">
        <f t="shared" si="9"/>
        <v>111.35999999999999</v>
      </c>
      <c r="N16" s="198">
        <f t="shared" si="9"/>
        <v>206</v>
      </c>
      <c r="O16" s="198">
        <f t="shared" si="9"/>
        <v>13.440000000000001</v>
      </c>
      <c r="P16" s="202">
        <f t="shared" si="9"/>
        <v>1872</v>
      </c>
      <c r="Q16" s="203">
        <f>SUM(Q8:Q15)</f>
        <v>1587.1290000000001</v>
      </c>
      <c r="R16" s="187"/>
      <c r="U16" s="294">
        <f t="shared" si="4"/>
        <v>284.87099999999987</v>
      </c>
      <c r="V16" s="206">
        <f>SUM(V8:V15)</f>
        <v>781.68899999999996</v>
      </c>
      <c r="W16">
        <f>SUM(W8:W15)</f>
        <v>1966</v>
      </c>
      <c r="X16">
        <f>SUM(X8:X15)</f>
        <v>67</v>
      </c>
      <c r="Y16">
        <f t="shared" ref="Y16:AC16" si="10">SUM(Y8:Y15)</f>
        <v>64.319999999999993</v>
      </c>
      <c r="Z16">
        <f t="shared" si="10"/>
        <v>221</v>
      </c>
      <c r="AA16">
        <f t="shared" si="10"/>
        <v>213.26499999999999</v>
      </c>
      <c r="AB16">
        <f t="shared" si="10"/>
        <v>522</v>
      </c>
      <c r="AC16">
        <f t="shared" si="10"/>
        <v>504.774</v>
      </c>
    </row>
    <row r="17" spans="1:24" ht="15.75" thickBot="1" x14ac:dyDescent="0.3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 spans="1:24" ht="25.5" x14ac:dyDescent="0.25">
      <c r="A18" s="387" t="s">
        <v>2</v>
      </c>
      <c r="B18" s="389" t="s">
        <v>3</v>
      </c>
      <c r="C18" s="283" t="s">
        <v>93</v>
      </c>
      <c r="D18" s="391" t="s">
        <v>104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4" t="s">
        <v>105</v>
      </c>
      <c r="Q18" s="394"/>
      <c r="R18" s="401" t="s">
        <v>106</v>
      </c>
      <c r="S18" s="399"/>
      <c r="T18" s="295" t="s">
        <v>155</v>
      </c>
    </row>
    <row r="19" spans="1:24" ht="25.5" x14ac:dyDescent="0.25">
      <c r="A19" s="388"/>
      <c r="B19" s="390"/>
      <c r="C19" s="189" t="s">
        <v>101</v>
      </c>
      <c r="D19" s="395" t="s">
        <v>79</v>
      </c>
      <c r="E19" s="395"/>
      <c r="F19" s="395" t="s">
        <v>10</v>
      </c>
      <c r="G19" s="395"/>
      <c r="H19" s="395" t="s">
        <v>11</v>
      </c>
      <c r="I19" s="395"/>
      <c r="J19" s="395" t="s">
        <v>12</v>
      </c>
      <c r="K19" s="395"/>
      <c r="L19" s="395" t="s">
        <v>102</v>
      </c>
      <c r="M19" s="395"/>
      <c r="N19" s="395" t="s">
        <v>103</v>
      </c>
      <c r="O19" s="395"/>
      <c r="P19" s="395"/>
      <c r="Q19" s="395"/>
      <c r="R19" s="402"/>
      <c r="S19" s="400"/>
      <c r="T19" s="295"/>
    </row>
    <row r="20" spans="1:24" x14ac:dyDescent="0.25">
      <c r="A20" s="388"/>
      <c r="B20" s="390"/>
      <c r="C20" s="284" t="s">
        <v>1</v>
      </c>
      <c r="D20" s="174" t="s">
        <v>95</v>
      </c>
      <c r="E20" s="174" t="s">
        <v>88</v>
      </c>
      <c r="F20" s="174" t="s">
        <v>95</v>
      </c>
      <c r="G20" s="174" t="s">
        <v>88</v>
      </c>
      <c r="H20" s="174" t="s">
        <v>95</v>
      </c>
      <c r="I20" s="174" t="s">
        <v>88</v>
      </c>
      <c r="J20" s="174" t="s">
        <v>95</v>
      </c>
      <c r="K20" s="174" t="s">
        <v>88</v>
      </c>
      <c r="L20" s="174" t="s">
        <v>95</v>
      </c>
      <c r="M20" s="174" t="s">
        <v>88</v>
      </c>
      <c r="N20" s="174" t="s">
        <v>95</v>
      </c>
      <c r="O20" s="174" t="s">
        <v>88</v>
      </c>
      <c r="P20" s="174" t="s">
        <v>95</v>
      </c>
      <c r="Q20" s="174" t="s">
        <v>88</v>
      </c>
      <c r="R20" s="174" t="s">
        <v>95</v>
      </c>
      <c r="S20" s="190" t="s">
        <v>88</v>
      </c>
      <c r="T20" s="296"/>
    </row>
    <row r="21" spans="1:24" ht="15.75" thickBot="1" x14ac:dyDescent="0.3">
      <c r="A21" s="160">
        <v>1</v>
      </c>
      <c r="B21" s="161">
        <v>2</v>
      </c>
      <c r="C21" s="281">
        <v>3</v>
      </c>
      <c r="D21" s="396">
        <v>11</v>
      </c>
      <c r="E21" s="396"/>
      <c r="F21" s="396">
        <v>12</v>
      </c>
      <c r="G21" s="396"/>
      <c r="H21" s="396">
        <v>13</v>
      </c>
      <c r="I21" s="396"/>
      <c r="J21" s="396">
        <v>14</v>
      </c>
      <c r="K21" s="396"/>
      <c r="L21" s="396">
        <v>15</v>
      </c>
      <c r="M21" s="396"/>
      <c r="N21" s="396">
        <v>16</v>
      </c>
      <c r="O21" s="396"/>
      <c r="P21" s="396">
        <v>17</v>
      </c>
      <c r="Q21" s="396"/>
      <c r="R21" s="396">
        <v>18</v>
      </c>
      <c r="S21" s="406"/>
      <c r="T21" s="297"/>
    </row>
    <row r="22" spans="1:24" ht="15.75" thickTop="1" x14ac:dyDescent="0.25">
      <c r="A22" s="162">
        <v>1</v>
      </c>
      <c r="B22" s="163" t="s">
        <v>18</v>
      </c>
      <c r="C22" s="195">
        <v>1799</v>
      </c>
      <c r="D22" s="195">
        <v>0</v>
      </c>
      <c r="E22" s="195">
        <f>SUM(E55,E87)</f>
        <v>0</v>
      </c>
      <c r="F22" s="195">
        <v>12</v>
      </c>
      <c r="G22" s="195">
        <f>SUM(G55,G87)</f>
        <v>33.25</v>
      </c>
      <c r="H22" s="195">
        <v>0</v>
      </c>
      <c r="I22" s="195">
        <v>29</v>
      </c>
      <c r="J22" s="195">
        <v>0</v>
      </c>
      <c r="K22" s="195">
        <f>SUM(K55,K87)</f>
        <v>0</v>
      </c>
      <c r="L22" s="195">
        <v>0</v>
      </c>
      <c r="M22" s="195">
        <f>SUM(M55,M87)</f>
        <v>0</v>
      </c>
      <c r="N22" s="195">
        <v>0</v>
      </c>
      <c r="O22" s="195">
        <f>SUM(O55,O87)</f>
        <v>0</v>
      </c>
      <c r="P22" s="195">
        <v>20</v>
      </c>
      <c r="Q22" s="195">
        <f>SUM(E22,G22,I22,K22,M22,O22)</f>
        <v>62.25</v>
      </c>
      <c r="R22" s="195">
        <f>SUM(P8,P22)</f>
        <v>319</v>
      </c>
      <c r="S22" s="200">
        <f>SUM(Q8,Q22)</f>
        <v>320.815</v>
      </c>
      <c r="T22" s="298"/>
      <c r="V22">
        <v>311</v>
      </c>
      <c r="X22" s="294">
        <f>R22-S22</f>
        <v>-1.8149999999999977</v>
      </c>
    </row>
    <row r="23" spans="1:24" x14ac:dyDescent="0.25">
      <c r="A23" s="164">
        <v>2</v>
      </c>
      <c r="B23" s="165" t="s">
        <v>19</v>
      </c>
      <c r="C23" s="196">
        <v>243</v>
      </c>
      <c r="D23" s="196">
        <v>27</v>
      </c>
      <c r="E23" s="196">
        <f t="shared" ref="E23:E29" si="11">SUM(E56,E88)</f>
        <v>0</v>
      </c>
      <c r="F23" s="196">
        <v>20</v>
      </c>
      <c r="G23" s="196">
        <f t="shared" ref="G23:G29" si="12">SUM(G56,G88)</f>
        <v>95</v>
      </c>
      <c r="H23" s="196">
        <v>5</v>
      </c>
      <c r="I23" s="196">
        <v>49</v>
      </c>
      <c r="J23" s="196">
        <v>0</v>
      </c>
      <c r="K23" s="196">
        <f t="shared" ref="K23:K29" si="13">SUM(K56,K88)</f>
        <v>0</v>
      </c>
      <c r="L23" s="196">
        <v>0</v>
      </c>
      <c r="M23" s="196">
        <f t="shared" ref="M23:M29" si="14">SUM(M56,M88)</f>
        <v>0</v>
      </c>
      <c r="N23" s="196">
        <v>0</v>
      </c>
      <c r="O23" s="196">
        <f t="shared" ref="O23:O29" si="15">SUM(O56,O88)</f>
        <v>0</v>
      </c>
      <c r="P23" s="196">
        <f t="shared" ref="P23:Q29" si="16">SUM(D23,F23,H23,J23,L23,N23)</f>
        <v>52</v>
      </c>
      <c r="Q23" s="196">
        <f t="shared" si="16"/>
        <v>144</v>
      </c>
      <c r="R23" s="196">
        <f t="shared" ref="R23:S29" si="17">SUM(P9,P23)</f>
        <v>350</v>
      </c>
      <c r="S23" s="201">
        <f t="shared" si="17"/>
        <v>344.76600000000002</v>
      </c>
      <c r="T23" s="298"/>
      <c r="V23">
        <v>350</v>
      </c>
      <c r="X23" s="294">
        <f t="shared" ref="X23:X29" si="18">R23-S23</f>
        <v>5.2339999999999804</v>
      </c>
    </row>
    <row r="24" spans="1:24" x14ac:dyDescent="0.25">
      <c r="A24" s="164">
        <v>3</v>
      </c>
      <c r="B24" s="163" t="s">
        <v>20</v>
      </c>
      <c r="C24" s="196">
        <v>275</v>
      </c>
      <c r="D24" s="196">
        <v>10</v>
      </c>
      <c r="E24" s="196">
        <f t="shared" si="11"/>
        <v>0</v>
      </c>
      <c r="F24" s="196">
        <v>0</v>
      </c>
      <c r="G24" s="196">
        <f t="shared" si="12"/>
        <v>9.5</v>
      </c>
      <c r="H24" s="196">
        <v>0</v>
      </c>
      <c r="I24" s="196">
        <v>0</v>
      </c>
      <c r="J24" s="196">
        <v>0</v>
      </c>
      <c r="K24" s="196">
        <f t="shared" si="13"/>
        <v>0</v>
      </c>
      <c r="L24" s="196">
        <v>0</v>
      </c>
      <c r="M24" s="196">
        <f t="shared" si="14"/>
        <v>0</v>
      </c>
      <c r="N24" s="196">
        <v>0</v>
      </c>
      <c r="O24" s="196">
        <f t="shared" si="15"/>
        <v>0</v>
      </c>
      <c r="P24" s="196">
        <f t="shared" si="16"/>
        <v>10</v>
      </c>
      <c r="Q24" s="196">
        <f t="shared" si="16"/>
        <v>9.5</v>
      </c>
      <c r="R24" s="196">
        <f>SUM(P10,P24)</f>
        <v>87</v>
      </c>
      <c r="S24" s="201">
        <f t="shared" si="17"/>
        <v>78.790000000000006</v>
      </c>
      <c r="T24" s="298"/>
      <c r="V24">
        <v>94</v>
      </c>
      <c r="X24" s="294">
        <f t="shared" si="18"/>
        <v>8.2099999999999937</v>
      </c>
    </row>
    <row r="25" spans="1:24" x14ac:dyDescent="0.25">
      <c r="A25" s="166">
        <v>4</v>
      </c>
      <c r="B25" s="167" t="s">
        <v>21</v>
      </c>
      <c r="C25" s="196">
        <v>206</v>
      </c>
      <c r="D25" s="196">
        <v>0</v>
      </c>
      <c r="E25" s="196">
        <f t="shared" si="11"/>
        <v>0</v>
      </c>
      <c r="F25" s="196">
        <v>27</v>
      </c>
      <c r="G25" s="196">
        <f t="shared" si="12"/>
        <v>2.8499999999999996</v>
      </c>
      <c r="H25" s="196">
        <v>0</v>
      </c>
      <c r="I25" s="196">
        <v>8</v>
      </c>
      <c r="J25" s="196">
        <v>0</v>
      </c>
      <c r="K25" s="196">
        <f t="shared" si="13"/>
        <v>0</v>
      </c>
      <c r="L25" s="196">
        <v>0</v>
      </c>
      <c r="M25" s="196">
        <f t="shared" si="14"/>
        <v>0</v>
      </c>
      <c r="N25" s="196">
        <v>5</v>
      </c>
      <c r="O25" s="196">
        <f t="shared" si="15"/>
        <v>0</v>
      </c>
      <c r="P25" s="196">
        <f t="shared" si="16"/>
        <v>32</v>
      </c>
      <c r="Q25" s="196">
        <f t="shared" si="16"/>
        <v>10.85</v>
      </c>
      <c r="R25" s="196">
        <f t="shared" si="17"/>
        <v>224</v>
      </c>
      <c r="S25" s="201">
        <f t="shared" si="17"/>
        <v>203.01699999999997</v>
      </c>
      <c r="T25" s="298"/>
      <c r="V25">
        <v>235</v>
      </c>
      <c r="X25" s="294">
        <f t="shared" si="18"/>
        <v>20.983000000000033</v>
      </c>
    </row>
    <row r="26" spans="1:24" x14ac:dyDescent="0.25">
      <c r="A26" s="166">
        <v>5</v>
      </c>
      <c r="B26" s="168" t="s">
        <v>22</v>
      </c>
      <c r="C26" s="196">
        <v>363</v>
      </c>
      <c r="D26" s="196">
        <v>0</v>
      </c>
      <c r="E26" s="196">
        <f t="shared" si="11"/>
        <v>7.6</v>
      </c>
      <c r="F26" s="196">
        <v>0</v>
      </c>
      <c r="G26" s="196">
        <f t="shared" si="12"/>
        <v>12.35</v>
      </c>
      <c r="H26" s="196">
        <v>0</v>
      </c>
      <c r="I26" s="196">
        <v>0</v>
      </c>
      <c r="J26" s="196">
        <v>0</v>
      </c>
      <c r="K26" s="196">
        <f t="shared" si="13"/>
        <v>0</v>
      </c>
      <c r="L26" s="196">
        <v>0</v>
      </c>
      <c r="M26" s="196">
        <f t="shared" si="14"/>
        <v>0</v>
      </c>
      <c r="N26" s="196">
        <v>0</v>
      </c>
      <c r="O26" s="196">
        <f t="shared" si="15"/>
        <v>0</v>
      </c>
      <c r="P26" s="196">
        <v>20</v>
      </c>
      <c r="Q26" s="196">
        <f t="shared" si="16"/>
        <v>19.95</v>
      </c>
      <c r="R26" s="196">
        <f t="shared" si="17"/>
        <v>194</v>
      </c>
      <c r="S26" s="201">
        <f t="shared" si="17"/>
        <v>193.81499999999997</v>
      </c>
      <c r="T26" s="298"/>
      <c r="V26">
        <v>201</v>
      </c>
      <c r="X26" s="294">
        <f t="shared" si="18"/>
        <v>0.1850000000000307</v>
      </c>
    </row>
    <row r="27" spans="1:24" x14ac:dyDescent="0.25">
      <c r="A27" s="166">
        <v>6</v>
      </c>
      <c r="B27" s="168" t="s">
        <v>23</v>
      </c>
      <c r="C27" s="196">
        <v>59</v>
      </c>
      <c r="D27" s="196">
        <v>0</v>
      </c>
      <c r="E27" s="196">
        <f t="shared" si="11"/>
        <v>16.149999999999999</v>
      </c>
      <c r="F27" s="196">
        <v>0</v>
      </c>
      <c r="G27" s="196">
        <f t="shared" si="12"/>
        <v>23.75</v>
      </c>
      <c r="H27" s="196">
        <v>0</v>
      </c>
      <c r="I27" s="196">
        <v>0</v>
      </c>
      <c r="J27" s="196">
        <v>0</v>
      </c>
      <c r="K27" s="196">
        <f t="shared" si="13"/>
        <v>0</v>
      </c>
      <c r="L27" s="196">
        <v>0</v>
      </c>
      <c r="M27" s="196">
        <f t="shared" si="14"/>
        <v>0</v>
      </c>
      <c r="N27" s="196">
        <v>0</v>
      </c>
      <c r="O27" s="196">
        <f t="shared" si="15"/>
        <v>0</v>
      </c>
      <c r="P27" s="196">
        <v>35</v>
      </c>
      <c r="Q27" s="196">
        <f t="shared" si="16"/>
        <v>39.9</v>
      </c>
      <c r="R27" s="196">
        <f t="shared" si="17"/>
        <v>92</v>
      </c>
      <c r="S27" s="201">
        <f t="shared" si="17"/>
        <v>97.644999999999996</v>
      </c>
      <c r="T27" s="298"/>
      <c r="V27">
        <v>99</v>
      </c>
      <c r="X27" s="294">
        <f t="shared" si="18"/>
        <v>-5.644999999999996</v>
      </c>
    </row>
    <row r="28" spans="1:24" x14ac:dyDescent="0.25">
      <c r="A28" s="166">
        <v>7</v>
      </c>
      <c r="B28" s="168" t="s">
        <v>24</v>
      </c>
      <c r="C28" s="196">
        <v>405</v>
      </c>
      <c r="D28" s="196">
        <v>90</v>
      </c>
      <c r="E28" s="196">
        <f t="shared" si="11"/>
        <v>11.399999999999999</v>
      </c>
      <c r="F28" s="196">
        <v>30</v>
      </c>
      <c r="G28" s="196">
        <f t="shared" si="12"/>
        <v>160.54999999999998</v>
      </c>
      <c r="H28" s="196">
        <v>35</v>
      </c>
      <c r="I28" s="196">
        <v>40</v>
      </c>
      <c r="J28" s="196">
        <v>0</v>
      </c>
      <c r="K28" s="196">
        <f t="shared" si="13"/>
        <v>0</v>
      </c>
      <c r="L28" s="196">
        <v>0</v>
      </c>
      <c r="M28" s="196">
        <f t="shared" si="14"/>
        <v>0</v>
      </c>
      <c r="N28" s="196">
        <v>0</v>
      </c>
      <c r="O28" s="196">
        <f t="shared" si="15"/>
        <v>0</v>
      </c>
      <c r="P28" s="196">
        <f t="shared" si="16"/>
        <v>155</v>
      </c>
      <c r="Q28" s="196">
        <f t="shared" si="16"/>
        <v>211.95</v>
      </c>
      <c r="R28" s="196">
        <f t="shared" si="17"/>
        <v>585</v>
      </c>
      <c r="S28" s="201">
        <f t="shared" si="17"/>
        <v>544.98199999999997</v>
      </c>
      <c r="T28" s="298"/>
      <c r="V28">
        <v>589</v>
      </c>
      <c r="X28" s="294">
        <f t="shared" si="18"/>
        <v>40.018000000000029</v>
      </c>
    </row>
    <row r="29" spans="1:24" ht="15.75" thickBot="1" x14ac:dyDescent="0.3">
      <c r="A29" s="169">
        <v>8</v>
      </c>
      <c r="B29" s="167" t="s">
        <v>25</v>
      </c>
      <c r="C29" s="197">
        <v>280</v>
      </c>
      <c r="D29" s="199">
        <v>0</v>
      </c>
      <c r="E29" s="197">
        <f t="shared" si="11"/>
        <v>50.349999999999994</v>
      </c>
      <c r="F29" s="197">
        <v>120</v>
      </c>
      <c r="G29" s="197">
        <f t="shared" si="12"/>
        <v>84.55</v>
      </c>
      <c r="H29" s="197">
        <v>8</v>
      </c>
      <c r="I29" s="197">
        <v>38</v>
      </c>
      <c r="J29" s="197">
        <v>0</v>
      </c>
      <c r="K29" s="197">
        <f t="shared" si="13"/>
        <v>0</v>
      </c>
      <c r="L29" s="197">
        <v>0</v>
      </c>
      <c r="M29" s="197">
        <f t="shared" si="14"/>
        <v>0</v>
      </c>
      <c r="N29" s="197">
        <v>0</v>
      </c>
      <c r="O29" s="197">
        <f t="shared" si="15"/>
        <v>0</v>
      </c>
      <c r="P29" s="195">
        <v>140</v>
      </c>
      <c r="Q29" s="195">
        <f t="shared" si="16"/>
        <v>172.89999999999998</v>
      </c>
      <c r="R29" s="195">
        <f t="shared" si="17"/>
        <v>485</v>
      </c>
      <c r="S29" s="200">
        <f t="shared" si="17"/>
        <v>474.59899999999999</v>
      </c>
      <c r="T29" s="298"/>
      <c r="V29">
        <v>476</v>
      </c>
      <c r="X29" s="294">
        <f t="shared" si="18"/>
        <v>10.40100000000001</v>
      </c>
    </row>
    <row r="30" spans="1:24" ht="16.5" thickTop="1" thickBot="1" x14ac:dyDescent="0.3">
      <c r="A30" s="392" t="s">
        <v>26</v>
      </c>
      <c r="B30" s="393"/>
      <c r="C30" s="198">
        <f>SUM(C22:C29)</f>
        <v>3630</v>
      </c>
      <c r="D30" s="198">
        <f t="shared" ref="D30:R30" si="19">SUM(D22:D29)</f>
        <v>127</v>
      </c>
      <c r="E30" s="198">
        <f t="shared" si="19"/>
        <v>85.5</v>
      </c>
      <c r="F30" s="198">
        <f t="shared" si="19"/>
        <v>209</v>
      </c>
      <c r="G30" s="198">
        <f t="shared" si="19"/>
        <v>421.8</v>
      </c>
      <c r="H30" s="198">
        <f t="shared" si="19"/>
        <v>48</v>
      </c>
      <c r="I30" s="198">
        <f t="shared" si="19"/>
        <v>164</v>
      </c>
      <c r="J30" s="198">
        <f t="shared" si="19"/>
        <v>0</v>
      </c>
      <c r="K30" s="198">
        <f t="shared" si="19"/>
        <v>0</v>
      </c>
      <c r="L30" s="198">
        <f t="shared" si="19"/>
        <v>0</v>
      </c>
      <c r="M30" s="198">
        <f t="shared" si="19"/>
        <v>0</v>
      </c>
      <c r="N30" s="198">
        <f t="shared" si="19"/>
        <v>5</v>
      </c>
      <c r="O30" s="198">
        <f t="shared" si="19"/>
        <v>0</v>
      </c>
      <c r="P30" s="202">
        <f t="shared" si="19"/>
        <v>464</v>
      </c>
      <c r="Q30" s="202">
        <f t="shared" si="19"/>
        <v>671.3</v>
      </c>
      <c r="R30" s="202">
        <f t="shared" si="19"/>
        <v>2336</v>
      </c>
      <c r="S30" s="203">
        <f>SUM(S22:S29)</f>
        <v>2258.4290000000001</v>
      </c>
      <c r="T30" s="299"/>
      <c r="U30" s="274">
        <f>S30/R30*100</f>
        <v>96.679323630136992</v>
      </c>
      <c r="V30" s="204">
        <f>SUM(V22:V29)</f>
        <v>2355</v>
      </c>
      <c r="X30" s="294">
        <f>SUM(X22:X29)</f>
        <v>77.571000000000083</v>
      </c>
    </row>
    <row r="34" spans="1:25" ht="15.75" x14ac:dyDescent="0.25">
      <c r="A34" s="380" t="s">
        <v>108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280"/>
    </row>
    <row r="35" spans="1:25" ht="15.75" x14ac:dyDescent="0.25">
      <c r="A35" s="380" t="s">
        <v>82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280"/>
    </row>
    <row r="36" spans="1:25" ht="15.75" thickBot="1" x14ac:dyDescent="0.3"/>
    <row r="37" spans="1:25" ht="25.5" x14ac:dyDescent="0.25">
      <c r="A37" s="387" t="s">
        <v>2</v>
      </c>
      <c r="B37" s="389" t="s">
        <v>3</v>
      </c>
      <c r="C37" s="283" t="s">
        <v>93</v>
      </c>
      <c r="D37" s="391" t="s">
        <v>94</v>
      </c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4" t="s">
        <v>83</v>
      </c>
      <c r="Q37" s="404"/>
      <c r="R37" s="187"/>
      <c r="S37" s="187"/>
      <c r="T37" s="187"/>
    </row>
    <row r="38" spans="1:25" x14ac:dyDescent="0.25">
      <c r="A38" s="388"/>
      <c r="B38" s="390"/>
      <c r="C38" s="189" t="s">
        <v>111</v>
      </c>
      <c r="D38" s="395" t="s">
        <v>97</v>
      </c>
      <c r="E38" s="395"/>
      <c r="F38" s="395" t="s">
        <v>98</v>
      </c>
      <c r="G38" s="395"/>
      <c r="H38" s="395" t="s">
        <v>99</v>
      </c>
      <c r="I38" s="395"/>
      <c r="J38" s="395" t="s">
        <v>96</v>
      </c>
      <c r="K38" s="395"/>
      <c r="L38" s="395" t="s">
        <v>100</v>
      </c>
      <c r="M38" s="395"/>
      <c r="N38" s="395" t="s">
        <v>8</v>
      </c>
      <c r="O38" s="395"/>
      <c r="P38" s="395"/>
      <c r="Q38" s="405"/>
      <c r="R38" s="187"/>
      <c r="S38" s="187"/>
      <c r="T38" s="187"/>
    </row>
    <row r="39" spans="1:25" x14ac:dyDescent="0.25">
      <c r="A39" s="388"/>
      <c r="B39" s="390"/>
      <c r="C39" s="284" t="s">
        <v>1</v>
      </c>
      <c r="D39" s="174" t="s">
        <v>95</v>
      </c>
      <c r="E39" s="174" t="s">
        <v>88</v>
      </c>
      <c r="F39" s="174" t="s">
        <v>95</v>
      </c>
      <c r="G39" s="174" t="s">
        <v>88</v>
      </c>
      <c r="H39" s="174" t="s">
        <v>95</v>
      </c>
      <c r="I39" s="174" t="s">
        <v>88</v>
      </c>
      <c r="J39" s="174" t="s">
        <v>95</v>
      </c>
      <c r="K39" s="174" t="s">
        <v>88</v>
      </c>
      <c r="L39" s="174" t="s">
        <v>95</v>
      </c>
      <c r="M39" s="174" t="s">
        <v>88</v>
      </c>
      <c r="N39" s="174" t="s">
        <v>95</v>
      </c>
      <c r="O39" s="174" t="s">
        <v>88</v>
      </c>
      <c r="P39" s="174" t="s">
        <v>95</v>
      </c>
      <c r="Q39" s="190" t="s">
        <v>88</v>
      </c>
      <c r="R39" s="187"/>
      <c r="S39" s="187"/>
      <c r="T39" s="187"/>
    </row>
    <row r="40" spans="1:25" ht="15.75" thickBot="1" x14ac:dyDescent="0.3">
      <c r="A40" s="160">
        <v>1</v>
      </c>
      <c r="B40" s="161">
        <v>2</v>
      </c>
      <c r="C40" s="281">
        <v>3</v>
      </c>
      <c r="D40" s="396">
        <v>4</v>
      </c>
      <c r="E40" s="396"/>
      <c r="F40" s="396">
        <v>5</v>
      </c>
      <c r="G40" s="396"/>
      <c r="H40" s="396">
        <v>6</v>
      </c>
      <c r="I40" s="396"/>
      <c r="J40" s="396">
        <v>7</v>
      </c>
      <c r="K40" s="396"/>
      <c r="L40" s="396">
        <v>8</v>
      </c>
      <c r="M40" s="396"/>
      <c r="N40" s="396">
        <v>9</v>
      </c>
      <c r="O40" s="396"/>
      <c r="P40" s="396">
        <v>10</v>
      </c>
      <c r="Q40" s="406"/>
      <c r="R40" s="187"/>
      <c r="S40" s="187"/>
      <c r="T40" s="187"/>
    </row>
    <row r="41" spans="1:25" ht="15.75" thickTop="1" x14ac:dyDescent="0.25">
      <c r="A41" s="162">
        <v>1</v>
      </c>
      <c r="B41" s="163" t="s">
        <v>18</v>
      </c>
      <c r="C41" s="195">
        <v>287</v>
      </c>
      <c r="D41" s="195">
        <v>0</v>
      </c>
      <c r="E41" s="195">
        <v>0</v>
      </c>
      <c r="F41" s="195">
        <v>0</v>
      </c>
      <c r="G41" s="195">
        <v>1.93</v>
      </c>
      <c r="H41" s="195">
        <v>10</v>
      </c>
      <c r="I41" s="195">
        <v>43.515000000000001</v>
      </c>
      <c r="J41" s="195">
        <v>15</v>
      </c>
      <c r="K41" s="195">
        <f>W41</f>
        <v>169.92</v>
      </c>
      <c r="L41" s="195">
        <v>221</v>
      </c>
      <c r="M41" s="195">
        <f>Y41</f>
        <v>43.199999999999996</v>
      </c>
      <c r="N41" s="195">
        <v>53</v>
      </c>
      <c r="O41" s="195">
        <f>'okt-mar'!H23*0.96</f>
        <v>0</v>
      </c>
      <c r="P41" s="195">
        <f>SUM(D41,F41,H41,J41,L41,N41)</f>
        <v>299</v>
      </c>
      <c r="Q41" s="200">
        <f>SUM(E41,G41,I41,K41,M41,O41)</f>
        <v>258.565</v>
      </c>
      <c r="R41" s="187"/>
      <c r="S41" s="187"/>
      <c r="T41" s="187"/>
      <c r="V41">
        <v>177</v>
      </c>
      <c r="W41">
        <f>V41*0.96</f>
        <v>169.92</v>
      </c>
      <c r="X41">
        <v>45</v>
      </c>
      <c r="Y41">
        <f>X41*0.96</f>
        <v>43.199999999999996</v>
      </c>
    </row>
    <row r="42" spans="1:25" x14ac:dyDescent="0.25">
      <c r="A42" s="164">
        <v>2</v>
      </c>
      <c r="B42" s="165" t="s">
        <v>19</v>
      </c>
      <c r="C42" s="196">
        <v>208</v>
      </c>
      <c r="D42" s="196">
        <v>3</v>
      </c>
      <c r="E42" s="196">
        <v>4.75</v>
      </c>
      <c r="F42" s="196">
        <v>47</v>
      </c>
      <c r="G42" s="196">
        <v>26.055</v>
      </c>
      <c r="H42" s="196">
        <v>105</v>
      </c>
      <c r="I42" s="196">
        <v>138.28100000000001</v>
      </c>
      <c r="J42" s="196">
        <v>78</v>
      </c>
      <c r="K42" s="196">
        <f t="shared" ref="K42:K48" si="20">W42</f>
        <v>23.04</v>
      </c>
      <c r="L42" s="196">
        <v>45</v>
      </c>
      <c r="M42" s="196">
        <f t="shared" ref="M42:M48" si="21">Y42</f>
        <v>8.64</v>
      </c>
      <c r="N42" s="196">
        <v>20</v>
      </c>
      <c r="O42" s="196">
        <f>'okt-mar'!H24*0.96</f>
        <v>0</v>
      </c>
      <c r="P42" s="196">
        <f t="shared" ref="P42:Q48" si="22">SUM(D42,F42,H42,J42,L42,N42)</f>
        <v>298</v>
      </c>
      <c r="Q42" s="201">
        <f t="shared" si="22"/>
        <v>200.76600000000002</v>
      </c>
      <c r="R42" s="187"/>
      <c r="S42" s="187"/>
      <c r="T42" s="187"/>
      <c r="V42">
        <v>24</v>
      </c>
      <c r="W42">
        <f t="shared" ref="W42:W48" si="23">V42*0.96</f>
        <v>23.04</v>
      </c>
      <c r="X42">
        <v>9</v>
      </c>
      <c r="Y42">
        <f t="shared" ref="Y42:Y48" si="24">X42*0.96</f>
        <v>8.64</v>
      </c>
    </row>
    <row r="43" spans="1:25" x14ac:dyDescent="0.25">
      <c r="A43" s="164">
        <v>3</v>
      </c>
      <c r="B43" s="163" t="s">
        <v>20</v>
      </c>
      <c r="C43" s="196">
        <v>25</v>
      </c>
      <c r="D43" s="196">
        <v>0</v>
      </c>
      <c r="E43" s="196">
        <v>4.75</v>
      </c>
      <c r="F43" s="196">
        <v>0</v>
      </c>
      <c r="G43" s="196">
        <v>8.6850000000000005</v>
      </c>
      <c r="H43" s="196">
        <v>10</v>
      </c>
      <c r="I43" s="196">
        <v>24.175000000000001</v>
      </c>
      <c r="J43" s="196">
        <v>14</v>
      </c>
      <c r="K43" s="196">
        <f t="shared" si="20"/>
        <v>9.6</v>
      </c>
      <c r="L43" s="196">
        <v>0</v>
      </c>
      <c r="M43" s="196">
        <f t="shared" si="21"/>
        <v>4.8</v>
      </c>
      <c r="N43" s="196">
        <v>13</v>
      </c>
      <c r="O43" s="196">
        <f>'okt-mar'!H25*0.96</f>
        <v>0</v>
      </c>
      <c r="P43" s="196">
        <f t="shared" si="22"/>
        <v>37</v>
      </c>
      <c r="Q43" s="201">
        <f t="shared" si="22"/>
        <v>52.01</v>
      </c>
      <c r="R43" s="187"/>
      <c r="S43" s="187"/>
      <c r="T43" s="187"/>
      <c r="V43">
        <v>10</v>
      </c>
      <c r="W43">
        <f t="shared" si="23"/>
        <v>9.6</v>
      </c>
      <c r="X43">
        <v>5</v>
      </c>
      <c r="Y43">
        <f t="shared" si="24"/>
        <v>4.8</v>
      </c>
    </row>
    <row r="44" spans="1:25" x14ac:dyDescent="0.25">
      <c r="A44" s="166">
        <v>4</v>
      </c>
      <c r="B44" s="167" t="s">
        <v>21</v>
      </c>
      <c r="C44" s="196">
        <v>206</v>
      </c>
      <c r="D44" s="196">
        <v>0</v>
      </c>
      <c r="E44" s="196">
        <v>8.5499999999999989</v>
      </c>
      <c r="F44" s="196">
        <v>0</v>
      </c>
      <c r="G44" s="196">
        <v>0.96499999999999997</v>
      </c>
      <c r="H44" s="196">
        <v>68</v>
      </c>
      <c r="I44" s="196">
        <v>34.811999999999998</v>
      </c>
      <c r="J44" s="196">
        <v>116</v>
      </c>
      <c r="K44" s="196">
        <f t="shared" si="20"/>
        <v>123.83999999999999</v>
      </c>
      <c r="L44" s="196">
        <v>0</v>
      </c>
      <c r="M44" s="196">
        <f t="shared" si="21"/>
        <v>19.2</v>
      </c>
      <c r="N44" s="196">
        <v>0</v>
      </c>
      <c r="O44" s="196">
        <f>'okt-mar'!H26*0.96</f>
        <v>4.8</v>
      </c>
      <c r="P44" s="196">
        <f t="shared" si="22"/>
        <v>184</v>
      </c>
      <c r="Q44" s="201">
        <f t="shared" si="22"/>
        <v>192.16699999999997</v>
      </c>
      <c r="R44" s="187"/>
      <c r="S44" s="187"/>
      <c r="T44" s="187"/>
      <c r="V44">
        <v>129</v>
      </c>
      <c r="W44">
        <f t="shared" si="23"/>
        <v>123.83999999999999</v>
      </c>
      <c r="X44">
        <v>20</v>
      </c>
      <c r="Y44">
        <f t="shared" si="24"/>
        <v>19.2</v>
      </c>
    </row>
    <row r="45" spans="1:25" x14ac:dyDescent="0.25">
      <c r="A45" s="166">
        <v>5</v>
      </c>
      <c r="B45" s="168" t="s">
        <v>22</v>
      </c>
      <c r="C45" s="196">
        <v>184</v>
      </c>
      <c r="D45" s="196">
        <v>0</v>
      </c>
      <c r="E45" s="196">
        <v>0</v>
      </c>
      <c r="F45" s="196">
        <v>0</v>
      </c>
      <c r="G45" s="196">
        <v>0</v>
      </c>
      <c r="H45" s="196">
        <v>50</v>
      </c>
      <c r="I45" s="196">
        <v>14.504999999999999</v>
      </c>
      <c r="J45" s="196">
        <v>209</v>
      </c>
      <c r="K45" s="196">
        <f t="shared" si="20"/>
        <v>159.35999999999999</v>
      </c>
      <c r="L45" s="196">
        <v>0</v>
      </c>
      <c r="M45" s="196">
        <f t="shared" si="21"/>
        <v>0</v>
      </c>
      <c r="N45" s="196">
        <v>17</v>
      </c>
      <c r="O45" s="196">
        <f>'okt-mar'!H27*0.96</f>
        <v>0</v>
      </c>
      <c r="P45" s="196">
        <f t="shared" si="22"/>
        <v>276</v>
      </c>
      <c r="Q45" s="201">
        <f t="shared" si="22"/>
        <v>173.86499999999998</v>
      </c>
      <c r="R45" s="187"/>
      <c r="S45" s="187"/>
      <c r="T45" s="187"/>
      <c r="V45">
        <v>166</v>
      </c>
      <c r="W45">
        <f t="shared" si="23"/>
        <v>159.35999999999999</v>
      </c>
      <c r="X45">
        <v>0</v>
      </c>
      <c r="Y45">
        <f t="shared" si="24"/>
        <v>0</v>
      </c>
    </row>
    <row r="46" spans="1:25" x14ac:dyDescent="0.25">
      <c r="A46" s="166">
        <v>6</v>
      </c>
      <c r="B46" s="168" t="s">
        <v>23</v>
      </c>
      <c r="C46" s="196">
        <v>54</v>
      </c>
      <c r="D46" s="196">
        <v>0</v>
      </c>
      <c r="E46" s="196">
        <v>6.6499999999999995</v>
      </c>
      <c r="F46" s="196">
        <v>0</v>
      </c>
      <c r="G46" s="196">
        <v>41.494999999999997</v>
      </c>
      <c r="H46" s="196">
        <v>19</v>
      </c>
      <c r="I46" s="196">
        <v>0</v>
      </c>
      <c r="J46" s="196">
        <v>0</v>
      </c>
      <c r="K46" s="196">
        <f t="shared" si="20"/>
        <v>0</v>
      </c>
      <c r="L46" s="196">
        <v>10</v>
      </c>
      <c r="M46" s="196">
        <f t="shared" si="21"/>
        <v>0.96</v>
      </c>
      <c r="N46" s="196">
        <v>28</v>
      </c>
      <c r="O46" s="196">
        <f>'okt-mar'!H28*0.96</f>
        <v>8.64</v>
      </c>
      <c r="P46" s="196">
        <f t="shared" si="22"/>
        <v>57</v>
      </c>
      <c r="Q46" s="201">
        <f t="shared" si="22"/>
        <v>57.744999999999997</v>
      </c>
      <c r="R46" s="187"/>
      <c r="S46" s="187"/>
      <c r="T46" s="187"/>
      <c r="V46">
        <v>0</v>
      </c>
      <c r="W46">
        <f t="shared" si="23"/>
        <v>0</v>
      </c>
      <c r="X46">
        <v>1</v>
      </c>
      <c r="Y46">
        <f t="shared" si="24"/>
        <v>0.96</v>
      </c>
    </row>
    <row r="47" spans="1:25" x14ac:dyDescent="0.25">
      <c r="A47" s="166">
        <v>7</v>
      </c>
      <c r="B47" s="168" t="s">
        <v>24</v>
      </c>
      <c r="C47" s="196">
        <v>367</v>
      </c>
      <c r="D47" s="196">
        <v>0</v>
      </c>
      <c r="E47" s="196">
        <v>14.25</v>
      </c>
      <c r="F47" s="196">
        <v>0</v>
      </c>
      <c r="G47" s="196">
        <v>13.51</v>
      </c>
      <c r="H47" s="196">
        <v>117</v>
      </c>
      <c r="I47" s="196">
        <v>131.512</v>
      </c>
      <c r="J47" s="196">
        <v>276</v>
      </c>
      <c r="K47" s="196">
        <f t="shared" si="20"/>
        <v>170.88</v>
      </c>
      <c r="L47" s="196">
        <v>0</v>
      </c>
      <c r="M47" s="196">
        <f t="shared" si="21"/>
        <v>2.88</v>
      </c>
      <c r="N47" s="196">
        <v>37</v>
      </c>
      <c r="O47" s="196">
        <f>'okt-mar'!H29*0.96</f>
        <v>0</v>
      </c>
      <c r="P47" s="196">
        <f t="shared" si="22"/>
        <v>430</v>
      </c>
      <c r="Q47" s="201">
        <f t="shared" si="22"/>
        <v>333.03199999999998</v>
      </c>
      <c r="R47" s="187"/>
      <c r="S47" s="187"/>
      <c r="T47" s="187"/>
      <c r="V47">
        <v>178</v>
      </c>
      <c r="W47">
        <f t="shared" si="23"/>
        <v>170.88</v>
      </c>
      <c r="X47">
        <v>3</v>
      </c>
      <c r="Y47">
        <f t="shared" si="24"/>
        <v>2.88</v>
      </c>
    </row>
    <row r="48" spans="1:25" ht="15.75" thickBot="1" x14ac:dyDescent="0.3">
      <c r="A48" s="169">
        <v>8</v>
      </c>
      <c r="B48" s="167" t="s">
        <v>25</v>
      </c>
      <c r="C48" s="197">
        <v>280</v>
      </c>
      <c r="D48" s="197">
        <v>0</v>
      </c>
      <c r="E48" s="197">
        <v>24.7</v>
      </c>
      <c r="F48" s="197">
        <v>52</v>
      </c>
      <c r="G48" s="197">
        <v>120.625</v>
      </c>
      <c r="H48" s="197">
        <v>126</v>
      </c>
      <c r="I48" s="197">
        <v>117.97399999999999</v>
      </c>
      <c r="J48" s="197">
        <v>129</v>
      </c>
      <c r="K48" s="197">
        <f t="shared" si="20"/>
        <v>6.72</v>
      </c>
      <c r="L48" s="197">
        <v>0</v>
      </c>
      <c r="M48" s="197">
        <f t="shared" si="21"/>
        <v>31.68</v>
      </c>
      <c r="N48" s="197">
        <v>38</v>
      </c>
      <c r="O48" s="197">
        <f>'okt-mar'!H30*0.96</f>
        <v>0</v>
      </c>
      <c r="P48" s="195">
        <f t="shared" si="22"/>
        <v>345</v>
      </c>
      <c r="Q48" s="200">
        <f t="shared" si="22"/>
        <v>301.69900000000001</v>
      </c>
      <c r="R48" s="187"/>
      <c r="S48" s="187"/>
      <c r="T48" s="187"/>
      <c r="V48">
        <v>7</v>
      </c>
      <c r="W48">
        <f t="shared" si="23"/>
        <v>6.72</v>
      </c>
      <c r="X48">
        <v>33</v>
      </c>
      <c r="Y48">
        <f t="shared" si="24"/>
        <v>31.68</v>
      </c>
    </row>
    <row r="49" spans="1:26" ht="16.5" thickTop="1" thickBot="1" x14ac:dyDescent="0.3">
      <c r="A49" s="392" t="s">
        <v>26</v>
      </c>
      <c r="B49" s="393"/>
      <c r="C49" s="198">
        <f>SUM(C41:C48)</f>
        <v>1611</v>
      </c>
      <c r="D49" s="198">
        <f t="shared" ref="D49:P49" si="25">SUM(D41:D48)</f>
        <v>3</v>
      </c>
      <c r="E49" s="198">
        <f t="shared" si="25"/>
        <v>63.649999999999991</v>
      </c>
      <c r="F49" s="198">
        <f t="shared" si="25"/>
        <v>99</v>
      </c>
      <c r="G49" s="198">
        <f t="shared" si="25"/>
        <v>213.26499999999999</v>
      </c>
      <c r="H49" s="198">
        <f t="shared" si="25"/>
        <v>505</v>
      </c>
      <c r="I49" s="198">
        <f t="shared" si="25"/>
        <v>504.774</v>
      </c>
      <c r="J49" s="198">
        <f t="shared" si="25"/>
        <v>837</v>
      </c>
      <c r="K49" s="198">
        <f t="shared" si="25"/>
        <v>663.36</v>
      </c>
      <c r="L49" s="198">
        <f t="shared" si="25"/>
        <v>276</v>
      </c>
      <c r="M49" s="198">
        <f t="shared" si="25"/>
        <v>111.35999999999999</v>
      </c>
      <c r="N49" s="198">
        <f t="shared" si="25"/>
        <v>206</v>
      </c>
      <c r="O49" s="198">
        <f t="shared" si="25"/>
        <v>13.440000000000001</v>
      </c>
      <c r="P49" s="202">
        <f t="shared" si="25"/>
        <v>1926</v>
      </c>
      <c r="Q49" s="203">
        <f>SUM(Q41:Q48)</f>
        <v>1569.8490000000002</v>
      </c>
      <c r="R49" s="187"/>
      <c r="S49" s="187"/>
      <c r="T49" s="187"/>
      <c r="V49">
        <f>SUM(V41:V48)</f>
        <v>691</v>
      </c>
      <c r="W49">
        <f t="shared" ref="W49:Z49" si="26">SUM(W41:W48)</f>
        <v>663.36</v>
      </c>
      <c r="X49">
        <f t="shared" si="26"/>
        <v>116</v>
      </c>
      <c r="Y49">
        <f t="shared" si="26"/>
        <v>111.35999999999999</v>
      </c>
      <c r="Z49">
        <f t="shared" si="26"/>
        <v>0</v>
      </c>
    </row>
    <row r="50" spans="1:26" ht="15.75" thickBot="1" x14ac:dyDescent="0.3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</row>
    <row r="51" spans="1:26" ht="25.5" x14ac:dyDescent="0.25">
      <c r="A51" s="387" t="s">
        <v>2</v>
      </c>
      <c r="B51" s="389" t="s">
        <v>3</v>
      </c>
      <c r="C51" s="283" t="s">
        <v>93</v>
      </c>
      <c r="D51" s="391" t="s">
        <v>104</v>
      </c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4" t="s">
        <v>105</v>
      </c>
      <c r="Q51" s="394"/>
      <c r="R51" s="401" t="s">
        <v>106</v>
      </c>
      <c r="S51" s="399"/>
      <c r="T51" s="295"/>
    </row>
    <row r="52" spans="1:26" x14ac:dyDescent="0.25">
      <c r="A52" s="388"/>
      <c r="B52" s="390"/>
      <c r="C52" s="189" t="s">
        <v>111</v>
      </c>
      <c r="D52" s="395" t="s">
        <v>79</v>
      </c>
      <c r="E52" s="395"/>
      <c r="F52" s="395" t="s">
        <v>10</v>
      </c>
      <c r="G52" s="395"/>
      <c r="H52" s="395" t="s">
        <v>11</v>
      </c>
      <c r="I52" s="395"/>
      <c r="J52" s="395" t="s">
        <v>12</v>
      </c>
      <c r="K52" s="395"/>
      <c r="L52" s="395" t="s">
        <v>102</v>
      </c>
      <c r="M52" s="395"/>
      <c r="N52" s="395" t="s">
        <v>103</v>
      </c>
      <c r="O52" s="395"/>
      <c r="P52" s="395"/>
      <c r="Q52" s="395"/>
      <c r="R52" s="402"/>
      <c r="S52" s="400"/>
      <c r="T52" s="295"/>
    </row>
    <row r="53" spans="1:26" x14ac:dyDescent="0.25">
      <c r="A53" s="388"/>
      <c r="B53" s="390"/>
      <c r="C53" s="284" t="s">
        <v>1</v>
      </c>
      <c r="D53" s="174" t="s">
        <v>95</v>
      </c>
      <c r="E53" s="174" t="s">
        <v>88</v>
      </c>
      <c r="F53" s="174" t="s">
        <v>95</v>
      </c>
      <c r="G53" s="174" t="s">
        <v>88</v>
      </c>
      <c r="H53" s="174" t="s">
        <v>95</v>
      </c>
      <c r="I53" s="174" t="s">
        <v>88</v>
      </c>
      <c r="J53" s="174" t="s">
        <v>95</v>
      </c>
      <c r="K53" s="174" t="s">
        <v>88</v>
      </c>
      <c r="L53" s="174" t="s">
        <v>95</v>
      </c>
      <c r="M53" s="174" t="s">
        <v>88</v>
      </c>
      <c r="N53" s="174" t="s">
        <v>95</v>
      </c>
      <c r="O53" s="174" t="s">
        <v>88</v>
      </c>
      <c r="P53" s="174" t="s">
        <v>95</v>
      </c>
      <c r="Q53" s="174" t="s">
        <v>88</v>
      </c>
      <c r="R53" s="174" t="s">
        <v>95</v>
      </c>
      <c r="S53" s="190" t="s">
        <v>88</v>
      </c>
      <c r="T53" s="296"/>
    </row>
    <row r="54" spans="1:26" ht="15.75" thickBot="1" x14ac:dyDescent="0.3">
      <c r="A54" s="160">
        <v>1</v>
      </c>
      <c r="B54" s="161">
        <v>2</v>
      </c>
      <c r="C54" s="281">
        <v>3</v>
      </c>
      <c r="D54" s="396">
        <v>11</v>
      </c>
      <c r="E54" s="396"/>
      <c r="F54" s="396">
        <v>12</v>
      </c>
      <c r="G54" s="396"/>
      <c r="H54" s="396">
        <v>13</v>
      </c>
      <c r="I54" s="396"/>
      <c r="J54" s="396">
        <v>14</v>
      </c>
      <c r="K54" s="396"/>
      <c r="L54" s="396">
        <v>15</v>
      </c>
      <c r="M54" s="396"/>
      <c r="N54" s="396">
        <v>16</v>
      </c>
      <c r="O54" s="396"/>
      <c r="P54" s="396">
        <v>17</v>
      </c>
      <c r="Q54" s="396"/>
      <c r="R54" s="396">
        <v>18</v>
      </c>
      <c r="S54" s="406"/>
      <c r="T54" s="297"/>
    </row>
    <row r="55" spans="1:26" ht="15.75" thickTop="1" x14ac:dyDescent="0.25">
      <c r="A55" s="162">
        <v>1</v>
      </c>
      <c r="B55" s="163" t="s">
        <v>18</v>
      </c>
      <c r="C55" s="195">
        <v>287</v>
      </c>
      <c r="D55" s="195">
        <v>0</v>
      </c>
      <c r="E55" s="195">
        <v>0</v>
      </c>
      <c r="F55" s="195">
        <v>19</v>
      </c>
      <c r="G55" s="195">
        <v>33.25</v>
      </c>
      <c r="H55" s="195">
        <v>0</v>
      </c>
      <c r="I55" s="195"/>
      <c r="J55" s="195">
        <v>0</v>
      </c>
      <c r="K55" s="195"/>
      <c r="L55" s="195">
        <v>0</v>
      </c>
      <c r="M55" s="195"/>
      <c r="N55" s="195">
        <v>0</v>
      </c>
      <c r="O55" s="195"/>
      <c r="P55" s="195">
        <f>SUM(D55,F55,H55,J55,L55,N55)</f>
        <v>19</v>
      </c>
      <c r="Q55" s="195">
        <f>SUM(E55,G55,I55,K55,M55,O55)</f>
        <v>33.25</v>
      </c>
      <c r="R55" s="195">
        <f>SUM(P41,P55)</f>
        <v>318</v>
      </c>
      <c r="S55" s="200">
        <f>SUM(Q41,Q55)</f>
        <v>291.815</v>
      </c>
      <c r="T55" s="298"/>
      <c r="W55">
        <v>0</v>
      </c>
      <c r="X55" s="263">
        <f>0.95*W55</f>
        <v>0</v>
      </c>
      <c r="Y55" s="59">
        <v>35</v>
      </c>
      <c r="Z55" s="263">
        <f>0.95*Y55</f>
        <v>33.25</v>
      </c>
    </row>
    <row r="56" spans="1:26" x14ac:dyDescent="0.25">
      <c r="A56" s="164">
        <v>2</v>
      </c>
      <c r="B56" s="165" t="s">
        <v>19</v>
      </c>
      <c r="C56" s="196">
        <v>208</v>
      </c>
      <c r="D56" s="196">
        <v>27</v>
      </c>
      <c r="E56" s="196">
        <v>0</v>
      </c>
      <c r="F56" s="196">
        <v>20</v>
      </c>
      <c r="G56" s="196">
        <v>95</v>
      </c>
      <c r="H56" s="196">
        <v>5</v>
      </c>
      <c r="I56" s="196"/>
      <c r="J56" s="196">
        <v>0</v>
      </c>
      <c r="K56" s="196"/>
      <c r="L56" s="196">
        <v>0</v>
      </c>
      <c r="M56" s="196"/>
      <c r="N56" s="196">
        <v>0</v>
      </c>
      <c r="O56" s="196"/>
      <c r="P56" s="196">
        <f t="shared" ref="P56:Q62" si="27">SUM(D56,F56,H56,J56,L56,N56)</f>
        <v>52</v>
      </c>
      <c r="Q56" s="196">
        <f t="shared" si="27"/>
        <v>95</v>
      </c>
      <c r="R56" s="196">
        <f t="shared" ref="R56:S62" si="28">SUM(P42,P56)</f>
        <v>350</v>
      </c>
      <c r="S56" s="201">
        <f t="shared" si="28"/>
        <v>295.76600000000002</v>
      </c>
      <c r="T56" s="298"/>
      <c r="W56">
        <v>0</v>
      </c>
      <c r="X56" s="263">
        <f t="shared" ref="X56:X62" si="29">0.95*W56</f>
        <v>0</v>
      </c>
      <c r="Y56">
        <v>100</v>
      </c>
      <c r="Z56" s="263">
        <f t="shared" ref="Z56:Z62" si="30">0.95*Y56</f>
        <v>95</v>
      </c>
    </row>
    <row r="57" spans="1:26" x14ac:dyDescent="0.25">
      <c r="A57" s="164">
        <v>3</v>
      </c>
      <c r="B57" s="163" t="s">
        <v>20</v>
      </c>
      <c r="C57" s="196">
        <v>25</v>
      </c>
      <c r="D57" s="196">
        <v>10</v>
      </c>
      <c r="E57" s="196">
        <v>0</v>
      </c>
      <c r="F57" s="196">
        <v>0</v>
      </c>
      <c r="G57" s="196">
        <v>9.5</v>
      </c>
      <c r="H57" s="196">
        <v>0</v>
      </c>
      <c r="I57" s="196"/>
      <c r="J57" s="196">
        <v>0</v>
      </c>
      <c r="K57" s="196"/>
      <c r="L57" s="196">
        <v>0</v>
      </c>
      <c r="M57" s="196"/>
      <c r="N57" s="196">
        <v>0</v>
      </c>
      <c r="O57" s="196"/>
      <c r="P57" s="196">
        <f t="shared" si="27"/>
        <v>10</v>
      </c>
      <c r="Q57" s="196">
        <f t="shared" si="27"/>
        <v>9.5</v>
      </c>
      <c r="R57" s="196">
        <f t="shared" si="28"/>
        <v>47</v>
      </c>
      <c r="S57" s="201">
        <f t="shared" si="28"/>
        <v>61.51</v>
      </c>
      <c r="T57" s="298"/>
      <c r="W57">
        <v>0</v>
      </c>
      <c r="X57" s="263">
        <f t="shared" si="29"/>
        <v>0</v>
      </c>
      <c r="Y57">
        <v>10</v>
      </c>
      <c r="Z57" s="263">
        <f t="shared" si="30"/>
        <v>9.5</v>
      </c>
    </row>
    <row r="58" spans="1:26" x14ac:dyDescent="0.25">
      <c r="A58" s="166">
        <v>4</v>
      </c>
      <c r="B58" s="167" t="s">
        <v>21</v>
      </c>
      <c r="C58" s="196">
        <v>206</v>
      </c>
      <c r="D58" s="196">
        <v>0</v>
      </c>
      <c r="E58" s="196">
        <v>0</v>
      </c>
      <c r="F58" s="196">
        <v>27</v>
      </c>
      <c r="G58" s="196">
        <v>2.8499999999999996</v>
      </c>
      <c r="H58" s="196">
        <v>0</v>
      </c>
      <c r="I58" s="196"/>
      <c r="J58" s="196">
        <v>0</v>
      </c>
      <c r="K58" s="196"/>
      <c r="L58" s="196">
        <v>0</v>
      </c>
      <c r="M58" s="196"/>
      <c r="N58" s="196">
        <v>5</v>
      </c>
      <c r="O58" s="196"/>
      <c r="P58" s="196">
        <f t="shared" si="27"/>
        <v>32</v>
      </c>
      <c r="Q58" s="196">
        <f t="shared" si="27"/>
        <v>2.8499999999999996</v>
      </c>
      <c r="R58" s="196">
        <f t="shared" si="28"/>
        <v>216</v>
      </c>
      <c r="S58" s="201">
        <f t="shared" si="28"/>
        <v>195.01699999999997</v>
      </c>
      <c r="T58" s="298"/>
      <c r="W58">
        <v>0</v>
      </c>
      <c r="X58" s="263">
        <f t="shared" si="29"/>
        <v>0</v>
      </c>
      <c r="Y58">
        <v>3</v>
      </c>
      <c r="Z58" s="263">
        <f t="shared" si="30"/>
        <v>2.8499999999999996</v>
      </c>
    </row>
    <row r="59" spans="1:26" x14ac:dyDescent="0.25">
      <c r="A59" s="166">
        <v>5</v>
      </c>
      <c r="B59" s="168" t="s">
        <v>22</v>
      </c>
      <c r="C59" s="196">
        <v>184</v>
      </c>
      <c r="D59" s="196">
        <v>5</v>
      </c>
      <c r="E59" s="196">
        <v>7.6</v>
      </c>
      <c r="F59" s="196">
        <v>12</v>
      </c>
      <c r="G59" s="196">
        <v>12.35</v>
      </c>
      <c r="H59" s="196">
        <v>0</v>
      </c>
      <c r="I59" s="196"/>
      <c r="J59" s="196">
        <v>0</v>
      </c>
      <c r="K59" s="196"/>
      <c r="L59" s="196">
        <v>0</v>
      </c>
      <c r="M59" s="196"/>
      <c r="N59" s="196">
        <v>0</v>
      </c>
      <c r="O59" s="196"/>
      <c r="P59" s="196">
        <f t="shared" si="27"/>
        <v>17</v>
      </c>
      <c r="Q59" s="196">
        <f t="shared" si="27"/>
        <v>19.95</v>
      </c>
      <c r="R59" s="196">
        <f t="shared" si="28"/>
        <v>293</v>
      </c>
      <c r="S59" s="201">
        <f t="shared" si="28"/>
        <v>193.81499999999997</v>
      </c>
      <c r="T59" s="298"/>
      <c r="W59">
        <v>8</v>
      </c>
      <c r="X59" s="263">
        <f t="shared" si="29"/>
        <v>7.6</v>
      </c>
      <c r="Y59">
        <v>13</v>
      </c>
      <c r="Z59" s="263">
        <f t="shared" si="30"/>
        <v>12.35</v>
      </c>
    </row>
    <row r="60" spans="1:26" x14ac:dyDescent="0.25">
      <c r="A60" s="166">
        <v>6</v>
      </c>
      <c r="B60" s="168" t="s">
        <v>23</v>
      </c>
      <c r="C60" s="196">
        <v>54</v>
      </c>
      <c r="D60" s="196">
        <v>0</v>
      </c>
      <c r="E60" s="196">
        <v>16.149999999999999</v>
      </c>
      <c r="F60" s="196">
        <v>10</v>
      </c>
      <c r="G60" s="196">
        <v>23.75</v>
      </c>
      <c r="H60" s="196">
        <v>0</v>
      </c>
      <c r="I60" s="196"/>
      <c r="J60" s="196">
        <v>0</v>
      </c>
      <c r="K60" s="196"/>
      <c r="L60" s="196">
        <v>0</v>
      </c>
      <c r="M60" s="196"/>
      <c r="N60" s="196">
        <v>0</v>
      </c>
      <c r="O60" s="196"/>
      <c r="P60" s="196">
        <f t="shared" si="27"/>
        <v>10</v>
      </c>
      <c r="Q60" s="196">
        <f t="shared" si="27"/>
        <v>39.9</v>
      </c>
      <c r="R60" s="196">
        <f t="shared" si="28"/>
        <v>67</v>
      </c>
      <c r="S60" s="201">
        <f t="shared" si="28"/>
        <v>97.644999999999996</v>
      </c>
      <c r="T60" s="298"/>
      <c r="W60">
        <v>17</v>
      </c>
      <c r="X60" s="263">
        <f t="shared" si="29"/>
        <v>16.149999999999999</v>
      </c>
      <c r="Y60">
        <v>25</v>
      </c>
      <c r="Z60" s="263">
        <f t="shared" si="30"/>
        <v>23.75</v>
      </c>
    </row>
    <row r="61" spans="1:26" x14ac:dyDescent="0.25">
      <c r="A61" s="166">
        <v>7</v>
      </c>
      <c r="B61" s="168" t="s">
        <v>24</v>
      </c>
      <c r="C61" s="196">
        <v>367</v>
      </c>
      <c r="D61" s="196">
        <v>90</v>
      </c>
      <c r="E61" s="196">
        <v>11.399999999999999</v>
      </c>
      <c r="F61" s="196">
        <v>28</v>
      </c>
      <c r="G61" s="196">
        <v>160.54999999999998</v>
      </c>
      <c r="H61" s="196">
        <v>0</v>
      </c>
      <c r="I61" s="196"/>
      <c r="J61" s="196">
        <v>0</v>
      </c>
      <c r="K61" s="196"/>
      <c r="L61" s="196">
        <v>0</v>
      </c>
      <c r="M61" s="196"/>
      <c r="N61" s="196">
        <v>0</v>
      </c>
      <c r="O61" s="196"/>
      <c r="P61" s="196">
        <f t="shared" si="27"/>
        <v>118</v>
      </c>
      <c r="Q61" s="196">
        <f t="shared" si="27"/>
        <v>171.95</v>
      </c>
      <c r="R61" s="196">
        <f t="shared" si="28"/>
        <v>548</v>
      </c>
      <c r="S61" s="201">
        <f t="shared" si="28"/>
        <v>504.98199999999997</v>
      </c>
      <c r="T61" s="298"/>
      <c r="W61">
        <v>12</v>
      </c>
      <c r="X61" s="263">
        <f t="shared" si="29"/>
        <v>11.399999999999999</v>
      </c>
      <c r="Y61">
        <v>169</v>
      </c>
      <c r="Z61" s="263">
        <f t="shared" si="30"/>
        <v>160.54999999999998</v>
      </c>
    </row>
    <row r="62" spans="1:26" ht="15.75" thickBot="1" x14ac:dyDescent="0.3">
      <c r="A62" s="169">
        <v>8</v>
      </c>
      <c r="B62" s="167" t="s">
        <v>25</v>
      </c>
      <c r="C62" s="197">
        <v>280</v>
      </c>
      <c r="D62" s="199">
        <v>0</v>
      </c>
      <c r="E62" s="199">
        <v>50.349999999999994</v>
      </c>
      <c r="F62" s="199">
        <v>97</v>
      </c>
      <c r="G62" s="199">
        <v>84.55</v>
      </c>
      <c r="H62" s="199">
        <v>34</v>
      </c>
      <c r="I62" s="199"/>
      <c r="J62" s="199">
        <v>0</v>
      </c>
      <c r="K62" s="199"/>
      <c r="L62" s="199">
        <v>0</v>
      </c>
      <c r="M62" s="199"/>
      <c r="N62" s="199">
        <v>0</v>
      </c>
      <c r="O62" s="199"/>
      <c r="P62" s="195">
        <f t="shared" si="27"/>
        <v>131</v>
      </c>
      <c r="Q62" s="195">
        <f t="shared" si="27"/>
        <v>134.89999999999998</v>
      </c>
      <c r="R62" s="195">
        <f t="shared" si="28"/>
        <v>476</v>
      </c>
      <c r="S62" s="200">
        <f t="shared" si="28"/>
        <v>436.59899999999999</v>
      </c>
      <c r="T62" s="298"/>
      <c r="W62">
        <v>53</v>
      </c>
      <c r="X62" s="263">
        <f t="shared" si="29"/>
        <v>50.349999999999994</v>
      </c>
      <c r="Y62">
        <v>89</v>
      </c>
      <c r="Z62" s="263">
        <f t="shared" si="30"/>
        <v>84.55</v>
      </c>
    </row>
    <row r="63" spans="1:26" ht="16.5" thickTop="1" thickBot="1" x14ac:dyDescent="0.3">
      <c r="A63" s="392" t="s">
        <v>26</v>
      </c>
      <c r="B63" s="393"/>
      <c r="C63" s="198">
        <f>SUM(C55:C62)</f>
        <v>1611</v>
      </c>
      <c r="D63" s="198">
        <f t="shared" ref="D63:R63" si="31">SUM(D55:D62)</f>
        <v>132</v>
      </c>
      <c r="E63" s="198">
        <f t="shared" si="31"/>
        <v>85.5</v>
      </c>
      <c r="F63" s="198">
        <f t="shared" si="31"/>
        <v>213</v>
      </c>
      <c r="G63" s="198">
        <f t="shared" si="31"/>
        <v>421.8</v>
      </c>
      <c r="H63" s="198">
        <f t="shared" si="31"/>
        <v>39</v>
      </c>
      <c r="I63" s="198">
        <f t="shared" si="31"/>
        <v>0</v>
      </c>
      <c r="J63" s="198">
        <f t="shared" si="31"/>
        <v>0</v>
      </c>
      <c r="K63" s="198">
        <f t="shared" si="31"/>
        <v>0</v>
      </c>
      <c r="L63" s="198">
        <f t="shared" si="31"/>
        <v>0</v>
      </c>
      <c r="M63" s="198">
        <f t="shared" si="31"/>
        <v>0</v>
      </c>
      <c r="N63" s="198">
        <f t="shared" si="31"/>
        <v>5</v>
      </c>
      <c r="O63" s="198">
        <f t="shared" si="31"/>
        <v>0</v>
      </c>
      <c r="P63" s="202">
        <f t="shared" si="31"/>
        <v>389</v>
      </c>
      <c r="Q63" s="202">
        <f>SUM(Q55:Q62)</f>
        <v>507.29999999999995</v>
      </c>
      <c r="R63" s="202">
        <f t="shared" si="31"/>
        <v>2315</v>
      </c>
      <c r="S63" s="203">
        <f>SUM(S55:S62)</f>
        <v>2077.1489999999999</v>
      </c>
      <c r="T63" s="299"/>
      <c r="U63" s="274">
        <f>S63/R63*100</f>
        <v>89.725658747300201</v>
      </c>
      <c r="W63">
        <f>SUM(W55:W62)</f>
        <v>90</v>
      </c>
      <c r="X63">
        <f t="shared" ref="X63:Z63" si="32">SUM(X55:X62)</f>
        <v>85.5</v>
      </c>
      <c r="Y63">
        <f t="shared" si="32"/>
        <v>444</v>
      </c>
      <c r="Z63">
        <f t="shared" si="32"/>
        <v>421.8</v>
      </c>
    </row>
    <row r="66" spans="1:23" ht="15.75" x14ac:dyDescent="0.25">
      <c r="A66" s="380" t="s">
        <v>109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280"/>
    </row>
    <row r="67" spans="1:23" ht="15.75" x14ac:dyDescent="0.25">
      <c r="A67" s="380" t="s">
        <v>82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280"/>
    </row>
    <row r="68" spans="1:23" ht="15.75" thickBot="1" x14ac:dyDescent="0.3"/>
    <row r="69" spans="1:23" ht="25.5" x14ac:dyDescent="0.25">
      <c r="A69" s="387" t="s">
        <v>2</v>
      </c>
      <c r="B69" s="389" t="s">
        <v>3</v>
      </c>
      <c r="C69" s="283" t="s">
        <v>93</v>
      </c>
      <c r="D69" s="391" t="s">
        <v>94</v>
      </c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4" t="s">
        <v>83</v>
      </c>
      <c r="Q69" s="404"/>
      <c r="R69" s="187"/>
      <c r="S69" s="187"/>
      <c r="T69" s="187"/>
    </row>
    <row r="70" spans="1:23" x14ac:dyDescent="0.25">
      <c r="A70" s="388"/>
      <c r="B70" s="390"/>
      <c r="C70" s="189" t="s">
        <v>112</v>
      </c>
      <c r="D70" s="395" t="s">
        <v>97</v>
      </c>
      <c r="E70" s="395"/>
      <c r="F70" s="395" t="s">
        <v>98</v>
      </c>
      <c r="G70" s="395"/>
      <c r="H70" s="395" t="s">
        <v>99</v>
      </c>
      <c r="I70" s="395"/>
      <c r="J70" s="395" t="s">
        <v>96</v>
      </c>
      <c r="K70" s="395"/>
      <c r="L70" s="395" t="s">
        <v>100</v>
      </c>
      <c r="M70" s="395"/>
      <c r="N70" s="395" t="s">
        <v>8</v>
      </c>
      <c r="O70" s="395"/>
      <c r="P70" s="395"/>
      <c r="Q70" s="405"/>
      <c r="R70" s="187"/>
      <c r="S70" s="187"/>
      <c r="T70" s="187"/>
    </row>
    <row r="71" spans="1:23" x14ac:dyDescent="0.25">
      <c r="A71" s="388"/>
      <c r="B71" s="390"/>
      <c r="C71" s="284" t="s">
        <v>1</v>
      </c>
      <c r="D71" s="174" t="s">
        <v>95</v>
      </c>
      <c r="E71" s="174" t="s">
        <v>88</v>
      </c>
      <c r="F71" s="174" t="s">
        <v>95</v>
      </c>
      <c r="G71" s="174" t="s">
        <v>88</v>
      </c>
      <c r="H71" s="174" t="s">
        <v>95</v>
      </c>
      <c r="I71" s="174" t="s">
        <v>88</v>
      </c>
      <c r="J71" s="174" t="s">
        <v>95</v>
      </c>
      <c r="K71" s="174" t="s">
        <v>88</v>
      </c>
      <c r="L71" s="174" t="s">
        <v>95</v>
      </c>
      <c r="M71" s="174" t="s">
        <v>88</v>
      </c>
      <c r="N71" s="174" t="s">
        <v>95</v>
      </c>
      <c r="O71" s="174" t="s">
        <v>88</v>
      </c>
      <c r="P71" s="174" t="s">
        <v>95</v>
      </c>
      <c r="Q71" s="190" t="s">
        <v>88</v>
      </c>
      <c r="R71" s="187"/>
      <c r="S71" s="187"/>
      <c r="T71" s="187"/>
    </row>
    <row r="72" spans="1:23" ht="15.75" thickBot="1" x14ac:dyDescent="0.3">
      <c r="A72" s="160">
        <v>1</v>
      </c>
      <c r="B72" s="161">
        <v>2</v>
      </c>
      <c r="C72" s="281">
        <v>3</v>
      </c>
      <c r="D72" s="396">
        <v>4</v>
      </c>
      <c r="E72" s="396"/>
      <c r="F72" s="396">
        <v>5</v>
      </c>
      <c r="G72" s="396"/>
      <c r="H72" s="396">
        <v>6</v>
      </c>
      <c r="I72" s="396"/>
      <c r="J72" s="396">
        <v>7</v>
      </c>
      <c r="K72" s="396"/>
      <c r="L72" s="396">
        <v>8</v>
      </c>
      <c r="M72" s="396"/>
      <c r="N72" s="396">
        <v>9</v>
      </c>
      <c r="O72" s="396"/>
      <c r="P72" s="396">
        <v>10</v>
      </c>
      <c r="Q72" s="406"/>
      <c r="R72" s="187"/>
      <c r="S72" s="187"/>
      <c r="T72" s="187"/>
    </row>
    <row r="73" spans="1:23" ht="15.75" thickTop="1" x14ac:dyDescent="0.25">
      <c r="A73" s="162">
        <v>1</v>
      </c>
      <c r="B73" s="163" t="s">
        <v>18</v>
      </c>
      <c r="C73" s="195">
        <v>1512</v>
      </c>
      <c r="D73" s="195">
        <v>0</v>
      </c>
      <c r="E73" s="195">
        <v>0</v>
      </c>
      <c r="F73" s="195">
        <v>0</v>
      </c>
      <c r="G73" s="195">
        <v>0</v>
      </c>
      <c r="H73" s="195">
        <v>0</v>
      </c>
      <c r="I73" s="195">
        <v>0</v>
      </c>
      <c r="J73" s="195">
        <v>0</v>
      </c>
      <c r="K73" s="195">
        <v>0</v>
      </c>
      <c r="L73" s="195">
        <v>0</v>
      </c>
      <c r="M73" s="195">
        <v>0</v>
      </c>
      <c r="N73" s="195">
        <v>0</v>
      </c>
      <c r="O73" s="195">
        <v>0</v>
      </c>
      <c r="P73" s="195">
        <f>SUM(D73,F73,H73,J73,L73,N73)</f>
        <v>0</v>
      </c>
      <c r="Q73" s="200">
        <f>SUM(E73,G73,I73,K73,M73,O73)</f>
        <v>0</v>
      </c>
      <c r="R73" s="187"/>
      <c r="S73" s="187"/>
      <c r="T73" s="187"/>
    </row>
    <row r="74" spans="1:23" x14ac:dyDescent="0.25">
      <c r="A74" s="164">
        <v>2</v>
      </c>
      <c r="B74" s="165" t="s">
        <v>19</v>
      </c>
      <c r="C74" s="196">
        <v>35</v>
      </c>
      <c r="D74" s="196">
        <v>0</v>
      </c>
      <c r="E74" s="196">
        <v>0</v>
      </c>
      <c r="F74" s="196">
        <v>0</v>
      </c>
      <c r="G74" s="196">
        <v>0</v>
      </c>
      <c r="H74" s="196">
        <v>0</v>
      </c>
      <c r="I74" s="196">
        <v>0</v>
      </c>
      <c r="J74" s="196">
        <v>0</v>
      </c>
      <c r="K74" s="196">
        <v>0</v>
      </c>
      <c r="L74" s="196">
        <v>0</v>
      </c>
      <c r="M74" s="196">
        <v>0</v>
      </c>
      <c r="N74" s="196">
        <v>0</v>
      </c>
      <c r="O74" s="196">
        <v>0</v>
      </c>
      <c r="P74" s="196">
        <f t="shared" ref="P74:Q80" si="33">SUM(D74,F74,H74,J74,L74,N74)</f>
        <v>0</v>
      </c>
      <c r="Q74" s="201">
        <f t="shared" si="33"/>
        <v>0</v>
      </c>
      <c r="R74" s="187"/>
      <c r="S74" s="187"/>
      <c r="T74" s="187"/>
    </row>
    <row r="75" spans="1:23" x14ac:dyDescent="0.25">
      <c r="A75" s="164">
        <v>3</v>
      </c>
      <c r="B75" s="163" t="s">
        <v>20</v>
      </c>
      <c r="C75" s="196">
        <v>250</v>
      </c>
      <c r="D75" s="196">
        <v>40</v>
      </c>
      <c r="E75" s="196">
        <v>0</v>
      </c>
      <c r="F75" s="196">
        <v>0</v>
      </c>
      <c r="G75" s="196">
        <v>4</v>
      </c>
      <c r="H75" s="196">
        <v>0</v>
      </c>
      <c r="I75" s="196">
        <v>24.175000000000001</v>
      </c>
      <c r="J75" s="196">
        <v>0</v>
      </c>
      <c r="K75" s="196">
        <f>W75</f>
        <v>17.28</v>
      </c>
      <c r="L75" s="196">
        <v>0</v>
      </c>
      <c r="M75" s="196">
        <v>0</v>
      </c>
      <c r="N75" s="196">
        <v>0</v>
      </c>
      <c r="O75" s="196">
        <v>0</v>
      </c>
      <c r="P75" s="196">
        <f t="shared" si="33"/>
        <v>40</v>
      </c>
      <c r="Q75" s="201">
        <f t="shared" si="33"/>
        <v>45.454999999999998</v>
      </c>
      <c r="R75" s="187"/>
      <c r="S75" s="187"/>
      <c r="T75" s="187"/>
      <c r="V75">
        <v>18</v>
      </c>
      <c r="W75">
        <f>V75*0.96</f>
        <v>17.28</v>
      </c>
    </row>
    <row r="76" spans="1:23" x14ac:dyDescent="0.25">
      <c r="A76" s="166">
        <v>4</v>
      </c>
      <c r="B76" s="167" t="s">
        <v>21</v>
      </c>
      <c r="C76" s="196">
        <v>0</v>
      </c>
      <c r="D76" s="196">
        <v>0</v>
      </c>
      <c r="E76" s="196">
        <v>0</v>
      </c>
      <c r="F76" s="196">
        <v>0</v>
      </c>
      <c r="G76" s="196">
        <v>0</v>
      </c>
      <c r="H76" s="196">
        <v>0</v>
      </c>
      <c r="I76" s="196">
        <v>0</v>
      </c>
      <c r="J76" s="196">
        <v>0</v>
      </c>
      <c r="K76" s="196">
        <v>0</v>
      </c>
      <c r="L76" s="196">
        <v>0</v>
      </c>
      <c r="M76" s="196">
        <v>0</v>
      </c>
      <c r="N76" s="196">
        <v>0</v>
      </c>
      <c r="O76" s="196">
        <v>0</v>
      </c>
      <c r="P76" s="196">
        <f t="shared" si="33"/>
        <v>0</v>
      </c>
      <c r="Q76" s="201">
        <f t="shared" si="33"/>
        <v>0</v>
      </c>
      <c r="R76" s="187"/>
      <c r="S76" s="187"/>
      <c r="T76" s="187"/>
    </row>
    <row r="77" spans="1:23" x14ac:dyDescent="0.25">
      <c r="A77" s="166">
        <v>5</v>
      </c>
      <c r="B77" s="168" t="s">
        <v>22</v>
      </c>
      <c r="C77" s="196">
        <v>179</v>
      </c>
      <c r="D77" s="196">
        <v>0</v>
      </c>
      <c r="E77" s="196">
        <v>0</v>
      </c>
      <c r="F77" s="196">
        <v>0</v>
      </c>
      <c r="G77" s="196">
        <v>0</v>
      </c>
      <c r="H77" s="196">
        <v>0</v>
      </c>
      <c r="I77" s="196">
        <v>0</v>
      </c>
      <c r="J77" s="196">
        <v>0</v>
      </c>
      <c r="K77" s="196">
        <v>0</v>
      </c>
      <c r="L77" s="196">
        <v>0</v>
      </c>
      <c r="M77" s="196">
        <v>0</v>
      </c>
      <c r="N77" s="196">
        <v>0</v>
      </c>
      <c r="O77" s="196">
        <v>0</v>
      </c>
      <c r="P77" s="196">
        <f t="shared" si="33"/>
        <v>0</v>
      </c>
      <c r="Q77" s="201">
        <f t="shared" si="33"/>
        <v>0</v>
      </c>
      <c r="R77" s="187"/>
      <c r="S77" s="187"/>
      <c r="T77" s="187"/>
    </row>
    <row r="78" spans="1:23" x14ac:dyDescent="0.25">
      <c r="A78" s="166">
        <v>6</v>
      </c>
      <c r="B78" s="168" t="s">
        <v>23</v>
      </c>
      <c r="C78" s="196">
        <v>5</v>
      </c>
      <c r="D78" s="196">
        <v>0</v>
      </c>
      <c r="E78" s="196">
        <v>0</v>
      </c>
      <c r="F78" s="196">
        <v>0</v>
      </c>
      <c r="G78" s="196">
        <v>0</v>
      </c>
      <c r="H78" s="196">
        <v>0</v>
      </c>
      <c r="I78" s="196">
        <v>0</v>
      </c>
      <c r="J78" s="196">
        <v>0</v>
      </c>
      <c r="K78" s="196">
        <v>0</v>
      </c>
      <c r="L78" s="196">
        <v>0</v>
      </c>
      <c r="M78" s="196">
        <v>0</v>
      </c>
      <c r="N78" s="196">
        <v>0</v>
      </c>
      <c r="O78" s="196">
        <v>0</v>
      </c>
      <c r="P78" s="196">
        <f t="shared" si="33"/>
        <v>0</v>
      </c>
      <c r="Q78" s="201">
        <f t="shared" si="33"/>
        <v>0</v>
      </c>
      <c r="R78" s="187"/>
      <c r="S78" s="187"/>
      <c r="T78" s="187"/>
    </row>
    <row r="79" spans="1:23" x14ac:dyDescent="0.25">
      <c r="A79" s="166">
        <v>7</v>
      </c>
      <c r="B79" s="168" t="s">
        <v>24</v>
      </c>
      <c r="C79" s="196">
        <v>38</v>
      </c>
      <c r="D79" s="196">
        <v>0</v>
      </c>
      <c r="E79" s="196">
        <v>0</v>
      </c>
      <c r="F79" s="196">
        <v>0</v>
      </c>
      <c r="G79" s="196">
        <v>0</v>
      </c>
      <c r="H79" s="196">
        <v>0</v>
      </c>
      <c r="I79" s="196">
        <v>0</v>
      </c>
      <c r="J79" s="196">
        <v>0</v>
      </c>
      <c r="K79" s="196">
        <v>0</v>
      </c>
      <c r="L79" s="196">
        <v>0</v>
      </c>
      <c r="M79" s="196">
        <v>0</v>
      </c>
      <c r="N79" s="196">
        <v>0</v>
      </c>
      <c r="O79" s="196">
        <v>0</v>
      </c>
      <c r="P79" s="196">
        <f t="shared" si="33"/>
        <v>0</v>
      </c>
      <c r="Q79" s="201">
        <f t="shared" si="33"/>
        <v>0</v>
      </c>
      <c r="R79" s="187"/>
      <c r="S79" s="187"/>
      <c r="T79" s="187"/>
    </row>
    <row r="80" spans="1:23" ht="15.75" thickBot="1" x14ac:dyDescent="0.3">
      <c r="A80" s="169">
        <v>8</v>
      </c>
      <c r="B80" s="167" t="s">
        <v>25</v>
      </c>
      <c r="C80" s="197">
        <v>0</v>
      </c>
      <c r="D80" s="197">
        <v>0</v>
      </c>
      <c r="E80" s="197">
        <v>0</v>
      </c>
      <c r="F80" s="197">
        <v>0</v>
      </c>
      <c r="G80" s="197">
        <v>0</v>
      </c>
      <c r="H80" s="197">
        <v>0</v>
      </c>
      <c r="I80" s="197">
        <v>0</v>
      </c>
      <c r="J80" s="197">
        <v>0</v>
      </c>
      <c r="K80" s="197">
        <v>0</v>
      </c>
      <c r="L80" s="197">
        <v>0</v>
      </c>
      <c r="M80" s="197">
        <v>0</v>
      </c>
      <c r="N80" s="197">
        <v>0</v>
      </c>
      <c r="O80" s="197">
        <v>0</v>
      </c>
      <c r="P80" s="195">
        <f t="shared" si="33"/>
        <v>0</v>
      </c>
      <c r="Q80" s="200">
        <f t="shared" si="33"/>
        <v>0</v>
      </c>
      <c r="R80" s="187"/>
      <c r="S80" s="187"/>
      <c r="T80" s="187"/>
    </row>
    <row r="81" spans="1:21" ht="16.5" thickTop="1" thickBot="1" x14ac:dyDescent="0.3">
      <c r="A81" s="392" t="s">
        <v>26</v>
      </c>
      <c r="B81" s="393"/>
      <c r="C81" s="198">
        <f>SUM(C73:C80)</f>
        <v>2019</v>
      </c>
      <c r="D81" s="198">
        <f t="shared" ref="D81:P81" si="34">SUM(D73:D80)</f>
        <v>40</v>
      </c>
      <c r="E81" s="198">
        <f t="shared" si="34"/>
        <v>0</v>
      </c>
      <c r="F81" s="198">
        <f t="shared" si="34"/>
        <v>0</v>
      </c>
      <c r="G81" s="198">
        <f t="shared" si="34"/>
        <v>4</v>
      </c>
      <c r="H81" s="198">
        <f t="shared" si="34"/>
        <v>0</v>
      </c>
      <c r="I81" s="198">
        <f t="shared" si="34"/>
        <v>24.175000000000001</v>
      </c>
      <c r="J81" s="198">
        <f t="shared" si="34"/>
        <v>0</v>
      </c>
      <c r="K81" s="198">
        <f t="shared" si="34"/>
        <v>17.28</v>
      </c>
      <c r="L81" s="198">
        <f t="shared" si="34"/>
        <v>0</v>
      </c>
      <c r="M81" s="198">
        <f t="shared" si="34"/>
        <v>0</v>
      </c>
      <c r="N81" s="198">
        <f t="shared" si="34"/>
        <v>0</v>
      </c>
      <c r="O81" s="198">
        <f t="shared" si="34"/>
        <v>0</v>
      </c>
      <c r="P81" s="202">
        <f t="shared" si="34"/>
        <v>40</v>
      </c>
      <c r="Q81" s="203">
        <f>SUM(Q73:Q80)</f>
        <v>45.454999999999998</v>
      </c>
      <c r="R81" s="187"/>
      <c r="S81" s="187"/>
      <c r="T81" s="187"/>
    </row>
    <row r="82" spans="1:21" ht="15.75" thickBot="1" x14ac:dyDescent="0.3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 spans="1:21" ht="25.5" x14ac:dyDescent="0.25">
      <c r="A83" s="387" t="s">
        <v>2</v>
      </c>
      <c r="B83" s="389" t="s">
        <v>3</v>
      </c>
      <c r="C83" s="283" t="s">
        <v>93</v>
      </c>
      <c r="D83" s="391" t="s">
        <v>104</v>
      </c>
      <c r="E83" s="391"/>
      <c r="F83" s="391"/>
      <c r="G83" s="391"/>
      <c r="H83" s="391"/>
      <c r="I83" s="391"/>
      <c r="J83" s="391"/>
      <c r="K83" s="391"/>
      <c r="L83" s="391"/>
      <c r="M83" s="391"/>
      <c r="N83" s="391"/>
      <c r="O83" s="391"/>
      <c r="P83" s="394" t="s">
        <v>105</v>
      </c>
      <c r="Q83" s="394"/>
      <c r="R83" s="401" t="s">
        <v>106</v>
      </c>
      <c r="S83" s="399"/>
      <c r="T83" s="295"/>
    </row>
    <row r="84" spans="1:21" x14ac:dyDescent="0.25">
      <c r="A84" s="388"/>
      <c r="B84" s="390"/>
      <c r="C84" s="189" t="s">
        <v>112</v>
      </c>
      <c r="D84" s="395" t="s">
        <v>79</v>
      </c>
      <c r="E84" s="395"/>
      <c r="F84" s="395" t="s">
        <v>10</v>
      </c>
      <c r="G84" s="395"/>
      <c r="H84" s="395" t="s">
        <v>11</v>
      </c>
      <c r="I84" s="395"/>
      <c r="J84" s="395" t="s">
        <v>12</v>
      </c>
      <c r="K84" s="395"/>
      <c r="L84" s="395" t="s">
        <v>102</v>
      </c>
      <c r="M84" s="395"/>
      <c r="N84" s="395" t="s">
        <v>103</v>
      </c>
      <c r="O84" s="395"/>
      <c r="P84" s="395"/>
      <c r="Q84" s="395"/>
      <c r="R84" s="402"/>
      <c r="S84" s="400"/>
      <c r="T84" s="295"/>
    </row>
    <row r="85" spans="1:21" x14ac:dyDescent="0.25">
      <c r="A85" s="388"/>
      <c r="B85" s="390"/>
      <c r="C85" s="284" t="s">
        <v>1</v>
      </c>
      <c r="D85" s="174" t="s">
        <v>95</v>
      </c>
      <c r="E85" s="174" t="s">
        <v>88</v>
      </c>
      <c r="F85" s="174" t="s">
        <v>95</v>
      </c>
      <c r="G85" s="174" t="s">
        <v>88</v>
      </c>
      <c r="H85" s="174" t="s">
        <v>95</v>
      </c>
      <c r="I85" s="174" t="s">
        <v>88</v>
      </c>
      <c r="J85" s="174" t="s">
        <v>95</v>
      </c>
      <c r="K85" s="174" t="s">
        <v>88</v>
      </c>
      <c r="L85" s="174" t="s">
        <v>95</v>
      </c>
      <c r="M85" s="174" t="s">
        <v>88</v>
      </c>
      <c r="N85" s="174" t="s">
        <v>95</v>
      </c>
      <c r="O85" s="174" t="s">
        <v>88</v>
      </c>
      <c r="P85" s="174" t="s">
        <v>95</v>
      </c>
      <c r="Q85" s="174" t="s">
        <v>88</v>
      </c>
      <c r="R85" s="174" t="s">
        <v>95</v>
      </c>
      <c r="S85" s="190" t="s">
        <v>88</v>
      </c>
      <c r="T85" s="296"/>
    </row>
    <row r="86" spans="1:21" ht="15.75" thickBot="1" x14ac:dyDescent="0.3">
      <c r="A86" s="160">
        <v>1</v>
      </c>
      <c r="B86" s="161">
        <v>2</v>
      </c>
      <c r="C86" s="281">
        <v>3</v>
      </c>
      <c r="D86" s="396">
        <v>11</v>
      </c>
      <c r="E86" s="396"/>
      <c r="F86" s="396">
        <v>12</v>
      </c>
      <c r="G86" s="396"/>
      <c r="H86" s="396">
        <v>13</v>
      </c>
      <c r="I86" s="396"/>
      <c r="J86" s="396">
        <v>14</v>
      </c>
      <c r="K86" s="396"/>
      <c r="L86" s="396">
        <v>15</v>
      </c>
      <c r="M86" s="396"/>
      <c r="N86" s="396">
        <v>16</v>
      </c>
      <c r="O86" s="396"/>
      <c r="P86" s="396">
        <v>17</v>
      </c>
      <c r="Q86" s="396"/>
      <c r="R86" s="396">
        <v>18</v>
      </c>
      <c r="S86" s="406"/>
      <c r="T86" s="297"/>
    </row>
    <row r="87" spans="1:21" ht="15.75" thickTop="1" x14ac:dyDescent="0.25">
      <c r="A87" s="162">
        <v>1</v>
      </c>
      <c r="B87" s="163" t="s">
        <v>18</v>
      </c>
      <c r="C87" s="195">
        <v>1512</v>
      </c>
      <c r="D87" s="195">
        <v>0</v>
      </c>
      <c r="E87" s="195">
        <v>0</v>
      </c>
      <c r="F87" s="195">
        <v>0</v>
      </c>
      <c r="G87" s="195">
        <v>0</v>
      </c>
      <c r="H87" s="195">
        <v>0</v>
      </c>
      <c r="I87" s="195"/>
      <c r="J87" s="195">
        <v>0</v>
      </c>
      <c r="K87" s="195"/>
      <c r="L87" s="195">
        <v>0</v>
      </c>
      <c r="M87" s="195"/>
      <c r="N87" s="195">
        <v>0</v>
      </c>
      <c r="O87" s="195"/>
      <c r="P87" s="195">
        <f>SUM(D87,F87,H87,J87,L87,N87)</f>
        <v>0</v>
      </c>
      <c r="Q87" s="195"/>
      <c r="R87" s="195">
        <f>SUM(P73,P87)</f>
        <v>0</v>
      </c>
      <c r="S87" s="200">
        <f>SUM(Q73,Q87)</f>
        <v>0</v>
      </c>
      <c r="T87" s="298"/>
    </row>
    <row r="88" spans="1:21" x14ac:dyDescent="0.25">
      <c r="A88" s="164">
        <v>2</v>
      </c>
      <c r="B88" s="165" t="s">
        <v>19</v>
      </c>
      <c r="C88" s="196">
        <v>35</v>
      </c>
      <c r="D88" s="196">
        <v>0</v>
      </c>
      <c r="E88" s="196">
        <v>0</v>
      </c>
      <c r="F88" s="196">
        <v>0</v>
      </c>
      <c r="G88" s="196">
        <v>0</v>
      </c>
      <c r="H88" s="196">
        <v>0</v>
      </c>
      <c r="I88" s="196"/>
      <c r="J88" s="196">
        <v>0</v>
      </c>
      <c r="K88" s="196"/>
      <c r="L88" s="196">
        <v>0</v>
      </c>
      <c r="M88" s="196"/>
      <c r="N88" s="196">
        <v>0</v>
      </c>
      <c r="O88" s="196"/>
      <c r="P88" s="196">
        <f t="shared" ref="P88:P94" si="35">SUM(D88,F88,H88,J88,L88,N88)</f>
        <v>0</v>
      </c>
      <c r="Q88" s="196"/>
      <c r="R88" s="196">
        <f t="shared" ref="R88:S94" si="36">SUM(P74,P88)</f>
        <v>0</v>
      </c>
      <c r="S88" s="201">
        <f t="shared" si="36"/>
        <v>0</v>
      </c>
      <c r="T88" s="298"/>
    </row>
    <row r="89" spans="1:21" x14ac:dyDescent="0.25">
      <c r="A89" s="164">
        <v>3</v>
      </c>
      <c r="B89" s="163" t="s">
        <v>20</v>
      </c>
      <c r="C89" s="196">
        <v>250</v>
      </c>
      <c r="D89" s="196">
        <v>0</v>
      </c>
      <c r="E89" s="196">
        <v>0</v>
      </c>
      <c r="F89" s="196">
        <v>0</v>
      </c>
      <c r="G89" s="196">
        <v>0</v>
      </c>
      <c r="H89" s="196">
        <v>0</v>
      </c>
      <c r="I89" s="196"/>
      <c r="J89" s="196">
        <v>0</v>
      </c>
      <c r="K89" s="196"/>
      <c r="L89" s="196">
        <v>0</v>
      </c>
      <c r="M89" s="196"/>
      <c r="N89" s="196">
        <v>0</v>
      </c>
      <c r="O89" s="196"/>
      <c r="P89" s="196">
        <f t="shared" si="35"/>
        <v>0</v>
      </c>
      <c r="Q89" s="196"/>
      <c r="R89" s="196">
        <f t="shared" si="36"/>
        <v>40</v>
      </c>
      <c r="S89" s="201">
        <f t="shared" si="36"/>
        <v>45.454999999999998</v>
      </c>
      <c r="T89" s="298"/>
    </row>
    <row r="90" spans="1:21" x14ac:dyDescent="0.25">
      <c r="A90" s="166">
        <v>4</v>
      </c>
      <c r="B90" s="167" t="s">
        <v>21</v>
      </c>
      <c r="C90" s="196">
        <v>0</v>
      </c>
      <c r="D90" s="196">
        <v>0</v>
      </c>
      <c r="E90" s="196">
        <v>0</v>
      </c>
      <c r="F90" s="196">
        <v>0</v>
      </c>
      <c r="G90" s="196">
        <v>0</v>
      </c>
      <c r="H90" s="196">
        <v>0</v>
      </c>
      <c r="I90" s="196"/>
      <c r="J90" s="196">
        <v>0</v>
      </c>
      <c r="K90" s="196"/>
      <c r="L90" s="196">
        <v>0</v>
      </c>
      <c r="M90" s="196"/>
      <c r="N90" s="196">
        <v>0</v>
      </c>
      <c r="O90" s="196"/>
      <c r="P90" s="196">
        <f t="shared" si="35"/>
        <v>0</v>
      </c>
      <c r="Q90" s="196"/>
      <c r="R90" s="196">
        <f t="shared" si="36"/>
        <v>0</v>
      </c>
      <c r="S90" s="201">
        <f t="shared" si="36"/>
        <v>0</v>
      </c>
      <c r="T90" s="298"/>
    </row>
    <row r="91" spans="1:21" x14ac:dyDescent="0.25">
      <c r="A91" s="166">
        <v>5</v>
      </c>
      <c r="B91" s="168" t="s">
        <v>22</v>
      </c>
      <c r="C91" s="196">
        <v>179</v>
      </c>
      <c r="D91" s="196">
        <v>0</v>
      </c>
      <c r="E91" s="196">
        <v>0</v>
      </c>
      <c r="F91" s="196">
        <v>0</v>
      </c>
      <c r="G91" s="196">
        <v>0</v>
      </c>
      <c r="H91" s="196">
        <v>0</v>
      </c>
      <c r="I91" s="196"/>
      <c r="J91" s="196">
        <v>0</v>
      </c>
      <c r="K91" s="196"/>
      <c r="L91" s="196">
        <v>0</v>
      </c>
      <c r="M91" s="196"/>
      <c r="N91" s="196">
        <v>0</v>
      </c>
      <c r="O91" s="196"/>
      <c r="P91" s="196">
        <f t="shared" si="35"/>
        <v>0</v>
      </c>
      <c r="Q91" s="196"/>
      <c r="R91" s="196">
        <f t="shared" si="36"/>
        <v>0</v>
      </c>
      <c r="S91" s="201">
        <f t="shared" si="36"/>
        <v>0</v>
      </c>
      <c r="T91" s="298"/>
    </row>
    <row r="92" spans="1:21" x14ac:dyDescent="0.25">
      <c r="A92" s="166">
        <v>6</v>
      </c>
      <c r="B92" s="168" t="s">
        <v>23</v>
      </c>
      <c r="C92" s="196">
        <v>5</v>
      </c>
      <c r="D92" s="196">
        <v>0</v>
      </c>
      <c r="E92" s="196">
        <v>0</v>
      </c>
      <c r="F92" s="196">
        <v>0</v>
      </c>
      <c r="G92" s="196">
        <v>0</v>
      </c>
      <c r="H92" s="196">
        <v>0</v>
      </c>
      <c r="I92" s="196"/>
      <c r="J92" s="196">
        <v>0</v>
      </c>
      <c r="K92" s="196"/>
      <c r="L92" s="196">
        <v>0</v>
      </c>
      <c r="M92" s="196"/>
      <c r="N92" s="196">
        <v>0</v>
      </c>
      <c r="O92" s="196"/>
      <c r="P92" s="196">
        <f t="shared" si="35"/>
        <v>0</v>
      </c>
      <c r="Q92" s="196"/>
      <c r="R92" s="196">
        <f t="shared" si="36"/>
        <v>0</v>
      </c>
      <c r="S92" s="201">
        <f t="shared" si="36"/>
        <v>0</v>
      </c>
      <c r="T92" s="298"/>
    </row>
    <row r="93" spans="1:21" x14ac:dyDescent="0.25">
      <c r="A93" s="166">
        <v>7</v>
      </c>
      <c r="B93" s="168" t="s">
        <v>24</v>
      </c>
      <c r="C93" s="196">
        <v>38</v>
      </c>
      <c r="D93" s="196">
        <v>0</v>
      </c>
      <c r="E93" s="196">
        <v>0</v>
      </c>
      <c r="F93" s="196">
        <v>0</v>
      </c>
      <c r="G93" s="196">
        <v>0</v>
      </c>
      <c r="H93" s="196">
        <v>0</v>
      </c>
      <c r="I93" s="196"/>
      <c r="J93" s="196">
        <v>0</v>
      </c>
      <c r="K93" s="196"/>
      <c r="L93" s="196">
        <v>0</v>
      </c>
      <c r="M93" s="196"/>
      <c r="N93" s="196">
        <v>0</v>
      </c>
      <c r="O93" s="196"/>
      <c r="P93" s="196">
        <f t="shared" si="35"/>
        <v>0</v>
      </c>
      <c r="Q93" s="196"/>
      <c r="R93" s="196">
        <f t="shared" si="36"/>
        <v>0</v>
      </c>
      <c r="S93" s="201">
        <f t="shared" si="36"/>
        <v>0</v>
      </c>
      <c r="T93" s="298"/>
    </row>
    <row r="94" spans="1:21" ht="15.75" thickBot="1" x14ac:dyDescent="0.3">
      <c r="A94" s="169">
        <v>8</v>
      </c>
      <c r="B94" s="167" t="s">
        <v>25</v>
      </c>
      <c r="C94" s="197">
        <v>0</v>
      </c>
      <c r="D94" s="197">
        <v>0</v>
      </c>
      <c r="E94" s="199">
        <v>0</v>
      </c>
      <c r="F94" s="197">
        <v>0</v>
      </c>
      <c r="G94" s="199">
        <v>0</v>
      </c>
      <c r="H94" s="197">
        <v>0</v>
      </c>
      <c r="I94" s="199"/>
      <c r="J94" s="199">
        <v>0</v>
      </c>
      <c r="K94" s="199"/>
      <c r="L94" s="199">
        <v>0</v>
      </c>
      <c r="M94" s="199"/>
      <c r="N94" s="197">
        <v>0</v>
      </c>
      <c r="O94" s="199"/>
      <c r="P94" s="195">
        <f t="shared" si="35"/>
        <v>0</v>
      </c>
      <c r="Q94" s="195"/>
      <c r="R94" s="195">
        <f t="shared" si="36"/>
        <v>0</v>
      </c>
      <c r="S94" s="200">
        <f t="shared" si="36"/>
        <v>0</v>
      </c>
      <c r="T94" s="298"/>
    </row>
    <row r="95" spans="1:21" ht="16.5" thickTop="1" thickBot="1" x14ac:dyDescent="0.3">
      <c r="A95" s="392" t="s">
        <v>26</v>
      </c>
      <c r="B95" s="393"/>
      <c r="C95" s="198">
        <f>SUM(C87:C94)</f>
        <v>2019</v>
      </c>
      <c r="D95" s="198">
        <f t="shared" ref="D95:R95" si="37">SUM(D87:D94)</f>
        <v>0</v>
      </c>
      <c r="E95" s="198">
        <f t="shared" si="37"/>
        <v>0</v>
      </c>
      <c r="F95" s="198">
        <f t="shared" si="37"/>
        <v>0</v>
      </c>
      <c r="G95" s="198">
        <f t="shared" si="37"/>
        <v>0</v>
      </c>
      <c r="H95" s="198">
        <f t="shared" si="37"/>
        <v>0</v>
      </c>
      <c r="I95" s="198">
        <f t="shared" si="37"/>
        <v>0</v>
      </c>
      <c r="J95" s="198">
        <f t="shared" si="37"/>
        <v>0</v>
      </c>
      <c r="K95" s="198">
        <f t="shared" si="37"/>
        <v>0</v>
      </c>
      <c r="L95" s="198">
        <f t="shared" si="37"/>
        <v>0</v>
      </c>
      <c r="M95" s="198">
        <f t="shared" si="37"/>
        <v>0</v>
      </c>
      <c r="N95" s="198">
        <f t="shared" si="37"/>
        <v>0</v>
      </c>
      <c r="O95" s="198">
        <f t="shared" si="37"/>
        <v>0</v>
      </c>
      <c r="P95" s="202">
        <f t="shared" si="37"/>
        <v>0</v>
      </c>
      <c r="Q95" s="202">
        <f t="shared" si="37"/>
        <v>0</v>
      </c>
      <c r="R95" s="202">
        <f t="shared" si="37"/>
        <v>40</v>
      </c>
      <c r="S95" s="203">
        <f>SUM(S87:S94)</f>
        <v>45.454999999999998</v>
      </c>
      <c r="T95" s="299"/>
      <c r="U95" s="274">
        <f>S95/R95*100</f>
        <v>113.63749999999999</v>
      </c>
    </row>
    <row r="98" spans="1:26" ht="15.75" x14ac:dyDescent="0.25">
      <c r="A98" s="380" t="s">
        <v>110</v>
      </c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280"/>
    </row>
    <row r="99" spans="1:26" ht="15.75" x14ac:dyDescent="0.25">
      <c r="A99" s="380" t="s">
        <v>82</v>
      </c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280"/>
    </row>
    <row r="100" spans="1:26" ht="15.75" thickBot="1" x14ac:dyDescent="0.3"/>
    <row r="101" spans="1:26" ht="25.5" x14ac:dyDescent="0.25">
      <c r="A101" s="387" t="s">
        <v>2</v>
      </c>
      <c r="B101" s="389" t="s">
        <v>3</v>
      </c>
      <c r="C101" s="283" t="s">
        <v>93</v>
      </c>
      <c r="D101" s="391" t="s">
        <v>94</v>
      </c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4" t="s">
        <v>83</v>
      </c>
      <c r="Q101" s="404"/>
      <c r="R101" s="187"/>
      <c r="S101" s="187"/>
      <c r="T101" s="187"/>
    </row>
    <row r="102" spans="1:26" ht="25.5" x14ac:dyDescent="0.25">
      <c r="A102" s="388"/>
      <c r="B102" s="390"/>
      <c r="C102" s="189" t="s">
        <v>101</v>
      </c>
      <c r="D102" s="395" t="s">
        <v>97</v>
      </c>
      <c r="E102" s="395"/>
      <c r="F102" s="395" t="s">
        <v>98</v>
      </c>
      <c r="G102" s="395"/>
      <c r="H102" s="395" t="s">
        <v>99</v>
      </c>
      <c r="I102" s="395"/>
      <c r="J102" s="395" t="s">
        <v>96</v>
      </c>
      <c r="K102" s="395"/>
      <c r="L102" s="395" t="s">
        <v>100</v>
      </c>
      <c r="M102" s="395"/>
      <c r="N102" s="395" t="s">
        <v>8</v>
      </c>
      <c r="O102" s="395"/>
      <c r="P102" s="395"/>
      <c r="Q102" s="405"/>
      <c r="R102" s="187"/>
      <c r="S102" s="187"/>
      <c r="T102" s="187"/>
    </row>
    <row r="103" spans="1:26" x14ac:dyDescent="0.25">
      <c r="A103" s="388"/>
      <c r="B103" s="390"/>
      <c r="C103" s="284" t="s">
        <v>1</v>
      </c>
      <c r="D103" s="174" t="s">
        <v>95</v>
      </c>
      <c r="E103" s="174" t="s">
        <v>88</v>
      </c>
      <c r="F103" s="174" t="s">
        <v>95</v>
      </c>
      <c r="G103" s="174" t="s">
        <v>88</v>
      </c>
      <c r="H103" s="174" t="s">
        <v>95</v>
      </c>
      <c r="I103" s="174" t="s">
        <v>88</v>
      </c>
      <c r="J103" s="174" t="s">
        <v>95</v>
      </c>
      <c r="K103" s="174" t="s">
        <v>88</v>
      </c>
      <c r="L103" s="174" t="s">
        <v>95</v>
      </c>
      <c r="M103" s="174" t="s">
        <v>88</v>
      </c>
      <c r="N103" s="174" t="s">
        <v>95</v>
      </c>
      <c r="O103" s="174" t="s">
        <v>88</v>
      </c>
      <c r="P103" s="174" t="s">
        <v>95</v>
      </c>
      <c r="Q103" s="190" t="s">
        <v>88</v>
      </c>
      <c r="R103" s="187"/>
      <c r="S103" s="187"/>
      <c r="T103" s="187"/>
    </row>
    <row r="104" spans="1:26" ht="15.75" thickBot="1" x14ac:dyDescent="0.3">
      <c r="A104" s="160">
        <v>1</v>
      </c>
      <c r="B104" s="161">
        <v>2</v>
      </c>
      <c r="C104" s="281">
        <v>3</v>
      </c>
      <c r="D104" s="396">
        <v>4</v>
      </c>
      <c r="E104" s="396"/>
      <c r="F104" s="396">
        <v>5</v>
      </c>
      <c r="G104" s="396"/>
      <c r="H104" s="396">
        <v>6</v>
      </c>
      <c r="I104" s="396"/>
      <c r="J104" s="396">
        <v>7</v>
      </c>
      <c r="K104" s="396"/>
      <c r="L104" s="396">
        <v>8</v>
      </c>
      <c r="M104" s="396"/>
      <c r="N104" s="396">
        <v>9</v>
      </c>
      <c r="O104" s="396"/>
      <c r="P104" s="396">
        <v>10</v>
      </c>
      <c r="Q104" s="406"/>
      <c r="R104" s="187"/>
      <c r="S104" s="187"/>
      <c r="T104" s="187"/>
    </row>
    <row r="105" spans="1:26" ht="15.75" thickTop="1" x14ac:dyDescent="0.25">
      <c r="A105" s="162">
        <v>1</v>
      </c>
      <c r="B105" s="163" t="s">
        <v>18</v>
      </c>
      <c r="C105" s="195">
        <v>1799</v>
      </c>
      <c r="D105" s="195">
        <v>0</v>
      </c>
      <c r="E105" s="195">
        <v>1</v>
      </c>
      <c r="F105" s="195">
        <v>0</v>
      </c>
      <c r="G105" s="195">
        <v>0</v>
      </c>
      <c r="H105" s="195">
        <v>0</v>
      </c>
      <c r="I105" s="195">
        <v>0</v>
      </c>
      <c r="J105" s="195">
        <v>0</v>
      </c>
      <c r="K105" s="195">
        <v>0</v>
      </c>
      <c r="L105" s="195">
        <v>0</v>
      </c>
      <c r="M105" s="195">
        <f>'okt-mar'!G55</f>
        <v>0</v>
      </c>
      <c r="N105" s="195">
        <v>4</v>
      </c>
      <c r="O105" s="195">
        <f>'okt-mar'!H55</f>
        <v>0</v>
      </c>
      <c r="P105" s="195">
        <f>SUM(D105,F105,H105,J105,L105,N105)</f>
        <v>4</v>
      </c>
      <c r="Q105" s="200">
        <f>SUM(E105,G105,I105,K105,M105,O105)</f>
        <v>1</v>
      </c>
      <c r="R105" s="187"/>
      <c r="S105" s="187"/>
      <c r="T105" s="187"/>
    </row>
    <row r="106" spans="1:26" x14ac:dyDescent="0.25">
      <c r="A106" s="164">
        <v>2</v>
      </c>
      <c r="B106" s="165" t="s">
        <v>19</v>
      </c>
      <c r="C106" s="196">
        <v>243</v>
      </c>
      <c r="D106" s="196">
        <v>0</v>
      </c>
      <c r="E106" s="196">
        <v>1</v>
      </c>
      <c r="F106" s="196">
        <v>0</v>
      </c>
      <c r="G106" s="196">
        <v>0</v>
      </c>
      <c r="H106" s="196">
        <v>0</v>
      </c>
      <c r="I106" s="196">
        <v>0</v>
      </c>
      <c r="J106" s="196">
        <v>0</v>
      </c>
      <c r="K106" s="196">
        <v>0</v>
      </c>
      <c r="L106" s="196">
        <v>1</v>
      </c>
      <c r="M106" s="196">
        <f>'okt-mar'!G56</f>
        <v>0</v>
      </c>
      <c r="N106" s="196">
        <v>0</v>
      </c>
      <c r="O106" s="196">
        <f>'okt-mar'!H56</f>
        <v>0</v>
      </c>
      <c r="P106" s="196">
        <f t="shared" ref="P106:Q112" si="38">SUM(D106,F106,H106,J106,L106,N106)</f>
        <v>1</v>
      </c>
      <c r="Q106" s="201">
        <f t="shared" si="38"/>
        <v>1</v>
      </c>
      <c r="R106" s="187"/>
      <c r="S106" s="187"/>
      <c r="T106" s="187"/>
      <c r="W106">
        <v>35</v>
      </c>
      <c r="X106">
        <f>W106*0.967</f>
        <v>33.844999999999999</v>
      </c>
      <c r="Y106">
        <v>15</v>
      </c>
      <c r="Z106">
        <f>Y106*0.96</f>
        <v>14.399999999999999</v>
      </c>
    </row>
    <row r="107" spans="1:26" x14ac:dyDescent="0.25">
      <c r="A107" s="164">
        <v>3</v>
      </c>
      <c r="B107" s="163" t="s">
        <v>20</v>
      </c>
      <c r="C107" s="196">
        <v>275</v>
      </c>
      <c r="D107" s="196">
        <v>0</v>
      </c>
      <c r="E107" s="196">
        <v>0</v>
      </c>
      <c r="F107" s="196">
        <v>3</v>
      </c>
      <c r="G107" s="196">
        <v>34</v>
      </c>
      <c r="H107" s="196">
        <v>2</v>
      </c>
      <c r="I107" s="196">
        <v>14</v>
      </c>
      <c r="J107" s="196">
        <v>0</v>
      </c>
      <c r="K107" s="196">
        <v>0</v>
      </c>
      <c r="L107" s="196">
        <v>0</v>
      </c>
      <c r="M107" s="196">
        <f>'okt-mar'!G57</f>
        <v>0</v>
      </c>
      <c r="N107" s="196">
        <v>0</v>
      </c>
      <c r="O107" s="196">
        <f>'okt-mar'!H57</f>
        <v>0</v>
      </c>
      <c r="P107" s="196">
        <f t="shared" si="38"/>
        <v>5</v>
      </c>
      <c r="Q107" s="201">
        <f t="shared" si="38"/>
        <v>48</v>
      </c>
      <c r="R107" s="187"/>
      <c r="S107" s="187"/>
      <c r="T107" s="187"/>
    </row>
    <row r="108" spans="1:26" x14ac:dyDescent="0.25">
      <c r="A108" s="166">
        <v>4</v>
      </c>
      <c r="B108" s="167" t="s">
        <v>21</v>
      </c>
      <c r="C108" s="196">
        <v>206</v>
      </c>
      <c r="D108" s="196">
        <v>0</v>
      </c>
      <c r="E108" s="196">
        <v>0</v>
      </c>
      <c r="F108" s="196">
        <v>0</v>
      </c>
      <c r="G108" s="196">
        <v>0</v>
      </c>
      <c r="H108" s="196">
        <v>0</v>
      </c>
      <c r="I108" s="196">
        <v>1</v>
      </c>
      <c r="J108" s="196">
        <v>2</v>
      </c>
      <c r="K108" s="196">
        <v>0</v>
      </c>
      <c r="L108" s="196">
        <v>0</v>
      </c>
      <c r="M108" s="196">
        <f>'okt-mar'!G58</f>
        <v>0</v>
      </c>
      <c r="N108" s="196">
        <v>0</v>
      </c>
      <c r="O108" s="196">
        <f>'okt-mar'!H58</f>
        <v>0</v>
      </c>
      <c r="P108" s="196">
        <f t="shared" si="38"/>
        <v>2</v>
      </c>
      <c r="Q108" s="201">
        <f t="shared" si="38"/>
        <v>1</v>
      </c>
      <c r="R108" s="187"/>
      <c r="S108" s="187"/>
      <c r="T108" s="187"/>
    </row>
    <row r="109" spans="1:26" x14ac:dyDescent="0.25">
      <c r="A109" s="166">
        <v>5</v>
      </c>
      <c r="B109" s="168" t="s">
        <v>22</v>
      </c>
      <c r="C109" s="196">
        <v>363</v>
      </c>
      <c r="D109" s="196">
        <v>0</v>
      </c>
      <c r="E109" s="196">
        <v>0</v>
      </c>
      <c r="F109" s="196">
        <v>0</v>
      </c>
      <c r="G109" s="196">
        <v>0</v>
      </c>
      <c r="H109" s="196">
        <v>1</v>
      </c>
      <c r="I109" s="196">
        <v>0</v>
      </c>
      <c r="J109" s="196">
        <v>1</v>
      </c>
      <c r="K109" s="196">
        <v>0</v>
      </c>
      <c r="L109" s="196">
        <v>0</v>
      </c>
      <c r="M109" s="196">
        <f>'okt-mar'!G59</f>
        <v>0</v>
      </c>
      <c r="N109" s="196">
        <v>0</v>
      </c>
      <c r="O109" s="196">
        <f>'okt-mar'!H59</f>
        <v>0</v>
      </c>
      <c r="P109" s="196">
        <f t="shared" si="38"/>
        <v>2</v>
      </c>
      <c r="Q109" s="201">
        <f t="shared" si="38"/>
        <v>0</v>
      </c>
      <c r="R109" s="187"/>
      <c r="S109" s="187"/>
      <c r="T109" s="187"/>
    </row>
    <row r="110" spans="1:26" x14ac:dyDescent="0.25">
      <c r="A110" s="166">
        <v>6</v>
      </c>
      <c r="B110" s="168" t="s">
        <v>23</v>
      </c>
      <c r="C110" s="196">
        <v>59</v>
      </c>
      <c r="D110" s="196">
        <v>0</v>
      </c>
      <c r="E110" s="196">
        <v>0</v>
      </c>
      <c r="F110" s="196">
        <v>0</v>
      </c>
      <c r="G110" s="196">
        <v>0</v>
      </c>
      <c r="H110" s="196">
        <v>0</v>
      </c>
      <c r="I110" s="196">
        <v>0</v>
      </c>
      <c r="J110" s="196">
        <v>0</v>
      </c>
      <c r="K110" s="196">
        <v>0</v>
      </c>
      <c r="L110" s="196">
        <v>0</v>
      </c>
      <c r="M110" s="196">
        <f>'okt-mar'!G60</f>
        <v>0</v>
      </c>
      <c r="N110" s="196">
        <v>0</v>
      </c>
      <c r="O110" s="196">
        <f>'okt-mar'!H60</f>
        <v>0</v>
      </c>
      <c r="P110" s="196">
        <f t="shared" si="38"/>
        <v>0</v>
      </c>
      <c r="Q110" s="201">
        <f t="shared" si="38"/>
        <v>0</v>
      </c>
      <c r="R110" s="187"/>
      <c r="S110" s="187"/>
      <c r="T110" s="187"/>
    </row>
    <row r="111" spans="1:26" x14ac:dyDescent="0.25">
      <c r="A111" s="166">
        <v>7</v>
      </c>
      <c r="B111" s="168" t="s">
        <v>24</v>
      </c>
      <c r="C111" s="196">
        <v>405</v>
      </c>
      <c r="D111" s="196">
        <v>0</v>
      </c>
      <c r="E111" s="196">
        <v>0</v>
      </c>
      <c r="F111" s="196">
        <v>0</v>
      </c>
      <c r="G111" s="196">
        <v>0</v>
      </c>
      <c r="H111" s="196">
        <v>0</v>
      </c>
      <c r="I111" s="196">
        <v>0</v>
      </c>
      <c r="J111" s="196">
        <v>0</v>
      </c>
      <c r="K111" s="196">
        <v>0</v>
      </c>
      <c r="L111" s="196">
        <v>0</v>
      </c>
      <c r="M111" s="196">
        <f>'okt-mar'!G61</f>
        <v>0</v>
      </c>
      <c r="N111" s="196">
        <v>0</v>
      </c>
      <c r="O111" s="196">
        <f>'okt-mar'!H61</f>
        <v>0</v>
      </c>
      <c r="P111" s="196">
        <f t="shared" si="38"/>
        <v>0</v>
      </c>
      <c r="Q111" s="201">
        <f t="shared" si="38"/>
        <v>0</v>
      </c>
      <c r="R111" s="187"/>
      <c r="S111" s="187"/>
      <c r="T111" s="187"/>
    </row>
    <row r="112" spans="1:26" ht="15.75" thickBot="1" x14ac:dyDescent="0.3">
      <c r="A112" s="169">
        <v>8</v>
      </c>
      <c r="B112" s="167" t="s">
        <v>25</v>
      </c>
      <c r="C112" s="197">
        <v>280</v>
      </c>
      <c r="D112" s="197">
        <v>0</v>
      </c>
      <c r="E112" s="197">
        <v>1</v>
      </c>
      <c r="F112" s="197">
        <v>0</v>
      </c>
      <c r="G112" s="197">
        <v>1</v>
      </c>
      <c r="H112" s="197">
        <v>3</v>
      </c>
      <c r="I112" s="197">
        <v>0</v>
      </c>
      <c r="J112" s="197">
        <v>0</v>
      </c>
      <c r="K112" s="197">
        <v>0</v>
      </c>
      <c r="L112" s="197">
        <v>0</v>
      </c>
      <c r="M112" s="197">
        <f>'okt-mar'!G62</f>
        <v>1</v>
      </c>
      <c r="N112" s="197">
        <v>0</v>
      </c>
      <c r="O112" s="197">
        <f>'okt-mar'!H62</f>
        <v>0</v>
      </c>
      <c r="P112" s="195">
        <f t="shared" si="38"/>
        <v>3</v>
      </c>
      <c r="Q112" s="200">
        <f t="shared" si="38"/>
        <v>3</v>
      </c>
      <c r="R112" s="187"/>
      <c r="S112" s="187"/>
      <c r="T112" s="187"/>
    </row>
    <row r="113" spans="1:21" ht="16.5" thickTop="1" thickBot="1" x14ac:dyDescent="0.3">
      <c r="A113" s="392" t="s">
        <v>26</v>
      </c>
      <c r="B113" s="393"/>
      <c r="C113" s="198">
        <f>SUM(C105:C112)</f>
        <v>3630</v>
      </c>
      <c r="D113" s="198">
        <f t="shared" ref="D113:P113" si="39">SUM(D105:D112)</f>
        <v>0</v>
      </c>
      <c r="E113" s="198">
        <f t="shared" si="39"/>
        <v>3</v>
      </c>
      <c r="F113" s="198">
        <f t="shared" si="39"/>
        <v>3</v>
      </c>
      <c r="G113" s="198">
        <f t="shared" si="39"/>
        <v>35</v>
      </c>
      <c r="H113" s="198">
        <f t="shared" si="39"/>
        <v>6</v>
      </c>
      <c r="I113" s="198">
        <f t="shared" si="39"/>
        <v>15</v>
      </c>
      <c r="J113" s="198">
        <f t="shared" si="39"/>
        <v>3</v>
      </c>
      <c r="K113" s="198">
        <f t="shared" si="39"/>
        <v>0</v>
      </c>
      <c r="L113" s="198">
        <f t="shared" si="39"/>
        <v>1</v>
      </c>
      <c r="M113" s="198">
        <f t="shared" si="39"/>
        <v>1</v>
      </c>
      <c r="N113" s="198">
        <f t="shared" si="39"/>
        <v>4</v>
      </c>
      <c r="O113" s="198">
        <f t="shared" si="39"/>
        <v>0</v>
      </c>
      <c r="P113" s="202">
        <f t="shared" si="39"/>
        <v>17</v>
      </c>
      <c r="Q113" s="203">
        <f>SUM(Q105:Q112)</f>
        <v>54</v>
      </c>
      <c r="R113" s="187"/>
      <c r="S113" s="187"/>
      <c r="T113" s="187"/>
    </row>
    <row r="114" spans="1:21" ht="15.75" thickBot="1" x14ac:dyDescent="0.3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 spans="1:21" ht="25.5" x14ac:dyDescent="0.25">
      <c r="A115" s="387" t="s">
        <v>2</v>
      </c>
      <c r="B115" s="389" t="s">
        <v>3</v>
      </c>
      <c r="C115" s="283" t="s">
        <v>93</v>
      </c>
      <c r="D115" s="391" t="s">
        <v>104</v>
      </c>
      <c r="E115" s="391"/>
      <c r="F115" s="391"/>
      <c r="G115" s="391"/>
      <c r="H115" s="391"/>
      <c r="I115" s="391"/>
      <c r="J115" s="391"/>
      <c r="K115" s="391"/>
      <c r="L115" s="391"/>
      <c r="M115" s="391"/>
      <c r="N115" s="391"/>
      <c r="O115" s="391"/>
      <c r="P115" s="394" t="s">
        <v>105</v>
      </c>
      <c r="Q115" s="394"/>
      <c r="R115" s="401" t="s">
        <v>106</v>
      </c>
      <c r="S115" s="399"/>
      <c r="T115" s="295"/>
    </row>
    <row r="116" spans="1:21" ht="25.5" x14ac:dyDescent="0.25">
      <c r="A116" s="388"/>
      <c r="B116" s="390"/>
      <c r="C116" s="189" t="s">
        <v>101</v>
      </c>
      <c r="D116" s="395" t="s">
        <v>79</v>
      </c>
      <c r="E116" s="395"/>
      <c r="F116" s="395" t="s">
        <v>10</v>
      </c>
      <c r="G116" s="395"/>
      <c r="H116" s="395" t="s">
        <v>11</v>
      </c>
      <c r="I116" s="395"/>
      <c r="J116" s="395" t="s">
        <v>12</v>
      </c>
      <c r="K116" s="395"/>
      <c r="L116" s="395" t="s">
        <v>102</v>
      </c>
      <c r="M116" s="395"/>
      <c r="N116" s="395" t="s">
        <v>103</v>
      </c>
      <c r="O116" s="395"/>
      <c r="P116" s="395"/>
      <c r="Q116" s="395"/>
      <c r="R116" s="402"/>
      <c r="S116" s="400"/>
      <c r="T116" s="295"/>
    </row>
    <row r="117" spans="1:21" x14ac:dyDescent="0.25">
      <c r="A117" s="388"/>
      <c r="B117" s="390"/>
      <c r="C117" s="284" t="s">
        <v>1</v>
      </c>
      <c r="D117" s="174" t="s">
        <v>95</v>
      </c>
      <c r="E117" s="174" t="s">
        <v>88</v>
      </c>
      <c r="F117" s="174" t="s">
        <v>95</v>
      </c>
      <c r="G117" s="174" t="s">
        <v>88</v>
      </c>
      <c r="H117" s="174" t="s">
        <v>95</v>
      </c>
      <c r="I117" s="174" t="s">
        <v>88</v>
      </c>
      <c r="J117" s="174" t="s">
        <v>95</v>
      </c>
      <c r="K117" s="174" t="s">
        <v>88</v>
      </c>
      <c r="L117" s="174" t="s">
        <v>95</v>
      </c>
      <c r="M117" s="174" t="s">
        <v>88</v>
      </c>
      <c r="N117" s="174" t="s">
        <v>95</v>
      </c>
      <c r="O117" s="174" t="s">
        <v>88</v>
      </c>
      <c r="P117" s="174" t="s">
        <v>95</v>
      </c>
      <c r="Q117" s="174" t="s">
        <v>88</v>
      </c>
      <c r="R117" s="174" t="s">
        <v>95</v>
      </c>
      <c r="S117" s="190" t="s">
        <v>88</v>
      </c>
      <c r="T117" s="296"/>
    </row>
    <row r="118" spans="1:21" ht="15.75" thickBot="1" x14ac:dyDescent="0.3">
      <c r="A118" s="160">
        <v>1</v>
      </c>
      <c r="B118" s="161">
        <v>2</v>
      </c>
      <c r="C118" s="281">
        <v>3</v>
      </c>
      <c r="D118" s="396">
        <v>11</v>
      </c>
      <c r="E118" s="396"/>
      <c r="F118" s="396">
        <v>12</v>
      </c>
      <c r="G118" s="396"/>
      <c r="H118" s="396">
        <v>13</v>
      </c>
      <c r="I118" s="396"/>
      <c r="J118" s="396">
        <v>14</v>
      </c>
      <c r="K118" s="396"/>
      <c r="L118" s="396">
        <v>15</v>
      </c>
      <c r="M118" s="396"/>
      <c r="N118" s="396">
        <v>16</v>
      </c>
      <c r="O118" s="396"/>
      <c r="P118" s="396">
        <v>17</v>
      </c>
      <c r="Q118" s="396"/>
      <c r="R118" s="396">
        <v>18</v>
      </c>
      <c r="S118" s="406"/>
      <c r="T118" s="297"/>
    </row>
    <row r="119" spans="1:21" ht="15.75" thickTop="1" x14ac:dyDescent="0.25">
      <c r="A119" s="162">
        <v>1</v>
      </c>
      <c r="B119" s="163" t="s">
        <v>18</v>
      </c>
      <c r="C119" s="195">
        <v>1799</v>
      </c>
      <c r="D119" s="195">
        <v>3</v>
      </c>
      <c r="E119" s="195">
        <f>'okt-mar'!J55</f>
        <v>0</v>
      </c>
      <c r="F119" s="195">
        <v>0</v>
      </c>
      <c r="G119" s="195">
        <v>0</v>
      </c>
      <c r="H119" s="195">
        <v>5</v>
      </c>
      <c r="I119" s="195"/>
      <c r="J119" s="195">
        <v>3</v>
      </c>
      <c r="K119" s="195"/>
      <c r="L119" s="195">
        <v>0</v>
      </c>
      <c r="M119" s="195"/>
      <c r="N119" s="195">
        <v>0</v>
      </c>
      <c r="O119" s="195"/>
      <c r="P119" s="195">
        <f>SUM(D119,F119,H119,J119,L119,N119)</f>
        <v>11</v>
      </c>
      <c r="Q119" s="195"/>
      <c r="R119" s="195">
        <f>SUM(P105,P119)</f>
        <v>15</v>
      </c>
      <c r="S119" s="200">
        <f>SUM(Q105,Q119)</f>
        <v>1</v>
      </c>
      <c r="T119" s="298"/>
    </row>
    <row r="120" spans="1:21" x14ac:dyDescent="0.25">
      <c r="A120" s="164">
        <v>2</v>
      </c>
      <c r="B120" s="165" t="s">
        <v>19</v>
      </c>
      <c r="C120" s="196">
        <v>243</v>
      </c>
      <c r="D120" s="196">
        <v>3</v>
      </c>
      <c r="E120" s="196">
        <f>'okt-mar'!J56</f>
        <v>0</v>
      </c>
      <c r="F120" s="196">
        <v>3</v>
      </c>
      <c r="G120" s="196">
        <v>0</v>
      </c>
      <c r="H120" s="196">
        <v>2</v>
      </c>
      <c r="I120" s="196"/>
      <c r="J120" s="196">
        <v>3</v>
      </c>
      <c r="K120" s="196"/>
      <c r="L120" s="196">
        <v>0</v>
      </c>
      <c r="M120" s="196"/>
      <c r="N120" s="196">
        <v>0</v>
      </c>
      <c r="O120" s="196"/>
      <c r="P120" s="196">
        <f t="shared" ref="P120:P126" si="40">SUM(D120,F120,H120,J120,L120,N120)</f>
        <v>11</v>
      </c>
      <c r="Q120" s="196"/>
      <c r="R120" s="196">
        <f t="shared" ref="R120:S126" si="41">SUM(P106,P120)</f>
        <v>12</v>
      </c>
      <c r="S120" s="201">
        <f t="shared" si="41"/>
        <v>1</v>
      </c>
      <c r="T120" s="298"/>
    </row>
    <row r="121" spans="1:21" x14ac:dyDescent="0.25">
      <c r="A121" s="164">
        <v>3</v>
      </c>
      <c r="B121" s="163" t="s">
        <v>20</v>
      </c>
      <c r="C121" s="196">
        <v>275</v>
      </c>
      <c r="D121" s="196">
        <v>7</v>
      </c>
      <c r="E121" s="196">
        <f>'okt-mar'!J57</f>
        <v>0</v>
      </c>
      <c r="F121" s="196">
        <v>0</v>
      </c>
      <c r="G121" s="196">
        <v>0</v>
      </c>
      <c r="H121" s="196">
        <v>4</v>
      </c>
      <c r="I121" s="196"/>
      <c r="J121" s="196">
        <v>2</v>
      </c>
      <c r="K121" s="196"/>
      <c r="L121" s="196">
        <v>0</v>
      </c>
      <c r="M121" s="196"/>
      <c r="N121" s="196">
        <v>0</v>
      </c>
      <c r="O121" s="196"/>
      <c r="P121" s="196">
        <f t="shared" si="40"/>
        <v>13</v>
      </c>
      <c r="Q121" s="196"/>
      <c r="R121" s="196">
        <f t="shared" si="41"/>
        <v>18</v>
      </c>
      <c r="S121" s="201">
        <f t="shared" si="41"/>
        <v>48</v>
      </c>
      <c r="T121" s="298"/>
    </row>
    <row r="122" spans="1:21" x14ac:dyDescent="0.25">
      <c r="A122" s="166">
        <v>4</v>
      </c>
      <c r="B122" s="167" t="s">
        <v>21</v>
      </c>
      <c r="C122" s="196">
        <v>206</v>
      </c>
      <c r="D122" s="196">
        <v>5</v>
      </c>
      <c r="E122" s="196">
        <f>'okt-mar'!J58</f>
        <v>0</v>
      </c>
      <c r="F122" s="196">
        <v>0</v>
      </c>
      <c r="G122" s="196">
        <v>0</v>
      </c>
      <c r="H122" s="196">
        <v>0</v>
      </c>
      <c r="I122" s="196"/>
      <c r="J122" s="196">
        <v>4</v>
      </c>
      <c r="K122" s="196"/>
      <c r="L122" s="196">
        <v>0</v>
      </c>
      <c r="M122" s="196"/>
      <c r="N122" s="196">
        <v>0</v>
      </c>
      <c r="O122" s="196"/>
      <c r="P122" s="196">
        <f t="shared" si="40"/>
        <v>9</v>
      </c>
      <c r="Q122" s="196"/>
      <c r="R122" s="196">
        <f t="shared" si="41"/>
        <v>11</v>
      </c>
      <c r="S122" s="201">
        <f t="shared" si="41"/>
        <v>1</v>
      </c>
      <c r="T122" s="298"/>
    </row>
    <row r="123" spans="1:21" x14ac:dyDescent="0.25">
      <c r="A123" s="166">
        <v>5</v>
      </c>
      <c r="B123" s="168" t="s">
        <v>22</v>
      </c>
      <c r="C123" s="196">
        <v>363</v>
      </c>
      <c r="D123" s="196">
        <v>6</v>
      </c>
      <c r="E123" s="196">
        <f>'okt-mar'!J59</f>
        <v>0</v>
      </c>
      <c r="F123" s="196">
        <v>0</v>
      </c>
      <c r="G123" s="196">
        <v>2</v>
      </c>
      <c r="H123" s="196">
        <v>4</v>
      </c>
      <c r="I123" s="196"/>
      <c r="J123" s="196">
        <v>1</v>
      </c>
      <c r="K123" s="196"/>
      <c r="L123" s="196">
        <v>0</v>
      </c>
      <c r="M123" s="196"/>
      <c r="N123" s="196">
        <v>0</v>
      </c>
      <c r="O123" s="196"/>
      <c r="P123" s="196">
        <f t="shared" si="40"/>
        <v>11</v>
      </c>
      <c r="Q123" s="196"/>
      <c r="R123" s="196">
        <f t="shared" si="41"/>
        <v>13</v>
      </c>
      <c r="S123" s="201">
        <f t="shared" si="41"/>
        <v>0</v>
      </c>
      <c r="T123" s="298"/>
    </row>
    <row r="124" spans="1:21" x14ac:dyDescent="0.25">
      <c r="A124" s="166">
        <v>6</v>
      </c>
      <c r="B124" s="168" t="s">
        <v>23</v>
      </c>
      <c r="C124" s="196">
        <v>59</v>
      </c>
      <c r="D124" s="196">
        <v>5</v>
      </c>
      <c r="E124" s="196">
        <f>'okt-mar'!J60</f>
        <v>0</v>
      </c>
      <c r="F124" s="196">
        <v>0</v>
      </c>
      <c r="G124" s="196">
        <v>0</v>
      </c>
      <c r="H124" s="196">
        <v>4</v>
      </c>
      <c r="I124" s="196"/>
      <c r="J124" s="196">
        <v>1</v>
      </c>
      <c r="K124" s="196"/>
      <c r="L124" s="196">
        <v>0</v>
      </c>
      <c r="M124" s="196"/>
      <c r="N124" s="196">
        <v>0</v>
      </c>
      <c r="O124" s="196"/>
      <c r="P124" s="196">
        <f t="shared" si="40"/>
        <v>10</v>
      </c>
      <c r="Q124" s="196"/>
      <c r="R124" s="196">
        <f t="shared" si="41"/>
        <v>10</v>
      </c>
      <c r="S124" s="201">
        <f t="shared" si="41"/>
        <v>0</v>
      </c>
      <c r="T124" s="298"/>
    </row>
    <row r="125" spans="1:21" x14ac:dyDescent="0.25">
      <c r="A125" s="166">
        <v>7</v>
      </c>
      <c r="B125" s="168" t="s">
        <v>24</v>
      </c>
      <c r="C125" s="196">
        <v>405</v>
      </c>
      <c r="D125" s="196">
        <v>4</v>
      </c>
      <c r="E125" s="196">
        <f>'okt-mar'!J61</f>
        <v>0</v>
      </c>
      <c r="F125" s="196">
        <v>0</v>
      </c>
      <c r="G125" s="196">
        <v>0</v>
      </c>
      <c r="H125" s="196">
        <v>4</v>
      </c>
      <c r="I125" s="196"/>
      <c r="J125" s="196">
        <v>0</v>
      </c>
      <c r="K125" s="196"/>
      <c r="L125" s="196">
        <v>0</v>
      </c>
      <c r="M125" s="196"/>
      <c r="N125" s="196">
        <v>0</v>
      </c>
      <c r="O125" s="196"/>
      <c r="P125" s="196">
        <f t="shared" si="40"/>
        <v>8</v>
      </c>
      <c r="Q125" s="196"/>
      <c r="R125" s="196">
        <f t="shared" si="41"/>
        <v>8</v>
      </c>
      <c r="S125" s="201">
        <f t="shared" si="41"/>
        <v>0</v>
      </c>
      <c r="T125" s="298"/>
    </row>
    <row r="126" spans="1:21" ht="15.75" thickBot="1" x14ac:dyDescent="0.3">
      <c r="A126" s="169">
        <v>8</v>
      </c>
      <c r="B126" s="167" t="s">
        <v>25</v>
      </c>
      <c r="C126" s="197">
        <v>280</v>
      </c>
      <c r="D126" s="199">
        <v>5</v>
      </c>
      <c r="E126" s="197">
        <f>'okt-mar'!J62</f>
        <v>0</v>
      </c>
      <c r="F126" s="199">
        <v>0</v>
      </c>
      <c r="G126" s="199">
        <v>1</v>
      </c>
      <c r="H126" s="199">
        <v>4</v>
      </c>
      <c r="I126" s="199"/>
      <c r="J126" s="199">
        <v>1</v>
      </c>
      <c r="K126" s="199"/>
      <c r="L126" s="199">
        <v>0</v>
      </c>
      <c r="M126" s="199"/>
      <c r="N126" s="199">
        <v>0</v>
      </c>
      <c r="O126" s="199"/>
      <c r="P126" s="195">
        <f t="shared" si="40"/>
        <v>10</v>
      </c>
      <c r="Q126" s="195"/>
      <c r="R126" s="195">
        <f t="shared" si="41"/>
        <v>13</v>
      </c>
      <c r="S126" s="200">
        <f t="shared" si="41"/>
        <v>3</v>
      </c>
      <c r="T126" s="298"/>
    </row>
    <row r="127" spans="1:21" ht="16.5" thickTop="1" thickBot="1" x14ac:dyDescent="0.3">
      <c r="A127" s="392" t="s">
        <v>26</v>
      </c>
      <c r="B127" s="393"/>
      <c r="C127" s="198">
        <f>SUM(C119:C126)</f>
        <v>3630</v>
      </c>
      <c r="D127" s="198">
        <f t="shared" ref="D127:R127" si="42">SUM(D119:D126)</f>
        <v>38</v>
      </c>
      <c r="E127" s="198">
        <f t="shared" si="42"/>
        <v>0</v>
      </c>
      <c r="F127" s="198">
        <f t="shared" si="42"/>
        <v>3</v>
      </c>
      <c r="G127" s="198">
        <f t="shared" si="42"/>
        <v>3</v>
      </c>
      <c r="H127" s="198">
        <f t="shared" si="42"/>
        <v>27</v>
      </c>
      <c r="I127" s="198">
        <f t="shared" si="42"/>
        <v>0</v>
      </c>
      <c r="J127" s="198">
        <f t="shared" si="42"/>
        <v>15</v>
      </c>
      <c r="K127" s="198">
        <f t="shared" si="42"/>
        <v>0</v>
      </c>
      <c r="L127" s="198">
        <f t="shared" si="42"/>
        <v>0</v>
      </c>
      <c r="M127" s="198">
        <f t="shared" si="42"/>
        <v>0</v>
      </c>
      <c r="N127" s="198">
        <f t="shared" si="42"/>
        <v>0</v>
      </c>
      <c r="O127" s="198">
        <f t="shared" si="42"/>
        <v>0</v>
      </c>
      <c r="P127" s="202">
        <f t="shared" si="42"/>
        <v>83</v>
      </c>
      <c r="Q127" s="202">
        <f t="shared" si="42"/>
        <v>0</v>
      </c>
      <c r="R127" s="202">
        <f t="shared" si="42"/>
        <v>100</v>
      </c>
      <c r="S127" s="203">
        <f>SUM(S119:S126)</f>
        <v>54</v>
      </c>
      <c r="T127" s="299"/>
      <c r="U127" s="274">
        <f>S127/R127*100</f>
        <v>54</v>
      </c>
    </row>
  </sheetData>
  <mergeCells count="160">
    <mergeCell ref="P118:Q118"/>
    <mergeCell ref="R118:S118"/>
    <mergeCell ref="A127:B127"/>
    <mergeCell ref="D118:E118"/>
    <mergeCell ref="F118:G118"/>
    <mergeCell ref="H118:I118"/>
    <mergeCell ref="J118:K118"/>
    <mergeCell ref="L118:M118"/>
    <mergeCell ref="N118:O118"/>
    <mergeCell ref="R115:S116"/>
    <mergeCell ref="D116:E116"/>
    <mergeCell ref="F116:G116"/>
    <mergeCell ref="H116:I116"/>
    <mergeCell ref="J116:K116"/>
    <mergeCell ref="L116:M116"/>
    <mergeCell ref="N116:O116"/>
    <mergeCell ref="N104:O104"/>
    <mergeCell ref="P104:Q104"/>
    <mergeCell ref="A113:B113"/>
    <mergeCell ref="A115:A117"/>
    <mergeCell ref="B115:B117"/>
    <mergeCell ref="D115:O115"/>
    <mergeCell ref="P115:Q116"/>
    <mergeCell ref="F102:G102"/>
    <mergeCell ref="H102:I102"/>
    <mergeCell ref="J102:K102"/>
    <mergeCell ref="L102:M102"/>
    <mergeCell ref="N102:O102"/>
    <mergeCell ref="D104:E104"/>
    <mergeCell ref="F104:G104"/>
    <mergeCell ref="H104:I104"/>
    <mergeCell ref="J104:K104"/>
    <mergeCell ref="L104:M104"/>
    <mergeCell ref="P86:Q86"/>
    <mergeCell ref="R86:S86"/>
    <mergeCell ref="A95:B95"/>
    <mergeCell ref="A98:S98"/>
    <mergeCell ref="A99:S99"/>
    <mergeCell ref="A101:A103"/>
    <mergeCell ref="B101:B103"/>
    <mergeCell ref="D101:O101"/>
    <mergeCell ref="P101:Q102"/>
    <mergeCell ref="D102:E102"/>
    <mergeCell ref="D86:E86"/>
    <mergeCell ref="F86:G86"/>
    <mergeCell ref="H86:I86"/>
    <mergeCell ref="J86:K86"/>
    <mergeCell ref="L86:M86"/>
    <mergeCell ref="N86:O86"/>
    <mergeCell ref="R83:S84"/>
    <mergeCell ref="D84:E84"/>
    <mergeCell ref="F84:G84"/>
    <mergeCell ref="H84:I84"/>
    <mergeCell ref="J84:K84"/>
    <mergeCell ref="L84:M84"/>
    <mergeCell ref="N84:O84"/>
    <mergeCell ref="N72:O72"/>
    <mergeCell ref="P72:Q72"/>
    <mergeCell ref="A81:B81"/>
    <mergeCell ref="A83:A85"/>
    <mergeCell ref="B83:B85"/>
    <mergeCell ref="D83:O83"/>
    <mergeCell ref="P83:Q84"/>
    <mergeCell ref="F70:G70"/>
    <mergeCell ref="H70:I70"/>
    <mergeCell ref="J70:K70"/>
    <mergeCell ref="L70:M70"/>
    <mergeCell ref="N70:O70"/>
    <mergeCell ref="D72:E72"/>
    <mergeCell ref="F72:G72"/>
    <mergeCell ref="H72:I72"/>
    <mergeCell ref="J72:K72"/>
    <mergeCell ref="L72:M72"/>
    <mergeCell ref="P54:Q54"/>
    <mergeCell ref="R54:S54"/>
    <mergeCell ref="A63:B63"/>
    <mergeCell ref="A66:S66"/>
    <mergeCell ref="A67:S67"/>
    <mergeCell ref="A69:A71"/>
    <mergeCell ref="B69:B71"/>
    <mergeCell ref="D69:O69"/>
    <mergeCell ref="P69:Q70"/>
    <mergeCell ref="D70:E70"/>
    <mergeCell ref="D54:E54"/>
    <mergeCell ref="F54:G54"/>
    <mergeCell ref="H54:I54"/>
    <mergeCell ref="J54:K54"/>
    <mergeCell ref="L54:M54"/>
    <mergeCell ref="N54:O54"/>
    <mergeCell ref="R51:S52"/>
    <mergeCell ref="D52:E52"/>
    <mergeCell ref="F52:G52"/>
    <mergeCell ref="H52:I52"/>
    <mergeCell ref="J52:K52"/>
    <mergeCell ref="L52:M52"/>
    <mergeCell ref="N52:O52"/>
    <mergeCell ref="N40:O40"/>
    <mergeCell ref="P40:Q40"/>
    <mergeCell ref="A49:B49"/>
    <mergeCell ref="A51:A53"/>
    <mergeCell ref="B51:B53"/>
    <mergeCell ref="D51:O51"/>
    <mergeCell ref="P51:Q52"/>
    <mergeCell ref="F38:G38"/>
    <mergeCell ref="H38:I38"/>
    <mergeCell ref="J38:K38"/>
    <mergeCell ref="L38:M38"/>
    <mergeCell ref="N38:O38"/>
    <mergeCell ref="D40:E40"/>
    <mergeCell ref="F40:G40"/>
    <mergeCell ref="H40:I40"/>
    <mergeCell ref="J40:K40"/>
    <mergeCell ref="L40:M40"/>
    <mergeCell ref="P21:Q21"/>
    <mergeCell ref="R21:S21"/>
    <mergeCell ref="A30:B30"/>
    <mergeCell ref="A34:S34"/>
    <mergeCell ref="A35:S35"/>
    <mergeCell ref="A37:A39"/>
    <mergeCell ref="B37:B39"/>
    <mergeCell ref="D37:O37"/>
    <mergeCell ref="P37:Q38"/>
    <mergeCell ref="D38:E38"/>
    <mergeCell ref="D21:E21"/>
    <mergeCell ref="F21:G21"/>
    <mergeCell ref="H21:I21"/>
    <mergeCell ref="J21:K21"/>
    <mergeCell ref="L21:M21"/>
    <mergeCell ref="N21:O21"/>
    <mergeCell ref="R18:S19"/>
    <mergeCell ref="D19:E19"/>
    <mergeCell ref="F19:G19"/>
    <mergeCell ref="H19:I19"/>
    <mergeCell ref="J19:K19"/>
    <mergeCell ref="L19:M19"/>
    <mergeCell ref="N19:O19"/>
    <mergeCell ref="P7:Q7"/>
    <mergeCell ref="A16:B16"/>
    <mergeCell ref="A18:A20"/>
    <mergeCell ref="B18:B20"/>
    <mergeCell ref="D18:O18"/>
    <mergeCell ref="P18:Q19"/>
    <mergeCell ref="L5:M5"/>
    <mergeCell ref="N5:O5"/>
    <mergeCell ref="D7:E7"/>
    <mergeCell ref="F7:G7"/>
    <mergeCell ref="H7:I7"/>
    <mergeCell ref="J7:K7"/>
    <mergeCell ref="L7:M7"/>
    <mergeCell ref="N7:O7"/>
    <mergeCell ref="A1:S1"/>
    <mergeCell ref="A2:S2"/>
    <mergeCell ref="A4:A6"/>
    <mergeCell ref="B4:B6"/>
    <mergeCell ref="D4:O4"/>
    <mergeCell ref="P4:Q5"/>
    <mergeCell ref="D5:E5"/>
    <mergeCell ref="F5:G5"/>
    <mergeCell ref="H5:I5"/>
    <mergeCell ref="J5:K5"/>
  </mergeCells>
  <pageMargins left="0.7" right="0.7" top="0.75" bottom="0.75" header="0.3" footer="0.3"/>
  <pageSetup paperSize="5" scale="95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"/>
  <sheetViews>
    <sheetView topLeftCell="A7" zoomScale="90" zoomScaleNormal="90" workbookViewId="0">
      <selection activeCell="S8" sqref="S8:S15"/>
    </sheetView>
  </sheetViews>
  <sheetFormatPr defaultRowHeight="15" x14ac:dyDescent="0.25"/>
  <cols>
    <col min="1" max="1" width="4.28515625" customWidth="1"/>
    <col min="2" max="2" width="14.28515625" customWidth="1"/>
    <col min="3" max="3" width="11.28515625" customWidth="1"/>
    <col min="4" max="19" width="8" customWidth="1"/>
    <col min="20" max="33" width="7.140625" customWidth="1"/>
  </cols>
  <sheetData>
    <row r="1" spans="1:26" ht="15.75" x14ac:dyDescent="0.25">
      <c r="A1" s="380" t="s">
        <v>107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</row>
    <row r="2" spans="1:26" ht="15.75" x14ac:dyDescent="0.25">
      <c r="A2" s="380" t="s">
        <v>82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spans="1:26" ht="15.75" thickBot="1" x14ac:dyDescent="0.3"/>
    <row r="4" spans="1:26" ht="25.5" x14ac:dyDescent="0.25">
      <c r="A4" s="387" t="s">
        <v>2</v>
      </c>
      <c r="B4" s="389" t="s">
        <v>3</v>
      </c>
      <c r="C4" s="188" t="s">
        <v>93</v>
      </c>
      <c r="D4" s="391" t="s">
        <v>94</v>
      </c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4" t="s">
        <v>83</v>
      </c>
      <c r="Q4" s="404"/>
      <c r="R4" s="187"/>
      <c r="S4" s="187"/>
    </row>
    <row r="5" spans="1:26" ht="25.5" x14ac:dyDescent="0.25">
      <c r="A5" s="388"/>
      <c r="B5" s="390"/>
      <c r="C5" s="189" t="s">
        <v>101</v>
      </c>
      <c r="D5" s="395" t="s">
        <v>97</v>
      </c>
      <c r="E5" s="395"/>
      <c r="F5" s="395" t="s">
        <v>98</v>
      </c>
      <c r="G5" s="395"/>
      <c r="H5" s="395" t="s">
        <v>99</v>
      </c>
      <c r="I5" s="395"/>
      <c r="J5" s="395" t="s">
        <v>96</v>
      </c>
      <c r="K5" s="395"/>
      <c r="L5" s="395" t="s">
        <v>100</v>
      </c>
      <c r="M5" s="395"/>
      <c r="N5" s="395" t="s">
        <v>8</v>
      </c>
      <c r="O5" s="395"/>
      <c r="P5" s="395"/>
      <c r="Q5" s="405"/>
      <c r="R5" s="187"/>
      <c r="S5" s="187"/>
    </row>
    <row r="6" spans="1:26" x14ac:dyDescent="0.25">
      <c r="A6" s="388"/>
      <c r="B6" s="390"/>
      <c r="C6" s="191" t="s">
        <v>1</v>
      </c>
      <c r="D6" s="174" t="s">
        <v>95</v>
      </c>
      <c r="E6" s="174" t="s">
        <v>88</v>
      </c>
      <c r="F6" s="174" t="s">
        <v>95</v>
      </c>
      <c r="G6" s="174" t="s">
        <v>88</v>
      </c>
      <c r="H6" s="174" t="s">
        <v>95</v>
      </c>
      <c r="I6" s="174" t="s">
        <v>88</v>
      </c>
      <c r="J6" s="174" t="s">
        <v>95</v>
      </c>
      <c r="K6" s="174" t="s">
        <v>88</v>
      </c>
      <c r="L6" s="174" t="s">
        <v>95</v>
      </c>
      <c r="M6" s="174" t="s">
        <v>88</v>
      </c>
      <c r="N6" s="174" t="s">
        <v>95</v>
      </c>
      <c r="O6" s="174" t="s">
        <v>88</v>
      </c>
      <c r="P6" s="174" t="s">
        <v>95</v>
      </c>
      <c r="Q6" s="190" t="s">
        <v>88</v>
      </c>
      <c r="R6" s="187"/>
      <c r="S6" s="187"/>
    </row>
    <row r="7" spans="1:26" ht="15.75" thickBot="1" x14ac:dyDescent="0.3">
      <c r="A7" s="160">
        <v>1</v>
      </c>
      <c r="B7" s="161">
        <v>2</v>
      </c>
      <c r="C7" s="192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406"/>
      <c r="R7" s="187"/>
      <c r="S7" s="187"/>
    </row>
    <row r="8" spans="1:26" ht="15.75" thickTop="1" x14ac:dyDescent="0.25">
      <c r="A8" s="162">
        <v>1</v>
      </c>
      <c r="B8" s="163" t="s">
        <v>18</v>
      </c>
      <c r="C8" s="195">
        <v>1799</v>
      </c>
      <c r="D8" s="195">
        <v>0</v>
      </c>
      <c r="E8" s="195">
        <v>0</v>
      </c>
      <c r="F8" s="195">
        <v>0</v>
      </c>
      <c r="G8" s="195">
        <v>1.93</v>
      </c>
      <c r="H8" s="195">
        <v>10</v>
      </c>
      <c r="I8" s="195">
        <v>43.515000000000001</v>
      </c>
      <c r="J8" s="195">
        <v>15</v>
      </c>
      <c r="K8" s="195">
        <v>177</v>
      </c>
      <c r="L8" s="195">
        <v>221</v>
      </c>
      <c r="M8" s="195"/>
      <c r="N8" s="195">
        <v>46</v>
      </c>
      <c r="O8" s="195"/>
      <c r="P8" s="195">
        <f>SUM(D8,F8,H8,J8,L8,N8)</f>
        <v>292</v>
      </c>
      <c r="Q8" s="200">
        <f>SUM(E8,G8,I8,K8,M8,O8)</f>
        <v>222.44499999999999</v>
      </c>
      <c r="R8" s="187"/>
      <c r="S8" s="206">
        <f>SUM(E8,G8,I8,K8)</f>
        <v>222.44499999999999</v>
      </c>
      <c r="U8">
        <v>0</v>
      </c>
      <c r="V8">
        <f>U8*0.96</f>
        <v>0</v>
      </c>
      <c r="W8">
        <v>2</v>
      </c>
      <c r="X8">
        <f>W8*0.965</f>
        <v>1.93</v>
      </c>
      <c r="Y8">
        <v>45</v>
      </c>
      <c r="Z8">
        <f>Y8*0.967</f>
        <v>43.515000000000001</v>
      </c>
    </row>
    <row r="9" spans="1:26" x14ac:dyDescent="0.25">
      <c r="A9" s="164">
        <v>2</v>
      </c>
      <c r="B9" s="165" t="s">
        <v>19</v>
      </c>
      <c r="C9" s="196">
        <v>243</v>
      </c>
      <c r="D9" s="196">
        <v>3</v>
      </c>
      <c r="E9" s="196">
        <v>4.75</v>
      </c>
      <c r="F9" s="196">
        <v>47</v>
      </c>
      <c r="G9" s="196">
        <v>26.055</v>
      </c>
      <c r="H9" s="196">
        <v>105</v>
      </c>
      <c r="I9" s="196">
        <v>138.28100000000001</v>
      </c>
      <c r="J9" s="196">
        <v>78</v>
      </c>
      <c r="K9" s="196">
        <v>24</v>
      </c>
      <c r="L9" s="196">
        <v>45</v>
      </c>
      <c r="M9" s="196"/>
      <c r="N9" s="196">
        <v>20</v>
      </c>
      <c r="O9" s="196"/>
      <c r="P9" s="196">
        <f t="shared" ref="P9:P15" si="0">SUM(D9,F9,H9,J9,L9,N9)</f>
        <v>298</v>
      </c>
      <c r="Q9" s="201">
        <f t="shared" ref="Q9:Q15" si="1">SUM(E9,G9,I9,K9,M9,O9)</f>
        <v>193.08600000000001</v>
      </c>
      <c r="R9" s="206">
        <f>SUM(E9,G9,I9)</f>
        <v>169.08600000000001</v>
      </c>
      <c r="S9" s="206">
        <f t="shared" ref="S9:S15" si="2">SUM(E9,G9,I9,K9)</f>
        <v>193.08600000000001</v>
      </c>
      <c r="U9">
        <v>5</v>
      </c>
      <c r="V9">
        <f t="shared" ref="V9:V15" si="3">U9*0.96</f>
        <v>4.8</v>
      </c>
      <c r="W9">
        <v>27</v>
      </c>
      <c r="X9">
        <f t="shared" ref="X9:X15" si="4">W9*0.965</f>
        <v>26.055</v>
      </c>
      <c r="Y9">
        <v>143</v>
      </c>
      <c r="Z9">
        <f t="shared" ref="Z9:Z15" si="5">Y9*0.967</f>
        <v>138.28100000000001</v>
      </c>
    </row>
    <row r="10" spans="1:26" x14ac:dyDescent="0.25">
      <c r="A10" s="164">
        <v>3</v>
      </c>
      <c r="B10" s="163" t="s">
        <v>20</v>
      </c>
      <c r="C10" s="196">
        <v>275</v>
      </c>
      <c r="D10" s="196">
        <v>40</v>
      </c>
      <c r="E10" s="196">
        <v>4.75</v>
      </c>
      <c r="F10" s="196">
        <v>0</v>
      </c>
      <c r="G10" s="196">
        <v>8.6850000000000005</v>
      </c>
      <c r="H10" s="196">
        <v>10</v>
      </c>
      <c r="I10" s="196">
        <v>24.175000000000001</v>
      </c>
      <c r="J10" s="196">
        <v>14</v>
      </c>
      <c r="K10" s="196">
        <v>15</v>
      </c>
      <c r="L10" s="196">
        <v>0</v>
      </c>
      <c r="M10" s="196"/>
      <c r="N10" s="196">
        <v>20</v>
      </c>
      <c r="O10" s="196"/>
      <c r="P10" s="196">
        <f t="shared" si="0"/>
        <v>84</v>
      </c>
      <c r="Q10" s="201">
        <f t="shared" si="1"/>
        <v>52.61</v>
      </c>
      <c r="R10" s="187"/>
      <c r="S10" s="206">
        <f t="shared" si="2"/>
        <v>52.61</v>
      </c>
      <c r="U10">
        <v>5</v>
      </c>
      <c r="V10">
        <f t="shared" si="3"/>
        <v>4.8</v>
      </c>
      <c r="W10">
        <v>9</v>
      </c>
      <c r="X10">
        <f t="shared" si="4"/>
        <v>8.6850000000000005</v>
      </c>
      <c r="Y10">
        <v>25</v>
      </c>
      <c r="Z10">
        <f t="shared" si="5"/>
        <v>24.175000000000001</v>
      </c>
    </row>
    <row r="11" spans="1:26" x14ac:dyDescent="0.25">
      <c r="A11" s="166">
        <v>4</v>
      </c>
      <c r="B11" s="167" t="s">
        <v>21</v>
      </c>
      <c r="C11" s="196">
        <v>206</v>
      </c>
      <c r="D11" s="196">
        <v>0</v>
      </c>
      <c r="E11" s="196">
        <v>8.5499999999999989</v>
      </c>
      <c r="F11" s="196">
        <v>0</v>
      </c>
      <c r="G11" s="196">
        <v>0.96499999999999997</v>
      </c>
      <c r="H11" s="196">
        <v>68</v>
      </c>
      <c r="I11" s="196">
        <v>34.811999999999998</v>
      </c>
      <c r="J11" s="196">
        <v>135</v>
      </c>
      <c r="K11" s="196">
        <v>126.1</v>
      </c>
      <c r="L11" s="196">
        <v>0</v>
      </c>
      <c r="M11" s="196"/>
      <c r="N11" s="196">
        <v>0</v>
      </c>
      <c r="O11" s="196"/>
      <c r="P11" s="196">
        <f t="shared" si="0"/>
        <v>203</v>
      </c>
      <c r="Q11" s="201">
        <f t="shared" si="1"/>
        <v>170.42699999999999</v>
      </c>
      <c r="R11" s="187"/>
      <c r="S11" s="206">
        <f t="shared" si="2"/>
        <v>170.42699999999999</v>
      </c>
      <c r="U11">
        <v>9</v>
      </c>
      <c r="V11">
        <f t="shared" si="3"/>
        <v>8.64</v>
      </c>
      <c r="W11">
        <v>1</v>
      </c>
      <c r="X11">
        <f t="shared" si="4"/>
        <v>0.96499999999999997</v>
      </c>
      <c r="Y11">
        <v>36</v>
      </c>
      <c r="Z11">
        <f t="shared" si="5"/>
        <v>34.811999999999998</v>
      </c>
    </row>
    <row r="12" spans="1:26" x14ac:dyDescent="0.25">
      <c r="A12" s="166">
        <v>5</v>
      </c>
      <c r="B12" s="168" t="s">
        <v>22</v>
      </c>
      <c r="C12" s="196">
        <v>363</v>
      </c>
      <c r="D12" s="196">
        <v>0</v>
      </c>
      <c r="E12" s="196">
        <v>0</v>
      </c>
      <c r="F12" s="196">
        <v>0</v>
      </c>
      <c r="G12" s="196">
        <v>0</v>
      </c>
      <c r="H12" s="196">
        <v>50</v>
      </c>
      <c r="I12" s="196">
        <v>14.504999999999999</v>
      </c>
      <c r="J12" s="196">
        <v>134</v>
      </c>
      <c r="K12" s="196">
        <v>166</v>
      </c>
      <c r="L12" s="196">
        <v>0</v>
      </c>
      <c r="M12" s="196"/>
      <c r="N12" s="196">
        <v>0</v>
      </c>
      <c r="O12" s="196"/>
      <c r="P12" s="196">
        <f t="shared" si="0"/>
        <v>184</v>
      </c>
      <c r="Q12" s="201">
        <f t="shared" si="1"/>
        <v>180.505</v>
      </c>
      <c r="R12" s="187"/>
      <c r="S12" s="206">
        <f t="shared" si="2"/>
        <v>180.505</v>
      </c>
      <c r="U12">
        <v>0</v>
      </c>
      <c r="V12">
        <f t="shared" si="3"/>
        <v>0</v>
      </c>
      <c r="W12">
        <v>0</v>
      </c>
      <c r="X12">
        <f t="shared" si="4"/>
        <v>0</v>
      </c>
      <c r="Y12">
        <v>15</v>
      </c>
      <c r="Z12">
        <f t="shared" si="5"/>
        <v>14.504999999999999</v>
      </c>
    </row>
    <row r="13" spans="1:26" x14ac:dyDescent="0.25">
      <c r="A13" s="166">
        <v>6</v>
      </c>
      <c r="B13" s="168" t="s">
        <v>23</v>
      </c>
      <c r="C13" s="196">
        <v>59</v>
      </c>
      <c r="D13" s="196">
        <v>10</v>
      </c>
      <c r="E13" s="196">
        <v>6.6499999999999995</v>
      </c>
      <c r="F13" s="196">
        <v>25</v>
      </c>
      <c r="G13" s="196">
        <v>41.494999999999997</v>
      </c>
      <c r="H13" s="196">
        <v>19</v>
      </c>
      <c r="I13" s="196">
        <v>0</v>
      </c>
      <c r="J13" s="196">
        <v>0</v>
      </c>
      <c r="K13" s="196">
        <v>0</v>
      </c>
      <c r="L13" s="196">
        <v>10</v>
      </c>
      <c r="M13" s="196"/>
      <c r="N13" s="196">
        <v>25</v>
      </c>
      <c r="O13" s="196"/>
      <c r="P13" s="196">
        <f t="shared" si="0"/>
        <v>89</v>
      </c>
      <c r="Q13" s="201">
        <f t="shared" si="1"/>
        <v>48.144999999999996</v>
      </c>
      <c r="R13" s="187"/>
      <c r="S13" s="206">
        <f t="shared" si="2"/>
        <v>48.144999999999996</v>
      </c>
      <c r="U13">
        <v>7</v>
      </c>
      <c r="V13">
        <f t="shared" si="3"/>
        <v>6.72</v>
      </c>
      <c r="W13">
        <v>43</v>
      </c>
      <c r="X13">
        <f t="shared" si="4"/>
        <v>41.494999999999997</v>
      </c>
      <c r="Y13">
        <v>0</v>
      </c>
      <c r="Z13">
        <f t="shared" si="5"/>
        <v>0</v>
      </c>
    </row>
    <row r="14" spans="1:26" x14ac:dyDescent="0.25">
      <c r="A14" s="166">
        <v>7</v>
      </c>
      <c r="B14" s="168" t="s">
        <v>24</v>
      </c>
      <c r="C14" s="196">
        <v>405</v>
      </c>
      <c r="D14" s="196">
        <v>0</v>
      </c>
      <c r="E14" s="196">
        <v>14.25</v>
      </c>
      <c r="F14" s="196">
        <v>117</v>
      </c>
      <c r="G14" s="196">
        <v>13.51</v>
      </c>
      <c r="H14" s="196">
        <v>250</v>
      </c>
      <c r="I14" s="196">
        <v>131.512</v>
      </c>
      <c r="J14" s="196">
        <v>0</v>
      </c>
      <c r="K14" s="196">
        <v>126</v>
      </c>
      <c r="L14" s="196">
        <v>0</v>
      </c>
      <c r="M14" s="196"/>
      <c r="N14" s="196">
        <v>104</v>
      </c>
      <c r="O14" s="196"/>
      <c r="P14" s="196">
        <f t="shared" si="0"/>
        <v>471</v>
      </c>
      <c r="Q14" s="201">
        <f t="shared" si="1"/>
        <v>285.27199999999999</v>
      </c>
      <c r="R14" s="187"/>
      <c r="S14" s="206">
        <f t="shared" si="2"/>
        <v>285.27199999999999</v>
      </c>
      <c r="U14">
        <v>15</v>
      </c>
      <c r="V14">
        <f t="shared" si="3"/>
        <v>14.399999999999999</v>
      </c>
      <c r="W14">
        <v>14</v>
      </c>
      <c r="X14">
        <f t="shared" si="4"/>
        <v>13.51</v>
      </c>
      <c r="Y14">
        <v>136</v>
      </c>
      <c r="Z14">
        <f t="shared" si="5"/>
        <v>131.512</v>
      </c>
    </row>
    <row r="15" spans="1:26" ht="15.75" thickBot="1" x14ac:dyDescent="0.3">
      <c r="A15" s="169">
        <v>8</v>
      </c>
      <c r="B15" s="167" t="s">
        <v>25</v>
      </c>
      <c r="C15" s="197">
        <v>280</v>
      </c>
      <c r="D15" s="197">
        <v>0</v>
      </c>
      <c r="E15" s="197">
        <v>24.7</v>
      </c>
      <c r="F15" s="197">
        <v>82</v>
      </c>
      <c r="G15" s="197">
        <v>120.625</v>
      </c>
      <c r="H15" s="197">
        <v>126</v>
      </c>
      <c r="I15" s="197">
        <v>117.97399999999999</v>
      </c>
      <c r="J15" s="197">
        <v>119</v>
      </c>
      <c r="K15" s="197">
        <v>7</v>
      </c>
      <c r="L15" s="197">
        <v>0</v>
      </c>
      <c r="M15" s="197"/>
      <c r="N15" s="197">
        <v>18</v>
      </c>
      <c r="O15" s="197"/>
      <c r="P15" s="195">
        <f t="shared" si="0"/>
        <v>345</v>
      </c>
      <c r="Q15" s="200">
        <f t="shared" si="1"/>
        <v>270.29899999999998</v>
      </c>
      <c r="R15" s="187"/>
      <c r="S15" s="206">
        <f t="shared" si="2"/>
        <v>270.29899999999998</v>
      </c>
      <c r="U15">
        <v>26</v>
      </c>
      <c r="V15">
        <f t="shared" si="3"/>
        <v>24.96</v>
      </c>
      <c r="W15">
        <v>125</v>
      </c>
      <c r="X15">
        <f t="shared" si="4"/>
        <v>120.625</v>
      </c>
      <c r="Y15">
        <v>122</v>
      </c>
      <c r="Z15">
        <f t="shared" si="5"/>
        <v>117.97399999999999</v>
      </c>
    </row>
    <row r="16" spans="1:26" ht="16.5" thickTop="1" thickBot="1" x14ac:dyDescent="0.3">
      <c r="A16" s="392" t="s">
        <v>26</v>
      </c>
      <c r="B16" s="393"/>
      <c r="C16" s="198">
        <f>SUM(C8:C15)</f>
        <v>3630</v>
      </c>
      <c r="D16" s="198">
        <f t="shared" ref="D16:P16" si="6">SUM(D8:D15)</f>
        <v>53</v>
      </c>
      <c r="E16" s="198">
        <f t="shared" si="6"/>
        <v>63.649999999999991</v>
      </c>
      <c r="F16" s="198">
        <f t="shared" si="6"/>
        <v>271</v>
      </c>
      <c r="G16" s="198">
        <f t="shared" si="6"/>
        <v>213.26499999999999</v>
      </c>
      <c r="H16" s="198">
        <f t="shared" si="6"/>
        <v>638</v>
      </c>
      <c r="I16" s="198">
        <f t="shared" si="6"/>
        <v>504.774</v>
      </c>
      <c r="J16" s="198">
        <f t="shared" si="6"/>
        <v>495</v>
      </c>
      <c r="K16" s="198">
        <f t="shared" si="6"/>
        <v>641.1</v>
      </c>
      <c r="L16" s="198">
        <f t="shared" si="6"/>
        <v>276</v>
      </c>
      <c r="M16" s="198">
        <f t="shared" si="6"/>
        <v>0</v>
      </c>
      <c r="N16" s="198">
        <f t="shared" si="6"/>
        <v>233</v>
      </c>
      <c r="O16" s="198">
        <f t="shared" si="6"/>
        <v>0</v>
      </c>
      <c r="P16" s="202">
        <f t="shared" si="6"/>
        <v>1966</v>
      </c>
      <c r="Q16" s="203">
        <f>SUM(Q8:Q15)</f>
        <v>1422.789</v>
      </c>
      <c r="R16" s="187"/>
      <c r="S16" s="206">
        <f>SUM(S8:S15)</f>
        <v>1422.789</v>
      </c>
      <c r="U16">
        <f>SUM(U8:U15)</f>
        <v>67</v>
      </c>
      <c r="V16">
        <f t="shared" ref="V16:Z16" si="7">SUM(V8:V15)</f>
        <v>64.319999999999993</v>
      </c>
      <c r="W16">
        <f t="shared" si="7"/>
        <v>221</v>
      </c>
      <c r="X16">
        <f t="shared" si="7"/>
        <v>213.26499999999999</v>
      </c>
      <c r="Y16">
        <f t="shared" si="7"/>
        <v>522</v>
      </c>
      <c r="Z16">
        <f t="shared" si="7"/>
        <v>504.774</v>
      </c>
    </row>
    <row r="17" spans="1:19" ht="15.75" thickBot="1" x14ac:dyDescent="0.3">
      <c r="A17" s="186"/>
      <c r="B17" s="186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187"/>
      <c r="S17" s="187"/>
    </row>
    <row r="18" spans="1:19" ht="25.5" x14ac:dyDescent="0.25">
      <c r="A18" s="387" t="s">
        <v>2</v>
      </c>
      <c r="B18" s="389" t="s">
        <v>3</v>
      </c>
      <c r="C18" s="188" t="s">
        <v>93</v>
      </c>
      <c r="D18" s="391" t="s">
        <v>104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4" t="s">
        <v>105</v>
      </c>
      <c r="Q18" s="394"/>
      <c r="R18" s="401" t="s">
        <v>106</v>
      </c>
      <c r="S18" s="399"/>
    </row>
    <row r="19" spans="1:19" ht="25.5" x14ac:dyDescent="0.25">
      <c r="A19" s="388"/>
      <c r="B19" s="390"/>
      <c r="C19" s="189" t="s">
        <v>101</v>
      </c>
      <c r="D19" s="395" t="s">
        <v>79</v>
      </c>
      <c r="E19" s="395"/>
      <c r="F19" s="395" t="s">
        <v>10</v>
      </c>
      <c r="G19" s="395"/>
      <c r="H19" s="395" t="s">
        <v>11</v>
      </c>
      <c r="I19" s="395"/>
      <c r="J19" s="395" t="s">
        <v>12</v>
      </c>
      <c r="K19" s="395"/>
      <c r="L19" s="395" t="s">
        <v>102</v>
      </c>
      <c r="M19" s="395"/>
      <c r="N19" s="395" t="s">
        <v>103</v>
      </c>
      <c r="O19" s="395"/>
      <c r="P19" s="395"/>
      <c r="Q19" s="395"/>
      <c r="R19" s="402"/>
      <c r="S19" s="400"/>
    </row>
    <row r="20" spans="1:19" x14ac:dyDescent="0.25">
      <c r="A20" s="388"/>
      <c r="B20" s="390"/>
      <c r="C20" s="191" t="s">
        <v>1</v>
      </c>
      <c r="D20" s="174" t="s">
        <v>95</v>
      </c>
      <c r="E20" s="174" t="s">
        <v>88</v>
      </c>
      <c r="F20" s="174" t="s">
        <v>95</v>
      </c>
      <c r="G20" s="174" t="s">
        <v>88</v>
      </c>
      <c r="H20" s="174" t="s">
        <v>95</v>
      </c>
      <c r="I20" s="174" t="s">
        <v>88</v>
      </c>
      <c r="J20" s="174" t="s">
        <v>95</v>
      </c>
      <c r="K20" s="174" t="s">
        <v>88</v>
      </c>
      <c r="L20" s="174" t="s">
        <v>95</v>
      </c>
      <c r="M20" s="174" t="s">
        <v>88</v>
      </c>
      <c r="N20" s="174" t="s">
        <v>95</v>
      </c>
      <c r="O20" s="174" t="s">
        <v>88</v>
      </c>
      <c r="P20" s="174" t="s">
        <v>95</v>
      </c>
      <c r="Q20" s="174" t="s">
        <v>88</v>
      </c>
      <c r="R20" s="174" t="s">
        <v>95</v>
      </c>
      <c r="S20" s="190" t="s">
        <v>88</v>
      </c>
    </row>
    <row r="21" spans="1:19" ht="15.75" thickBot="1" x14ac:dyDescent="0.3">
      <c r="A21" s="160">
        <v>1</v>
      </c>
      <c r="B21" s="161">
        <v>2</v>
      </c>
      <c r="C21" s="192">
        <v>3</v>
      </c>
      <c r="D21" s="396">
        <v>11</v>
      </c>
      <c r="E21" s="396"/>
      <c r="F21" s="396">
        <v>12</v>
      </c>
      <c r="G21" s="396"/>
      <c r="H21" s="396">
        <v>13</v>
      </c>
      <c r="I21" s="396"/>
      <c r="J21" s="396">
        <v>14</v>
      </c>
      <c r="K21" s="396"/>
      <c r="L21" s="396">
        <v>15</v>
      </c>
      <c r="M21" s="396"/>
      <c r="N21" s="396">
        <v>16</v>
      </c>
      <c r="O21" s="396"/>
      <c r="P21" s="396">
        <v>17</v>
      </c>
      <c r="Q21" s="396"/>
      <c r="R21" s="396">
        <v>18</v>
      </c>
      <c r="S21" s="406"/>
    </row>
    <row r="22" spans="1:19" ht="15.75" thickTop="1" x14ac:dyDescent="0.25">
      <c r="A22" s="162">
        <v>1</v>
      </c>
      <c r="B22" s="163" t="s">
        <v>18</v>
      </c>
      <c r="C22" s="195">
        <v>1799</v>
      </c>
      <c r="D22" s="195">
        <v>0</v>
      </c>
      <c r="E22" s="195"/>
      <c r="F22" s="195">
        <v>19</v>
      </c>
      <c r="G22" s="195"/>
      <c r="H22" s="195">
        <v>0</v>
      </c>
      <c r="I22" s="195"/>
      <c r="J22" s="195">
        <v>0</v>
      </c>
      <c r="K22" s="195"/>
      <c r="L22" s="195">
        <v>0</v>
      </c>
      <c r="M22" s="195"/>
      <c r="N22" s="195">
        <v>0</v>
      </c>
      <c r="O22" s="195"/>
      <c r="P22" s="195">
        <f>SUM(D22,F22,H22,J22,L22,N22)</f>
        <v>19</v>
      </c>
      <c r="Q22" s="195"/>
      <c r="R22" s="195">
        <f t="shared" ref="R22:S29" si="8">SUM(P8,P22)</f>
        <v>311</v>
      </c>
      <c r="S22" s="200">
        <f t="shared" si="8"/>
        <v>222.44499999999999</v>
      </c>
    </row>
    <row r="23" spans="1:19" x14ac:dyDescent="0.25">
      <c r="A23" s="164">
        <v>2</v>
      </c>
      <c r="B23" s="165" t="s">
        <v>19</v>
      </c>
      <c r="C23" s="196">
        <v>243</v>
      </c>
      <c r="D23" s="196">
        <v>27</v>
      </c>
      <c r="E23" s="196"/>
      <c r="F23" s="196">
        <v>20</v>
      </c>
      <c r="G23" s="196"/>
      <c r="H23" s="196">
        <v>5</v>
      </c>
      <c r="I23" s="196"/>
      <c r="J23" s="196">
        <v>0</v>
      </c>
      <c r="K23" s="196"/>
      <c r="L23" s="196">
        <v>0</v>
      </c>
      <c r="M23" s="196"/>
      <c r="N23" s="196">
        <v>0</v>
      </c>
      <c r="O23" s="196"/>
      <c r="P23" s="196">
        <f t="shared" ref="P23:P29" si="9">SUM(D23,F23,H23,J23,L23,N23)</f>
        <v>52</v>
      </c>
      <c r="Q23" s="196"/>
      <c r="R23" s="196">
        <f t="shared" si="8"/>
        <v>350</v>
      </c>
      <c r="S23" s="201">
        <f t="shared" si="8"/>
        <v>193.08600000000001</v>
      </c>
    </row>
    <row r="24" spans="1:19" x14ac:dyDescent="0.25">
      <c r="A24" s="164">
        <v>3</v>
      </c>
      <c r="B24" s="163" t="s">
        <v>20</v>
      </c>
      <c r="C24" s="196">
        <v>275</v>
      </c>
      <c r="D24" s="196">
        <v>10</v>
      </c>
      <c r="E24" s="196"/>
      <c r="F24" s="196">
        <v>0</v>
      </c>
      <c r="G24" s="196"/>
      <c r="H24" s="196">
        <v>0</v>
      </c>
      <c r="I24" s="196"/>
      <c r="J24" s="196">
        <v>0</v>
      </c>
      <c r="K24" s="196"/>
      <c r="L24" s="196">
        <v>0</v>
      </c>
      <c r="M24" s="196"/>
      <c r="N24" s="196">
        <v>0</v>
      </c>
      <c r="O24" s="196"/>
      <c r="P24" s="196">
        <f t="shared" si="9"/>
        <v>10</v>
      </c>
      <c r="Q24" s="196"/>
      <c r="R24" s="196">
        <f t="shared" si="8"/>
        <v>94</v>
      </c>
      <c r="S24" s="201">
        <f t="shared" si="8"/>
        <v>52.61</v>
      </c>
    </row>
    <row r="25" spans="1:19" x14ac:dyDescent="0.25">
      <c r="A25" s="166">
        <v>4</v>
      </c>
      <c r="B25" s="167" t="s">
        <v>21</v>
      </c>
      <c r="C25" s="196">
        <v>206</v>
      </c>
      <c r="D25" s="196">
        <v>0</v>
      </c>
      <c r="E25" s="196"/>
      <c r="F25" s="196">
        <v>27</v>
      </c>
      <c r="G25" s="196"/>
      <c r="H25" s="196">
        <v>0</v>
      </c>
      <c r="I25" s="196"/>
      <c r="J25" s="196">
        <v>0</v>
      </c>
      <c r="K25" s="196"/>
      <c r="L25" s="196">
        <v>0</v>
      </c>
      <c r="M25" s="196"/>
      <c r="N25" s="196">
        <v>5</v>
      </c>
      <c r="O25" s="196"/>
      <c r="P25" s="196">
        <f t="shared" si="9"/>
        <v>32</v>
      </c>
      <c r="Q25" s="196"/>
      <c r="R25" s="196">
        <f t="shared" si="8"/>
        <v>235</v>
      </c>
      <c r="S25" s="201">
        <f t="shared" si="8"/>
        <v>170.42699999999999</v>
      </c>
    </row>
    <row r="26" spans="1:19" x14ac:dyDescent="0.25">
      <c r="A26" s="166">
        <v>5</v>
      </c>
      <c r="B26" s="168" t="s">
        <v>22</v>
      </c>
      <c r="C26" s="196">
        <v>363</v>
      </c>
      <c r="D26" s="196">
        <v>5</v>
      </c>
      <c r="E26" s="196"/>
      <c r="F26" s="196">
        <v>12</v>
      </c>
      <c r="G26" s="196"/>
      <c r="H26" s="196">
        <v>0</v>
      </c>
      <c r="I26" s="196"/>
      <c r="J26" s="196">
        <v>0</v>
      </c>
      <c r="K26" s="196"/>
      <c r="L26" s="196">
        <v>0</v>
      </c>
      <c r="M26" s="196"/>
      <c r="N26" s="196">
        <v>0</v>
      </c>
      <c r="O26" s="196"/>
      <c r="P26" s="196">
        <f t="shared" si="9"/>
        <v>17</v>
      </c>
      <c r="Q26" s="196"/>
      <c r="R26" s="196">
        <f t="shared" si="8"/>
        <v>201</v>
      </c>
      <c r="S26" s="201">
        <f t="shared" si="8"/>
        <v>180.505</v>
      </c>
    </row>
    <row r="27" spans="1:19" x14ac:dyDescent="0.25">
      <c r="A27" s="166">
        <v>6</v>
      </c>
      <c r="B27" s="168" t="s">
        <v>23</v>
      </c>
      <c r="C27" s="196">
        <v>59</v>
      </c>
      <c r="D27" s="196">
        <v>0</v>
      </c>
      <c r="E27" s="196"/>
      <c r="F27" s="196">
        <v>10</v>
      </c>
      <c r="G27" s="196"/>
      <c r="H27" s="196">
        <v>0</v>
      </c>
      <c r="I27" s="196"/>
      <c r="J27" s="196">
        <v>0</v>
      </c>
      <c r="K27" s="196"/>
      <c r="L27" s="196">
        <v>0</v>
      </c>
      <c r="M27" s="196"/>
      <c r="N27" s="196">
        <v>0</v>
      </c>
      <c r="O27" s="196"/>
      <c r="P27" s="196">
        <f t="shared" si="9"/>
        <v>10</v>
      </c>
      <c r="Q27" s="196"/>
      <c r="R27" s="196">
        <f t="shared" si="8"/>
        <v>99</v>
      </c>
      <c r="S27" s="201">
        <f t="shared" si="8"/>
        <v>48.144999999999996</v>
      </c>
    </row>
    <row r="28" spans="1:19" x14ac:dyDescent="0.25">
      <c r="A28" s="166">
        <v>7</v>
      </c>
      <c r="B28" s="168" t="s">
        <v>24</v>
      </c>
      <c r="C28" s="196">
        <v>405</v>
      </c>
      <c r="D28" s="196">
        <v>90</v>
      </c>
      <c r="E28" s="196"/>
      <c r="F28" s="196">
        <v>28</v>
      </c>
      <c r="G28" s="196"/>
      <c r="H28" s="196">
        <v>0</v>
      </c>
      <c r="I28" s="196"/>
      <c r="J28" s="196">
        <v>0</v>
      </c>
      <c r="K28" s="196"/>
      <c r="L28" s="196">
        <v>0</v>
      </c>
      <c r="M28" s="196"/>
      <c r="N28" s="196">
        <v>0</v>
      </c>
      <c r="O28" s="196"/>
      <c r="P28" s="196">
        <f t="shared" si="9"/>
        <v>118</v>
      </c>
      <c r="Q28" s="196"/>
      <c r="R28" s="196">
        <f t="shared" si="8"/>
        <v>589</v>
      </c>
      <c r="S28" s="201">
        <f t="shared" si="8"/>
        <v>285.27199999999999</v>
      </c>
    </row>
    <row r="29" spans="1:19" ht="15.75" thickBot="1" x14ac:dyDescent="0.3">
      <c r="A29" s="169">
        <v>8</v>
      </c>
      <c r="B29" s="167" t="s">
        <v>25</v>
      </c>
      <c r="C29" s="199">
        <v>280</v>
      </c>
      <c r="D29" s="199">
        <v>0</v>
      </c>
      <c r="E29" s="199"/>
      <c r="F29" s="199">
        <v>97</v>
      </c>
      <c r="G29" s="199"/>
      <c r="H29" s="199">
        <v>34</v>
      </c>
      <c r="I29" s="199"/>
      <c r="J29" s="199">
        <v>0</v>
      </c>
      <c r="K29" s="199"/>
      <c r="L29" s="199">
        <v>0</v>
      </c>
      <c r="M29" s="199"/>
      <c r="N29" s="199">
        <v>0</v>
      </c>
      <c r="O29" s="199"/>
      <c r="P29" s="195">
        <f t="shared" si="9"/>
        <v>131</v>
      </c>
      <c r="Q29" s="195"/>
      <c r="R29" s="195">
        <f t="shared" si="8"/>
        <v>476</v>
      </c>
      <c r="S29" s="200">
        <f t="shared" si="8"/>
        <v>270.29899999999998</v>
      </c>
    </row>
    <row r="30" spans="1:19" ht="16.5" thickTop="1" thickBot="1" x14ac:dyDescent="0.3">
      <c r="A30" s="392" t="s">
        <v>26</v>
      </c>
      <c r="B30" s="393"/>
      <c r="C30" s="198">
        <f>SUM(C22:C29)</f>
        <v>3630</v>
      </c>
      <c r="D30" s="198">
        <f t="shared" ref="D30:R30" si="10">SUM(D22:D29)</f>
        <v>132</v>
      </c>
      <c r="E30" s="198">
        <f t="shared" si="10"/>
        <v>0</v>
      </c>
      <c r="F30" s="198">
        <f t="shared" si="10"/>
        <v>213</v>
      </c>
      <c r="G30" s="198">
        <f t="shared" si="10"/>
        <v>0</v>
      </c>
      <c r="H30" s="198">
        <f t="shared" si="10"/>
        <v>39</v>
      </c>
      <c r="I30" s="198">
        <f t="shared" si="10"/>
        <v>0</v>
      </c>
      <c r="J30" s="198">
        <f t="shared" si="10"/>
        <v>0</v>
      </c>
      <c r="K30" s="198">
        <f t="shared" si="10"/>
        <v>0</v>
      </c>
      <c r="L30" s="198">
        <f t="shared" si="10"/>
        <v>0</v>
      </c>
      <c r="M30" s="198">
        <f t="shared" si="10"/>
        <v>0</v>
      </c>
      <c r="N30" s="198">
        <f t="shared" si="10"/>
        <v>5</v>
      </c>
      <c r="O30" s="198">
        <f t="shared" si="10"/>
        <v>0</v>
      </c>
      <c r="P30" s="202">
        <f t="shared" si="10"/>
        <v>389</v>
      </c>
      <c r="Q30" s="202">
        <f t="shared" si="10"/>
        <v>0</v>
      </c>
      <c r="R30" s="202">
        <f t="shared" si="10"/>
        <v>2355</v>
      </c>
      <c r="S30" s="203">
        <f>SUM(S22:S29)</f>
        <v>1422.789</v>
      </c>
    </row>
    <row r="33" spans="1:19" ht="15.75" x14ac:dyDescent="0.25">
      <c r="A33" s="380" t="s">
        <v>108</v>
      </c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</row>
    <row r="34" spans="1:19" ht="15.75" x14ac:dyDescent="0.25">
      <c r="A34" s="380" t="s">
        <v>82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</row>
    <row r="35" spans="1:19" ht="15.75" thickBot="1" x14ac:dyDescent="0.3"/>
    <row r="36" spans="1:19" ht="25.5" x14ac:dyDescent="0.25">
      <c r="A36" s="387" t="s">
        <v>2</v>
      </c>
      <c r="B36" s="389" t="s">
        <v>3</v>
      </c>
      <c r="C36" s="188" t="s">
        <v>93</v>
      </c>
      <c r="D36" s="391" t="s">
        <v>94</v>
      </c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4" t="s">
        <v>83</v>
      </c>
      <c r="Q36" s="404"/>
      <c r="R36" s="187"/>
      <c r="S36" s="187"/>
    </row>
    <row r="37" spans="1:19" x14ac:dyDescent="0.25">
      <c r="A37" s="388"/>
      <c r="B37" s="390"/>
      <c r="C37" s="189" t="s">
        <v>111</v>
      </c>
      <c r="D37" s="395" t="s">
        <v>97</v>
      </c>
      <c r="E37" s="395"/>
      <c r="F37" s="395" t="s">
        <v>98</v>
      </c>
      <c r="G37" s="395"/>
      <c r="H37" s="395" t="s">
        <v>99</v>
      </c>
      <c r="I37" s="395"/>
      <c r="J37" s="395" t="s">
        <v>96</v>
      </c>
      <c r="K37" s="395"/>
      <c r="L37" s="395" t="s">
        <v>100</v>
      </c>
      <c r="M37" s="395"/>
      <c r="N37" s="395" t="s">
        <v>8</v>
      </c>
      <c r="O37" s="395"/>
      <c r="P37" s="395"/>
      <c r="Q37" s="405"/>
      <c r="R37" s="187"/>
      <c r="S37" s="187"/>
    </row>
    <row r="38" spans="1:19" x14ac:dyDescent="0.25">
      <c r="A38" s="388"/>
      <c r="B38" s="390"/>
      <c r="C38" s="191" t="s">
        <v>1</v>
      </c>
      <c r="D38" s="174" t="s">
        <v>95</v>
      </c>
      <c r="E38" s="174" t="s">
        <v>88</v>
      </c>
      <c r="F38" s="174" t="s">
        <v>95</v>
      </c>
      <c r="G38" s="174" t="s">
        <v>88</v>
      </c>
      <c r="H38" s="174" t="s">
        <v>95</v>
      </c>
      <c r="I38" s="174" t="s">
        <v>88</v>
      </c>
      <c r="J38" s="174" t="s">
        <v>95</v>
      </c>
      <c r="K38" s="174" t="s">
        <v>88</v>
      </c>
      <c r="L38" s="174" t="s">
        <v>95</v>
      </c>
      <c r="M38" s="174" t="s">
        <v>88</v>
      </c>
      <c r="N38" s="174" t="s">
        <v>95</v>
      </c>
      <c r="O38" s="174" t="s">
        <v>88</v>
      </c>
      <c r="P38" s="174" t="s">
        <v>95</v>
      </c>
      <c r="Q38" s="190" t="s">
        <v>88</v>
      </c>
      <c r="R38" s="187"/>
      <c r="S38" s="187"/>
    </row>
    <row r="39" spans="1:19" ht="15.75" thickBot="1" x14ac:dyDescent="0.3">
      <c r="A39" s="160">
        <v>1</v>
      </c>
      <c r="B39" s="161">
        <v>2</v>
      </c>
      <c r="C39" s="192">
        <v>3</v>
      </c>
      <c r="D39" s="396">
        <v>4</v>
      </c>
      <c r="E39" s="396"/>
      <c r="F39" s="396">
        <v>5</v>
      </c>
      <c r="G39" s="396"/>
      <c r="H39" s="396">
        <v>6</v>
      </c>
      <c r="I39" s="396"/>
      <c r="J39" s="396">
        <v>7</v>
      </c>
      <c r="K39" s="396"/>
      <c r="L39" s="396">
        <v>8</v>
      </c>
      <c r="M39" s="396"/>
      <c r="N39" s="396">
        <v>9</v>
      </c>
      <c r="O39" s="396"/>
      <c r="P39" s="396">
        <v>10</v>
      </c>
      <c r="Q39" s="406"/>
      <c r="R39" s="187"/>
      <c r="S39" s="187"/>
    </row>
    <row r="40" spans="1:19" ht="15.75" thickTop="1" x14ac:dyDescent="0.25">
      <c r="A40" s="162">
        <v>1</v>
      </c>
      <c r="B40" s="163" t="s">
        <v>18</v>
      </c>
      <c r="C40" s="195">
        <v>287</v>
      </c>
      <c r="D40" s="195">
        <v>0</v>
      </c>
      <c r="E40" s="195">
        <v>0</v>
      </c>
      <c r="F40" s="195">
        <v>0</v>
      </c>
      <c r="G40" s="195">
        <v>1.93</v>
      </c>
      <c r="H40" s="195">
        <v>10</v>
      </c>
      <c r="I40" s="195">
        <v>43.515000000000001</v>
      </c>
      <c r="J40" s="195">
        <v>15</v>
      </c>
      <c r="K40" s="195">
        <v>112</v>
      </c>
      <c r="L40" s="195">
        <v>221</v>
      </c>
      <c r="M40" s="195"/>
      <c r="N40" s="195">
        <v>46</v>
      </c>
      <c r="O40" s="195"/>
      <c r="P40" s="195">
        <f>SUM(D40,F40,H40,J40,L40,N40)</f>
        <v>292</v>
      </c>
      <c r="Q40" s="200">
        <f>SUM(E40,G40,I40,K40,M40,O40)</f>
        <v>157.44499999999999</v>
      </c>
      <c r="R40" s="187"/>
      <c r="S40" s="187"/>
    </row>
    <row r="41" spans="1:19" x14ac:dyDescent="0.25">
      <c r="A41" s="164">
        <v>2</v>
      </c>
      <c r="B41" s="165" t="s">
        <v>19</v>
      </c>
      <c r="C41" s="196">
        <v>208</v>
      </c>
      <c r="D41" s="196">
        <v>3</v>
      </c>
      <c r="E41" s="196">
        <v>4.75</v>
      </c>
      <c r="F41" s="196">
        <v>47</v>
      </c>
      <c r="G41" s="196">
        <v>26.055</v>
      </c>
      <c r="H41" s="196">
        <v>105</v>
      </c>
      <c r="I41" s="196">
        <v>138.28100000000001</v>
      </c>
      <c r="J41" s="196">
        <v>78</v>
      </c>
      <c r="K41" s="196">
        <v>24</v>
      </c>
      <c r="L41" s="196">
        <v>45</v>
      </c>
      <c r="M41" s="196"/>
      <c r="N41" s="196">
        <v>20</v>
      </c>
      <c r="O41" s="196"/>
      <c r="P41" s="196">
        <f t="shared" ref="P41:P47" si="11">SUM(D41,F41,H41,J41,L41,N41)</f>
        <v>298</v>
      </c>
      <c r="Q41" s="201">
        <f t="shared" ref="Q41:Q47" si="12">SUM(E41,G41,I41,K41,M41,O41)</f>
        <v>193.08600000000001</v>
      </c>
      <c r="R41" s="187"/>
      <c r="S41" s="187"/>
    </row>
    <row r="42" spans="1:19" x14ac:dyDescent="0.25">
      <c r="A42" s="164">
        <v>3</v>
      </c>
      <c r="B42" s="163" t="s">
        <v>20</v>
      </c>
      <c r="C42" s="196">
        <v>25</v>
      </c>
      <c r="D42" s="196">
        <v>0</v>
      </c>
      <c r="E42" s="196">
        <v>4.75</v>
      </c>
      <c r="F42" s="196">
        <v>0</v>
      </c>
      <c r="G42" s="196">
        <v>8.6850000000000005</v>
      </c>
      <c r="H42" s="196">
        <v>10</v>
      </c>
      <c r="I42" s="196">
        <v>24.175000000000001</v>
      </c>
      <c r="J42" s="196">
        <v>14</v>
      </c>
      <c r="K42" s="196">
        <v>0</v>
      </c>
      <c r="L42" s="196">
        <v>0</v>
      </c>
      <c r="M42" s="196"/>
      <c r="N42" s="196">
        <v>20</v>
      </c>
      <c r="O42" s="196"/>
      <c r="P42" s="196">
        <f t="shared" si="11"/>
        <v>44</v>
      </c>
      <c r="Q42" s="201">
        <f t="shared" si="12"/>
        <v>37.61</v>
      </c>
      <c r="R42" s="187"/>
      <c r="S42" s="187"/>
    </row>
    <row r="43" spans="1:19" x14ac:dyDescent="0.25">
      <c r="A43" s="166">
        <v>4</v>
      </c>
      <c r="B43" s="167" t="s">
        <v>21</v>
      </c>
      <c r="C43" s="196">
        <v>206</v>
      </c>
      <c r="D43" s="196">
        <v>0</v>
      </c>
      <c r="E43" s="196">
        <v>8.5499999999999989</v>
      </c>
      <c r="F43" s="196">
        <v>0</v>
      </c>
      <c r="G43" s="196">
        <v>0.96499999999999997</v>
      </c>
      <c r="H43" s="196">
        <v>68</v>
      </c>
      <c r="I43" s="196">
        <v>34.811999999999998</v>
      </c>
      <c r="J43" s="196">
        <v>135</v>
      </c>
      <c r="K43" s="196">
        <v>85.6</v>
      </c>
      <c r="L43" s="196">
        <v>0</v>
      </c>
      <c r="M43" s="196"/>
      <c r="N43" s="196">
        <v>0</v>
      </c>
      <c r="O43" s="196"/>
      <c r="P43" s="196">
        <f t="shared" si="11"/>
        <v>203</v>
      </c>
      <c r="Q43" s="201">
        <f t="shared" si="12"/>
        <v>129.92699999999999</v>
      </c>
      <c r="R43" s="187"/>
      <c r="S43" s="187"/>
    </row>
    <row r="44" spans="1:19" x14ac:dyDescent="0.25">
      <c r="A44" s="166">
        <v>5</v>
      </c>
      <c r="B44" s="168" t="s">
        <v>22</v>
      </c>
      <c r="C44" s="196">
        <v>184</v>
      </c>
      <c r="D44" s="196">
        <v>0</v>
      </c>
      <c r="E44" s="196">
        <v>0</v>
      </c>
      <c r="F44" s="196">
        <v>0</v>
      </c>
      <c r="G44" s="196">
        <v>0</v>
      </c>
      <c r="H44" s="196">
        <v>50</v>
      </c>
      <c r="I44" s="196">
        <v>14.504999999999999</v>
      </c>
      <c r="J44" s="196">
        <v>134</v>
      </c>
      <c r="K44" s="196">
        <v>153</v>
      </c>
      <c r="L44" s="196">
        <v>0</v>
      </c>
      <c r="M44" s="196"/>
      <c r="N44" s="196">
        <v>0</v>
      </c>
      <c r="O44" s="196"/>
      <c r="P44" s="196">
        <f t="shared" si="11"/>
        <v>184</v>
      </c>
      <c r="Q44" s="201">
        <f t="shared" si="12"/>
        <v>167.505</v>
      </c>
      <c r="R44" s="187"/>
      <c r="S44" s="187"/>
    </row>
    <row r="45" spans="1:19" x14ac:dyDescent="0.25">
      <c r="A45" s="166">
        <v>6</v>
      </c>
      <c r="B45" s="168" t="s">
        <v>23</v>
      </c>
      <c r="C45" s="196">
        <v>54</v>
      </c>
      <c r="D45" s="196">
        <v>10</v>
      </c>
      <c r="E45" s="196">
        <v>6.6499999999999995</v>
      </c>
      <c r="F45" s="196">
        <v>25</v>
      </c>
      <c r="G45" s="196">
        <v>41.494999999999997</v>
      </c>
      <c r="H45" s="196">
        <v>19</v>
      </c>
      <c r="I45" s="196">
        <v>0</v>
      </c>
      <c r="J45" s="196">
        <v>0</v>
      </c>
      <c r="K45" s="196">
        <v>0</v>
      </c>
      <c r="L45" s="196">
        <v>10</v>
      </c>
      <c r="M45" s="196"/>
      <c r="N45" s="196">
        <v>25</v>
      </c>
      <c r="O45" s="196"/>
      <c r="P45" s="196">
        <f t="shared" si="11"/>
        <v>89</v>
      </c>
      <c r="Q45" s="201">
        <f t="shared" si="12"/>
        <v>48.144999999999996</v>
      </c>
      <c r="R45" s="187"/>
      <c r="S45" s="187"/>
    </row>
    <row r="46" spans="1:19" x14ac:dyDescent="0.25">
      <c r="A46" s="166">
        <v>7</v>
      </c>
      <c r="B46" s="168" t="s">
        <v>24</v>
      </c>
      <c r="C46" s="196">
        <v>367</v>
      </c>
      <c r="D46" s="196">
        <v>0</v>
      </c>
      <c r="E46" s="196">
        <v>14.25</v>
      </c>
      <c r="F46" s="196">
        <v>117</v>
      </c>
      <c r="G46" s="196">
        <v>13.51</v>
      </c>
      <c r="H46" s="196">
        <v>250</v>
      </c>
      <c r="I46" s="196">
        <v>131.512</v>
      </c>
      <c r="J46" s="196">
        <v>0</v>
      </c>
      <c r="K46" s="196">
        <v>78</v>
      </c>
      <c r="L46" s="196">
        <v>0</v>
      </c>
      <c r="M46" s="196"/>
      <c r="N46" s="196">
        <v>104</v>
      </c>
      <c r="O46" s="196"/>
      <c r="P46" s="196">
        <f t="shared" si="11"/>
        <v>471</v>
      </c>
      <c r="Q46" s="201">
        <f t="shared" si="12"/>
        <v>237.27199999999999</v>
      </c>
      <c r="R46" s="187"/>
      <c r="S46" s="187"/>
    </row>
    <row r="47" spans="1:19" ht="15.75" thickBot="1" x14ac:dyDescent="0.3">
      <c r="A47" s="169">
        <v>8</v>
      </c>
      <c r="B47" s="167" t="s">
        <v>25</v>
      </c>
      <c r="C47" s="197">
        <v>280</v>
      </c>
      <c r="D47" s="197">
        <v>0</v>
      </c>
      <c r="E47" s="197">
        <v>24.7</v>
      </c>
      <c r="F47" s="197">
        <v>82</v>
      </c>
      <c r="G47" s="197">
        <v>120.625</v>
      </c>
      <c r="H47" s="197">
        <v>126</v>
      </c>
      <c r="I47" s="197">
        <v>117.97399999999999</v>
      </c>
      <c r="J47" s="197">
        <v>119</v>
      </c>
      <c r="K47" s="197">
        <v>7</v>
      </c>
      <c r="L47" s="197">
        <v>0</v>
      </c>
      <c r="M47" s="197"/>
      <c r="N47" s="197">
        <v>18</v>
      </c>
      <c r="O47" s="197"/>
      <c r="P47" s="195">
        <f t="shared" si="11"/>
        <v>345</v>
      </c>
      <c r="Q47" s="200">
        <f t="shared" si="12"/>
        <v>270.29899999999998</v>
      </c>
      <c r="R47" s="187"/>
      <c r="S47" s="187"/>
    </row>
    <row r="48" spans="1:19" ht="16.5" thickTop="1" thickBot="1" x14ac:dyDescent="0.3">
      <c r="A48" s="392" t="s">
        <v>26</v>
      </c>
      <c r="B48" s="393"/>
      <c r="C48" s="198">
        <f>SUM(C40:C47)</f>
        <v>1611</v>
      </c>
      <c r="D48" s="198">
        <f t="shared" ref="D48" si="13">SUM(D40:D47)</f>
        <v>13</v>
      </c>
      <c r="E48" s="198">
        <f t="shared" ref="E48" si="14">SUM(E40:E47)</f>
        <v>63.649999999999991</v>
      </c>
      <c r="F48" s="198">
        <f t="shared" ref="F48" si="15">SUM(F40:F47)</f>
        <v>271</v>
      </c>
      <c r="G48" s="198">
        <f t="shared" ref="G48" si="16">SUM(G40:G47)</f>
        <v>213.26499999999999</v>
      </c>
      <c r="H48" s="198">
        <f t="shared" ref="H48" si="17">SUM(H40:H47)</f>
        <v>638</v>
      </c>
      <c r="I48" s="198">
        <f t="shared" ref="I48" si="18">SUM(I40:I47)</f>
        <v>504.774</v>
      </c>
      <c r="J48" s="198">
        <f t="shared" ref="J48" si="19">SUM(J40:J47)</f>
        <v>495</v>
      </c>
      <c r="K48" s="198">
        <f t="shared" ref="K48" si="20">SUM(K40:K47)</f>
        <v>459.6</v>
      </c>
      <c r="L48" s="198">
        <f t="shared" ref="L48" si="21">SUM(L40:L47)</f>
        <v>276</v>
      </c>
      <c r="M48" s="198">
        <f t="shared" ref="M48" si="22">SUM(M40:M47)</f>
        <v>0</v>
      </c>
      <c r="N48" s="198">
        <f t="shared" ref="N48" si="23">SUM(N40:N47)</f>
        <v>233</v>
      </c>
      <c r="O48" s="198">
        <f t="shared" ref="O48" si="24">SUM(O40:O47)</f>
        <v>0</v>
      </c>
      <c r="P48" s="202">
        <f t="shared" ref="P48" si="25">SUM(P40:P47)</f>
        <v>1926</v>
      </c>
      <c r="Q48" s="203">
        <f>SUM(Q40:Q47)</f>
        <v>1241.289</v>
      </c>
      <c r="R48" s="187"/>
      <c r="S48" s="187"/>
    </row>
    <row r="49" spans="1:19" ht="15.75" thickBot="1" x14ac:dyDescent="0.3">
      <c r="A49" s="186"/>
      <c r="B49" s="186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187"/>
      <c r="S49" s="187"/>
    </row>
    <row r="50" spans="1:19" ht="25.5" customHeight="1" x14ac:dyDescent="0.25">
      <c r="A50" s="387" t="s">
        <v>2</v>
      </c>
      <c r="B50" s="389" t="s">
        <v>3</v>
      </c>
      <c r="C50" s="194" t="s">
        <v>93</v>
      </c>
      <c r="D50" s="419" t="s">
        <v>104</v>
      </c>
      <c r="E50" s="420"/>
      <c r="F50" s="420"/>
      <c r="G50" s="420"/>
      <c r="H50" s="420"/>
      <c r="I50" s="420"/>
      <c r="J50" s="420"/>
      <c r="K50" s="420"/>
      <c r="L50" s="420"/>
      <c r="M50" s="420"/>
      <c r="N50" s="420"/>
      <c r="O50" s="421"/>
      <c r="P50" s="397" t="s">
        <v>105</v>
      </c>
      <c r="Q50" s="422"/>
      <c r="R50" s="409" t="s">
        <v>106</v>
      </c>
      <c r="S50" s="407"/>
    </row>
    <row r="51" spans="1:19" x14ac:dyDescent="0.25">
      <c r="A51" s="388"/>
      <c r="B51" s="390"/>
      <c r="C51" s="189" t="s">
        <v>111</v>
      </c>
      <c r="D51" s="415" t="s">
        <v>79</v>
      </c>
      <c r="E51" s="416"/>
      <c r="F51" s="415" t="s">
        <v>10</v>
      </c>
      <c r="G51" s="416"/>
      <c r="H51" s="415" t="s">
        <v>11</v>
      </c>
      <c r="I51" s="416"/>
      <c r="J51" s="415" t="s">
        <v>12</v>
      </c>
      <c r="K51" s="416"/>
      <c r="L51" s="415" t="s">
        <v>102</v>
      </c>
      <c r="M51" s="416"/>
      <c r="N51" s="415" t="s">
        <v>103</v>
      </c>
      <c r="O51" s="416"/>
      <c r="P51" s="398"/>
      <c r="Q51" s="423"/>
      <c r="R51" s="410"/>
      <c r="S51" s="408"/>
    </row>
    <row r="52" spans="1:19" x14ac:dyDescent="0.25">
      <c r="A52" s="417"/>
      <c r="B52" s="418"/>
      <c r="C52" s="191" t="s">
        <v>1</v>
      </c>
      <c r="D52" s="174" t="s">
        <v>95</v>
      </c>
      <c r="E52" s="174" t="s">
        <v>88</v>
      </c>
      <c r="F52" s="174" t="s">
        <v>95</v>
      </c>
      <c r="G52" s="174" t="s">
        <v>88</v>
      </c>
      <c r="H52" s="174" t="s">
        <v>95</v>
      </c>
      <c r="I52" s="174" t="s">
        <v>88</v>
      </c>
      <c r="J52" s="174" t="s">
        <v>95</v>
      </c>
      <c r="K52" s="174" t="s">
        <v>88</v>
      </c>
      <c r="L52" s="174" t="s">
        <v>95</v>
      </c>
      <c r="M52" s="174" t="s">
        <v>88</v>
      </c>
      <c r="N52" s="174" t="s">
        <v>95</v>
      </c>
      <c r="O52" s="174" t="s">
        <v>88</v>
      </c>
      <c r="P52" s="174" t="s">
        <v>95</v>
      </c>
      <c r="Q52" s="174" t="s">
        <v>88</v>
      </c>
      <c r="R52" s="174" t="s">
        <v>95</v>
      </c>
      <c r="S52" s="190" t="s">
        <v>88</v>
      </c>
    </row>
    <row r="53" spans="1:19" ht="15.75" thickBot="1" x14ac:dyDescent="0.3">
      <c r="A53" s="160">
        <v>1</v>
      </c>
      <c r="B53" s="161">
        <v>2</v>
      </c>
      <c r="C53" s="193">
        <v>3</v>
      </c>
      <c r="D53" s="403">
        <v>11</v>
      </c>
      <c r="E53" s="413"/>
      <c r="F53" s="403">
        <v>12</v>
      </c>
      <c r="G53" s="413"/>
      <c r="H53" s="403">
        <v>13</v>
      </c>
      <c r="I53" s="413"/>
      <c r="J53" s="403">
        <v>14</v>
      </c>
      <c r="K53" s="413"/>
      <c r="L53" s="403">
        <v>15</v>
      </c>
      <c r="M53" s="413"/>
      <c r="N53" s="403">
        <v>16</v>
      </c>
      <c r="O53" s="413"/>
      <c r="P53" s="403">
        <v>17</v>
      </c>
      <c r="Q53" s="413"/>
      <c r="R53" s="403">
        <v>18</v>
      </c>
      <c r="S53" s="414"/>
    </row>
    <row r="54" spans="1:19" ht="15.75" thickTop="1" x14ac:dyDescent="0.25">
      <c r="A54" s="162">
        <v>1</v>
      </c>
      <c r="B54" s="163" t="s">
        <v>18</v>
      </c>
      <c r="C54" s="195">
        <v>287</v>
      </c>
      <c r="D54" s="195">
        <v>0</v>
      </c>
      <c r="E54" s="195"/>
      <c r="F54" s="195">
        <v>19</v>
      </c>
      <c r="G54" s="195"/>
      <c r="H54" s="195">
        <v>0</v>
      </c>
      <c r="I54" s="195"/>
      <c r="J54" s="195">
        <v>0</v>
      </c>
      <c r="K54" s="195"/>
      <c r="L54" s="195">
        <v>0</v>
      </c>
      <c r="M54" s="195"/>
      <c r="N54" s="195">
        <v>0</v>
      </c>
      <c r="O54" s="195"/>
      <c r="P54" s="195">
        <f>SUM(D54,F54,H54,J54,L54,N54)</f>
        <v>19</v>
      </c>
      <c r="Q54" s="195"/>
      <c r="R54" s="195">
        <f t="shared" ref="R54:S61" si="26">SUM(P40,P54)</f>
        <v>311</v>
      </c>
      <c r="S54" s="200">
        <f t="shared" si="26"/>
        <v>157.44499999999999</v>
      </c>
    </row>
    <row r="55" spans="1:19" x14ac:dyDescent="0.25">
      <c r="A55" s="164">
        <v>2</v>
      </c>
      <c r="B55" s="165" t="s">
        <v>19</v>
      </c>
      <c r="C55" s="196">
        <v>208</v>
      </c>
      <c r="D55" s="196">
        <v>27</v>
      </c>
      <c r="E55" s="196"/>
      <c r="F55" s="196">
        <v>20</v>
      </c>
      <c r="G55" s="196"/>
      <c r="H55" s="196">
        <v>5</v>
      </c>
      <c r="I55" s="196"/>
      <c r="J55" s="196">
        <v>0</v>
      </c>
      <c r="K55" s="196"/>
      <c r="L55" s="196">
        <v>0</v>
      </c>
      <c r="M55" s="196"/>
      <c r="N55" s="196">
        <v>0</v>
      </c>
      <c r="O55" s="196"/>
      <c r="P55" s="196">
        <f t="shared" ref="P55:P61" si="27">SUM(D55,F55,H55,J55,L55,N55)</f>
        <v>52</v>
      </c>
      <c r="Q55" s="196"/>
      <c r="R55" s="196">
        <f t="shared" si="26"/>
        <v>350</v>
      </c>
      <c r="S55" s="201">
        <f t="shared" si="26"/>
        <v>193.08600000000001</v>
      </c>
    </row>
    <row r="56" spans="1:19" x14ac:dyDescent="0.25">
      <c r="A56" s="164">
        <v>3</v>
      </c>
      <c r="B56" s="163" t="s">
        <v>20</v>
      </c>
      <c r="C56" s="196">
        <v>25</v>
      </c>
      <c r="D56" s="196">
        <v>10</v>
      </c>
      <c r="E56" s="196"/>
      <c r="F56" s="196">
        <v>0</v>
      </c>
      <c r="G56" s="196"/>
      <c r="H56" s="196">
        <v>0</v>
      </c>
      <c r="I56" s="196"/>
      <c r="J56" s="196">
        <v>0</v>
      </c>
      <c r="K56" s="196"/>
      <c r="L56" s="196">
        <v>0</v>
      </c>
      <c r="M56" s="196"/>
      <c r="N56" s="196">
        <v>0</v>
      </c>
      <c r="O56" s="196"/>
      <c r="P56" s="196">
        <f t="shared" si="27"/>
        <v>10</v>
      </c>
      <c r="Q56" s="196"/>
      <c r="R56" s="196">
        <f t="shared" si="26"/>
        <v>54</v>
      </c>
      <c r="S56" s="201">
        <f t="shared" si="26"/>
        <v>37.61</v>
      </c>
    </row>
    <row r="57" spans="1:19" x14ac:dyDescent="0.25">
      <c r="A57" s="166">
        <v>4</v>
      </c>
      <c r="B57" s="167" t="s">
        <v>21</v>
      </c>
      <c r="C57" s="196">
        <v>206</v>
      </c>
      <c r="D57" s="196">
        <v>0</v>
      </c>
      <c r="E57" s="196"/>
      <c r="F57" s="196">
        <v>27</v>
      </c>
      <c r="G57" s="196"/>
      <c r="H57" s="196">
        <v>0</v>
      </c>
      <c r="I57" s="196"/>
      <c r="J57" s="196">
        <v>0</v>
      </c>
      <c r="K57" s="196"/>
      <c r="L57" s="196">
        <v>0</v>
      </c>
      <c r="M57" s="196"/>
      <c r="N57" s="196">
        <v>5</v>
      </c>
      <c r="O57" s="196"/>
      <c r="P57" s="196">
        <f t="shared" si="27"/>
        <v>32</v>
      </c>
      <c r="Q57" s="196"/>
      <c r="R57" s="196">
        <f t="shared" si="26"/>
        <v>235</v>
      </c>
      <c r="S57" s="201">
        <f t="shared" si="26"/>
        <v>129.92699999999999</v>
      </c>
    </row>
    <row r="58" spans="1:19" x14ac:dyDescent="0.25">
      <c r="A58" s="166">
        <v>5</v>
      </c>
      <c r="B58" s="168" t="s">
        <v>22</v>
      </c>
      <c r="C58" s="196">
        <v>184</v>
      </c>
      <c r="D58" s="196">
        <v>5</v>
      </c>
      <c r="E58" s="196"/>
      <c r="F58" s="196">
        <v>12</v>
      </c>
      <c r="G58" s="196"/>
      <c r="H58" s="196">
        <v>0</v>
      </c>
      <c r="I58" s="196"/>
      <c r="J58" s="196">
        <v>0</v>
      </c>
      <c r="K58" s="196"/>
      <c r="L58" s="196">
        <v>0</v>
      </c>
      <c r="M58" s="196"/>
      <c r="N58" s="196">
        <v>0</v>
      </c>
      <c r="O58" s="196"/>
      <c r="P58" s="196">
        <f t="shared" si="27"/>
        <v>17</v>
      </c>
      <c r="Q58" s="196"/>
      <c r="R58" s="196">
        <f t="shared" si="26"/>
        <v>201</v>
      </c>
      <c r="S58" s="201">
        <f t="shared" si="26"/>
        <v>167.505</v>
      </c>
    </row>
    <row r="59" spans="1:19" x14ac:dyDescent="0.25">
      <c r="A59" s="166">
        <v>6</v>
      </c>
      <c r="B59" s="168" t="s">
        <v>23</v>
      </c>
      <c r="C59" s="196">
        <v>54</v>
      </c>
      <c r="D59" s="196">
        <v>0</v>
      </c>
      <c r="E59" s="196"/>
      <c r="F59" s="196">
        <v>10</v>
      </c>
      <c r="G59" s="196"/>
      <c r="H59" s="196">
        <v>0</v>
      </c>
      <c r="I59" s="196"/>
      <c r="J59" s="196">
        <v>0</v>
      </c>
      <c r="K59" s="196"/>
      <c r="L59" s="196">
        <v>0</v>
      </c>
      <c r="M59" s="196"/>
      <c r="N59" s="196">
        <v>0</v>
      </c>
      <c r="O59" s="196"/>
      <c r="P59" s="196">
        <f t="shared" si="27"/>
        <v>10</v>
      </c>
      <c r="Q59" s="196"/>
      <c r="R59" s="196">
        <f t="shared" si="26"/>
        <v>99</v>
      </c>
      <c r="S59" s="201">
        <f t="shared" si="26"/>
        <v>48.144999999999996</v>
      </c>
    </row>
    <row r="60" spans="1:19" x14ac:dyDescent="0.25">
      <c r="A60" s="166">
        <v>7</v>
      </c>
      <c r="B60" s="168" t="s">
        <v>24</v>
      </c>
      <c r="C60" s="196">
        <v>367</v>
      </c>
      <c r="D60" s="196">
        <v>90</v>
      </c>
      <c r="E60" s="196"/>
      <c r="F60" s="196">
        <v>28</v>
      </c>
      <c r="G60" s="196"/>
      <c r="H60" s="196">
        <v>0</v>
      </c>
      <c r="I60" s="196"/>
      <c r="J60" s="196">
        <v>0</v>
      </c>
      <c r="K60" s="196"/>
      <c r="L60" s="196">
        <v>0</v>
      </c>
      <c r="M60" s="196"/>
      <c r="N60" s="196">
        <v>0</v>
      </c>
      <c r="O60" s="196"/>
      <c r="P60" s="196">
        <f t="shared" si="27"/>
        <v>118</v>
      </c>
      <c r="Q60" s="196"/>
      <c r="R60" s="196">
        <f t="shared" si="26"/>
        <v>589</v>
      </c>
      <c r="S60" s="201">
        <f t="shared" si="26"/>
        <v>237.27199999999999</v>
      </c>
    </row>
    <row r="61" spans="1:19" ht="15.75" thickBot="1" x14ac:dyDescent="0.3">
      <c r="A61" s="169">
        <v>8</v>
      </c>
      <c r="B61" s="167" t="s">
        <v>25</v>
      </c>
      <c r="C61" s="199">
        <v>280</v>
      </c>
      <c r="D61" s="199">
        <v>0</v>
      </c>
      <c r="E61" s="199"/>
      <c r="F61" s="199">
        <v>97</v>
      </c>
      <c r="G61" s="199"/>
      <c r="H61" s="199">
        <v>34</v>
      </c>
      <c r="I61" s="199"/>
      <c r="J61" s="199">
        <v>0</v>
      </c>
      <c r="K61" s="199"/>
      <c r="L61" s="199">
        <v>0</v>
      </c>
      <c r="M61" s="199"/>
      <c r="N61" s="199">
        <v>0</v>
      </c>
      <c r="O61" s="199"/>
      <c r="P61" s="195">
        <f t="shared" si="27"/>
        <v>131</v>
      </c>
      <c r="Q61" s="195"/>
      <c r="R61" s="195">
        <f t="shared" si="26"/>
        <v>476</v>
      </c>
      <c r="S61" s="200">
        <f t="shared" si="26"/>
        <v>270.29899999999998</v>
      </c>
    </row>
    <row r="62" spans="1:19" ht="16.5" thickTop="1" thickBot="1" x14ac:dyDescent="0.3">
      <c r="A62" s="392" t="s">
        <v>26</v>
      </c>
      <c r="B62" s="393"/>
      <c r="C62" s="198">
        <f>SUM(C54:C61)</f>
        <v>1611</v>
      </c>
      <c r="D62" s="198">
        <f t="shared" ref="D62" si="28">SUM(D54:D61)</f>
        <v>132</v>
      </c>
      <c r="E62" s="198">
        <f t="shared" ref="E62" si="29">SUM(E54:E61)</f>
        <v>0</v>
      </c>
      <c r="F62" s="198">
        <f t="shared" ref="F62" si="30">SUM(F54:F61)</f>
        <v>213</v>
      </c>
      <c r="G62" s="198">
        <f t="shared" ref="G62" si="31">SUM(G54:G61)</f>
        <v>0</v>
      </c>
      <c r="H62" s="198">
        <f t="shared" ref="H62" si="32">SUM(H54:H61)</f>
        <v>39</v>
      </c>
      <c r="I62" s="198">
        <f t="shared" ref="I62" si="33">SUM(I54:I61)</f>
        <v>0</v>
      </c>
      <c r="J62" s="198">
        <f t="shared" ref="J62" si="34">SUM(J54:J61)</f>
        <v>0</v>
      </c>
      <c r="K62" s="198">
        <f t="shared" ref="K62" si="35">SUM(K54:K61)</f>
        <v>0</v>
      </c>
      <c r="L62" s="198">
        <f t="shared" ref="L62" si="36">SUM(L54:L61)</f>
        <v>0</v>
      </c>
      <c r="M62" s="198">
        <f t="shared" ref="M62" si="37">SUM(M54:M61)</f>
        <v>0</v>
      </c>
      <c r="N62" s="198">
        <f t="shared" ref="N62" si="38">SUM(N54:N61)</f>
        <v>5</v>
      </c>
      <c r="O62" s="198">
        <f t="shared" ref="O62" si="39">SUM(O54:O61)</f>
        <v>0</v>
      </c>
      <c r="P62" s="202">
        <f t="shared" ref="P62" si="40">SUM(P54:P61)</f>
        <v>389</v>
      </c>
      <c r="Q62" s="202">
        <f t="shared" ref="Q62" si="41">SUM(Q54:Q61)</f>
        <v>0</v>
      </c>
      <c r="R62" s="202">
        <f t="shared" ref="R62" si="42">SUM(R54:R61)</f>
        <v>2315</v>
      </c>
      <c r="S62" s="203">
        <f>SUM(S54:S61)</f>
        <v>1241.289</v>
      </c>
    </row>
    <row r="65" spans="1:19" ht="15.75" x14ac:dyDescent="0.25">
      <c r="A65" s="380" t="s">
        <v>109</v>
      </c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</row>
    <row r="66" spans="1:19" ht="15.75" x14ac:dyDescent="0.25">
      <c r="A66" s="380" t="s">
        <v>82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</row>
    <row r="67" spans="1:19" ht="15.75" thickBot="1" x14ac:dyDescent="0.3"/>
    <row r="68" spans="1:19" ht="25.5" x14ac:dyDescent="0.25">
      <c r="A68" s="387" t="s">
        <v>2</v>
      </c>
      <c r="B68" s="389" t="s">
        <v>3</v>
      </c>
      <c r="C68" s="188" t="s">
        <v>93</v>
      </c>
      <c r="D68" s="391" t="s">
        <v>94</v>
      </c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4" t="s">
        <v>83</v>
      </c>
      <c r="Q68" s="404"/>
      <c r="R68" s="187"/>
      <c r="S68" s="187"/>
    </row>
    <row r="69" spans="1:19" x14ac:dyDescent="0.25">
      <c r="A69" s="388"/>
      <c r="B69" s="390"/>
      <c r="C69" s="189" t="s">
        <v>112</v>
      </c>
      <c r="D69" s="395" t="s">
        <v>97</v>
      </c>
      <c r="E69" s="395"/>
      <c r="F69" s="395" t="s">
        <v>98</v>
      </c>
      <c r="G69" s="395"/>
      <c r="H69" s="395" t="s">
        <v>99</v>
      </c>
      <c r="I69" s="395"/>
      <c r="J69" s="395" t="s">
        <v>96</v>
      </c>
      <c r="K69" s="395"/>
      <c r="L69" s="395" t="s">
        <v>100</v>
      </c>
      <c r="M69" s="395"/>
      <c r="N69" s="395" t="s">
        <v>8</v>
      </c>
      <c r="O69" s="395"/>
      <c r="P69" s="395"/>
      <c r="Q69" s="405"/>
      <c r="R69" s="187"/>
      <c r="S69" s="187"/>
    </row>
    <row r="70" spans="1:19" x14ac:dyDescent="0.25">
      <c r="A70" s="388"/>
      <c r="B70" s="390"/>
      <c r="C70" s="191" t="s">
        <v>1</v>
      </c>
      <c r="D70" s="174" t="s">
        <v>95</v>
      </c>
      <c r="E70" s="174" t="s">
        <v>88</v>
      </c>
      <c r="F70" s="174" t="s">
        <v>95</v>
      </c>
      <c r="G70" s="174" t="s">
        <v>88</v>
      </c>
      <c r="H70" s="174" t="s">
        <v>95</v>
      </c>
      <c r="I70" s="174" t="s">
        <v>88</v>
      </c>
      <c r="J70" s="174" t="s">
        <v>95</v>
      </c>
      <c r="K70" s="174" t="s">
        <v>88</v>
      </c>
      <c r="L70" s="174" t="s">
        <v>95</v>
      </c>
      <c r="M70" s="174" t="s">
        <v>88</v>
      </c>
      <c r="N70" s="174" t="s">
        <v>95</v>
      </c>
      <c r="O70" s="174" t="s">
        <v>88</v>
      </c>
      <c r="P70" s="174" t="s">
        <v>95</v>
      </c>
      <c r="Q70" s="190" t="s">
        <v>88</v>
      </c>
      <c r="R70" s="187"/>
      <c r="S70" s="187"/>
    </row>
    <row r="71" spans="1:19" ht="15.75" thickBot="1" x14ac:dyDescent="0.3">
      <c r="A71" s="160">
        <v>1</v>
      </c>
      <c r="B71" s="161">
        <v>2</v>
      </c>
      <c r="C71" s="192">
        <v>3</v>
      </c>
      <c r="D71" s="396">
        <v>4</v>
      </c>
      <c r="E71" s="396"/>
      <c r="F71" s="396">
        <v>5</v>
      </c>
      <c r="G71" s="396"/>
      <c r="H71" s="396">
        <v>6</v>
      </c>
      <c r="I71" s="396"/>
      <c r="J71" s="396">
        <v>7</v>
      </c>
      <c r="K71" s="396"/>
      <c r="L71" s="396">
        <v>8</v>
      </c>
      <c r="M71" s="396"/>
      <c r="N71" s="396">
        <v>9</v>
      </c>
      <c r="O71" s="396"/>
      <c r="P71" s="396">
        <v>10</v>
      </c>
      <c r="Q71" s="406"/>
      <c r="R71" s="187"/>
      <c r="S71" s="187"/>
    </row>
    <row r="72" spans="1:19" ht="15.75" thickTop="1" x14ac:dyDescent="0.25">
      <c r="A72" s="162">
        <v>1</v>
      </c>
      <c r="B72" s="163" t="s">
        <v>18</v>
      </c>
      <c r="C72" s="195">
        <v>1512</v>
      </c>
      <c r="D72" s="195">
        <v>0</v>
      </c>
      <c r="E72" s="195">
        <v>0</v>
      </c>
      <c r="F72" s="195">
        <v>0</v>
      </c>
      <c r="G72" s="195">
        <v>0</v>
      </c>
      <c r="H72" s="195">
        <v>0</v>
      </c>
      <c r="I72" s="195">
        <v>0</v>
      </c>
      <c r="J72" s="195">
        <v>0</v>
      </c>
      <c r="K72" s="195">
        <v>0</v>
      </c>
      <c r="L72" s="195">
        <v>0</v>
      </c>
      <c r="M72" s="195"/>
      <c r="N72" s="195">
        <v>0</v>
      </c>
      <c r="O72" s="195"/>
      <c r="P72" s="195">
        <f>SUM(D72,F72,H72,J72,L72,N72)</f>
        <v>0</v>
      </c>
      <c r="Q72" s="200">
        <f>SUM(E72,G72,I72,K72,M72,O72)</f>
        <v>0</v>
      </c>
      <c r="R72" s="187"/>
      <c r="S72" s="187"/>
    </row>
    <row r="73" spans="1:19" x14ac:dyDescent="0.25">
      <c r="A73" s="164">
        <v>2</v>
      </c>
      <c r="B73" s="165" t="s">
        <v>19</v>
      </c>
      <c r="C73" s="196">
        <v>35</v>
      </c>
      <c r="D73" s="196">
        <v>0</v>
      </c>
      <c r="E73" s="196">
        <v>0</v>
      </c>
      <c r="F73" s="196">
        <v>0</v>
      </c>
      <c r="G73" s="196">
        <v>0</v>
      </c>
      <c r="H73" s="196">
        <v>0</v>
      </c>
      <c r="I73" s="196">
        <v>0</v>
      </c>
      <c r="J73" s="196">
        <v>0</v>
      </c>
      <c r="K73" s="196">
        <v>0</v>
      </c>
      <c r="L73" s="196">
        <v>0</v>
      </c>
      <c r="M73" s="196"/>
      <c r="N73" s="196">
        <v>0</v>
      </c>
      <c r="O73" s="196"/>
      <c r="P73" s="196">
        <f t="shared" ref="P73:P79" si="43">SUM(D73,F73,H73,J73,L73,N73)</f>
        <v>0</v>
      </c>
      <c r="Q73" s="201">
        <f t="shared" ref="Q73:Q79" si="44">SUM(E73,G73,I73,K73,M73,O73)</f>
        <v>0</v>
      </c>
      <c r="R73" s="187"/>
      <c r="S73" s="187"/>
    </row>
    <row r="74" spans="1:19" x14ac:dyDescent="0.25">
      <c r="A74" s="164">
        <v>3</v>
      </c>
      <c r="B74" s="163" t="s">
        <v>20</v>
      </c>
      <c r="C74" s="196">
        <v>250</v>
      </c>
      <c r="D74" s="196">
        <v>40</v>
      </c>
      <c r="E74" s="196">
        <v>0</v>
      </c>
      <c r="F74" s="196">
        <v>0</v>
      </c>
      <c r="G74" s="196">
        <v>4</v>
      </c>
      <c r="H74" s="196">
        <v>0</v>
      </c>
      <c r="I74" s="196">
        <v>24.175000000000001</v>
      </c>
      <c r="J74" s="196">
        <v>0</v>
      </c>
      <c r="K74" s="196">
        <v>0</v>
      </c>
      <c r="L74" s="196">
        <v>0</v>
      </c>
      <c r="M74" s="196"/>
      <c r="N74" s="196">
        <v>0</v>
      </c>
      <c r="O74" s="196"/>
      <c r="P74" s="196">
        <f t="shared" si="43"/>
        <v>40</v>
      </c>
      <c r="Q74" s="201">
        <f t="shared" si="44"/>
        <v>28.175000000000001</v>
      </c>
      <c r="R74" s="187"/>
      <c r="S74" s="187"/>
    </row>
    <row r="75" spans="1:19" x14ac:dyDescent="0.25">
      <c r="A75" s="166">
        <v>4</v>
      </c>
      <c r="B75" s="167" t="s">
        <v>21</v>
      </c>
      <c r="C75" s="196">
        <v>0</v>
      </c>
      <c r="D75" s="196">
        <v>0</v>
      </c>
      <c r="E75" s="196">
        <v>0</v>
      </c>
      <c r="F75" s="196">
        <v>0</v>
      </c>
      <c r="G75" s="196">
        <v>0</v>
      </c>
      <c r="H75" s="196">
        <v>0</v>
      </c>
      <c r="I75" s="196">
        <v>0</v>
      </c>
      <c r="J75" s="196">
        <v>0</v>
      </c>
      <c r="K75" s="196">
        <v>0</v>
      </c>
      <c r="L75" s="196">
        <v>0</v>
      </c>
      <c r="M75" s="196"/>
      <c r="N75" s="196">
        <v>0</v>
      </c>
      <c r="O75" s="196"/>
      <c r="P75" s="196">
        <f t="shared" si="43"/>
        <v>0</v>
      </c>
      <c r="Q75" s="201">
        <f t="shared" si="44"/>
        <v>0</v>
      </c>
      <c r="R75" s="187"/>
      <c r="S75" s="187"/>
    </row>
    <row r="76" spans="1:19" x14ac:dyDescent="0.25">
      <c r="A76" s="166">
        <v>5</v>
      </c>
      <c r="B76" s="168" t="s">
        <v>22</v>
      </c>
      <c r="C76" s="196">
        <v>179</v>
      </c>
      <c r="D76" s="196">
        <v>0</v>
      </c>
      <c r="E76" s="196">
        <v>0</v>
      </c>
      <c r="F76" s="196">
        <v>0</v>
      </c>
      <c r="G76" s="196">
        <v>0</v>
      </c>
      <c r="H76" s="196">
        <v>0</v>
      </c>
      <c r="I76" s="196">
        <v>0</v>
      </c>
      <c r="J76" s="196">
        <v>0</v>
      </c>
      <c r="K76" s="196">
        <v>0</v>
      </c>
      <c r="L76" s="196">
        <v>0</v>
      </c>
      <c r="M76" s="196"/>
      <c r="N76" s="196">
        <v>0</v>
      </c>
      <c r="O76" s="196"/>
      <c r="P76" s="196">
        <f t="shared" si="43"/>
        <v>0</v>
      </c>
      <c r="Q76" s="201">
        <f t="shared" si="44"/>
        <v>0</v>
      </c>
      <c r="R76" s="187"/>
      <c r="S76" s="187"/>
    </row>
    <row r="77" spans="1:19" x14ac:dyDescent="0.25">
      <c r="A77" s="166">
        <v>6</v>
      </c>
      <c r="B77" s="168" t="s">
        <v>23</v>
      </c>
      <c r="C77" s="196">
        <v>5</v>
      </c>
      <c r="D77" s="196">
        <v>0</v>
      </c>
      <c r="E77" s="196">
        <v>0</v>
      </c>
      <c r="F77" s="196">
        <v>0</v>
      </c>
      <c r="G77" s="196">
        <v>0</v>
      </c>
      <c r="H77" s="196">
        <v>0</v>
      </c>
      <c r="I77" s="196">
        <v>0</v>
      </c>
      <c r="J77" s="196">
        <v>0</v>
      </c>
      <c r="K77" s="196">
        <v>0</v>
      </c>
      <c r="L77" s="196">
        <v>0</v>
      </c>
      <c r="M77" s="196"/>
      <c r="N77" s="196">
        <v>0</v>
      </c>
      <c r="O77" s="196"/>
      <c r="P77" s="196">
        <f t="shared" si="43"/>
        <v>0</v>
      </c>
      <c r="Q77" s="201">
        <f t="shared" si="44"/>
        <v>0</v>
      </c>
      <c r="R77" s="187"/>
      <c r="S77" s="187"/>
    </row>
    <row r="78" spans="1:19" x14ac:dyDescent="0.25">
      <c r="A78" s="166">
        <v>7</v>
      </c>
      <c r="B78" s="168" t="s">
        <v>24</v>
      </c>
      <c r="C78" s="196">
        <v>38</v>
      </c>
      <c r="D78" s="196">
        <v>0</v>
      </c>
      <c r="E78" s="196">
        <v>0</v>
      </c>
      <c r="F78" s="196">
        <v>0</v>
      </c>
      <c r="G78" s="196">
        <v>0</v>
      </c>
      <c r="H78" s="196">
        <v>0</v>
      </c>
      <c r="I78" s="196">
        <v>0</v>
      </c>
      <c r="J78" s="196">
        <v>0</v>
      </c>
      <c r="K78" s="196">
        <v>0</v>
      </c>
      <c r="L78" s="196">
        <v>0</v>
      </c>
      <c r="M78" s="196"/>
      <c r="N78" s="196">
        <v>0</v>
      </c>
      <c r="O78" s="196"/>
      <c r="P78" s="196">
        <f t="shared" si="43"/>
        <v>0</v>
      </c>
      <c r="Q78" s="201">
        <f t="shared" si="44"/>
        <v>0</v>
      </c>
      <c r="R78" s="187"/>
      <c r="S78" s="187"/>
    </row>
    <row r="79" spans="1:19" ht="15.75" thickBot="1" x14ac:dyDescent="0.3">
      <c r="A79" s="169">
        <v>8</v>
      </c>
      <c r="B79" s="167" t="s">
        <v>25</v>
      </c>
      <c r="C79" s="197">
        <v>0</v>
      </c>
      <c r="D79" s="197">
        <v>0</v>
      </c>
      <c r="E79" s="197">
        <v>0</v>
      </c>
      <c r="F79" s="197">
        <v>0</v>
      </c>
      <c r="G79" s="197">
        <v>0</v>
      </c>
      <c r="H79" s="197">
        <v>0</v>
      </c>
      <c r="I79" s="197">
        <v>0</v>
      </c>
      <c r="J79" s="197">
        <v>0</v>
      </c>
      <c r="K79" s="197">
        <v>0</v>
      </c>
      <c r="L79" s="197">
        <v>0</v>
      </c>
      <c r="M79" s="197"/>
      <c r="N79" s="197">
        <v>0</v>
      </c>
      <c r="O79" s="197"/>
      <c r="P79" s="195">
        <f t="shared" si="43"/>
        <v>0</v>
      </c>
      <c r="Q79" s="200">
        <f t="shared" si="44"/>
        <v>0</v>
      </c>
      <c r="R79" s="187"/>
      <c r="S79" s="187"/>
    </row>
    <row r="80" spans="1:19" ht="16.5" thickTop="1" thickBot="1" x14ac:dyDescent="0.3">
      <c r="A80" s="392" t="s">
        <v>26</v>
      </c>
      <c r="B80" s="393"/>
      <c r="C80" s="198">
        <f>SUM(C72:C79)</f>
        <v>2019</v>
      </c>
      <c r="D80" s="198">
        <f t="shared" ref="D80" si="45">SUM(D72:D79)</f>
        <v>40</v>
      </c>
      <c r="E80" s="198">
        <f t="shared" ref="E80" si="46">SUM(E72:E79)</f>
        <v>0</v>
      </c>
      <c r="F80" s="198">
        <f t="shared" ref="F80" si="47">SUM(F72:F79)</f>
        <v>0</v>
      </c>
      <c r="G80" s="198">
        <f t="shared" ref="G80" si="48">SUM(G72:G79)</f>
        <v>4</v>
      </c>
      <c r="H80" s="198">
        <f t="shared" ref="H80" si="49">SUM(H72:H79)</f>
        <v>0</v>
      </c>
      <c r="I80" s="198">
        <f t="shared" ref="I80" si="50">SUM(I72:I79)</f>
        <v>24.175000000000001</v>
      </c>
      <c r="J80" s="198">
        <f t="shared" ref="J80" si="51">SUM(J72:J79)</f>
        <v>0</v>
      </c>
      <c r="K80" s="198">
        <f t="shared" ref="K80" si="52">SUM(K72:K79)</f>
        <v>0</v>
      </c>
      <c r="L80" s="198">
        <f t="shared" ref="L80" si="53">SUM(L72:L79)</f>
        <v>0</v>
      </c>
      <c r="M80" s="198">
        <f t="shared" ref="M80" si="54">SUM(M72:M79)</f>
        <v>0</v>
      </c>
      <c r="N80" s="198">
        <f t="shared" ref="N80" si="55">SUM(N72:N79)</f>
        <v>0</v>
      </c>
      <c r="O80" s="198">
        <f t="shared" ref="O80" si="56">SUM(O72:O79)</f>
        <v>0</v>
      </c>
      <c r="P80" s="202">
        <f t="shared" ref="P80" si="57">SUM(P72:P79)</f>
        <v>40</v>
      </c>
      <c r="Q80" s="203">
        <f>SUM(Q72:Q79)</f>
        <v>28.175000000000001</v>
      </c>
      <c r="R80" s="187"/>
      <c r="S80" s="187"/>
    </row>
    <row r="81" spans="1:19" ht="15.75" thickBot="1" x14ac:dyDescent="0.3">
      <c r="A81" s="186"/>
      <c r="B81" s="186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187"/>
      <c r="S81" s="187"/>
    </row>
    <row r="82" spans="1:19" ht="25.5" x14ac:dyDescent="0.25">
      <c r="A82" s="387" t="s">
        <v>2</v>
      </c>
      <c r="B82" s="389" t="s">
        <v>3</v>
      </c>
      <c r="C82" s="194" t="s">
        <v>93</v>
      </c>
      <c r="D82" s="391" t="s">
        <v>104</v>
      </c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4" t="s">
        <v>105</v>
      </c>
      <c r="Q82" s="394"/>
      <c r="R82" s="401" t="s">
        <v>106</v>
      </c>
      <c r="S82" s="399"/>
    </row>
    <row r="83" spans="1:19" x14ac:dyDescent="0.25">
      <c r="A83" s="388"/>
      <c r="B83" s="390"/>
      <c r="C83" s="189" t="s">
        <v>112</v>
      </c>
      <c r="D83" s="395" t="s">
        <v>79</v>
      </c>
      <c r="E83" s="395"/>
      <c r="F83" s="395" t="s">
        <v>10</v>
      </c>
      <c r="G83" s="395"/>
      <c r="H83" s="395" t="s">
        <v>11</v>
      </c>
      <c r="I83" s="395"/>
      <c r="J83" s="395" t="s">
        <v>12</v>
      </c>
      <c r="K83" s="395"/>
      <c r="L83" s="395" t="s">
        <v>102</v>
      </c>
      <c r="M83" s="395"/>
      <c r="N83" s="395" t="s">
        <v>103</v>
      </c>
      <c r="O83" s="395"/>
      <c r="P83" s="395"/>
      <c r="Q83" s="395"/>
      <c r="R83" s="402"/>
      <c r="S83" s="400"/>
    </row>
    <row r="84" spans="1:19" x14ac:dyDescent="0.25">
      <c r="A84" s="388"/>
      <c r="B84" s="390"/>
      <c r="C84" s="191" t="s">
        <v>1</v>
      </c>
      <c r="D84" s="174" t="s">
        <v>95</v>
      </c>
      <c r="E84" s="174" t="s">
        <v>88</v>
      </c>
      <c r="F84" s="174" t="s">
        <v>95</v>
      </c>
      <c r="G84" s="174" t="s">
        <v>88</v>
      </c>
      <c r="H84" s="174" t="s">
        <v>95</v>
      </c>
      <c r="I84" s="174" t="s">
        <v>88</v>
      </c>
      <c r="J84" s="174" t="s">
        <v>95</v>
      </c>
      <c r="K84" s="174" t="s">
        <v>88</v>
      </c>
      <c r="L84" s="174" t="s">
        <v>95</v>
      </c>
      <c r="M84" s="174" t="s">
        <v>88</v>
      </c>
      <c r="N84" s="174" t="s">
        <v>95</v>
      </c>
      <c r="O84" s="174" t="s">
        <v>88</v>
      </c>
      <c r="P84" s="174" t="s">
        <v>95</v>
      </c>
      <c r="Q84" s="174" t="s">
        <v>88</v>
      </c>
      <c r="R84" s="174" t="s">
        <v>95</v>
      </c>
      <c r="S84" s="190" t="s">
        <v>88</v>
      </c>
    </row>
    <row r="85" spans="1:19" ht="15.75" thickBot="1" x14ac:dyDescent="0.3">
      <c r="A85" s="160">
        <v>1</v>
      </c>
      <c r="B85" s="161">
        <v>2</v>
      </c>
      <c r="C85" s="192">
        <v>3</v>
      </c>
      <c r="D85" s="396">
        <v>11</v>
      </c>
      <c r="E85" s="396"/>
      <c r="F85" s="396">
        <v>12</v>
      </c>
      <c r="G85" s="396"/>
      <c r="H85" s="396">
        <v>13</v>
      </c>
      <c r="I85" s="396"/>
      <c r="J85" s="396">
        <v>14</v>
      </c>
      <c r="K85" s="396"/>
      <c r="L85" s="396">
        <v>15</v>
      </c>
      <c r="M85" s="396"/>
      <c r="N85" s="396">
        <v>16</v>
      </c>
      <c r="O85" s="396"/>
      <c r="P85" s="396">
        <v>17</v>
      </c>
      <c r="Q85" s="396"/>
      <c r="R85" s="396">
        <v>18</v>
      </c>
      <c r="S85" s="406"/>
    </row>
    <row r="86" spans="1:19" ht="15.75" thickTop="1" x14ac:dyDescent="0.25">
      <c r="A86" s="162">
        <v>1</v>
      </c>
      <c r="B86" s="163" t="s">
        <v>18</v>
      </c>
      <c r="C86" s="195">
        <v>1512</v>
      </c>
      <c r="D86" s="195">
        <v>0</v>
      </c>
      <c r="E86" s="195"/>
      <c r="F86" s="195">
        <v>0</v>
      </c>
      <c r="G86" s="195"/>
      <c r="H86" s="195">
        <v>0</v>
      </c>
      <c r="I86" s="195"/>
      <c r="J86" s="195">
        <v>0</v>
      </c>
      <c r="K86" s="195"/>
      <c r="L86" s="195">
        <v>0</v>
      </c>
      <c r="M86" s="195"/>
      <c r="N86" s="195">
        <v>0</v>
      </c>
      <c r="O86" s="195"/>
      <c r="P86" s="195">
        <f>SUM(D86,F86,H86,J86,L86,N86)</f>
        <v>0</v>
      </c>
      <c r="Q86" s="195"/>
      <c r="R86" s="195">
        <f t="shared" ref="R86:S93" si="58">SUM(P72,P86)</f>
        <v>0</v>
      </c>
      <c r="S86" s="200">
        <f t="shared" si="58"/>
        <v>0</v>
      </c>
    </row>
    <row r="87" spans="1:19" x14ac:dyDescent="0.25">
      <c r="A87" s="164">
        <v>2</v>
      </c>
      <c r="B87" s="165" t="s">
        <v>19</v>
      </c>
      <c r="C87" s="196">
        <v>35</v>
      </c>
      <c r="D87" s="196">
        <v>0</v>
      </c>
      <c r="E87" s="196"/>
      <c r="F87" s="196">
        <v>0</v>
      </c>
      <c r="G87" s="196"/>
      <c r="H87" s="196">
        <v>0</v>
      </c>
      <c r="I87" s="196"/>
      <c r="J87" s="196">
        <v>0</v>
      </c>
      <c r="K87" s="196"/>
      <c r="L87" s="196">
        <v>0</v>
      </c>
      <c r="M87" s="196"/>
      <c r="N87" s="196">
        <v>0</v>
      </c>
      <c r="O87" s="196"/>
      <c r="P87" s="196">
        <f t="shared" ref="P87:P93" si="59">SUM(D87,F87,H87,J87,L87,N87)</f>
        <v>0</v>
      </c>
      <c r="Q87" s="196"/>
      <c r="R87" s="196">
        <f t="shared" si="58"/>
        <v>0</v>
      </c>
      <c r="S87" s="201">
        <f t="shared" si="58"/>
        <v>0</v>
      </c>
    </row>
    <row r="88" spans="1:19" x14ac:dyDescent="0.25">
      <c r="A88" s="164">
        <v>3</v>
      </c>
      <c r="B88" s="163" t="s">
        <v>20</v>
      </c>
      <c r="C88" s="196">
        <v>250</v>
      </c>
      <c r="D88" s="196">
        <v>0</v>
      </c>
      <c r="E88" s="196"/>
      <c r="F88" s="196">
        <v>0</v>
      </c>
      <c r="G88" s="196"/>
      <c r="H88" s="196">
        <v>0</v>
      </c>
      <c r="I88" s="196"/>
      <c r="J88" s="196">
        <v>0</v>
      </c>
      <c r="K88" s="196"/>
      <c r="L88" s="196">
        <v>0</v>
      </c>
      <c r="M88" s="196"/>
      <c r="N88" s="196">
        <v>0</v>
      </c>
      <c r="O88" s="196"/>
      <c r="P88" s="196">
        <f t="shared" si="59"/>
        <v>0</v>
      </c>
      <c r="Q88" s="196"/>
      <c r="R88" s="196">
        <f t="shared" si="58"/>
        <v>40</v>
      </c>
      <c r="S88" s="201">
        <f t="shared" si="58"/>
        <v>28.175000000000001</v>
      </c>
    </row>
    <row r="89" spans="1:19" x14ac:dyDescent="0.25">
      <c r="A89" s="166">
        <v>4</v>
      </c>
      <c r="B89" s="167" t="s">
        <v>21</v>
      </c>
      <c r="C89" s="196">
        <v>0</v>
      </c>
      <c r="D89" s="196">
        <v>0</v>
      </c>
      <c r="E89" s="196"/>
      <c r="F89" s="196">
        <v>0</v>
      </c>
      <c r="G89" s="196"/>
      <c r="H89" s="196">
        <v>0</v>
      </c>
      <c r="I89" s="196"/>
      <c r="J89" s="196">
        <v>0</v>
      </c>
      <c r="K89" s="196"/>
      <c r="L89" s="196">
        <v>0</v>
      </c>
      <c r="M89" s="196"/>
      <c r="N89" s="196">
        <v>0</v>
      </c>
      <c r="O89" s="196"/>
      <c r="P89" s="196">
        <f t="shared" si="59"/>
        <v>0</v>
      </c>
      <c r="Q89" s="196"/>
      <c r="R89" s="196">
        <f t="shared" si="58"/>
        <v>0</v>
      </c>
      <c r="S89" s="201">
        <f t="shared" si="58"/>
        <v>0</v>
      </c>
    </row>
    <row r="90" spans="1:19" x14ac:dyDescent="0.25">
      <c r="A90" s="166">
        <v>5</v>
      </c>
      <c r="B90" s="168" t="s">
        <v>22</v>
      </c>
      <c r="C90" s="196">
        <v>179</v>
      </c>
      <c r="D90" s="196">
        <v>0</v>
      </c>
      <c r="E90" s="196"/>
      <c r="F90" s="196">
        <v>0</v>
      </c>
      <c r="G90" s="196"/>
      <c r="H90" s="196">
        <v>0</v>
      </c>
      <c r="I90" s="196"/>
      <c r="J90" s="196">
        <v>0</v>
      </c>
      <c r="K90" s="196"/>
      <c r="L90" s="196">
        <v>0</v>
      </c>
      <c r="M90" s="196"/>
      <c r="N90" s="196">
        <v>0</v>
      </c>
      <c r="O90" s="196"/>
      <c r="P90" s="196">
        <f t="shared" si="59"/>
        <v>0</v>
      </c>
      <c r="Q90" s="196"/>
      <c r="R90" s="196">
        <f t="shared" si="58"/>
        <v>0</v>
      </c>
      <c r="S90" s="201">
        <f t="shared" si="58"/>
        <v>0</v>
      </c>
    </row>
    <row r="91" spans="1:19" x14ac:dyDescent="0.25">
      <c r="A91" s="166">
        <v>6</v>
      </c>
      <c r="B91" s="168" t="s">
        <v>23</v>
      </c>
      <c r="C91" s="196">
        <v>5</v>
      </c>
      <c r="D91" s="196">
        <v>0</v>
      </c>
      <c r="E91" s="196"/>
      <c r="F91" s="196">
        <v>0</v>
      </c>
      <c r="G91" s="196"/>
      <c r="H91" s="196">
        <v>0</v>
      </c>
      <c r="I91" s="196"/>
      <c r="J91" s="196">
        <v>0</v>
      </c>
      <c r="K91" s="196"/>
      <c r="L91" s="196">
        <v>0</v>
      </c>
      <c r="M91" s="196"/>
      <c r="N91" s="196">
        <v>0</v>
      </c>
      <c r="O91" s="196"/>
      <c r="P91" s="196">
        <f t="shared" si="59"/>
        <v>0</v>
      </c>
      <c r="Q91" s="196"/>
      <c r="R91" s="196">
        <f t="shared" si="58"/>
        <v>0</v>
      </c>
      <c r="S91" s="201">
        <f t="shared" si="58"/>
        <v>0</v>
      </c>
    </row>
    <row r="92" spans="1:19" x14ac:dyDescent="0.25">
      <c r="A92" s="166">
        <v>7</v>
      </c>
      <c r="B92" s="168" t="s">
        <v>24</v>
      </c>
      <c r="C92" s="196">
        <v>38</v>
      </c>
      <c r="D92" s="196">
        <v>0</v>
      </c>
      <c r="E92" s="196"/>
      <c r="F92" s="196">
        <v>0</v>
      </c>
      <c r="G92" s="196"/>
      <c r="H92" s="196">
        <v>0</v>
      </c>
      <c r="I92" s="196"/>
      <c r="J92" s="196">
        <v>0</v>
      </c>
      <c r="K92" s="196"/>
      <c r="L92" s="196">
        <v>0</v>
      </c>
      <c r="M92" s="196"/>
      <c r="N92" s="196">
        <v>0</v>
      </c>
      <c r="O92" s="196"/>
      <c r="P92" s="196">
        <f t="shared" si="59"/>
        <v>0</v>
      </c>
      <c r="Q92" s="196"/>
      <c r="R92" s="196">
        <f t="shared" si="58"/>
        <v>0</v>
      </c>
      <c r="S92" s="201">
        <f t="shared" si="58"/>
        <v>0</v>
      </c>
    </row>
    <row r="93" spans="1:19" ht="15.75" thickBot="1" x14ac:dyDescent="0.3">
      <c r="A93" s="169">
        <v>8</v>
      </c>
      <c r="B93" s="167" t="s">
        <v>25</v>
      </c>
      <c r="C93" s="199">
        <v>0</v>
      </c>
      <c r="D93" s="197">
        <v>0</v>
      </c>
      <c r="E93" s="199"/>
      <c r="F93" s="197">
        <v>0</v>
      </c>
      <c r="G93" s="199"/>
      <c r="H93" s="197">
        <v>0</v>
      </c>
      <c r="I93" s="199"/>
      <c r="J93" s="199">
        <v>0</v>
      </c>
      <c r="K93" s="199"/>
      <c r="L93" s="199">
        <v>0</v>
      </c>
      <c r="M93" s="199"/>
      <c r="N93" s="197">
        <v>0</v>
      </c>
      <c r="O93" s="199"/>
      <c r="P93" s="195">
        <f t="shared" si="59"/>
        <v>0</v>
      </c>
      <c r="Q93" s="195"/>
      <c r="R93" s="195">
        <f t="shared" si="58"/>
        <v>0</v>
      </c>
      <c r="S93" s="200">
        <f t="shared" si="58"/>
        <v>0</v>
      </c>
    </row>
    <row r="94" spans="1:19" ht="16.5" thickTop="1" thickBot="1" x14ac:dyDescent="0.3">
      <c r="A94" s="392" t="s">
        <v>26</v>
      </c>
      <c r="B94" s="393"/>
      <c r="C94" s="198">
        <f>SUM(C86:C93)</f>
        <v>2019</v>
      </c>
      <c r="D94" s="198">
        <f t="shared" ref="D94" si="60">SUM(D86:D93)</f>
        <v>0</v>
      </c>
      <c r="E94" s="198">
        <f t="shared" ref="E94" si="61">SUM(E86:E93)</f>
        <v>0</v>
      </c>
      <c r="F94" s="198">
        <f t="shared" ref="F94" si="62">SUM(F86:F93)</f>
        <v>0</v>
      </c>
      <c r="G94" s="198">
        <f t="shared" ref="G94" si="63">SUM(G86:G93)</f>
        <v>0</v>
      </c>
      <c r="H94" s="198">
        <f t="shared" ref="H94" si="64">SUM(H86:H93)</f>
        <v>0</v>
      </c>
      <c r="I94" s="198">
        <f t="shared" ref="I94" si="65">SUM(I86:I93)</f>
        <v>0</v>
      </c>
      <c r="J94" s="198">
        <f t="shared" ref="J94" si="66">SUM(J86:J93)</f>
        <v>0</v>
      </c>
      <c r="K94" s="198">
        <f t="shared" ref="K94" si="67">SUM(K86:K93)</f>
        <v>0</v>
      </c>
      <c r="L94" s="198">
        <f t="shared" ref="L94" si="68">SUM(L86:L93)</f>
        <v>0</v>
      </c>
      <c r="M94" s="198">
        <f t="shared" ref="M94" si="69">SUM(M86:M93)</f>
        <v>0</v>
      </c>
      <c r="N94" s="198">
        <f t="shared" ref="N94" si="70">SUM(N86:N93)</f>
        <v>0</v>
      </c>
      <c r="O94" s="198">
        <f t="shared" ref="O94" si="71">SUM(O86:O93)</f>
        <v>0</v>
      </c>
      <c r="P94" s="202">
        <f t="shared" ref="P94" si="72">SUM(P86:P93)</f>
        <v>0</v>
      </c>
      <c r="Q94" s="202">
        <f t="shared" ref="Q94" si="73">SUM(Q86:Q93)</f>
        <v>0</v>
      </c>
      <c r="R94" s="202">
        <f t="shared" ref="R94" si="74">SUM(R86:R93)</f>
        <v>40</v>
      </c>
      <c r="S94" s="203">
        <f>SUM(S86:S93)</f>
        <v>28.175000000000001</v>
      </c>
    </row>
    <row r="97" spans="1:25" ht="15.75" x14ac:dyDescent="0.25">
      <c r="A97" s="380" t="s">
        <v>110</v>
      </c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</row>
    <row r="98" spans="1:25" ht="15.75" x14ac:dyDescent="0.25">
      <c r="A98" s="380" t="s">
        <v>82</v>
      </c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</row>
    <row r="99" spans="1:25" ht="15.75" thickBot="1" x14ac:dyDescent="0.3"/>
    <row r="100" spans="1:25" ht="25.5" x14ac:dyDescent="0.25">
      <c r="A100" s="387" t="s">
        <v>2</v>
      </c>
      <c r="B100" s="389" t="s">
        <v>3</v>
      </c>
      <c r="C100" s="188" t="s">
        <v>93</v>
      </c>
      <c r="D100" s="391" t="s">
        <v>94</v>
      </c>
      <c r="E100" s="391"/>
      <c r="F100" s="391"/>
      <c r="G100" s="391"/>
      <c r="H100" s="391"/>
      <c r="I100" s="391"/>
      <c r="J100" s="391"/>
      <c r="K100" s="391"/>
      <c r="L100" s="391"/>
      <c r="M100" s="391"/>
      <c r="N100" s="391"/>
      <c r="O100" s="391"/>
      <c r="P100" s="394" t="s">
        <v>83</v>
      </c>
      <c r="Q100" s="404"/>
      <c r="R100" s="187"/>
      <c r="S100" s="187"/>
    </row>
    <row r="101" spans="1:25" ht="25.5" x14ac:dyDescent="0.25">
      <c r="A101" s="388"/>
      <c r="B101" s="390"/>
      <c r="C101" s="189" t="s">
        <v>101</v>
      </c>
      <c r="D101" s="395" t="s">
        <v>97</v>
      </c>
      <c r="E101" s="395"/>
      <c r="F101" s="395" t="s">
        <v>98</v>
      </c>
      <c r="G101" s="395"/>
      <c r="H101" s="395" t="s">
        <v>99</v>
      </c>
      <c r="I101" s="395"/>
      <c r="J101" s="395" t="s">
        <v>96</v>
      </c>
      <c r="K101" s="395"/>
      <c r="L101" s="395" t="s">
        <v>100</v>
      </c>
      <c r="M101" s="395"/>
      <c r="N101" s="395" t="s">
        <v>8</v>
      </c>
      <c r="O101" s="395"/>
      <c r="P101" s="395"/>
      <c r="Q101" s="405"/>
      <c r="R101" s="187"/>
      <c r="S101" s="187"/>
    </row>
    <row r="102" spans="1:25" x14ac:dyDescent="0.25">
      <c r="A102" s="388"/>
      <c r="B102" s="390"/>
      <c r="C102" s="191" t="s">
        <v>1</v>
      </c>
      <c r="D102" s="174" t="s">
        <v>95</v>
      </c>
      <c r="E102" s="174" t="s">
        <v>88</v>
      </c>
      <c r="F102" s="174" t="s">
        <v>95</v>
      </c>
      <c r="G102" s="174" t="s">
        <v>88</v>
      </c>
      <c r="H102" s="174" t="s">
        <v>95</v>
      </c>
      <c r="I102" s="174" t="s">
        <v>88</v>
      </c>
      <c r="J102" s="174" t="s">
        <v>95</v>
      </c>
      <c r="K102" s="174" t="s">
        <v>88</v>
      </c>
      <c r="L102" s="174" t="s">
        <v>95</v>
      </c>
      <c r="M102" s="174" t="s">
        <v>88</v>
      </c>
      <c r="N102" s="174" t="s">
        <v>95</v>
      </c>
      <c r="O102" s="174" t="s">
        <v>88</v>
      </c>
      <c r="P102" s="174" t="s">
        <v>95</v>
      </c>
      <c r="Q102" s="190" t="s">
        <v>88</v>
      </c>
      <c r="R102" s="187"/>
      <c r="S102" s="187"/>
    </row>
    <row r="103" spans="1:25" ht="15.75" thickBot="1" x14ac:dyDescent="0.3">
      <c r="A103" s="160">
        <v>1</v>
      </c>
      <c r="B103" s="161">
        <v>2</v>
      </c>
      <c r="C103" s="192">
        <v>3</v>
      </c>
      <c r="D103" s="396">
        <v>4</v>
      </c>
      <c r="E103" s="396"/>
      <c r="F103" s="396">
        <v>5</v>
      </c>
      <c r="G103" s="396"/>
      <c r="H103" s="396">
        <v>6</v>
      </c>
      <c r="I103" s="396"/>
      <c r="J103" s="396">
        <v>7</v>
      </c>
      <c r="K103" s="396"/>
      <c r="L103" s="396">
        <v>8</v>
      </c>
      <c r="M103" s="396"/>
      <c r="N103" s="396">
        <v>9</v>
      </c>
      <c r="O103" s="396"/>
      <c r="P103" s="396">
        <v>10</v>
      </c>
      <c r="Q103" s="406"/>
      <c r="R103" s="187"/>
      <c r="S103" s="187"/>
    </row>
    <row r="104" spans="1:25" ht="15.75" thickTop="1" x14ac:dyDescent="0.25">
      <c r="A104" s="162">
        <v>1</v>
      </c>
      <c r="B104" s="163" t="s">
        <v>18</v>
      </c>
      <c r="C104" s="195">
        <v>1799</v>
      </c>
      <c r="D104" s="195">
        <v>0</v>
      </c>
      <c r="E104" s="195">
        <v>1</v>
      </c>
      <c r="F104" s="195">
        <v>0</v>
      </c>
      <c r="G104" s="195">
        <v>0</v>
      </c>
      <c r="H104" s="195">
        <v>0</v>
      </c>
      <c r="I104" s="195">
        <v>0</v>
      </c>
      <c r="J104" s="195">
        <v>0</v>
      </c>
      <c r="K104" s="195">
        <v>0</v>
      </c>
      <c r="L104" s="195">
        <v>0</v>
      </c>
      <c r="M104" s="195"/>
      <c r="N104" s="195">
        <v>4</v>
      </c>
      <c r="O104" s="195"/>
      <c r="P104" s="195">
        <f>SUM(D104,F104,H104,J104,L104,N104)</f>
        <v>4</v>
      </c>
      <c r="Q104" s="200">
        <f>SUM(E104,G104,I104,K104,M104,O104)</f>
        <v>1</v>
      </c>
      <c r="R104" s="187"/>
      <c r="S104" s="187"/>
    </row>
    <row r="105" spans="1:25" x14ac:dyDescent="0.25">
      <c r="A105" s="164">
        <v>2</v>
      </c>
      <c r="B105" s="165" t="s">
        <v>19</v>
      </c>
      <c r="C105" s="196">
        <v>243</v>
      </c>
      <c r="D105" s="196">
        <v>0</v>
      </c>
      <c r="E105" s="196">
        <v>1</v>
      </c>
      <c r="F105" s="196">
        <v>0</v>
      </c>
      <c r="G105" s="196">
        <v>0</v>
      </c>
      <c r="H105" s="196">
        <v>0</v>
      </c>
      <c r="I105" s="196">
        <v>0</v>
      </c>
      <c r="J105" s="196">
        <v>0</v>
      </c>
      <c r="K105" s="196">
        <v>0</v>
      </c>
      <c r="L105" s="196">
        <v>1</v>
      </c>
      <c r="M105" s="196"/>
      <c r="N105" s="196">
        <v>0</v>
      </c>
      <c r="O105" s="196"/>
      <c r="P105" s="196">
        <f t="shared" ref="P105:P111" si="75">SUM(D105,F105,H105,J105,L105,N105)</f>
        <v>1</v>
      </c>
      <c r="Q105" s="201">
        <f t="shared" ref="Q105:Q111" si="76">SUM(E105,G105,I105,K105,M105,O105)</f>
        <v>1</v>
      </c>
      <c r="R105" s="187"/>
      <c r="S105" s="187"/>
      <c r="V105">
        <v>35</v>
      </c>
      <c r="W105">
        <f>V105*0.967</f>
        <v>33.844999999999999</v>
      </c>
      <c r="X105">
        <v>15</v>
      </c>
      <c r="Y105">
        <f>X105*0.96</f>
        <v>14.399999999999999</v>
      </c>
    </row>
    <row r="106" spans="1:25" x14ac:dyDescent="0.25">
      <c r="A106" s="164">
        <v>3</v>
      </c>
      <c r="B106" s="163" t="s">
        <v>20</v>
      </c>
      <c r="C106" s="196">
        <v>275</v>
      </c>
      <c r="D106" s="196">
        <v>0</v>
      </c>
      <c r="E106" s="196">
        <v>0</v>
      </c>
      <c r="F106" s="196">
        <v>3</v>
      </c>
      <c r="G106" s="196">
        <v>34</v>
      </c>
      <c r="H106" s="196">
        <v>2</v>
      </c>
      <c r="I106" s="196">
        <v>14</v>
      </c>
      <c r="J106" s="196">
        <v>0</v>
      </c>
      <c r="K106" s="196">
        <v>0</v>
      </c>
      <c r="L106" s="196">
        <v>0</v>
      </c>
      <c r="M106" s="196"/>
      <c r="N106" s="196">
        <v>0</v>
      </c>
      <c r="O106" s="196"/>
      <c r="P106" s="196">
        <f t="shared" si="75"/>
        <v>5</v>
      </c>
      <c r="Q106" s="201">
        <f t="shared" si="76"/>
        <v>48</v>
      </c>
      <c r="R106" s="187"/>
      <c r="S106" s="187"/>
    </row>
    <row r="107" spans="1:25" x14ac:dyDescent="0.25">
      <c r="A107" s="166">
        <v>4</v>
      </c>
      <c r="B107" s="167" t="s">
        <v>21</v>
      </c>
      <c r="C107" s="196">
        <v>206</v>
      </c>
      <c r="D107" s="196">
        <v>0</v>
      </c>
      <c r="E107" s="196">
        <v>0</v>
      </c>
      <c r="F107" s="196">
        <v>0</v>
      </c>
      <c r="G107" s="196">
        <v>0</v>
      </c>
      <c r="H107" s="196">
        <v>0</v>
      </c>
      <c r="I107" s="196">
        <v>1</v>
      </c>
      <c r="J107" s="196">
        <v>2</v>
      </c>
      <c r="K107" s="196">
        <v>0</v>
      </c>
      <c r="L107" s="196">
        <v>0</v>
      </c>
      <c r="M107" s="196"/>
      <c r="N107" s="196">
        <v>0</v>
      </c>
      <c r="O107" s="196"/>
      <c r="P107" s="196">
        <f t="shared" si="75"/>
        <v>2</v>
      </c>
      <c r="Q107" s="201">
        <f t="shared" si="76"/>
        <v>1</v>
      </c>
      <c r="R107" s="187"/>
      <c r="S107" s="187"/>
    </row>
    <row r="108" spans="1:25" x14ac:dyDescent="0.25">
      <c r="A108" s="166">
        <v>5</v>
      </c>
      <c r="B108" s="168" t="s">
        <v>22</v>
      </c>
      <c r="C108" s="196">
        <v>363</v>
      </c>
      <c r="D108" s="196">
        <v>0</v>
      </c>
      <c r="E108" s="196">
        <v>0</v>
      </c>
      <c r="F108" s="196">
        <v>0</v>
      </c>
      <c r="G108" s="196">
        <v>0</v>
      </c>
      <c r="H108" s="196">
        <v>1</v>
      </c>
      <c r="I108" s="196">
        <v>0</v>
      </c>
      <c r="J108" s="196">
        <v>1</v>
      </c>
      <c r="K108" s="196">
        <v>0</v>
      </c>
      <c r="L108" s="196">
        <v>0</v>
      </c>
      <c r="M108" s="196"/>
      <c r="N108" s="196">
        <v>0</v>
      </c>
      <c r="O108" s="196"/>
      <c r="P108" s="196">
        <f t="shared" si="75"/>
        <v>2</v>
      </c>
      <c r="Q108" s="201">
        <f t="shared" si="76"/>
        <v>0</v>
      </c>
      <c r="R108" s="187"/>
      <c r="S108" s="187"/>
    </row>
    <row r="109" spans="1:25" x14ac:dyDescent="0.25">
      <c r="A109" s="166">
        <v>6</v>
      </c>
      <c r="B109" s="168" t="s">
        <v>23</v>
      </c>
      <c r="C109" s="196">
        <v>59</v>
      </c>
      <c r="D109" s="196">
        <v>0</v>
      </c>
      <c r="E109" s="196">
        <v>0</v>
      </c>
      <c r="F109" s="196">
        <v>0</v>
      </c>
      <c r="G109" s="196">
        <v>0</v>
      </c>
      <c r="H109" s="196">
        <v>0</v>
      </c>
      <c r="I109" s="196">
        <v>0</v>
      </c>
      <c r="J109" s="196">
        <v>0</v>
      </c>
      <c r="K109" s="196">
        <v>0</v>
      </c>
      <c r="L109" s="196">
        <v>0</v>
      </c>
      <c r="M109" s="196"/>
      <c r="N109" s="196">
        <v>0</v>
      </c>
      <c r="O109" s="196"/>
      <c r="P109" s="196">
        <f t="shared" si="75"/>
        <v>0</v>
      </c>
      <c r="Q109" s="201">
        <f t="shared" si="76"/>
        <v>0</v>
      </c>
      <c r="R109" s="187"/>
      <c r="S109" s="187"/>
    </row>
    <row r="110" spans="1:25" x14ac:dyDescent="0.25">
      <c r="A110" s="166">
        <v>7</v>
      </c>
      <c r="B110" s="168" t="s">
        <v>24</v>
      </c>
      <c r="C110" s="196">
        <v>405</v>
      </c>
      <c r="D110" s="196">
        <v>0</v>
      </c>
      <c r="E110" s="196">
        <v>0</v>
      </c>
      <c r="F110" s="196">
        <v>0</v>
      </c>
      <c r="G110" s="196">
        <v>0</v>
      </c>
      <c r="H110" s="196">
        <v>0</v>
      </c>
      <c r="I110" s="196">
        <v>0</v>
      </c>
      <c r="J110" s="196">
        <v>0</v>
      </c>
      <c r="K110" s="196">
        <v>0</v>
      </c>
      <c r="L110" s="196">
        <v>0</v>
      </c>
      <c r="M110" s="196"/>
      <c r="N110" s="196">
        <v>0</v>
      </c>
      <c r="O110" s="196"/>
      <c r="P110" s="196">
        <f t="shared" si="75"/>
        <v>0</v>
      </c>
      <c r="Q110" s="201">
        <f t="shared" si="76"/>
        <v>0</v>
      </c>
      <c r="R110" s="187"/>
      <c r="S110" s="187"/>
    </row>
    <row r="111" spans="1:25" ht="15.75" thickBot="1" x14ac:dyDescent="0.3">
      <c r="A111" s="169">
        <v>8</v>
      </c>
      <c r="B111" s="167" t="s">
        <v>25</v>
      </c>
      <c r="C111" s="199">
        <v>280</v>
      </c>
      <c r="D111" s="197">
        <v>0</v>
      </c>
      <c r="E111" s="197">
        <v>1</v>
      </c>
      <c r="F111" s="197">
        <v>0</v>
      </c>
      <c r="G111" s="197">
        <v>1</v>
      </c>
      <c r="H111" s="197">
        <v>3</v>
      </c>
      <c r="I111" s="197">
        <v>0</v>
      </c>
      <c r="J111" s="197">
        <v>0</v>
      </c>
      <c r="K111" s="197">
        <v>0</v>
      </c>
      <c r="L111" s="197">
        <v>0</v>
      </c>
      <c r="M111" s="197"/>
      <c r="N111" s="197">
        <v>0</v>
      </c>
      <c r="O111" s="197"/>
      <c r="P111" s="195">
        <f t="shared" si="75"/>
        <v>3</v>
      </c>
      <c r="Q111" s="200">
        <f t="shared" si="76"/>
        <v>2</v>
      </c>
      <c r="R111" s="187"/>
      <c r="S111" s="187"/>
    </row>
    <row r="112" spans="1:25" ht="16.5" thickTop="1" thickBot="1" x14ac:dyDescent="0.3">
      <c r="A112" s="392" t="s">
        <v>26</v>
      </c>
      <c r="B112" s="393"/>
      <c r="C112" s="198">
        <f>SUM(C104:C111)</f>
        <v>3630</v>
      </c>
      <c r="D112" s="198">
        <f t="shared" ref="D112" si="77">SUM(D104:D111)</f>
        <v>0</v>
      </c>
      <c r="E112" s="198">
        <f t="shared" ref="E112" si="78">SUM(E104:E111)</f>
        <v>3</v>
      </c>
      <c r="F112" s="198">
        <f t="shared" ref="F112" si="79">SUM(F104:F111)</f>
        <v>3</v>
      </c>
      <c r="G112" s="198">
        <f t="shared" ref="G112" si="80">SUM(G104:G111)</f>
        <v>35</v>
      </c>
      <c r="H112" s="198">
        <f t="shared" ref="H112" si="81">SUM(H104:H111)</f>
        <v>6</v>
      </c>
      <c r="I112" s="198">
        <f t="shared" ref="I112" si="82">SUM(I104:I111)</f>
        <v>15</v>
      </c>
      <c r="J112" s="198">
        <f t="shared" ref="J112" si="83">SUM(J104:J111)</f>
        <v>3</v>
      </c>
      <c r="K112" s="198">
        <f t="shared" ref="K112" si="84">SUM(K104:K111)</f>
        <v>0</v>
      </c>
      <c r="L112" s="198">
        <f t="shared" ref="L112" si="85">SUM(L104:L111)</f>
        <v>1</v>
      </c>
      <c r="M112" s="198">
        <f t="shared" ref="M112" si="86">SUM(M104:M111)</f>
        <v>0</v>
      </c>
      <c r="N112" s="198">
        <f t="shared" ref="N112" si="87">SUM(N104:N111)</f>
        <v>4</v>
      </c>
      <c r="O112" s="198">
        <f t="shared" ref="O112" si="88">SUM(O104:O111)</f>
        <v>0</v>
      </c>
      <c r="P112" s="202">
        <f t="shared" ref="P112" si="89">SUM(P104:P111)</f>
        <v>17</v>
      </c>
      <c r="Q112" s="203">
        <f>SUM(Q104:Q111)</f>
        <v>53</v>
      </c>
      <c r="R112" s="187"/>
      <c r="S112" s="187"/>
    </row>
    <row r="113" spans="1:19" ht="15.75" thickBot="1" x14ac:dyDescent="0.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</row>
    <row r="114" spans="1:19" ht="25.5" x14ac:dyDescent="0.25">
      <c r="A114" s="387" t="s">
        <v>2</v>
      </c>
      <c r="B114" s="389" t="s">
        <v>3</v>
      </c>
      <c r="C114" s="188" t="s">
        <v>93</v>
      </c>
      <c r="D114" s="391" t="s">
        <v>104</v>
      </c>
      <c r="E114" s="391"/>
      <c r="F114" s="391"/>
      <c r="G114" s="391"/>
      <c r="H114" s="391"/>
      <c r="I114" s="391"/>
      <c r="J114" s="391"/>
      <c r="K114" s="391"/>
      <c r="L114" s="391"/>
      <c r="M114" s="391"/>
      <c r="N114" s="391"/>
      <c r="O114" s="391"/>
      <c r="P114" s="394" t="s">
        <v>105</v>
      </c>
      <c r="Q114" s="394"/>
      <c r="R114" s="401" t="s">
        <v>106</v>
      </c>
      <c r="S114" s="399"/>
    </row>
    <row r="115" spans="1:19" ht="25.5" x14ac:dyDescent="0.25">
      <c r="A115" s="388"/>
      <c r="B115" s="390"/>
      <c r="C115" s="189" t="s">
        <v>101</v>
      </c>
      <c r="D115" s="395" t="s">
        <v>79</v>
      </c>
      <c r="E115" s="395"/>
      <c r="F115" s="395" t="s">
        <v>10</v>
      </c>
      <c r="G115" s="395"/>
      <c r="H115" s="395" t="s">
        <v>11</v>
      </c>
      <c r="I115" s="395"/>
      <c r="J115" s="395" t="s">
        <v>12</v>
      </c>
      <c r="K115" s="395"/>
      <c r="L115" s="395" t="s">
        <v>102</v>
      </c>
      <c r="M115" s="395"/>
      <c r="N115" s="395" t="s">
        <v>103</v>
      </c>
      <c r="O115" s="395"/>
      <c r="P115" s="395"/>
      <c r="Q115" s="395"/>
      <c r="R115" s="402"/>
      <c r="S115" s="400"/>
    </row>
    <row r="116" spans="1:19" x14ac:dyDescent="0.25">
      <c r="A116" s="388"/>
      <c r="B116" s="390"/>
      <c r="C116" s="191" t="s">
        <v>1</v>
      </c>
      <c r="D116" s="174" t="s">
        <v>95</v>
      </c>
      <c r="E116" s="174" t="s">
        <v>88</v>
      </c>
      <c r="F116" s="174" t="s">
        <v>95</v>
      </c>
      <c r="G116" s="174" t="s">
        <v>88</v>
      </c>
      <c r="H116" s="174" t="s">
        <v>95</v>
      </c>
      <c r="I116" s="174" t="s">
        <v>88</v>
      </c>
      <c r="J116" s="174" t="s">
        <v>95</v>
      </c>
      <c r="K116" s="174" t="s">
        <v>88</v>
      </c>
      <c r="L116" s="174" t="s">
        <v>95</v>
      </c>
      <c r="M116" s="174" t="s">
        <v>88</v>
      </c>
      <c r="N116" s="174" t="s">
        <v>95</v>
      </c>
      <c r="O116" s="174" t="s">
        <v>88</v>
      </c>
      <c r="P116" s="174" t="s">
        <v>95</v>
      </c>
      <c r="Q116" s="174" t="s">
        <v>88</v>
      </c>
      <c r="R116" s="174" t="s">
        <v>95</v>
      </c>
      <c r="S116" s="190" t="s">
        <v>88</v>
      </c>
    </row>
    <row r="117" spans="1:19" ht="15.75" thickBot="1" x14ac:dyDescent="0.3">
      <c r="A117" s="160">
        <v>1</v>
      </c>
      <c r="B117" s="161">
        <v>2</v>
      </c>
      <c r="C117" s="192">
        <v>3</v>
      </c>
      <c r="D117" s="396">
        <v>11</v>
      </c>
      <c r="E117" s="396"/>
      <c r="F117" s="396">
        <v>12</v>
      </c>
      <c r="G117" s="396"/>
      <c r="H117" s="396">
        <v>13</v>
      </c>
      <c r="I117" s="396"/>
      <c r="J117" s="396">
        <v>14</v>
      </c>
      <c r="K117" s="396"/>
      <c r="L117" s="396">
        <v>15</v>
      </c>
      <c r="M117" s="396"/>
      <c r="N117" s="396">
        <v>16</v>
      </c>
      <c r="O117" s="396"/>
      <c r="P117" s="396">
        <v>17</v>
      </c>
      <c r="Q117" s="396"/>
      <c r="R117" s="396">
        <v>18</v>
      </c>
      <c r="S117" s="406"/>
    </row>
    <row r="118" spans="1:19" ht="15.75" thickTop="1" x14ac:dyDescent="0.25">
      <c r="A118" s="162">
        <v>1</v>
      </c>
      <c r="B118" s="163" t="s">
        <v>18</v>
      </c>
      <c r="C118" s="195">
        <v>1799</v>
      </c>
      <c r="D118" s="195">
        <v>3</v>
      </c>
      <c r="E118" s="195"/>
      <c r="F118" s="195">
        <v>0</v>
      </c>
      <c r="G118" s="195"/>
      <c r="H118" s="195">
        <v>5</v>
      </c>
      <c r="I118" s="195"/>
      <c r="J118" s="195">
        <v>3</v>
      </c>
      <c r="K118" s="195"/>
      <c r="L118" s="195">
        <v>0</v>
      </c>
      <c r="M118" s="195"/>
      <c r="N118" s="195">
        <v>0</v>
      </c>
      <c r="O118" s="195"/>
      <c r="P118" s="195">
        <f>SUM(D118,F118,H118,J118,L118,N118)</f>
        <v>11</v>
      </c>
      <c r="Q118" s="195"/>
      <c r="R118" s="195">
        <f>SUM(P104,P118)</f>
        <v>15</v>
      </c>
      <c r="S118" s="200">
        <f>SUM(Q104,Q118)</f>
        <v>1</v>
      </c>
    </row>
    <row r="119" spans="1:19" x14ac:dyDescent="0.25">
      <c r="A119" s="164">
        <v>2</v>
      </c>
      <c r="B119" s="165" t="s">
        <v>19</v>
      </c>
      <c r="C119" s="196">
        <v>243</v>
      </c>
      <c r="D119" s="196">
        <v>3</v>
      </c>
      <c r="E119" s="196"/>
      <c r="F119" s="196">
        <v>3</v>
      </c>
      <c r="G119" s="196"/>
      <c r="H119" s="196">
        <v>2</v>
      </c>
      <c r="I119" s="196"/>
      <c r="J119" s="196">
        <v>3</v>
      </c>
      <c r="K119" s="196"/>
      <c r="L119" s="196">
        <v>0</v>
      </c>
      <c r="M119" s="196"/>
      <c r="N119" s="196">
        <v>0</v>
      </c>
      <c r="O119" s="196"/>
      <c r="P119" s="196">
        <f t="shared" ref="P119:P125" si="90">SUM(D119,F119,H119,J119,L119,N119)</f>
        <v>11</v>
      </c>
      <c r="Q119" s="196"/>
      <c r="R119" s="196">
        <f t="shared" ref="R119:R125" si="91">SUM(P105,P119)</f>
        <v>12</v>
      </c>
      <c r="S119" s="201">
        <f t="shared" ref="S119:S125" si="92">SUM(Q105,Q119)</f>
        <v>1</v>
      </c>
    </row>
    <row r="120" spans="1:19" x14ac:dyDescent="0.25">
      <c r="A120" s="164">
        <v>3</v>
      </c>
      <c r="B120" s="163" t="s">
        <v>20</v>
      </c>
      <c r="C120" s="196">
        <v>275</v>
      </c>
      <c r="D120" s="196">
        <v>7</v>
      </c>
      <c r="E120" s="196"/>
      <c r="F120" s="196">
        <v>0</v>
      </c>
      <c r="G120" s="196"/>
      <c r="H120" s="196">
        <v>4</v>
      </c>
      <c r="I120" s="196"/>
      <c r="J120" s="196">
        <v>2</v>
      </c>
      <c r="K120" s="196"/>
      <c r="L120" s="196">
        <v>0</v>
      </c>
      <c r="M120" s="196"/>
      <c r="N120" s="196">
        <v>0</v>
      </c>
      <c r="O120" s="196"/>
      <c r="P120" s="196">
        <f t="shared" si="90"/>
        <v>13</v>
      </c>
      <c r="Q120" s="196"/>
      <c r="R120" s="196">
        <f t="shared" si="91"/>
        <v>18</v>
      </c>
      <c r="S120" s="201">
        <f t="shared" si="92"/>
        <v>48</v>
      </c>
    </row>
    <row r="121" spans="1:19" x14ac:dyDescent="0.25">
      <c r="A121" s="166">
        <v>4</v>
      </c>
      <c r="B121" s="167" t="s">
        <v>21</v>
      </c>
      <c r="C121" s="196">
        <v>206</v>
      </c>
      <c r="D121" s="196">
        <v>5</v>
      </c>
      <c r="E121" s="196"/>
      <c r="F121" s="196">
        <v>0</v>
      </c>
      <c r="G121" s="196"/>
      <c r="H121" s="196">
        <v>0</v>
      </c>
      <c r="I121" s="196"/>
      <c r="J121" s="196">
        <v>4</v>
      </c>
      <c r="K121" s="196"/>
      <c r="L121" s="196">
        <v>0</v>
      </c>
      <c r="M121" s="196"/>
      <c r="N121" s="196">
        <v>0</v>
      </c>
      <c r="O121" s="196"/>
      <c r="P121" s="196">
        <f t="shared" si="90"/>
        <v>9</v>
      </c>
      <c r="Q121" s="196"/>
      <c r="R121" s="196">
        <f t="shared" si="91"/>
        <v>11</v>
      </c>
      <c r="S121" s="201">
        <f t="shared" si="92"/>
        <v>1</v>
      </c>
    </row>
    <row r="122" spans="1:19" x14ac:dyDescent="0.25">
      <c r="A122" s="166">
        <v>5</v>
      </c>
      <c r="B122" s="168" t="s">
        <v>22</v>
      </c>
      <c r="C122" s="196">
        <v>363</v>
      </c>
      <c r="D122" s="196">
        <v>6</v>
      </c>
      <c r="E122" s="196"/>
      <c r="F122" s="196">
        <v>0</v>
      </c>
      <c r="G122" s="196"/>
      <c r="H122" s="196">
        <v>4</v>
      </c>
      <c r="I122" s="196"/>
      <c r="J122" s="196">
        <v>1</v>
      </c>
      <c r="K122" s="196"/>
      <c r="L122" s="196">
        <v>0</v>
      </c>
      <c r="M122" s="196"/>
      <c r="N122" s="196">
        <v>0</v>
      </c>
      <c r="O122" s="196"/>
      <c r="P122" s="196">
        <f t="shared" si="90"/>
        <v>11</v>
      </c>
      <c r="Q122" s="196"/>
      <c r="R122" s="196">
        <f t="shared" si="91"/>
        <v>13</v>
      </c>
      <c r="S122" s="201">
        <f t="shared" si="92"/>
        <v>0</v>
      </c>
    </row>
    <row r="123" spans="1:19" x14ac:dyDescent="0.25">
      <c r="A123" s="166">
        <v>6</v>
      </c>
      <c r="B123" s="168" t="s">
        <v>23</v>
      </c>
      <c r="C123" s="196">
        <v>59</v>
      </c>
      <c r="D123" s="196">
        <v>5</v>
      </c>
      <c r="E123" s="196"/>
      <c r="F123" s="196">
        <v>0</v>
      </c>
      <c r="G123" s="196"/>
      <c r="H123" s="196">
        <v>4</v>
      </c>
      <c r="I123" s="196"/>
      <c r="J123" s="196">
        <v>1</v>
      </c>
      <c r="K123" s="196"/>
      <c r="L123" s="196">
        <v>0</v>
      </c>
      <c r="M123" s="196"/>
      <c r="N123" s="196">
        <v>0</v>
      </c>
      <c r="O123" s="196"/>
      <c r="P123" s="196">
        <f t="shared" si="90"/>
        <v>10</v>
      </c>
      <c r="Q123" s="196"/>
      <c r="R123" s="196">
        <f t="shared" si="91"/>
        <v>10</v>
      </c>
      <c r="S123" s="201">
        <f t="shared" si="92"/>
        <v>0</v>
      </c>
    </row>
    <row r="124" spans="1:19" x14ac:dyDescent="0.25">
      <c r="A124" s="166">
        <v>7</v>
      </c>
      <c r="B124" s="168" t="s">
        <v>24</v>
      </c>
      <c r="C124" s="196">
        <v>405</v>
      </c>
      <c r="D124" s="196">
        <v>4</v>
      </c>
      <c r="E124" s="196"/>
      <c r="F124" s="196">
        <v>0</v>
      </c>
      <c r="G124" s="196"/>
      <c r="H124" s="196">
        <v>4</v>
      </c>
      <c r="I124" s="196"/>
      <c r="J124" s="196">
        <v>0</v>
      </c>
      <c r="K124" s="196"/>
      <c r="L124" s="196">
        <v>0</v>
      </c>
      <c r="M124" s="196"/>
      <c r="N124" s="196">
        <v>0</v>
      </c>
      <c r="O124" s="196"/>
      <c r="P124" s="196">
        <f t="shared" si="90"/>
        <v>8</v>
      </c>
      <c r="Q124" s="196"/>
      <c r="R124" s="196">
        <f t="shared" si="91"/>
        <v>8</v>
      </c>
      <c r="S124" s="201">
        <f t="shared" si="92"/>
        <v>0</v>
      </c>
    </row>
    <row r="125" spans="1:19" ht="15.75" thickBot="1" x14ac:dyDescent="0.3">
      <c r="A125" s="169">
        <v>8</v>
      </c>
      <c r="B125" s="167" t="s">
        <v>25</v>
      </c>
      <c r="C125" s="199">
        <v>280</v>
      </c>
      <c r="D125" s="199">
        <v>5</v>
      </c>
      <c r="E125" s="199"/>
      <c r="F125" s="199">
        <v>0</v>
      </c>
      <c r="G125" s="199"/>
      <c r="H125" s="199">
        <v>4</v>
      </c>
      <c r="I125" s="199"/>
      <c r="J125" s="199">
        <v>1</v>
      </c>
      <c r="K125" s="199"/>
      <c r="L125" s="199">
        <v>0</v>
      </c>
      <c r="M125" s="199"/>
      <c r="N125" s="199">
        <v>0</v>
      </c>
      <c r="O125" s="199"/>
      <c r="P125" s="195">
        <f t="shared" si="90"/>
        <v>10</v>
      </c>
      <c r="Q125" s="195"/>
      <c r="R125" s="195">
        <f t="shared" si="91"/>
        <v>13</v>
      </c>
      <c r="S125" s="200">
        <f t="shared" si="92"/>
        <v>2</v>
      </c>
    </row>
    <row r="126" spans="1:19" ht="16.5" thickTop="1" thickBot="1" x14ac:dyDescent="0.3">
      <c r="A126" s="392" t="s">
        <v>26</v>
      </c>
      <c r="B126" s="393"/>
      <c r="C126" s="198">
        <f>SUM(C118:C125)</f>
        <v>3630</v>
      </c>
      <c r="D126" s="198">
        <f t="shared" ref="D126" si="93">SUM(D118:D125)</f>
        <v>38</v>
      </c>
      <c r="E126" s="198">
        <f t="shared" ref="E126" si="94">SUM(E118:E125)</f>
        <v>0</v>
      </c>
      <c r="F126" s="198">
        <f t="shared" ref="F126" si="95">SUM(F118:F125)</f>
        <v>3</v>
      </c>
      <c r="G126" s="198">
        <f t="shared" ref="G126" si="96">SUM(G118:G125)</f>
        <v>0</v>
      </c>
      <c r="H126" s="198">
        <f t="shared" ref="H126" si="97">SUM(H118:H125)</f>
        <v>27</v>
      </c>
      <c r="I126" s="198">
        <f t="shared" ref="I126" si="98">SUM(I118:I125)</f>
        <v>0</v>
      </c>
      <c r="J126" s="198">
        <f t="shared" ref="J126" si="99">SUM(J118:J125)</f>
        <v>15</v>
      </c>
      <c r="K126" s="198">
        <f t="shared" ref="K126" si="100">SUM(K118:K125)</f>
        <v>0</v>
      </c>
      <c r="L126" s="198">
        <f t="shared" ref="L126" si="101">SUM(L118:L125)</f>
        <v>0</v>
      </c>
      <c r="M126" s="198">
        <f t="shared" ref="M126" si="102">SUM(M118:M125)</f>
        <v>0</v>
      </c>
      <c r="N126" s="198">
        <f t="shared" ref="N126" si="103">SUM(N118:N125)</f>
        <v>0</v>
      </c>
      <c r="O126" s="198">
        <f t="shared" ref="O126" si="104">SUM(O118:O125)</f>
        <v>0</v>
      </c>
      <c r="P126" s="202">
        <f t="shared" ref="P126" si="105">SUM(P118:P125)</f>
        <v>83</v>
      </c>
      <c r="Q126" s="202">
        <f t="shared" ref="Q126" si="106">SUM(Q118:Q125)</f>
        <v>0</v>
      </c>
      <c r="R126" s="202">
        <f t="shared" ref="R126" si="107">SUM(R118:R125)</f>
        <v>100</v>
      </c>
      <c r="S126" s="203">
        <f>SUM(S118:S125)</f>
        <v>53</v>
      </c>
    </row>
  </sheetData>
  <mergeCells count="160">
    <mergeCell ref="R18:S19"/>
    <mergeCell ref="D18:O18"/>
    <mergeCell ref="F19:G19"/>
    <mergeCell ref="D19:E19"/>
    <mergeCell ref="N19:O19"/>
    <mergeCell ref="L19:M19"/>
    <mergeCell ref="J19:K19"/>
    <mergeCell ref="H19:I19"/>
    <mergeCell ref="A4:A6"/>
    <mergeCell ref="B4:B6"/>
    <mergeCell ref="A16:B16"/>
    <mergeCell ref="D4:O4"/>
    <mergeCell ref="P4:Q5"/>
    <mergeCell ref="N5:O5"/>
    <mergeCell ref="L5:M5"/>
    <mergeCell ref="J5:K5"/>
    <mergeCell ref="H5:I5"/>
    <mergeCell ref="F5:G5"/>
    <mergeCell ref="F21:G21"/>
    <mergeCell ref="D21:E21"/>
    <mergeCell ref="A2:S2"/>
    <mergeCell ref="A1:S1"/>
    <mergeCell ref="A33:S33"/>
    <mergeCell ref="A34:S34"/>
    <mergeCell ref="R21:S21"/>
    <mergeCell ref="P21:Q21"/>
    <mergeCell ref="N21:O21"/>
    <mergeCell ref="L21:M21"/>
    <mergeCell ref="J21:K21"/>
    <mergeCell ref="H21:I21"/>
    <mergeCell ref="A18:A20"/>
    <mergeCell ref="B18:B20"/>
    <mergeCell ref="A30:B30"/>
    <mergeCell ref="P7:Q7"/>
    <mergeCell ref="N7:O7"/>
    <mergeCell ref="L7:M7"/>
    <mergeCell ref="J7:K7"/>
    <mergeCell ref="H7:I7"/>
    <mergeCell ref="F7:G7"/>
    <mergeCell ref="D7:E7"/>
    <mergeCell ref="D5:E5"/>
    <mergeCell ref="P18:Q19"/>
    <mergeCell ref="A36:A38"/>
    <mergeCell ref="B36:B38"/>
    <mergeCell ref="D36:O36"/>
    <mergeCell ref="P36:Q37"/>
    <mergeCell ref="D37:E37"/>
    <mergeCell ref="F37:G37"/>
    <mergeCell ref="H37:I37"/>
    <mergeCell ref="J37:K37"/>
    <mergeCell ref="L37:M37"/>
    <mergeCell ref="N37:O37"/>
    <mergeCell ref="R50:S51"/>
    <mergeCell ref="D51:E51"/>
    <mergeCell ref="F51:G51"/>
    <mergeCell ref="H51:I51"/>
    <mergeCell ref="J51:K51"/>
    <mergeCell ref="L51:M51"/>
    <mergeCell ref="N51:O51"/>
    <mergeCell ref="P39:Q39"/>
    <mergeCell ref="A48:B48"/>
    <mergeCell ref="A50:A52"/>
    <mergeCell ref="B50:B52"/>
    <mergeCell ref="D50:O50"/>
    <mergeCell ref="P50:Q51"/>
    <mergeCell ref="D39:E39"/>
    <mergeCell ref="F39:G39"/>
    <mergeCell ref="H39:I39"/>
    <mergeCell ref="J39:K39"/>
    <mergeCell ref="L39:M39"/>
    <mergeCell ref="N39:O39"/>
    <mergeCell ref="P53:Q53"/>
    <mergeCell ref="R53:S53"/>
    <mergeCell ref="A62:B62"/>
    <mergeCell ref="A65:S65"/>
    <mergeCell ref="A66:S66"/>
    <mergeCell ref="A68:A70"/>
    <mergeCell ref="B68:B70"/>
    <mergeCell ref="D68:O68"/>
    <mergeCell ref="P68:Q69"/>
    <mergeCell ref="D69:E69"/>
    <mergeCell ref="D53:E53"/>
    <mergeCell ref="F53:G53"/>
    <mergeCell ref="H53:I53"/>
    <mergeCell ref="J53:K53"/>
    <mergeCell ref="L53:M53"/>
    <mergeCell ref="N53:O53"/>
    <mergeCell ref="A80:B80"/>
    <mergeCell ref="A82:A84"/>
    <mergeCell ref="B82:B84"/>
    <mergeCell ref="D82:O82"/>
    <mergeCell ref="P82:Q83"/>
    <mergeCell ref="F69:G69"/>
    <mergeCell ref="H69:I69"/>
    <mergeCell ref="J69:K69"/>
    <mergeCell ref="L69:M69"/>
    <mergeCell ref="N69:O69"/>
    <mergeCell ref="D71:E71"/>
    <mergeCell ref="F71:G71"/>
    <mergeCell ref="H71:I71"/>
    <mergeCell ref="J71:K71"/>
    <mergeCell ref="L71:M71"/>
    <mergeCell ref="R82:S83"/>
    <mergeCell ref="D83:E83"/>
    <mergeCell ref="F83:G83"/>
    <mergeCell ref="H83:I83"/>
    <mergeCell ref="J83:K83"/>
    <mergeCell ref="L83:M83"/>
    <mergeCell ref="N83:O83"/>
    <mergeCell ref="N71:O71"/>
    <mergeCell ref="P71:Q71"/>
    <mergeCell ref="P85:Q85"/>
    <mergeCell ref="R85:S85"/>
    <mergeCell ref="A94:B94"/>
    <mergeCell ref="A97:S97"/>
    <mergeCell ref="A98:S98"/>
    <mergeCell ref="A100:A102"/>
    <mergeCell ref="B100:B102"/>
    <mergeCell ref="D100:O100"/>
    <mergeCell ref="P100:Q101"/>
    <mergeCell ref="D101:E101"/>
    <mergeCell ref="D85:E85"/>
    <mergeCell ref="F85:G85"/>
    <mergeCell ref="H85:I85"/>
    <mergeCell ref="J85:K85"/>
    <mergeCell ref="L85:M85"/>
    <mergeCell ref="N85:O85"/>
    <mergeCell ref="A112:B112"/>
    <mergeCell ref="A114:A116"/>
    <mergeCell ref="B114:B116"/>
    <mergeCell ref="D114:O114"/>
    <mergeCell ref="P114:Q115"/>
    <mergeCell ref="F101:G101"/>
    <mergeCell ref="H101:I101"/>
    <mergeCell ref="J101:K101"/>
    <mergeCell ref="L101:M101"/>
    <mergeCell ref="N101:O101"/>
    <mergeCell ref="D103:E103"/>
    <mergeCell ref="F103:G103"/>
    <mergeCell ref="H103:I103"/>
    <mergeCell ref="J103:K103"/>
    <mergeCell ref="L103:M103"/>
    <mergeCell ref="R114:S115"/>
    <mergeCell ref="D115:E115"/>
    <mergeCell ref="F115:G115"/>
    <mergeCell ref="H115:I115"/>
    <mergeCell ref="J115:K115"/>
    <mergeCell ref="L115:M115"/>
    <mergeCell ref="N115:O115"/>
    <mergeCell ref="N103:O103"/>
    <mergeCell ref="P103:Q103"/>
    <mergeCell ref="P117:Q117"/>
    <mergeCell ref="R117:S117"/>
    <mergeCell ref="A126:B126"/>
    <mergeCell ref="D117:E117"/>
    <mergeCell ref="F117:G117"/>
    <mergeCell ref="H117:I117"/>
    <mergeCell ref="J117:K117"/>
    <mergeCell ref="L117:M117"/>
    <mergeCell ref="N117:O117"/>
  </mergeCells>
  <pageMargins left="0.74" right="0.7" top="0.75" bottom="0.75" header="0.3" footer="0.3"/>
  <pageSetup paperSize="5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rekap</vt:lpstr>
      <vt:lpstr>okt-mar</vt:lpstr>
      <vt:lpstr>S-Rjan17Prov</vt:lpstr>
      <vt:lpstr>S-Rjan17Prov (2)</vt:lpstr>
      <vt:lpstr>S-Rjan17Prov sekda</vt:lpstr>
      <vt:lpstr>S-R jan 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cp:lastPrinted>2018-12-19T05:51:58Z</cp:lastPrinted>
  <dcterms:created xsi:type="dcterms:W3CDTF">2014-02-11T04:21:26Z</dcterms:created>
  <dcterms:modified xsi:type="dcterms:W3CDTF">2018-12-19T09:13:06Z</dcterms:modified>
</cp:coreProperties>
</file>