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675" yWindow="360" windowWidth="13290" windowHeight="7695"/>
  </bookViews>
  <sheets>
    <sheet name="padi sawah" sheetId="1" r:id="rId1"/>
    <sheet name="puso" sheetId="2" r:id="rId2"/>
    <sheet name="padi ladang" sheetId="3" r:id="rId3"/>
    <sheet name="jagung" sheetId="4" r:id="rId4"/>
    <sheet name="kedelai" sheetId="9" r:id="rId5"/>
    <sheet name="kc tanah" sheetId="5" r:id="rId6"/>
    <sheet name="ubi kayu" sheetId="6" r:id="rId7"/>
    <sheet name="ubi jalar" sheetId="7" r:id="rId8"/>
    <sheet name="kc ijo" sheetId="8" r:id="rId9"/>
    <sheet name="rekap" sheetId="10" r:id="rId10"/>
    <sheet name="okt-mar" sheetId="11" r:id="rId11"/>
    <sheet name="okt-mar (2016)" sheetId="19" r:id="rId12"/>
    <sheet name="rapat kamis" sheetId="15" r:id="rId13"/>
    <sheet name="target-realisasi" sheetId="14" r:id="rId14"/>
    <sheet name="target-realisasibaru" sheetId="17" r:id="rId15"/>
    <sheet name="S-Rjan17Prov" sheetId="20" r:id="rId16"/>
    <sheet name="S-R jan 17" sheetId="18" r:id="rId17"/>
    <sheet name="Sheet1" sheetId="12" r:id="rId18"/>
  </sheets>
  <calcPr calcId="144525"/>
</workbook>
</file>

<file path=xl/calcChain.xml><?xml version="1.0" encoding="utf-8"?>
<calcChain xmlns="http://schemas.openxmlformats.org/spreadsheetml/2006/main">
  <c r="Q116" i="5" l="1"/>
  <c r="S113" i="5"/>
  <c r="O116" i="5"/>
  <c r="Q8" i="20" l="1"/>
  <c r="U8" i="20"/>
  <c r="V41" i="20"/>
  <c r="V42" i="20"/>
  <c r="V43" i="20"/>
  <c r="V44" i="20"/>
  <c r="V45" i="20"/>
  <c r="V46" i="20"/>
  <c r="V47" i="20"/>
  <c r="V40" i="20"/>
  <c r="U48" i="20"/>
  <c r="AB9" i="20"/>
  <c r="AB10" i="20"/>
  <c r="AB11" i="20"/>
  <c r="AB12" i="20"/>
  <c r="AB13" i="20"/>
  <c r="AB14" i="20"/>
  <c r="AB15" i="20"/>
  <c r="AB8" i="20"/>
  <c r="V48" i="20" l="1"/>
  <c r="K9" i="20"/>
  <c r="K10" i="20"/>
  <c r="K11" i="20"/>
  <c r="K12" i="20"/>
  <c r="K13" i="20"/>
  <c r="K14" i="20"/>
  <c r="K15" i="20"/>
  <c r="K8" i="20"/>
  <c r="U74" i="20"/>
  <c r="Q40" i="20"/>
  <c r="AD9" i="20"/>
  <c r="AD10" i="20"/>
  <c r="AD11" i="20"/>
  <c r="AD12" i="20"/>
  <c r="AD13" i="20"/>
  <c r="AD14" i="20"/>
  <c r="AD15" i="20"/>
  <c r="AD8" i="20"/>
  <c r="AC16" i="20"/>
  <c r="AD16" i="20" l="1"/>
  <c r="U16" i="20"/>
  <c r="V17" i="1"/>
  <c r="W17" i="1"/>
  <c r="W10" i="1"/>
  <c r="W11" i="1"/>
  <c r="W12" i="1"/>
  <c r="W13" i="1"/>
  <c r="W14" i="1"/>
  <c r="W15" i="1"/>
  <c r="W16" i="1"/>
  <c r="W9" i="1"/>
  <c r="S16" i="18"/>
  <c r="S9" i="18"/>
  <c r="S10" i="18"/>
  <c r="S11" i="18"/>
  <c r="S12" i="18"/>
  <c r="S13" i="18"/>
  <c r="S14" i="18"/>
  <c r="S15" i="18"/>
  <c r="S8" i="18"/>
  <c r="U17" i="1"/>
  <c r="U10" i="1"/>
  <c r="U11" i="1"/>
  <c r="U12" i="1"/>
  <c r="U13" i="1"/>
  <c r="U14" i="1"/>
  <c r="U15" i="1"/>
  <c r="U16" i="1"/>
  <c r="U9" i="1"/>
  <c r="U9" i="20"/>
  <c r="U10" i="20"/>
  <c r="U11" i="20"/>
  <c r="U12" i="20"/>
  <c r="U13" i="20"/>
  <c r="U14" i="20"/>
  <c r="U15" i="20"/>
  <c r="M116" i="4" l="1"/>
  <c r="K116" i="4"/>
  <c r="J116" i="4"/>
  <c r="F116" i="4"/>
  <c r="G116" i="4"/>
  <c r="H116" i="4"/>
  <c r="I116" i="4"/>
  <c r="L116" i="4"/>
  <c r="N116" i="4"/>
  <c r="O116" i="4"/>
  <c r="O115" i="4"/>
  <c r="O114" i="4"/>
  <c r="O112" i="4"/>
  <c r="O111" i="4"/>
  <c r="O110" i="4"/>
  <c r="O113" i="4"/>
  <c r="O109" i="4"/>
  <c r="P10" i="1" l="1"/>
  <c r="R9" i="18"/>
  <c r="Q109" i="5" l="1"/>
  <c r="Q110" i="5"/>
  <c r="Q111" i="5"/>
  <c r="Q112" i="5"/>
  <c r="Q113" i="5"/>
  <c r="Q114" i="5"/>
  <c r="Q115" i="5"/>
  <c r="Q108" i="5"/>
  <c r="P54" i="18" l="1"/>
  <c r="P55" i="18"/>
  <c r="P56" i="18"/>
  <c r="U30" i="20" l="1"/>
  <c r="V16" i="20"/>
  <c r="P10" i="20"/>
  <c r="R24" i="20"/>
  <c r="Q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S125" i="20"/>
  <c r="P125" i="20"/>
  <c r="P124" i="20"/>
  <c r="S123" i="20"/>
  <c r="P123" i="20"/>
  <c r="P122" i="20"/>
  <c r="S121" i="20"/>
  <c r="P121" i="20"/>
  <c r="P120" i="20"/>
  <c r="S119" i="20"/>
  <c r="P119" i="20"/>
  <c r="P126" i="20" s="1"/>
  <c r="P118" i="20"/>
  <c r="Q112" i="20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Q111" i="20"/>
  <c r="P111" i="20"/>
  <c r="R125" i="20" s="1"/>
  <c r="Q110" i="20"/>
  <c r="S124" i="20" s="1"/>
  <c r="P110" i="20"/>
  <c r="R124" i="20" s="1"/>
  <c r="Q109" i="20"/>
  <c r="P109" i="20"/>
  <c r="R123" i="20" s="1"/>
  <c r="Q108" i="20"/>
  <c r="S122" i="20" s="1"/>
  <c r="P108" i="20"/>
  <c r="R122" i="20" s="1"/>
  <c r="Q107" i="20"/>
  <c r="P107" i="20"/>
  <c r="R121" i="20" s="1"/>
  <c r="Q106" i="20"/>
  <c r="S120" i="20" s="1"/>
  <c r="P106" i="20"/>
  <c r="R120" i="20" s="1"/>
  <c r="Y105" i="20"/>
  <c r="W105" i="20"/>
  <c r="Q105" i="20"/>
  <c r="P105" i="20"/>
  <c r="R119" i="20" s="1"/>
  <c r="Q104" i="20"/>
  <c r="S118" i="20" s="1"/>
  <c r="S126" i="20" s="1"/>
  <c r="P104" i="20"/>
  <c r="P112" i="20" s="1"/>
  <c r="Q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S93" i="20"/>
  <c r="P93" i="20"/>
  <c r="P92" i="20"/>
  <c r="S91" i="20"/>
  <c r="P91" i="20"/>
  <c r="P90" i="20"/>
  <c r="S89" i="20"/>
  <c r="P89" i="20"/>
  <c r="P88" i="20"/>
  <c r="S87" i="20"/>
  <c r="P87" i="20"/>
  <c r="P94" i="20" s="1"/>
  <c r="P86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Q79" i="20"/>
  <c r="P79" i="20"/>
  <c r="R93" i="20" s="1"/>
  <c r="Q78" i="20"/>
  <c r="S92" i="20" s="1"/>
  <c r="P78" i="20"/>
  <c r="R92" i="20" s="1"/>
  <c r="Q77" i="20"/>
  <c r="P77" i="20"/>
  <c r="R91" i="20" s="1"/>
  <c r="Q76" i="20"/>
  <c r="S90" i="20" s="1"/>
  <c r="P76" i="20"/>
  <c r="R90" i="20" s="1"/>
  <c r="Q75" i="20"/>
  <c r="P75" i="20"/>
  <c r="R89" i="20" s="1"/>
  <c r="Q74" i="20"/>
  <c r="S88" i="20" s="1"/>
  <c r="P74" i="20"/>
  <c r="R88" i="20" s="1"/>
  <c r="Q73" i="20"/>
  <c r="P73" i="20"/>
  <c r="R87" i="20" s="1"/>
  <c r="Q72" i="20"/>
  <c r="S86" i="20" s="1"/>
  <c r="P72" i="20"/>
  <c r="P80" i="20" s="1"/>
  <c r="Q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P61" i="20"/>
  <c r="P60" i="20"/>
  <c r="P59" i="20"/>
  <c r="P58" i="20"/>
  <c r="P57" i="20"/>
  <c r="P56" i="20"/>
  <c r="P55" i="20"/>
  <c r="P62" i="20" s="1"/>
  <c r="P54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Q47" i="20"/>
  <c r="S61" i="20" s="1"/>
  <c r="P47" i="20"/>
  <c r="R61" i="20" s="1"/>
  <c r="Q46" i="20"/>
  <c r="S60" i="20" s="1"/>
  <c r="P46" i="20"/>
  <c r="R60" i="20" s="1"/>
  <c r="Q45" i="20"/>
  <c r="S59" i="20" s="1"/>
  <c r="P45" i="20"/>
  <c r="R59" i="20" s="1"/>
  <c r="Q44" i="20"/>
  <c r="S58" i="20" s="1"/>
  <c r="P44" i="20"/>
  <c r="R58" i="20" s="1"/>
  <c r="Q43" i="20"/>
  <c r="S57" i="20" s="1"/>
  <c r="P43" i="20"/>
  <c r="R57" i="20" s="1"/>
  <c r="Q42" i="20"/>
  <c r="S56" i="20" s="1"/>
  <c r="P42" i="20"/>
  <c r="R56" i="20" s="1"/>
  <c r="Q41" i="20"/>
  <c r="S55" i="20" s="1"/>
  <c r="P41" i="20"/>
  <c r="R55" i="20" s="1"/>
  <c r="S54" i="20"/>
  <c r="P40" i="20"/>
  <c r="P48" i="20" s="1"/>
  <c r="Q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P29" i="20"/>
  <c r="P28" i="20"/>
  <c r="P27" i="20"/>
  <c r="P26" i="20"/>
  <c r="P25" i="20"/>
  <c r="P24" i="20"/>
  <c r="P23" i="20"/>
  <c r="P22" i="20"/>
  <c r="AA16" i="20"/>
  <c r="Y16" i="20"/>
  <c r="W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Z15" i="20"/>
  <c r="X15" i="20"/>
  <c r="Q15" i="20"/>
  <c r="S29" i="20" s="1"/>
  <c r="P15" i="20"/>
  <c r="Z14" i="20"/>
  <c r="X14" i="20"/>
  <c r="Q14" i="20"/>
  <c r="S28" i="20" s="1"/>
  <c r="P14" i="20"/>
  <c r="R28" i="20" s="1"/>
  <c r="Z13" i="20"/>
  <c r="X13" i="20"/>
  <c r="Q13" i="20"/>
  <c r="S27" i="20" s="1"/>
  <c r="P13" i="20"/>
  <c r="R27" i="20" s="1"/>
  <c r="Z12" i="20"/>
  <c r="X12" i="20"/>
  <c r="Q12" i="20"/>
  <c r="S26" i="20" s="1"/>
  <c r="P12" i="20"/>
  <c r="Z11" i="20"/>
  <c r="X11" i="20"/>
  <c r="Q11" i="20"/>
  <c r="S25" i="20" s="1"/>
  <c r="P11" i="20"/>
  <c r="R25" i="20" s="1"/>
  <c r="Z10" i="20"/>
  <c r="X10" i="20"/>
  <c r="Q10" i="20"/>
  <c r="S24" i="20" s="1"/>
  <c r="Z9" i="20"/>
  <c r="X9" i="20"/>
  <c r="Q9" i="20"/>
  <c r="P9" i="20"/>
  <c r="R23" i="20" s="1"/>
  <c r="AB16" i="20"/>
  <c r="Z8" i="20"/>
  <c r="X8" i="20"/>
  <c r="X16" i="20" s="1"/>
  <c r="S22" i="20"/>
  <c r="P8" i="20"/>
  <c r="S23" i="20" l="1"/>
  <c r="S30" i="20" s="1"/>
  <c r="Q16" i="20"/>
  <c r="Z16" i="20"/>
  <c r="S94" i="20"/>
  <c r="Q80" i="20"/>
  <c r="S62" i="20"/>
  <c r="Q48" i="20"/>
  <c r="R29" i="20"/>
  <c r="R26" i="20"/>
  <c r="P30" i="20"/>
  <c r="P16" i="20"/>
  <c r="R22" i="20"/>
  <c r="R54" i="20"/>
  <c r="R62" i="20" s="1"/>
  <c r="R86" i="20"/>
  <c r="R94" i="20" s="1"/>
  <c r="R118" i="20"/>
  <c r="R126" i="20" s="1"/>
  <c r="N19" i="4"/>
  <c r="Q104" i="18"/>
  <c r="W105" i="18"/>
  <c r="Y105" i="18"/>
  <c r="Q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P125" i="18"/>
  <c r="P124" i="18"/>
  <c r="P123" i="18"/>
  <c r="P122" i="18"/>
  <c r="P121" i="18"/>
  <c r="P120" i="18"/>
  <c r="P119" i="18"/>
  <c r="P118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Q111" i="18"/>
  <c r="S125" i="18" s="1"/>
  <c r="P111" i="18"/>
  <c r="R125" i="18" s="1"/>
  <c r="Q110" i="18"/>
  <c r="S124" i="18" s="1"/>
  <c r="P110" i="18"/>
  <c r="R124" i="18" s="1"/>
  <c r="Q109" i="18"/>
  <c r="S123" i="18" s="1"/>
  <c r="P109" i="18"/>
  <c r="R123" i="18" s="1"/>
  <c r="Q108" i="18"/>
  <c r="S122" i="18" s="1"/>
  <c r="P108" i="18"/>
  <c r="R122" i="18" s="1"/>
  <c r="Q107" i="18"/>
  <c r="S121" i="18" s="1"/>
  <c r="P107" i="18"/>
  <c r="R121" i="18" s="1"/>
  <c r="Q106" i="18"/>
  <c r="S120" i="18" s="1"/>
  <c r="P106" i="18"/>
  <c r="R120" i="18" s="1"/>
  <c r="Q105" i="18"/>
  <c r="S119" i="18" s="1"/>
  <c r="P105" i="18"/>
  <c r="R119" i="18" s="1"/>
  <c r="S118" i="18"/>
  <c r="S126" i="18" s="1"/>
  <c r="P104" i="18"/>
  <c r="P112" i="18" s="1"/>
  <c r="Q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P93" i="18"/>
  <c r="P92" i="18"/>
  <c r="P91" i="18"/>
  <c r="P90" i="18"/>
  <c r="P89" i="18"/>
  <c r="P88" i="18"/>
  <c r="P87" i="18"/>
  <c r="P86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Q79" i="18"/>
  <c r="S93" i="18" s="1"/>
  <c r="P79" i="18"/>
  <c r="R93" i="18" s="1"/>
  <c r="Q78" i="18"/>
  <c r="S92" i="18" s="1"/>
  <c r="P78" i="18"/>
  <c r="R92" i="18" s="1"/>
  <c r="Q77" i="18"/>
  <c r="S91" i="18" s="1"/>
  <c r="P77" i="18"/>
  <c r="R91" i="18" s="1"/>
  <c r="Q76" i="18"/>
  <c r="S90" i="18" s="1"/>
  <c r="P76" i="18"/>
  <c r="R90" i="18" s="1"/>
  <c r="Q75" i="18"/>
  <c r="S89" i="18" s="1"/>
  <c r="P75" i="18"/>
  <c r="R89" i="18" s="1"/>
  <c r="Q74" i="18"/>
  <c r="S88" i="18" s="1"/>
  <c r="P74" i="18"/>
  <c r="R88" i="18" s="1"/>
  <c r="Q73" i="18"/>
  <c r="S87" i="18" s="1"/>
  <c r="P73" i="18"/>
  <c r="R87" i="18" s="1"/>
  <c r="Q72" i="18"/>
  <c r="S86" i="18" s="1"/>
  <c r="S94" i="18" s="1"/>
  <c r="P72" i="18"/>
  <c r="P80" i="18" s="1"/>
  <c r="Q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P61" i="18"/>
  <c r="P60" i="18"/>
  <c r="P59" i="18"/>
  <c r="P58" i="18"/>
  <c r="P57" i="18"/>
  <c r="P62" i="18" s="1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Q47" i="18"/>
  <c r="S61" i="18" s="1"/>
  <c r="P47" i="18"/>
  <c r="Q46" i="18"/>
  <c r="S60" i="18" s="1"/>
  <c r="P46" i="18"/>
  <c r="R60" i="18" s="1"/>
  <c r="Q45" i="18"/>
  <c r="S59" i="18" s="1"/>
  <c r="P45" i="18"/>
  <c r="Q44" i="18"/>
  <c r="S58" i="18" s="1"/>
  <c r="P44" i="18"/>
  <c r="R58" i="18" s="1"/>
  <c r="Q43" i="18"/>
  <c r="S57" i="18" s="1"/>
  <c r="P43" i="18"/>
  <c r="Q42" i="18"/>
  <c r="S56" i="18" s="1"/>
  <c r="P42" i="18"/>
  <c r="R56" i="18" s="1"/>
  <c r="Q41" i="18"/>
  <c r="S55" i="18" s="1"/>
  <c r="P41" i="18"/>
  <c r="R55" i="18" s="1"/>
  <c r="Q40" i="18"/>
  <c r="S54" i="18" s="1"/>
  <c r="P40" i="18"/>
  <c r="Z9" i="18"/>
  <c r="Z10" i="18"/>
  <c r="Z11" i="18"/>
  <c r="Z12" i="18"/>
  <c r="Z13" i="18"/>
  <c r="Z14" i="18"/>
  <c r="Z15" i="18"/>
  <c r="Z8" i="18"/>
  <c r="X9" i="18"/>
  <c r="X10" i="18"/>
  <c r="X11" i="18"/>
  <c r="X12" i="18"/>
  <c r="X13" i="18"/>
  <c r="X14" i="18"/>
  <c r="X15" i="18"/>
  <c r="X8" i="18"/>
  <c r="V9" i="18"/>
  <c r="V10" i="18"/>
  <c r="V11" i="18"/>
  <c r="V12" i="18"/>
  <c r="V13" i="18"/>
  <c r="V14" i="18"/>
  <c r="V15" i="18"/>
  <c r="V8" i="18"/>
  <c r="W16" i="18"/>
  <c r="Y16" i="18"/>
  <c r="U16" i="18"/>
  <c r="P23" i="18"/>
  <c r="P24" i="18"/>
  <c r="P25" i="18"/>
  <c r="P26" i="18"/>
  <c r="P27" i="18"/>
  <c r="P28" i="18"/>
  <c r="P29" i="18"/>
  <c r="Q9" i="18"/>
  <c r="S23" i="18" s="1"/>
  <c r="Q10" i="18"/>
  <c r="S24" i="18" s="1"/>
  <c r="Q11" i="18"/>
  <c r="S25" i="18" s="1"/>
  <c r="Q12" i="18"/>
  <c r="S26" i="18" s="1"/>
  <c r="Q13" i="18"/>
  <c r="S27" i="18" s="1"/>
  <c r="Q14" i="18"/>
  <c r="S28" i="18" s="1"/>
  <c r="Q15" i="18"/>
  <c r="S29" i="18" s="1"/>
  <c r="P9" i="18"/>
  <c r="R23" i="18" s="1"/>
  <c r="P10" i="18"/>
  <c r="R24" i="18" s="1"/>
  <c r="P11" i="18"/>
  <c r="R25" i="18" s="1"/>
  <c r="P12" i="18"/>
  <c r="P13" i="18"/>
  <c r="R27" i="18" s="1"/>
  <c r="P14" i="18"/>
  <c r="R28" i="18" s="1"/>
  <c r="P15" i="18"/>
  <c r="R29" i="18" s="1"/>
  <c r="D30" i="18"/>
  <c r="E30" i="18"/>
  <c r="F30" i="18"/>
  <c r="G30" i="18"/>
  <c r="H30" i="18"/>
  <c r="I30" i="18"/>
  <c r="J30" i="18"/>
  <c r="K30" i="18"/>
  <c r="L30" i="18"/>
  <c r="M30" i="18"/>
  <c r="N30" i="18"/>
  <c r="O30" i="18"/>
  <c r="Q30" i="18"/>
  <c r="P22" i="18"/>
  <c r="Q8" i="18"/>
  <c r="S22" i="18" s="1"/>
  <c r="P8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C30" i="18"/>
  <c r="C16" i="18"/>
  <c r="R57" i="18" l="1"/>
  <c r="R59" i="18"/>
  <c r="R61" i="18"/>
  <c r="P48" i="18"/>
  <c r="R54" i="18"/>
  <c r="S62" i="18"/>
  <c r="Q48" i="18"/>
  <c r="R30" i="20"/>
  <c r="P126" i="18"/>
  <c r="Q112" i="18"/>
  <c r="R118" i="18"/>
  <c r="R126" i="18" s="1"/>
  <c r="P94" i="18"/>
  <c r="Q80" i="18"/>
  <c r="R86" i="18"/>
  <c r="R94" i="18" s="1"/>
  <c r="R62" i="18"/>
  <c r="X16" i="18"/>
  <c r="V16" i="18"/>
  <c r="Z16" i="18"/>
  <c r="S30" i="18"/>
  <c r="Q16" i="18"/>
  <c r="R26" i="18"/>
  <c r="P30" i="18"/>
  <c r="P16" i="18"/>
  <c r="R22" i="18"/>
  <c r="R30" i="18" l="1"/>
  <c r="O15" i="19" l="1"/>
  <c r="N15" i="19"/>
  <c r="M15" i="19"/>
  <c r="L15" i="19"/>
  <c r="K15" i="19"/>
  <c r="J15" i="19"/>
  <c r="H15" i="19"/>
  <c r="G15" i="19"/>
  <c r="F15" i="19"/>
  <c r="P14" i="19"/>
  <c r="P13" i="19"/>
  <c r="P12" i="19"/>
  <c r="P11" i="19"/>
  <c r="P10" i="19"/>
  <c r="P9" i="19"/>
  <c r="P8" i="19"/>
  <c r="P7" i="19"/>
  <c r="P15" i="19" s="1"/>
  <c r="N116" i="8" l="1"/>
  <c r="N116" i="7"/>
  <c r="P115" i="4" l="1"/>
  <c r="P111" i="4"/>
  <c r="C136" i="19" l="1"/>
  <c r="D136" i="19"/>
  <c r="E136" i="19"/>
  <c r="C137" i="19"/>
  <c r="D137" i="19"/>
  <c r="E137" i="19"/>
  <c r="C138" i="19"/>
  <c r="D138" i="19"/>
  <c r="E138" i="19"/>
  <c r="C139" i="19"/>
  <c r="D139" i="19"/>
  <c r="E139" i="19"/>
  <c r="C140" i="19"/>
  <c r="D140" i="19"/>
  <c r="E140" i="19"/>
  <c r="C141" i="19"/>
  <c r="D141" i="19"/>
  <c r="E141" i="19"/>
  <c r="C142" i="19"/>
  <c r="D142" i="19"/>
  <c r="E142" i="19"/>
  <c r="D135" i="19"/>
  <c r="E135" i="19"/>
  <c r="C135" i="19"/>
  <c r="C120" i="19"/>
  <c r="D120" i="19"/>
  <c r="E120" i="19"/>
  <c r="C121" i="19"/>
  <c r="D121" i="19"/>
  <c r="E121" i="19"/>
  <c r="C122" i="19"/>
  <c r="D122" i="19"/>
  <c r="E122" i="19"/>
  <c r="C123" i="19"/>
  <c r="D123" i="19"/>
  <c r="E123" i="19"/>
  <c r="C124" i="19"/>
  <c r="D124" i="19"/>
  <c r="E124" i="19"/>
  <c r="C125" i="19"/>
  <c r="D125" i="19"/>
  <c r="E125" i="19"/>
  <c r="C126" i="19"/>
  <c r="D126" i="19"/>
  <c r="E126" i="19"/>
  <c r="D119" i="19"/>
  <c r="E119" i="19"/>
  <c r="C119" i="19"/>
  <c r="C104" i="19"/>
  <c r="D104" i="19"/>
  <c r="E104" i="19"/>
  <c r="C105" i="19"/>
  <c r="D105" i="19"/>
  <c r="E105" i="19"/>
  <c r="C106" i="19"/>
  <c r="D106" i="19"/>
  <c r="E106" i="19"/>
  <c r="C107" i="19"/>
  <c r="D107" i="19"/>
  <c r="E107" i="19"/>
  <c r="C108" i="19"/>
  <c r="D108" i="19"/>
  <c r="E108" i="19"/>
  <c r="C109" i="19"/>
  <c r="D109" i="19"/>
  <c r="E109" i="19"/>
  <c r="C110" i="19"/>
  <c r="D110" i="19"/>
  <c r="E110" i="19"/>
  <c r="D103" i="19"/>
  <c r="E103" i="19"/>
  <c r="C103" i="19"/>
  <c r="C88" i="19"/>
  <c r="D88" i="19"/>
  <c r="E88" i="19"/>
  <c r="C89" i="19"/>
  <c r="D89" i="19"/>
  <c r="E89" i="19"/>
  <c r="C90" i="19"/>
  <c r="D90" i="19"/>
  <c r="E90" i="19"/>
  <c r="C91" i="19"/>
  <c r="D91" i="19"/>
  <c r="E91" i="19"/>
  <c r="C92" i="19"/>
  <c r="D92" i="19"/>
  <c r="E92" i="19"/>
  <c r="C93" i="19"/>
  <c r="D93" i="19"/>
  <c r="E93" i="19"/>
  <c r="C94" i="19"/>
  <c r="D94" i="19"/>
  <c r="E94" i="19"/>
  <c r="D87" i="19"/>
  <c r="E87" i="19"/>
  <c r="C87" i="19"/>
  <c r="C72" i="19"/>
  <c r="D72" i="19"/>
  <c r="E72" i="19"/>
  <c r="C73" i="19"/>
  <c r="D73" i="19"/>
  <c r="E73" i="19"/>
  <c r="C74" i="19"/>
  <c r="D74" i="19"/>
  <c r="E74" i="19"/>
  <c r="C75" i="19"/>
  <c r="D75" i="19"/>
  <c r="E75" i="19"/>
  <c r="C76" i="19"/>
  <c r="D76" i="19"/>
  <c r="E76" i="19"/>
  <c r="C77" i="19"/>
  <c r="D77" i="19"/>
  <c r="E77" i="19"/>
  <c r="C78" i="19"/>
  <c r="D78" i="19"/>
  <c r="E78" i="19"/>
  <c r="D71" i="19"/>
  <c r="E71" i="19"/>
  <c r="C71" i="19"/>
  <c r="C56" i="19"/>
  <c r="D56" i="19"/>
  <c r="E56" i="19"/>
  <c r="C57" i="19"/>
  <c r="D57" i="19"/>
  <c r="E57" i="19"/>
  <c r="C58" i="19"/>
  <c r="D58" i="19"/>
  <c r="E58" i="19"/>
  <c r="C59" i="19"/>
  <c r="D59" i="19"/>
  <c r="E59" i="19"/>
  <c r="C60" i="19"/>
  <c r="D60" i="19"/>
  <c r="E60" i="19"/>
  <c r="C61" i="19"/>
  <c r="D61" i="19"/>
  <c r="E61" i="19"/>
  <c r="C62" i="19"/>
  <c r="D62" i="19"/>
  <c r="E62" i="19"/>
  <c r="D55" i="19"/>
  <c r="E55" i="19"/>
  <c r="C55" i="19"/>
  <c r="C40" i="19"/>
  <c r="D40" i="19"/>
  <c r="E40" i="19"/>
  <c r="C41" i="19"/>
  <c r="D41" i="19"/>
  <c r="E41" i="19"/>
  <c r="C42" i="19"/>
  <c r="D42" i="19"/>
  <c r="E42" i="19"/>
  <c r="C43" i="19"/>
  <c r="D43" i="19"/>
  <c r="E43" i="19"/>
  <c r="C44" i="19"/>
  <c r="D44" i="19"/>
  <c r="E44" i="19"/>
  <c r="C45" i="19"/>
  <c r="D45" i="19"/>
  <c r="E45" i="19"/>
  <c r="C46" i="19"/>
  <c r="D46" i="19"/>
  <c r="E46" i="19"/>
  <c r="D39" i="19"/>
  <c r="E39" i="19"/>
  <c r="C39" i="19"/>
  <c r="E24" i="19"/>
  <c r="E8" i="19" s="1"/>
  <c r="E25" i="19"/>
  <c r="E9" i="19" s="1"/>
  <c r="E26" i="19"/>
  <c r="E10" i="19" s="1"/>
  <c r="E27" i="19"/>
  <c r="E11" i="19" s="1"/>
  <c r="E28" i="19"/>
  <c r="E12" i="19" s="1"/>
  <c r="E29" i="19"/>
  <c r="E13" i="19" s="1"/>
  <c r="E30" i="19"/>
  <c r="E14" i="19" s="1"/>
  <c r="D24" i="19"/>
  <c r="D8" i="19" s="1"/>
  <c r="D25" i="19"/>
  <c r="D9" i="19" s="1"/>
  <c r="D26" i="19"/>
  <c r="D10" i="19" s="1"/>
  <c r="D27" i="19"/>
  <c r="D11" i="19" s="1"/>
  <c r="D28" i="19"/>
  <c r="D12" i="19" s="1"/>
  <c r="D29" i="19"/>
  <c r="D13" i="19" s="1"/>
  <c r="D30" i="19"/>
  <c r="D14" i="19" s="1"/>
  <c r="C24" i="19"/>
  <c r="C8" i="19" s="1"/>
  <c r="I8" i="19" s="1"/>
  <c r="Q8" i="19" s="1"/>
  <c r="C25" i="19"/>
  <c r="C9" i="19" s="1"/>
  <c r="I9" i="19" s="1"/>
  <c r="Q9" i="19" s="1"/>
  <c r="C26" i="19"/>
  <c r="C10" i="19" s="1"/>
  <c r="I10" i="19" s="1"/>
  <c r="Q10" i="19" s="1"/>
  <c r="C27" i="19"/>
  <c r="C11" i="19" s="1"/>
  <c r="I11" i="19" s="1"/>
  <c r="Q11" i="19" s="1"/>
  <c r="C28" i="19"/>
  <c r="C12" i="19" s="1"/>
  <c r="I12" i="19" s="1"/>
  <c r="Q12" i="19" s="1"/>
  <c r="C29" i="19"/>
  <c r="C13" i="19" s="1"/>
  <c r="I13" i="19" s="1"/>
  <c r="Q13" i="19" s="1"/>
  <c r="C30" i="19"/>
  <c r="C14" i="19" s="1"/>
  <c r="I14" i="19" s="1"/>
  <c r="Q14" i="19" s="1"/>
  <c r="D23" i="19"/>
  <c r="D7" i="19" s="1"/>
  <c r="E23" i="19"/>
  <c r="E7" i="19" s="1"/>
  <c r="E15" i="19" s="1"/>
  <c r="C23" i="19"/>
  <c r="C7" i="19" s="1"/>
  <c r="H275" i="19"/>
  <c r="G275" i="19"/>
  <c r="F275" i="19"/>
  <c r="E275" i="19"/>
  <c r="D275" i="19"/>
  <c r="C275" i="19"/>
  <c r="O274" i="19"/>
  <c r="N274" i="19"/>
  <c r="M274" i="19"/>
  <c r="L274" i="19"/>
  <c r="K274" i="19"/>
  <c r="J274" i="19"/>
  <c r="I274" i="19"/>
  <c r="O273" i="19"/>
  <c r="N273" i="19"/>
  <c r="M273" i="19"/>
  <c r="L273" i="19"/>
  <c r="K273" i="19"/>
  <c r="J273" i="19"/>
  <c r="I273" i="19"/>
  <c r="O272" i="19"/>
  <c r="N272" i="19"/>
  <c r="M272" i="19"/>
  <c r="L272" i="19"/>
  <c r="K272" i="19"/>
  <c r="J272" i="19"/>
  <c r="I272" i="19"/>
  <c r="O271" i="19"/>
  <c r="N271" i="19"/>
  <c r="M271" i="19"/>
  <c r="L271" i="19"/>
  <c r="K271" i="19"/>
  <c r="J271" i="19"/>
  <c r="I271" i="19"/>
  <c r="O270" i="19"/>
  <c r="N270" i="19"/>
  <c r="M270" i="19"/>
  <c r="L270" i="19"/>
  <c r="K270" i="19"/>
  <c r="J270" i="19"/>
  <c r="P270" i="19" s="1"/>
  <c r="I270" i="19"/>
  <c r="O269" i="19"/>
  <c r="N269" i="19"/>
  <c r="M269" i="19"/>
  <c r="L269" i="19"/>
  <c r="K269" i="19"/>
  <c r="J269" i="19"/>
  <c r="I269" i="19"/>
  <c r="O268" i="19"/>
  <c r="N268" i="19"/>
  <c r="M268" i="19"/>
  <c r="L268" i="19"/>
  <c r="K268" i="19"/>
  <c r="J268" i="19"/>
  <c r="P268" i="19" s="1"/>
  <c r="I268" i="19"/>
  <c r="O267" i="19"/>
  <c r="O275" i="19" s="1"/>
  <c r="N267" i="19"/>
  <c r="M267" i="19"/>
  <c r="M275" i="19" s="1"/>
  <c r="L267" i="19"/>
  <c r="K267" i="19"/>
  <c r="K275" i="19" s="1"/>
  <c r="J267" i="19"/>
  <c r="I267" i="19"/>
  <c r="I275" i="19" s="1"/>
  <c r="H259" i="19"/>
  <c r="G259" i="19"/>
  <c r="F259" i="19"/>
  <c r="E259" i="19"/>
  <c r="D259" i="19"/>
  <c r="C259" i="19"/>
  <c r="O258" i="19"/>
  <c r="N258" i="19"/>
  <c r="M258" i="19"/>
  <c r="L258" i="19"/>
  <c r="K258" i="19"/>
  <c r="J258" i="19"/>
  <c r="P258" i="19" s="1"/>
  <c r="I258" i="19"/>
  <c r="O257" i="19"/>
  <c r="N257" i="19"/>
  <c r="M257" i="19"/>
  <c r="L257" i="19"/>
  <c r="K257" i="19"/>
  <c r="J257" i="19"/>
  <c r="I257" i="19"/>
  <c r="O256" i="19"/>
  <c r="N256" i="19"/>
  <c r="M256" i="19"/>
  <c r="L256" i="19"/>
  <c r="K256" i="19"/>
  <c r="J256" i="19"/>
  <c r="P256" i="19" s="1"/>
  <c r="I256" i="19"/>
  <c r="O255" i="19"/>
  <c r="N255" i="19"/>
  <c r="M255" i="19"/>
  <c r="L255" i="19"/>
  <c r="K255" i="19"/>
  <c r="J255" i="19"/>
  <c r="I255" i="19"/>
  <c r="O254" i="19"/>
  <c r="N254" i="19"/>
  <c r="M254" i="19"/>
  <c r="L254" i="19"/>
  <c r="K254" i="19"/>
  <c r="J254" i="19"/>
  <c r="P254" i="19" s="1"/>
  <c r="I254" i="19"/>
  <c r="O253" i="19"/>
  <c r="N253" i="19"/>
  <c r="M253" i="19"/>
  <c r="L253" i="19"/>
  <c r="K253" i="19"/>
  <c r="J253" i="19"/>
  <c r="I253" i="19"/>
  <c r="O252" i="19"/>
  <c r="N252" i="19"/>
  <c r="M252" i="19"/>
  <c r="L252" i="19"/>
  <c r="K252" i="19"/>
  <c r="J252" i="19"/>
  <c r="P252" i="19" s="1"/>
  <c r="I252" i="19"/>
  <c r="O251" i="19"/>
  <c r="O259" i="19" s="1"/>
  <c r="N251" i="19"/>
  <c r="M251" i="19"/>
  <c r="M259" i="19" s="1"/>
  <c r="L251" i="19"/>
  <c r="K251" i="19"/>
  <c r="K259" i="19" s="1"/>
  <c r="J251" i="19"/>
  <c r="I251" i="19"/>
  <c r="I259" i="19" s="1"/>
  <c r="H243" i="19"/>
  <c r="G243" i="19"/>
  <c r="F243" i="19"/>
  <c r="E243" i="19"/>
  <c r="D243" i="19"/>
  <c r="C243" i="19"/>
  <c r="O242" i="19"/>
  <c r="N242" i="19"/>
  <c r="M242" i="19"/>
  <c r="L242" i="19"/>
  <c r="K242" i="19"/>
  <c r="J242" i="19"/>
  <c r="I242" i="19"/>
  <c r="O241" i="19"/>
  <c r="N241" i="19"/>
  <c r="M241" i="19"/>
  <c r="L241" i="19"/>
  <c r="K241" i="19"/>
  <c r="J241" i="19"/>
  <c r="I241" i="19"/>
  <c r="O240" i="19"/>
  <c r="N240" i="19"/>
  <c r="M240" i="19"/>
  <c r="L240" i="19"/>
  <c r="K240" i="19"/>
  <c r="J240" i="19"/>
  <c r="I240" i="19"/>
  <c r="O239" i="19"/>
  <c r="N239" i="19"/>
  <c r="M239" i="19"/>
  <c r="L239" i="19"/>
  <c r="K239" i="19"/>
  <c r="J239" i="19"/>
  <c r="I239" i="19"/>
  <c r="O238" i="19"/>
  <c r="N238" i="19"/>
  <c r="M238" i="19"/>
  <c r="L238" i="19"/>
  <c r="K238" i="19"/>
  <c r="J238" i="19"/>
  <c r="I238" i="19"/>
  <c r="O237" i="19"/>
  <c r="N237" i="19"/>
  <c r="M237" i="19"/>
  <c r="L237" i="19"/>
  <c r="K237" i="19"/>
  <c r="J237" i="19"/>
  <c r="I237" i="19"/>
  <c r="O236" i="19"/>
  <c r="N236" i="19"/>
  <c r="M236" i="19"/>
  <c r="L236" i="19"/>
  <c r="K236" i="19"/>
  <c r="J236" i="19"/>
  <c r="I236" i="19"/>
  <c r="O235" i="19"/>
  <c r="N235" i="19"/>
  <c r="M235" i="19"/>
  <c r="L235" i="19"/>
  <c r="K235" i="19"/>
  <c r="J235" i="19"/>
  <c r="I235" i="19"/>
  <c r="I243" i="19" s="1"/>
  <c r="H227" i="19"/>
  <c r="G227" i="19"/>
  <c r="F227" i="19"/>
  <c r="E227" i="19"/>
  <c r="D227" i="19"/>
  <c r="C227" i="19"/>
  <c r="O226" i="19"/>
  <c r="N226" i="19"/>
  <c r="M226" i="19"/>
  <c r="L226" i="19"/>
  <c r="K226" i="19"/>
  <c r="J226" i="19"/>
  <c r="I226" i="19"/>
  <c r="O225" i="19"/>
  <c r="N225" i="19"/>
  <c r="M225" i="19"/>
  <c r="L225" i="19"/>
  <c r="K225" i="19"/>
  <c r="J225" i="19"/>
  <c r="I225" i="19"/>
  <c r="O224" i="19"/>
  <c r="N224" i="19"/>
  <c r="M224" i="19"/>
  <c r="L224" i="19"/>
  <c r="K224" i="19"/>
  <c r="J224" i="19"/>
  <c r="P224" i="19" s="1"/>
  <c r="I224" i="19"/>
  <c r="O223" i="19"/>
  <c r="N223" i="19"/>
  <c r="M223" i="19"/>
  <c r="L223" i="19"/>
  <c r="K223" i="19"/>
  <c r="J223" i="19"/>
  <c r="I223" i="19"/>
  <c r="O222" i="19"/>
  <c r="N222" i="19"/>
  <c r="M222" i="19"/>
  <c r="L222" i="19"/>
  <c r="K222" i="19"/>
  <c r="J222" i="19"/>
  <c r="P222" i="19" s="1"/>
  <c r="I222" i="19"/>
  <c r="O221" i="19"/>
  <c r="N221" i="19"/>
  <c r="M221" i="19"/>
  <c r="L221" i="19"/>
  <c r="K221" i="19"/>
  <c r="J221" i="19"/>
  <c r="I221" i="19"/>
  <c r="O220" i="19"/>
  <c r="N220" i="19"/>
  <c r="M220" i="19"/>
  <c r="L220" i="19"/>
  <c r="K220" i="19"/>
  <c r="J220" i="19"/>
  <c r="P220" i="19" s="1"/>
  <c r="I220" i="19"/>
  <c r="O219" i="19"/>
  <c r="O227" i="19" s="1"/>
  <c r="N219" i="19"/>
  <c r="M219" i="19"/>
  <c r="M227" i="19" s="1"/>
  <c r="L219" i="19"/>
  <c r="K219" i="19"/>
  <c r="K227" i="19" s="1"/>
  <c r="J219" i="19"/>
  <c r="I219" i="19"/>
  <c r="I227" i="19" s="1"/>
  <c r="E210" i="19"/>
  <c r="D210" i="19"/>
  <c r="C210" i="19"/>
  <c r="O209" i="19"/>
  <c r="N209" i="19"/>
  <c r="M209" i="19"/>
  <c r="L209" i="19"/>
  <c r="K209" i="19"/>
  <c r="J209" i="19"/>
  <c r="H209" i="19"/>
  <c r="G209" i="19"/>
  <c r="F209" i="19"/>
  <c r="I209" i="19" s="1"/>
  <c r="O208" i="19"/>
  <c r="N208" i="19"/>
  <c r="M208" i="19"/>
  <c r="L208" i="19"/>
  <c r="K208" i="19"/>
  <c r="J208" i="19"/>
  <c r="P208" i="19" s="1"/>
  <c r="H208" i="19"/>
  <c r="G208" i="19"/>
  <c r="I208" i="19" s="1"/>
  <c r="Q208" i="19" s="1"/>
  <c r="F208" i="19"/>
  <c r="O207" i="19"/>
  <c r="N207" i="19"/>
  <c r="M207" i="19"/>
  <c r="L207" i="19"/>
  <c r="K207" i="19"/>
  <c r="J207" i="19"/>
  <c r="H207" i="19"/>
  <c r="G207" i="19"/>
  <c r="F207" i="19"/>
  <c r="O206" i="19"/>
  <c r="N206" i="19"/>
  <c r="M206" i="19"/>
  <c r="L206" i="19"/>
  <c r="K206" i="19"/>
  <c r="J206" i="19"/>
  <c r="P206" i="19" s="1"/>
  <c r="H206" i="19"/>
  <c r="G206" i="19"/>
  <c r="I206" i="19" s="1"/>
  <c r="Q206" i="19" s="1"/>
  <c r="F206" i="19"/>
  <c r="O205" i="19"/>
  <c r="N205" i="19"/>
  <c r="M205" i="19"/>
  <c r="L205" i="19"/>
  <c r="K205" i="19"/>
  <c r="J205" i="19"/>
  <c r="H205" i="19"/>
  <c r="G205" i="19"/>
  <c r="F205" i="19"/>
  <c r="O204" i="19"/>
  <c r="N204" i="19"/>
  <c r="M204" i="19"/>
  <c r="L204" i="19"/>
  <c r="K204" i="19"/>
  <c r="J204" i="19"/>
  <c r="P204" i="19" s="1"/>
  <c r="Q204" i="19" s="1"/>
  <c r="H204" i="19"/>
  <c r="G204" i="19"/>
  <c r="F204" i="19"/>
  <c r="O203" i="19"/>
  <c r="N203" i="19"/>
  <c r="M203" i="19"/>
  <c r="L203" i="19"/>
  <c r="K203" i="19"/>
  <c r="J203" i="19"/>
  <c r="H203" i="19"/>
  <c r="G203" i="19"/>
  <c r="F203" i="19"/>
  <c r="I203" i="19" s="1"/>
  <c r="O202" i="19"/>
  <c r="N202" i="19"/>
  <c r="N210" i="19" s="1"/>
  <c r="M202" i="19"/>
  <c r="L202" i="19"/>
  <c r="L210" i="19" s="1"/>
  <c r="K202" i="19"/>
  <c r="J202" i="19"/>
  <c r="P202" i="19" s="1"/>
  <c r="H202" i="19"/>
  <c r="G202" i="19"/>
  <c r="G210" i="19" s="1"/>
  <c r="F202" i="19"/>
  <c r="E193" i="19"/>
  <c r="D193" i="19"/>
  <c r="C193" i="19"/>
  <c r="O192" i="19"/>
  <c r="N192" i="19"/>
  <c r="M192" i="19"/>
  <c r="L192" i="19"/>
  <c r="K192" i="19"/>
  <c r="J192" i="19"/>
  <c r="P192" i="19" s="1"/>
  <c r="Q192" i="19" s="1"/>
  <c r="H192" i="19"/>
  <c r="G192" i="19"/>
  <c r="F192" i="19"/>
  <c r="O191" i="19"/>
  <c r="N191" i="19"/>
  <c r="M191" i="19"/>
  <c r="L191" i="19"/>
  <c r="K191" i="19"/>
  <c r="J191" i="19"/>
  <c r="H191" i="19"/>
  <c r="G191" i="19"/>
  <c r="F191" i="19"/>
  <c r="O190" i="19"/>
  <c r="N190" i="19"/>
  <c r="M190" i="19"/>
  <c r="L190" i="19"/>
  <c r="K190" i="19"/>
  <c r="J190" i="19"/>
  <c r="P190" i="19" s="1"/>
  <c r="H190" i="19"/>
  <c r="G190" i="19"/>
  <c r="I190" i="19" s="1"/>
  <c r="Q190" i="19" s="1"/>
  <c r="F190" i="19"/>
  <c r="O189" i="19"/>
  <c r="N189" i="19"/>
  <c r="M189" i="19"/>
  <c r="L189" i="19"/>
  <c r="K189" i="19"/>
  <c r="J189" i="19"/>
  <c r="H189" i="19"/>
  <c r="G189" i="19"/>
  <c r="F189" i="19"/>
  <c r="O188" i="19"/>
  <c r="N188" i="19"/>
  <c r="M188" i="19"/>
  <c r="L188" i="19"/>
  <c r="K188" i="19"/>
  <c r="J188" i="19"/>
  <c r="P188" i="19" s="1"/>
  <c r="H188" i="19"/>
  <c r="G188" i="19"/>
  <c r="I188" i="19" s="1"/>
  <c r="Q188" i="19" s="1"/>
  <c r="F188" i="19"/>
  <c r="O187" i="19"/>
  <c r="N187" i="19"/>
  <c r="M187" i="19"/>
  <c r="L187" i="19"/>
  <c r="K187" i="19"/>
  <c r="J187" i="19"/>
  <c r="H187" i="19"/>
  <c r="G187" i="19"/>
  <c r="F187" i="19"/>
  <c r="O186" i="19"/>
  <c r="N186" i="19"/>
  <c r="M186" i="19"/>
  <c r="L186" i="19"/>
  <c r="K186" i="19"/>
  <c r="J186" i="19"/>
  <c r="P186" i="19" s="1"/>
  <c r="H186" i="19"/>
  <c r="G186" i="19"/>
  <c r="I186" i="19" s="1"/>
  <c r="Q186" i="19" s="1"/>
  <c r="F186" i="19"/>
  <c r="O185" i="19"/>
  <c r="O193" i="19" s="1"/>
  <c r="N185" i="19"/>
  <c r="M185" i="19"/>
  <c r="M193" i="19" s="1"/>
  <c r="L185" i="19"/>
  <c r="K185" i="19"/>
  <c r="K193" i="19" s="1"/>
  <c r="J185" i="19"/>
  <c r="H185" i="19"/>
  <c r="G185" i="19"/>
  <c r="F185" i="19"/>
  <c r="F193" i="19" s="1"/>
  <c r="E177" i="19"/>
  <c r="D177" i="19"/>
  <c r="C177" i="19"/>
  <c r="O176" i="19"/>
  <c r="N176" i="19"/>
  <c r="M176" i="19"/>
  <c r="L176" i="19"/>
  <c r="K176" i="19"/>
  <c r="J176" i="19"/>
  <c r="H176" i="19"/>
  <c r="G176" i="19"/>
  <c r="F176" i="19"/>
  <c r="I176" i="19" s="1"/>
  <c r="O175" i="19"/>
  <c r="N175" i="19"/>
  <c r="M175" i="19"/>
  <c r="L175" i="19"/>
  <c r="K175" i="19"/>
  <c r="J175" i="19"/>
  <c r="P175" i="19" s="1"/>
  <c r="H175" i="19"/>
  <c r="G175" i="19"/>
  <c r="F175" i="19"/>
  <c r="O174" i="19"/>
  <c r="N174" i="19"/>
  <c r="M174" i="19"/>
  <c r="L174" i="19"/>
  <c r="K174" i="19"/>
  <c r="J174" i="19"/>
  <c r="H174" i="19"/>
  <c r="G174" i="19"/>
  <c r="F174" i="19"/>
  <c r="I174" i="19" s="1"/>
  <c r="O173" i="19"/>
  <c r="N173" i="19"/>
  <c r="M173" i="19"/>
  <c r="L173" i="19"/>
  <c r="K173" i="19"/>
  <c r="J173" i="19"/>
  <c r="P173" i="19" s="1"/>
  <c r="H173" i="19"/>
  <c r="G173" i="19"/>
  <c r="F173" i="19"/>
  <c r="O172" i="19"/>
  <c r="N172" i="19"/>
  <c r="M172" i="19"/>
  <c r="L172" i="19"/>
  <c r="K172" i="19"/>
  <c r="J172" i="19"/>
  <c r="H172" i="19"/>
  <c r="G172" i="19"/>
  <c r="F172" i="19"/>
  <c r="I172" i="19" s="1"/>
  <c r="O171" i="19"/>
  <c r="N171" i="19"/>
  <c r="M171" i="19"/>
  <c r="L171" i="19"/>
  <c r="K171" i="19"/>
  <c r="J171" i="19"/>
  <c r="P171" i="19" s="1"/>
  <c r="H171" i="19"/>
  <c r="G171" i="19"/>
  <c r="F171" i="19"/>
  <c r="O170" i="19"/>
  <c r="N170" i="19"/>
  <c r="M170" i="19"/>
  <c r="L170" i="19"/>
  <c r="K170" i="19"/>
  <c r="J170" i="19"/>
  <c r="H170" i="19"/>
  <c r="G170" i="19"/>
  <c r="F170" i="19"/>
  <c r="I170" i="19" s="1"/>
  <c r="O169" i="19"/>
  <c r="N169" i="19"/>
  <c r="N177" i="19" s="1"/>
  <c r="M169" i="19"/>
  <c r="L169" i="19"/>
  <c r="L177" i="19" s="1"/>
  <c r="K169" i="19"/>
  <c r="J169" i="19"/>
  <c r="J177" i="19" s="1"/>
  <c r="H169" i="19"/>
  <c r="G169" i="19"/>
  <c r="G177" i="19" s="1"/>
  <c r="F169" i="19"/>
  <c r="E161" i="19"/>
  <c r="D161" i="19"/>
  <c r="C161" i="19"/>
  <c r="O160" i="19"/>
  <c r="N160" i="19"/>
  <c r="M160" i="19"/>
  <c r="L160" i="19"/>
  <c r="K160" i="19"/>
  <c r="J160" i="19"/>
  <c r="P160" i="19" s="1"/>
  <c r="H160" i="19"/>
  <c r="G160" i="19"/>
  <c r="I160" i="19" s="1"/>
  <c r="Q160" i="19" s="1"/>
  <c r="F160" i="19"/>
  <c r="O159" i="19"/>
  <c r="N159" i="19"/>
  <c r="M159" i="19"/>
  <c r="L159" i="19"/>
  <c r="K159" i="19"/>
  <c r="J159" i="19"/>
  <c r="H159" i="19"/>
  <c r="G159" i="19"/>
  <c r="F159" i="19"/>
  <c r="O158" i="19"/>
  <c r="N158" i="19"/>
  <c r="M158" i="19"/>
  <c r="L158" i="19"/>
  <c r="K158" i="19"/>
  <c r="J158" i="19"/>
  <c r="P158" i="19" s="1"/>
  <c r="H158" i="19"/>
  <c r="G158" i="19"/>
  <c r="I158" i="19" s="1"/>
  <c r="Q158" i="19" s="1"/>
  <c r="F158" i="19"/>
  <c r="O157" i="19"/>
  <c r="N157" i="19"/>
  <c r="M157" i="19"/>
  <c r="L157" i="19"/>
  <c r="K157" i="19"/>
  <c r="J157" i="19"/>
  <c r="H157" i="19"/>
  <c r="G157" i="19"/>
  <c r="F157" i="19"/>
  <c r="O156" i="19"/>
  <c r="N156" i="19"/>
  <c r="M156" i="19"/>
  <c r="L156" i="19"/>
  <c r="K156" i="19"/>
  <c r="J156" i="19"/>
  <c r="P156" i="19" s="1"/>
  <c r="H156" i="19"/>
  <c r="G156" i="19"/>
  <c r="I156" i="19" s="1"/>
  <c r="Q156" i="19" s="1"/>
  <c r="F156" i="19"/>
  <c r="O155" i="19"/>
  <c r="N155" i="19"/>
  <c r="M155" i="19"/>
  <c r="L155" i="19"/>
  <c r="K155" i="19"/>
  <c r="J155" i="19"/>
  <c r="H155" i="19"/>
  <c r="G155" i="19"/>
  <c r="F155" i="19"/>
  <c r="O154" i="19"/>
  <c r="N154" i="19"/>
  <c r="M154" i="19"/>
  <c r="L154" i="19"/>
  <c r="K154" i="19"/>
  <c r="J154" i="19"/>
  <c r="P154" i="19" s="1"/>
  <c r="H154" i="19"/>
  <c r="G154" i="19"/>
  <c r="I154" i="19" s="1"/>
  <c r="Q154" i="19" s="1"/>
  <c r="F154" i="19"/>
  <c r="O153" i="19"/>
  <c r="O161" i="19" s="1"/>
  <c r="N153" i="19"/>
  <c r="M153" i="19"/>
  <c r="M161" i="19" s="1"/>
  <c r="L153" i="19"/>
  <c r="K153" i="19"/>
  <c r="K161" i="19" s="1"/>
  <c r="J153" i="19"/>
  <c r="H153" i="19"/>
  <c r="H161" i="19" s="1"/>
  <c r="G153" i="19"/>
  <c r="F153" i="19"/>
  <c r="F161" i="19" s="1"/>
  <c r="E143" i="19"/>
  <c r="D143" i="19"/>
  <c r="P142" i="19"/>
  <c r="P141" i="19"/>
  <c r="I141" i="19"/>
  <c r="P140" i="19"/>
  <c r="I140" i="19"/>
  <c r="P139" i="19"/>
  <c r="P138" i="19"/>
  <c r="I138" i="19"/>
  <c r="P137" i="19"/>
  <c r="I137" i="19"/>
  <c r="Q137" i="19" s="1"/>
  <c r="P136" i="19"/>
  <c r="I136" i="19"/>
  <c r="O143" i="19"/>
  <c r="N143" i="19"/>
  <c r="M143" i="19"/>
  <c r="L143" i="19"/>
  <c r="K143" i="19"/>
  <c r="J143" i="19"/>
  <c r="H143" i="19"/>
  <c r="G143" i="19"/>
  <c r="F143" i="19"/>
  <c r="D127" i="19"/>
  <c r="C127" i="19"/>
  <c r="P126" i="19"/>
  <c r="I126" i="19"/>
  <c r="P125" i="19"/>
  <c r="P124" i="19"/>
  <c r="I124" i="19"/>
  <c r="Q124" i="19" s="1"/>
  <c r="P123" i="19"/>
  <c r="I123" i="19"/>
  <c r="Q123" i="19" s="1"/>
  <c r="P122" i="19"/>
  <c r="I122" i="19"/>
  <c r="Q122" i="19" s="1"/>
  <c r="I121" i="19"/>
  <c r="P120" i="19"/>
  <c r="I120" i="19"/>
  <c r="O127" i="19"/>
  <c r="N127" i="19"/>
  <c r="M127" i="19"/>
  <c r="L127" i="19"/>
  <c r="K127" i="19"/>
  <c r="J127" i="19"/>
  <c r="H127" i="19"/>
  <c r="G127" i="19"/>
  <c r="F127" i="19"/>
  <c r="C111" i="19"/>
  <c r="P110" i="19"/>
  <c r="I110" i="19"/>
  <c r="P109" i="19"/>
  <c r="I109" i="19"/>
  <c r="P108" i="19"/>
  <c r="I108" i="19"/>
  <c r="P107" i="19"/>
  <c r="I107" i="19"/>
  <c r="P106" i="19"/>
  <c r="I106" i="19"/>
  <c r="P105" i="19"/>
  <c r="I105" i="19"/>
  <c r="P104" i="19"/>
  <c r="I104" i="19"/>
  <c r="O111" i="19"/>
  <c r="N111" i="19"/>
  <c r="M111" i="19"/>
  <c r="L111" i="19"/>
  <c r="K111" i="19"/>
  <c r="P103" i="19"/>
  <c r="H111" i="19"/>
  <c r="G111" i="19"/>
  <c r="F111" i="19"/>
  <c r="E95" i="19"/>
  <c r="C95" i="19"/>
  <c r="P94" i="19"/>
  <c r="I94" i="19"/>
  <c r="P93" i="19"/>
  <c r="I93" i="19"/>
  <c r="P92" i="19"/>
  <c r="I92" i="19"/>
  <c r="Q92" i="19" s="1"/>
  <c r="P91" i="19"/>
  <c r="I91" i="19"/>
  <c r="P90" i="19"/>
  <c r="I90" i="19"/>
  <c r="Q90" i="19" s="1"/>
  <c r="P89" i="19"/>
  <c r="P88" i="19"/>
  <c r="I88" i="19"/>
  <c r="O95" i="19"/>
  <c r="N95" i="19"/>
  <c r="M95" i="19"/>
  <c r="L95" i="19"/>
  <c r="K95" i="19"/>
  <c r="J95" i="19"/>
  <c r="H95" i="19"/>
  <c r="G95" i="19"/>
  <c r="F95" i="19"/>
  <c r="E79" i="19"/>
  <c r="D79" i="19"/>
  <c r="C79" i="19"/>
  <c r="P78" i="19"/>
  <c r="I78" i="19"/>
  <c r="P77" i="19"/>
  <c r="I77" i="19"/>
  <c r="P76" i="19"/>
  <c r="I76" i="19"/>
  <c r="P75" i="19"/>
  <c r="I75" i="19"/>
  <c r="P74" i="19"/>
  <c r="I74" i="19"/>
  <c r="P73" i="19"/>
  <c r="I73" i="19"/>
  <c r="P72" i="19"/>
  <c r="I72" i="19"/>
  <c r="O79" i="19"/>
  <c r="N79" i="19"/>
  <c r="M79" i="19"/>
  <c r="L79" i="19"/>
  <c r="K79" i="19"/>
  <c r="P71" i="19"/>
  <c r="H79" i="19"/>
  <c r="G79" i="19"/>
  <c r="F79" i="19"/>
  <c r="E63" i="19"/>
  <c r="C63" i="19"/>
  <c r="P62" i="19"/>
  <c r="P61" i="19"/>
  <c r="I61" i="19"/>
  <c r="P60" i="19"/>
  <c r="I60" i="19"/>
  <c r="P59" i="19"/>
  <c r="I59" i="19"/>
  <c r="P58" i="19"/>
  <c r="P57" i="19"/>
  <c r="I57" i="19"/>
  <c r="Q57" i="19" s="1"/>
  <c r="P56" i="19"/>
  <c r="O63" i="19"/>
  <c r="N63" i="19"/>
  <c r="M63" i="19"/>
  <c r="L63" i="19"/>
  <c r="K63" i="19"/>
  <c r="J63" i="19"/>
  <c r="H63" i="19"/>
  <c r="I55" i="19"/>
  <c r="F63" i="19"/>
  <c r="E47" i="19"/>
  <c r="D47" i="19"/>
  <c r="C47" i="19"/>
  <c r="P46" i="19"/>
  <c r="I46" i="19"/>
  <c r="P45" i="19"/>
  <c r="I45" i="19"/>
  <c r="P44" i="19"/>
  <c r="I44" i="19"/>
  <c r="P43" i="19"/>
  <c r="I43" i="19"/>
  <c r="P42" i="19"/>
  <c r="I42" i="19"/>
  <c r="P41" i="19"/>
  <c r="I41" i="19"/>
  <c r="P40" i="19"/>
  <c r="I40" i="19"/>
  <c r="O47" i="19"/>
  <c r="N47" i="19"/>
  <c r="M47" i="19"/>
  <c r="L47" i="19"/>
  <c r="K47" i="19"/>
  <c r="P39" i="19"/>
  <c r="H47" i="19"/>
  <c r="G47" i="19"/>
  <c r="F47" i="19"/>
  <c r="C31" i="19"/>
  <c r="P30" i="19"/>
  <c r="P29" i="19"/>
  <c r="I29" i="19"/>
  <c r="P28" i="19"/>
  <c r="I28" i="19"/>
  <c r="P27" i="19"/>
  <c r="P26" i="19"/>
  <c r="I26" i="19"/>
  <c r="P25" i="19"/>
  <c r="I25" i="19"/>
  <c r="P24" i="19"/>
  <c r="I24" i="19"/>
  <c r="O31" i="19"/>
  <c r="N31" i="19"/>
  <c r="M31" i="19"/>
  <c r="L31" i="19"/>
  <c r="K31" i="19"/>
  <c r="P23" i="19"/>
  <c r="H31" i="19"/>
  <c r="G31" i="19"/>
  <c r="F31" i="19"/>
  <c r="P226" i="19" l="1"/>
  <c r="K243" i="19"/>
  <c r="M243" i="19"/>
  <c r="O243" i="19"/>
  <c r="P236" i="19"/>
  <c r="P238" i="19"/>
  <c r="P240" i="19"/>
  <c r="P242" i="19"/>
  <c r="P272" i="19"/>
  <c r="P274" i="19"/>
  <c r="I7" i="19"/>
  <c r="C15" i="19"/>
  <c r="Q40" i="19"/>
  <c r="Q41" i="19"/>
  <c r="Q42" i="19"/>
  <c r="Q43" i="19"/>
  <c r="Q45" i="19"/>
  <c r="Q60" i="19"/>
  <c r="Q72" i="19"/>
  <c r="Q73" i="19"/>
  <c r="Q74" i="19"/>
  <c r="Q75" i="19"/>
  <c r="Q76" i="19"/>
  <c r="Q77" i="19"/>
  <c r="Q78" i="19"/>
  <c r="Q88" i="19"/>
  <c r="Q104" i="19"/>
  <c r="Q105" i="19"/>
  <c r="Q106" i="19"/>
  <c r="Q107" i="19"/>
  <c r="Q108" i="19"/>
  <c r="Q109" i="19"/>
  <c r="Q110" i="19"/>
  <c r="Q126" i="19"/>
  <c r="Q141" i="19"/>
  <c r="D15" i="19"/>
  <c r="G161" i="19"/>
  <c r="P153" i="19"/>
  <c r="L161" i="19"/>
  <c r="N161" i="19"/>
  <c r="I155" i="19"/>
  <c r="P155" i="19"/>
  <c r="I157" i="19"/>
  <c r="P157" i="19"/>
  <c r="I159" i="19"/>
  <c r="P159" i="19"/>
  <c r="I169" i="19"/>
  <c r="H177" i="19"/>
  <c r="K177" i="19"/>
  <c r="M177" i="19"/>
  <c r="O177" i="19"/>
  <c r="P170" i="19"/>
  <c r="Q170" i="19" s="1"/>
  <c r="I171" i="19"/>
  <c r="Q171" i="19" s="1"/>
  <c r="P172" i="19"/>
  <c r="I173" i="19"/>
  <c r="Q173" i="19" s="1"/>
  <c r="P174" i="19"/>
  <c r="Q174" i="19" s="1"/>
  <c r="I175" i="19"/>
  <c r="P176" i="19"/>
  <c r="Q176" i="19" s="1"/>
  <c r="J193" i="19"/>
  <c r="L193" i="19"/>
  <c r="N193" i="19"/>
  <c r="I187" i="19"/>
  <c r="P187" i="19"/>
  <c r="I189" i="19"/>
  <c r="P189" i="19"/>
  <c r="I191" i="19"/>
  <c r="P191" i="19"/>
  <c r="F210" i="19"/>
  <c r="K210" i="19"/>
  <c r="M210" i="19"/>
  <c r="O210" i="19"/>
  <c r="P203" i="19"/>
  <c r="Q203" i="19" s="1"/>
  <c r="I205" i="19"/>
  <c r="P205" i="19"/>
  <c r="I207" i="19"/>
  <c r="P207" i="19"/>
  <c r="P209" i="19"/>
  <c r="Q209" i="19" s="1"/>
  <c r="J227" i="19"/>
  <c r="L227" i="19"/>
  <c r="N227" i="19"/>
  <c r="P221" i="19"/>
  <c r="Q221" i="19" s="1"/>
  <c r="P223" i="19"/>
  <c r="Q223" i="19" s="1"/>
  <c r="P225" i="19"/>
  <c r="Q225" i="19" s="1"/>
  <c r="J243" i="19"/>
  <c r="L243" i="19"/>
  <c r="N243" i="19"/>
  <c r="P237" i="19"/>
  <c r="Q237" i="19" s="1"/>
  <c r="P239" i="19"/>
  <c r="Q239" i="19" s="1"/>
  <c r="P241" i="19"/>
  <c r="Q241" i="19" s="1"/>
  <c r="J259" i="19"/>
  <c r="L259" i="19"/>
  <c r="N259" i="19"/>
  <c r="P253" i="19"/>
  <c r="Q253" i="19" s="1"/>
  <c r="P255" i="19"/>
  <c r="Q255" i="19" s="1"/>
  <c r="P257" i="19"/>
  <c r="Q257" i="19" s="1"/>
  <c r="J275" i="19"/>
  <c r="L275" i="19"/>
  <c r="N275" i="19"/>
  <c r="P269" i="19"/>
  <c r="Q269" i="19" s="1"/>
  <c r="P271" i="19"/>
  <c r="Q271" i="19" s="1"/>
  <c r="P273" i="19"/>
  <c r="Q273" i="19" s="1"/>
  <c r="I62" i="19"/>
  <c r="I58" i="19"/>
  <c r="Q58" i="19" s="1"/>
  <c r="I56" i="19"/>
  <c r="Q56" i="19" s="1"/>
  <c r="I89" i="19"/>
  <c r="I142" i="19"/>
  <c r="Q142" i="19" s="1"/>
  <c r="E127" i="19"/>
  <c r="I125" i="19"/>
  <c r="Q125" i="19" s="1"/>
  <c r="E111" i="19"/>
  <c r="I30" i="19"/>
  <c r="Q30" i="19" s="1"/>
  <c r="E31" i="19"/>
  <c r="D111" i="19"/>
  <c r="D95" i="19"/>
  <c r="D63" i="19"/>
  <c r="D31" i="19"/>
  <c r="C143" i="19"/>
  <c r="I139" i="19"/>
  <c r="Q139" i="19" s="1"/>
  <c r="Q120" i="19"/>
  <c r="Q94" i="19"/>
  <c r="Q62" i="19"/>
  <c r="I27" i="19"/>
  <c r="Q27" i="19" s="1"/>
  <c r="Q25" i="19"/>
  <c r="P31" i="19"/>
  <c r="Q24" i="19"/>
  <c r="Q26" i="19"/>
  <c r="Q28" i="19"/>
  <c r="P47" i="19"/>
  <c r="Q44" i="19"/>
  <c r="Q46" i="19"/>
  <c r="Q59" i="19"/>
  <c r="Q61" i="19"/>
  <c r="P79" i="19"/>
  <c r="Q89" i="19"/>
  <c r="Q91" i="19"/>
  <c r="Q93" i="19"/>
  <c r="P111" i="19"/>
  <c r="Q29" i="19"/>
  <c r="I23" i="19"/>
  <c r="J31" i="19"/>
  <c r="W31" i="19" s="1"/>
  <c r="I39" i="19"/>
  <c r="J47" i="19"/>
  <c r="P55" i="19"/>
  <c r="P63" i="19" s="1"/>
  <c r="G63" i="19"/>
  <c r="I71" i="19"/>
  <c r="J79" i="19"/>
  <c r="P87" i="19"/>
  <c r="P95" i="19" s="1"/>
  <c r="I103" i="19"/>
  <c r="J111" i="19"/>
  <c r="P119" i="19"/>
  <c r="Q136" i="19"/>
  <c r="Q138" i="19"/>
  <c r="Q140" i="19"/>
  <c r="Q172" i="19"/>
  <c r="I87" i="19"/>
  <c r="I119" i="19"/>
  <c r="P121" i="19"/>
  <c r="Q121" i="19" s="1"/>
  <c r="I177" i="19"/>
  <c r="Q175" i="19"/>
  <c r="P135" i="19"/>
  <c r="P143" i="19" s="1"/>
  <c r="I153" i="19"/>
  <c r="J161" i="19"/>
  <c r="P169" i="19"/>
  <c r="P177" i="19" s="1"/>
  <c r="F177" i="19"/>
  <c r="I135" i="19"/>
  <c r="Q220" i="19"/>
  <c r="Q222" i="19"/>
  <c r="Q224" i="19"/>
  <c r="Q226" i="19"/>
  <c r="Q236" i="19"/>
  <c r="Q238" i="19"/>
  <c r="Q240" i="19"/>
  <c r="Q242" i="19"/>
  <c r="Q252" i="19"/>
  <c r="Q254" i="19"/>
  <c r="Q256" i="19"/>
  <c r="Q258" i="19"/>
  <c r="Q268" i="19"/>
  <c r="Q270" i="19"/>
  <c r="Q272" i="19"/>
  <c r="Q274" i="19"/>
  <c r="P185" i="19"/>
  <c r="I202" i="19"/>
  <c r="J210" i="19"/>
  <c r="P235" i="19"/>
  <c r="P267" i="19"/>
  <c r="P219" i="19"/>
  <c r="P251" i="19"/>
  <c r="H9" i="11"/>
  <c r="H9" i="15" s="1"/>
  <c r="H10" i="11"/>
  <c r="H10" i="15" s="1"/>
  <c r="H11" i="11"/>
  <c r="H11" i="15" s="1"/>
  <c r="H12" i="11"/>
  <c r="H12" i="15" s="1"/>
  <c r="H13" i="11"/>
  <c r="H13" i="15" s="1"/>
  <c r="H14" i="11"/>
  <c r="H14" i="15" s="1"/>
  <c r="H15" i="11"/>
  <c r="H15" i="15" s="1"/>
  <c r="H8" i="11"/>
  <c r="H8" i="15" s="1"/>
  <c r="G9" i="11"/>
  <c r="G9" i="15" s="1"/>
  <c r="G10" i="11"/>
  <c r="G10" i="15" s="1"/>
  <c r="G11" i="11"/>
  <c r="G11" i="15" s="1"/>
  <c r="G12" i="11"/>
  <c r="G12" i="15" s="1"/>
  <c r="G13" i="11"/>
  <c r="G13" i="15" s="1"/>
  <c r="G14" i="11"/>
  <c r="G14" i="15" s="1"/>
  <c r="G15" i="11"/>
  <c r="G15" i="15" s="1"/>
  <c r="G8" i="11"/>
  <c r="G8" i="15" s="1"/>
  <c r="F9" i="11"/>
  <c r="F9" i="15" s="1"/>
  <c r="F10" i="11"/>
  <c r="F10" i="15" s="1"/>
  <c r="F11" i="11"/>
  <c r="F11" i="15" s="1"/>
  <c r="F12" i="11"/>
  <c r="F12" i="15" s="1"/>
  <c r="F13" i="11"/>
  <c r="F13" i="15" s="1"/>
  <c r="F14" i="11"/>
  <c r="F14" i="15" s="1"/>
  <c r="F15" i="11"/>
  <c r="F15" i="15" s="1"/>
  <c r="O75" i="1"/>
  <c r="P227" i="19" l="1"/>
  <c r="P243" i="19"/>
  <c r="P259" i="19"/>
  <c r="P275" i="19"/>
  <c r="Q207" i="19"/>
  <c r="Q159" i="19"/>
  <c r="Q157" i="19"/>
  <c r="Q155" i="19"/>
  <c r="Q267" i="19"/>
  <c r="Q275" i="19" s="1"/>
  <c r="I15" i="19"/>
  <c r="Q7" i="19"/>
  <c r="Q15" i="19" s="1"/>
  <c r="Q205" i="19"/>
  <c r="I63" i="19"/>
  <c r="Q235" i="19"/>
  <c r="Q243" i="19" s="1"/>
  <c r="Q191" i="19"/>
  <c r="Q189" i="19"/>
  <c r="Q187" i="19"/>
  <c r="P161" i="19"/>
  <c r="P210" i="19"/>
  <c r="P127" i="19"/>
  <c r="Q55" i="19"/>
  <c r="Q63" i="19" s="1"/>
  <c r="P193" i="19"/>
  <c r="Q185" i="19"/>
  <c r="Q169" i="19"/>
  <c r="Q177" i="19" s="1"/>
  <c r="Q87" i="19"/>
  <c r="Q95" i="19" s="1"/>
  <c r="I95" i="19"/>
  <c r="I79" i="19"/>
  <c r="Q71" i="19"/>
  <c r="Q79" i="19" s="1"/>
  <c r="I47" i="19"/>
  <c r="Q39" i="19"/>
  <c r="Q47" i="19" s="1"/>
  <c r="I31" i="19"/>
  <c r="Q23" i="19"/>
  <c r="Q31" i="19" s="1"/>
  <c r="Q251" i="19"/>
  <c r="Q259" i="19" s="1"/>
  <c r="Q219" i="19"/>
  <c r="Q227" i="19" s="1"/>
  <c r="I210" i="19"/>
  <c r="Q202" i="19"/>
  <c r="Q135" i="19"/>
  <c r="Q143" i="19" s="1"/>
  <c r="I143" i="19"/>
  <c r="I161" i="19"/>
  <c r="Q153" i="19"/>
  <c r="Q161" i="19" s="1"/>
  <c r="I127" i="19"/>
  <c r="Q119" i="19"/>
  <c r="Q127" i="19" s="1"/>
  <c r="I111" i="19"/>
  <c r="Q103" i="19"/>
  <c r="Q111" i="19" s="1"/>
  <c r="H116" i="9"/>
  <c r="Q210" i="19" l="1"/>
  <c r="Q193" i="19"/>
  <c r="H19" i="1"/>
  <c r="R52" i="17"/>
  <c r="Y52" i="17"/>
  <c r="Y51" i="17"/>
  <c r="Y50" i="17"/>
  <c r="Y48" i="17"/>
  <c r="Y46" i="17"/>
  <c r="Y47" i="17"/>
  <c r="Y49" i="17"/>
  <c r="Y45" i="17"/>
  <c r="P53" i="17"/>
  <c r="O53" i="17"/>
  <c r="N53" i="17"/>
  <c r="L53" i="17"/>
  <c r="K53" i="17"/>
  <c r="J53" i="17"/>
  <c r="I53" i="17"/>
  <c r="H53" i="17"/>
  <c r="G53" i="17"/>
  <c r="F53" i="17"/>
  <c r="E53" i="17"/>
  <c r="D53" i="17"/>
  <c r="C53" i="17"/>
  <c r="S52" i="17"/>
  <c r="V52" i="17" s="1"/>
  <c r="R51" i="17"/>
  <c r="U51" i="17" s="1"/>
  <c r="S51" i="17"/>
  <c r="V51" i="17" s="1"/>
  <c r="R50" i="17"/>
  <c r="S50" i="17"/>
  <c r="V50" i="17" s="1"/>
  <c r="R49" i="17"/>
  <c r="S49" i="17"/>
  <c r="V49" i="17" s="1"/>
  <c r="R48" i="17"/>
  <c r="S48" i="17"/>
  <c r="V48" i="17" s="1"/>
  <c r="R47" i="17"/>
  <c r="U47" i="17" s="1"/>
  <c r="S47" i="17"/>
  <c r="V47" i="17" s="1"/>
  <c r="R46" i="17"/>
  <c r="S46" i="17"/>
  <c r="V46" i="17" s="1"/>
  <c r="R45" i="17"/>
  <c r="M53" i="17"/>
  <c r="M27" i="17"/>
  <c r="M28" i="17"/>
  <c r="M29" i="17"/>
  <c r="M30" i="17"/>
  <c r="M31" i="17"/>
  <c r="M32" i="17"/>
  <c r="M33" i="17"/>
  <c r="M26" i="17"/>
  <c r="K34" i="17"/>
  <c r="T49" i="17" l="1"/>
  <c r="R53" i="17"/>
  <c r="U49" i="17"/>
  <c r="U45" i="17"/>
  <c r="T48" i="17"/>
  <c r="T52" i="17"/>
  <c r="W47" i="17"/>
  <c r="W51" i="17"/>
  <c r="T46" i="17"/>
  <c r="T47" i="17"/>
  <c r="W49" i="17"/>
  <c r="T50" i="17"/>
  <c r="T51" i="17"/>
  <c r="S45" i="17"/>
  <c r="T45" i="17" s="1"/>
  <c r="U46" i="17"/>
  <c r="W46" i="17" s="1"/>
  <c r="U48" i="17"/>
  <c r="W48" i="17" s="1"/>
  <c r="U50" i="17"/>
  <c r="W50" i="17" s="1"/>
  <c r="U52" i="17"/>
  <c r="W52" i="17" s="1"/>
  <c r="AH8" i="17"/>
  <c r="AJ8" i="17"/>
  <c r="AL8" i="17"/>
  <c r="AM8" i="17"/>
  <c r="AH9" i="17"/>
  <c r="AJ9" i="17"/>
  <c r="AL9" i="17"/>
  <c r="AM9" i="17"/>
  <c r="AH10" i="17"/>
  <c r="AJ10" i="17"/>
  <c r="AL10" i="17"/>
  <c r="AM10" i="17"/>
  <c r="AH11" i="17"/>
  <c r="AJ11" i="17"/>
  <c r="AL11" i="17"/>
  <c r="AM11" i="17"/>
  <c r="AH12" i="17"/>
  <c r="AJ12" i="17"/>
  <c r="AL12" i="17"/>
  <c r="AM12" i="17"/>
  <c r="AH13" i="17"/>
  <c r="AJ13" i="17"/>
  <c r="AL13" i="17"/>
  <c r="AM13" i="17"/>
  <c r="AH14" i="17"/>
  <c r="AJ14" i="17"/>
  <c r="AL14" i="17"/>
  <c r="AM14" i="17"/>
  <c r="AH15" i="17"/>
  <c r="AJ15" i="17"/>
  <c r="AL15" i="17"/>
  <c r="AM15" i="17"/>
  <c r="Y16" i="17"/>
  <c r="AA16" i="17"/>
  <c r="AB16" i="17"/>
  <c r="AD16" i="17"/>
  <c r="AE16" i="17"/>
  <c r="AF16" i="17"/>
  <c r="AG16" i="17"/>
  <c r="AI16" i="17"/>
  <c r="AK16" i="17"/>
  <c r="AM16" i="17"/>
  <c r="R26" i="17"/>
  <c r="S33" i="17"/>
  <c r="R33" i="17"/>
  <c r="S32" i="17"/>
  <c r="V32" i="17" s="1"/>
  <c r="R32" i="17"/>
  <c r="S31" i="17"/>
  <c r="V31" i="17" s="1"/>
  <c r="R31" i="17"/>
  <c r="S30" i="17"/>
  <c r="V30" i="17" s="1"/>
  <c r="R30" i="17"/>
  <c r="S29" i="17"/>
  <c r="R29" i="17"/>
  <c r="S28" i="17"/>
  <c r="V28" i="17" s="1"/>
  <c r="R28" i="17"/>
  <c r="S27" i="17"/>
  <c r="V27" i="17" s="1"/>
  <c r="R27" i="17"/>
  <c r="S26" i="17"/>
  <c r="V26" i="17" s="1"/>
  <c r="E34" i="17"/>
  <c r="C34" i="17"/>
  <c r="D34" i="17"/>
  <c r="F34" i="17"/>
  <c r="G34" i="17"/>
  <c r="H34" i="17"/>
  <c r="I34" i="17"/>
  <c r="J34" i="17"/>
  <c r="L34" i="17"/>
  <c r="M34" i="17"/>
  <c r="N34" i="17"/>
  <c r="O34" i="17"/>
  <c r="H183" i="17"/>
  <c r="F183" i="17"/>
  <c r="D183" i="17"/>
  <c r="AF182" i="17"/>
  <c r="AD182" i="17"/>
  <c r="AB182" i="17"/>
  <c r="Z182" i="17"/>
  <c r="X182" i="17"/>
  <c r="U182" i="17"/>
  <c r="N182" i="17"/>
  <c r="L182" i="17"/>
  <c r="J182" i="17"/>
  <c r="AF181" i="17"/>
  <c r="AD181" i="17"/>
  <c r="AB181" i="17"/>
  <c r="Z181" i="17"/>
  <c r="X181" i="17"/>
  <c r="U181" i="17"/>
  <c r="N181" i="17"/>
  <c r="L181" i="17"/>
  <c r="J181" i="17"/>
  <c r="AF180" i="17"/>
  <c r="AD180" i="17"/>
  <c r="AB180" i="17"/>
  <c r="Z180" i="17"/>
  <c r="X180" i="17"/>
  <c r="U180" i="17"/>
  <c r="N180" i="17"/>
  <c r="L180" i="17"/>
  <c r="J180" i="17"/>
  <c r="AF179" i="17"/>
  <c r="AD179" i="17"/>
  <c r="AB179" i="17"/>
  <c r="Z179" i="17"/>
  <c r="X179" i="17"/>
  <c r="U179" i="17"/>
  <c r="N179" i="17"/>
  <c r="L179" i="17"/>
  <c r="J179" i="17"/>
  <c r="AF178" i="17"/>
  <c r="AD178" i="17"/>
  <c r="AB178" i="17"/>
  <c r="Z178" i="17"/>
  <c r="X178" i="17"/>
  <c r="U178" i="17"/>
  <c r="N178" i="17"/>
  <c r="L178" i="17"/>
  <c r="J178" i="17"/>
  <c r="AF177" i="17"/>
  <c r="AD177" i="17"/>
  <c r="AB177" i="17"/>
  <c r="Z177" i="17"/>
  <c r="X177" i="17"/>
  <c r="U177" i="17"/>
  <c r="N177" i="17"/>
  <c r="L177" i="17"/>
  <c r="J177" i="17"/>
  <c r="AF176" i="17"/>
  <c r="AD176" i="17"/>
  <c r="AB176" i="17"/>
  <c r="Z176" i="17"/>
  <c r="X176" i="17"/>
  <c r="U176" i="17"/>
  <c r="N176" i="17"/>
  <c r="L176" i="17"/>
  <c r="J176" i="17"/>
  <c r="AF175" i="17"/>
  <c r="AD175" i="17"/>
  <c r="AB175" i="17"/>
  <c r="Z175" i="17"/>
  <c r="X175" i="17"/>
  <c r="U175" i="17"/>
  <c r="N175" i="17"/>
  <c r="L175" i="17"/>
  <c r="J175" i="17"/>
  <c r="H167" i="17"/>
  <c r="F167" i="17"/>
  <c r="D167" i="17"/>
  <c r="AF166" i="17"/>
  <c r="AD166" i="17"/>
  <c r="AB166" i="17"/>
  <c r="Z166" i="17"/>
  <c r="X166" i="17"/>
  <c r="U166" i="17"/>
  <c r="N166" i="17"/>
  <c r="L166" i="17"/>
  <c r="J166" i="17"/>
  <c r="AF165" i="17"/>
  <c r="AD165" i="17"/>
  <c r="AB165" i="17"/>
  <c r="Z165" i="17"/>
  <c r="X165" i="17"/>
  <c r="U165" i="17"/>
  <c r="N165" i="17"/>
  <c r="L165" i="17"/>
  <c r="J165" i="17"/>
  <c r="AF164" i="17"/>
  <c r="AD164" i="17"/>
  <c r="AB164" i="17"/>
  <c r="Z164" i="17"/>
  <c r="X164" i="17"/>
  <c r="U164" i="17"/>
  <c r="N164" i="17"/>
  <c r="L164" i="17"/>
  <c r="J164" i="17"/>
  <c r="AF163" i="17"/>
  <c r="AD163" i="17"/>
  <c r="AB163" i="17"/>
  <c r="Z163" i="17"/>
  <c r="X163" i="17"/>
  <c r="U163" i="17"/>
  <c r="N163" i="17"/>
  <c r="L163" i="17"/>
  <c r="J163" i="17"/>
  <c r="AF162" i="17"/>
  <c r="AD162" i="17"/>
  <c r="AB162" i="17"/>
  <c r="Z162" i="17"/>
  <c r="X162" i="17"/>
  <c r="U162" i="17"/>
  <c r="N162" i="17"/>
  <c r="L162" i="17"/>
  <c r="J162" i="17"/>
  <c r="AF161" i="17"/>
  <c r="AD161" i="17"/>
  <c r="AB161" i="17"/>
  <c r="Z161" i="17"/>
  <c r="X161" i="17"/>
  <c r="U161" i="17"/>
  <c r="N161" i="17"/>
  <c r="L161" i="17"/>
  <c r="J161" i="17"/>
  <c r="AF160" i="17"/>
  <c r="AD160" i="17"/>
  <c r="AB160" i="17"/>
  <c r="Z160" i="17"/>
  <c r="X160" i="17"/>
  <c r="U160" i="17"/>
  <c r="N160" i="17"/>
  <c r="L160" i="17"/>
  <c r="J160" i="17"/>
  <c r="AF159" i="17"/>
  <c r="AD159" i="17"/>
  <c r="AB159" i="17"/>
  <c r="Z159" i="17"/>
  <c r="X159" i="17"/>
  <c r="U159" i="17"/>
  <c r="N159" i="17"/>
  <c r="L159" i="17"/>
  <c r="J159" i="17"/>
  <c r="H151" i="17"/>
  <c r="F151" i="17"/>
  <c r="D151" i="17"/>
  <c r="AF150" i="17"/>
  <c r="AD150" i="17"/>
  <c r="AB150" i="17"/>
  <c r="Z150" i="17"/>
  <c r="X150" i="17"/>
  <c r="U150" i="17"/>
  <c r="N150" i="17"/>
  <c r="L150" i="17"/>
  <c r="J150" i="17"/>
  <c r="AF149" i="17"/>
  <c r="AD149" i="17"/>
  <c r="AB149" i="17"/>
  <c r="Z149" i="17"/>
  <c r="X149" i="17"/>
  <c r="U149" i="17"/>
  <c r="N149" i="17"/>
  <c r="L149" i="17"/>
  <c r="J149" i="17"/>
  <c r="AF148" i="17"/>
  <c r="AD148" i="17"/>
  <c r="AB148" i="17"/>
  <c r="Z148" i="17"/>
  <c r="X148" i="17"/>
  <c r="U148" i="17"/>
  <c r="N148" i="17"/>
  <c r="L148" i="17"/>
  <c r="J148" i="17"/>
  <c r="AF147" i="17"/>
  <c r="AD147" i="17"/>
  <c r="AB147" i="17"/>
  <c r="Z147" i="17"/>
  <c r="X147" i="17"/>
  <c r="U147" i="17"/>
  <c r="N147" i="17"/>
  <c r="L147" i="17"/>
  <c r="J147" i="17"/>
  <c r="AF146" i="17"/>
  <c r="AD146" i="17"/>
  <c r="AB146" i="17"/>
  <c r="Z146" i="17"/>
  <c r="X146" i="17"/>
  <c r="U146" i="17"/>
  <c r="N146" i="17"/>
  <c r="L146" i="17"/>
  <c r="J146" i="17"/>
  <c r="AF145" i="17"/>
  <c r="AD145" i="17"/>
  <c r="AB145" i="17"/>
  <c r="Z145" i="17"/>
  <c r="X145" i="17"/>
  <c r="U145" i="17"/>
  <c r="N145" i="17"/>
  <c r="L145" i="17"/>
  <c r="J145" i="17"/>
  <c r="AF144" i="17"/>
  <c r="AD144" i="17"/>
  <c r="AB144" i="17"/>
  <c r="Z144" i="17"/>
  <c r="X144" i="17"/>
  <c r="U144" i="17"/>
  <c r="N144" i="17"/>
  <c r="L144" i="17"/>
  <c r="J144" i="17"/>
  <c r="AF143" i="17"/>
  <c r="AD143" i="17"/>
  <c r="AB143" i="17"/>
  <c r="Z143" i="17"/>
  <c r="X143" i="17"/>
  <c r="U143" i="17"/>
  <c r="N143" i="17"/>
  <c r="L143" i="17"/>
  <c r="J143" i="17"/>
  <c r="H135" i="17"/>
  <c r="F135" i="17"/>
  <c r="D135" i="17"/>
  <c r="AF134" i="17"/>
  <c r="AD134" i="17"/>
  <c r="AB134" i="17"/>
  <c r="Z134" i="17"/>
  <c r="X134" i="17"/>
  <c r="U134" i="17"/>
  <c r="N134" i="17"/>
  <c r="L134" i="17"/>
  <c r="J134" i="17"/>
  <c r="AF133" i="17"/>
  <c r="AD133" i="17"/>
  <c r="AB133" i="17"/>
  <c r="Z133" i="17"/>
  <c r="X133" i="17"/>
  <c r="U133" i="17"/>
  <c r="N133" i="17"/>
  <c r="L133" i="17"/>
  <c r="J133" i="17"/>
  <c r="AF132" i="17"/>
  <c r="AD132" i="17"/>
  <c r="AB132" i="17"/>
  <c r="Z132" i="17"/>
  <c r="X132" i="17"/>
  <c r="U132" i="17"/>
  <c r="N132" i="17"/>
  <c r="L132" i="17"/>
  <c r="J132" i="17"/>
  <c r="AF131" i="17"/>
  <c r="AD131" i="17"/>
  <c r="AB131" i="17"/>
  <c r="Z131" i="17"/>
  <c r="X131" i="17"/>
  <c r="U131" i="17"/>
  <c r="N131" i="17"/>
  <c r="L131" i="17"/>
  <c r="J131" i="17"/>
  <c r="AF130" i="17"/>
  <c r="AD130" i="17"/>
  <c r="AB130" i="17"/>
  <c r="Z130" i="17"/>
  <c r="X130" i="17"/>
  <c r="U130" i="17"/>
  <c r="N130" i="17"/>
  <c r="L130" i="17"/>
  <c r="J130" i="17"/>
  <c r="AF129" i="17"/>
  <c r="AD129" i="17"/>
  <c r="AB129" i="17"/>
  <c r="Z129" i="17"/>
  <c r="X129" i="17"/>
  <c r="U129" i="17"/>
  <c r="N129" i="17"/>
  <c r="L129" i="17"/>
  <c r="J129" i="17"/>
  <c r="AF128" i="17"/>
  <c r="AD128" i="17"/>
  <c r="AB128" i="17"/>
  <c r="Z128" i="17"/>
  <c r="X128" i="17"/>
  <c r="U128" i="17"/>
  <c r="N128" i="17"/>
  <c r="L128" i="17"/>
  <c r="J128" i="17"/>
  <c r="AF127" i="17"/>
  <c r="AD127" i="17"/>
  <c r="AB127" i="17"/>
  <c r="Z127" i="17"/>
  <c r="X127" i="17"/>
  <c r="U127" i="17"/>
  <c r="N127" i="17"/>
  <c r="L127" i="17"/>
  <c r="J127" i="17"/>
  <c r="H119" i="17"/>
  <c r="F119" i="17"/>
  <c r="D119" i="17"/>
  <c r="AF118" i="17"/>
  <c r="AD118" i="17"/>
  <c r="AB118" i="17"/>
  <c r="Z118" i="17"/>
  <c r="X118" i="17"/>
  <c r="U118" i="17"/>
  <c r="N118" i="17"/>
  <c r="L118" i="17"/>
  <c r="J118" i="17"/>
  <c r="AF117" i="17"/>
  <c r="AD117" i="17"/>
  <c r="AB117" i="17"/>
  <c r="Z117" i="17"/>
  <c r="X117" i="17"/>
  <c r="U117" i="17"/>
  <c r="N117" i="17"/>
  <c r="L117" i="17"/>
  <c r="J117" i="17"/>
  <c r="AF116" i="17"/>
  <c r="AD116" i="17"/>
  <c r="AB116" i="17"/>
  <c r="Z116" i="17"/>
  <c r="X116" i="17"/>
  <c r="U116" i="17"/>
  <c r="N116" i="17"/>
  <c r="L116" i="17"/>
  <c r="J116" i="17"/>
  <c r="AF115" i="17"/>
  <c r="AD115" i="17"/>
  <c r="AB115" i="17"/>
  <c r="Z115" i="17"/>
  <c r="X115" i="17"/>
  <c r="U115" i="17"/>
  <c r="N115" i="17"/>
  <c r="L115" i="17"/>
  <c r="J115" i="17"/>
  <c r="AF114" i="17"/>
  <c r="AD114" i="17"/>
  <c r="AB114" i="17"/>
  <c r="Z114" i="17"/>
  <c r="X114" i="17"/>
  <c r="U114" i="17"/>
  <c r="N114" i="17"/>
  <c r="L114" i="17"/>
  <c r="J114" i="17"/>
  <c r="AF113" i="17"/>
  <c r="AD113" i="17"/>
  <c r="AB113" i="17"/>
  <c r="Z113" i="17"/>
  <c r="X113" i="17"/>
  <c r="U113" i="17"/>
  <c r="N113" i="17"/>
  <c r="L113" i="17"/>
  <c r="J113" i="17"/>
  <c r="AF112" i="17"/>
  <c r="AD112" i="17"/>
  <c r="AB112" i="17"/>
  <c r="Z112" i="17"/>
  <c r="X112" i="17"/>
  <c r="U112" i="17"/>
  <c r="N112" i="17"/>
  <c r="L112" i="17"/>
  <c r="J112" i="17"/>
  <c r="AF111" i="17"/>
  <c r="AD111" i="17"/>
  <c r="AB111" i="17"/>
  <c r="Z111" i="17"/>
  <c r="X111" i="17"/>
  <c r="U111" i="17"/>
  <c r="N111" i="17"/>
  <c r="L111" i="17"/>
  <c r="J111" i="17"/>
  <c r="AE103" i="17"/>
  <c r="AC103" i="17"/>
  <c r="AA103" i="17"/>
  <c r="Y103" i="17"/>
  <c r="V103" i="17"/>
  <c r="S103" i="17"/>
  <c r="M103" i="17"/>
  <c r="K103" i="17"/>
  <c r="I103" i="17"/>
  <c r="H103" i="17"/>
  <c r="G103" i="17"/>
  <c r="F103" i="17"/>
  <c r="E103" i="17"/>
  <c r="D103" i="17"/>
  <c r="C103" i="17"/>
  <c r="AG102" i="17"/>
  <c r="AF102" i="17"/>
  <c r="AD102" i="17"/>
  <c r="AB102" i="17"/>
  <c r="Z102" i="17"/>
  <c r="X102" i="17"/>
  <c r="U102" i="17"/>
  <c r="O102" i="17"/>
  <c r="N102" i="17"/>
  <c r="L102" i="17"/>
  <c r="J102" i="17"/>
  <c r="AG101" i="17"/>
  <c r="AF101" i="17"/>
  <c r="AD101" i="17"/>
  <c r="AB101" i="17"/>
  <c r="Z101" i="17"/>
  <c r="X101" i="17"/>
  <c r="U101" i="17"/>
  <c r="O101" i="17"/>
  <c r="N101" i="17"/>
  <c r="L101" i="17"/>
  <c r="J101" i="17"/>
  <c r="AG100" i="17"/>
  <c r="AF100" i="17"/>
  <c r="AD100" i="17"/>
  <c r="AB100" i="17"/>
  <c r="Z100" i="17"/>
  <c r="X100" i="17"/>
  <c r="U100" i="17"/>
  <c r="O100" i="17"/>
  <c r="N100" i="17"/>
  <c r="L100" i="17"/>
  <c r="J100" i="17"/>
  <c r="AG99" i="17"/>
  <c r="AF99" i="17"/>
  <c r="AD99" i="17"/>
  <c r="AB99" i="17"/>
  <c r="Z99" i="17"/>
  <c r="X99" i="17"/>
  <c r="U99" i="17"/>
  <c r="O99" i="17"/>
  <c r="N99" i="17"/>
  <c r="L99" i="17"/>
  <c r="J99" i="17"/>
  <c r="AG98" i="17"/>
  <c r="AF98" i="17"/>
  <c r="AD98" i="17"/>
  <c r="AB98" i="17"/>
  <c r="Z98" i="17"/>
  <c r="X98" i="17"/>
  <c r="U98" i="17"/>
  <c r="O98" i="17"/>
  <c r="N98" i="17"/>
  <c r="L98" i="17"/>
  <c r="J98" i="17"/>
  <c r="AG97" i="17"/>
  <c r="AF97" i="17"/>
  <c r="AD97" i="17"/>
  <c r="AB97" i="17"/>
  <c r="Z97" i="17"/>
  <c r="X97" i="17"/>
  <c r="U97" i="17"/>
  <c r="O97" i="17"/>
  <c r="N97" i="17"/>
  <c r="L97" i="17"/>
  <c r="J97" i="17"/>
  <c r="AG96" i="17"/>
  <c r="AF96" i="17"/>
  <c r="AD96" i="17"/>
  <c r="AB96" i="17"/>
  <c r="Z96" i="17"/>
  <c r="X96" i="17"/>
  <c r="U96" i="17"/>
  <c r="O96" i="17"/>
  <c r="N96" i="17"/>
  <c r="L96" i="17"/>
  <c r="J96" i="17"/>
  <c r="AG95" i="17"/>
  <c r="AF95" i="17"/>
  <c r="AD95" i="17"/>
  <c r="AB95" i="17"/>
  <c r="Z95" i="17"/>
  <c r="X95" i="17"/>
  <c r="U95" i="17"/>
  <c r="O95" i="17"/>
  <c r="N95" i="17"/>
  <c r="L95" i="17"/>
  <c r="J95" i="17"/>
  <c r="AE86" i="17"/>
  <c r="AC86" i="17"/>
  <c r="AA86" i="17"/>
  <c r="Y86" i="17"/>
  <c r="V86" i="17"/>
  <c r="S86" i="17"/>
  <c r="M86" i="17"/>
  <c r="K86" i="17"/>
  <c r="I86" i="17"/>
  <c r="H86" i="17"/>
  <c r="G86" i="17"/>
  <c r="F86" i="17"/>
  <c r="E86" i="17"/>
  <c r="D86" i="17"/>
  <c r="C86" i="17"/>
  <c r="AG85" i="17"/>
  <c r="AF85" i="17"/>
  <c r="AD85" i="17"/>
  <c r="AB85" i="17"/>
  <c r="Z85" i="17"/>
  <c r="X85" i="17"/>
  <c r="U85" i="17"/>
  <c r="O85" i="17"/>
  <c r="N85" i="17"/>
  <c r="L85" i="17"/>
  <c r="J85" i="17"/>
  <c r="AG84" i="17"/>
  <c r="AF84" i="17"/>
  <c r="AD84" i="17"/>
  <c r="AB84" i="17"/>
  <c r="Z84" i="17"/>
  <c r="X84" i="17"/>
  <c r="U84" i="17"/>
  <c r="O84" i="17"/>
  <c r="N84" i="17"/>
  <c r="L84" i="17"/>
  <c r="J84" i="17"/>
  <c r="AG83" i="17"/>
  <c r="AF83" i="17"/>
  <c r="AD83" i="17"/>
  <c r="AB83" i="17"/>
  <c r="Z83" i="17"/>
  <c r="X83" i="17"/>
  <c r="U83" i="17"/>
  <c r="O83" i="17"/>
  <c r="N83" i="17"/>
  <c r="L83" i="17"/>
  <c r="J83" i="17"/>
  <c r="AG82" i="17"/>
  <c r="AF82" i="17"/>
  <c r="AD82" i="17"/>
  <c r="AB82" i="17"/>
  <c r="Z82" i="17"/>
  <c r="X82" i="17"/>
  <c r="U82" i="17"/>
  <c r="O82" i="17"/>
  <c r="N82" i="17"/>
  <c r="L82" i="17"/>
  <c r="J82" i="17"/>
  <c r="AG81" i="17"/>
  <c r="AF81" i="17"/>
  <c r="AD81" i="17"/>
  <c r="AB81" i="17"/>
  <c r="Z81" i="17"/>
  <c r="X81" i="17"/>
  <c r="U81" i="17"/>
  <c r="O81" i="17"/>
  <c r="N81" i="17"/>
  <c r="L81" i="17"/>
  <c r="J81" i="17"/>
  <c r="AG80" i="17"/>
  <c r="AF80" i="17"/>
  <c r="AD80" i="17"/>
  <c r="AB80" i="17"/>
  <c r="Z80" i="17"/>
  <c r="X80" i="17"/>
  <c r="U80" i="17"/>
  <c r="O80" i="17"/>
  <c r="N80" i="17"/>
  <c r="L80" i="17"/>
  <c r="J80" i="17"/>
  <c r="AG79" i="17"/>
  <c r="AF79" i="17"/>
  <c r="AD79" i="17"/>
  <c r="AB79" i="17"/>
  <c r="Z79" i="17"/>
  <c r="X79" i="17"/>
  <c r="U79" i="17"/>
  <c r="O79" i="17"/>
  <c r="N79" i="17"/>
  <c r="L79" i="17"/>
  <c r="J79" i="17"/>
  <c r="AG78" i="17"/>
  <c r="AF78" i="17"/>
  <c r="AD78" i="17"/>
  <c r="AB78" i="17"/>
  <c r="Z78" i="17"/>
  <c r="X78" i="17"/>
  <c r="U78" i="17"/>
  <c r="O78" i="17"/>
  <c r="AI78" i="17" s="1"/>
  <c r="N78" i="17"/>
  <c r="L78" i="17"/>
  <c r="J78" i="17"/>
  <c r="AF34" i="17"/>
  <c r="AD34" i="17"/>
  <c r="AB34" i="17"/>
  <c r="AA34" i="17"/>
  <c r="Z34" i="17"/>
  <c r="Y34" i="17"/>
  <c r="AG33" i="17"/>
  <c r="AE33" i="17"/>
  <c r="AC33" i="17"/>
  <c r="AG32" i="17"/>
  <c r="AE32" i="17"/>
  <c r="AC32" i="17"/>
  <c r="AG31" i="17"/>
  <c r="AE31" i="17"/>
  <c r="AC31" i="17"/>
  <c r="AG30" i="17"/>
  <c r="AE30" i="17"/>
  <c r="AC30" i="17"/>
  <c r="AG29" i="17"/>
  <c r="AE29" i="17"/>
  <c r="AC29" i="17"/>
  <c r="AG28" i="17"/>
  <c r="AE28" i="17"/>
  <c r="AC28" i="17"/>
  <c r="AG27" i="17"/>
  <c r="AE27" i="17"/>
  <c r="AC27" i="17"/>
  <c r="AG26" i="17"/>
  <c r="AE26" i="17"/>
  <c r="AC26" i="17"/>
  <c r="M16" i="17"/>
  <c r="K16" i="17"/>
  <c r="I16" i="17"/>
  <c r="G16" i="17"/>
  <c r="E16" i="17"/>
  <c r="C16" i="17"/>
  <c r="O15" i="17"/>
  <c r="AO15" i="17" s="1"/>
  <c r="L15" i="17"/>
  <c r="H15" i="17"/>
  <c r="F15" i="17"/>
  <c r="D15" i="17"/>
  <c r="O14" i="17"/>
  <c r="AO14" i="17" s="1"/>
  <c r="L14" i="17"/>
  <c r="H14" i="17"/>
  <c r="F14" i="17"/>
  <c r="D14" i="17"/>
  <c r="O13" i="17"/>
  <c r="AO13" i="17" s="1"/>
  <c r="L13" i="17"/>
  <c r="H13" i="17"/>
  <c r="F13" i="17"/>
  <c r="D13" i="17"/>
  <c r="O12" i="17"/>
  <c r="AO12" i="17" s="1"/>
  <c r="L12" i="17"/>
  <c r="H12" i="17"/>
  <c r="F12" i="17"/>
  <c r="D12" i="17"/>
  <c r="O11" i="17"/>
  <c r="AO11" i="17" s="1"/>
  <c r="L11" i="17"/>
  <c r="H11" i="17"/>
  <c r="F11" i="17"/>
  <c r="D11" i="17"/>
  <c r="O10" i="17"/>
  <c r="AO10" i="17" s="1"/>
  <c r="L10" i="17"/>
  <c r="H10" i="17"/>
  <c r="F10" i="17"/>
  <c r="D10" i="17"/>
  <c r="O9" i="17"/>
  <c r="AO9" i="17" s="1"/>
  <c r="L9" i="17"/>
  <c r="H9" i="17"/>
  <c r="F9" i="17"/>
  <c r="D9" i="17"/>
  <c r="O8" i="17"/>
  <c r="AO8" i="17" s="1"/>
  <c r="L8" i="17"/>
  <c r="H8" i="17"/>
  <c r="F8" i="17"/>
  <c r="D8" i="17"/>
  <c r="O26" i="14"/>
  <c r="P26" i="14"/>
  <c r="X26" i="14"/>
  <c r="Z26" i="14"/>
  <c r="AB26" i="14"/>
  <c r="AC26" i="14"/>
  <c r="AE26" i="14" s="1"/>
  <c r="O27" i="14"/>
  <c r="P27" i="14"/>
  <c r="X27" i="14"/>
  <c r="Z27" i="14"/>
  <c r="AD27" i="14" s="1"/>
  <c r="AF27" i="14" s="1"/>
  <c r="AB27" i="14"/>
  <c r="AC27" i="14"/>
  <c r="AE27" i="14"/>
  <c r="O28" i="14"/>
  <c r="P28" i="14"/>
  <c r="X28" i="14"/>
  <c r="Z28" i="14"/>
  <c r="AB28" i="14"/>
  <c r="AC28" i="14"/>
  <c r="AD28" i="14"/>
  <c r="AE28" i="14"/>
  <c r="AF28" i="14"/>
  <c r="O29" i="14"/>
  <c r="P29" i="14"/>
  <c r="X29" i="14"/>
  <c r="Z29" i="14"/>
  <c r="AB29" i="14"/>
  <c r="AC29" i="14"/>
  <c r="AD29" i="14"/>
  <c r="AE29" i="14"/>
  <c r="AF29" i="14"/>
  <c r="O30" i="14"/>
  <c r="P30" i="14"/>
  <c r="X30" i="14"/>
  <c r="Z30" i="14"/>
  <c r="AB30" i="14"/>
  <c r="AC30" i="14"/>
  <c r="AD30" i="14"/>
  <c r="AE30" i="14"/>
  <c r="AF30" i="14"/>
  <c r="O31" i="14"/>
  <c r="P31" i="14"/>
  <c r="X31" i="14"/>
  <c r="Z31" i="14"/>
  <c r="AB31" i="14"/>
  <c r="AC31" i="14"/>
  <c r="AD31" i="14"/>
  <c r="AE31" i="14"/>
  <c r="AF31" i="14"/>
  <c r="O32" i="14"/>
  <c r="P32" i="14"/>
  <c r="X32" i="14"/>
  <c r="Z32" i="14"/>
  <c r="AD32" i="14" s="1"/>
  <c r="AF32" i="14" s="1"/>
  <c r="AB32" i="14"/>
  <c r="AC32" i="14"/>
  <c r="AE32" i="14" s="1"/>
  <c r="O33" i="14"/>
  <c r="P33" i="14"/>
  <c r="X33" i="14"/>
  <c r="Z33" i="14"/>
  <c r="AD33" i="14" s="1"/>
  <c r="AF33" i="14" s="1"/>
  <c r="AB33" i="14"/>
  <c r="AC33" i="14"/>
  <c r="AE33" i="14" s="1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O8" i="14"/>
  <c r="L9" i="14"/>
  <c r="L10" i="14"/>
  <c r="L11" i="14"/>
  <c r="L12" i="14"/>
  <c r="L13" i="14"/>
  <c r="L14" i="14"/>
  <c r="L15" i="14"/>
  <c r="H9" i="14"/>
  <c r="H10" i="14"/>
  <c r="H11" i="14"/>
  <c r="H12" i="14"/>
  <c r="H13" i="14"/>
  <c r="H14" i="14"/>
  <c r="H15" i="14"/>
  <c r="L8" i="14"/>
  <c r="H8" i="14"/>
  <c r="F9" i="14"/>
  <c r="F10" i="14"/>
  <c r="F11" i="14"/>
  <c r="F12" i="14"/>
  <c r="F13" i="14"/>
  <c r="F14" i="14"/>
  <c r="F15" i="14"/>
  <c r="F8" i="14"/>
  <c r="D9" i="14"/>
  <c r="D10" i="14"/>
  <c r="D11" i="14"/>
  <c r="D12" i="14"/>
  <c r="D13" i="14"/>
  <c r="D14" i="14"/>
  <c r="D15" i="14"/>
  <c r="D8" i="14"/>
  <c r="AC34" i="14" l="1"/>
  <c r="AE34" i="14" s="1"/>
  <c r="AD26" i="14"/>
  <c r="U151" i="17"/>
  <c r="AN14" i="17"/>
  <c r="AN15" i="17"/>
  <c r="AN13" i="17"/>
  <c r="AN8" i="17"/>
  <c r="T53" i="17"/>
  <c r="S53" i="17"/>
  <c r="V45" i="17"/>
  <c r="U53" i="17"/>
  <c r="AN11" i="17"/>
  <c r="AN10" i="17"/>
  <c r="AN9" i="17"/>
  <c r="AL16" i="17"/>
  <c r="AH16" i="17"/>
  <c r="AN12" i="17"/>
  <c r="AJ16" i="17"/>
  <c r="P102" i="17"/>
  <c r="T28" i="17"/>
  <c r="T30" i="17"/>
  <c r="T32" i="17"/>
  <c r="T27" i="17"/>
  <c r="T29" i="17"/>
  <c r="T31" i="17"/>
  <c r="T33" i="17"/>
  <c r="R34" i="17"/>
  <c r="AI95" i="17"/>
  <c r="U26" i="17"/>
  <c r="W26" i="17" s="1"/>
  <c r="T26" i="17"/>
  <c r="U30" i="17"/>
  <c r="W30" i="17" s="1"/>
  <c r="AH166" i="17"/>
  <c r="U183" i="17"/>
  <c r="AD183" i="17"/>
  <c r="U32" i="17"/>
  <c r="W32" i="17" s="1"/>
  <c r="U28" i="17"/>
  <c r="W28" i="17" s="1"/>
  <c r="O16" i="17"/>
  <c r="AO16" i="17" s="1"/>
  <c r="J119" i="17"/>
  <c r="X119" i="17"/>
  <c r="AF119" i="17"/>
  <c r="L135" i="17"/>
  <c r="P128" i="17"/>
  <c r="AH131" i="17"/>
  <c r="P132" i="17"/>
  <c r="N151" i="17"/>
  <c r="AB151" i="17"/>
  <c r="P145" i="17"/>
  <c r="AH146" i="17"/>
  <c r="P149" i="17"/>
  <c r="AH150" i="17"/>
  <c r="U167" i="17"/>
  <c r="AD167" i="17"/>
  <c r="P162" i="17"/>
  <c r="AH163" i="17"/>
  <c r="P166" i="17"/>
  <c r="J183" i="17"/>
  <c r="X183" i="17"/>
  <c r="AH28" i="17"/>
  <c r="AJ28" i="17" s="1"/>
  <c r="AH30" i="17"/>
  <c r="AJ30" i="17" s="1"/>
  <c r="AH32" i="17"/>
  <c r="AJ32" i="17" s="1"/>
  <c r="U31" i="17"/>
  <c r="W31" i="17" s="1"/>
  <c r="U27" i="17"/>
  <c r="W27" i="17" s="1"/>
  <c r="AI81" i="17"/>
  <c r="AI85" i="17"/>
  <c r="AI97" i="17"/>
  <c r="AI101" i="17"/>
  <c r="AH102" i="17"/>
  <c r="AJ102" i="17" s="1"/>
  <c r="AB119" i="17"/>
  <c r="AH27" i="17"/>
  <c r="AJ27" i="17" s="1"/>
  <c r="AH31" i="17"/>
  <c r="AJ31" i="17" s="1"/>
  <c r="U33" i="17"/>
  <c r="U29" i="17"/>
  <c r="V33" i="17"/>
  <c r="AH33" i="17" s="1"/>
  <c r="AJ33" i="17" s="1"/>
  <c r="V29" i="17"/>
  <c r="AH29" i="17" s="1"/>
  <c r="AJ29" i="17" s="1"/>
  <c r="AD151" i="17"/>
  <c r="J167" i="17"/>
  <c r="X167" i="17"/>
  <c r="AH112" i="17"/>
  <c r="L86" i="17"/>
  <c r="X86" i="17"/>
  <c r="AF86" i="17"/>
  <c r="AH177" i="17"/>
  <c r="AH181" i="17"/>
  <c r="F16" i="17"/>
  <c r="AH80" i="17"/>
  <c r="AI102" i="17"/>
  <c r="P113" i="17"/>
  <c r="N86" i="17"/>
  <c r="Z86" i="17"/>
  <c r="AG86" i="17"/>
  <c r="AI80" i="17"/>
  <c r="AI84" i="17"/>
  <c r="P85" i="17"/>
  <c r="U119" i="17"/>
  <c r="AD119" i="17"/>
  <c r="AF183" i="17"/>
  <c r="AI83" i="17"/>
  <c r="AI99" i="17"/>
  <c r="AI82" i="17"/>
  <c r="AI98" i="17"/>
  <c r="N135" i="17"/>
  <c r="AB135" i="17"/>
  <c r="AF167" i="17"/>
  <c r="AH116" i="17"/>
  <c r="P117" i="17"/>
  <c r="U135" i="17"/>
  <c r="AD135" i="17"/>
  <c r="J151" i="17"/>
  <c r="AH85" i="17"/>
  <c r="AG103" i="17"/>
  <c r="AI96" i="17"/>
  <c r="AI100" i="17"/>
  <c r="P101" i="17"/>
  <c r="J135" i="17"/>
  <c r="X135" i="17"/>
  <c r="AF135" i="17"/>
  <c r="AH26" i="17"/>
  <c r="AI32" i="17"/>
  <c r="AK32" i="17" s="1"/>
  <c r="S34" i="17"/>
  <c r="AI29" i="17"/>
  <c r="AI31" i="17"/>
  <c r="AK31" i="17" s="1"/>
  <c r="AI26" i="17"/>
  <c r="AK26" i="17" s="1"/>
  <c r="P34" i="17"/>
  <c r="AK29" i="17"/>
  <c r="P100" i="17"/>
  <c r="AH100" i="17"/>
  <c r="AH127" i="17"/>
  <c r="AH178" i="17"/>
  <c r="AH182" i="17"/>
  <c r="J86" i="17"/>
  <c r="P79" i="17"/>
  <c r="P129" i="17"/>
  <c r="P133" i="17"/>
  <c r="P163" i="17"/>
  <c r="L183" i="17"/>
  <c r="AH129" i="17"/>
  <c r="P130" i="17"/>
  <c r="P134" i="17"/>
  <c r="X151" i="17"/>
  <c r="AF151" i="17"/>
  <c r="Z167" i="17"/>
  <c r="N183" i="17"/>
  <c r="AB183" i="17"/>
  <c r="AH176" i="17"/>
  <c r="AH180" i="17"/>
  <c r="H16" i="17"/>
  <c r="AE34" i="17"/>
  <c r="AH101" i="17"/>
  <c r="P131" i="17"/>
  <c r="AH134" i="17"/>
  <c r="L151" i="17"/>
  <c r="Z151" i="17"/>
  <c r="AH149" i="17"/>
  <c r="N167" i="17"/>
  <c r="D16" i="17"/>
  <c r="L16" i="17"/>
  <c r="AI28" i="17"/>
  <c r="AK28" i="17" s="1"/>
  <c r="AI33" i="17"/>
  <c r="AK33" i="17" s="1"/>
  <c r="AH78" i="17"/>
  <c r="O86" i="17"/>
  <c r="P80" i="17"/>
  <c r="AH84" i="17"/>
  <c r="P95" i="17"/>
  <c r="AH99" i="17"/>
  <c r="L119" i="17"/>
  <c r="Z119" i="17"/>
  <c r="AH115" i="17"/>
  <c r="P146" i="17"/>
  <c r="AH147" i="17"/>
  <c r="P150" i="17"/>
  <c r="L167" i="17"/>
  <c r="P160" i="17"/>
  <c r="AH161" i="17"/>
  <c r="P164" i="17"/>
  <c r="AH165" i="17"/>
  <c r="P179" i="17"/>
  <c r="AH79" i="17"/>
  <c r="AJ79" i="17" s="1"/>
  <c r="AH133" i="17"/>
  <c r="AH144" i="17"/>
  <c r="P147" i="17"/>
  <c r="AH148" i="17"/>
  <c r="AB167" i="17"/>
  <c r="P161" i="17"/>
  <c r="AH162" i="17"/>
  <c r="P165" i="17"/>
  <c r="AH175" i="17"/>
  <c r="P176" i="17"/>
  <c r="AH179" i="17"/>
  <c r="AJ179" i="17" s="1"/>
  <c r="P180" i="17"/>
  <c r="AJ180" i="17" s="1"/>
  <c r="AH82" i="17"/>
  <c r="P84" i="17"/>
  <c r="N103" i="17"/>
  <c r="Z103" i="17"/>
  <c r="AH97" i="17"/>
  <c r="P99" i="17"/>
  <c r="AH113" i="17"/>
  <c r="AH117" i="17"/>
  <c r="P127" i="17"/>
  <c r="P144" i="17"/>
  <c r="AJ144" i="17" s="1"/>
  <c r="AH145" i="17"/>
  <c r="P148" i="17"/>
  <c r="AJ148" i="17" s="1"/>
  <c r="P177" i="17"/>
  <c r="P181" i="17"/>
  <c r="P81" i="17"/>
  <c r="AH81" i="17"/>
  <c r="P82" i="17"/>
  <c r="P83" i="17"/>
  <c r="AH83" i="17"/>
  <c r="AI103" i="17"/>
  <c r="AB103" i="17"/>
  <c r="P96" i="17"/>
  <c r="AH96" i="17"/>
  <c r="AD103" i="17"/>
  <c r="P97" i="17"/>
  <c r="P98" i="17"/>
  <c r="AH98" i="17"/>
  <c r="AH114" i="17"/>
  <c r="P115" i="17"/>
  <c r="AH118" i="17"/>
  <c r="AH130" i="17"/>
  <c r="AH160" i="17"/>
  <c r="AH164" i="17"/>
  <c r="P178" i="17"/>
  <c r="P182" i="17"/>
  <c r="AJ80" i="17"/>
  <c r="AC34" i="17"/>
  <c r="U86" i="17"/>
  <c r="AD86" i="17"/>
  <c r="AB86" i="17"/>
  <c r="L103" i="17"/>
  <c r="U103" i="17"/>
  <c r="N119" i="17"/>
  <c r="P112" i="17"/>
  <c r="P114" i="17"/>
  <c r="P116" i="17"/>
  <c r="P118" i="17"/>
  <c r="AI79" i="17"/>
  <c r="X103" i="17"/>
  <c r="AF103" i="17"/>
  <c r="AH128" i="17"/>
  <c r="AH132" i="17"/>
  <c r="J103" i="17"/>
  <c r="O103" i="17"/>
  <c r="AG34" i="17"/>
  <c r="P78" i="17"/>
  <c r="AH95" i="17"/>
  <c r="AH111" i="17"/>
  <c r="P111" i="17"/>
  <c r="AH159" i="17"/>
  <c r="P175" i="17"/>
  <c r="Z135" i="17"/>
  <c r="AH143" i="17"/>
  <c r="P159" i="17"/>
  <c r="P143" i="17"/>
  <c r="Z183" i="17"/>
  <c r="P270" i="15"/>
  <c r="I271" i="15"/>
  <c r="I272" i="15"/>
  <c r="I273" i="15"/>
  <c r="I274" i="15"/>
  <c r="I275" i="15"/>
  <c r="I276" i="15"/>
  <c r="I277" i="15"/>
  <c r="I270" i="15"/>
  <c r="I287" i="15" s="1"/>
  <c r="I288" i="15"/>
  <c r="I290" i="15"/>
  <c r="I292" i="15"/>
  <c r="I293" i="15"/>
  <c r="I294" i="15"/>
  <c r="I278" i="15" l="1"/>
  <c r="AJ161" i="17"/>
  <c r="AD34" i="14"/>
  <c r="AF26" i="14"/>
  <c r="AF34" i="14" s="1"/>
  <c r="AN16" i="17"/>
  <c r="V53" i="17"/>
  <c r="W45" i="17"/>
  <c r="W53" i="17" s="1"/>
  <c r="AJ162" i="17"/>
  <c r="AJ166" i="17"/>
  <c r="AJ128" i="17"/>
  <c r="AJ116" i="17"/>
  <c r="AJ112" i="17"/>
  <c r="AJ130" i="17"/>
  <c r="AJ113" i="17"/>
  <c r="AJ133" i="17"/>
  <c r="AJ146" i="17"/>
  <c r="AJ134" i="17"/>
  <c r="AJ163" i="17"/>
  <c r="AJ117" i="17"/>
  <c r="AJ145" i="17"/>
  <c r="AJ178" i="17"/>
  <c r="AJ149" i="17"/>
  <c r="AJ131" i="17"/>
  <c r="AJ115" i="17"/>
  <c r="AJ177" i="17"/>
  <c r="AJ147" i="17"/>
  <c r="AJ176" i="17"/>
  <c r="AJ85" i="17"/>
  <c r="AJ181" i="17"/>
  <c r="AJ160" i="17"/>
  <c r="AJ118" i="17"/>
  <c r="T34" i="17"/>
  <c r="AH151" i="17"/>
  <c r="AJ99" i="17"/>
  <c r="AI27" i="17"/>
  <c r="AK27" i="17" s="1"/>
  <c r="AJ114" i="17"/>
  <c r="AH86" i="17"/>
  <c r="P103" i="17"/>
  <c r="P135" i="17"/>
  <c r="AH183" i="17"/>
  <c r="AJ150" i="17"/>
  <c r="V34" i="17"/>
  <c r="W33" i="17"/>
  <c r="AH103" i="17"/>
  <c r="AI86" i="17"/>
  <c r="AJ182" i="17"/>
  <c r="AI30" i="17"/>
  <c r="AK30" i="17" s="1"/>
  <c r="AJ127" i="17"/>
  <c r="AJ97" i="17"/>
  <c r="AJ82" i="17"/>
  <c r="AH119" i="17"/>
  <c r="AJ164" i="17"/>
  <c r="AJ84" i="17"/>
  <c r="AJ101" i="17"/>
  <c r="U34" i="17"/>
  <c r="W29" i="17"/>
  <c r="W34" i="17" s="1"/>
  <c r="AH167" i="17"/>
  <c r="AJ165" i="17"/>
  <c r="AJ81" i="17"/>
  <c r="AH135" i="17"/>
  <c r="AH34" i="17"/>
  <c r="AJ34" i="17" s="1"/>
  <c r="AJ26" i="17"/>
  <c r="AJ129" i="17"/>
  <c r="AJ100" i="17"/>
  <c r="AJ98" i="17"/>
  <c r="AJ96" i="17"/>
  <c r="AJ83" i="17"/>
  <c r="AJ143" i="17"/>
  <c r="P151" i="17"/>
  <c r="AJ159" i="17"/>
  <c r="P167" i="17"/>
  <c r="P86" i="17"/>
  <c r="AJ78" i="17"/>
  <c r="AJ132" i="17"/>
  <c r="P183" i="17"/>
  <c r="AJ175" i="17"/>
  <c r="AJ111" i="17"/>
  <c r="P119" i="17"/>
  <c r="AJ95" i="17"/>
  <c r="O295" i="15"/>
  <c r="N295" i="15"/>
  <c r="M295" i="15"/>
  <c r="L295" i="15"/>
  <c r="O278" i="15"/>
  <c r="N278" i="15"/>
  <c r="M278" i="15"/>
  <c r="L278" i="15"/>
  <c r="K278" i="15"/>
  <c r="J278" i="15"/>
  <c r="H278" i="15"/>
  <c r="G278" i="15"/>
  <c r="F278" i="15"/>
  <c r="E278" i="15"/>
  <c r="D278" i="15"/>
  <c r="C278" i="15"/>
  <c r="P277" i="15"/>
  <c r="P276" i="15"/>
  <c r="P275" i="15"/>
  <c r="P274" i="15"/>
  <c r="P273" i="15"/>
  <c r="P272" i="15"/>
  <c r="P271" i="15"/>
  <c r="Q270" i="15"/>
  <c r="Q271" i="15" l="1"/>
  <c r="Q272" i="15"/>
  <c r="Q273" i="15"/>
  <c r="Q274" i="15"/>
  <c r="Q275" i="15"/>
  <c r="Q276" i="15"/>
  <c r="Q277" i="15"/>
  <c r="AI34" i="17"/>
  <c r="AK34" i="17"/>
  <c r="AJ119" i="17"/>
  <c r="AJ151" i="17"/>
  <c r="AJ167" i="17"/>
  <c r="AJ135" i="17"/>
  <c r="AJ86" i="17"/>
  <c r="AJ183" i="17"/>
  <c r="AJ103" i="17"/>
  <c r="P278" i="15"/>
  <c r="Q278" i="15" l="1"/>
  <c r="I9" i="15"/>
  <c r="I10" i="15"/>
  <c r="I11" i="15"/>
  <c r="I12" i="15"/>
  <c r="I13" i="15"/>
  <c r="I14" i="15"/>
  <c r="I15" i="15"/>
  <c r="F116" i="8" l="1"/>
  <c r="G116" i="8"/>
  <c r="G116" i="7"/>
  <c r="G116" i="9"/>
  <c r="H261" i="15" l="1"/>
  <c r="H260" i="11"/>
  <c r="H244" i="11"/>
  <c r="I211" i="11"/>
  <c r="H212" i="11"/>
  <c r="H228" i="11"/>
  <c r="I229" i="15"/>
  <c r="H229" i="15"/>
  <c r="H245" i="15"/>
  <c r="P138" i="15"/>
  <c r="G261" i="15"/>
  <c r="F261" i="15"/>
  <c r="E261" i="15"/>
  <c r="D261" i="15"/>
  <c r="C261" i="15"/>
  <c r="I261" i="15"/>
  <c r="G245" i="15"/>
  <c r="F245" i="15"/>
  <c r="E245" i="15"/>
  <c r="D245" i="15"/>
  <c r="C245" i="15"/>
  <c r="I245" i="15"/>
  <c r="G229" i="15"/>
  <c r="F229" i="15"/>
  <c r="E229" i="15"/>
  <c r="D229" i="15"/>
  <c r="C229" i="15"/>
  <c r="G213" i="15"/>
  <c r="F213" i="15"/>
  <c r="E213" i="15"/>
  <c r="D213" i="15"/>
  <c r="C213" i="15"/>
  <c r="I213" i="15"/>
  <c r="E196" i="15"/>
  <c r="D196" i="15"/>
  <c r="C196" i="15"/>
  <c r="E179" i="15"/>
  <c r="D179" i="15"/>
  <c r="C179" i="15"/>
  <c r="E163" i="15"/>
  <c r="D163" i="15"/>
  <c r="C163" i="15"/>
  <c r="K163" i="15"/>
  <c r="E146" i="15"/>
  <c r="D146" i="15"/>
  <c r="C146" i="15"/>
  <c r="P145" i="15"/>
  <c r="P294" i="15" s="1"/>
  <c r="L146" i="15"/>
  <c r="F146" i="15"/>
  <c r="N146" i="15"/>
  <c r="J146" i="15"/>
  <c r="H146" i="15"/>
  <c r="Q138" i="15" l="1"/>
  <c r="Q287" i="15" s="1"/>
  <c r="P287" i="15"/>
  <c r="P176" i="15"/>
  <c r="P241" i="15"/>
  <c r="N261" i="15"/>
  <c r="P257" i="15"/>
  <c r="Q257" i="15" s="1"/>
  <c r="G163" i="15"/>
  <c r="P158" i="15"/>
  <c r="P162" i="15"/>
  <c r="J179" i="15"/>
  <c r="N179" i="15"/>
  <c r="P174" i="15"/>
  <c r="P193" i="15"/>
  <c r="Q193" i="15" s="1"/>
  <c r="P205" i="15"/>
  <c r="Q205" i="15" s="1"/>
  <c r="L213" i="15"/>
  <c r="P209" i="15"/>
  <c r="Q209" i="15" s="1"/>
  <c r="P253" i="15"/>
  <c r="M163" i="15"/>
  <c r="O163" i="15"/>
  <c r="F179" i="15"/>
  <c r="K179" i="15"/>
  <c r="G196" i="15"/>
  <c r="O179" i="15"/>
  <c r="P189" i="15"/>
  <c r="Q189" i="15" s="1"/>
  <c r="K213" i="15"/>
  <c r="P208" i="15"/>
  <c r="Q208" i="15" s="1"/>
  <c r="P212" i="15"/>
  <c r="M229" i="15"/>
  <c r="N229" i="15"/>
  <c r="P243" i="15"/>
  <c r="Q243" i="15" s="1"/>
  <c r="K261" i="15"/>
  <c r="L261" i="15"/>
  <c r="P258" i="15"/>
  <c r="Q258" i="15" s="1"/>
  <c r="P260" i="15"/>
  <c r="Q260" i="15" s="1"/>
  <c r="K146" i="15"/>
  <c r="O146" i="15"/>
  <c r="P141" i="15"/>
  <c r="Q145" i="15"/>
  <c r="Q294" i="15" s="1"/>
  <c r="P156" i="15"/>
  <c r="P160" i="15"/>
  <c r="P173" i="15"/>
  <c r="Q173" i="15" s="1"/>
  <c r="M196" i="15"/>
  <c r="P191" i="15"/>
  <c r="Q191" i="15" s="1"/>
  <c r="N196" i="15"/>
  <c r="P195" i="15"/>
  <c r="P207" i="15"/>
  <c r="Q207" i="15" s="1"/>
  <c r="P211" i="15"/>
  <c r="Q211" i="15" s="1"/>
  <c r="M245" i="15"/>
  <c r="N245" i="15"/>
  <c r="P240" i="15"/>
  <c r="Q240" i="15" s="1"/>
  <c r="P242" i="15"/>
  <c r="P244" i="15"/>
  <c r="Q244" i="15" s="1"/>
  <c r="P157" i="15"/>
  <c r="Q157" i="15" s="1"/>
  <c r="P161" i="15"/>
  <c r="Q161" i="15" s="1"/>
  <c r="P175" i="15"/>
  <c r="J196" i="15"/>
  <c r="P192" i="15"/>
  <c r="O213" i="15"/>
  <c r="P222" i="15"/>
  <c r="Q222" i="15" s="1"/>
  <c r="P226" i="15"/>
  <c r="Q226" i="15" s="1"/>
  <c r="Q242" i="15"/>
  <c r="O261" i="15"/>
  <c r="P256" i="15"/>
  <c r="Q256" i="15" s="1"/>
  <c r="G146" i="15"/>
  <c r="L163" i="15"/>
  <c r="P159" i="15"/>
  <c r="Q159" i="15" s="1"/>
  <c r="P172" i="15"/>
  <c r="P177" i="15"/>
  <c r="Q177" i="15" s="1"/>
  <c r="M179" i="15"/>
  <c r="F196" i="15"/>
  <c r="L196" i="15"/>
  <c r="P194" i="15"/>
  <c r="M213" i="15"/>
  <c r="J213" i="15"/>
  <c r="N213" i="15"/>
  <c r="P210" i="15"/>
  <c r="K229" i="15"/>
  <c r="O229" i="15"/>
  <c r="L229" i="15"/>
  <c r="P224" i="15"/>
  <c r="Q224" i="15" s="1"/>
  <c r="P228" i="15"/>
  <c r="Q228" i="15" s="1"/>
  <c r="P237" i="15"/>
  <c r="Q237" i="15" s="1"/>
  <c r="M261" i="15"/>
  <c r="P255" i="15"/>
  <c r="Q255" i="15" s="1"/>
  <c r="P259" i="15"/>
  <c r="Q259" i="15" s="1"/>
  <c r="F163" i="15"/>
  <c r="P190" i="15"/>
  <c r="Q190" i="15" s="1"/>
  <c r="P140" i="15"/>
  <c r="P144" i="15"/>
  <c r="P155" i="15"/>
  <c r="Q175" i="15"/>
  <c r="Q195" i="15"/>
  <c r="P221" i="15"/>
  <c r="Q221" i="15" s="1"/>
  <c r="P223" i="15"/>
  <c r="Q223" i="15" s="1"/>
  <c r="P227" i="15"/>
  <c r="Q227" i="15" s="1"/>
  <c r="M146" i="15"/>
  <c r="P139" i="15"/>
  <c r="P143" i="15"/>
  <c r="H163" i="15"/>
  <c r="Q162" i="15"/>
  <c r="L179" i="15"/>
  <c r="K196" i="15"/>
  <c r="P188" i="15"/>
  <c r="Q188" i="15" s="1"/>
  <c r="O196" i="15"/>
  <c r="P206" i="15"/>
  <c r="K245" i="15"/>
  <c r="O245" i="15"/>
  <c r="L245" i="15"/>
  <c r="Q241" i="15"/>
  <c r="J245" i="15"/>
  <c r="P238" i="15"/>
  <c r="Q238" i="15" s="1"/>
  <c r="P225" i="15"/>
  <c r="Q225" i="15" s="1"/>
  <c r="J229" i="15"/>
  <c r="P142" i="15"/>
  <c r="P291" i="15" s="1"/>
  <c r="J163" i="15"/>
  <c r="N163" i="15"/>
  <c r="Q176" i="15"/>
  <c r="Q194" i="15"/>
  <c r="Q210" i="15"/>
  <c r="Q212" i="15"/>
  <c r="P239" i="15"/>
  <c r="Q239" i="15" s="1"/>
  <c r="J261" i="15"/>
  <c r="Q253" i="15"/>
  <c r="P254" i="15"/>
  <c r="Q254" i="15" s="1"/>
  <c r="O253" i="11"/>
  <c r="O254" i="11"/>
  <c r="O255" i="11"/>
  <c r="O256" i="11"/>
  <c r="O257" i="11"/>
  <c r="O258" i="11"/>
  <c r="O259" i="11"/>
  <c r="N253" i="11"/>
  <c r="N254" i="11"/>
  <c r="N255" i="11"/>
  <c r="N256" i="11"/>
  <c r="N257" i="11"/>
  <c r="N258" i="11"/>
  <c r="N259" i="11"/>
  <c r="M253" i="11"/>
  <c r="M254" i="11"/>
  <c r="M255" i="11"/>
  <c r="M256" i="11"/>
  <c r="M257" i="11"/>
  <c r="M258" i="11"/>
  <c r="M259" i="11"/>
  <c r="L253" i="11"/>
  <c r="L254" i="11"/>
  <c r="L255" i="11"/>
  <c r="L256" i="11"/>
  <c r="L257" i="11"/>
  <c r="L258" i="11"/>
  <c r="L259" i="11"/>
  <c r="K253" i="11"/>
  <c r="K254" i="11"/>
  <c r="K255" i="11"/>
  <c r="K256" i="11"/>
  <c r="K257" i="11"/>
  <c r="K258" i="11"/>
  <c r="K259" i="11"/>
  <c r="J253" i="11"/>
  <c r="J254" i="11"/>
  <c r="J255" i="11"/>
  <c r="J256" i="11"/>
  <c r="J257" i="11"/>
  <c r="J258" i="11"/>
  <c r="J259" i="11"/>
  <c r="K252" i="11"/>
  <c r="L252" i="11"/>
  <c r="M252" i="11"/>
  <c r="N252" i="11"/>
  <c r="N260" i="11" s="1"/>
  <c r="O252" i="11"/>
  <c r="J252" i="11"/>
  <c r="J260" i="11" s="1"/>
  <c r="I254" i="11"/>
  <c r="I255" i="11"/>
  <c r="O237" i="11"/>
  <c r="O238" i="11"/>
  <c r="O239" i="11"/>
  <c r="O240" i="11"/>
  <c r="O241" i="11"/>
  <c r="O242" i="11"/>
  <c r="O243" i="11"/>
  <c r="N237" i="11"/>
  <c r="N238" i="11"/>
  <c r="N239" i="11"/>
  <c r="N240" i="11"/>
  <c r="N241" i="11"/>
  <c r="N242" i="11"/>
  <c r="N243" i="11"/>
  <c r="M237" i="11"/>
  <c r="M238" i="11"/>
  <c r="M239" i="11"/>
  <c r="M240" i="11"/>
  <c r="M241" i="11"/>
  <c r="M242" i="11"/>
  <c r="M243" i="11"/>
  <c r="L237" i="11"/>
  <c r="L238" i="11"/>
  <c r="L239" i="11"/>
  <c r="L240" i="11"/>
  <c r="L241" i="11"/>
  <c r="L242" i="11"/>
  <c r="L243" i="11"/>
  <c r="K237" i="11"/>
  <c r="K238" i="11"/>
  <c r="K239" i="11"/>
  <c r="K240" i="11"/>
  <c r="K241" i="11"/>
  <c r="K242" i="11"/>
  <c r="K243" i="11"/>
  <c r="J237" i="11"/>
  <c r="J238" i="11"/>
  <c r="J239" i="11"/>
  <c r="J240" i="11"/>
  <c r="J241" i="11"/>
  <c r="J242" i="11"/>
  <c r="J243" i="11"/>
  <c r="K236" i="11"/>
  <c r="L236" i="11"/>
  <c r="L244" i="11" s="1"/>
  <c r="M236" i="11"/>
  <c r="N236" i="11"/>
  <c r="O236" i="11"/>
  <c r="J236" i="11"/>
  <c r="I238" i="11"/>
  <c r="O221" i="11"/>
  <c r="O222" i="11"/>
  <c r="O223" i="11"/>
  <c r="O224" i="11"/>
  <c r="O225" i="11"/>
  <c r="O226" i="11"/>
  <c r="O227" i="11"/>
  <c r="N221" i="11"/>
  <c r="N222" i="11"/>
  <c r="N223" i="11"/>
  <c r="N224" i="11"/>
  <c r="N225" i="11"/>
  <c r="N226" i="11"/>
  <c r="N227" i="11"/>
  <c r="M221" i="11"/>
  <c r="M222" i="11"/>
  <c r="M223" i="11"/>
  <c r="M224" i="11"/>
  <c r="M225" i="11"/>
  <c r="M226" i="11"/>
  <c r="M227" i="11"/>
  <c r="L221" i="11"/>
  <c r="L222" i="11"/>
  <c r="L223" i="11"/>
  <c r="L224" i="11"/>
  <c r="L225" i="11"/>
  <c r="L226" i="11"/>
  <c r="L227" i="11"/>
  <c r="K221" i="11"/>
  <c r="K222" i="11"/>
  <c r="K223" i="11"/>
  <c r="K224" i="11"/>
  <c r="K225" i="11"/>
  <c r="K226" i="11"/>
  <c r="K227" i="11"/>
  <c r="J221" i="11"/>
  <c r="J222" i="11"/>
  <c r="J223" i="11"/>
  <c r="J224" i="11"/>
  <c r="J225" i="11"/>
  <c r="J226" i="11"/>
  <c r="J227" i="11"/>
  <c r="K220" i="11"/>
  <c r="L220" i="11"/>
  <c r="M220" i="11"/>
  <c r="N220" i="11"/>
  <c r="O220" i="11"/>
  <c r="J220" i="11"/>
  <c r="I222" i="11"/>
  <c r="O205" i="11"/>
  <c r="O206" i="11"/>
  <c r="O207" i="11"/>
  <c r="O208" i="11"/>
  <c r="O209" i="11"/>
  <c r="O210" i="11"/>
  <c r="O211" i="11"/>
  <c r="N205" i="11"/>
  <c r="N206" i="11"/>
  <c r="N207" i="11"/>
  <c r="N208" i="11"/>
  <c r="N209" i="11"/>
  <c r="N210" i="11"/>
  <c r="N211" i="11"/>
  <c r="M205" i="11"/>
  <c r="M206" i="11"/>
  <c r="M207" i="11"/>
  <c r="M208" i="11"/>
  <c r="M209" i="11"/>
  <c r="M210" i="11"/>
  <c r="M211" i="11"/>
  <c r="L205" i="11"/>
  <c r="L206" i="11"/>
  <c r="L207" i="11"/>
  <c r="L208" i="11"/>
  <c r="L209" i="11"/>
  <c r="L210" i="11"/>
  <c r="L211" i="11"/>
  <c r="K205" i="11"/>
  <c r="P205" i="11" s="1"/>
  <c r="K206" i="11"/>
  <c r="K207" i="11"/>
  <c r="K208" i="11"/>
  <c r="K209" i="11"/>
  <c r="K210" i="11"/>
  <c r="K211" i="11"/>
  <c r="J205" i="11"/>
  <c r="J206" i="11"/>
  <c r="J207" i="11"/>
  <c r="J208" i="11"/>
  <c r="J209" i="11"/>
  <c r="J210" i="11"/>
  <c r="J211" i="11"/>
  <c r="K204" i="11"/>
  <c r="L204" i="11"/>
  <c r="M204" i="11"/>
  <c r="N204" i="11"/>
  <c r="O204" i="11"/>
  <c r="J204" i="11"/>
  <c r="I206" i="11"/>
  <c r="I207" i="11"/>
  <c r="I205" i="11"/>
  <c r="G260" i="11"/>
  <c r="F260" i="11"/>
  <c r="E260" i="11"/>
  <c r="D260" i="11"/>
  <c r="C260" i="11"/>
  <c r="I259" i="11"/>
  <c r="I258" i="11"/>
  <c r="P257" i="11"/>
  <c r="I257" i="11"/>
  <c r="I256" i="11"/>
  <c r="I253" i="11"/>
  <c r="I252" i="11"/>
  <c r="G244" i="11"/>
  <c r="F244" i="11"/>
  <c r="E244" i="11"/>
  <c r="D244" i="11"/>
  <c r="C244" i="11"/>
  <c r="I243" i="11"/>
  <c r="I242" i="11"/>
  <c r="P241" i="11"/>
  <c r="I241" i="11"/>
  <c r="P240" i="11"/>
  <c r="I240" i="11"/>
  <c r="I239" i="11"/>
  <c r="I237" i="11"/>
  <c r="I236" i="11"/>
  <c r="G228" i="11"/>
  <c r="F228" i="11"/>
  <c r="E228" i="11"/>
  <c r="D228" i="11"/>
  <c r="C228" i="11"/>
  <c r="I227" i="11"/>
  <c r="I226" i="11"/>
  <c r="I225" i="11"/>
  <c r="P224" i="11"/>
  <c r="I224" i="11"/>
  <c r="I223" i="11"/>
  <c r="I221" i="11"/>
  <c r="N228" i="11"/>
  <c r="I220" i="11"/>
  <c r="G212" i="11"/>
  <c r="F212" i="11"/>
  <c r="E212" i="11"/>
  <c r="D212" i="11"/>
  <c r="C212" i="11"/>
  <c r="I210" i="11"/>
  <c r="I209" i="11"/>
  <c r="I208" i="11"/>
  <c r="I204" i="11"/>
  <c r="O188" i="11"/>
  <c r="O189" i="11"/>
  <c r="O190" i="11"/>
  <c r="O191" i="11"/>
  <c r="O192" i="11"/>
  <c r="O193" i="11"/>
  <c r="O194" i="11"/>
  <c r="N188" i="11"/>
  <c r="N189" i="11"/>
  <c r="N190" i="11"/>
  <c r="N191" i="11"/>
  <c r="N192" i="11"/>
  <c r="N193" i="11"/>
  <c r="N194" i="11"/>
  <c r="M188" i="11"/>
  <c r="M189" i="11"/>
  <c r="M190" i="11"/>
  <c r="M191" i="11"/>
  <c r="M192" i="11"/>
  <c r="M193" i="11"/>
  <c r="M194" i="11"/>
  <c r="L188" i="11"/>
  <c r="L189" i="11"/>
  <c r="L190" i="11"/>
  <c r="L191" i="11"/>
  <c r="L192" i="11"/>
  <c r="L193" i="11"/>
  <c r="L194" i="11"/>
  <c r="K188" i="11"/>
  <c r="K189" i="11"/>
  <c r="K190" i="11"/>
  <c r="K191" i="11"/>
  <c r="K192" i="11"/>
  <c r="K193" i="11"/>
  <c r="K194" i="11"/>
  <c r="J188" i="11"/>
  <c r="J189" i="11"/>
  <c r="J190" i="11"/>
  <c r="J191" i="11"/>
  <c r="J192" i="11"/>
  <c r="J193" i="11"/>
  <c r="J194" i="11"/>
  <c r="K187" i="11"/>
  <c r="L187" i="11"/>
  <c r="M187" i="11"/>
  <c r="N187" i="11"/>
  <c r="O187" i="11"/>
  <c r="J187" i="11"/>
  <c r="H188" i="11"/>
  <c r="H189" i="11"/>
  <c r="H190" i="11"/>
  <c r="H191" i="11"/>
  <c r="H192" i="11"/>
  <c r="H193" i="11"/>
  <c r="H194" i="11"/>
  <c r="G188" i="11"/>
  <c r="G189" i="11"/>
  <c r="G190" i="11"/>
  <c r="G191" i="11"/>
  <c r="G192" i="11"/>
  <c r="G193" i="11"/>
  <c r="G194" i="11"/>
  <c r="F188" i="11"/>
  <c r="F189" i="11"/>
  <c r="F190" i="11"/>
  <c r="F191" i="11"/>
  <c r="F192" i="11"/>
  <c r="F193" i="11"/>
  <c r="F194" i="11"/>
  <c r="G187" i="11"/>
  <c r="H187" i="11"/>
  <c r="F187" i="11"/>
  <c r="O171" i="11"/>
  <c r="O172" i="11"/>
  <c r="O173" i="11"/>
  <c r="O174" i="11"/>
  <c r="O175" i="11"/>
  <c r="O176" i="11"/>
  <c r="O177" i="11"/>
  <c r="N171" i="11"/>
  <c r="N172" i="11"/>
  <c r="N173" i="11"/>
  <c r="N174" i="11"/>
  <c r="N175" i="11"/>
  <c r="N176" i="11"/>
  <c r="N177" i="11"/>
  <c r="M171" i="11"/>
  <c r="M172" i="11"/>
  <c r="M173" i="11"/>
  <c r="M174" i="11"/>
  <c r="M175" i="11"/>
  <c r="M176" i="11"/>
  <c r="M177" i="11"/>
  <c r="L171" i="11"/>
  <c r="L172" i="11"/>
  <c r="L173" i="11"/>
  <c r="L174" i="11"/>
  <c r="L175" i="11"/>
  <c r="L176" i="11"/>
  <c r="L177" i="11"/>
  <c r="K171" i="11"/>
  <c r="K172" i="11"/>
  <c r="K173" i="11"/>
  <c r="K174" i="11"/>
  <c r="K175" i="11"/>
  <c r="K176" i="11"/>
  <c r="K177" i="11"/>
  <c r="J171" i="11"/>
  <c r="J172" i="11"/>
  <c r="J173" i="11"/>
  <c r="J174" i="11"/>
  <c r="J175" i="11"/>
  <c r="J176" i="11"/>
  <c r="J177" i="11"/>
  <c r="K170" i="11"/>
  <c r="L170" i="11"/>
  <c r="M170" i="11"/>
  <c r="N170" i="11"/>
  <c r="O170" i="11"/>
  <c r="J170" i="11"/>
  <c r="H171" i="11"/>
  <c r="H172" i="11"/>
  <c r="H173" i="11"/>
  <c r="H174" i="11"/>
  <c r="H175" i="11"/>
  <c r="H176" i="11"/>
  <c r="H177" i="11"/>
  <c r="G171" i="11"/>
  <c r="G172" i="11"/>
  <c r="G173" i="11"/>
  <c r="G174" i="11"/>
  <c r="G175" i="11"/>
  <c r="G176" i="11"/>
  <c r="G177" i="11"/>
  <c r="F171" i="11"/>
  <c r="F172" i="11"/>
  <c r="F173" i="11"/>
  <c r="F174" i="11"/>
  <c r="I174" i="11" s="1"/>
  <c r="F175" i="11"/>
  <c r="F176" i="11"/>
  <c r="F177" i="11"/>
  <c r="G170" i="11"/>
  <c r="H170" i="11"/>
  <c r="F170" i="11"/>
  <c r="O155" i="11"/>
  <c r="O156" i="11"/>
  <c r="O157" i="11"/>
  <c r="O158" i="11"/>
  <c r="O159" i="11"/>
  <c r="O160" i="11"/>
  <c r="O161" i="11"/>
  <c r="N155" i="11"/>
  <c r="N156" i="11"/>
  <c r="N157" i="11"/>
  <c r="N158" i="11"/>
  <c r="N159" i="11"/>
  <c r="N160" i="11"/>
  <c r="N161" i="11"/>
  <c r="M155" i="11"/>
  <c r="M156" i="11"/>
  <c r="M157" i="11"/>
  <c r="M158" i="11"/>
  <c r="M159" i="11"/>
  <c r="M160" i="11"/>
  <c r="M161" i="11"/>
  <c r="L155" i="11"/>
  <c r="L156" i="11"/>
  <c r="L157" i="11"/>
  <c r="L158" i="11"/>
  <c r="L159" i="11"/>
  <c r="L160" i="11"/>
  <c r="L161" i="11"/>
  <c r="K155" i="11"/>
  <c r="K156" i="11"/>
  <c r="K157" i="11"/>
  <c r="K158" i="11"/>
  <c r="K159" i="11"/>
  <c r="K160" i="11"/>
  <c r="K161" i="11"/>
  <c r="J155" i="11"/>
  <c r="J156" i="11"/>
  <c r="J157" i="11"/>
  <c r="J158" i="11"/>
  <c r="J159" i="11"/>
  <c r="J160" i="11"/>
  <c r="J161" i="11"/>
  <c r="K154" i="11"/>
  <c r="L154" i="11"/>
  <c r="M154" i="11"/>
  <c r="N154" i="11"/>
  <c r="N162" i="11" s="1"/>
  <c r="O154" i="11"/>
  <c r="J154" i="11"/>
  <c r="H155" i="11"/>
  <c r="H156" i="11"/>
  <c r="H157" i="11"/>
  <c r="H158" i="11"/>
  <c r="H159" i="11"/>
  <c r="H160" i="11"/>
  <c r="H161" i="11"/>
  <c r="G155" i="11"/>
  <c r="G156" i="11"/>
  <c r="G157" i="11"/>
  <c r="G158" i="11"/>
  <c r="G159" i="11"/>
  <c r="G160" i="11"/>
  <c r="G161" i="11"/>
  <c r="F155" i="11"/>
  <c r="F156" i="11"/>
  <c r="F157" i="11"/>
  <c r="F158" i="11"/>
  <c r="F159" i="11"/>
  <c r="F160" i="11"/>
  <c r="F161" i="11"/>
  <c r="G154" i="11"/>
  <c r="H154" i="11"/>
  <c r="F154" i="11"/>
  <c r="O139" i="11"/>
  <c r="O140" i="11"/>
  <c r="O141" i="11"/>
  <c r="O142" i="11"/>
  <c r="O143" i="11"/>
  <c r="O144" i="11"/>
  <c r="O145" i="11"/>
  <c r="N139" i="11"/>
  <c r="N140" i="11"/>
  <c r="N141" i="11"/>
  <c r="N142" i="11"/>
  <c r="N143" i="11"/>
  <c r="N144" i="11"/>
  <c r="N145" i="11"/>
  <c r="M139" i="11"/>
  <c r="M140" i="11"/>
  <c r="M141" i="11"/>
  <c r="M142" i="11"/>
  <c r="M143" i="11"/>
  <c r="M144" i="11"/>
  <c r="M145" i="11"/>
  <c r="L139" i="11"/>
  <c r="L140" i="11"/>
  <c r="L141" i="11"/>
  <c r="L142" i="11"/>
  <c r="L143" i="11"/>
  <c r="L144" i="11"/>
  <c r="L145" i="11"/>
  <c r="K139" i="11"/>
  <c r="K140" i="11"/>
  <c r="K141" i="11"/>
  <c r="K142" i="11"/>
  <c r="K143" i="11"/>
  <c r="K144" i="11"/>
  <c r="K145" i="11"/>
  <c r="K138" i="11"/>
  <c r="L138" i="11"/>
  <c r="M138" i="11"/>
  <c r="N138" i="11"/>
  <c r="O138" i="11"/>
  <c r="E195" i="11"/>
  <c r="D195" i="11"/>
  <c r="C195" i="11"/>
  <c r="P193" i="11"/>
  <c r="I192" i="11"/>
  <c r="I188" i="11"/>
  <c r="O195" i="11"/>
  <c r="G195" i="11"/>
  <c r="E178" i="11"/>
  <c r="D178" i="11"/>
  <c r="C178" i="11"/>
  <c r="I171" i="11"/>
  <c r="E162" i="11"/>
  <c r="D162" i="11"/>
  <c r="C162" i="11"/>
  <c r="I159" i="11"/>
  <c r="J139" i="11"/>
  <c r="J140" i="11"/>
  <c r="J141" i="11"/>
  <c r="J142" i="11"/>
  <c r="J143" i="11"/>
  <c r="J144" i="11"/>
  <c r="J145" i="11"/>
  <c r="J138" i="11"/>
  <c r="H139" i="11"/>
  <c r="H140" i="11"/>
  <c r="H141" i="11"/>
  <c r="H142" i="11"/>
  <c r="H143" i="11"/>
  <c r="H144" i="11"/>
  <c r="H145" i="11"/>
  <c r="G144" i="11"/>
  <c r="G145" i="11"/>
  <c r="G139" i="11"/>
  <c r="G140" i="11"/>
  <c r="G141" i="11"/>
  <c r="G142" i="11"/>
  <c r="G143" i="11"/>
  <c r="F139" i="11"/>
  <c r="F140" i="11"/>
  <c r="F141" i="11"/>
  <c r="F142" i="11"/>
  <c r="F143" i="11"/>
  <c r="F144" i="11"/>
  <c r="F145" i="11"/>
  <c r="H138" i="11"/>
  <c r="G138" i="11"/>
  <c r="F138" i="11"/>
  <c r="C146" i="11"/>
  <c r="E146" i="11"/>
  <c r="D146" i="11"/>
  <c r="I142" i="11"/>
  <c r="O212" i="11" l="1"/>
  <c r="P225" i="11"/>
  <c r="Q143" i="15"/>
  <c r="Q292" i="15" s="1"/>
  <c r="P292" i="15"/>
  <c r="Q140" i="15"/>
  <c r="Q289" i="15" s="1"/>
  <c r="P289" i="15"/>
  <c r="I212" i="11"/>
  <c r="Q139" i="15"/>
  <c r="Q288" i="15" s="1"/>
  <c r="P288" i="15"/>
  <c r="Q144" i="15"/>
  <c r="Q293" i="15" s="1"/>
  <c r="P293" i="15"/>
  <c r="Q141" i="15"/>
  <c r="Q290" i="15" s="1"/>
  <c r="P290" i="15"/>
  <c r="P209" i="11"/>
  <c r="I160" i="11"/>
  <c r="P155" i="11"/>
  <c r="I193" i="11"/>
  <c r="J228" i="11"/>
  <c r="P221" i="11"/>
  <c r="Q221" i="11" s="1"/>
  <c r="J244" i="11"/>
  <c r="I144" i="11"/>
  <c r="I143" i="11"/>
  <c r="F146" i="11"/>
  <c r="I140" i="11"/>
  <c r="F162" i="11"/>
  <c r="I175" i="11"/>
  <c r="O178" i="11"/>
  <c r="O228" i="11"/>
  <c r="O244" i="11"/>
  <c r="P256" i="11"/>
  <c r="O260" i="11"/>
  <c r="N212" i="11"/>
  <c r="M228" i="11"/>
  <c r="M212" i="11"/>
  <c r="L260" i="11"/>
  <c r="L212" i="11"/>
  <c r="P189" i="11"/>
  <c r="L195" i="11"/>
  <c r="L162" i="11"/>
  <c r="P159" i="11"/>
  <c r="P237" i="11"/>
  <c r="K244" i="11"/>
  <c r="K228" i="11"/>
  <c r="P208" i="11"/>
  <c r="Q208" i="11" s="1"/>
  <c r="K212" i="11"/>
  <c r="K195" i="11"/>
  <c r="K178" i="11"/>
  <c r="P143" i="11"/>
  <c r="P139" i="11"/>
  <c r="P213" i="15"/>
  <c r="Q174" i="15"/>
  <c r="Q160" i="15"/>
  <c r="Q192" i="15"/>
  <c r="Q196" i="15" s="1"/>
  <c r="Q172" i="15"/>
  <c r="Q158" i="15"/>
  <c r="Q142" i="15"/>
  <c r="Q291" i="15" s="1"/>
  <c r="P245" i="15"/>
  <c r="P261" i="15"/>
  <c r="Q245" i="15"/>
  <c r="P163" i="15"/>
  <c r="Q156" i="15"/>
  <c r="I146" i="15"/>
  <c r="I295" i="15" s="1"/>
  <c r="Q229" i="15"/>
  <c r="Q206" i="15"/>
  <c r="Q213" i="15" s="1"/>
  <c r="Q261" i="15"/>
  <c r="P146" i="15"/>
  <c r="P295" i="15" s="1"/>
  <c r="P196" i="15"/>
  <c r="P229" i="15"/>
  <c r="Q155" i="15"/>
  <c r="I163" i="15"/>
  <c r="M260" i="11"/>
  <c r="P259" i="11"/>
  <c r="Q259" i="11" s="1"/>
  <c r="P255" i="11"/>
  <c r="Q255" i="11" s="1"/>
  <c r="K260" i="11"/>
  <c r="P258" i="11"/>
  <c r="Q258" i="11" s="1"/>
  <c r="P254" i="11"/>
  <c r="Q254" i="11" s="1"/>
  <c r="P253" i="11"/>
  <c r="Q253" i="11" s="1"/>
  <c r="Q257" i="11"/>
  <c r="P242" i="11"/>
  <c r="Q242" i="11" s="1"/>
  <c r="P238" i="11"/>
  <c r="Q238" i="11" s="1"/>
  <c r="N244" i="11"/>
  <c r="M244" i="11"/>
  <c r="P239" i="11"/>
  <c r="Q239" i="11" s="1"/>
  <c r="P243" i="11"/>
  <c r="Q243" i="11" s="1"/>
  <c r="Q237" i="11"/>
  <c r="L228" i="11"/>
  <c r="P227" i="11"/>
  <c r="Q227" i="11" s="1"/>
  <c r="P223" i="11"/>
  <c r="Q223" i="11" s="1"/>
  <c r="P226" i="11"/>
  <c r="Q226" i="11" s="1"/>
  <c r="P222" i="11"/>
  <c r="Q222" i="11" s="1"/>
  <c r="Q225" i="11"/>
  <c r="P211" i="11"/>
  <c r="P207" i="11"/>
  <c r="Q207" i="11" s="1"/>
  <c r="P210" i="11"/>
  <c r="Q210" i="11" s="1"/>
  <c r="P206" i="11"/>
  <c r="Q206" i="11" s="1"/>
  <c r="Q211" i="11"/>
  <c r="Q209" i="11"/>
  <c r="J212" i="11"/>
  <c r="Q256" i="11"/>
  <c r="I260" i="11"/>
  <c r="P252" i="11"/>
  <c r="Q240" i="11"/>
  <c r="I244" i="11"/>
  <c r="Q241" i="11"/>
  <c r="P236" i="11"/>
  <c r="Q224" i="11"/>
  <c r="I228" i="11"/>
  <c r="P220" i="11"/>
  <c r="Q205" i="11"/>
  <c r="P204" i="11"/>
  <c r="Q189" i="11"/>
  <c r="P174" i="11"/>
  <c r="Q174" i="11" s="1"/>
  <c r="L178" i="11"/>
  <c r="J146" i="11"/>
  <c r="I155" i="11"/>
  <c r="Q155" i="11" s="1"/>
  <c r="P171" i="11"/>
  <c r="Q171" i="11" s="1"/>
  <c r="P173" i="11"/>
  <c r="M195" i="11"/>
  <c r="P190" i="11"/>
  <c r="P194" i="11"/>
  <c r="K146" i="11"/>
  <c r="O146" i="11"/>
  <c r="K162" i="11"/>
  <c r="M162" i="11"/>
  <c r="P156" i="11"/>
  <c r="P172" i="11"/>
  <c r="P175" i="11"/>
  <c r="Q175" i="11" s="1"/>
  <c r="P177" i="11"/>
  <c r="Q177" i="11" s="1"/>
  <c r="F195" i="11"/>
  <c r="P188" i="11"/>
  <c r="Q188" i="11" s="1"/>
  <c r="I191" i="11"/>
  <c r="P192" i="11"/>
  <c r="Q192" i="11" s="1"/>
  <c r="I158" i="11"/>
  <c r="J162" i="11"/>
  <c r="O162" i="11"/>
  <c r="H146" i="11"/>
  <c r="M178" i="11"/>
  <c r="P176" i="11"/>
  <c r="P170" i="11"/>
  <c r="N178" i="11"/>
  <c r="P187" i="11"/>
  <c r="N195" i="11"/>
  <c r="I190" i="11"/>
  <c r="P191" i="11"/>
  <c r="I194" i="11"/>
  <c r="L146" i="11"/>
  <c r="N146" i="11"/>
  <c r="I156" i="11"/>
  <c r="I173" i="11"/>
  <c r="I176" i="11"/>
  <c r="I172" i="11"/>
  <c r="F178" i="11"/>
  <c r="P158" i="11"/>
  <c r="Q158" i="11" s="1"/>
  <c r="P161" i="11"/>
  <c r="Q159" i="11"/>
  <c r="P157" i="11"/>
  <c r="P160" i="11"/>
  <c r="Q160" i="11" s="1"/>
  <c r="H162" i="11"/>
  <c r="I157" i="11"/>
  <c r="G162" i="11"/>
  <c r="I161" i="11"/>
  <c r="Q143" i="11"/>
  <c r="P144" i="11"/>
  <c r="M146" i="11"/>
  <c r="P140" i="11"/>
  <c r="Q140" i="11" s="1"/>
  <c r="Q193" i="11"/>
  <c r="I187" i="11"/>
  <c r="J195" i="11"/>
  <c r="J178" i="11"/>
  <c r="I154" i="11"/>
  <c r="P154" i="11"/>
  <c r="P145" i="11"/>
  <c r="P142" i="11"/>
  <c r="Q142" i="11" s="1"/>
  <c r="P141" i="11"/>
  <c r="I141" i="11"/>
  <c r="G146" i="11"/>
  <c r="I145" i="11"/>
  <c r="I139" i="11"/>
  <c r="Q144" i="11"/>
  <c r="I138" i="11"/>
  <c r="P138" i="11"/>
  <c r="Q187" i="11" l="1"/>
  <c r="Q156" i="11"/>
  <c r="Q176" i="11"/>
  <c r="Q139" i="11"/>
  <c r="Q146" i="15"/>
  <c r="Q295" i="15" s="1"/>
  <c r="Q163" i="15"/>
  <c r="P260" i="11"/>
  <c r="P244" i="11"/>
  <c r="P228" i="11"/>
  <c r="P212" i="11"/>
  <c r="Q252" i="11"/>
  <c r="Q260" i="11" s="1"/>
  <c r="Q236" i="11"/>
  <c r="Q244" i="11" s="1"/>
  <c r="Q220" i="11"/>
  <c r="Q228" i="11" s="1"/>
  <c r="Q204" i="11"/>
  <c r="Q212" i="11" s="1"/>
  <c r="Q194" i="11"/>
  <c r="P195" i="11"/>
  <c r="Q191" i="11"/>
  <c r="Q190" i="11"/>
  <c r="Q173" i="11"/>
  <c r="P178" i="11"/>
  <c r="Q172" i="11"/>
  <c r="Q157" i="11"/>
  <c r="Q161" i="11"/>
  <c r="P162" i="11"/>
  <c r="Q145" i="11"/>
  <c r="I195" i="11"/>
  <c r="Q170" i="11"/>
  <c r="I162" i="11"/>
  <c r="Q154" i="11"/>
  <c r="P146" i="11"/>
  <c r="Q141" i="11"/>
  <c r="I146" i="11"/>
  <c r="Q138" i="11"/>
  <c r="Q195" i="11" l="1"/>
  <c r="Q178" i="11"/>
  <c r="Q162" i="11"/>
  <c r="Q146" i="11"/>
  <c r="S16" i="11" l="1"/>
  <c r="E116" i="8" l="1"/>
  <c r="H63" i="15" l="1"/>
  <c r="H62" i="15"/>
  <c r="H61" i="15"/>
  <c r="H60" i="15"/>
  <c r="H59" i="15"/>
  <c r="H58" i="15"/>
  <c r="H57" i="15"/>
  <c r="H56" i="15"/>
  <c r="H64" i="15" l="1"/>
  <c r="E32" i="15"/>
  <c r="D32" i="15"/>
  <c r="C32" i="15"/>
  <c r="O31" i="15"/>
  <c r="N31" i="15"/>
  <c r="M31" i="15"/>
  <c r="L31" i="15"/>
  <c r="K31" i="15"/>
  <c r="J31" i="15"/>
  <c r="H31" i="15"/>
  <c r="G31" i="15"/>
  <c r="F31" i="15"/>
  <c r="O30" i="15"/>
  <c r="N30" i="15"/>
  <c r="M30" i="15"/>
  <c r="L30" i="15"/>
  <c r="K30" i="15"/>
  <c r="J30" i="15"/>
  <c r="H30" i="15"/>
  <c r="G30" i="15"/>
  <c r="F30" i="15"/>
  <c r="O29" i="15"/>
  <c r="N29" i="15"/>
  <c r="M29" i="15"/>
  <c r="L29" i="15"/>
  <c r="K29" i="15"/>
  <c r="J29" i="15"/>
  <c r="H29" i="15"/>
  <c r="G29" i="15"/>
  <c r="F29" i="15"/>
  <c r="O28" i="15"/>
  <c r="N28" i="15"/>
  <c r="M28" i="15"/>
  <c r="L28" i="15"/>
  <c r="K28" i="15"/>
  <c r="J28" i="15"/>
  <c r="H28" i="15"/>
  <c r="G28" i="15"/>
  <c r="F28" i="15"/>
  <c r="O27" i="15"/>
  <c r="N27" i="15"/>
  <c r="M27" i="15"/>
  <c r="L27" i="15"/>
  <c r="K27" i="15"/>
  <c r="J27" i="15"/>
  <c r="H27" i="15"/>
  <c r="G27" i="15"/>
  <c r="F27" i="15"/>
  <c r="O26" i="15"/>
  <c r="N26" i="15"/>
  <c r="M26" i="15"/>
  <c r="L26" i="15"/>
  <c r="K26" i="15"/>
  <c r="J26" i="15"/>
  <c r="H26" i="15"/>
  <c r="G26" i="15"/>
  <c r="F26" i="15"/>
  <c r="O25" i="15"/>
  <c r="N25" i="15"/>
  <c r="M25" i="15"/>
  <c r="L25" i="15"/>
  <c r="K25" i="15"/>
  <c r="J25" i="15"/>
  <c r="H25" i="15"/>
  <c r="G25" i="15"/>
  <c r="F25" i="15"/>
  <c r="O24" i="15"/>
  <c r="N24" i="15"/>
  <c r="M24" i="15"/>
  <c r="L24" i="15"/>
  <c r="K24" i="15"/>
  <c r="J24" i="15"/>
  <c r="H24" i="15"/>
  <c r="G24" i="15"/>
  <c r="F24" i="15"/>
  <c r="G16" i="15"/>
  <c r="E16" i="15"/>
  <c r="D16" i="15"/>
  <c r="C16" i="15"/>
  <c r="I29" i="15" l="1"/>
  <c r="P28" i="15"/>
  <c r="F32" i="15"/>
  <c r="O32" i="15"/>
  <c r="I26" i="15"/>
  <c r="P26" i="15"/>
  <c r="O16" i="15"/>
  <c r="L32" i="15"/>
  <c r="H16" i="15"/>
  <c r="M32" i="15"/>
  <c r="P25" i="15"/>
  <c r="I27" i="15"/>
  <c r="I31" i="15"/>
  <c r="K32" i="15"/>
  <c r="G32" i="15"/>
  <c r="I30" i="15"/>
  <c r="J32" i="15"/>
  <c r="N32" i="15"/>
  <c r="I25" i="15"/>
  <c r="Q25" i="15" s="1"/>
  <c r="P27" i="15"/>
  <c r="I28" i="15"/>
  <c r="Q28" i="15" s="1"/>
  <c r="P31" i="15"/>
  <c r="P30" i="15"/>
  <c r="Q30" i="15" s="1"/>
  <c r="P24" i="15"/>
  <c r="Q26" i="15"/>
  <c r="P29" i="15"/>
  <c r="Q29" i="15" s="1"/>
  <c r="H32" i="15"/>
  <c r="I24" i="15"/>
  <c r="E128" i="15"/>
  <c r="D128" i="15"/>
  <c r="C128" i="15"/>
  <c r="O127" i="15"/>
  <c r="N127" i="15"/>
  <c r="M127" i="15"/>
  <c r="L127" i="15"/>
  <c r="K127" i="15"/>
  <c r="J127" i="15"/>
  <c r="H127" i="15"/>
  <c r="G127" i="15"/>
  <c r="F127" i="15"/>
  <c r="O126" i="15"/>
  <c r="N126" i="15"/>
  <c r="M126" i="15"/>
  <c r="L126" i="15"/>
  <c r="K126" i="15"/>
  <c r="J126" i="15"/>
  <c r="H126" i="15"/>
  <c r="G126" i="15"/>
  <c r="F126" i="15"/>
  <c r="O125" i="15"/>
  <c r="N125" i="15"/>
  <c r="M125" i="15"/>
  <c r="L125" i="15"/>
  <c r="K125" i="15"/>
  <c r="J125" i="15"/>
  <c r="H125" i="15"/>
  <c r="G125" i="15"/>
  <c r="F125" i="15"/>
  <c r="O124" i="15"/>
  <c r="N124" i="15"/>
  <c r="M124" i="15"/>
  <c r="L124" i="15"/>
  <c r="K124" i="15"/>
  <c r="J124" i="15"/>
  <c r="H124" i="15"/>
  <c r="G124" i="15"/>
  <c r="F124" i="15"/>
  <c r="O123" i="15"/>
  <c r="N123" i="15"/>
  <c r="M123" i="15"/>
  <c r="L123" i="15"/>
  <c r="K123" i="15"/>
  <c r="J123" i="15"/>
  <c r="H123" i="15"/>
  <c r="G123" i="15"/>
  <c r="F123" i="15"/>
  <c r="O122" i="15"/>
  <c r="N122" i="15"/>
  <c r="M122" i="15"/>
  <c r="L122" i="15"/>
  <c r="K122" i="15"/>
  <c r="J122" i="15"/>
  <c r="H122" i="15"/>
  <c r="G122" i="15"/>
  <c r="F122" i="15"/>
  <c r="O121" i="15"/>
  <c r="N121" i="15"/>
  <c r="M121" i="15"/>
  <c r="L121" i="15"/>
  <c r="K121" i="15"/>
  <c r="J121" i="15"/>
  <c r="H121" i="15"/>
  <c r="G121" i="15"/>
  <c r="F121" i="15"/>
  <c r="O120" i="15"/>
  <c r="N120" i="15"/>
  <c r="M120" i="15"/>
  <c r="L120" i="15"/>
  <c r="K120" i="15"/>
  <c r="J120" i="15"/>
  <c r="H120" i="15"/>
  <c r="G120" i="15"/>
  <c r="F120" i="15"/>
  <c r="E112" i="15"/>
  <c r="D112" i="15"/>
  <c r="C112" i="15"/>
  <c r="O111" i="15"/>
  <c r="N111" i="15"/>
  <c r="M111" i="15"/>
  <c r="L111" i="15"/>
  <c r="K111" i="15"/>
  <c r="J111" i="15"/>
  <c r="H111" i="15"/>
  <c r="G111" i="15"/>
  <c r="F111" i="15"/>
  <c r="O110" i="15"/>
  <c r="N110" i="15"/>
  <c r="M110" i="15"/>
  <c r="L110" i="15"/>
  <c r="K110" i="15"/>
  <c r="J110" i="15"/>
  <c r="H110" i="15"/>
  <c r="G110" i="15"/>
  <c r="F110" i="15"/>
  <c r="O109" i="15"/>
  <c r="N109" i="15"/>
  <c r="M109" i="15"/>
  <c r="L109" i="15"/>
  <c r="K109" i="15"/>
  <c r="J109" i="15"/>
  <c r="H109" i="15"/>
  <c r="G109" i="15"/>
  <c r="F109" i="15"/>
  <c r="O108" i="15"/>
  <c r="N108" i="15"/>
  <c r="M108" i="15"/>
  <c r="L108" i="15"/>
  <c r="K108" i="15"/>
  <c r="J108" i="15"/>
  <c r="H108" i="15"/>
  <c r="G108" i="15"/>
  <c r="F108" i="15"/>
  <c r="O107" i="15"/>
  <c r="N107" i="15"/>
  <c r="M107" i="15"/>
  <c r="L107" i="15"/>
  <c r="K107" i="15"/>
  <c r="J107" i="15"/>
  <c r="H107" i="15"/>
  <c r="G107" i="15"/>
  <c r="F107" i="15"/>
  <c r="O106" i="15"/>
  <c r="N106" i="15"/>
  <c r="M106" i="15"/>
  <c r="L106" i="15"/>
  <c r="K106" i="15"/>
  <c r="J106" i="15"/>
  <c r="H106" i="15"/>
  <c r="G106" i="15"/>
  <c r="F106" i="15"/>
  <c r="O105" i="15"/>
  <c r="N105" i="15"/>
  <c r="M105" i="15"/>
  <c r="L105" i="15"/>
  <c r="K105" i="15"/>
  <c r="J105" i="15"/>
  <c r="H105" i="15"/>
  <c r="G105" i="15"/>
  <c r="F105" i="15"/>
  <c r="O104" i="15"/>
  <c r="N104" i="15"/>
  <c r="M104" i="15"/>
  <c r="L104" i="15"/>
  <c r="K104" i="15"/>
  <c r="J104" i="15"/>
  <c r="H104" i="15"/>
  <c r="G104" i="15"/>
  <c r="F104" i="15"/>
  <c r="E96" i="15"/>
  <c r="D96" i="15"/>
  <c r="C96" i="15"/>
  <c r="O95" i="15"/>
  <c r="N95" i="15"/>
  <c r="M95" i="15"/>
  <c r="L95" i="15"/>
  <c r="K95" i="15"/>
  <c r="J95" i="15"/>
  <c r="H95" i="15"/>
  <c r="G95" i="15"/>
  <c r="F95" i="15"/>
  <c r="O94" i="15"/>
  <c r="N94" i="15"/>
  <c r="M94" i="15"/>
  <c r="L94" i="15"/>
  <c r="K94" i="15"/>
  <c r="J94" i="15"/>
  <c r="H94" i="15"/>
  <c r="G94" i="15"/>
  <c r="F94" i="15"/>
  <c r="O93" i="15"/>
  <c r="N93" i="15"/>
  <c r="M93" i="15"/>
  <c r="L93" i="15"/>
  <c r="K93" i="15"/>
  <c r="J93" i="15"/>
  <c r="H93" i="15"/>
  <c r="G93" i="15"/>
  <c r="F93" i="15"/>
  <c r="O92" i="15"/>
  <c r="N92" i="15"/>
  <c r="M92" i="15"/>
  <c r="L92" i="15"/>
  <c r="K92" i="15"/>
  <c r="J92" i="15"/>
  <c r="H92" i="15"/>
  <c r="G92" i="15"/>
  <c r="F92" i="15"/>
  <c r="O91" i="15"/>
  <c r="N91" i="15"/>
  <c r="M91" i="15"/>
  <c r="L91" i="15"/>
  <c r="K91" i="15"/>
  <c r="J91" i="15"/>
  <c r="H91" i="15"/>
  <c r="G91" i="15"/>
  <c r="F91" i="15"/>
  <c r="O90" i="15"/>
  <c r="N90" i="15"/>
  <c r="M90" i="15"/>
  <c r="L90" i="15"/>
  <c r="K90" i="15"/>
  <c r="J90" i="15"/>
  <c r="H90" i="15"/>
  <c r="G90" i="15"/>
  <c r="F90" i="15"/>
  <c r="O89" i="15"/>
  <c r="N89" i="15"/>
  <c r="M89" i="15"/>
  <c r="L89" i="15"/>
  <c r="K89" i="15"/>
  <c r="J89" i="15"/>
  <c r="H89" i="15"/>
  <c r="G89" i="15"/>
  <c r="F89" i="15"/>
  <c r="O88" i="15"/>
  <c r="N88" i="15"/>
  <c r="M88" i="15"/>
  <c r="L88" i="15"/>
  <c r="K88" i="15"/>
  <c r="J88" i="15"/>
  <c r="H88" i="15"/>
  <c r="G88" i="15"/>
  <c r="F88" i="15"/>
  <c r="E80" i="15"/>
  <c r="D80" i="15"/>
  <c r="C80" i="15"/>
  <c r="O79" i="15"/>
  <c r="N79" i="15"/>
  <c r="M79" i="15"/>
  <c r="L79" i="15"/>
  <c r="K79" i="15"/>
  <c r="J79" i="15"/>
  <c r="H79" i="15"/>
  <c r="G79" i="15"/>
  <c r="F79" i="15"/>
  <c r="O78" i="15"/>
  <c r="N78" i="15"/>
  <c r="M78" i="15"/>
  <c r="L78" i="15"/>
  <c r="K78" i="15"/>
  <c r="J78" i="15"/>
  <c r="H78" i="15"/>
  <c r="G78" i="15"/>
  <c r="F78" i="15"/>
  <c r="O77" i="15"/>
  <c r="N77" i="15"/>
  <c r="M77" i="15"/>
  <c r="L77" i="15"/>
  <c r="K77" i="15"/>
  <c r="J77" i="15"/>
  <c r="H77" i="15"/>
  <c r="G77" i="15"/>
  <c r="F77" i="15"/>
  <c r="O76" i="15"/>
  <c r="N76" i="15"/>
  <c r="M76" i="15"/>
  <c r="L76" i="15"/>
  <c r="K76" i="15"/>
  <c r="J76" i="15"/>
  <c r="H76" i="15"/>
  <c r="G76" i="15"/>
  <c r="F76" i="15"/>
  <c r="O75" i="15"/>
  <c r="N75" i="15"/>
  <c r="M75" i="15"/>
  <c r="L75" i="15"/>
  <c r="K75" i="15"/>
  <c r="J75" i="15"/>
  <c r="H75" i="15"/>
  <c r="G75" i="15"/>
  <c r="F75" i="15"/>
  <c r="O74" i="15"/>
  <c r="N74" i="15"/>
  <c r="M74" i="15"/>
  <c r="L74" i="15"/>
  <c r="K74" i="15"/>
  <c r="J74" i="15"/>
  <c r="H74" i="15"/>
  <c r="G74" i="15"/>
  <c r="F74" i="15"/>
  <c r="O73" i="15"/>
  <c r="N73" i="15"/>
  <c r="M73" i="15"/>
  <c r="L73" i="15"/>
  <c r="K73" i="15"/>
  <c r="J73" i="15"/>
  <c r="H73" i="15"/>
  <c r="G73" i="15"/>
  <c r="F73" i="15"/>
  <c r="O72" i="15"/>
  <c r="N72" i="15"/>
  <c r="M72" i="15"/>
  <c r="L72" i="15"/>
  <c r="K72" i="15"/>
  <c r="J72" i="15"/>
  <c r="H72" i="15"/>
  <c r="G72" i="15"/>
  <c r="F72" i="15"/>
  <c r="E64" i="15"/>
  <c r="D64" i="15"/>
  <c r="C64" i="15"/>
  <c r="O63" i="15"/>
  <c r="N63" i="15"/>
  <c r="M63" i="15"/>
  <c r="L63" i="15"/>
  <c r="K63" i="15"/>
  <c r="J63" i="15"/>
  <c r="G63" i="15"/>
  <c r="F63" i="15"/>
  <c r="I63" i="15" s="1"/>
  <c r="O62" i="15"/>
  <c r="N62" i="15"/>
  <c r="M62" i="15"/>
  <c r="L62" i="15"/>
  <c r="K62" i="15"/>
  <c r="J62" i="15"/>
  <c r="G62" i="15"/>
  <c r="F62" i="15"/>
  <c r="I62" i="15" s="1"/>
  <c r="O61" i="15"/>
  <c r="N61" i="15"/>
  <c r="M61" i="15"/>
  <c r="L61" i="15"/>
  <c r="K61" i="15"/>
  <c r="J61" i="15"/>
  <c r="G61" i="15"/>
  <c r="F61" i="15"/>
  <c r="O60" i="15"/>
  <c r="N60" i="15"/>
  <c r="M60" i="15"/>
  <c r="L60" i="15"/>
  <c r="K60" i="15"/>
  <c r="J60" i="15"/>
  <c r="G60" i="15"/>
  <c r="F60" i="15"/>
  <c r="O59" i="15"/>
  <c r="N59" i="15"/>
  <c r="M59" i="15"/>
  <c r="L59" i="15"/>
  <c r="K59" i="15"/>
  <c r="J59" i="15"/>
  <c r="G59" i="15"/>
  <c r="F59" i="15"/>
  <c r="O58" i="15"/>
  <c r="N58" i="15"/>
  <c r="M58" i="15"/>
  <c r="L58" i="15"/>
  <c r="K58" i="15"/>
  <c r="J58" i="15"/>
  <c r="G58" i="15"/>
  <c r="F58" i="15"/>
  <c r="O57" i="15"/>
  <c r="N57" i="15"/>
  <c r="M57" i="15"/>
  <c r="L57" i="15"/>
  <c r="K57" i="15"/>
  <c r="J57" i="15"/>
  <c r="G57" i="15"/>
  <c r="F57" i="15"/>
  <c r="O56" i="15"/>
  <c r="N56" i="15"/>
  <c r="M56" i="15"/>
  <c r="L56" i="15"/>
  <c r="K56" i="15"/>
  <c r="K64" i="15" s="1"/>
  <c r="J56" i="15"/>
  <c r="G56" i="15"/>
  <c r="F56" i="15"/>
  <c r="E48" i="15"/>
  <c r="D48" i="15"/>
  <c r="C48" i="15"/>
  <c r="O47" i="15"/>
  <c r="N47" i="15"/>
  <c r="M47" i="15"/>
  <c r="L47" i="15"/>
  <c r="K47" i="15"/>
  <c r="J47" i="15"/>
  <c r="H47" i="15"/>
  <c r="G47" i="15"/>
  <c r="F47" i="15"/>
  <c r="O46" i="15"/>
  <c r="N46" i="15"/>
  <c r="M46" i="15"/>
  <c r="L46" i="15"/>
  <c r="K46" i="15"/>
  <c r="J46" i="15"/>
  <c r="H46" i="15"/>
  <c r="G46" i="15"/>
  <c r="F46" i="15"/>
  <c r="O45" i="15"/>
  <c r="N45" i="15"/>
  <c r="M45" i="15"/>
  <c r="L45" i="15"/>
  <c r="K45" i="15"/>
  <c r="J45" i="15"/>
  <c r="H45" i="15"/>
  <c r="G45" i="15"/>
  <c r="F45" i="15"/>
  <c r="O44" i="15"/>
  <c r="N44" i="15"/>
  <c r="M44" i="15"/>
  <c r="L44" i="15"/>
  <c r="K44" i="15"/>
  <c r="J44" i="15"/>
  <c r="H44" i="15"/>
  <c r="G44" i="15"/>
  <c r="F44" i="15"/>
  <c r="O43" i="15"/>
  <c r="N43" i="15"/>
  <c r="M43" i="15"/>
  <c r="L43" i="15"/>
  <c r="K43" i="15"/>
  <c r="J43" i="15"/>
  <c r="H43" i="15"/>
  <c r="G43" i="15"/>
  <c r="F43" i="15"/>
  <c r="O42" i="15"/>
  <c r="N42" i="15"/>
  <c r="M42" i="15"/>
  <c r="L42" i="15"/>
  <c r="K42" i="15"/>
  <c r="J42" i="15"/>
  <c r="H42" i="15"/>
  <c r="G42" i="15"/>
  <c r="F42" i="15"/>
  <c r="O41" i="15"/>
  <c r="N41" i="15"/>
  <c r="M41" i="15"/>
  <c r="L41" i="15"/>
  <c r="K41" i="15"/>
  <c r="J41" i="15"/>
  <c r="H41" i="15"/>
  <c r="G41" i="15"/>
  <c r="F41" i="15"/>
  <c r="O40" i="15"/>
  <c r="N40" i="15"/>
  <c r="M40" i="15"/>
  <c r="L40" i="15"/>
  <c r="K40" i="15"/>
  <c r="J40" i="15"/>
  <c r="H40" i="15"/>
  <c r="G40" i="15"/>
  <c r="F40" i="15"/>
  <c r="I56" i="15" l="1"/>
  <c r="I121" i="15"/>
  <c r="P32" i="15"/>
  <c r="L80" i="15"/>
  <c r="N112" i="15"/>
  <c r="F128" i="15"/>
  <c r="K128" i="15"/>
  <c r="O128" i="15"/>
  <c r="G128" i="15"/>
  <c r="I123" i="15"/>
  <c r="I60" i="15"/>
  <c r="I74" i="15"/>
  <c r="I78" i="15"/>
  <c r="Q27" i="15"/>
  <c r="N64" i="15"/>
  <c r="I61" i="15"/>
  <c r="M80" i="15"/>
  <c r="G80" i="15"/>
  <c r="O80" i="15"/>
  <c r="P75" i="15"/>
  <c r="P79" i="15"/>
  <c r="N96" i="15"/>
  <c r="M96" i="15"/>
  <c r="I90" i="15"/>
  <c r="L96" i="15"/>
  <c r="I94" i="15"/>
  <c r="P95" i="15"/>
  <c r="F48" i="15"/>
  <c r="K48" i="15"/>
  <c r="O48" i="15"/>
  <c r="N48" i="15"/>
  <c r="I42" i="15"/>
  <c r="P45" i="15"/>
  <c r="G64" i="15"/>
  <c r="O64" i="15"/>
  <c r="I125" i="15"/>
  <c r="I127" i="15"/>
  <c r="L64" i="15"/>
  <c r="I57" i="15"/>
  <c r="I58" i="15"/>
  <c r="I59" i="15"/>
  <c r="K80" i="15"/>
  <c r="M112" i="15"/>
  <c r="P105" i="15"/>
  <c r="F112" i="15"/>
  <c r="I108" i="15"/>
  <c r="P109" i="15"/>
  <c r="N128" i="15"/>
  <c r="P123" i="15"/>
  <c r="Q123" i="15" s="1"/>
  <c r="I124" i="15"/>
  <c r="G48" i="15"/>
  <c r="I43" i="15"/>
  <c r="F96" i="15"/>
  <c r="I105" i="15"/>
  <c r="I109" i="15"/>
  <c r="J128" i="15"/>
  <c r="Q31" i="15"/>
  <c r="M48" i="15"/>
  <c r="P41" i="15"/>
  <c r="I44" i="15"/>
  <c r="I47" i="15"/>
  <c r="P73" i="15"/>
  <c r="P77" i="15"/>
  <c r="I92" i="15"/>
  <c r="K112" i="15"/>
  <c r="O112" i="15"/>
  <c r="I106" i="15"/>
  <c r="I110" i="15"/>
  <c r="H128" i="15"/>
  <c r="P127" i="15"/>
  <c r="I46" i="15"/>
  <c r="F64" i="15"/>
  <c r="P76" i="15"/>
  <c r="L128" i="15"/>
  <c r="I122" i="15"/>
  <c r="I41" i="15"/>
  <c r="P42" i="15"/>
  <c r="Q42" i="15" s="1"/>
  <c r="P44" i="15"/>
  <c r="Q44" i="15" s="1"/>
  <c r="I45" i="15"/>
  <c r="P58" i="15"/>
  <c r="Q58" i="15" s="1"/>
  <c r="P62" i="15"/>
  <c r="Q62" i="15" s="1"/>
  <c r="I73" i="15"/>
  <c r="P74" i="15"/>
  <c r="I77" i="15"/>
  <c r="P78" i="15"/>
  <c r="I93" i="15"/>
  <c r="P94" i="15"/>
  <c r="G112" i="15"/>
  <c r="I107" i="15"/>
  <c r="P108" i="15"/>
  <c r="Q108" i="15" s="1"/>
  <c r="I111" i="15"/>
  <c r="I126" i="15"/>
  <c r="P111" i="15"/>
  <c r="Q111" i="15" s="1"/>
  <c r="P110" i="15"/>
  <c r="P107" i="15"/>
  <c r="J112" i="15"/>
  <c r="P106" i="15"/>
  <c r="Q106" i="15" s="1"/>
  <c r="P93" i="15"/>
  <c r="P92" i="15"/>
  <c r="P91" i="15"/>
  <c r="J96" i="15"/>
  <c r="P90" i="15"/>
  <c r="Q90" i="15" s="1"/>
  <c r="P89" i="15"/>
  <c r="Q73" i="15"/>
  <c r="J64" i="15"/>
  <c r="P47" i="15"/>
  <c r="P46" i="15"/>
  <c r="Q46" i="15" s="1"/>
  <c r="J48" i="15"/>
  <c r="P43" i="15"/>
  <c r="Q43" i="15" s="1"/>
  <c r="Q41" i="15"/>
  <c r="I120" i="15"/>
  <c r="I95" i="15"/>
  <c r="Q95" i="15" s="1"/>
  <c r="I91" i="15"/>
  <c r="H96" i="15"/>
  <c r="I89" i="15"/>
  <c r="I79" i="15"/>
  <c r="I76" i="15"/>
  <c r="H80" i="15"/>
  <c r="I75" i="15"/>
  <c r="H48" i="15"/>
  <c r="I32" i="15"/>
  <c r="Q24" i="15"/>
  <c r="G96" i="15"/>
  <c r="I88" i="15"/>
  <c r="L48" i="15"/>
  <c r="Q45" i="15"/>
  <c r="M64" i="15"/>
  <c r="P61" i="15"/>
  <c r="Q61" i="15" s="1"/>
  <c r="Q74" i="15"/>
  <c r="Q78" i="15"/>
  <c r="Q89" i="15"/>
  <c r="P122" i="15"/>
  <c r="Q122" i="15" s="1"/>
  <c r="P126" i="15"/>
  <c r="Q126" i="15" s="1"/>
  <c r="I40" i="15"/>
  <c r="P60" i="15"/>
  <c r="Q60" i="15" s="1"/>
  <c r="J80" i="15"/>
  <c r="P72" i="15"/>
  <c r="N80" i="15"/>
  <c r="Q75" i="15"/>
  <c r="Q109" i="15"/>
  <c r="M128" i="15"/>
  <c r="P121" i="15"/>
  <c r="Q121" i="15" s="1"/>
  <c r="P125" i="15"/>
  <c r="Q125" i="15" s="1"/>
  <c r="H112" i="15"/>
  <c r="I104" i="15"/>
  <c r="P40" i="15"/>
  <c r="P57" i="15"/>
  <c r="Q57" i="15" s="1"/>
  <c r="P56" i="15"/>
  <c r="P59" i="15"/>
  <c r="P63" i="15"/>
  <c r="Q63" i="15" s="1"/>
  <c r="F80" i="15"/>
  <c r="I72" i="15"/>
  <c r="K96" i="15"/>
  <c r="P88" i="15"/>
  <c r="O96" i="15"/>
  <c r="L112" i="15"/>
  <c r="P104" i="15"/>
  <c r="P120" i="15"/>
  <c r="P124" i="15"/>
  <c r="Q124" i="15" s="1"/>
  <c r="I64" i="15" l="1"/>
  <c r="Q77" i="15"/>
  <c r="Q105" i="15"/>
  <c r="Q107" i="15"/>
  <c r="Q94" i="15"/>
  <c r="Q91" i="15"/>
  <c r="Q47" i="15"/>
  <c r="Q76" i="15"/>
  <c r="Q32" i="15"/>
  <c r="Q79" i="15"/>
  <c r="Q92" i="15"/>
  <c r="P80" i="15"/>
  <c r="Q59" i="15"/>
  <c r="Q110" i="15"/>
  <c r="Q93" i="15"/>
  <c r="Q127" i="15"/>
  <c r="I128" i="15"/>
  <c r="P112" i="15"/>
  <c r="P96" i="15"/>
  <c r="P48" i="15"/>
  <c r="P128" i="15"/>
  <c r="Q120" i="15"/>
  <c r="Q72" i="15"/>
  <c r="I80" i="15"/>
  <c r="Q104" i="15"/>
  <c r="I112" i="15"/>
  <c r="Q40" i="15"/>
  <c r="Q48" i="15" s="1"/>
  <c r="I48" i="15"/>
  <c r="P64" i="15"/>
  <c r="Q56" i="15"/>
  <c r="Q88" i="15"/>
  <c r="I96" i="15"/>
  <c r="AC64" i="14"/>
  <c r="AC65" i="14"/>
  <c r="AC66" i="14"/>
  <c r="AC67" i="14"/>
  <c r="AC68" i="14"/>
  <c r="AC69" i="14"/>
  <c r="AC70" i="14"/>
  <c r="AC63" i="14"/>
  <c r="O64" i="14"/>
  <c r="O65" i="14"/>
  <c r="AE65" i="14" s="1"/>
  <c r="O66" i="14"/>
  <c r="AE66" i="14" s="1"/>
  <c r="O67" i="14"/>
  <c r="AE67" i="14" s="1"/>
  <c r="O68" i="14"/>
  <c r="AE68" i="14" s="1"/>
  <c r="O69" i="14"/>
  <c r="AE69" i="14" s="1"/>
  <c r="O70" i="14"/>
  <c r="AE70" i="14" s="1"/>
  <c r="O63" i="14"/>
  <c r="AE63" i="14" s="1"/>
  <c r="D71" i="14"/>
  <c r="E71" i="14"/>
  <c r="F71" i="14"/>
  <c r="G71" i="14"/>
  <c r="H71" i="14"/>
  <c r="I71" i="14"/>
  <c r="K71" i="14"/>
  <c r="M71" i="14"/>
  <c r="Q71" i="14"/>
  <c r="S71" i="14"/>
  <c r="U71" i="14"/>
  <c r="W71" i="14"/>
  <c r="Y71" i="14"/>
  <c r="AA71" i="14"/>
  <c r="C71" i="14"/>
  <c r="AC47" i="14"/>
  <c r="AC48" i="14"/>
  <c r="AC49" i="14"/>
  <c r="AC50" i="14"/>
  <c r="AC51" i="14"/>
  <c r="AC52" i="14"/>
  <c r="AC53" i="14"/>
  <c r="AC46" i="14"/>
  <c r="O47" i="14"/>
  <c r="O48" i="14"/>
  <c r="O49" i="14"/>
  <c r="O50" i="14"/>
  <c r="AE50" i="14" s="1"/>
  <c r="O51" i="14"/>
  <c r="O52" i="14"/>
  <c r="AE52" i="14" s="1"/>
  <c r="O53" i="14"/>
  <c r="O46" i="14"/>
  <c r="AE46" i="14" s="1"/>
  <c r="D54" i="14"/>
  <c r="E54" i="14"/>
  <c r="F54" i="14"/>
  <c r="G54" i="14"/>
  <c r="H54" i="14"/>
  <c r="I54" i="14"/>
  <c r="K54" i="14"/>
  <c r="M54" i="14"/>
  <c r="Q54" i="14"/>
  <c r="S54" i="14"/>
  <c r="U54" i="14"/>
  <c r="W54" i="14"/>
  <c r="Y54" i="14"/>
  <c r="AA54" i="14"/>
  <c r="C54" i="14"/>
  <c r="S16" i="14"/>
  <c r="U16" i="14"/>
  <c r="W16" i="14"/>
  <c r="Y16" i="14"/>
  <c r="AA16" i="14"/>
  <c r="Q16" i="14"/>
  <c r="AC9" i="14"/>
  <c r="AC10" i="14"/>
  <c r="AC11" i="14"/>
  <c r="AC12" i="14"/>
  <c r="AC13" i="14"/>
  <c r="AC14" i="14"/>
  <c r="AC15" i="14"/>
  <c r="AC8" i="14"/>
  <c r="D16" i="14"/>
  <c r="E16" i="14"/>
  <c r="F16" i="14"/>
  <c r="G16" i="14"/>
  <c r="H16" i="14"/>
  <c r="I16" i="14"/>
  <c r="K16" i="14"/>
  <c r="L16" i="14"/>
  <c r="M16" i="14"/>
  <c r="C16" i="14"/>
  <c r="O9" i="14"/>
  <c r="O10" i="14"/>
  <c r="O11" i="14"/>
  <c r="O12" i="14"/>
  <c r="O13" i="14"/>
  <c r="O14" i="14"/>
  <c r="O15" i="14"/>
  <c r="H151" i="14"/>
  <c r="F151" i="14"/>
  <c r="D151" i="14"/>
  <c r="AB150" i="14"/>
  <c r="Z150" i="14"/>
  <c r="X150" i="14"/>
  <c r="V150" i="14"/>
  <c r="T150" i="14"/>
  <c r="R150" i="14"/>
  <c r="N150" i="14"/>
  <c r="L150" i="14"/>
  <c r="J150" i="14"/>
  <c r="AB149" i="14"/>
  <c r="Z149" i="14"/>
  <c r="X149" i="14"/>
  <c r="V149" i="14"/>
  <c r="T149" i="14"/>
  <c r="R149" i="14"/>
  <c r="N149" i="14"/>
  <c r="L149" i="14"/>
  <c r="J149" i="14"/>
  <c r="AB148" i="14"/>
  <c r="Z148" i="14"/>
  <c r="X148" i="14"/>
  <c r="V148" i="14"/>
  <c r="T148" i="14"/>
  <c r="R148" i="14"/>
  <c r="N148" i="14"/>
  <c r="L148" i="14"/>
  <c r="J148" i="14"/>
  <c r="AB147" i="14"/>
  <c r="Z147" i="14"/>
  <c r="X147" i="14"/>
  <c r="V147" i="14"/>
  <c r="T147" i="14"/>
  <c r="R147" i="14"/>
  <c r="N147" i="14"/>
  <c r="L147" i="14"/>
  <c r="J147" i="14"/>
  <c r="AB146" i="14"/>
  <c r="Z146" i="14"/>
  <c r="X146" i="14"/>
  <c r="V146" i="14"/>
  <c r="T146" i="14"/>
  <c r="R146" i="14"/>
  <c r="N146" i="14"/>
  <c r="L146" i="14"/>
  <c r="J146" i="14"/>
  <c r="AB145" i="14"/>
  <c r="Z145" i="14"/>
  <c r="X145" i="14"/>
  <c r="V145" i="14"/>
  <c r="T145" i="14"/>
  <c r="R145" i="14"/>
  <c r="N145" i="14"/>
  <c r="L145" i="14"/>
  <c r="J145" i="14"/>
  <c r="AB144" i="14"/>
  <c r="Z144" i="14"/>
  <c r="X144" i="14"/>
  <c r="V144" i="14"/>
  <c r="T144" i="14"/>
  <c r="R144" i="14"/>
  <c r="N144" i="14"/>
  <c r="L144" i="14"/>
  <c r="J144" i="14"/>
  <c r="AB143" i="14"/>
  <c r="Z143" i="14"/>
  <c r="X143" i="14"/>
  <c r="V143" i="14"/>
  <c r="T143" i="14"/>
  <c r="R143" i="14"/>
  <c r="N143" i="14"/>
  <c r="L143" i="14"/>
  <c r="J143" i="14"/>
  <c r="H135" i="14"/>
  <c r="F135" i="14"/>
  <c r="D135" i="14"/>
  <c r="AB134" i="14"/>
  <c r="Z134" i="14"/>
  <c r="X134" i="14"/>
  <c r="V134" i="14"/>
  <c r="T134" i="14"/>
  <c r="R134" i="14"/>
  <c r="N134" i="14"/>
  <c r="L134" i="14"/>
  <c r="J134" i="14"/>
  <c r="AB133" i="14"/>
  <c r="Z133" i="14"/>
  <c r="X133" i="14"/>
  <c r="V133" i="14"/>
  <c r="T133" i="14"/>
  <c r="R133" i="14"/>
  <c r="N133" i="14"/>
  <c r="L133" i="14"/>
  <c r="J133" i="14"/>
  <c r="AB132" i="14"/>
  <c r="Z132" i="14"/>
  <c r="X132" i="14"/>
  <c r="V132" i="14"/>
  <c r="T132" i="14"/>
  <c r="R132" i="14"/>
  <c r="N132" i="14"/>
  <c r="L132" i="14"/>
  <c r="J132" i="14"/>
  <c r="AB131" i="14"/>
  <c r="Z131" i="14"/>
  <c r="X131" i="14"/>
  <c r="V131" i="14"/>
  <c r="T131" i="14"/>
  <c r="R131" i="14"/>
  <c r="N131" i="14"/>
  <c r="L131" i="14"/>
  <c r="J131" i="14"/>
  <c r="AB130" i="14"/>
  <c r="Z130" i="14"/>
  <c r="X130" i="14"/>
  <c r="V130" i="14"/>
  <c r="T130" i="14"/>
  <c r="R130" i="14"/>
  <c r="N130" i="14"/>
  <c r="L130" i="14"/>
  <c r="J130" i="14"/>
  <c r="AB129" i="14"/>
  <c r="Z129" i="14"/>
  <c r="X129" i="14"/>
  <c r="V129" i="14"/>
  <c r="T129" i="14"/>
  <c r="R129" i="14"/>
  <c r="N129" i="14"/>
  <c r="L129" i="14"/>
  <c r="J129" i="14"/>
  <c r="AB128" i="14"/>
  <c r="Z128" i="14"/>
  <c r="X128" i="14"/>
  <c r="V128" i="14"/>
  <c r="T128" i="14"/>
  <c r="R128" i="14"/>
  <c r="N128" i="14"/>
  <c r="L128" i="14"/>
  <c r="J128" i="14"/>
  <c r="AB127" i="14"/>
  <c r="Z127" i="14"/>
  <c r="X127" i="14"/>
  <c r="V127" i="14"/>
  <c r="T127" i="14"/>
  <c r="R127" i="14"/>
  <c r="N127" i="14"/>
  <c r="L127" i="14"/>
  <c r="J127" i="14"/>
  <c r="H119" i="14"/>
  <c r="F119" i="14"/>
  <c r="D119" i="14"/>
  <c r="AB118" i="14"/>
  <c r="Z118" i="14"/>
  <c r="X118" i="14"/>
  <c r="V118" i="14"/>
  <c r="T118" i="14"/>
  <c r="R118" i="14"/>
  <c r="N118" i="14"/>
  <c r="L118" i="14"/>
  <c r="J118" i="14"/>
  <c r="AB117" i="14"/>
  <c r="Z117" i="14"/>
  <c r="X117" i="14"/>
  <c r="V117" i="14"/>
  <c r="T117" i="14"/>
  <c r="R117" i="14"/>
  <c r="N117" i="14"/>
  <c r="L117" i="14"/>
  <c r="J117" i="14"/>
  <c r="AB116" i="14"/>
  <c r="Z116" i="14"/>
  <c r="X116" i="14"/>
  <c r="V116" i="14"/>
  <c r="T116" i="14"/>
  <c r="R116" i="14"/>
  <c r="N116" i="14"/>
  <c r="L116" i="14"/>
  <c r="J116" i="14"/>
  <c r="AB115" i="14"/>
  <c r="Z115" i="14"/>
  <c r="X115" i="14"/>
  <c r="V115" i="14"/>
  <c r="T115" i="14"/>
  <c r="R115" i="14"/>
  <c r="N115" i="14"/>
  <c r="L115" i="14"/>
  <c r="J115" i="14"/>
  <c r="AB114" i="14"/>
  <c r="Z114" i="14"/>
  <c r="X114" i="14"/>
  <c r="V114" i="14"/>
  <c r="T114" i="14"/>
  <c r="R114" i="14"/>
  <c r="N114" i="14"/>
  <c r="L114" i="14"/>
  <c r="J114" i="14"/>
  <c r="AB113" i="14"/>
  <c r="Z113" i="14"/>
  <c r="X113" i="14"/>
  <c r="V113" i="14"/>
  <c r="T113" i="14"/>
  <c r="R113" i="14"/>
  <c r="N113" i="14"/>
  <c r="L113" i="14"/>
  <c r="J113" i="14"/>
  <c r="AB112" i="14"/>
  <c r="Z112" i="14"/>
  <c r="X112" i="14"/>
  <c r="V112" i="14"/>
  <c r="T112" i="14"/>
  <c r="R112" i="14"/>
  <c r="N112" i="14"/>
  <c r="L112" i="14"/>
  <c r="J112" i="14"/>
  <c r="AB111" i="14"/>
  <c r="Z111" i="14"/>
  <c r="X111" i="14"/>
  <c r="V111" i="14"/>
  <c r="T111" i="14"/>
  <c r="R111" i="14"/>
  <c r="N111" i="14"/>
  <c r="L111" i="14"/>
  <c r="J111" i="14"/>
  <c r="H103" i="14"/>
  <c r="F103" i="14"/>
  <c r="D103" i="14"/>
  <c r="AB102" i="14"/>
  <c r="Z102" i="14"/>
  <c r="X102" i="14"/>
  <c r="V102" i="14"/>
  <c r="T102" i="14"/>
  <c r="R102" i="14"/>
  <c r="N102" i="14"/>
  <c r="L102" i="14"/>
  <c r="J102" i="14"/>
  <c r="AB101" i="14"/>
  <c r="Z101" i="14"/>
  <c r="X101" i="14"/>
  <c r="V101" i="14"/>
  <c r="T101" i="14"/>
  <c r="R101" i="14"/>
  <c r="N101" i="14"/>
  <c r="L101" i="14"/>
  <c r="J101" i="14"/>
  <c r="AB100" i="14"/>
  <c r="Z100" i="14"/>
  <c r="X100" i="14"/>
  <c r="V100" i="14"/>
  <c r="T100" i="14"/>
  <c r="R100" i="14"/>
  <c r="N100" i="14"/>
  <c r="L100" i="14"/>
  <c r="J100" i="14"/>
  <c r="AB99" i="14"/>
  <c r="Z99" i="14"/>
  <c r="X99" i="14"/>
  <c r="V99" i="14"/>
  <c r="T99" i="14"/>
  <c r="R99" i="14"/>
  <c r="N99" i="14"/>
  <c r="L99" i="14"/>
  <c r="J99" i="14"/>
  <c r="AB98" i="14"/>
  <c r="Z98" i="14"/>
  <c r="X98" i="14"/>
  <c r="V98" i="14"/>
  <c r="T98" i="14"/>
  <c r="R98" i="14"/>
  <c r="N98" i="14"/>
  <c r="L98" i="14"/>
  <c r="J98" i="14"/>
  <c r="AB97" i="14"/>
  <c r="Z97" i="14"/>
  <c r="X97" i="14"/>
  <c r="V97" i="14"/>
  <c r="T97" i="14"/>
  <c r="R97" i="14"/>
  <c r="N97" i="14"/>
  <c r="L97" i="14"/>
  <c r="J97" i="14"/>
  <c r="AB96" i="14"/>
  <c r="Z96" i="14"/>
  <c r="X96" i="14"/>
  <c r="V96" i="14"/>
  <c r="T96" i="14"/>
  <c r="R96" i="14"/>
  <c r="N96" i="14"/>
  <c r="L96" i="14"/>
  <c r="J96" i="14"/>
  <c r="AB95" i="14"/>
  <c r="Z95" i="14"/>
  <c r="X95" i="14"/>
  <c r="V95" i="14"/>
  <c r="T95" i="14"/>
  <c r="R95" i="14"/>
  <c r="N95" i="14"/>
  <c r="L95" i="14"/>
  <c r="J95" i="14"/>
  <c r="H87" i="14"/>
  <c r="F87" i="14"/>
  <c r="D87" i="14"/>
  <c r="AB86" i="14"/>
  <c r="Z86" i="14"/>
  <c r="X86" i="14"/>
  <c r="V86" i="14"/>
  <c r="T86" i="14"/>
  <c r="R86" i="14"/>
  <c r="N86" i="14"/>
  <c r="L86" i="14"/>
  <c r="J86" i="14"/>
  <c r="AB85" i="14"/>
  <c r="Z85" i="14"/>
  <c r="X85" i="14"/>
  <c r="V85" i="14"/>
  <c r="T85" i="14"/>
  <c r="R85" i="14"/>
  <c r="N85" i="14"/>
  <c r="L85" i="14"/>
  <c r="J85" i="14"/>
  <c r="AB84" i="14"/>
  <c r="Z84" i="14"/>
  <c r="X84" i="14"/>
  <c r="V84" i="14"/>
  <c r="T84" i="14"/>
  <c r="R84" i="14"/>
  <c r="N84" i="14"/>
  <c r="L84" i="14"/>
  <c r="J84" i="14"/>
  <c r="AB83" i="14"/>
  <c r="Z83" i="14"/>
  <c r="X83" i="14"/>
  <c r="V83" i="14"/>
  <c r="T83" i="14"/>
  <c r="R83" i="14"/>
  <c r="N83" i="14"/>
  <c r="L83" i="14"/>
  <c r="J83" i="14"/>
  <c r="AB82" i="14"/>
  <c r="Z82" i="14"/>
  <c r="X82" i="14"/>
  <c r="V82" i="14"/>
  <c r="T82" i="14"/>
  <c r="R82" i="14"/>
  <c r="N82" i="14"/>
  <c r="L82" i="14"/>
  <c r="J82" i="14"/>
  <c r="AB81" i="14"/>
  <c r="Z81" i="14"/>
  <c r="X81" i="14"/>
  <c r="V81" i="14"/>
  <c r="T81" i="14"/>
  <c r="R81" i="14"/>
  <c r="N81" i="14"/>
  <c r="L81" i="14"/>
  <c r="J81" i="14"/>
  <c r="AB80" i="14"/>
  <c r="Z80" i="14"/>
  <c r="X80" i="14"/>
  <c r="V80" i="14"/>
  <c r="T80" i="14"/>
  <c r="R80" i="14"/>
  <c r="N80" i="14"/>
  <c r="L80" i="14"/>
  <c r="J80" i="14"/>
  <c r="AB79" i="14"/>
  <c r="Z79" i="14"/>
  <c r="X79" i="14"/>
  <c r="V79" i="14"/>
  <c r="T79" i="14"/>
  <c r="R79" i="14"/>
  <c r="N79" i="14"/>
  <c r="L79" i="14"/>
  <c r="J79" i="14"/>
  <c r="AB70" i="14"/>
  <c r="Z70" i="14"/>
  <c r="X70" i="14"/>
  <c r="V70" i="14"/>
  <c r="T70" i="14"/>
  <c r="R70" i="14"/>
  <c r="N70" i="14"/>
  <c r="L70" i="14"/>
  <c r="J70" i="14"/>
  <c r="AB69" i="14"/>
  <c r="Z69" i="14"/>
  <c r="X69" i="14"/>
  <c r="V69" i="14"/>
  <c r="T69" i="14"/>
  <c r="R69" i="14"/>
  <c r="N69" i="14"/>
  <c r="L69" i="14"/>
  <c r="J69" i="14"/>
  <c r="AB68" i="14"/>
  <c r="Z68" i="14"/>
  <c r="X68" i="14"/>
  <c r="V68" i="14"/>
  <c r="T68" i="14"/>
  <c r="R68" i="14"/>
  <c r="N68" i="14"/>
  <c r="L68" i="14"/>
  <c r="J68" i="14"/>
  <c r="AB67" i="14"/>
  <c r="Z67" i="14"/>
  <c r="X67" i="14"/>
  <c r="V67" i="14"/>
  <c r="T67" i="14"/>
  <c r="R67" i="14"/>
  <c r="N67" i="14"/>
  <c r="L67" i="14"/>
  <c r="J67" i="14"/>
  <c r="AB66" i="14"/>
  <c r="Z66" i="14"/>
  <c r="X66" i="14"/>
  <c r="V66" i="14"/>
  <c r="T66" i="14"/>
  <c r="R66" i="14"/>
  <c r="N66" i="14"/>
  <c r="L66" i="14"/>
  <c r="J66" i="14"/>
  <c r="AB65" i="14"/>
  <c r="Z65" i="14"/>
  <c r="X65" i="14"/>
  <c r="V65" i="14"/>
  <c r="T65" i="14"/>
  <c r="R65" i="14"/>
  <c r="N65" i="14"/>
  <c r="L65" i="14"/>
  <c r="J65" i="14"/>
  <c r="AB64" i="14"/>
  <c r="Z64" i="14"/>
  <c r="X64" i="14"/>
  <c r="V64" i="14"/>
  <c r="T64" i="14"/>
  <c r="R64" i="14"/>
  <c r="N64" i="14"/>
  <c r="L64" i="14"/>
  <c r="J64" i="14"/>
  <c r="AB63" i="14"/>
  <c r="Z63" i="14"/>
  <c r="X63" i="14"/>
  <c r="V63" i="14"/>
  <c r="T63" i="14"/>
  <c r="R63" i="14"/>
  <c r="N63" i="14"/>
  <c r="L63" i="14"/>
  <c r="J63" i="14"/>
  <c r="AB53" i="14"/>
  <c r="Z53" i="14"/>
  <c r="X53" i="14"/>
  <c r="V53" i="14"/>
  <c r="T53" i="14"/>
  <c r="R53" i="14"/>
  <c r="N53" i="14"/>
  <c r="L53" i="14"/>
  <c r="J53" i="14"/>
  <c r="AB52" i="14"/>
  <c r="Z52" i="14"/>
  <c r="X52" i="14"/>
  <c r="V52" i="14"/>
  <c r="T52" i="14"/>
  <c r="R52" i="14"/>
  <c r="N52" i="14"/>
  <c r="L52" i="14"/>
  <c r="J52" i="14"/>
  <c r="AB51" i="14"/>
  <c r="Z51" i="14"/>
  <c r="X51" i="14"/>
  <c r="V51" i="14"/>
  <c r="T51" i="14"/>
  <c r="R51" i="14"/>
  <c r="N51" i="14"/>
  <c r="L51" i="14"/>
  <c r="J51" i="14"/>
  <c r="AB50" i="14"/>
  <c r="Z50" i="14"/>
  <c r="X50" i="14"/>
  <c r="V50" i="14"/>
  <c r="T50" i="14"/>
  <c r="R50" i="14"/>
  <c r="N50" i="14"/>
  <c r="L50" i="14"/>
  <c r="J50" i="14"/>
  <c r="AB49" i="14"/>
  <c r="Z49" i="14"/>
  <c r="X49" i="14"/>
  <c r="V49" i="14"/>
  <c r="T49" i="14"/>
  <c r="R49" i="14"/>
  <c r="N49" i="14"/>
  <c r="L49" i="14"/>
  <c r="J49" i="14"/>
  <c r="AB48" i="14"/>
  <c r="Z48" i="14"/>
  <c r="X48" i="14"/>
  <c r="V48" i="14"/>
  <c r="T48" i="14"/>
  <c r="R48" i="14"/>
  <c r="N48" i="14"/>
  <c r="L48" i="14"/>
  <c r="J48" i="14"/>
  <c r="AB47" i="14"/>
  <c r="Z47" i="14"/>
  <c r="X47" i="14"/>
  <c r="V47" i="14"/>
  <c r="T47" i="14"/>
  <c r="R47" i="14"/>
  <c r="N47" i="14"/>
  <c r="L47" i="14"/>
  <c r="J47" i="14"/>
  <c r="AB46" i="14"/>
  <c r="Z46" i="14"/>
  <c r="X46" i="14"/>
  <c r="V46" i="14"/>
  <c r="T46" i="14"/>
  <c r="R46" i="14"/>
  <c r="N46" i="14"/>
  <c r="L46" i="14"/>
  <c r="J46" i="14"/>
  <c r="AB15" i="14"/>
  <c r="Z15" i="14"/>
  <c r="AB14" i="14"/>
  <c r="Z14" i="14"/>
  <c r="AB13" i="14"/>
  <c r="Z13" i="14"/>
  <c r="AB12" i="14"/>
  <c r="Z12" i="14"/>
  <c r="AB11" i="14"/>
  <c r="Z11" i="14"/>
  <c r="AB10" i="14"/>
  <c r="Z10" i="14"/>
  <c r="AB9" i="14"/>
  <c r="Z9" i="14"/>
  <c r="AB8" i="14"/>
  <c r="Z8" i="14"/>
  <c r="AC16" i="14" l="1"/>
  <c r="AD8" i="14"/>
  <c r="Q96" i="15"/>
  <c r="P68" i="14"/>
  <c r="AE53" i="14"/>
  <c r="AE49" i="14"/>
  <c r="O54" i="14"/>
  <c r="O71" i="14"/>
  <c r="AD9" i="14"/>
  <c r="T54" i="14"/>
  <c r="AB54" i="14"/>
  <c r="AD47" i="14"/>
  <c r="Z54" i="14"/>
  <c r="AD50" i="14"/>
  <c r="AB71" i="14"/>
  <c r="AD64" i="14"/>
  <c r="Z71" i="14"/>
  <c r="P66" i="14"/>
  <c r="P67" i="14"/>
  <c r="AD68" i="14"/>
  <c r="AF68" i="14" s="1"/>
  <c r="P70" i="14"/>
  <c r="AE51" i="14"/>
  <c r="AE47" i="14"/>
  <c r="AE64" i="14"/>
  <c r="N54" i="14"/>
  <c r="X54" i="14"/>
  <c r="AD49" i="14"/>
  <c r="P64" i="14"/>
  <c r="P52" i="14"/>
  <c r="X71" i="14"/>
  <c r="AB16" i="14"/>
  <c r="AD53" i="14"/>
  <c r="P47" i="14"/>
  <c r="P51" i="14"/>
  <c r="AD63" i="14"/>
  <c r="AD67" i="14"/>
  <c r="V54" i="14"/>
  <c r="Z16" i="14"/>
  <c r="Q80" i="15"/>
  <c r="AD69" i="14"/>
  <c r="AD65" i="14"/>
  <c r="T71" i="14"/>
  <c r="AD48" i="14"/>
  <c r="AD52" i="14"/>
  <c r="AD46" i="14"/>
  <c r="AD51" i="14"/>
  <c r="AF51" i="14" s="1"/>
  <c r="T16" i="14"/>
  <c r="Q112" i="15"/>
  <c r="Q64" i="15"/>
  <c r="Q128" i="15"/>
  <c r="AD70" i="14"/>
  <c r="AF67" i="14"/>
  <c r="AD66" i="14"/>
  <c r="AF66" i="14" s="1"/>
  <c r="R16" i="14"/>
  <c r="AD11" i="14"/>
  <c r="N71" i="14"/>
  <c r="P63" i="14"/>
  <c r="P50" i="14"/>
  <c r="AF50" i="14" s="1"/>
  <c r="P46" i="14"/>
  <c r="P69" i="14"/>
  <c r="L71" i="14"/>
  <c r="P65" i="14"/>
  <c r="P53" i="14"/>
  <c r="AF53" i="14" s="1"/>
  <c r="P49" i="14"/>
  <c r="L54" i="14"/>
  <c r="P48" i="14"/>
  <c r="R54" i="14"/>
  <c r="V71" i="14"/>
  <c r="O16" i="14"/>
  <c r="J54" i="14"/>
  <c r="AC54" i="14"/>
  <c r="AE48" i="14"/>
  <c r="AE54" i="14" s="1"/>
  <c r="R71" i="14"/>
  <c r="J71" i="14"/>
  <c r="AC71" i="14"/>
  <c r="AE71" i="14"/>
  <c r="V16" i="14"/>
  <c r="AD10" i="14"/>
  <c r="X16" i="14"/>
  <c r="AD12" i="14"/>
  <c r="AD13" i="14"/>
  <c r="AD14" i="14"/>
  <c r="AD15" i="14"/>
  <c r="P143" i="14"/>
  <c r="P147" i="14"/>
  <c r="AE12" i="14"/>
  <c r="AE15" i="14"/>
  <c r="AE11" i="14"/>
  <c r="AE14" i="14"/>
  <c r="AE10" i="14"/>
  <c r="AE13" i="14"/>
  <c r="AE9" i="14"/>
  <c r="AE8" i="14"/>
  <c r="P118" i="14"/>
  <c r="P81" i="14"/>
  <c r="P85" i="14"/>
  <c r="P115" i="14"/>
  <c r="X135" i="14"/>
  <c r="R151" i="14"/>
  <c r="Z151" i="14"/>
  <c r="P144" i="14"/>
  <c r="R103" i="14"/>
  <c r="Z103" i="14"/>
  <c r="P96" i="14"/>
  <c r="L103" i="14"/>
  <c r="AD99" i="14"/>
  <c r="P100" i="14"/>
  <c r="P99" i="14"/>
  <c r="R87" i="14"/>
  <c r="N87" i="14"/>
  <c r="AB119" i="14"/>
  <c r="P114" i="14"/>
  <c r="J87" i="14"/>
  <c r="T87" i="14"/>
  <c r="AB87" i="14"/>
  <c r="P83" i="14"/>
  <c r="AD97" i="14"/>
  <c r="P98" i="14"/>
  <c r="AD101" i="14"/>
  <c r="P102" i="14"/>
  <c r="P111" i="14"/>
  <c r="V119" i="14"/>
  <c r="P112" i="14"/>
  <c r="T135" i="14"/>
  <c r="AB135" i="14"/>
  <c r="AD130" i="14"/>
  <c r="P131" i="14"/>
  <c r="AD134" i="14"/>
  <c r="P146" i="14"/>
  <c r="Z87" i="14"/>
  <c r="P84" i="14"/>
  <c r="J103" i="14"/>
  <c r="T103" i="14"/>
  <c r="AB103" i="14"/>
  <c r="AD112" i="14"/>
  <c r="L87" i="14"/>
  <c r="V87" i="14"/>
  <c r="P82" i="14"/>
  <c r="P86" i="14"/>
  <c r="P97" i="14"/>
  <c r="P101" i="14"/>
  <c r="N119" i="14"/>
  <c r="P145" i="14"/>
  <c r="N151" i="14"/>
  <c r="AD150" i="14"/>
  <c r="J151" i="14"/>
  <c r="P80" i="14"/>
  <c r="AD81" i="14"/>
  <c r="AD85" i="14"/>
  <c r="AD129" i="14"/>
  <c r="AD133" i="14"/>
  <c r="AD145" i="14"/>
  <c r="AD147" i="14"/>
  <c r="P150" i="14"/>
  <c r="P79" i="14"/>
  <c r="AD82" i="14"/>
  <c r="AD84" i="14"/>
  <c r="AD86" i="14"/>
  <c r="P95" i="14"/>
  <c r="X103" i="14"/>
  <c r="Z119" i="14"/>
  <c r="P113" i="14"/>
  <c r="P116" i="14"/>
  <c r="R135" i="14"/>
  <c r="Z135" i="14"/>
  <c r="N135" i="14"/>
  <c r="AD131" i="14"/>
  <c r="X151" i="14"/>
  <c r="AD144" i="14"/>
  <c r="AD146" i="14"/>
  <c r="P148" i="14"/>
  <c r="V151" i="14"/>
  <c r="AD149" i="14"/>
  <c r="AD83" i="14"/>
  <c r="P117" i="14"/>
  <c r="N103" i="14"/>
  <c r="V103" i="14"/>
  <c r="AD96" i="14"/>
  <c r="AD98" i="14"/>
  <c r="AD100" i="14"/>
  <c r="AD102" i="14"/>
  <c r="X119" i="14"/>
  <c r="L119" i="14"/>
  <c r="T119" i="14"/>
  <c r="AD116" i="14"/>
  <c r="L135" i="14"/>
  <c r="V135" i="14"/>
  <c r="P129" i="14"/>
  <c r="AD132" i="14"/>
  <c r="P133" i="14"/>
  <c r="AD148" i="14"/>
  <c r="X87" i="14"/>
  <c r="AD80" i="14"/>
  <c r="J119" i="14"/>
  <c r="AD128" i="14"/>
  <c r="AD111" i="14"/>
  <c r="AD115" i="14"/>
  <c r="J135" i="14"/>
  <c r="P127" i="14"/>
  <c r="AD114" i="14"/>
  <c r="AD118" i="14"/>
  <c r="AD127" i="14"/>
  <c r="L151" i="14"/>
  <c r="T151" i="14"/>
  <c r="AB151" i="14"/>
  <c r="AD79" i="14"/>
  <c r="AD95" i="14"/>
  <c r="AD113" i="14"/>
  <c r="AD117" i="14"/>
  <c r="R119" i="14"/>
  <c r="P128" i="14"/>
  <c r="P130" i="14"/>
  <c r="P132" i="14"/>
  <c r="P134" i="14"/>
  <c r="AD143" i="14"/>
  <c r="P149" i="14"/>
  <c r="AF48" i="14" l="1"/>
  <c r="AF47" i="14"/>
  <c r="AD16" i="14"/>
  <c r="AF64" i="14"/>
  <c r="AF49" i="14"/>
  <c r="AF52" i="14"/>
  <c r="AD54" i="14"/>
  <c r="AF63" i="14"/>
  <c r="AF115" i="14"/>
  <c r="AF69" i="14"/>
  <c r="AF65" i="14"/>
  <c r="AD71" i="14"/>
  <c r="AF46" i="14"/>
  <c r="AF70" i="14"/>
  <c r="P71" i="14"/>
  <c r="AE16" i="14"/>
  <c r="P54" i="14"/>
  <c r="AF118" i="14"/>
  <c r="AF147" i="14"/>
  <c r="AF131" i="14"/>
  <c r="AF150" i="14"/>
  <c r="AF97" i="14"/>
  <c r="AF81" i="14"/>
  <c r="AF99" i="14"/>
  <c r="AF130" i="14"/>
  <c r="AF85" i="14"/>
  <c r="AF112" i="14"/>
  <c r="AF86" i="14"/>
  <c r="AF114" i="14"/>
  <c r="AF82" i="14"/>
  <c r="AF83" i="14"/>
  <c r="AF144" i="14"/>
  <c r="AF84" i="14"/>
  <c r="AF101" i="14"/>
  <c r="AF100" i="14"/>
  <c r="AF146" i="14"/>
  <c r="AF145" i="14"/>
  <c r="AF116" i="14"/>
  <c r="AF111" i="14"/>
  <c r="AF132" i="14"/>
  <c r="AF148" i="14"/>
  <c r="P119" i="14"/>
  <c r="AF117" i="14"/>
  <c r="AF98" i="14"/>
  <c r="P87" i="14"/>
  <c r="AF133" i="14"/>
  <c r="AF96" i="14"/>
  <c r="AF128" i="14"/>
  <c r="AF134" i="14"/>
  <c r="AF102" i="14"/>
  <c r="AD151" i="14"/>
  <c r="AF129" i="14"/>
  <c r="P103" i="14"/>
  <c r="AD103" i="14"/>
  <c r="AF80" i="14"/>
  <c r="AF149" i="14"/>
  <c r="AF113" i="14"/>
  <c r="AD135" i="14"/>
  <c r="AF95" i="14"/>
  <c r="AF127" i="14"/>
  <c r="P135" i="14"/>
  <c r="AF143" i="14"/>
  <c r="P151" i="14"/>
  <c r="AD87" i="14"/>
  <c r="AF79" i="14"/>
  <c r="AD119" i="14"/>
  <c r="AF71" i="14" l="1"/>
  <c r="AF54" i="14"/>
  <c r="AF87" i="14"/>
  <c r="AF135" i="14"/>
  <c r="AF119" i="14"/>
  <c r="AF151" i="14"/>
  <c r="AF103" i="14"/>
  <c r="H8" i="12" l="1"/>
  <c r="H9" i="12"/>
  <c r="H10" i="12"/>
  <c r="H11" i="12"/>
  <c r="H12" i="12"/>
  <c r="H13" i="12"/>
  <c r="H14" i="12"/>
  <c r="H7" i="12"/>
  <c r="H15" i="12" s="1"/>
  <c r="F8" i="12"/>
  <c r="F9" i="12"/>
  <c r="F10" i="12"/>
  <c r="F11" i="12"/>
  <c r="F12" i="12"/>
  <c r="F13" i="12"/>
  <c r="F14" i="12"/>
  <c r="F7" i="12"/>
  <c r="F15" i="12" s="1"/>
  <c r="G15" i="12"/>
  <c r="E8" i="12"/>
  <c r="E9" i="12"/>
  <c r="E10" i="12"/>
  <c r="E11" i="12"/>
  <c r="E12" i="12"/>
  <c r="E13" i="12"/>
  <c r="E14" i="12"/>
  <c r="E7" i="12"/>
  <c r="I15" i="12"/>
  <c r="J15" i="12"/>
  <c r="K15" i="12"/>
  <c r="C8" i="12"/>
  <c r="C9" i="12"/>
  <c r="C10" i="12"/>
  <c r="C11" i="12"/>
  <c r="C12" i="12"/>
  <c r="C13" i="12"/>
  <c r="C14" i="12"/>
  <c r="C7" i="12"/>
  <c r="D12" i="12" l="1"/>
  <c r="D10" i="12"/>
  <c r="E15" i="12"/>
  <c r="D13" i="12"/>
  <c r="C15" i="12"/>
  <c r="D15" i="12" s="1"/>
  <c r="G121" i="11"/>
  <c r="H121" i="11"/>
  <c r="G122" i="11"/>
  <c r="H122" i="11"/>
  <c r="G123" i="11"/>
  <c r="H123" i="11"/>
  <c r="G124" i="11"/>
  <c r="H124" i="11"/>
  <c r="G125" i="11"/>
  <c r="H125" i="11"/>
  <c r="G126" i="11"/>
  <c r="H126" i="11"/>
  <c r="G127" i="11"/>
  <c r="H127" i="11"/>
  <c r="J121" i="11"/>
  <c r="K121" i="11"/>
  <c r="L121" i="11"/>
  <c r="M121" i="11"/>
  <c r="N121" i="11"/>
  <c r="O121" i="11"/>
  <c r="J122" i="11"/>
  <c r="K122" i="11"/>
  <c r="L122" i="11"/>
  <c r="M122" i="11"/>
  <c r="N122" i="11"/>
  <c r="O122" i="11"/>
  <c r="J123" i="11"/>
  <c r="K123" i="11"/>
  <c r="L123" i="11"/>
  <c r="M123" i="11"/>
  <c r="N123" i="11"/>
  <c r="O123" i="11"/>
  <c r="J124" i="11"/>
  <c r="K124" i="11"/>
  <c r="L124" i="11"/>
  <c r="M124" i="11"/>
  <c r="N124" i="11"/>
  <c r="O124" i="11"/>
  <c r="J125" i="11"/>
  <c r="K125" i="11"/>
  <c r="L125" i="11"/>
  <c r="M125" i="11"/>
  <c r="N125" i="11"/>
  <c r="O125" i="11"/>
  <c r="J126" i="11"/>
  <c r="K126" i="11"/>
  <c r="L126" i="11"/>
  <c r="M126" i="11"/>
  <c r="N126" i="11"/>
  <c r="O126" i="11"/>
  <c r="J127" i="11"/>
  <c r="K127" i="11"/>
  <c r="L127" i="11"/>
  <c r="M127" i="11"/>
  <c r="N127" i="11"/>
  <c r="O127" i="11"/>
  <c r="K120" i="11"/>
  <c r="L120" i="11"/>
  <c r="M120" i="11"/>
  <c r="N120" i="11"/>
  <c r="O120" i="11"/>
  <c r="J120" i="11"/>
  <c r="G120" i="11"/>
  <c r="H120" i="11"/>
  <c r="G105" i="11"/>
  <c r="H105" i="11"/>
  <c r="G106" i="11"/>
  <c r="H106" i="11"/>
  <c r="G107" i="11"/>
  <c r="H107" i="11"/>
  <c r="G108" i="11"/>
  <c r="H108" i="11"/>
  <c r="G109" i="11"/>
  <c r="H109" i="11"/>
  <c r="G110" i="11"/>
  <c r="H110" i="11"/>
  <c r="G111" i="11"/>
  <c r="H111" i="11"/>
  <c r="J105" i="11"/>
  <c r="K105" i="11"/>
  <c r="L105" i="11"/>
  <c r="M105" i="11"/>
  <c r="N105" i="11"/>
  <c r="O105" i="11"/>
  <c r="J106" i="11"/>
  <c r="K106" i="11"/>
  <c r="L106" i="11"/>
  <c r="M106" i="11"/>
  <c r="N106" i="11"/>
  <c r="O106" i="11"/>
  <c r="J107" i="11"/>
  <c r="K107" i="11"/>
  <c r="L107" i="11"/>
  <c r="M107" i="11"/>
  <c r="N107" i="11"/>
  <c r="O107" i="11"/>
  <c r="J108" i="11"/>
  <c r="K108" i="11"/>
  <c r="L108" i="11"/>
  <c r="M108" i="11"/>
  <c r="N108" i="11"/>
  <c r="O108" i="11"/>
  <c r="J109" i="11"/>
  <c r="K109" i="11"/>
  <c r="L109" i="11"/>
  <c r="M109" i="11"/>
  <c r="N109" i="11"/>
  <c r="O109" i="11"/>
  <c r="J110" i="11"/>
  <c r="K110" i="11"/>
  <c r="L110" i="11"/>
  <c r="M110" i="11"/>
  <c r="N110" i="11"/>
  <c r="O110" i="11"/>
  <c r="J111" i="11"/>
  <c r="K111" i="11"/>
  <c r="L111" i="11"/>
  <c r="M111" i="11"/>
  <c r="N111" i="11"/>
  <c r="O111" i="11"/>
  <c r="K104" i="11"/>
  <c r="L104" i="11"/>
  <c r="M104" i="11"/>
  <c r="N104" i="11"/>
  <c r="O104" i="11"/>
  <c r="J104" i="11"/>
  <c r="G104" i="11"/>
  <c r="H104" i="11"/>
  <c r="J89" i="11"/>
  <c r="K89" i="11"/>
  <c r="L89" i="11"/>
  <c r="M89" i="11"/>
  <c r="N89" i="11"/>
  <c r="O89" i="11"/>
  <c r="J90" i="11"/>
  <c r="K90" i="11"/>
  <c r="L90" i="11"/>
  <c r="M90" i="11"/>
  <c r="N90" i="11"/>
  <c r="O90" i="11"/>
  <c r="J91" i="11"/>
  <c r="K91" i="11"/>
  <c r="L91" i="11"/>
  <c r="M91" i="11"/>
  <c r="N91" i="11"/>
  <c r="O91" i="11"/>
  <c r="J92" i="11"/>
  <c r="K92" i="11"/>
  <c r="L92" i="11"/>
  <c r="M92" i="11"/>
  <c r="N92" i="11"/>
  <c r="O92" i="11"/>
  <c r="J93" i="11"/>
  <c r="K93" i="11"/>
  <c r="L93" i="11"/>
  <c r="M93" i="11"/>
  <c r="N93" i="11"/>
  <c r="O93" i="11"/>
  <c r="J94" i="11"/>
  <c r="K94" i="11"/>
  <c r="L94" i="11"/>
  <c r="M94" i="11"/>
  <c r="N94" i="11"/>
  <c r="O94" i="11"/>
  <c r="J95" i="11"/>
  <c r="K95" i="11"/>
  <c r="L95" i="11"/>
  <c r="M95" i="11"/>
  <c r="N95" i="11"/>
  <c r="O95" i="11"/>
  <c r="K88" i="11"/>
  <c r="L88" i="11"/>
  <c r="M88" i="11"/>
  <c r="N88" i="11"/>
  <c r="O88" i="11"/>
  <c r="J88" i="11"/>
  <c r="G89" i="11"/>
  <c r="H89" i="11"/>
  <c r="G90" i="11"/>
  <c r="H90" i="11"/>
  <c r="G91" i="11"/>
  <c r="H91" i="11"/>
  <c r="G92" i="11"/>
  <c r="H92" i="11"/>
  <c r="G93" i="11"/>
  <c r="H93" i="11"/>
  <c r="G94" i="11"/>
  <c r="H94" i="11"/>
  <c r="G95" i="11"/>
  <c r="H95" i="11"/>
  <c r="G88" i="11"/>
  <c r="H88" i="11"/>
  <c r="J73" i="11"/>
  <c r="K73" i="11"/>
  <c r="L73" i="11"/>
  <c r="M73" i="11"/>
  <c r="N73" i="11"/>
  <c r="O73" i="11"/>
  <c r="J74" i="11"/>
  <c r="K74" i="11"/>
  <c r="L74" i="11"/>
  <c r="M74" i="11"/>
  <c r="N74" i="11"/>
  <c r="O74" i="11"/>
  <c r="J75" i="11"/>
  <c r="K75" i="11"/>
  <c r="L75" i="11"/>
  <c r="M75" i="11"/>
  <c r="N75" i="11"/>
  <c r="O75" i="11"/>
  <c r="J76" i="11"/>
  <c r="K76" i="11"/>
  <c r="L76" i="11"/>
  <c r="M76" i="11"/>
  <c r="N76" i="11"/>
  <c r="O76" i="11"/>
  <c r="J77" i="11"/>
  <c r="K77" i="11"/>
  <c r="L77" i="11"/>
  <c r="M77" i="11"/>
  <c r="N77" i="11"/>
  <c r="O77" i="11"/>
  <c r="J78" i="11"/>
  <c r="K78" i="11"/>
  <c r="L78" i="11"/>
  <c r="M78" i="11"/>
  <c r="N78" i="11"/>
  <c r="O78" i="11"/>
  <c r="J79" i="11"/>
  <c r="K79" i="11"/>
  <c r="L79" i="11"/>
  <c r="M79" i="11"/>
  <c r="N79" i="11"/>
  <c r="O79" i="11"/>
  <c r="K72" i="11"/>
  <c r="L72" i="11"/>
  <c r="M72" i="11"/>
  <c r="N72" i="11"/>
  <c r="O72" i="11"/>
  <c r="J72" i="11"/>
  <c r="F73" i="11"/>
  <c r="G73" i="11"/>
  <c r="H73" i="11"/>
  <c r="F74" i="11"/>
  <c r="G74" i="11"/>
  <c r="H74" i="11"/>
  <c r="F75" i="11"/>
  <c r="G75" i="11"/>
  <c r="H75" i="11"/>
  <c r="F76" i="11"/>
  <c r="G76" i="11"/>
  <c r="H76" i="11"/>
  <c r="F77" i="11"/>
  <c r="G77" i="11"/>
  <c r="H77" i="11"/>
  <c r="F78" i="11"/>
  <c r="G78" i="11"/>
  <c r="H78" i="11"/>
  <c r="F79" i="11"/>
  <c r="G79" i="11"/>
  <c r="H79" i="11"/>
  <c r="G72" i="11"/>
  <c r="H72" i="11"/>
  <c r="G57" i="11"/>
  <c r="H57" i="11"/>
  <c r="G58" i="11"/>
  <c r="H58" i="11"/>
  <c r="G59" i="11"/>
  <c r="H59" i="11"/>
  <c r="G60" i="11"/>
  <c r="H60" i="11"/>
  <c r="G61" i="11"/>
  <c r="H61" i="11"/>
  <c r="G62" i="11"/>
  <c r="H62" i="11"/>
  <c r="G63" i="11"/>
  <c r="H63" i="11"/>
  <c r="J57" i="11"/>
  <c r="K57" i="11"/>
  <c r="L57" i="11"/>
  <c r="M57" i="11"/>
  <c r="N57" i="11"/>
  <c r="O57" i="11"/>
  <c r="J58" i="11"/>
  <c r="K58" i="11"/>
  <c r="L58" i="11"/>
  <c r="M58" i="11"/>
  <c r="N58" i="11"/>
  <c r="O58" i="11"/>
  <c r="J59" i="11"/>
  <c r="K59" i="11"/>
  <c r="L59" i="11"/>
  <c r="M59" i="11"/>
  <c r="N59" i="11"/>
  <c r="O59" i="11"/>
  <c r="J60" i="11"/>
  <c r="K60" i="11"/>
  <c r="L60" i="11"/>
  <c r="M60" i="11"/>
  <c r="N60" i="11"/>
  <c r="O60" i="11"/>
  <c r="J61" i="11"/>
  <c r="K61" i="11"/>
  <c r="L61" i="11"/>
  <c r="M61" i="11"/>
  <c r="N61" i="11"/>
  <c r="O61" i="11"/>
  <c r="J62" i="11"/>
  <c r="K62" i="11"/>
  <c r="L62" i="11"/>
  <c r="M62" i="11"/>
  <c r="N62" i="11"/>
  <c r="O62" i="11"/>
  <c r="J63" i="11"/>
  <c r="K63" i="11"/>
  <c r="L63" i="11"/>
  <c r="M63" i="11"/>
  <c r="N63" i="11"/>
  <c r="O63" i="11"/>
  <c r="K56" i="11"/>
  <c r="L56" i="11"/>
  <c r="M56" i="11"/>
  <c r="N56" i="11"/>
  <c r="O56" i="11"/>
  <c r="J56" i="11"/>
  <c r="G56" i="11"/>
  <c r="H56" i="11"/>
  <c r="G41" i="11"/>
  <c r="H41" i="11"/>
  <c r="G42" i="11"/>
  <c r="H42" i="11"/>
  <c r="G43" i="11"/>
  <c r="H43" i="11"/>
  <c r="G44" i="11"/>
  <c r="H44" i="11"/>
  <c r="G45" i="11"/>
  <c r="H45" i="11"/>
  <c r="G46" i="11"/>
  <c r="H46" i="11"/>
  <c r="G47" i="11"/>
  <c r="H47" i="11"/>
  <c r="J41" i="11"/>
  <c r="K41" i="11"/>
  <c r="L41" i="11"/>
  <c r="M41" i="11"/>
  <c r="N41" i="11"/>
  <c r="O41" i="11"/>
  <c r="J42" i="11"/>
  <c r="K42" i="11"/>
  <c r="L42" i="11"/>
  <c r="M42" i="11"/>
  <c r="N42" i="11"/>
  <c r="O42" i="11"/>
  <c r="J43" i="11"/>
  <c r="K43" i="11"/>
  <c r="L43" i="11"/>
  <c r="M43" i="11"/>
  <c r="N43" i="11"/>
  <c r="O43" i="11"/>
  <c r="J44" i="11"/>
  <c r="K44" i="11"/>
  <c r="L44" i="11"/>
  <c r="M44" i="11"/>
  <c r="N44" i="11"/>
  <c r="O44" i="11"/>
  <c r="J45" i="11"/>
  <c r="K45" i="11"/>
  <c r="L45" i="11"/>
  <c r="M45" i="11"/>
  <c r="N45" i="11"/>
  <c r="O45" i="11"/>
  <c r="J46" i="11"/>
  <c r="K46" i="11"/>
  <c r="L46" i="11"/>
  <c r="M46" i="11"/>
  <c r="N46" i="11"/>
  <c r="O46" i="11"/>
  <c r="J47" i="11"/>
  <c r="K47" i="11"/>
  <c r="L47" i="11"/>
  <c r="M47" i="11"/>
  <c r="N47" i="11"/>
  <c r="O47" i="11"/>
  <c r="K40" i="11"/>
  <c r="L40" i="11"/>
  <c r="M40" i="11"/>
  <c r="N40" i="11"/>
  <c r="O40" i="11"/>
  <c r="J40" i="11"/>
  <c r="G40" i="11"/>
  <c r="H40" i="11"/>
  <c r="J25" i="11"/>
  <c r="K25" i="11"/>
  <c r="L25" i="11"/>
  <c r="M25" i="11"/>
  <c r="N25" i="11"/>
  <c r="O25" i="11"/>
  <c r="J26" i="11"/>
  <c r="K26" i="11"/>
  <c r="L26" i="11"/>
  <c r="M26" i="11"/>
  <c r="N26" i="11"/>
  <c r="O26" i="11"/>
  <c r="J27" i="11"/>
  <c r="K27" i="11"/>
  <c r="L27" i="11"/>
  <c r="M27" i="11"/>
  <c r="N27" i="11"/>
  <c r="O27" i="11"/>
  <c r="J28" i="11"/>
  <c r="K28" i="11"/>
  <c r="L28" i="11"/>
  <c r="M28" i="11"/>
  <c r="N28" i="11"/>
  <c r="O28" i="11"/>
  <c r="J29" i="11"/>
  <c r="K29" i="11"/>
  <c r="L29" i="11"/>
  <c r="M29" i="11"/>
  <c r="N29" i="11"/>
  <c r="O29" i="11"/>
  <c r="J30" i="11"/>
  <c r="K30" i="11"/>
  <c r="L30" i="11"/>
  <c r="M30" i="11"/>
  <c r="N30" i="11"/>
  <c r="O30" i="11"/>
  <c r="J31" i="11"/>
  <c r="K31" i="11"/>
  <c r="L31" i="11"/>
  <c r="M31" i="11"/>
  <c r="N31" i="11"/>
  <c r="O31" i="11"/>
  <c r="K24" i="11"/>
  <c r="L24" i="11"/>
  <c r="M24" i="11"/>
  <c r="N24" i="11"/>
  <c r="O24" i="11"/>
  <c r="J24" i="11"/>
  <c r="G25" i="11"/>
  <c r="H25" i="11"/>
  <c r="G26" i="11"/>
  <c r="H26" i="11"/>
  <c r="G27" i="11"/>
  <c r="H27" i="11"/>
  <c r="G28" i="11"/>
  <c r="H28" i="11"/>
  <c r="G29" i="11"/>
  <c r="H29" i="11"/>
  <c r="G30" i="11"/>
  <c r="H30" i="11"/>
  <c r="G31" i="11"/>
  <c r="H31" i="11"/>
  <c r="G24" i="11"/>
  <c r="H24" i="11"/>
  <c r="J9" i="11"/>
  <c r="J9" i="15" s="1"/>
  <c r="K9" i="11"/>
  <c r="K9" i="15" s="1"/>
  <c r="L9" i="11"/>
  <c r="L9" i="15" s="1"/>
  <c r="M9" i="11"/>
  <c r="M9" i="15" s="1"/>
  <c r="N9" i="11"/>
  <c r="N9" i="15" s="1"/>
  <c r="O9" i="11"/>
  <c r="J10" i="11"/>
  <c r="J10" i="15" s="1"/>
  <c r="K10" i="11"/>
  <c r="K10" i="15" s="1"/>
  <c r="L10" i="11"/>
  <c r="L10" i="15" s="1"/>
  <c r="M10" i="11"/>
  <c r="M10" i="15" s="1"/>
  <c r="N10" i="11"/>
  <c r="N10" i="15" s="1"/>
  <c r="O10" i="11"/>
  <c r="J11" i="11"/>
  <c r="J11" i="15" s="1"/>
  <c r="K11" i="11"/>
  <c r="K11" i="15" s="1"/>
  <c r="L11" i="11"/>
  <c r="L11" i="15" s="1"/>
  <c r="M11" i="11"/>
  <c r="M11" i="15" s="1"/>
  <c r="N11" i="11"/>
  <c r="N11" i="15" s="1"/>
  <c r="O11" i="11"/>
  <c r="J12" i="11"/>
  <c r="J12" i="15" s="1"/>
  <c r="K12" i="11"/>
  <c r="K12" i="15" s="1"/>
  <c r="L12" i="11"/>
  <c r="L12" i="15" s="1"/>
  <c r="M12" i="11"/>
  <c r="M12" i="15" s="1"/>
  <c r="N12" i="11"/>
  <c r="N12" i="15" s="1"/>
  <c r="O12" i="11"/>
  <c r="J13" i="11"/>
  <c r="J13" i="15" s="1"/>
  <c r="K13" i="11"/>
  <c r="K13" i="15" s="1"/>
  <c r="L13" i="11"/>
  <c r="L13" i="15" s="1"/>
  <c r="M13" i="11"/>
  <c r="M13" i="15" s="1"/>
  <c r="N13" i="11"/>
  <c r="N13" i="15" s="1"/>
  <c r="O13" i="11"/>
  <c r="J14" i="11"/>
  <c r="J14" i="15" s="1"/>
  <c r="K14" i="11"/>
  <c r="K14" i="15" s="1"/>
  <c r="L14" i="11"/>
  <c r="L14" i="15" s="1"/>
  <c r="M14" i="11"/>
  <c r="M14" i="15" s="1"/>
  <c r="N14" i="11"/>
  <c r="N14" i="15" s="1"/>
  <c r="O14" i="11"/>
  <c r="J15" i="11"/>
  <c r="J15" i="15" s="1"/>
  <c r="K15" i="11"/>
  <c r="K15" i="15" s="1"/>
  <c r="L15" i="11"/>
  <c r="L15" i="15" s="1"/>
  <c r="M15" i="11"/>
  <c r="M15" i="15" s="1"/>
  <c r="N15" i="11"/>
  <c r="N15" i="15" s="1"/>
  <c r="O15" i="11"/>
  <c r="K8" i="11"/>
  <c r="K8" i="15" s="1"/>
  <c r="K16" i="15" s="1"/>
  <c r="L8" i="11"/>
  <c r="L8" i="15" s="1"/>
  <c r="L16" i="15" s="1"/>
  <c r="M8" i="11"/>
  <c r="M8" i="15" s="1"/>
  <c r="M16" i="15" s="1"/>
  <c r="N8" i="11"/>
  <c r="N8" i="15" s="1"/>
  <c r="N16" i="15" s="1"/>
  <c r="O8" i="11"/>
  <c r="J8" i="11"/>
  <c r="J8" i="15" s="1"/>
  <c r="F105" i="11"/>
  <c r="F106" i="11"/>
  <c r="F107" i="11"/>
  <c r="F108" i="11"/>
  <c r="F109" i="11"/>
  <c r="F110" i="11"/>
  <c r="F111" i="11"/>
  <c r="F121" i="11"/>
  <c r="F122" i="11"/>
  <c r="F123" i="11"/>
  <c r="F124" i="11"/>
  <c r="F125" i="11"/>
  <c r="F126" i="11"/>
  <c r="F127" i="11"/>
  <c r="F120" i="11"/>
  <c r="F104" i="11"/>
  <c r="F89" i="11"/>
  <c r="F90" i="11"/>
  <c r="F91" i="11"/>
  <c r="F92" i="11"/>
  <c r="F93" i="11"/>
  <c r="F94" i="11"/>
  <c r="F95" i="11"/>
  <c r="F88" i="11"/>
  <c r="F72" i="11"/>
  <c r="F57" i="11"/>
  <c r="F58" i="11"/>
  <c r="F59" i="11"/>
  <c r="F60" i="11"/>
  <c r="F61" i="11"/>
  <c r="F62" i="11"/>
  <c r="F63" i="11"/>
  <c r="F56" i="11"/>
  <c r="F41" i="11"/>
  <c r="F42" i="11"/>
  <c r="F43" i="11"/>
  <c r="F44" i="11"/>
  <c r="F45" i="11"/>
  <c r="F46" i="11"/>
  <c r="F47" i="11"/>
  <c r="F40" i="11"/>
  <c r="F25" i="11"/>
  <c r="F26" i="11"/>
  <c r="F27" i="11"/>
  <c r="F28" i="11"/>
  <c r="F29" i="11"/>
  <c r="F30" i="11"/>
  <c r="F31" i="11"/>
  <c r="F24" i="11"/>
  <c r="F8" i="11"/>
  <c r="F8" i="15" s="1"/>
  <c r="I8" i="15" l="1"/>
  <c r="F16" i="15"/>
  <c r="P8" i="15"/>
  <c r="J16" i="15"/>
  <c r="P15" i="15"/>
  <c r="Q15" i="15" s="1"/>
  <c r="P14" i="15"/>
  <c r="Q14" i="15" s="1"/>
  <c r="P13" i="15"/>
  <c r="Q13" i="15" s="1"/>
  <c r="P12" i="15"/>
  <c r="Q12" i="15" s="1"/>
  <c r="P11" i="15"/>
  <c r="Q11" i="15" s="1"/>
  <c r="P10" i="15"/>
  <c r="Q10" i="15" s="1"/>
  <c r="P9" i="15"/>
  <c r="Q9" i="15" s="1"/>
  <c r="D14" i="12"/>
  <c r="J13" i="14"/>
  <c r="J13" i="17"/>
  <c r="J9" i="17"/>
  <c r="J9" i="14"/>
  <c r="J8" i="17"/>
  <c r="J8" i="14"/>
  <c r="J14" i="17"/>
  <c r="J14" i="14"/>
  <c r="J12" i="17"/>
  <c r="J12" i="14"/>
  <c r="J10" i="17"/>
  <c r="J10" i="14"/>
  <c r="N15" i="14"/>
  <c r="N15" i="17"/>
  <c r="N13" i="17"/>
  <c r="N13" i="14"/>
  <c r="N11" i="17"/>
  <c r="N11" i="14"/>
  <c r="N9" i="14"/>
  <c r="N9" i="17"/>
  <c r="J15" i="17"/>
  <c r="P15" i="17" s="1"/>
  <c r="J15" i="14"/>
  <c r="P15" i="14" s="1"/>
  <c r="AF15" i="14" s="1"/>
  <c r="J11" i="17"/>
  <c r="P11" i="17" s="1"/>
  <c r="J11" i="14"/>
  <c r="P11" i="14" s="1"/>
  <c r="AF11" i="14" s="1"/>
  <c r="N8" i="17"/>
  <c r="N8" i="14"/>
  <c r="N14" i="17"/>
  <c r="N14" i="14"/>
  <c r="N12" i="17"/>
  <c r="N12" i="14"/>
  <c r="N10" i="17"/>
  <c r="N10" i="14"/>
  <c r="D50" i="9"/>
  <c r="F50" i="9"/>
  <c r="G50" i="9"/>
  <c r="H50" i="9"/>
  <c r="I50" i="9"/>
  <c r="J50" i="9"/>
  <c r="K50" i="9"/>
  <c r="L50" i="9"/>
  <c r="M50" i="9"/>
  <c r="N50" i="9"/>
  <c r="C50" i="9"/>
  <c r="F50" i="4"/>
  <c r="H50" i="4"/>
  <c r="J50" i="4"/>
  <c r="K50" i="4"/>
  <c r="N50" i="4"/>
  <c r="C50" i="4"/>
  <c r="P16" i="15" l="1"/>
  <c r="Q8" i="15"/>
  <c r="Q16" i="15" s="1"/>
  <c r="I16" i="15"/>
  <c r="AP11" i="17"/>
  <c r="Q11" i="17"/>
  <c r="AP15" i="17"/>
  <c r="Q15" i="17"/>
  <c r="J16" i="17"/>
  <c r="P8" i="17"/>
  <c r="N16" i="17"/>
  <c r="P10" i="17"/>
  <c r="P12" i="17"/>
  <c r="P14" i="17"/>
  <c r="P9" i="17"/>
  <c r="P13" i="14"/>
  <c r="AF13" i="14" s="1"/>
  <c r="P8" i="14"/>
  <c r="J16" i="14"/>
  <c r="N16" i="14"/>
  <c r="P10" i="14"/>
  <c r="AF10" i="14" s="1"/>
  <c r="P12" i="14"/>
  <c r="AF12" i="14" s="1"/>
  <c r="P14" i="14"/>
  <c r="AF14" i="14" s="1"/>
  <c r="P9" i="14"/>
  <c r="AF9" i="14" s="1"/>
  <c r="P13" i="17"/>
  <c r="F123" i="10"/>
  <c r="F127" i="10"/>
  <c r="F128" i="10"/>
  <c r="F109" i="10"/>
  <c r="F110" i="10"/>
  <c r="F113" i="10"/>
  <c r="F86" i="10"/>
  <c r="F87" i="10"/>
  <c r="F91" i="10"/>
  <c r="F92" i="10"/>
  <c r="F60" i="10"/>
  <c r="F62" i="10"/>
  <c r="F63" i="10"/>
  <c r="F57" i="10"/>
  <c r="D37" i="10"/>
  <c r="D43" i="10"/>
  <c r="D36" i="10"/>
  <c r="AF8" i="14" l="1"/>
  <c r="AF16" i="14" s="1"/>
  <c r="P16" i="14"/>
  <c r="AP9" i="17"/>
  <c r="Q9" i="17"/>
  <c r="AP12" i="17"/>
  <c r="Q12" i="17"/>
  <c r="Q13" i="17"/>
  <c r="AP13" i="17"/>
  <c r="AP14" i="17"/>
  <c r="Q14" i="17"/>
  <c r="Q10" i="17"/>
  <c r="AP10" i="17"/>
  <c r="AP8" i="17"/>
  <c r="Q8" i="17"/>
  <c r="P16" i="17"/>
  <c r="AP16" i="17" l="1"/>
  <c r="Q16" i="17"/>
  <c r="O12" i="1" l="1"/>
  <c r="C11" i="10" s="1"/>
  <c r="Q10" i="9" l="1"/>
  <c r="Q11" i="9"/>
  <c r="Q12" i="9"/>
  <c r="Q13" i="9"/>
  <c r="Q14" i="9"/>
  <c r="Q15" i="9"/>
  <c r="Q16" i="9"/>
  <c r="Q9" i="9"/>
  <c r="Q10" i="4"/>
  <c r="Q11" i="4"/>
  <c r="Q12" i="4"/>
  <c r="Q13" i="4"/>
  <c r="Q14" i="4"/>
  <c r="Q15" i="4"/>
  <c r="Q16" i="4"/>
  <c r="Q9" i="4"/>
  <c r="Q10" i="1"/>
  <c r="Q11" i="1"/>
  <c r="Q12" i="1"/>
  <c r="Q13" i="1"/>
  <c r="Q14" i="1"/>
  <c r="Q15" i="1"/>
  <c r="Q16" i="1"/>
  <c r="Q9" i="1"/>
  <c r="I123" i="11" l="1"/>
  <c r="I120" i="11"/>
  <c r="I111" i="11"/>
  <c r="I104" i="11"/>
  <c r="I89" i="11"/>
  <c r="I91" i="11"/>
  <c r="I93" i="11"/>
  <c r="I95" i="11"/>
  <c r="I88" i="11"/>
  <c r="I75" i="11"/>
  <c r="I77" i="11"/>
  <c r="I72" i="11"/>
  <c r="I57" i="11"/>
  <c r="I61" i="11"/>
  <c r="I63" i="11"/>
  <c r="I56" i="11"/>
  <c r="I41" i="11"/>
  <c r="I42" i="11"/>
  <c r="I43" i="11"/>
  <c r="I44" i="11"/>
  <c r="I45" i="11"/>
  <c r="I46" i="11"/>
  <c r="I47" i="11"/>
  <c r="I40" i="11"/>
  <c r="I27" i="11"/>
  <c r="I29" i="11"/>
  <c r="O128" i="11"/>
  <c r="N128" i="11"/>
  <c r="M128" i="11"/>
  <c r="L128" i="11"/>
  <c r="K128" i="11"/>
  <c r="J128" i="11"/>
  <c r="H128" i="11"/>
  <c r="G128" i="11"/>
  <c r="F128" i="11"/>
  <c r="E128" i="11"/>
  <c r="P127" i="11"/>
  <c r="I127" i="11"/>
  <c r="P126" i="11"/>
  <c r="P125" i="11"/>
  <c r="I125" i="11"/>
  <c r="P124" i="11"/>
  <c r="P123" i="11"/>
  <c r="P122" i="11"/>
  <c r="P121" i="11"/>
  <c r="I121" i="11"/>
  <c r="P120" i="11"/>
  <c r="O112" i="11"/>
  <c r="N112" i="11"/>
  <c r="M112" i="11"/>
  <c r="L112" i="11"/>
  <c r="K112" i="11"/>
  <c r="J112" i="11"/>
  <c r="H112" i="11"/>
  <c r="G112" i="11"/>
  <c r="F112" i="11"/>
  <c r="E112" i="11"/>
  <c r="P111" i="11"/>
  <c r="P110" i="11"/>
  <c r="P109" i="11"/>
  <c r="P108" i="11"/>
  <c r="P107" i="11"/>
  <c r="P106" i="11"/>
  <c r="P105" i="11"/>
  <c r="P104" i="11"/>
  <c r="O96" i="11"/>
  <c r="N96" i="11"/>
  <c r="M96" i="11"/>
  <c r="L96" i="11"/>
  <c r="K96" i="11"/>
  <c r="J96" i="11"/>
  <c r="H96" i="11"/>
  <c r="G96" i="11"/>
  <c r="F96" i="11"/>
  <c r="E96" i="11"/>
  <c r="P95" i="11"/>
  <c r="P94" i="11"/>
  <c r="P93" i="11"/>
  <c r="P92" i="11"/>
  <c r="P91" i="11"/>
  <c r="P90" i="11"/>
  <c r="P89" i="11"/>
  <c r="P88" i="11"/>
  <c r="O80" i="11"/>
  <c r="N80" i="11"/>
  <c r="M80" i="11"/>
  <c r="L80" i="11"/>
  <c r="K80" i="11"/>
  <c r="J80" i="11"/>
  <c r="H80" i="11"/>
  <c r="G80" i="11"/>
  <c r="F80" i="11"/>
  <c r="E80" i="11"/>
  <c r="P79" i="11"/>
  <c r="I79" i="11"/>
  <c r="P78" i="11"/>
  <c r="P77" i="11"/>
  <c r="P76" i="11"/>
  <c r="P75" i="11"/>
  <c r="P74" i="11"/>
  <c r="P73" i="11"/>
  <c r="I73" i="11"/>
  <c r="P72" i="11"/>
  <c r="O64" i="11"/>
  <c r="N64" i="11"/>
  <c r="M64" i="11"/>
  <c r="L64" i="11"/>
  <c r="K64" i="11"/>
  <c r="J64" i="11"/>
  <c r="H64" i="11"/>
  <c r="G64" i="11"/>
  <c r="F64" i="11"/>
  <c r="E64" i="11"/>
  <c r="P63" i="11"/>
  <c r="P62" i="11"/>
  <c r="P61" i="11"/>
  <c r="P60" i="11"/>
  <c r="P59" i="11"/>
  <c r="I59" i="11"/>
  <c r="P58" i="11"/>
  <c r="P57" i="11"/>
  <c r="P56" i="11"/>
  <c r="O48" i="11"/>
  <c r="N48" i="11"/>
  <c r="M48" i="11"/>
  <c r="L48" i="11"/>
  <c r="K48" i="11"/>
  <c r="J48" i="11"/>
  <c r="H48" i="11"/>
  <c r="G48" i="11"/>
  <c r="F48" i="11"/>
  <c r="E48" i="11"/>
  <c r="P47" i="11"/>
  <c r="P46" i="11"/>
  <c r="P45" i="11"/>
  <c r="P44" i="11"/>
  <c r="P43" i="11"/>
  <c r="P42" i="11"/>
  <c r="P41" i="11"/>
  <c r="P40" i="11"/>
  <c r="O32" i="11"/>
  <c r="N32" i="11"/>
  <c r="M32" i="11"/>
  <c r="L32" i="11"/>
  <c r="K32" i="11"/>
  <c r="J32" i="11"/>
  <c r="H32" i="11"/>
  <c r="G32" i="11"/>
  <c r="F32" i="11"/>
  <c r="E32" i="11"/>
  <c r="P31" i="11"/>
  <c r="I31" i="11"/>
  <c r="P30" i="11"/>
  <c r="P29" i="11"/>
  <c r="P28" i="11"/>
  <c r="P27" i="11"/>
  <c r="P26" i="11"/>
  <c r="P25" i="11"/>
  <c r="I25" i="11"/>
  <c r="P24" i="11"/>
  <c r="Q127" i="11" l="1"/>
  <c r="Q79" i="11"/>
  <c r="Q47" i="11"/>
  <c r="Q43" i="11"/>
  <c r="Q25" i="11"/>
  <c r="Q31" i="11"/>
  <c r="P112" i="11"/>
  <c r="P64" i="11"/>
  <c r="Q27" i="11"/>
  <c r="Q125" i="11"/>
  <c r="Q123" i="11"/>
  <c r="P128" i="11"/>
  <c r="Q77" i="11"/>
  <c r="Q73" i="11"/>
  <c r="Q75" i="11"/>
  <c r="Q59" i="11"/>
  <c r="Q63" i="11"/>
  <c r="Q61" i="11"/>
  <c r="Q57" i="11"/>
  <c r="Q46" i="11"/>
  <c r="Q42" i="11"/>
  <c r="Q44" i="11"/>
  <c r="Q45" i="11"/>
  <c r="Q41" i="11"/>
  <c r="Q29" i="11"/>
  <c r="I109" i="11"/>
  <c r="Q109" i="11" s="1"/>
  <c r="I107" i="11"/>
  <c r="Q107" i="11" s="1"/>
  <c r="I105" i="11"/>
  <c r="Q105" i="11" s="1"/>
  <c r="D112" i="11"/>
  <c r="D96" i="11"/>
  <c r="P80" i="11"/>
  <c r="I30" i="11"/>
  <c r="Q30" i="11" s="1"/>
  <c r="I26" i="11"/>
  <c r="Q26" i="11" s="1"/>
  <c r="I60" i="11"/>
  <c r="Q60" i="11" s="1"/>
  <c r="I78" i="11"/>
  <c r="Q78" i="11" s="1"/>
  <c r="I74" i="11"/>
  <c r="Q74" i="11" s="1"/>
  <c r="I92" i="11"/>
  <c r="Q92" i="11" s="1"/>
  <c r="I110" i="11"/>
  <c r="Q110" i="11" s="1"/>
  <c r="I106" i="11"/>
  <c r="Q106" i="11" s="1"/>
  <c r="I124" i="11"/>
  <c r="Q124" i="11" s="1"/>
  <c r="D80" i="11"/>
  <c r="Q95" i="11"/>
  <c r="Q93" i="11"/>
  <c r="Q91" i="11"/>
  <c r="Q89" i="11"/>
  <c r="Q111" i="11"/>
  <c r="D128" i="11"/>
  <c r="I24" i="11"/>
  <c r="Q24" i="11" s="1"/>
  <c r="I28" i="11"/>
  <c r="Q28" i="11" s="1"/>
  <c r="C48" i="11"/>
  <c r="I62" i="11"/>
  <c r="Q62" i="11" s="1"/>
  <c r="I58" i="11"/>
  <c r="Q58" i="11" s="1"/>
  <c r="I76" i="11"/>
  <c r="Q76" i="11" s="1"/>
  <c r="I94" i="11"/>
  <c r="Q94" i="11" s="1"/>
  <c r="I90" i="11"/>
  <c r="Q90" i="11" s="1"/>
  <c r="I108" i="11"/>
  <c r="Q108" i="11" s="1"/>
  <c r="I126" i="11"/>
  <c r="Q126" i="11" s="1"/>
  <c r="I122" i="11"/>
  <c r="Q122" i="11" s="1"/>
  <c r="P48" i="11"/>
  <c r="P32" i="11"/>
  <c r="P96" i="11"/>
  <c r="Q121" i="11"/>
  <c r="C64" i="11"/>
  <c r="C32" i="11"/>
  <c r="Q120" i="11"/>
  <c r="C128" i="11"/>
  <c r="Q104" i="11"/>
  <c r="C112" i="11"/>
  <c r="Q88" i="11"/>
  <c r="C96" i="11"/>
  <c r="Q72" i="11"/>
  <c r="C80" i="11"/>
  <c r="Q56" i="11"/>
  <c r="D64" i="11"/>
  <c r="I48" i="11"/>
  <c r="Q40" i="11"/>
  <c r="D48" i="11"/>
  <c r="D32" i="11"/>
  <c r="Q48" i="11" l="1"/>
  <c r="Q80" i="11"/>
  <c r="Q128" i="11"/>
  <c r="I96" i="11"/>
  <c r="I80" i="11"/>
  <c r="I32" i="11"/>
  <c r="Q112" i="11"/>
  <c r="I128" i="11"/>
  <c r="Q64" i="11"/>
  <c r="I64" i="11"/>
  <c r="Q32" i="11"/>
  <c r="Q96" i="11"/>
  <c r="I112" i="11"/>
  <c r="I9" i="11"/>
  <c r="I10" i="11"/>
  <c r="T10" i="11" s="1"/>
  <c r="I11" i="11"/>
  <c r="T11" i="11" s="1"/>
  <c r="I12" i="11"/>
  <c r="T12" i="11" s="1"/>
  <c r="I13" i="11"/>
  <c r="I14" i="11"/>
  <c r="T14" i="11" s="1"/>
  <c r="M16" i="11"/>
  <c r="L16" i="11"/>
  <c r="K16" i="11"/>
  <c r="J16" i="11"/>
  <c r="H16" i="11"/>
  <c r="G16" i="11"/>
  <c r="F16" i="11"/>
  <c r="E16" i="11"/>
  <c r="D16" i="11"/>
  <c r="P15" i="11"/>
  <c r="I15" i="11"/>
  <c r="P14" i="11"/>
  <c r="P13" i="11"/>
  <c r="P12" i="11"/>
  <c r="P11" i="11"/>
  <c r="P10" i="11"/>
  <c r="P9" i="11"/>
  <c r="O16" i="11"/>
  <c r="N16" i="11"/>
  <c r="W16" i="11" l="1"/>
  <c r="Q9" i="11"/>
  <c r="T9" i="11"/>
  <c r="Q15" i="11"/>
  <c r="T15" i="11"/>
  <c r="Q13" i="11"/>
  <c r="T13" i="11"/>
  <c r="C16" i="11"/>
  <c r="Q11" i="11"/>
  <c r="I8" i="11"/>
  <c r="T8" i="11" s="1"/>
  <c r="Q10" i="11"/>
  <c r="Q14" i="11"/>
  <c r="Q12" i="11"/>
  <c r="P8" i="11"/>
  <c r="P16" i="11" s="1"/>
  <c r="T16" i="11" l="1"/>
  <c r="V16" i="11" s="1"/>
  <c r="V17" i="11" s="1"/>
  <c r="I16" i="11"/>
  <c r="Q8" i="11"/>
  <c r="Q16" i="11" s="1"/>
  <c r="Q76" i="8" l="1"/>
  <c r="Q77" i="8"/>
  <c r="Q78" i="8"/>
  <c r="Q79" i="8"/>
  <c r="Q80" i="8"/>
  <c r="Q81" i="8"/>
  <c r="Q82" i="8"/>
  <c r="Q75" i="8"/>
  <c r="Q43" i="8"/>
  <c r="Q44" i="8"/>
  <c r="Q45" i="8"/>
  <c r="Q46" i="8"/>
  <c r="Q47" i="8"/>
  <c r="Q48" i="8"/>
  <c r="Q49" i="8"/>
  <c r="Q42" i="8"/>
  <c r="Q10" i="8"/>
  <c r="Q11" i="8"/>
  <c r="Q12" i="8"/>
  <c r="Q13" i="8"/>
  <c r="Q14" i="8"/>
  <c r="Q15" i="8"/>
  <c r="Q16" i="8"/>
  <c r="Q9" i="8"/>
  <c r="Q76" i="7"/>
  <c r="Q77" i="7"/>
  <c r="Q78" i="7"/>
  <c r="Q79" i="7"/>
  <c r="Q80" i="7"/>
  <c r="Q81" i="7"/>
  <c r="Q82" i="7"/>
  <c r="Q75" i="7"/>
  <c r="Q43" i="7"/>
  <c r="Q44" i="7"/>
  <c r="Q45" i="7"/>
  <c r="Q46" i="7"/>
  <c r="Q47" i="7"/>
  <c r="Q48" i="7"/>
  <c r="Q49" i="7"/>
  <c r="Q42" i="7"/>
  <c r="Q10" i="7"/>
  <c r="Q11" i="7"/>
  <c r="Q12" i="7"/>
  <c r="Q13" i="7"/>
  <c r="Q14" i="7"/>
  <c r="Q15" i="7"/>
  <c r="Q16" i="7"/>
  <c r="Q9" i="7"/>
  <c r="Q76" i="6"/>
  <c r="Q77" i="6"/>
  <c r="Q78" i="6"/>
  <c r="Q79" i="6"/>
  <c r="Q80" i="6"/>
  <c r="Q81" i="6"/>
  <c r="Q82" i="6"/>
  <c r="Q75" i="6"/>
  <c r="Q42" i="6"/>
  <c r="Q43" i="6"/>
  <c r="Q44" i="6"/>
  <c r="Q45" i="6"/>
  <c r="Q46" i="6"/>
  <c r="Q47" i="6"/>
  <c r="Q48" i="6"/>
  <c r="Q41" i="6"/>
  <c r="Q10" i="6"/>
  <c r="Q11" i="6"/>
  <c r="Q12" i="6"/>
  <c r="Q13" i="6"/>
  <c r="Q14" i="6"/>
  <c r="Q15" i="6"/>
  <c r="Q16" i="6"/>
  <c r="Q9" i="6"/>
  <c r="Q76" i="5"/>
  <c r="Q77" i="5"/>
  <c r="Q78" i="5"/>
  <c r="Q79" i="5"/>
  <c r="Q80" i="5"/>
  <c r="Q81" i="5"/>
  <c r="Q82" i="5"/>
  <c r="Q75" i="5"/>
  <c r="Q43" i="5"/>
  <c r="Q44" i="5"/>
  <c r="Q45" i="5"/>
  <c r="Q46" i="5"/>
  <c r="Q47" i="5"/>
  <c r="Q48" i="5"/>
  <c r="Q49" i="5"/>
  <c r="Q42" i="5"/>
  <c r="Q10" i="5"/>
  <c r="Q11" i="5"/>
  <c r="Q12" i="5"/>
  <c r="Q13" i="5"/>
  <c r="Q14" i="5"/>
  <c r="Q15" i="5"/>
  <c r="Q16" i="5"/>
  <c r="Q9" i="5"/>
  <c r="T10" i="1" l="1"/>
  <c r="T11" i="1"/>
  <c r="T12" i="1"/>
  <c r="T13" i="1"/>
  <c r="T14" i="1"/>
  <c r="T15" i="1"/>
  <c r="T16" i="1"/>
  <c r="T9" i="1"/>
  <c r="S10" i="1"/>
  <c r="S11" i="1"/>
  <c r="S12" i="1"/>
  <c r="S13" i="1"/>
  <c r="S14" i="1"/>
  <c r="S15" i="1"/>
  <c r="S16" i="1"/>
  <c r="S9" i="1"/>
  <c r="H83" i="5" l="1"/>
  <c r="Q44" i="4"/>
  <c r="D38" i="10" s="1"/>
  <c r="D39" i="10"/>
  <c r="Q46" i="4"/>
  <c r="D40" i="10" s="1"/>
  <c r="Q47" i="4"/>
  <c r="D41" i="10" s="1"/>
  <c r="Q48" i="4"/>
  <c r="D42" i="10" s="1"/>
  <c r="D44" i="10" l="1"/>
  <c r="Q50" i="4"/>
  <c r="Q76" i="9" l="1"/>
  <c r="Q77" i="9"/>
  <c r="Q78" i="9"/>
  <c r="Q79" i="9"/>
  <c r="Q80" i="9"/>
  <c r="Q81" i="9"/>
  <c r="Q82" i="9"/>
  <c r="Q75" i="9"/>
  <c r="Q43" i="9"/>
  <c r="Q44" i="9"/>
  <c r="Q45" i="9"/>
  <c r="Q46" i="9"/>
  <c r="Q47" i="9"/>
  <c r="Q48" i="9"/>
  <c r="Q49" i="9"/>
  <c r="Q42" i="9"/>
  <c r="Q76" i="1" l="1"/>
  <c r="Q77" i="1"/>
  <c r="Q78" i="1"/>
  <c r="Q79" i="1"/>
  <c r="Q80" i="1"/>
  <c r="Q81" i="1"/>
  <c r="Q82" i="1"/>
  <c r="Q75" i="1"/>
  <c r="Q43" i="1"/>
  <c r="Q44" i="1"/>
  <c r="Q45" i="1"/>
  <c r="Q46" i="1"/>
  <c r="Q47" i="1"/>
  <c r="Q48" i="1"/>
  <c r="Q49" i="1"/>
  <c r="Q42" i="1"/>
  <c r="F50" i="3" l="1"/>
  <c r="D116" i="8" l="1"/>
  <c r="E116" i="4"/>
  <c r="O109" i="3" l="1"/>
  <c r="F23" i="10" s="1"/>
  <c r="O111" i="3"/>
  <c r="F25" i="10" s="1"/>
  <c r="O112" i="3"/>
  <c r="F26" i="10" s="1"/>
  <c r="O113" i="3"/>
  <c r="F27" i="10" s="1"/>
  <c r="O114" i="3"/>
  <c r="F28" i="10" s="1"/>
  <c r="O115" i="3"/>
  <c r="F29" i="10" s="1"/>
  <c r="O108" i="3"/>
  <c r="F22" i="10" s="1"/>
  <c r="P50" i="9" l="1"/>
  <c r="O49" i="9"/>
  <c r="D64" i="10" s="1"/>
  <c r="O46" i="9" l="1"/>
  <c r="D61" i="10" s="1"/>
  <c r="O44" i="9"/>
  <c r="D59" i="10" s="1"/>
  <c r="O43" i="9"/>
  <c r="D58" i="10" s="1"/>
  <c r="O42" i="9"/>
  <c r="D57" i="10" s="1"/>
  <c r="N31" i="2" l="1"/>
  <c r="M31" i="2"/>
  <c r="L31" i="2"/>
  <c r="K31" i="2"/>
  <c r="J31" i="2"/>
  <c r="I31" i="2"/>
  <c r="H31" i="2"/>
  <c r="G31" i="2"/>
  <c r="F31" i="2"/>
  <c r="E31" i="2"/>
  <c r="D31" i="2"/>
  <c r="C31" i="2"/>
  <c r="O30" i="2"/>
  <c r="O29" i="2"/>
  <c r="O28" i="2"/>
  <c r="O27" i="2"/>
  <c r="O26" i="2"/>
  <c r="O25" i="2"/>
  <c r="O24" i="2"/>
  <c r="O23" i="2"/>
  <c r="O31" i="2" l="1"/>
  <c r="O75" i="8" l="1"/>
  <c r="E122" i="10" s="1"/>
  <c r="O76" i="8"/>
  <c r="E123" i="10" s="1"/>
  <c r="O77" i="8"/>
  <c r="E124" i="10" s="1"/>
  <c r="O78" i="8"/>
  <c r="E125" i="10" s="1"/>
  <c r="O79" i="8"/>
  <c r="E126" i="10" s="1"/>
  <c r="O80" i="8"/>
  <c r="E127" i="10" s="1"/>
  <c r="O81" i="8"/>
  <c r="E128" i="10" s="1"/>
  <c r="O82" i="8"/>
  <c r="E129" i="10" s="1"/>
  <c r="O75" i="5"/>
  <c r="E71" i="10" s="1"/>
  <c r="O76" i="5"/>
  <c r="E72" i="10" s="1"/>
  <c r="O77" i="5"/>
  <c r="E73" i="10" s="1"/>
  <c r="O78" i="5"/>
  <c r="E74" i="10" s="1"/>
  <c r="O79" i="5"/>
  <c r="E75" i="10" s="1"/>
  <c r="O80" i="5"/>
  <c r="E76" i="10" s="1"/>
  <c r="O81" i="5"/>
  <c r="E77" i="10" s="1"/>
  <c r="O82" i="5"/>
  <c r="E78" i="10" s="1"/>
  <c r="E130" i="10" l="1"/>
  <c r="E79" i="10"/>
  <c r="D17" i="5" l="1"/>
  <c r="N83" i="9" l="1"/>
  <c r="M83" i="9"/>
  <c r="L83" i="9"/>
  <c r="K83" i="9"/>
  <c r="J83" i="9"/>
  <c r="I83" i="9"/>
  <c r="H83" i="9"/>
  <c r="G83" i="9"/>
  <c r="F83" i="9"/>
  <c r="E83" i="9"/>
  <c r="D83" i="9"/>
  <c r="D116" i="9" s="1"/>
  <c r="C83" i="9"/>
  <c r="O82" i="9"/>
  <c r="E64" i="10" s="1"/>
  <c r="O81" i="9"/>
  <c r="E63" i="10" s="1"/>
  <c r="O80" i="9"/>
  <c r="E62" i="10" s="1"/>
  <c r="O79" i="9"/>
  <c r="E61" i="10" s="1"/>
  <c r="O78" i="9"/>
  <c r="E60" i="10" s="1"/>
  <c r="O77" i="9"/>
  <c r="E59" i="10" s="1"/>
  <c r="O76" i="9"/>
  <c r="O75" i="9"/>
  <c r="E57" i="10" s="1"/>
  <c r="O48" i="9"/>
  <c r="D63" i="10" s="1"/>
  <c r="O47" i="9"/>
  <c r="D62" i="10" s="1"/>
  <c r="O45" i="9"/>
  <c r="D60" i="10" s="1"/>
  <c r="N17" i="9"/>
  <c r="M17" i="9"/>
  <c r="L17" i="9"/>
  <c r="K17" i="9"/>
  <c r="J17" i="9"/>
  <c r="I17" i="9"/>
  <c r="H17" i="9"/>
  <c r="G17" i="9"/>
  <c r="F17" i="9"/>
  <c r="E17" i="9"/>
  <c r="D17" i="9"/>
  <c r="C17" i="9"/>
  <c r="O16" i="9"/>
  <c r="C64" i="10" s="1"/>
  <c r="O15" i="9"/>
  <c r="C63" i="10" s="1"/>
  <c r="O14" i="9"/>
  <c r="C62" i="10" s="1"/>
  <c r="O13" i="9"/>
  <c r="C61" i="10" s="1"/>
  <c r="O12" i="9"/>
  <c r="C60" i="10" s="1"/>
  <c r="O11" i="9"/>
  <c r="C59" i="10" s="1"/>
  <c r="O10" i="9"/>
  <c r="C58" i="10" s="1"/>
  <c r="O9" i="9"/>
  <c r="C57" i="10" s="1"/>
  <c r="N83" i="8"/>
  <c r="M83" i="8"/>
  <c r="L83" i="8"/>
  <c r="K83" i="8"/>
  <c r="J83" i="8"/>
  <c r="I83" i="8"/>
  <c r="H83" i="8"/>
  <c r="G83" i="8"/>
  <c r="F83" i="8"/>
  <c r="E83" i="8"/>
  <c r="D83" i="8"/>
  <c r="C83" i="8"/>
  <c r="N50" i="8"/>
  <c r="M50" i="8"/>
  <c r="L50" i="8"/>
  <c r="K50" i="8"/>
  <c r="J50" i="8"/>
  <c r="I50" i="8"/>
  <c r="H50" i="8"/>
  <c r="G50" i="8"/>
  <c r="F50" i="8"/>
  <c r="E50" i="8"/>
  <c r="D50" i="8"/>
  <c r="C50" i="8"/>
  <c r="O49" i="8"/>
  <c r="D129" i="10" s="1"/>
  <c r="O48" i="8"/>
  <c r="D128" i="10" s="1"/>
  <c r="O47" i="8"/>
  <c r="D127" i="10" s="1"/>
  <c r="O46" i="8"/>
  <c r="D126" i="10" s="1"/>
  <c r="O45" i="8"/>
  <c r="D125" i="10" s="1"/>
  <c r="O44" i="8"/>
  <c r="D124" i="10" s="1"/>
  <c r="O43" i="8"/>
  <c r="D123" i="10" s="1"/>
  <c r="O42" i="8"/>
  <c r="O108" i="8" s="1"/>
  <c r="N17" i="8"/>
  <c r="M17" i="8"/>
  <c r="L17" i="8"/>
  <c r="K17" i="8"/>
  <c r="J17" i="8"/>
  <c r="I17" i="8"/>
  <c r="H17" i="8"/>
  <c r="G17" i="8"/>
  <c r="F17" i="8"/>
  <c r="E17" i="8"/>
  <c r="D17" i="8"/>
  <c r="C17" i="8"/>
  <c r="O16" i="8"/>
  <c r="C129" i="10" s="1"/>
  <c r="O15" i="8"/>
  <c r="C128" i="10" s="1"/>
  <c r="O14" i="8"/>
  <c r="C127" i="10" s="1"/>
  <c r="O13" i="8"/>
  <c r="C126" i="10" s="1"/>
  <c r="O12" i="8"/>
  <c r="C125" i="10" s="1"/>
  <c r="O11" i="8"/>
  <c r="C124" i="10" s="1"/>
  <c r="O10" i="8"/>
  <c r="C123" i="10" s="1"/>
  <c r="O9" i="8"/>
  <c r="C122" i="10" s="1"/>
  <c r="N83" i="7"/>
  <c r="M83" i="7"/>
  <c r="L83" i="7"/>
  <c r="K83" i="7"/>
  <c r="J83" i="7"/>
  <c r="I83" i="7"/>
  <c r="H83" i="7"/>
  <c r="G83" i="7"/>
  <c r="F83" i="7"/>
  <c r="E83" i="7"/>
  <c r="D83" i="7"/>
  <c r="C83" i="7"/>
  <c r="O82" i="7"/>
  <c r="E115" i="10" s="1"/>
  <c r="O81" i="7"/>
  <c r="E114" i="10" s="1"/>
  <c r="O80" i="7"/>
  <c r="E113" i="10" s="1"/>
  <c r="O79" i="7"/>
  <c r="E112" i="10" s="1"/>
  <c r="O78" i="7"/>
  <c r="E111" i="10" s="1"/>
  <c r="O77" i="7"/>
  <c r="E110" i="10" s="1"/>
  <c r="O76" i="7"/>
  <c r="E109" i="10" s="1"/>
  <c r="O75" i="7"/>
  <c r="E108" i="10" s="1"/>
  <c r="N50" i="7"/>
  <c r="M50" i="7"/>
  <c r="L50" i="7"/>
  <c r="K50" i="7"/>
  <c r="J50" i="7"/>
  <c r="I50" i="7"/>
  <c r="H50" i="7"/>
  <c r="G50" i="7"/>
  <c r="F50" i="7"/>
  <c r="E50" i="7"/>
  <c r="D50" i="7"/>
  <c r="C50" i="7"/>
  <c r="O49" i="7"/>
  <c r="D115" i="10" s="1"/>
  <c r="O48" i="7"/>
  <c r="D114" i="10" s="1"/>
  <c r="O47" i="7"/>
  <c r="D113" i="10" s="1"/>
  <c r="O46" i="7"/>
  <c r="D112" i="10" s="1"/>
  <c r="O45" i="7"/>
  <c r="D111" i="10" s="1"/>
  <c r="O44" i="7"/>
  <c r="D110" i="10" s="1"/>
  <c r="O43" i="7"/>
  <c r="D109" i="10" s="1"/>
  <c r="O42" i="7"/>
  <c r="D108" i="10" s="1"/>
  <c r="N17" i="7"/>
  <c r="M17" i="7"/>
  <c r="L17" i="7"/>
  <c r="K17" i="7"/>
  <c r="J17" i="7"/>
  <c r="I17" i="7"/>
  <c r="H17" i="7"/>
  <c r="G17" i="7"/>
  <c r="F17" i="7"/>
  <c r="E17" i="7"/>
  <c r="D17" i="7"/>
  <c r="C17" i="7"/>
  <c r="O16" i="7"/>
  <c r="C115" i="10" s="1"/>
  <c r="O15" i="7"/>
  <c r="C114" i="10" s="1"/>
  <c r="O14" i="7"/>
  <c r="C113" i="10" s="1"/>
  <c r="O13" i="7"/>
  <c r="C112" i="10" s="1"/>
  <c r="O12" i="7"/>
  <c r="C111" i="10" s="1"/>
  <c r="O11" i="7"/>
  <c r="C110" i="10" s="1"/>
  <c r="O10" i="7"/>
  <c r="C109" i="10" s="1"/>
  <c r="O9" i="7"/>
  <c r="C108" i="10" s="1"/>
  <c r="N83" i="6"/>
  <c r="M83" i="6"/>
  <c r="L83" i="6"/>
  <c r="K83" i="6"/>
  <c r="J83" i="6"/>
  <c r="I83" i="6"/>
  <c r="H83" i="6"/>
  <c r="G83" i="6"/>
  <c r="F83" i="6"/>
  <c r="E83" i="6"/>
  <c r="D83" i="6"/>
  <c r="C83" i="6"/>
  <c r="O82" i="6"/>
  <c r="E92" i="10" s="1"/>
  <c r="O81" i="6"/>
  <c r="E91" i="10" s="1"/>
  <c r="O80" i="6"/>
  <c r="E90" i="10" s="1"/>
  <c r="O79" i="6"/>
  <c r="E89" i="10" s="1"/>
  <c r="O78" i="6"/>
  <c r="E88" i="10" s="1"/>
  <c r="O77" i="6"/>
  <c r="E87" i="10" s="1"/>
  <c r="O76" i="6"/>
  <c r="E86" i="10" s="1"/>
  <c r="O75" i="6"/>
  <c r="E85" i="10" s="1"/>
  <c r="N49" i="6"/>
  <c r="M49" i="6"/>
  <c r="L49" i="6"/>
  <c r="K49" i="6"/>
  <c r="J49" i="6"/>
  <c r="I49" i="6"/>
  <c r="H49" i="6"/>
  <c r="G49" i="6"/>
  <c r="F49" i="6"/>
  <c r="E49" i="6"/>
  <c r="D49" i="6"/>
  <c r="C49" i="6"/>
  <c r="O48" i="6"/>
  <c r="D92" i="10" s="1"/>
  <c r="O47" i="6"/>
  <c r="D91" i="10" s="1"/>
  <c r="O46" i="6"/>
  <c r="D90" i="10" s="1"/>
  <c r="O45" i="6"/>
  <c r="D89" i="10" s="1"/>
  <c r="O44" i="6"/>
  <c r="D88" i="10" s="1"/>
  <c r="O43" i="6"/>
  <c r="D87" i="10" s="1"/>
  <c r="O42" i="6"/>
  <c r="D86" i="10" s="1"/>
  <c r="O41" i="6"/>
  <c r="D85" i="10" s="1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C92" i="10" s="1"/>
  <c r="O15" i="6"/>
  <c r="C91" i="10" s="1"/>
  <c r="O14" i="6"/>
  <c r="C90" i="10" s="1"/>
  <c r="O13" i="6"/>
  <c r="C89" i="10" s="1"/>
  <c r="O12" i="6"/>
  <c r="C88" i="10" s="1"/>
  <c r="O11" i="6"/>
  <c r="C87" i="10" s="1"/>
  <c r="O10" i="6"/>
  <c r="C86" i="10" s="1"/>
  <c r="O9" i="6"/>
  <c r="C85" i="10" s="1"/>
  <c r="N83" i="5"/>
  <c r="M83" i="5"/>
  <c r="L83" i="5"/>
  <c r="K83" i="5"/>
  <c r="J83" i="5"/>
  <c r="I83" i="5"/>
  <c r="G83" i="5"/>
  <c r="F83" i="5"/>
  <c r="E83" i="5"/>
  <c r="D83" i="5"/>
  <c r="C83" i="5"/>
  <c r="N50" i="5"/>
  <c r="M50" i="5"/>
  <c r="L50" i="5"/>
  <c r="K50" i="5"/>
  <c r="J50" i="5"/>
  <c r="I50" i="5"/>
  <c r="H50" i="5"/>
  <c r="G50" i="5"/>
  <c r="F50" i="5"/>
  <c r="E50" i="5"/>
  <c r="D50" i="5"/>
  <c r="C50" i="5"/>
  <c r="O49" i="5"/>
  <c r="D78" i="10" s="1"/>
  <c r="O48" i="5"/>
  <c r="D77" i="10" s="1"/>
  <c r="O47" i="5"/>
  <c r="D76" i="10" s="1"/>
  <c r="O46" i="5"/>
  <c r="D75" i="10" s="1"/>
  <c r="O45" i="5"/>
  <c r="D74" i="10" s="1"/>
  <c r="O44" i="5"/>
  <c r="D73" i="10" s="1"/>
  <c r="O43" i="5"/>
  <c r="D72" i="10" s="1"/>
  <c r="O42" i="5"/>
  <c r="D71" i="10" s="1"/>
  <c r="N17" i="5"/>
  <c r="M17" i="5"/>
  <c r="L17" i="5"/>
  <c r="K17" i="5"/>
  <c r="J17" i="5"/>
  <c r="I17" i="5"/>
  <c r="H17" i="5"/>
  <c r="G17" i="5"/>
  <c r="F17" i="5"/>
  <c r="E17" i="5"/>
  <c r="C17" i="5"/>
  <c r="O16" i="5"/>
  <c r="C78" i="10" s="1"/>
  <c r="O15" i="5"/>
  <c r="C77" i="10" s="1"/>
  <c r="O14" i="5"/>
  <c r="C76" i="10" s="1"/>
  <c r="O13" i="5"/>
  <c r="C75" i="10" s="1"/>
  <c r="O12" i="5"/>
  <c r="C74" i="10" s="1"/>
  <c r="O11" i="5"/>
  <c r="C73" i="10" s="1"/>
  <c r="O10" i="5"/>
  <c r="C72" i="10" s="1"/>
  <c r="O9" i="5"/>
  <c r="C71" i="10" s="1"/>
  <c r="N83" i="4"/>
  <c r="M83" i="4"/>
  <c r="L83" i="4"/>
  <c r="K83" i="4"/>
  <c r="J83" i="4"/>
  <c r="I83" i="4"/>
  <c r="H83" i="4"/>
  <c r="G83" i="4"/>
  <c r="F83" i="4"/>
  <c r="E83" i="4"/>
  <c r="D83" i="4"/>
  <c r="C83" i="4"/>
  <c r="O82" i="4"/>
  <c r="E43" i="10" s="1"/>
  <c r="O81" i="4"/>
  <c r="E42" i="10" s="1"/>
  <c r="O80" i="4"/>
  <c r="E41" i="10" s="1"/>
  <c r="O79" i="4"/>
  <c r="E40" i="10" s="1"/>
  <c r="O78" i="4"/>
  <c r="E39" i="10" s="1"/>
  <c r="O77" i="4"/>
  <c r="E38" i="10" s="1"/>
  <c r="O76" i="4"/>
  <c r="E37" i="10" s="1"/>
  <c r="O75" i="4"/>
  <c r="E36" i="10" s="1"/>
  <c r="O48" i="4"/>
  <c r="O46" i="4"/>
  <c r="O44" i="4"/>
  <c r="O43" i="4"/>
  <c r="N17" i="4"/>
  <c r="M17" i="4"/>
  <c r="L17" i="4"/>
  <c r="K17" i="4"/>
  <c r="J17" i="4"/>
  <c r="I17" i="4"/>
  <c r="H17" i="4"/>
  <c r="G17" i="4"/>
  <c r="F17" i="4"/>
  <c r="E17" i="4"/>
  <c r="D17" i="4"/>
  <c r="C17" i="4"/>
  <c r="O16" i="4"/>
  <c r="C43" i="10" s="1"/>
  <c r="O15" i="4"/>
  <c r="C42" i="10" s="1"/>
  <c r="O14" i="4"/>
  <c r="C41" i="10" s="1"/>
  <c r="O13" i="4"/>
  <c r="C40" i="10" s="1"/>
  <c r="O12" i="4"/>
  <c r="C39" i="10" s="1"/>
  <c r="O11" i="4"/>
  <c r="C38" i="10" s="1"/>
  <c r="O10" i="4"/>
  <c r="C37" i="10" s="1"/>
  <c r="O9" i="4"/>
  <c r="C36" i="10" s="1"/>
  <c r="N116" i="3"/>
  <c r="M116" i="3"/>
  <c r="L116" i="3"/>
  <c r="K116" i="3"/>
  <c r="J116" i="3"/>
  <c r="I116" i="3"/>
  <c r="H116" i="3"/>
  <c r="G116" i="3"/>
  <c r="F116" i="3"/>
  <c r="E116" i="3"/>
  <c r="D116" i="3"/>
  <c r="C116" i="3"/>
  <c r="N83" i="3"/>
  <c r="M83" i="3"/>
  <c r="L83" i="3"/>
  <c r="K83" i="3"/>
  <c r="J83" i="3"/>
  <c r="I83" i="3"/>
  <c r="H83" i="3"/>
  <c r="G83" i="3"/>
  <c r="F83" i="3"/>
  <c r="E83" i="3"/>
  <c r="D83" i="3"/>
  <c r="C83" i="3"/>
  <c r="O82" i="3"/>
  <c r="E29" i="10" s="1"/>
  <c r="O81" i="3"/>
  <c r="E28" i="10" s="1"/>
  <c r="O80" i="3"/>
  <c r="E27" i="10" s="1"/>
  <c r="O79" i="3"/>
  <c r="E26" i="10" s="1"/>
  <c r="O78" i="3"/>
  <c r="E25" i="10" s="1"/>
  <c r="O77" i="3"/>
  <c r="E24" i="10" s="1"/>
  <c r="O76" i="3"/>
  <c r="E23" i="10" s="1"/>
  <c r="O75" i="3"/>
  <c r="E22" i="10" s="1"/>
  <c r="N50" i="3"/>
  <c r="M50" i="3"/>
  <c r="L50" i="3"/>
  <c r="K50" i="3"/>
  <c r="J50" i="3"/>
  <c r="I50" i="3"/>
  <c r="H50" i="3"/>
  <c r="G50" i="3"/>
  <c r="E50" i="3"/>
  <c r="D50" i="3"/>
  <c r="C50" i="3"/>
  <c r="O49" i="3"/>
  <c r="D29" i="10" s="1"/>
  <c r="O48" i="3"/>
  <c r="D28" i="10" s="1"/>
  <c r="O47" i="3"/>
  <c r="D27" i="10" s="1"/>
  <c r="O46" i="3"/>
  <c r="D26" i="10" s="1"/>
  <c r="O45" i="3"/>
  <c r="D25" i="10" s="1"/>
  <c r="O44" i="3"/>
  <c r="D24" i="10" s="1"/>
  <c r="O43" i="3"/>
  <c r="D23" i="10" s="1"/>
  <c r="O42" i="3"/>
  <c r="D22" i="10" s="1"/>
  <c r="N17" i="3"/>
  <c r="M17" i="3"/>
  <c r="L17" i="3"/>
  <c r="K17" i="3"/>
  <c r="J17" i="3"/>
  <c r="I17" i="3"/>
  <c r="H17" i="3"/>
  <c r="G17" i="3"/>
  <c r="F17" i="3"/>
  <c r="E17" i="3"/>
  <c r="D17" i="3"/>
  <c r="C17" i="3"/>
  <c r="O16" i="3"/>
  <c r="C29" i="10" s="1"/>
  <c r="O15" i="3"/>
  <c r="C28" i="10" s="1"/>
  <c r="O14" i="3"/>
  <c r="C27" i="10" s="1"/>
  <c r="O13" i="3"/>
  <c r="C26" i="10" s="1"/>
  <c r="O12" i="3"/>
  <c r="C25" i="10" s="1"/>
  <c r="O11" i="3"/>
  <c r="C24" i="10" s="1"/>
  <c r="O10" i="3"/>
  <c r="C23" i="10" s="1"/>
  <c r="O9" i="3"/>
  <c r="C22" i="10" s="1"/>
  <c r="N15" i="2"/>
  <c r="M15" i="2"/>
  <c r="L15" i="2"/>
  <c r="K15" i="2"/>
  <c r="J15" i="2"/>
  <c r="I15" i="2"/>
  <c r="H15" i="2"/>
  <c r="G15" i="2"/>
  <c r="F15" i="2"/>
  <c r="E15" i="2"/>
  <c r="D15" i="2"/>
  <c r="C15" i="2"/>
  <c r="O14" i="2"/>
  <c r="O13" i="2"/>
  <c r="O12" i="2"/>
  <c r="O11" i="2"/>
  <c r="O10" i="2"/>
  <c r="O9" i="2"/>
  <c r="O8" i="2"/>
  <c r="O7" i="2"/>
  <c r="N83" i="1"/>
  <c r="M83" i="1"/>
  <c r="L83" i="1"/>
  <c r="K83" i="1"/>
  <c r="J83" i="1"/>
  <c r="I83" i="1"/>
  <c r="H83" i="1"/>
  <c r="G83" i="1"/>
  <c r="F83" i="1"/>
  <c r="E83" i="1"/>
  <c r="D83" i="1"/>
  <c r="C83" i="1"/>
  <c r="O82" i="1"/>
  <c r="E15" i="10" s="1"/>
  <c r="O81" i="1"/>
  <c r="E14" i="10" s="1"/>
  <c r="O80" i="1"/>
  <c r="E13" i="10" s="1"/>
  <c r="O79" i="1"/>
  <c r="E12" i="10" s="1"/>
  <c r="O78" i="1"/>
  <c r="E11" i="10" s="1"/>
  <c r="O77" i="1"/>
  <c r="E10" i="10" s="1"/>
  <c r="O76" i="1"/>
  <c r="E8" i="10"/>
  <c r="N50" i="1"/>
  <c r="M50" i="1"/>
  <c r="L50" i="1"/>
  <c r="K50" i="1"/>
  <c r="J50" i="1"/>
  <c r="I50" i="1"/>
  <c r="H50" i="1"/>
  <c r="G50" i="1"/>
  <c r="F50" i="1"/>
  <c r="E50" i="1"/>
  <c r="D50" i="1"/>
  <c r="D116" i="1" s="1"/>
  <c r="C50" i="1"/>
  <c r="O49" i="1"/>
  <c r="D15" i="10" s="1"/>
  <c r="O48" i="1"/>
  <c r="D14" i="10" s="1"/>
  <c r="O47" i="1"/>
  <c r="D13" i="10" s="1"/>
  <c r="O46" i="1"/>
  <c r="D12" i="10" s="1"/>
  <c r="O45" i="1"/>
  <c r="D11" i="10" s="1"/>
  <c r="O44" i="1"/>
  <c r="D10" i="10" s="1"/>
  <c r="O43" i="1"/>
  <c r="D9" i="10" s="1"/>
  <c r="O42" i="1"/>
  <c r="D8" i="10" s="1"/>
  <c r="N17" i="1"/>
  <c r="M17" i="1"/>
  <c r="L17" i="1"/>
  <c r="K17" i="1"/>
  <c r="J17" i="1"/>
  <c r="I17" i="1"/>
  <c r="H17" i="1"/>
  <c r="G17" i="1"/>
  <c r="F17" i="1"/>
  <c r="E17" i="1"/>
  <c r="D17" i="1"/>
  <c r="C17" i="1"/>
  <c r="O16" i="1"/>
  <c r="C15" i="10" s="1"/>
  <c r="O15" i="1"/>
  <c r="C14" i="10" s="1"/>
  <c r="O14" i="1"/>
  <c r="C13" i="10" s="1"/>
  <c r="O13" i="1"/>
  <c r="C12" i="10" s="1"/>
  <c r="O11" i="1"/>
  <c r="C10" i="10" s="1"/>
  <c r="O10" i="1"/>
  <c r="C9" i="10" s="1"/>
  <c r="O9" i="1"/>
  <c r="C8" i="10" s="1"/>
  <c r="C116" i="1" l="1"/>
  <c r="M116" i="1"/>
  <c r="G116" i="5"/>
  <c r="L116" i="5"/>
  <c r="N116" i="5"/>
  <c r="L111" i="6"/>
  <c r="N111" i="6"/>
  <c r="L116" i="1"/>
  <c r="N116" i="1"/>
  <c r="M116" i="5"/>
  <c r="M111" i="6"/>
  <c r="E116" i="7"/>
  <c r="L56" i="1"/>
  <c r="J52" i="1"/>
  <c r="E9" i="10"/>
  <c r="O83" i="1"/>
  <c r="J111" i="6"/>
  <c r="I111" i="6"/>
  <c r="H111" i="6"/>
  <c r="G111" i="6"/>
  <c r="G116" i="1"/>
  <c r="Q17" i="8"/>
  <c r="F111" i="6"/>
  <c r="Q83" i="6"/>
  <c r="E116" i="1"/>
  <c r="J19" i="1"/>
  <c r="O109" i="9"/>
  <c r="F58" i="10" s="1"/>
  <c r="E58" i="10"/>
  <c r="E65" i="10" s="1"/>
  <c r="E30" i="10"/>
  <c r="E93" i="10"/>
  <c r="C44" i="10"/>
  <c r="C130" i="10"/>
  <c r="F122" i="10"/>
  <c r="D122" i="10"/>
  <c r="D130" i="10" s="1"/>
  <c r="F130" i="10" s="1"/>
  <c r="Q50" i="8"/>
  <c r="Q83" i="8"/>
  <c r="E116" i="10"/>
  <c r="Q83" i="7"/>
  <c r="D116" i="10"/>
  <c r="Q50" i="7"/>
  <c r="C116" i="10"/>
  <c r="Q17" i="7"/>
  <c r="D93" i="10"/>
  <c r="Q49" i="6"/>
  <c r="C93" i="10"/>
  <c r="Q17" i="6"/>
  <c r="Q83" i="5"/>
  <c r="Q50" i="5"/>
  <c r="D79" i="10"/>
  <c r="F79" i="10" s="1"/>
  <c r="J19" i="5"/>
  <c r="C79" i="10"/>
  <c r="Q17" i="5"/>
  <c r="D65" i="10"/>
  <c r="C65" i="10"/>
  <c r="E44" i="10"/>
  <c r="D30" i="10"/>
  <c r="C30" i="10"/>
  <c r="E16" i="10"/>
  <c r="D16" i="10"/>
  <c r="K19" i="1"/>
  <c r="K20" i="1"/>
  <c r="C16" i="10"/>
  <c r="N19" i="1"/>
  <c r="Q17" i="1"/>
  <c r="O110" i="3"/>
  <c r="F116" i="5"/>
  <c r="O106" i="6"/>
  <c r="F88" i="10" s="1"/>
  <c r="F38" i="10"/>
  <c r="F42" i="10"/>
  <c r="H116" i="1"/>
  <c r="O17" i="1"/>
  <c r="I116" i="5"/>
  <c r="F40" i="10"/>
  <c r="K116" i="5"/>
  <c r="K111" i="6"/>
  <c r="J116" i="8"/>
  <c r="H116" i="5"/>
  <c r="L116" i="7"/>
  <c r="F41" i="10"/>
  <c r="F39" i="10"/>
  <c r="O115" i="7"/>
  <c r="F115" i="10" s="1"/>
  <c r="O112" i="7"/>
  <c r="F112" i="10" s="1"/>
  <c r="J116" i="1"/>
  <c r="O111" i="7"/>
  <c r="F111" i="10" s="1"/>
  <c r="O109" i="1"/>
  <c r="F9" i="10" s="1"/>
  <c r="O83" i="3"/>
  <c r="O113" i="1"/>
  <c r="F13" i="10" s="1"/>
  <c r="F43" i="10"/>
  <c r="O50" i="8"/>
  <c r="O17" i="6"/>
  <c r="O83" i="6"/>
  <c r="O49" i="6"/>
  <c r="O107" i="6"/>
  <c r="F89" i="10" s="1"/>
  <c r="O103" i="6"/>
  <c r="F85" i="10" s="1"/>
  <c r="O108" i="6"/>
  <c r="F90" i="10" s="1"/>
  <c r="O15" i="2"/>
  <c r="O115" i="1"/>
  <c r="F15" i="10" s="1"/>
  <c r="O111" i="1"/>
  <c r="F11" i="10" s="1"/>
  <c r="O50" i="9"/>
  <c r="O112" i="9"/>
  <c r="F61" i="10" s="1"/>
  <c r="F59" i="10"/>
  <c r="O115" i="9"/>
  <c r="F64" i="10" s="1"/>
  <c r="O17" i="9"/>
  <c r="O110" i="8"/>
  <c r="F124" i="10" s="1"/>
  <c r="O111" i="8"/>
  <c r="F125" i="10" s="1"/>
  <c r="O115" i="8"/>
  <c r="F129" i="10" s="1"/>
  <c r="O112" i="8"/>
  <c r="F126" i="10" s="1"/>
  <c r="O17" i="8"/>
  <c r="F114" i="10"/>
  <c r="O50" i="7"/>
  <c r="O108" i="7"/>
  <c r="F108" i="10" s="1"/>
  <c r="O17" i="7"/>
  <c r="O50" i="5"/>
  <c r="O108" i="5"/>
  <c r="F71" i="10" s="1"/>
  <c r="O112" i="5"/>
  <c r="F75" i="10" s="1"/>
  <c r="O109" i="5"/>
  <c r="F72" i="10" s="1"/>
  <c r="O113" i="5"/>
  <c r="F76" i="10" s="1"/>
  <c r="D116" i="5"/>
  <c r="O110" i="5"/>
  <c r="F73" i="10" s="1"/>
  <c r="O114" i="5"/>
  <c r="F77" i="10" s="1"/>
  <c r="E116" i="5"/>
  <c r="O111" i="5"/>
  <c r="F74" i="10" s="1"/>
  <c r="O115" i="5"/>
  <c r="F78" i="10" s="1"/>
  <c r="O17" i="5"/>
  <c r="F36" i="10"/>
  <c r="F37" i="10"/>
  <c r="O17" i="4"/>
  <c r="O50" i="3"/>
  <c r="O17" i="3"/>
  <c r="O50" i="1"/>
  <c r="O110" i="1"/>
  <c r="F10" i="10" s="1"/>
  <c r="O114" i="1"/>
  <c r="F14" i="10" s="1"/>
  <c r="I116" i="1"/>
  <c r="F116" i="1"/>
  <c r="O108" i="1"/>
  <c r="F8" i="10" s="1"/>
  <c r="O112" i="1"/>
  <c r="F12" i="10" s="1"/>
  <c r="K116" i="1"/>
  <c r="O83" i="9"/>
  <c r="O83" i="8"/>
  <c r="O83" i="7"/>
  <c r="O83" i="5"/>
  <c r="R83" i="5" s="1"/>
  <c r="O83" i="4"/>
  <c r="F93" i="10" l="1"/>
  <c r="F30" i="10"/>
  <c r="F116" i="10"/>
  <c r="O116" i="3"/>
  <c r="F24" i="10"/>
  <c r="F16" i="10"/>
  <c r="R85" i="5"/>
  <c r="O116" i="9"/>
  <c r="F65" i="10" s="1"/>
  <c r="O116" i="8"/>
  <c r="O111" i="6"/>
  <c r="F44" i="10"/>
  <c r="O116" i="1"/>
  <c r="O116" i="7"/>
</calcChain>
</file>

<file path=xl/sharedStrings.xml><?xml version="1.0" encoding="utf-8"?>
<sst xmlns="http://schemas.openxmlformats.org/spreadsheetml/2006/main" count="4258" uniqueCount="181">
  <si>
    <t>DATA LUAS TANAM PADI (SAWAH) PER BULAN</t>
  </si>
  <si>
    <t>(Ha)</t>
  </si>
  <si>
    <t>No</t>
  </si>
  <si>
    <t>Kecamatan</t>
  </si>
  <si>
    <t>Bulan</t>
  </si>
  <si>
    <t>Jumlah</t>
  </si>
  <si>
    <t>Jan</t>
  </si>
  <si>
    <t>Feb</t>
  </si>
  <si>
    <t>Maret</t>
  </si>
  <si>
    <t>Apr</t>
  </si>
  <si>
    <t>Mei</t>
  </si>
  <si>
    <t>Juni</t>
  </si>
  <si>
    <t>Juli</t>
  </si>
  <si>
    <t>Agst</t>
  </si>
  <si>
    <t>Sept</t>
  </si>
  <si>
    <t>Okt</t>
  </si>
  <si>
    <t>Nov</t>
  </si>
  <si>
    <t>Des</t>
  </si>
  <si>
    <t>CIWANDAN</t>
  </si>
  <si>
    <t>CITANGKIL</t>
  </si>
  <si>
    <t>PULOMERAK</t>
  </si>
  <si>
    <t>PURWAKARTA</t>
  </si>
  <si>
    <t>GROGOL</t>
  </si>
  <si>
    <t>CILEGON</t>
  </si>
  <si>
    <t>JOMBANG</t>
  </si>
  <si>
    <t>CIBEBER</t>
  </si>
  <si>
    <t>JUMLAH</t>
  </si>
  <si>
    <t>DATA LUAS PANEN PADI (SAWAH) PER BULAN</t>
  </si>
  <si>
    <t>DATA PRODUKSI PADI (SAWAH) PER BULAN</t>
  </si>
  <si>
    <t>(Ton)</t>
  </si>
  <si>
    <t>DATA PRODUKTIVITAS PADI (SAWAH) PER BULAN</t>
  </si>
  <si>
    <t>(Ku/Ha)</t>
  </si>
  <si>
    <t>DATA LUAS PUSO PADI (SAWAH) PER BULAN</t>
  </si>
  <si>
    <t>DATA LUAS TANAM PADI (DARAT) PER BULAN</t>
  </si>
  <si>
    <t>DATA LUAS PANEN PADI (DARAT) PER BULAN</t>
  </si>
  <si>
    <t>DATA PRODUKSI PADI (DARAT) PER BULAN</t>
  </si>
  <si>
    <t>DATA PRODUKTIVITAS PADI (DARAT) PER BULAN</t>
  </si>
  <si>
    <t>DATA LUAS TANAM JAGUNG PER BULAN</t>
  </si>
  <si>
    <t>DATA LUAS PANEN JAGUNG PER BULAN</t>
  </si>
  <si>
    <t>DATA PRODUKSI JAGUNG PER BULAN</t>
  </si>
  <si>
    <t>DATA PRODUKTIVITAS JAGUNG PER BULAN</t>
  </si>
  <si>
    <t>DATA LUAS TANAM KACANG TANAH PER BULAN</t>
  </si>
  <si>
    <t>DATA LUAS PANEN KACANG TANAH PER BULAN</t>
  </si>
  <si>
    <t>DATA PRODUKSI KACANG TANAH PER BULAN</t>
  </si>
  <si>
    <t>DATA PRODUKTIVITAS KACANG TANAH PER BULAN</t>
  </si>
  <si>
    <t>DATA LUAS TANAM UBI KAYU PER BULAN</t>
  </si>
  <si>
    <t>DATA LUAS PANEN UBI KAYU PER BULAN</t>
  </si>
  <si>
    <t>DATA PRODUKSI UBI KAYU PER BULAN</t>
  </si>
  <si>
    <t>DATA PRODUKTIVITAS UBI KAYU PER BULAN</t>
  </si>
  <si>
    <t>DATA LUAS TANAM UBI JALAR PER BULAN</t>
  </si>
  <si>
    <t>DATA LUAS PANEN UBI JALAR PER BULAN</t>
  </si>
  <si>
    <t>DATA PRODUKSI UBI JALAR PER BULAN</t>
  </si>
  <si>
    <t>DATA PRODUKTIVITAS UBI JALAR PER BULAN</t>
  </si>
  <si>
    <t>DATA LUAS TANAM KACANG HIJAU PER BULAN</t>
  </si>
  <si>
    <t>DATA LUAS PANEN KACANG HIJAU PER BULAN</t>
  </si>
  <si>
    <t>DATA PRODUKSI KACANG HIJAU PER BULAN</t>
  </si>
  <si>
    <t>DATA PRODUKTIVITAS KACANG HIJAU PER BULAN</t>
  </si>
  <si>
    <t>DATA LUAS TANAM KEDELAI PER BULAN</t>
  </si>
  <si>
    <t>DATA LUAS PANEN KEDELAI PER BULAN</t>
  </si>
  <si>
    <t>DATA PRODUKSI KEDELAI PER BULAN</t>
  </si>
  <si>
    <t>DATA PRODUKTIVITAS KEDELAI PER BULAN</t>
  </si>
  <si>
    <t>Ket : * : Panen Muda</t>
  </si>
  <si>
    <t>PRODUKTIVITAS</t>
  </si>
  <si>
    <t>TANAM</t>
  </si>
  <si>
    <t>PANEN</t>
  </si>
  <si>
    <t>PRODUKSI</t>
  </si>
  <si>
    <t>1. PADI SAWAH</t>
  </si>
  <si>
    <t>2. PADI LADANG</t>
  </si>
  <si>
    <t>3. JAGUNG</t>
  </si>
  <si>
    <t>4. KEDELAI</t>
  </si>
  <si>
    <t>5. KACANG TANAH</t>
  </si>
  <si>
    <t>6. UBI KAYU</t>
  </si>
  <si>
    <t>7. UBI JALAR</t>
  </si>
  <si>
    <t>8. KACANG HIJAU</t>
  </si>
  <si>
    <t>REALISASI TANAM, PANEN, PRODUKSI DAN PRODUKTIVITAS PADI DAN PALAWIJA</t>
  </si>
  <si>
    <t>Ket : * panen muda</t>
  </si>
  <si>
    <t>DATA LUAS PUSO KEDELAI PER BULAN</t>
  </si>
  <si>
    <t>Peb</t>
  </si>
  <si>
    <t>Mar</t>
  </si>
  <si>
    <t>April</t>
  </si>
  <si>
    <t>Agust</t>
  </si>
  <si>
    <t>Sep</t>
  </si>
  <si>
    <t>KOTA CILEGON</t>
  </si>
  <si>
    <t>Catatan : Cibeber panen muda 5 Ha</t>
  </si>
  <si>
    <t>Okt-Mar</t>
  </si>
  <si>
    <t>Apr-Sep</t>
  </si>
  <si>
    <t>JAN-APR</t>
  </si>
  <si>
    <t>MEI-AGST</t>
  </si>
  <si>
    <t>APR-SEP</t>
  </si>
  <si>
    <t>REALISASI TANAM PADI SAWAH OKTOBER 2015 S/D MARET 2016 DAN APRIL S/D SEPTEMBER 2016</t>
  </si>
  <si>
    <t>Kota Cilegon</t>
  </si>
  <si>
    <t>H. ANDI AFFANDI, S.Sos</t>
  </si>
  <si>
    <t>NIP. 19681006 198803 1 001</t>
  </si>
  <si>
    <t>Kepala Dinas Pertanian dan Kelautan</t>
  </si>
  <si>
    <t xml:space="preserve">Kepala Dinas Pertanian dan Kelautan </t>
  </si>
  <si>
    <t>REALISASI TANAM PADI LADANG OKTOBER 2015 S/D MARET 2016 DAN APRIL S/D SEPTEMBER 2016</t>
  </si>
  <si>
    <t>REALISASI TANAM KEDELAI OKTOBER 2015 S/D MARET 2016 DAN APRIL S/D SEPTEMBER 2016</t>
  </si>
  <si>
    <t>REALISASI TANAM JAGUNG OKTOBER 2015 S/D MARET 2016 DAN APRIL S/D SEPTEMBER 2016</t>
  </si>
  <si>
    <t>REALISASI TANAM KACANG TANAH OKTOBER 2015 S/D MARET 2016 DAN APRIL S/D SEPTEMBER 2016</t>
  </si>
  <si>
    <t>REALISASI TANAM UBI KAYU OKTOBER 2015 S/D MARET 2016 DAN APRIL S/D SEPTEMBER 2016</t>
  </si>
  <si>
    <t>REALISASI TANAM UBI JALAR OKTOBER 2015 S/D MARET 2016 DAN APRIL S/D SEPTEMBER 2016</t>
  </si>
  <si>
    <t>REALISASI TANAM KACANG HIJAU OKTOBER 2015 S/D MARET 2016 DAN APRIL S/D SEPTEMBER 2016</t>
  </si>
  <si>
    <t>ok-nop</t>
  </si>
  <si>
    <t>KOTA CILEGON TAHUN 2016</t>
  </si>
  <si>
    <t>KOTA CILEGON 2016</t>
  </si>
  <si>
    <t>Jagung</t>
  </si>
  <si>
    <t>Panen</t>
  </si>
  <si>
    <t>Provitas</t>
  </si>
  <si>
    <t>Produksi</t>
  </si>
  <si>
    <t>Ku/Ha</t>
  </si>
  <si>
    <t>Ton</t>
  </si>
  <si>
    <t>Ha</t>
  </si>
  <si>
    <t>Padi Sawah</t>
  </si>
  <si>
    <t>Padi Ladang</t>
  </si>
  <si>
    <t>2015 S/D 2016</t>
  </si>
  <si>
    <t>Peb*</t>
  </si>
  <si>
    <t>Target</t>
  </si>
  <si>
    <t>Realisasi</t>
  </si>
  <si>
    <t>Ket : * Tanam sampai minggu 2</t>
  </si>
  <si>
    <t>2*</t>
  </si>
  <si>
    <t>5*</t>
  </si>
  <si>
    <t>3*</t>
  </si>
  <si>
    <t>40*</t>
  </si>
  <si>
    <t>REALISASI PANEN PADI SAWAH OKTOBER 2015 S/D MARET 2016 DAN APRIL S/D SEPTEMBER 2016</t>
  </si>
  <si>
    <t>REALISASI PANEN PADI LADANG OKTOBER 2015 S/D MARET 2016 DAN APRIL S/D SEPTEMBER 2016</t>
  </si>
  <si>
    <t>REALISASI PANEN JAGUNG OKTOBER 2015 S/D MARET 2016 DAN APRIL S/D SEPTEMBER 2016</t>
  </si>
  <si>
    <t>REALISASI PANEN KEDELAI OKTOBER 2015 S/D MARET 2016 DAN APRIL S/D SEPTEMBER 2016</t>
  </si>
  <si>
    <t>8*</t>
  </si>
  <si>
    <t>7*</t>
  </si>
  <si>
    <t>REALISASI PANEN KACANG TANAH OKTOBER 2015 S/D MARET 2016 DAN APRIL S/D SEPTEMBER 2016</t>
  </si>
  <si>
    <t>REALISASI PANEN UBI KAYU OKTOBER 2015 S/D MARET 2016 DAN APRIL S/D SEPTEMBER 2016</t>
  </si>
  <si>
    <t>REALISASI PANEN UBI JALAR OKTOBER 2015 S/D MARET 2016 DAN APRIL S/D SEPTEMBER 2016</t>
  </si>
  <si>
    <t>REALISASI PANEN KACANG HIJAU OKTOBER 2015 S/D MARET 2016 DAN APRIL S/D SEPTEMBER 2016</t>
  </si>
  <si>
    <t>Ket : *) data sampai minggu 2</t>
  </si>
  <si>
    <t>1*</t>
  </si>
  <si>
    <t>Juni*)</t>
  </si>
  <si>
    <t>REALISASI PRODUKSI PADI SAWAH OKTOBER 2015 S/D MARET 2016 DAN APRIL S/D SEPTEMBER 2016</t>
  </si>
  <si>
    <t>REALISASI PROVITAS PADI SAWAH OKTOBER 2015 S/D MARET 2016 DAN APRIL S/D SEPTEMBER 2016</t>
  </si>
  <si>
    <t>Juni*</t>
  </si>
  <si>
    <t>Selisih</t>
  </si>
  <si>
    <t xml:space="preserve">REALISASI TANAM PADI SAWAH OKTOBER 2015 S/D MARET 2016 </t>
  </si>
  <si>
    <t>MT. 2015 s/d 2016 Okt-Mar</t>
  </si>
  <si>
    <t>MT. 2016</t>
  </si>
  <si>
    <t>Ket : * realisasi tanam sampai minggu 4</t>
  </si>
  <si>
    <t>Juli*</t>
  </si>
  <si>
    <t>Juli*)</t>
  </si>
  <si>
    <t>Ket : *) data sampai dengan minggu 2</t>
  </si>
  <si>
    <t>TARGET DAN REALISASI TANAM PADI SAWAH OKTOBER 2015 S/D MARET 2016 DAN APRIL S/D SEPTEMBER 2016</t>
  </si>
  <si>
    <t>Ket : * Tanam sampai minggu 3</t>
  </si>
  <si>
    <t>Sep*</t>
  </si>
  <si>
    <t>Ket : *) data sampai minggu 4</t>
  </si>
  <si>
    <t>9*</t>
  </si>
  <si>
    <t>2016 S/D 2017</t>
  </si>
  <si>
    <t>REALISASI TANAM PADI LADANG OKTOBER 2016 S/D MARET 2017 DAN APRIL S/D SEPTEMBER 2017</t>
  </si>
  <si>
    <t>REALISASI TANAM PADI SAWAH OKTOBER 2016 S/D MARET 2017 DAN APRIL S/D SEPTEMBER 2017</t>
  </si>
  <si>
    <t>REALISASI TANAM PADI TOTAL OKTOBER 2016 S/D MARET 2017 DAN APRIL S/D SEPTEMBER 2017</t>
  </si>
  <si>
    <t>Penggunaan Lahan</t>
  </si>
  <si>
    <t>MT. 2016 / 2017 (Ha)</t>
  </si>
  <si>
    <t>Sasaran</t>
  </si>
  <si>
    <t>Januari</t>
  </si>
  <si>
    <t>Oktober</t>
  </si>
  <si>
    <t>Nopember</t>
  </si>
  <si>
    <t>Desember</t>
  </si>
  <si>
    <t>Pebruari</t>
  </si>
  <si>
    <t>(Sawah+ Ladang)</t>
  </si>
  <si>
    <t>Agustus</t>
  </si>
  <si>
    <t>September</t>
  </si>
  <si>
    <t>MT. 2017 (Ha)</t>
  </si>
  <si>
    <t>April-September</t>
  </si>
  <si>
    <t>Oktober-September</t>
  </si>
  <si>
    <t>SASARAN DAN REALISASI PADI (SAWAH + LADANG) MT. 2016/2017 DAN MT. 2017</t>
  </si>
  <si>
    <t>SASARAN DAN REALISASI PADI SAWAH MT. 2016/2017 DAN MT. 2017</t>
  </si>
  <si>
    <t>SASARAN DAN REALISASI PADI LADANG MT. 2016/2017 DAN MT. 2017</t>
  </si>
  <si>
    <t>SASARAN DAN REALISASI JAGUNG MT. 2016/2017 DAN MT. 2017</t>
  </si>
  <si>
    <t>Sawah</t>
  </si>
  <si>
    <t>Ladang</t>
  </si>
  <si>
    <t>Cilegon,                 Desember 2016</t>
  </si>
  <si>
    <t>Kepala Bidang Pertanian</t>
  </si>
  <si>
    <t>Ir. H. Mas Andang E.P., MM</t>
  </si>
  <si>
    <t>Pembina Tk. I</t>
  </si>
  <si>
    <t>NIP. 19640909 199302 1 002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</si>
</sst>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0.0"/>
    <numFmt numFmtId="166" formatCode="_(* #,##0.0_);_(* \(#,##0.0\);_(* &quot;-&quot;_);_(@_)"/>
    <numFmt numFmtId="167" formatCode="_(* #,##0_);_(* \(#,##0\);_(* &quot;-&quot;??_);_(@_)"/>
  </numFmts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4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41" fontId="3" fillId="2" borderId="7" xfId="1" applyFont="1" applyFill="1" applyBorder="1" applyAlignment="1">
      <alignment horizontal="center" vertical="center"/>
    </xf>
    <xf numFmtId="41" fontId="3" fillId="2" borderId="6" xfId="1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41" fontId="4" fillId="2" borderId="7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1" fontId="3" fillId="0" borderId="7" xfId="1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  <xf numFmtId="41" fontId="4" fillId="0" borderId="7" xfId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41" fontId="4" fillId="0" borderId="9" xfId="1" applyFont="1" applyBorder="1" applyAlignment="1">
      <alignment horizontal="center" vertical="center"/>
    </xf>
    <xf numFmtId="41" fontId="4" fillId="0" borderId="12" xfId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41" fontId="3" fillId="0" borderId="6" xfId="1" applyFont="1" applyBorder="1" applyAlignment="1">
      <alignment horizontal="center" vertical="center"/>
    </xf>
    <xf numFmtId="41" fontId="4" fillId="0" borderId="6" xfId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2" fontId="0" fillId="0" borderId="0" xfId="0" applyNumberFormat="1" applyFont="1" applyAlignment="1">
      <alignment horizontal="center"/>
    </xf>
    <xf numFmtId="41" fontId="3" fillId="0" borderId="9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41" fontId="4" fillId="0" borderId="13" xfId="1" applyFont="1" applyBorder="1" applyAlignment="1">
      <alignment horizontal="center" vertical="center"/>
    </xf>
    <xf numFmtId="41" fontId="4" fillId="0" borderId="14" xfId="1" applyFont="1" applyBorder="1" applyAlignment="1">
      <alignment horizontal="center" vertical="center"/>
    </xf>
    <xf numFmtId="164" fontId="4" fillId="0" borderId="13" xfId="1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41" fontId="3" fillId="0" borderId="6" xfId="1" applyFont="1" applyFill="1" applyBorder="1" applyAlignment="1">
      <alignment horizontal="center" vertical="center"/>
    </xf>
    <xf numFmtId="41" fontId="3" fillId="0" borderId="7" xfId="1" applyFont="1" applyFill="1" applyBorder="1" applyAlignment="1">
      <alignment horizontal="center" vertical="center"/>
    </xf>
    <xf numFmtId="41" fontId="7" fillId="0" borderId="7" xfId="1" applyFont="1" applyFill="1" applyBorder="1" applyAlignment="1">
      <alignment horizontal="center" vertical="center"/>
    </xf>
    <xf numFmtId="41" fontId="3" fillId="0" borderId="9" xfId="1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center" vertical="center"/>
    </xf>
    <xf numFmtId="164" fontId="8" fillId="0" borderId="12" xfId="1" applyNumberFormat="1" applyFont="1" applyFill="1" applyBorder="1" applyAlignment="1">
      <alignment horizontal="center" vertical="center"/>
    </xf>
    <xf numFmtId="41" fontId="4" fillId="0" borderId="8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1" fontId="3" fillId="0" borderId="15" xfId="1" applyFont="1" applyBorder="1" applyAlignment="1">
      <alignment horizontal="center" vertical="center"/>
    </xf>
    <xf numFmtId="41" fontId="4" fillId="0" borderId="15" xfId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164" fontId="4" fillId="0" borderId="14" xfId="1" applyNumberFormat="1" applyFont="1" applyBorder="1" applyAlignment="1">
      <alignment horizontal="center" vertical="center"/>
    </xf>
    <xf numFmtId="41" fontId="7" fillId="2" borderId="6" xfId="1" applyFont="1" applyFill="1" applyBorder="1" applyAlignment="1">
      <alignment horizontal="center" vertical="center"/>
    </xf>
    <xf numFmtId="41" fontId="7" fillId="2" borderId="7" xfId="1" applyFont="1" applyFill="1" applyBorder="1" applyAlignment="1">
      <alignment horizontal="center" vertical="center"/>
    </xf>
    <xf numFmtId="41" fontId="7" fillId="0" borderId="7" xfId="1" applyFont="1" applyBorder="1" applyAlignment="1">
      <alignment horizontal="center" vertical="center"/>
    </xf>
    <xf numFmtId="41" fontId="7" fillId="0" borderId="9" xfId="1" applyFont="1" applyBorder="1" applyAlignment="1">
      <alignment horizontal="center" vertical="center"/>
    </xf>
    <xf numFmtId="41" fontId="7" fillId="0" borderId="6" xfId="1" applyFont="1" applyBorder="1" applyAlignment="1">
      <alignment horizontal="center" vertical="center"/>
    </xf>
    <xf numFmtId="164" fontId="7" fillId="0" borderId="6" xfId="1" applyNumberFormat="1" applyFont="1" applyBorder="1" applyAlignment="1">
      <alignment horizontal="center" vertical="center"/>
    </xf>
    <xf numFmtId="164" fontId="7" fillId="2" borderId="6" xfId="1" applyNumberFormat="1" applyFont="1" applyFill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64" fontId="7" fillId="0" borderId="9" xfId="1" applyNumberFormat="1" applyFont="1" applyBorder="1" applyAlignment="1">
      <alignment horizontal="center" vertical="center"/>
    </xf>
    <xf numFmtId="41" fontId="7" fillId="0" borderId="6" xfId="1" applyFont="1" applyFill="1" applyBorder="1" applyAlignment="1">
      <alignment horizontal="center" vertical="center"/>
    </xf>
    <xf numFmtId="41" fontId="7" fillId="0" borderId="6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41" fontId="3" fillId="0" borderId="7" xfId="1" applyNumberFormat="1" applyFont="1" applyBorder="1" applyAlignment="1">
      <alignment horizontal="center" vertical="center"/>
    </xf>
    <xf numFmtId="41" fontId="4" fillId="0" borderId="12" xfId="1" applyNumberFormat="1" applyFont="1" applyBorder="1" applyAlignment="1">
      <alignment horizontal="center" vertical="center"/>
    </xf>
    <xf numFmtId="43" fontId="0" fillId="0" borderId="0" xfId="0" applyNumberFormat="1"/>
    <xf numFmtId="43" fontId="0" fillId="0" borderId="0" xfId="0" applyNumberFormat="1" applyFont="1"/>
    <xf numFmtId="41" fontId="3" fillId="0" borderId="6" xfId="1" applyFont="1" applyBorder="1" applyAlignment="1">
      <alignment horizontal="right" vertical="center"/>
    </xf>
    <xf numFmtId="41" fontId="7" fillId="0" borderId="6" xfId="1" applyFont="1" applyBorder="1" applyAlignment="1">
      <alignment horizontal="right" vertical="center"/>
    </xf>
    <xf numFmtId="0" fontId="9" fillId="0" borderId="0" xfId="0" applyFont="1"/>
    <xf numFmtId="0" fontId="4" fillId="2" borderId="5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1" fontId="0" fillId="0" borderId="3" xfId="1" applyFont="1" applyBorder="1"/>
    <xf numFmtId="41" fontId="0" fillId="0" borderId="7" xfId="1" applyFont="1" applyBorder="1"/>
    <xf numFmtId="41" fontId="0" fillId="0" borderId="9" xfId="1" applyFont="1" applyBorder="1"/>
    <xf numFmtId="41" fontId="9" fillId="0" borderId="28" xfId="1" applyFont="1" applyBorder="1"/>
    <xf numFmtId="164" fontId="0" fillId="0" borderId="30" xfId="1" applyNumberFormat="1" applyFont="1" applyBorder="1"/>
    <xf numFmtId="164" fontId="0" fillId="0" borderId="31" xfId="1" applyNumberFormat="1" applyFont="1" applyBorder="1"/>
    <xf numFmtId="164" fontId="9" fillId="0" borderId="29" xfId="1" applyNumberFormat="1" applyFont="1" applyBorder="1"/>
    <xf numFmtId="41" fontId="0" fillId="0" borderId="3" xfId="1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41" fontId="9" fillId="0" borderId="0" xfId="1" applyFont="1" applyBorder="1"/>
    <xf numFmtId="164" fontId="9" fillId="0" borderId="0" xfId="1" applyNumberFormat="1" applyFont="1" applyBorder="1"/>
    <xf numFmtId="0" fontId="3" fillId="0" borderId="0" xfId="0" applyFont="1" applyBorder="1" applyAlignment="1">
      <alignment horizontal="left" vertical="center"/>
    </xf>
    <xf numFmtId="41" fontId="3" fillId="0" borderId="8" xfId="1" applyFont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164" fontId="0" fillId="0" borderId="0" xfId="0" applyNumberFormat="1" applyFont="1"/>
    <xf numFmtId="41" fontId="0" fillId="0" borderId="0" xfId="0" applyNumberFormat="1" applyFont="1"/>
    <xf numFmtId="0" fontId="4" fillId="0" borderId="0" xfId="0" applyFont="1" applyFill="1" applyBorder="1" applyAlignment="1">
      <alignment horizontal="center" vertical="center"/>
    </xf>
    <xf numFmtId="41" fontId="0" fillId="0" borderId="0" xfId="0" applyNumberFormat="1"/>
    <xf numFmtId="0" fontId="0" fillId="0" borderId="32" xfId="0" applyBorder="1"/>
    <xf numFmtId="41" fontId="7" fillId="0" borderId="9" xfId="1" applyFont="1" applyBorder="1" applyAlignment="1">
      <alignment horizontal="right" vertical="center"/>
    </xf>
    <xf numFmtId="41" fontId="4" fillId="0" borderId="3" xfId="1" applyFont="1" applyFill="1" applyBorder="1" applyAlignment="1">
      <alignment horizontal="center" vertical="center"/>
    </xf>
    <xf numFmtId="41" fontId="0" fillId="0" borderId="0" xfId="1" applyFont="1"/>
    <xf numFmtId="164" fontId="4" fillId="0" borderId="3" xfId="1" applyNumberFormat="1" applyFont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41" fontId="4" fillId="0" borderId="27" xfId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41" fontId="7" fillId="0" borderId="8" xfId="1" applyFont="1" applyBorder="1" applyAlignment="1">
      <alignment horizontal="center" vertical="center"/>
    </xf>
    <xf numFmtId="41" fontId="8" fillId="0" borderId="12" xfId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164" fontId="3" fillId="0" borderId="30" xfId="1" applyNumberFormat="1" applyFont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/>
    </xf>
    <xf numFmtId="41" fontId="4" fillId="0" borderId="43" xfId="1" applyFont="1" applyBorder="1" applyAlignment="1">
      <alignment horizontal="center" vertical="center"/>
    </xf>
    <xf numFmtId="0" fontId="4" fillId="2" borderId="44" xfId="0" applyFont="1" applyFill="1" applyBorder="1" applyAlignment="1">
      <alignment horizontal="center"/>
    </xf>
    <xf numFmtId="41" fontId="4" fillId="0" borderId="46" xfId="1" applyFont="1" applyBorder="1" applyAlignment="1">
      <alignment horizontal="center" vertical="center"/>
    </xf>
    <xf numFmtId="41" fontId="4" fillId="2" borderId="49" xfId="1" applyFont="1" applyFill="1" applyBorder="1" applyAlignment="1">
      <alignment horizontal="center" vertical="center"/>
    </xf>
    <xf numFmtId="41" fontId="4" fillId="2" borderId="45" xfId="1" applyFont="1" applyFill="1" applyBorder="1" applyAlignment="1">
      <alignment horizontal="center" vertical="center"/>
    </xf>
    <xf numFmtId="41" fontId="4" fillId="2" borderId="50" xfId="1" applyFont="1" applyFill="1" applyBorder="1" applyAlignment="1">
      <alignment horizontal="center" vertical="center"/>
    </xf>
    <xf numFmtId="41" fontId="4" fillId="2" borderId="51" xfId="1" applyFont="1" applyFill="1" applyBorder="1" applyAlignment="1">
      <alignment horizontal="center" vertical="center"/>
    </xf>
    <xf numFmtId="41" fontId="4" fillId="2" borderId="52" xfId="1" applyFont="1" applyFill="1" applyBorder="1" applyAlignment="1">
      <alignment horizontal="center" vertical="center"/>
    </xf>
    <xf numFmtId="41" fontId="4" fillId="2" borderId="53" xfId="1" applyFont="1" applyFill="1" applyBorder="1" applyAlignment="1">
      <alignment horizontal="center" vertical="center"/>
    </xf>
    <xf numFmtId="41" fontId="4" fillId="0" borderId="54" xfId="1" applyFont="1" applyBorder="1" applyAlignment="1">
      <alignment horizontal="center" vertical="center"/>
    </xf>
    <xf numFmtId="0" fontId="4" fillId="2" borderId="57" xfId="0" applyFont="1" applyFill="1" applyBorder="1" applyAlignment="1">
      <alignment horizontal="center"/>
    </xf>
    <xf numFmtId="41" fontId="7" fillId="2" borderId="35" xfId="1" applyFont="1" applyFill="1" applyBorder="1" applyAlignment="1">
      <alignment horizontal="center" vertical="center"/>
    </xf>
    <xf numFmtId="41" fontId="8" fillId="0" borderId="58" xfId="1" applyFont="1" applyBorder="1" applyAlignment="1">
      <alignment horizontal="center" vertical="center"/>
    </xf>
    <xf numFmtId="0" fontId="0" fillId="0" borderId="0" xfId="0" applyFont="1" applyAlignment="1"/>
    <xf numFmtId="41" fontId="7" fillId="0" borderId="7" xfId="1" applyFont="1" applyBorder="1" applyAlignment="1">
      <alignment horizontal="right" vertical="center"/>
    </xf>
    <xf numFmtId="41" fontId="7" fillId="2" borderId="13" xfId="1" applyFont="1" applyFill="1" applyBorder="1" applyAlignment="1">
      <alignment horizontal="center" vertical="center"/>
    </xf>
    <xf numFmtId="41" fontId="7" fillId="2" borderId="3" xfId="1" applyFont="1" applyFill="1" applyBorder="1" applyAlignment="1">
      <alignment horizontal="center" vertical="center"/>
    </xf>
    <xf numFmtId="41" fontId="3" fillId="0" borderId="8" xfId="1" applyNumberFormat="1" applyFont="1" applyBorder="1" applyAlignment="1">
      <alignment horizontal="center" vertical="center"/>
    </xf>
    <xf numFmtId="41" fontId="3" fillId="0" borderId="7" xfId="1" applyFont="1" applyBorder="1" applyAlignment="1">
      <alignment horizontal="right" vertical="center"/>
    </xf>
    <xf numFmtId="41" fontId="0" fillId="0" borderId="0" xfId="0" applyNumberFormat="1" applyFont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41" fontId="7" fillId="2" borderId="14" xfId="1" applyFont="1" applyFill="1" applyBorder="1" applyAlignment="1">
      <alignment horizontal="center" vertical="center"/>
    </xf>
    <xf numFmtId="164" fontId="0" fillId="0" borderId="20" xfId="1" applyNumberFormat="1" applyFont="1" applyBorder="1" applyAlignment="1">
      <alignment horizontal="right"/>
    </xf>
    <xf numFmtId="41" fontId="0" fillId="0" borderId="7" xfId="1" applyFont="1" applyBorder="1" applyAlignment="1">
      <alignment horizontal="right"/>
    </xf>
    <xf numFmtId="164" fontId="0" fillId="0" borderId="30" xfId="1" applyNumberFormat="1" applyFont="1" applyBorder="1" applyAlignment="1">
      <alignment horizontal="right"/>
    </xf>
    <xf numFmtId="41" fontId="0" fillId="0" borderId="9" xfId="1" applyFont="1" applyBorder="1" applyAlignment="1">
      <alignment horizontal="right"/>
    </xf>
    <xf numFmtId="164" fontId="0" fillId="0" borderId="31" xfId="1" applyNumberFormat="1" applyFont="1" applyBorder="1" applyAlignment="1">
      <alignment horizontal="right"/>
    </xf>
    <xf numFmtId="41" fontId="0" fillId="0" borderId="6" xfId="1" applyFont="1" applyBorder="1"/>
    <xf numFmtId="41" fontId="0" fillId="0" borderId="6" xfId="1" applyFont="1" applyBorder="1" applyAlignment="1">
      <alignment horizontal="right"/>
    </xf>
    <xf numFmtId="164" fontId="0" fillId="0" borderId="36" xfId="1" applyNumberFormat="1" applyFont="1" applyBorder="1" applyAlignment="1">
      <alignment horizontal="right"/>
    </xf>
    <xf numFmtId="41" fontId="0" fillId="0" borderId="13" xfId="1" applyFont="1" applyBorder="1"/>
    <xf numFmtId="41" fontId="0" fillId="0" borderId="13" xfId="1" applyFont="1" applyBorder="1" applyAlignment="1">
      <alignment horizontal="right"/>
    </xf>
    <xf numFmtId="164" fontId="0" fillId="0" borderId="41" xfId="1" applyNumberFormat="1" applyFont="1" applyBorder="1" applyAlignment="1">
      <alignment horizontal="right"/>
    </xf>
    <xf numFmtId="164" fontId="0" fillId="0" borderId="29" xfId="1" applyNumberFormat="1" applyFont="1" applyBorder="1" applyAlignment="1">
      <alignment horizontal="right"/>
    </xf>
    <xf numFmtId="164" fontId="3" fillId="0" borderId="41" xfId="1" applyNumberFormat="1" applyFont="1" applyBorder="1" applyAlignment="1">
      <alignment horizontal="center" vertical="center"/>
    </xf>
    <xf numFmtId="164" fontId="3" fillId="0" borderId="29" xfId="1" applyNumberFormat="1" applyFont="1" applyBorder="1" applyAlignment="1">
      <alignment horizontal="center" vertical="center"/>
    </xf>
    <xf numFmtId="164" fontId="3" fillId="0" borderId="31" xfId="1" applyNumberFormat="1" applyFont="1" applyBorder="1" applyAlignment="1">
      <alignment horizontal="center" vertical="center"/>
    </xf>
    <xf numFmtId="41" fontId="7" fillId="2" borderId="59" xfId="1" applyFont="1" applyFill="1" applyBorder="1" applyAlignment="1">
      <alignment horizontal="center" vertical="center"/>
    </xf>
    <xf numFmtId="41" fontId="7" fillId="2" borderId="62" xfId="1" applyFont="1" applyFill="1" applyBorder="1" applyAlignment="1">
      <alignment horizontal="center" vertical="center"/>
    </xf>
    <xf numFmtId="41" fontId="7" fillId="2" borderId="61" xfId="1" applyFont="1" applyFill="1" applyBorder="1" applyAlignment="1">
      <alignment horizontal="center" vertical="center"/>
    </xf>
    <xf numFmtId="41" fontId="7" fillId="2" borderId="60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1" fontId="0" fillId="0" borderId="32" xfId="0" applyNumberFormat="1" applyBorder="1"/>
    <xf numFmtId="41" fontId="0" fillId="0" borderId="70" xfId="0" applyNumberFormat="1" applyBorder="1"/>
    <xf numFmtId="41" fontId="0" fillId="0" borderId="33" xfId="0" applyNumberFormat="1" applyBorder="1"/>
    <xf numFmtId="41" fontId="0" fillId="0" borderId="65" xfId="0" applyNumberFormat="1" applyBorder="1"/>
    <xf numFmtId="41" fontId="0" fillId="0" borderId="0" xfId="1" applyFont="1" applyBorder="1"/>
    <xf numFmtId="41" fontId="0" fillId="0" borderId="33" xfId="1" applyFont="1" applyBorder="1"/>
    <xf numFmtId="41" fontId="0" fillId="0" borderId="64" xfId="1" applyFont="1" applyBorder="1"/>
    <xf numFmtId="41" fontId="0" fillId="0" borderId="67" xfId="1" applyFont="1" applyBorder="1"/>
    <xf numFmtId="41" fontId="0" fillId="0" borderId="71" xfId="1" applyFont="1" applyBorder="1"/>
    <xf numFmtId="41" fontId="0" fillId="0" borderId="68" xfId="1" applyFont="1" applyBorder="1"/>
    <xf numFmtId="41" fontId="0" fillId="0" borderId="29" xfId="0" applyNumberFormat="1" applyBorder="1"/>
    <xf numFmtId="41" fontId="0" fillId="0" borderId="66" xfId="0" applyNumberFormat="1" applyBorder="1"/>
    <xf numFmtId="41" fontId="0" fillId="0" borderId="69" xfId="0" applyNumberFormat="1" applyBorder="1"/>
    <xf numFmtId="41" fontId="0" fillId="0" borderId="69" xfId="1" applyFont="1" applyBorder="1"/>
    <xf numFmtId="41" fontId="0" fillId="0" borderId="27" xfId="0" applyNumberFormat="1" applyBorder="1"/>
    <xf numFmtId="164" fontId="0" fillId="0" borderId="3" xfId="1" applyNumberFormat="1" applyFont="1" applyBorder="1"/>
    <xf numFmtId="164" fontId="0" fillId="0" borderId="70" xfId="1" applyNumberFormat="1" applyFont="1" applyBorder="1"/>
    <xf numFmtId="164" fontId="0" fillId="0" borderId="71" xfId="1" applyNumberFormat="1" applyFont="1" applyBorder="1"/>
    <xf numFmtId="41" fontId="0" fillId="0" borderId="74" xfId="0" applyNumberFormat="1" applyBorder="1"/>
    <xf numFmtId="164" fontId="0" fillId="0" borderId="7" xfId="1" applyNumberFormat="1" applyFont="1" applyBorder="1"/>
    <xf numFmtId="41" fontId="0" fillId="0" borderId="35" xfId="0" applyNumberFormat="1" applyBorder="1"/>
    <xf numFmtId="41" fontId="0" fillId="0" borderId="75" xfId="1" applyFont="1" applyBorder="1"/>
    <xf numFmtId="41" fontId="0" fillId="0" borderId="35" xfId="1" applyFont="1" applyBorder="1"/>
    <xf numFmtId="41" fontId="0" fillId="0" borderId="52" xfId="1" applyFont="1" applyBorder="1"/>
    <xf numFmtId="41" fontId="9" fillId="0" borderId="35" xfId="1" applyFont="1" applyFill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78" xfId="0" applyFont="1" applyFill="1" applyBorder="1" applyAlignment="1">
      <alignment horizontal="center"/>
    </xf>
    <xf numFmtId="41" fontId="7" fillId="2" borderId="79" xfId="1" applyFont="1" applyFill="1" applyBorder="1" applyAlignment="1">
      <alignment horizontal="center" vertical="center"/>
    </xf>
    <xf numFmtId="41" fontId="7" fillId="2" borderId="75" xfId="1" applyFont="1" applyFill="1" applyBorder="1" applyAlignment="1">
      <alignment horizontal="center" vertical="center"/>
    </xf>
    <xf numFmtId="41" fontId="7" fillId="2" borderId="0" xfId="1" applyFont="1" applyFill="1" applyBorder="1" applyAlignment="1">
      <alignment horizontal="center" vertical="center"/>
    </xf>
    <xf numFmtId="41" fontId="4" fillId="0" borderId="80" xfId="1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41" fontId="4" fillId="2" borderId="79" xfId="1" applyFont="1" applyFill="1" applyBorder="1" applyAlignment="1">
      <alignment horizontal="center" vertical="center"/>
    </xf>
    <xf numFmtId="41" fontId="4" fillId="2" borderId="75" xfId="1" applyFont="1" applyFill="1" applyBorder="1" applyAlignment="1">
      <alignment horizontal="center" vertical="center"/>
    </xf>
    <xf numFmtId="41" fontId="4" fillId="0" borderId="82" xfId="1" applyFont="1" applyBorder="1" applyAlignment="1">
      <alignment horizontal="center" vertical="center"/>
    </xf>
    <xf numFmtId="41" fontId="4" fillId="2" borderId="83" xfId="1" applyFont="1" applyFill="1" applyBorder="1" applyAlignment="1">
      <alignment horizontal="center" vertical="center"/>
    </xf>
    <xf numFmtId="41" fontId="8" fillId="0" borderId="40" xfId="1" applyFont="1" applyBorder="1" applyAlignment="1">
      <alignment horizontal="center" vertical="center"/>
    </xf>
    <xf numFmtId="41" fontId="7" fillId="2" borderId="83" xfId="1" applyFont="1" applyFill="1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0" fontId="4" fillId="2" borderId="93" xfId="0" applyFont="1" applyFill="1" applyBorder="1" applyAlignment="1">
      <alignment horizontal="center"/>
    </xf>
    <xf numFmtId="0" fontId="4" fillId="2" borderId="94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41" fontId="4" fillId="2" borderId="95" xfId="1" applyFont="1" applyFill="1" applyBorder="1" applyAlignment="1">
      <alignment horizontal="center" vertical="center"/>
    </xf>
    <xf numFmtId="41" fontId="4" fillId="2" borderId="97" xfId="1" applyFont="1" applyFill="1" applyBorder="1" applyAlignment="1">
      <alignment horizontal="center" vertical="center"/>
    </xf>
    <xf numFmtId="41" fontId="4" fillId="2" borderId="91" xfId="1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91" xfId="0" applyFont="1" applyBorder="1" applyAlignment="1">
      <alignment horizontal="center" vertical="center"/>
    </xf>
    <xf numFmtId="0" fontId="11" fillId="0" borderId="105" xfId="0" applyFont="1" applyBorder="1" applyAlignment="1">
      <alignment horizontal="center" vertical="center"/>
    </xf>
    <xf numFmtId="0" fontId="11" fillId="2" borderId="21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42" xfId="0" applyFont="1" applyFill="1" applyBorder="1" applyAlignment="1">
      <alignment horizontal="center"/>
    </xf>
    <xf numFmtId="0" fontId="11" fillId="2" borderId="93" xfId="0" applyFont="1" applyFill="1" applyBorder="1" applyAlignment="1">
      <alignment horizontal="center"/>
    </xf>
    <xf numFmtId="0" fontId="11" fillId="2" borderId="94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left" vertical="center"/>
    </xf>
    <xf numFmtId="41" fontId="13" fillId="2" borderId="3" xfId="1" applyFont="1" applyFill="1" applyBorder="1" applyAlignment="1">
      <alignment horizontal="left" vertical="center"/>
    </xf>
    <xf numFmtId="41" fontId="14" fillId="2" borderId="13" xfId="1" applyFont="1" applyFill="1" applyBorder="1" applyAlignment="1">
      <alignment horizontal="center" vertical="center"/>
    </xf>
    <xf numFmtId="41" fontId="14" fillId="2" borderId="88" xfId="1" applyFont="1" applyFill="1" applyBorder="1" applyAlignment="1">
      <alignment horizontal="center" vertical="center"/>
    </xf>
    <xf numFmtId="41" fontId="14" fillId="2" borderId="102" xfId="1" applyFont="1" applyFill="1" applyBorder="1" applyAlignment="1">
      <alignment horizontal="center" vertical="center"/>
    </xf>
    <xf numFmtId="41" fontId="14" fillId="2" borderId="98" xfId="1" applyFont="1" applyFill="1" applyBorder="1" applyAlignment="1">
      <alignment horizontal="center" vertical="center"/>
    </xf>
    <xf numFmtId="41" fontId="11" fillId="2" borderId="79" xfId="1" applyFont="1" applyFill="1" applyBorder="1" applyAlignment="1">
      <alignment horizontal="center" vertical="center"/>
    </xf>
    <xf numFmtId="41" fontId="11" fillId="2" borderId="95" xfId="1" applyFont="1" applyFill="1" applyBorder="1" applyAlignment="1">
      <alignment horizontal="center" vertical="center"/>
    </xf>
    <xf numFmtId="41" fontId="11" fillId="2" borderId="41" xfId="1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left" vertical="center"/>
    </xf>
    <xf numFmtId="41" fontId="13" fillId="2" borderId="8" xfId="1" applyFont="1" applyFill="1" applyBorder="1" applyAlignment="1">
      <alignment horizontal="left" vertical="center"/>
    </xf>
    <xf numFmtId="41" fontId="14" fillId="2" borderId="7" xfId="1" applyFont="1" applyFill="1" applyBorder="1" applyAlignment="1">
      <alignment horizontal="center" vertical="center"/>
    </xf>
    <xf numFmtId="41" fontId="14" fillId="2" borderId="74" xfId="1" applyFont="1" applyFill="1" applyBorder="1" applyAlignment="1">
      <alignment horizontal="center" vertical="center"/>
    </xf>
    <xf numFmtId="41" fontId="14" fillId="2" borderId="97" xfId="1" applyFont="1" applyFill="1" applyBorder="1" applyAlignment="1">
      <alignment horizontal="center" vertical="center"/>
    </xf>
    <xf numFmtId="41" fontId="14" fillId="2" borderId="59" xfId="1" applyFont="1" applyFill="1" applyBorder="1" applyAlignment="1">
      <alignment horizontal="center" vertical="center"/>
    </xf>
    <xf numFmtId="41" fontId="11" fillId="2" borderId="75" xfId="1" applyFont="1" applyFill="1" applyBorder="1" applyAlignment="1">
      <alignment horizontal="center" vertical="center"/>
    </xf>
    <xf numFmtId="41" fontId="11" fillId="2" borderId="97" xfId="1" applyFont="1" applyFill="1" applyBorder="1" applyAlignment="1">
      <alignment horizontal="center" vertical="center"/>
    </xf>
    <xf numFmtId="41" fontId="11" fillId="2" borderId="30" xfId="1" applyFont="1" applyFill="1" applyBorder="1" applyAlignment="1">
      <alignment horizontal="center" vertical="center"/>
    </xf>
    <xf numFmtId="41" fontId="13" fillId="2" borderId="7" xfId="1" applyFont="1" applyFill="1" applyBorder="1" applyAlignment="1">
      <alignment horizontal="left" vertical="center"/>
    </xf>
    <xf numFmtId="0" fontId="13" fillId="0" borderId="24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41" fontId="13" fillId="0" borderId="8" xfId="1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41" fontId="13" fillId="0" borderId="7" xfId="1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41" fontId="13" fillId="0" borderId="3" xfId="1" applyFont="1" applyBorder="1" applyAlignment="1">
      <alignment horizontal="left" vertical="center"/>
    </xf>
    <xf numFmtId="41" fontId="14" fillId="2" borderId="14" xfId="1" applyFont="1" applyFill="1" applyBorder="1" applyAlignment="1">
      <alignment horizontal="center" vertical="center"/>
    </xf>
    <xf numFmtId="41" fontId="14" fillId="2" borderId="3" xfId="1" applyFont="1" applyFill="1" applyBorder="1" applyAlignment="1">
      <alignment horizontal="center" vertical="center"/>
    </xf>
    <xf numFmtId="41" fontId="14" fillId="2" borderId="32" xfId="1" applyFont="1" applyFill="1" applyBorder="1" applyAlignment="1">
      <alignment horizontal="center" vertical="center"/>
    </xf>
    <xf numFmtId="41" fontId="14" fillId="2" borderId="91" xfId="1" applyFont="1" applyFill="1" applyBorder="1" applyAlignment="1">
      <alignment horizontal="center" vertical="center"/>
    </xf>
    <xf numFmtId="41" fontId="14" fillId="2" borderId="92" xfId="1" applyFont="1" applyFill="1" applyBorder="1" applyAlignment="1">
      <alignment horizontal="center" vertical="center"/>
    </xf>
    <xf numFmtId="41" fontId="11" fillId="2" borderId="0" xfId="1" applyFont="1" applyFill="1" applyBorder="1" applyAlignment="1">
      <alignment horizontal="center" vertical="center"/>
    </xf>
    <xf numFmtId="41" fontId="11" fillId="2" borderId="91" xfId="1" applyFont="1" applyFill="1" applyBorder="1" applyAlignment="1">
      <alignment horizontal="center" vertical="center"/>
    </xf>
    <xf numFmtId="41" fontId="11" fillId="2" borderId="20" xfId="1" applyFont="1" applyFill="1" applyBorder="1" applyAlignment="1">
      <alignment horizontal="center" vertical="center"/>
    </xf>
    <xf numFmtId="41" fontId="11" fillId="0" borderId="27" xfId="0" applyNumberFormat="1" applyFont="1" applyBorder="1" applyAlignment="1">
      <alignment horizontal="center" vertical="center"/>
    </xf>
    <xf numFmtId="41" fontId="11" fillId="0" borderId="43" xfId="0" applyNumberFormat="1" applyFont="1" applyBorder="1" applyAlignment="1">
      <alignment horizontal="center" vertical="center"/>
    </xf>
    <xf numFmtId="41" fontId="11" fillId="0" borderId="58" xfId="0" applyNumberFormat="1" applyFont="1" applyBorder="1" applyAlignment="1">
      <alignment horizontal="center" vertical="center"/>
    </xf>
    <xf numFmtId="41" fontId="11" fillId="0" borderId="99" xfId="0" applyNumberFormat="1" applyFont="1" applyBorder="1" applyAlignment="1">
      <alignment horizontal="center" vertical="center"/>
    </xf>
    <xf numFmtId="41" fontId="11" fillId="0" borderId="82" xfId="1" applyFont="1" applyBorder="1" applyAlignment="1">
      <alignment horizontal="center" vertical="center"/>
    </xf>
    <xf numFmtId="41" fontId="11" fillId="0" borderId="27" xfId="1" applyFont="1" applyBorder="1" applyAlignment="1">
      <alignment horizontal="center" vertical="center"/>
    </xf>
    <xf numFmtId="41" fontId="11" fillId="0" borderId="43" xfId="1" applyFont="1" applyBorder="1" applyAlignment="1">
      <alignment horizontal="center" vertical="center"/>
    </xf>
    <xf numFmtId="41" fontId="11" fillId="0" borderId="58" xfId="1" applyFont="1" applyBorder="1" applyAlignment="1">
      <alignment horizontal="center" vertical="center"/>
    </xf>
    <xf numFmtId="41" fontId="11" fillId="0" borderId="111" xfId="1" applyFont="1" applyBorder="1" applyAlignment="1">
      <alignment horizontal="center" vertical="center"/>
    </xf>
    <xf numFmtId="41" fontId="11" fillId="0" borderId="112" xfId="1" applyFont="1" applyBorder="1" applyAlignment="1">
      <alignment horizontal="center" vertical="center"/>
    </xf>
    <xf numFmtId="41" fontId="14" fillId="2" borderId="79" xfId="1" applyFont="1" applyFill="1" applyBorder="1" applyAlignment="1">
      <alignment horizontal="center" vertical="center"/>
    </xf>
    <xf numFmtId="41" fontId="14" fillId="2" borderId="62" xfId="1" applyFont="1" applyFill="1" applyBorder="1" applyAlignment="1">
      <alignment horizontal="center" vertical="center"/>
    </xf>
    <xf numFmtId="41" fontId="14" fillId="2" borderId="75" xfId="1" applyFont="1" applyFill="1" applyBorder="1" applyAlignment="1">
      <alignment horizontal="center" vertical="center"/>
    </xf>
    <xf numFmtId="41" fontId="14" fillId="2" borderId="35" xfId="1" applyFont="1" applyFill="1" applyBorder="1" applyAlignment="1">
      <alignment horizontal="center" vertical="center"/>
    </xf>
    <xf numFmtId="41" fontId="14" fillId="2" borderId="60" xfId="1" applyFont="1" applyFill="1" applyBorder="1" applyAlignment="1">
      <alignment horizontal="center" vertical="center"/>
    </xf>
    <xf numFmtId="41" fontId="14" fillId="2" borderId="61" xfId="1" applyFont="1" applyFill="1" applyBorder="1" applyAlignment="1">
      <alignment horizontal="center" vertical="center"/>
    </xf>
    <xf numFmtId="41" fontId="11" fillId="0" borderId="80" xfId="1" applyFont="1" applyBorder="1" applyAlignment="1">
      <alignment horizontal="center" vertical="center"/>
    </xf>
    <xf numFmtId="41" fontId="11" fillId="2" borderId="51" xfId="1" applyFont="1" applyFill="1" applyBorder="1" applyAlignment="1">
      <alignment horizontal="center" vertical="center"/>
    </xf>
    <xf numFmtId="41" fontId="11" fillId="2" borderId="52" xfId="1" applyFont="1" applyFill="1" applyBorder="1" applyAlignment="1">
      <alignment horizontal="center" vertical="center"/>
    </xf>
    <xf numFmtId="41" fontId="14" fillId="2" borderId="83" xfId="1" applyFont="1" applyFill="1" applyBorder="1" applyAlignment="1">
      <alignment horizontal="center" vertical="center"/>
    </xf>
    <xf numFmtId="41" fontId="11" fillId="0" borderId="54" xfId="1" applyFont="1" applyBorder="1" applyAlignment="1">
      <alignment horizontal="center" vertical="center"/>
    </xf>
    <xf numFmtId="41" fontId="11" fillId="0" borderId="40" xfId="1" applyFont="1" applyBorder="1" applyAlignment="1">
      <alignment horizontal="center" vertical="center"/>
    </xf>
    <xf numFmtId="0" fontId="11" fillId="2" borderId="34" xfId="0" applyFont="1" applyFill="1" applyBorder="1" applyAlignment="1">
      <alignment horizontal="center"/>
    </xf>
    <xf numFmtId="41" fontId="13" fillId="2" borderId="33" xfId="1" applyFont="1" applyFill="1" applyBorder="1" applyAlignment="1">
      <alignment horizontal="left" vertical="center"/>
    </xf>
    <xf numFmtId="41" fontId="13" fillId="2" borderId="114" xfId="1" applyFont="1" applyFill="1" applyBorder="1" applyAlignment="1">
      <alignment horizontal="left" vertical="center"/>
    </xf>
    <xf numFmtId="41" fontId="13" fillId="2" borderId="35" xfId="1" applyFont="1" applyFill="1" applyBorder="1" applyAlignment="1">
      <alignment horizontal="left" vertical="center"/>
    </xf>
    <xf numFmtId="41" fontId="13" fillId="0" borderId="114" xfId="1" applyFont="1" applyBorder="1" applyAlignment="1">
      <alignment horizontal="left" vertical="center"/>
    </xf>
    <xf numFmtId="41" fontId="13" fillId="0" borderId="35" xfId="1" applyFont="1" applyBorder="1" applyAlignment="1">
      <alignment horizontal="left" vertical="center"/>
    </xf>
    <xf numFmtId="41" fontId="13" fillId="0" borderId="33" xfId="1" applyFont="1" applyBorder="1" applyAlignment="1">
      <alignment horizontal="left" vertical="center"/>
    </xf>
    <xf numFmtId="41" fontId="14" fillId="2" borderId="95" xfId="1" applyFont="1" applyFill="1" applyBorder="1" applyAlignment="1">
      <alignment horizontal="center" vertical="center"/>
    </xf>
    <xf numFmtId="41" fontId="14" fillId="2" borderId="96" xfId="1" applyFont="1" applyFill="1" applyBorder="1" applyAlignment="1">
      <alignment horizontal="center" vertical="center"/>
    </xf>
    <xf numFmtId="41" fontId="11" fillId="0" borderId="99" xfId="1" applyFont="1" applyBorder="1" applyAlignment="1">
      <alignment horizontal="center" vertical="center"/>
    </xf>
    <xf numFmtId="41" fontId="14" fillId="2" borderId="110" xfId="1" applyFont="1" applyFill="1" applyBorder="1" applyAlignment="1">
      <alignment horizontal="center" vertical="center"/>
    </xf>
    <xf numFmtId="41" fontId="14" fillId="2" borderId="81" xfId="1" applyFont="1" applyFill="1" applyBorder="1" applyAlignment="1">
      <alignment horizontal="center" vertical="center"/>
    </xf>
    <xf numFmtId="41" fontId="4" fillId="2" borderId="64" xfId="1" applyFont="1" applyFill="1" applyBorder="1" applyAlignment="1">
      <alignment horizontal="center" vertical="center"/>
    </xf>
    <xf numFmtId="41" fontId="11" fillId="2" borderId="62" xfId="1" applyFont="1" applyFill="1" applyBorder="1" applyAlignment="1">
      <alignment horizontal="center" vertical="center"/>
    </xf>
    <xf numFmtId="41" fontId="11" fillId="2" borderId="35" xfId="1" applyFont="1" applyFill="1" applyBorder="1" applyAlignment="1">
      <alignment horizontal="center" vertical="center"/>
    </xf>
    <xf numFmtId="41" fontId="11" fillId="2" borderId="61" xfId="1" applyFont="1" applyFill="1" applyBorder="1" applyAlignment="1">
      <alignment horizontal="center" vertical="center"/>
    </xf>
    <xf numFmtId="0" fontId="11" fillId="2" borderId="116" xfId="0" applyFont="1" applyFill="1" applyBorder="1" applyAlignment="1">
      <alignment horizontal="center"/>
    </xf>
    <xf numFmtId="0" fontId="11" fillId="2" borderId="57" xfId="0" applyFont="1" applyFill="1" applyBorder="1" applyAlignment="1">
      <alignment horizontal="center"/>
    </xf>
    <xf numFmtId="41" fontId="11" fillId="2" borderId="33" xfId="1" applyFont="1" applyFill="1" applyBorder="1" applyAlignment="1">
      <alignment horizontal="center" vertical="center"/>
    </xf>
    <xf numFmtId="41" fontId="11" fillId="2" borderId="64" xfId="1" applyFont="1" applyFill="1" applyBorder="1" applyAlignment="1">
      <alignment horizontal="center" vertical="center"/>
    </xf>
    <xf numFmtId="0" fontId="16" fillId="0" borderId="10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87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92" xfId="0" applyFont="1" applyBorder="1" applyAlignment="1">
      <alignment vertical="center"/>
    </xf>
    <xf numFmtId="0" fontId="12" fillId="0" borderId="106" xfId="0" applyFont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2" fillId="0" borderId="106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5" fontId="0" fillId="0" borderId="0" xfId="0" applyNumberFormat="1"/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6" fontId="3" fillId="0" borderId="7" xfId="1" applyNumberFormat="1" applyFont="1" applyBorder="1" applyAlignment="1">
      <alignment horizontal="center" vertical="center"/>
    </xf>
    <xf numFmtId="166" fontId="4" fillId="0" borderId="12" xfId="1" applyNumberFormat="1" applyFont="1" applyBorder="1" applyAlignment="1">
      <alignment horizontal="center" vertical="center"/>
    </xf>
    <xf numFmtId="41" fontId="7" fillId="2" borderId="33" xfId="1" applyFont="1" applyFill="1" applyBorder="1" applyAlignment="1">
      <alignment horizontal="center" vertical="center"/>
    </xf>
    <xf numFmtId="41" fontId="4" fillId="0" borderId="0" xfId="1" applyFont="1" applyBorder="1" applyAlignment="1">
      <alignment horizontal="center" vertical="center"/>
    </xf>
    <xf numFmtId="41" fontId="8" fillId="0" borderId="0" xfId="1" applyFont="1" applyBorder="1" applyAlignment="1">
      <alignment horizontal="center" vertical="center"/>
    </xf>
    <xf numFmtId="41" fontId="7" fillId="2" borderId="13" xfId="1" applyFont="1" applyFill="1" applyBorder="1" applyAlignment="1">
      <alignment horizontal="right" vertical="center"/>
    </xf>
    <xf numFmtId="41" fontId="4" fillId="2" borderId="49" xfId="1" applyFont="1" applyFill="1" applyBorder="1" applyAlignment="1">
      <alignment horizontal="right" vertical="center"/>
    </xf>
    <xf numFmtId="41" fontId="4" fillId="2" borderId="45" xfId="1" applyFont="1" applyFill="1" applyBorder="1" applyAlignment="1">
      <alignment horizontal="right" vertical="center"/>
    </xf>
    <xf numFmtId="41" fontId="4" fillId="2" borderId="50" xfId="1" applyFont="1" applyFill="1" applyBorder="1" applyAlignment="1">
      <alignment horizontal="right" vertical="center"/>
    </xf>
    <xf numFmtId="41" fontId="4" fillId="0" borderId="27" xfId="1" applyFont="1" applyBorder="1" applyAlignment="1">
      <alignment horizontal="right" vertical="center"/>
    </xf>
    <xf numFmtId="41" fontId="4" fillId="0" borderId="43" xfId="1" applyFont="1" applyBorder="1" applyAlignment="1">
      <alignment horizontal="right" vertical="center"/>
    </xf>
    <xf numFmtId="41" fontId="4" fillId="0" borderId="46" xfId="1" applyFont="1" applyBorder="1" applyAlignment="1">
      <alignment horizontal="right" vertical="center"/>
    </xf>
    <xf numFmtId="41" fontId="7" fillId="2" borderId="3" xfId="1" applyFont="1" applyFill="1" applyBorder="1" applyAlignment="1">
      <alignment horizontal="right" vertical="center"/>
    </xf>
    <xf numFmtId="41" fontId="7" fillId="2" borderId="7" xfId="1" applyFont="1" applyFill="1" applyBorder="1" applyAlignment="1">
      <alignment horizontal="right" vertical="center"/>
    </xf>
    <xf numFmtId="41" fontId="7" fillId="2" borderId="97" xfId="1" applyFont="1" applyFill="1" applyBorder="1" applyAlignment="1">
      <alignment horizontal="center" vertical="center"/>
    </xf>
    <xf numFmtId="166" fontId="7" fillId="2" borderId="35" xfId="1" applyNumberFormat="1" applyFont="1" applyFill="1" applyBorder="1" applyAlignment="1">
      <alignment horizontal="center" vertical="center"/>
    </xf>
    <xf numFmtId="166" fontId="8" fillId="0" borderId="58" xfId="1" applyNumberFormat="1" applyFont="1" applyBorder="1" applyAlignment="1">
      <alignment horizontal="center" vertical="center"/>
    </xf>
    <xf numFmtId="41" fontId="4" fillId="0" borderId="27" xfId="1" applyNumberFormat="1" applyFont="1" applyBorder="1" applyAlignment="1">
      <alignment horizontal="center" vertical="center"/>
    </xf>
    <xf numFmtId="41" fontId="7" fillId="2" borderId="7" xfId="1" applyNumberFormat="1" applyFont="1" applyFill="1" applyBorder="1" applyAlignment="1">
      <alignment horizontal="center" vertical="center"/>
    </xf>
    <xf numFmtId="41" fontId="4" fillId="2" borderId="51" xfId="1" applyFont="1" applyFill="1" applyBorder="1" applyAlignment="1">
      <alignment horizontal="right" vertical="center"/>
    </xf>
    <xf numFmtId="41" fontId="4" fillId="2" borderId="53" xfId="1" applyFont="1" applyFill="1" applyBorder="1" applyAlignment="1">
      <alignment horizontal="right" vertical="center"/>
    </xf>
    <xf numFmtId="166" fontId="4" fillId="2" borderId="45" xfId="1" applyNumberFormat="1" applyFont="1" applyFill="1" applyBorder="1" applyAlignment="1">
      <alignment horizontal="center" vertical="center"/>
    </xf>
    <xf numFmtId="166" fontId="4" fillId="2" borderId="52" xfId="1" applyNumberFormat="1" applyFont="1" applyFill="1" applyBorder="1" applyAlignment="1">
      <alignment horizontal="center" vertical="center"/>
    </xf>
    <xf numFmtId="166" fontId="4" fillId="0" borderId="46" xfId="1" applyNumberFormat="1" applyFont="1" applyBorder="1" applyAlignment="1">
      <alignment horizontal="center" vertical="center"/>
    </xf>
    <xf numFmtId="166" fontId="4" fillId="0" borderId="54" xfId="1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7" fillId="0" borderId="7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11" fillId="0" borderId="103" xfId="0" applyFont="1" applyBorder="1" applyAlignment="1">
      <alignment horizontal="center" vertical="center"/>
    </xf>
    <xf numFmtId="0" fontId="11" fillId="0" borderId="104" xfId="0" applyFont="1" applyBorder="1" applyAlignment="1">
      <alignment horizontal="center" vertical="center"/>
    </xf>
    <xf numFmtId="0" fontId="11" fillId="0" borderId="105" xfId="0" applyFont="1" applyBorder="1" applyAlignment="1">
      <alignment horizontal="center" vertical="center"/>
    </xf>
    <xf numFmtId="0" fontId="11" fillId="0" borderId="106" xfId="0" applyFont="1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00" xfId="0" applyFont="1" applyBorder="1" applyAlignment="1">
      <alignment horizontal="center" vertical="center"/>
    </xf>
    <xf numFmtId="0" fontId="11" fillId="0" borderId="113" xfId="0" applyFont="1" applyBorder="1" applyAlignment="1">
      <alignment horizontal="center" vertical="center"/>
    </xf>
    <xf numFmtId="0" fontId="11" fillId="2" borderId="87" xfId="0" applyFont="1" applyFill="1" applyBorder="1" applyAlignment="1">
      <alignment horizontal="center" vertical="center"/>
    </xf>
    <xf numFmtId="0" fontId="11" fillId="2" borderId="109" xfId="0" applyFont="1" applyFill="1" applyBorder="1" applyAlignment="1">
      <alignment horizontal="center" vertical="center"/>
    </xf>
    <xf numFmtId="0" fontId="11" fillId="2" borderId="107" xfId="0" applyFont="1" applyFill="1" applyBorder="1" applyAlignment="1">
      <alignment horizontal="center" vertical="center"/>
    </xf>
    <xf numFmtId="41" fontId="4" fillId="2" borderId="117" xfId="1" applyFont="1" applyFill="1" applyBorder="1" applyAlignment="1">
      <alignment horizontal="center" vertical="center"/>
    </xf>
    <xf numFmtId="41" fontId="7" fillId="2" borderId="62" xfId="1" applyNumberFormat="1" applyFont="1" applyFill="1" applyBorder="1" applyAlignment="1">
      <alignment horizontal="center" vertical="center"/>
    </xf>
    <xf numFmtId="41" fontId="7" fillId="2" borderId="33" xfId="1" applyNumberFormat="1" applyFont="1" applyFill="1" applyBorder="1" applyAlignment="1">
      <alignment horizontal="center" vertical="center"/>
    </xf>
    <xf numFmtId="164" fontId="7" fillId="2" borderId="62" xfId="1" applyNumberFormat="1" applyFont="1" applyFill="1" applyBorder="1" applyAlignment="1">
      <alignment horizontal="center" vertical="center"/>
    </xf>
    <xf numFmtId="164" fontId="7" fillId="2" borderId="35" xfId="1" applyNumberFormat="1" applyFont="1" applyFill="1" applyBorder="1" applyAlignment="1">
      <alignment horizontal="center" vertical="center"/>
    </xf>
    <xf numFmtId="164" fontId="7" fillId="2" borderId="7" xfId="1" applyNumberFormat="1" applyFont="1" applyFill="1" applyBorder="1" applyAlignment="1">
      <alignment horizontal="center" vertical="center"/>
    </xf>
    <xf numFmtId="164" fontId="7" fillId="2" borderId="33" xfId="1" applyNumberFormat="1" applyFont="1" applyFill="1" applyBorder="1" applyAlignment="1">
      <alignment horizontal="center" vertical="center"/>
    </xf>
    <xf numFmtId="164" fontId="7" fillId="2" borderId="13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/>
    </xf>
    <xf numFmtId="164" fontId="4" fillId="0" borderId="27" xfId="1" applyNumberFormat="1" applyFont="1" applyBorder="1" applyAlignment="1">
      <alignment horizontal="center" vertical="center"/>
    </xf>
    <xf numFmtId="164" fontId="4" fillId="0" borderId="43" xfId="1" applyNumberFormat="1" applyFont="1" applyBorder="1" applyAlignment="1">
      <alignment horizontal="center" vertical="center"/>
    </xf>
    <xf numFmtId="164" fontId="4" fillId="2" borderId="49" xfId="1" applyNumberFormat="1" applyFont="1" applyFill="1" applyBorder="1" applyAlignment="1">
      <alignment horizontal="center" vertical="center"/>
    </xf>
    <xf numFmtId="164" fontId="4" fillId="2" borderId="46" xfId="1" applyNumberFormat="1" applyFont="1" applyFill="1" applyBorder="1" applyAlignment="1">
      <alignment horizontal="center" vertical="center"/>
    </xf>
    <xf numFmtId="164" fontId="4" fillId="2" borderId="117" xfId="1" applyNumberFormat="1" applyFont="1" applyFill="1" applyBorder="1" applyAlignment="1">
      <alignment horizontal="center" vertical="center"/>
    </xf>
    <xf numFmtId="164" fontId="4" fillId="2" borderId="45" xfId="1" applyNumberFormat="1" applyFont="1" applyFill="1" applyBorder="1" applyAlignment="1">
      <alignment horizontal="center" vertical="center"/>
    </xf>
    <xf numFmtId="164" fontId="8" fillId="0" borderId="58" xfId="1" applyNumberFormat="1" applyFont="1" applyBorder="1" applyAlignment="1">
      <alignment horizontal="center" vertical="center"/>
    </xf>
    <xf numFmtId="0" fontId="10" fillId="0" borderId="0" xfId="0" applyFont="1" applyAlignment="1"/>
    <xf numFmtId="0" fontId="11" fillId="0" borderId="77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2" borderId="78" xfId="0" applyFont="1" applyFill="1" applyBorder="1" applyAlignment="1">
      <alignment horizontal="center"/>
    </xf>
    <xf numFmtId="41" fontId="14" fillId="2" borderId="0" xfId="1" applyFont="1" applyFill="1" applyBorder="1" applyAlignment="1">
      <alignment horizontal="center" vertical="center"/>
    </xf>
    <xf numFmtId="41" fontId="11" fillId="0" borderId="80" xfId="0" applyNumberFormat="1" applyFont="1" applyBorder="1" applyAlignment="1">
      <alignment horizontal="center" vertical="center"/>
    </xf>
    <xf numFmtId="41" fontId="14" fillId="2" borderId="118" xfId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1" fillId="0" borderId="119" xfId="0" applyFont="1" applyBorder="1" applyAlignment="1">
      <alignment vertical="center"/>
    </xf>
    <xf numFmtId="0" fontId="11" fillId="0" borderId="120" xfId="0" applyFont="1" applyBorder="1" applyAlignment="1">
      <alignment vertical="center"/>
    </xf>
    <xf numFmtId="0" fontId="16" fillId="0" borderId="107" xfId="0" applyFont="1" applyBorder="1" applyAlignment="1">
      <alignment horizontal="center" vertical="center"/>
    </xf>
    <xf numFmtId="0" fontId="11" fillId="0" borderId="123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41" fontId="14" fillId="2" borderId="20" xfId="1" applyFont="1" applyFill="1" applyBorder="1" applyAlignment="1">
      <alignment horizontal="center" vertical="center"/>
    </xf>
    <xf numFmtId="41" fontId="14" fillId="2" borderId="30" xfId="1" applyFont="1" applyFill="1" applyBorder="1" applyAlignment="1">
      <alignment horizontal="center" vertical="center"/>
    </xf>
    <xf numFmtId="41" fontId="11" fillId="0" borderId="11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38" xfId="0" applyFont="1" applyBorder="1" applyAlignment="1">
      <alignment vertical="center"/>
    </xf>
    <xf numFmtId="0" fontId="11" fillId="0" borderId="124" xfId="0" applyFont="1" applyBorder="1" applyAlignment="1">
      <alignment vertical="center"/>
    </xf>
    <xf numFmtId="0" fontId="11" fillId="2" borderId="87" xfId="0" applyFont="1" applyFill="1" applyBorder="1" applyAlignment="1">
      <alignment vertical="center"/>
    </xf>
    <xf numFmtId="0" fontId="11" fillId="2" borderId="107" xfId="0" applyFont="1" applyFill="1" applyBorder="1" applyAlignment="1">
      <alignment vertical="center"/>
    </xf>
    <xf numFmtId="0" fontId="11" fillId="0" borderId="121" xfId="0" applyFont="1" applyBorder="1" applyAlignment="1">
      <alignment vertical="center"/>
    </xf>
    <xf numFmtId="0" fontId="11" fillId="0" borderId="122" xfId="0" applyFont="1" applyBorder="1" applyAlignment="1">
      <alignment vertical="center"/>
    </xf>
    <xf numFmtId="41" fontId="14" fillId="2" borderId="6" xfId="1" applyFont="1" applyFill="1" applyBorder="1" applyAlignment="1">
      <alignment horizontal="center" vertical="center"/>
    </xf>
    <xf numFmtId="41" fontId="14" fillId="2" borderId="71" xfId="1" applyFont="1" applyFill="1" applyBorder="1" applyAlignment="1">
      <alignment horizontal="center" vertical="center"/>
    </xf>
    <xf numFmtId="41" fontId="14" fillId="2" borderId="127" xfId="1" applyFont="1" applyFill="1" applyBorder="1" applyAlignment="1">
      <alignment horizontal="center" vertical="center"/>
    </xf>
    <xf numFmtId="0" fontId="13" fillId="2" borderId="74" xfId="0" applyFont="1" applyFill="1" applyBorder="1" applyAlignment="1">
      <alignment horizontal="left" vertical="center"/>
    </xf>
    <xf numFmtId="0" fontId="13" fillId="2" borderId="128" xfId="0" applyFont="1" applyFill="1" applyBorder="1" applyAlignment="1">
      <alignment horizontal="left" vertical="center"/>
    </xf>
    <xf numFmtId="0" fontId="13" fillId="0" borderId="128" xfId="0" applyFont="1" applyBorder="1" applyAlignment="1">
      <alignment horizontal="left" vertical="center"/>
    </xf>
    <xf numFmtId="0" fontId="13" fillId="0" borderId="74" xfId="0" applyFont="1" applyBorder="1" applyAlignment="1">
      <alignment horizontal="left" vertical="center"/>
    </xf>
    <xf numFmtId="41" fontId="14" fillId="2" borderId="33" xfId="1" applyFont="1" applyFill="1" applyBorder="1" applyAlignment="1">
      <alignment horizontal="center" vertical="center"/>
    </xf>
    <xf numFmtId="41" fontId="11" fillId="0" borderId="40" xfId="0" applyNumberFormat="1" applyFont="1" applyBorder="1" applyAlignment="1">
      <alignment horizontal="center" vertical="center"/>
    </xf>
    <xf numFmtId="41" fontId="13" fillId="2" borderId="95" xfId="1" applyFont="1" applyFill="1" applyBorder="1" applyAlignment="1">
      <alignment horizontal="left" vertical="center"/>
    </xf>
    <xf numFmtId="41" fontId="13" fillId="2" borderId="129" xfId="1" applyFont="1" applyFill="1" applyBorder="1" applyAlignment="1">
      <alignment horizontal="left" vertical="center"/>
    </xf>
    <xf numFmtId="41" fontId="13" fillId="2" borderId="97" xfId="1" applyFont="1" applyFill="1" applyBorder="1" applyAlignment="1">
      <alignment horizontal="left" vertical="center"/>
    </xf>
    <xf numFmtId="41" fontId="13" fillId="0" borderId="129" xfId="1" applyFont="1" applyBorder="1" applyAlignment="1">
      <alignment horizontal="left" vertical="center"/>
    </xf>
    <xf numFmtId="41" fontId="13" fillId="0" borderId="97" xfId="1" applyFont="1" applyBorder="1" applyAlignment="1">
      <alignment horizontal="left" vertical="center"/>
    </xf>
    <xf numFmtId="41" fontId="13" fillId="0" borderId="91" xfId="1" applyFont="1" applyBorder="1" applyAlignment="1">
      <alignment horizontal="left" vertical="center"/>
    </xf>
    <xf numFmtId="41" fontId="11" fillId="2" borderId="95" xfId="1" applyNumberFormat="1" applyFont="1" applyFill="1" applyBorder="1" applyAlignment="1">
      <alignment horizontal="center" vertical="center"/>
    </xf>
    <xf numFmtId="41" fontId="11" fillId="0" borderId="130" xfId="1" applyFont="1" applyBorder="1" applyAlignment="1">
      <alignment horizontal="center" vertical="center"/>
    </xf>
    <xf numFmtId="0" fontId="11" fillId="0" borderId="55" xfId="0" applyFont="1" applyBorder="1" applyAlignment="1">
      <alignment vertical="center"/>
    </xf>
    <xf numFmtId="0" fontId="11" fillId="0" borderId="56" xfId="0" applyFont="1" applyBorder="1" applyAlignment="1">
      <alignment vertical="center"/>
    </xf>
    <xf numFmtId="0" fontId="12" fillId="0" borderId="132" xfId="0" applyFont="1" applyBorder="1" applyAlignment="1">
      <alignment horizontal="center" vertical="center"/>
    </xf>
    <xf numFmtId="41" fontId="11" fillId="2" borderId="13" xfId="1" applyFont="1" applyFill="1" applyBorder="1" applyAlignment="1">
      <alignment horizontal="center" vertical="center"/>
    </xf>
    <xf numFmtId="41" fontId="11" fillId="0" borderId="133" xfId="1" applyFont="1" applyBorder="1" applyAlignment="1">
      <alignment horizontal="center" vertical="center"/>
    </xf>
    <xf numFmtId="41" fontId="11" fillId="0" borderId="28" xfId="1" applyFont="1" applyBorder="1" applyAlignment="1">
      <alignment horizontal="center" vertical="center"/>
    </xf>
    <xf numFmtId="41" fontId="11" fillId="0" borderId="134" xfId="1" applyFont="1" applyBorder="1" applyAlignment="1">
      <alignment horizontal="center" vertical="center"/>
    </xf>
    <xf numFmtId="41" fontId="11" fillId="2" borderId="97" xfId="1" applyNumberFormat="1" applyFont="1" applyFill="1" applyBorder="1" applyAlignment="1">
      <alignment horizontal="center" vertical="center"/>
    </xf>
    <xf numFmtId="41" fontId="11" fillId="2" borderId="7" xfId="1" applyFont="1" applyFill="1" applyBorder="1" applyAlignment="1">
      <alignment horizontal="center" vertical="center"/>
    </xf>
    <xf numFmtId="41" fontId="14" fillId="2" borderId="135" xfId="1" applyFont="1" applyFill="1" applyBorder="1" applyAlignment="1">
      <alignment horizontal="center" vertical="center"/>
    </xf>
    <xf numFmtId="41" fontId="14" fillId="2" borderId="9" xfId="1" applyFont="1" applyFill="1" applyBorder="1" applyAlignment="1">
      <alignment horizontal="center" vertical="center"/>
    </xf>
    <xf numFmtId="41" fontId="14" fillId="2" borderId="136" xfId="1" applyFont="1" applyFill="1" applyBorder="1" applyAlignment="1">
      <alignment horizontal="center" vertical="center"/>
    </xf>
    <xf numFmtId="41" fontId="11" fillId="2" borderId="135" xfId="1" applyNumberFormat="1" applyFont="1" applyFill="1" applyBorder="1" applyAlignment="1">
      <alignment horizontal="center" vertical="center"/>
    </xf>
    <xf numFmtId="41" fontId="11" fillId="2" borderId="9" xfId="1" applyFont="1" applyFill="1" applyBorder="1" applyAlignment="1">
      <alignment horizontal="center" vertical="center"/>
    </xf>
    <xf numFmtId="41" fontId="11" fillId="2" borderId="137" xfId="1" applyFont="1" applyFill="1" applyBorder="1" applyAlignment="1">
      <alignment horizontal="center" vertical="center"/>
    </xf>
    <xf numFmtId="0" fontId="11" fillId="2" borderId="125" xfId="0" applyFont="1" applyFill="1" applyBorder="1" applyAlignment="1">
      <alignment vertical="center"/>
    </xf>
    <xf numFmtId="0" fontId="11" fillId="2" borderId="109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0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0" fillId="0" borderId="0" xfId="0" applyAlignment="1"/>
    <xf numFmtId="41" fontId="11" fillId="0" borderId="0" xfId="0" applyNumberFormat="1" applyFont="1" applyBorder="1" applyAlignment="1">
      <alignment horizontal="center" vertical="center"/>
    </xf>
    <xf numFmtId="41" fontId="11" fillId="0" borderId="0" xfId="1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41" fontId="14" fillId="0" borderId="7" xfId="1" applyFont="1" applyFill="1" applyBorder="1" applyAlignment="1">
      <alignment horizontal="center" vertical="center"/>
    </xf>
    <xf numFmtId="41" fontId="14" fillId="0" borderId="74" xfId="1" applyFont="1" applyFill="1" applyBorder="1" applyAlignment="1">
      <alignment horizontal="center" vertical="center"/>
    </xf>
    <xf numFmtId="41" fontId="14" fillId="0" borderId="59" xfId="1" applyFont="1" applyFill="1" applyBorder="1" applyAlignment="1">
      <alignment horizontal="center" vertical="center"/>
    </xf>
    <xf numFmtId="41" fontId="14" fillId="0" borderId="13" xfId="1" applyFont="1" applyFill="1" applyBorder="1" applyAlignment="1">
      <alignment horizontal="center" vertical="center"/>
    </xf>
    <xf numFmtId="41" fontId="14" fillId="0" borderId="88" xfId="1" applyFont="1" applyFill="1" applyBorder="1" applyAlignment="1">
      <alignment horizontal="center" vertical="center"/>
    </xf>
    <xf numFmtId="41" fontId="14" fillId="0" borderId="6" xfId="1" applyFont="1" applyFill="1" applyBorder="1" applyAlignment="1">
      <alignment horizontal="center" vertical="center"/>
    </xf>
    <xf numFmtId="41" fontId="14" fillId="0" borderId="96" xfId="1" applyFont="1" applyFill="1" applyBorder="1" applyAlignment="1">
      <alignment horizontal="center" vertical="center"/>
    </xf>
    <xf numFmtId="0" fontId="12" fillId="0" borderId="87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7" fillId="0" borderId="14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6" fontId="3" fillId="0" borderId="8" xfId="1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3" fillId="0" borderId="6" xfId="1" applyNumberFormat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center" vertical="center"/>
    </xf>
    <xf numFmtId="41" fontId="4" fillId="0" borderId="7" xfId="1" applyFont="1" applyBorder="1" applyAlignment="1">
      <alignment horizontal="right" vertical="center"/>
    </xf>
    <xf numFmtId="166" fontId="4" fillId="0" borderId="7" xfId="1" applyNumberFormat="1" applyFont="1" applyBorder="1" applyAlignment="1">
      <alignment horizontal="center" vertical="center"/>
    </xf>
    <xf numFmtId="166" fontId="4" fillId="0" borderId="9" xfId="1" applyNumberFormat="1" applyFont="1" applyBorder="1" applyAlignment="1">
      <alignment horizontal="center" vertical="center"/>
    </xf>
    <xf numFmtId="166" fontId="4" fillId="0" borderId="6" xfId="1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7" fillId="0" borderId="0" xfId="0" applyFont="1"/>
    <xf numFmtId="0" fontId="12" fillId="0" borderId="1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3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167" fontId="17" fillId="0" borderId="3" xfId="2" applyNumberFormat="1" applyFont="1" applyBorder="1"/>
    <xf numFmtId="167" fontId="17" fillId="0" borderId="7" xfId="2" applyNumberFormat="1" applyFont="1" applyBorder="1"/>
    <xf numFmtId="167" fontId="17" fillId="0" borderId="9" xfId="2" applyNumberFormat="1" applyFont="1" applyBorder="1"/>
    <xf numFmtId="167" fontId="12" fillId="0" borderId="28" xfId="2" applyNumberFormat="1" applyFont="1" applyBorder="1"/>
    <xf numFmtId="167" fontId="17" fillId="0" borderId="71" xfId="2" applyNumberFormat="1" applyFont="1" applyBorder="1"/>
    <xf numFmtId="167" fontId="17" fillId="0" borderId="20" xfId="2" applyNumberFormat="1" applyFont="1" applyBorder="1"/>
    <xf numFmtId="167" fontId="17" fillId="0" borderId="30" xfId="2" applyNumberFormat="1" applyFont="1" applyBorder="1"/>
    <xf numFmtId="167" fontId="12" fillId="0" borderId="27" xfId="2" applyNumberFormat="1" applyFont="1" applyBorder="1"/>
    <xf numFmtId="167" fontId="12" fillId="0" borderId="112" xfId="2" applyNumberFormat="1" applyFont="1" applyBorder="1"/>
    <xf numFmtId="167" fontId="12" fillId="0" borderId="0" xfId="2" applyNumberFormat="1" applyFont="1" applyFill="1" applyBorder="1"/>
    <xf numFmtId="167" fontId="12" fillId="0" borderId="0" xfId="2" applyNumberFormat="1" applyFont="1" applyBorder="1"/>
    <xf numFmtId="167" fontId="17" fillId="0" borderId="0" xfId="0" applyNumberFormat="1" applyFont="1"/>
    <xf numFmtId="0" fontId="1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15" xfId="0" applyFont="1" applyBorder="1" applyAlignment="1">
      <alignment horizontal="center" vertical="center"/>
    </xf>
    <xf numFmtId="0" fontId="11" fillId="0" borderId="113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15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/>
    </xf>
    <xf numFmtId="0" fontId="11" fillId="2" borderId="87" xfId="0" applyFont="1" applyFill="1" applyBorder="1" applyAlignment="1">
      <alignment horizontal="center" vertical="center"/>
    </xf>
    <xf numFmtId="0" fontId="11" fillId="2" borderId="109" xfId="0" applyFont="1" applyFill="1" applyBorder="1" applyAlignment="1">
      <alignment horizontal="center" vertical="center"/>
    </xf>
    <xf numFmtId="0" fontId="11" fillId="2" borderId="107" xfId="0" applyFont="1" applyFill="1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0" fontId="11" fillId="0" borderId="90" xfId="0" applyFont="1" applyBorder="1" applyAlignment="1">
      <alignment horizontal="center" vertical="center"/>
    </xf>
    <xf numFmtId="0" fontId="11" fillId="0" borderId="100" xfId="0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103" xfId="0" applyFont="1" applyBorder="1" applyAlignment="1">
      <alignment horizontal="center" vertical="center"/>
    </xf>
    <xf numFmtId="0" fontId="11" fillId="0" borderId="104" xfId="0" applyFont="1" applyBorder="1" applyAlignment="1">
      <alignment horizontal="center" vertical="center"/>
    </xf>
    <xf numFmtId="0" fontId="11" fillId="0" borderId="105" xfId="0" applyFont="1" applyBorder="1" applyAlignment="1">
      <alignment horizontal="center" vertical="center"/>
    </xf>
    <xf numFmtId="0" fontId="11" fillId="0" borderId="106" xfId="0" applyFont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4" fillId="0" borderId="103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105" xfId="0" applyFont="1" applyBorder="1" applyAlignment="1">
      <alignment horizontal="center" vertical="center"/>
    </xf>
    <xf numFmtId="0" fontId="4" fillId="0" borderId="106" xfId="0" applyFont="1" applyBorder="1" applyAlignment="1">
      <alignment horizontal="center" vertical="center"/>
    </xf>
    <xf numFmtId="0" fontId="11" fillId="2" borderId="108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119" xfId="0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 wrapText="1"/>
    </xf>
    <xf numFmtId="0" fontId="11" fillId="0" borderId="121" xfId="0" applyFont="1" applyBorder="1" applyAlignment="1">
      <alignment horizontal="center" vertical="center" wrapText="1"/>
    </xf>
    <xf numFmtId="0" fontId="11" fillId="0" borderId="120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vertical="center" wrapText="1"/>
    </xf>
    <xf numFmtId="0" fontId="11" fillId="0" borderId="122" xfId="0" applyFont="1" applyBorder="1" applyAlignment="1">
      <alignment horizontal="center" vertical="center" wrapText="1"/>
    </xf>
    <xf numFmtId="0" fontId="11" fillId="0" borderId="126" xfId="0" applyFont="1" applyBorder="1" applyAlignment="1">
      <alignment horizontal="center" vertical="center"/>
    </xf>
    <xf numFmtId="0" fontId="11" fillId="0" borderId="124" xfId="0" applyFont="1" applyBorder="1" applyAlignment="1">
      <alignment horizontal="center" vertical="center"/>
    </xf>
    <xf numFmtId="0" fontId="11" fillId="0" borderId="119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/>
    </xf>
    <xf numFmtId="0" fontId="11" fillId="0" borderId="121" xfId="0" applyFont="1" applyBorder="1" applyAlignment="1">
      <alignment horizontal="center" vertical="center"/>
    </xf>
    <xf numFmtId="0" fontId="11" fillId="0" borderId="120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122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13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8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13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12" fillId="0" borderId="76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139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87" xfId="0" applyFont="1" applyBorder="1" applyAlignment="1">
      <alignment horizontal="center" vertical="center"/>
    </xf>
    <xf numFmtId="0" fontId="12" fillId="0" borderId="107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0" fontId="12" fillId="0" borderId="139" xfId="0" applyFont="1" applyBorder="1" applyAlignment="1">
      <alignment horizontal="center" vertical="center"/>
    </xf>
    <xf numFmtId="0" fontId="12" fillId="0" borderId="1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5"/>
  <sheetViews>
    <sheetView tabSelected="1" topLeftCell="A82"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1" spans="1:23" ht="15" customHeight="1" x14ac:dyDescent="0.25"/>
    <row r="2" spans="1:23" ht="18.75" x14ac:dyDescent="0.3">
      <c r="A2" s="497" t="s">
        <v>0</v>
      </c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</row>
    <row r="3" spans="1:23" ht="18.75" x14ac:dyDescent="0.3">
      <c r="A3" s="497" t="s">
        <v>103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</row>
    <row r="4" spans="1:23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2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23" x14ac:dyDescent="0.25">
      <c r="A6" s="498" t="s">
        <v>2</v>
      </c>
      <c r="B6" s="498" t="s">
        <v>3</v>
      </c>
      <c r="C6" s="500" t="s">
        <v>4</v>
      </c>
      <c r="D6" s="500"/>
      <c r="E6" s="500"/>
      <c r="F6" s="500"/>
      <c r="G6" s="500"/>
      <c r="H6" s="500"/>
      <c r="I6" s="500"/>
      <c r="J6" s="500"/>
      <c r="K6" s="500"/>
      <c r="L6" s="500"/>
      <c r="M6" s="500"/>
      <c r="N6" s="500"/>
      <c r="O6" s="498" t="s">
        <v>5</v>
      </c>
    </row>
    <row r="7" spans="1:23" x14ac:dyDescent="0.25">
      <c r="A7" s="499"/>
      <c r="B7" s="499"/>
      <c r="C7" s="4" t="s">
        <v>6</v>
      </c>
      <c r="D7" s="4" t="s">
        <v>7</v>
      </c>
      <c r="E7" s="4" t="s">
        <v>8</v>
      </c>
      <c r="F7" s="119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501"/>
      <c r="S7" t="s">
        <v>86</v>
      </c>
      <c r="T7" t="s">
        <v>87</v>
      </c>
    </row>
    <row r="8" spans="1:23" ht="15.75" thickBot="1" x14ac:dyDescent="0.3">
      <c r="A8" s="5">
        <v>1</v>
      </c>
      <c r="B8" s="5">
        <v>2</v>
      </c>
      <c r="C8" s="5">
        <v>3</v>
      </c>
      <c r="D8" s="5">
        <v>4</v>
      </c>
      <c r="E8" s="5">
        <v>5</v>
      </c>
      <c r="F8" s="120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  <c r="Q8" t="s">
        <v>102</v>
      </c>
    </row>
    <row r="9" spans="1:23" ht="18.75" customHeight="1" thickTop="1" x14ac:dyDescent="0.25">
      <c r="A9" s="6">
        <v>1</v>
      </c>
      <c r="B9" s="7" t="s">
        <v>18</v>
      </c>
      <c r="C9" s="59">
        <v>7</v>
      </c>
      <c r="D9" s="8">
        <v>248</v>
      </c>
      <c r="E9" s="59">
        <v>0</v>
      </c>
      <c r="F9" s="59">
        <v>0</v>
      </c>
      <c r="G9" s="59">
        <v>3</v>
      </c>
      <c r="H9" s="9">
        <v>37</v>
      </c>
      <c r="I9" s="9">
        <v>27</v>
      </c>
      <c r="J9" s="9">
        <v>8</v>
      </c>
      <c r="K9" s="9">
        <v>0</v>
      </c>
      <c r="L9" s="59">
        <v>0</v>
      </c>
      <c r="M9" s="9">
        <v>2</v>
      </c>
      <c r="N9" s="9">
        <v>45</v>
      </c>
      <c r="O9" s="10">
        <f>SUM(C9:N9)</f>
        <v>377</v>
      </c>
      <c r="Q9" s="106">
        <f>SUM(L9:M9)</f>
        <v>2</v>
      </c>
      <c r="S9" s="106">
        <f>SUM(C9:F9)</f>
        <v>255</v>
      </c>
      <c r="T9" s="106">
        <f>SUM(G9:J9)</f>
        <v>75</v>
      </c>
      <c r="U9" s="106">
        <f>SUM(L9:N9)</f>
        <v>47</v>
      </c>
      <c r="W9" s="106">
        <f>SUM(U9:V9)</f>
        <v>47</v>
      </c>
    </row>
    <row r="10" spans="1:23" ht="18.75" customHeight="1" x14ac:dyDescent="0.25">
      <c r="A10" s="11">
        <v>2</v>
      </c>
      <c r="B10" s="12" t="s">
        <v>19</v>
      </c>
      <c r="C10" s="60">
        <v>49</v>
      </c>
      <c r="D10" s="8">
        <v>128</v>
      </c>
      <c r="E10" s="60">
        <v>4</v>
      </c>
      <c r="F10" s="60">
        <v>5</v>
      </c>
      <c r="G10" s="60">
        <v>13</v>
      </c>
      <c r="H10" s="8">
        <v>38</v>
      </c>
      <c r="I10" s="8">
        <v>37</v>
      </c>
      <c r="J10" s="8">
        <v>31</v>
      </c>
      <c r="K10" s="8">
        <v>11</v>
      </c>
      <c r="L10" s="61">
        <v>5</v>
      </c>
      <c r="M10" s="47">
        <v>27</v>
      </c>
      <c r="N10" s="8">
        <v>143</v>
      </c>
      <c r="O10" s="13">
        <f t="shared" ref="O10:O16" si="0">SUM(C10:N10)</f>
        <v>491</v>
      </c>
      <c r="P10" s="106">
        <f>SUM(L10:N10)</f>
        <v>175</v>
      </c>
      <c r="Q10" s="106">
        <f t="shared" ref="Q10:Q17" si="1">SUM(L10:M10)</f>
        <v>32</v>
      </c>
      <c r="S10" s="106">
        <f t="shared" ref="S10:S16" si="2">SUM(C10:F10)</f>
        <v>186</v>
      </c>
      <c r="T10" s="106">
        <f t="shared" ref="T10:T16" si="3">SUM(G10:J10)</f>
        <v>119</v>
      </c>
      <c r="U10" s="106">
        <f t="shared" ref="U10:U16" si="4">SUM(L10:N10)</f>
        <v>175</v>
      </c>
      <c r="W10" s="106">
        <f t="shared" ref="W10:W16" si="5">SUM(U10:V10)</f>
        <v>175</v>
      </c>
    </row>
    <row r="11" spans="1:23" ht="18.75" customHeight="1" x14ac:dyDescent="0.25">
      <c r="A11" s="11">
        <v>3</v>
      </c>
      <c r="B11" s="7" t="s">
        <v>20</v>
      </c>
      <c r="C11" s="60">
        <v>10</v>
      </c>
      <c r="D11" s="8">
        <v>15</v>
      </c>
      <c r="E11" s="60">
        <v>0</v>
      </c>
      <c r="F11" s="60">
        <v>0</v>
      </c>
      <c r="G11" s="60">
        <v>10</v>
      </c>
      <c r="H11" s="8">
        <v>5</v>
      </c>
      <c r="I11" s="8">
        <v>0</v>
      </c>
      <c r="J11" s="8">
        <v>0</v>
      </c>
      <c r="K11" s="8">
        <v>5</v>
      </c>
      <c r="L11" s="61">
        <v>5</v>
      </c>
      <c r="M11" s="8">
        <v>5</v>
      </c>
      <c r="N11" s="8">
        <v>0</v>
      </c>
      <c r="O11" s="13">
        <f t="shared" si="0"/>
        <v>55</v>
      </c>
      <c r="Q11" s="106">
        <f t="shared" si="1"/>
        <v>10</v>
      </c>
      <c r="S11" s="106">
        <f t="shared" si="2"/>
        <v>25</v>
      </c>
      <c r="T11" s="106">
        <f t="shared" si="3"/>
        <v>15</v>
      </c>
      <c r="U11" s="106">
        <f t="shared" si="4"/>
        <v>10</v>
      </c>
      <c r="V11">
        <v>29</v>
      </c>
      <c r="W11" s="106">
        <f t="shared" si="5"/>
        <v>39</v>
      </c>
    </row>
    <row r="12" spans="1:23" ht="18.75" customHeight="1" x14ac:dyDescent="0.25">
      <c r="A12" s="14">
        <v>4</v>
      </c>
      <c r="B12" s="15" t="s">
        <v>21</v>
      </c>
      <c r="C12" s="61">
        <v>182</v>
      </c>
      <c r="D12" s="16">
        <v>1</v>
      </c>
      <c r="E12" s="61">
        <v>1</v>
      </c>
      <c r="F12" s="61">
        <v>0</v>
      </c>
      <c r="G12" s="117">
        <v>21</v>
      </c>
      <c r="H12" s="16">
        <v>11</v>
      </c>
      <c r="I12" s="16">
        <v>2</v>
      </c>
      <c r="J12" s="16">
        <v>1</v>
      </c>
      <c r="K12" s="16">
        <v>5</v>
      </c>
      <c r="L12" s="61">
        <v>9</v>
      </c>
      <c r="M12" s="16">
        <v>1</v>
      </c>
      <c r="N12" s="16">
        <v>36</v>
      </c>
      <c r="O12" s="18">
        <f>SUM(C12:N12)</f>
        <v>270</v>
      </c>
      <c r="Q12" s="106">
        <f t="shared" si="1"/>
        <v>10</v>
      </c>
      <c r="S12" s="106">
        <f t="shared" si="2"/>
        <v>184</v>
      </c>
      <c r="T12" s="106">
        <f t="shared" si="3"/>
        <v>35</v>
      </c>
      <c r="U12" s="106">
        <f t="shared" si="4"/>
        <v>46</v>
      </c>
      <c r="W12" s="106">
        <f t="shared" si="5"/>
        <v>46</v>
      </c>
    </row>
    <row r="13" spans="1:23" ht="18.75" customHeight="1" x14ac:dyDescent="0.25">
      <c r="A13" s="14">
        <v>5</v>
      </c>
      <c r="B13" s="19" t="s">
        <v>22</v>
      </c>
      <c r="C13" s="61">
        <v>45</v>
      </c>
      <c r="D13" s="16">
        <v>119</v>
      </c>
      <c r="E13" s="61">
        <v>0</v>
      </c>
      <c r="F13" s="61">
        <v>0</v>
      </c>
      <c r="G13" s="61">
        <v>20</v>
      </c>
      <c r="H13" s="16">
        <v>0</v>
      </c>
      <c r="I13" s="16">
        <v>0</v>
      </c>
      <c r="J13" s="16">
        <v>0</v>
      </c>
      <c r="K13" s="16">
        <v>10</v>
      </c>
      <c r="L13" s="16">
        <v>0</v>
      </c>
      <c r="M13" s="16">
        <v>0</v>
      </c>
      <c r="N13" s="16">
        <v>15</v>
      </c>
      <c r="O13" s="18">
        <f t="shared" si="0"/>
        <v>209</v>
      </c>
      <c r="Q13" s="106">
        <f t="shared" si="1"/>
        <v>0</v>
      </c>
      <c r="S13" s="106">
        <f t="shared" si="2"/>
        <v>164</v>
      </c>
      <c r="T13" s="106">
        <f t="shared" si="3"/>
        <v>20</v>
      </c>
      <c r="U13" s="106">
        <f t="shared" si="4"/>
        <v>15</v>
      </c>
      <c r="W13" s="106">
        <f t="shared" si="5"/>
        <v>15</v>
      </c>
    </row>
    <row r="14" spans="1:23" ht="18.75" customHeight="1" x14ac:dyDescent="0.25">
      <c r="A14" s="14">
        <v>6</v>
      </c>
      <c r="B14" s="19" t="s">
        <v>23</v>
      </c>
      <c r="C14" s="61">
        <v>29</v>
      </c>
      <c r="D14" s="16">
        <v>18</v>
      </c>
      <c r="E14" s="61">
        <v>0</v>
      </c>
      <c r="F14" s="61">
        <v>0</v>
      </c>
      <c r="G14" s="61">
        <v>10</v>
      </c>
      <c r="H14" s="16">
        <v>25</v>
      </c>
      <c r="I14" s="16">
        <v>6</v>
      </c>
      <c r="J14" s="16">
        <v>0</v>
      </c>
      <c r="K14" s="16">
        <v>0</v>
      </c>
      <c r="L14" s="16">
        <v>7</v>
      </c>
      <c r="M14" s="16">
        <v>43</v>
      </c>
      <c r="N14" s="16">
        <v>0</v>
      </c>
      <c r="O14" s="18">
        <f t="shared" si="0"/>
        <v>138</v>
      </c>
      <c r="Q14" s="106">
        <f t="shared" si="1"/>
        <v>50</v>
      </c>
      <c r="S14" s="106">
        <f t="shared" si="2"/>
        <v>47</v>
      </c>
      <c r="T14" s="106">
        <f t="shared" si="3"/>
        <v>41</v>
      </c>
      <c r="U14" s="106">
        <f t="shared" si="4"/>
        <v>50</v>
      </c>
      <c r="W14" s="106">
        <f t="shared" si="5"/>
        <v>50</v>
      </c>
    </row>
    <row r="15" spans="1:23" ht="18.75" customHeight="1" x14ac:dyDescent="0.25">
      <c r="A15" s="14">
        <v>7</v>
      </c>
      <c r="B15" s="19" t="s">
        <v>24</v>
      </c>
      <c r="C15" s="61">
        <v>104</v>
      </c>
      <c r="D15" s="16">
        <v>59</v>
      </c>
      <c r="E15" s="61">
        <v>1</v>
      </c>
      <c r="F15" s="61">
        <v>1</v>
      </c>
      <c r="G15" s="61">
        <v>48</v>
      </c>
      <c r="H15" s="16">
        <v>189</v>
      </c>
      <c r="I15" s="16">
        <v>27</v>
      </c>
      <c r="J15" s="16">
        <v>3</v>
      </c>
      <c r="K15" s="16">
        <v>1</v>
      </c>
      <c r="L15" s="16">
        <v>15</v>
      </c>
      <c r="M15" s="16">
        <v>14</v>
      </c>
      <c r="N15" s="16">
        <v>136</v>
      </c>
      <c r="O15" s="18">
        <f t="shared" si="0"/>
        <v>598</v>
      </c>
      <c r="Q15" s="106">
        <f t="shared" si="1"/>
        <v>29</v>
      </c>
      <c r="S15" s="106">
        <f t="shared" si="2"/>
        <v>165</v>
      </c>
      <c r="T15" s="106">
        <f t="shared" si="3"/>
        <v>267</v>
      </c>
      <c r="U15" s="106">
        <f t="shared" si="4"/>
        <v>165</v>
      </c>
      <c r="W15" s="106">
        <f t="shared" si="5"/>
        <v>165</v>
      </c>
    </row>
    <row r="16" spans="1:23" ht="18.75" customHeight="1" thickBot="1" x14ac:dyDescent="0.3">
      <c r="A16" s="20">
        <v>8</v>
      </c>
      <c r="B16" s="15" t="s">
        <v>25</v>
      </c>
      <c r="C16" s="62">
        <v>64</v>
      </c>
      <c r="D16" s="17">
        <v>145</v>
      </c>
      <c r="E16" s="117">
        <v>6</v>
      </c>
      <c r="F16" s="117">
        <v>26</v>
      </c>
      <c r="G16" s="117">
        <v>66</v>
      </c>
      <c r="H16" s="17">
        <v>101</v>
      </c>
      <c r="I16" s="17">
        <v>0</v>
      </c>
      <c r="J16" s="17">
        <v>48</v>
      </c>
      <c r="K16" s="17">
        <v>27</v>
      </c>
      <c r="L16" s="17">
        <v>26</v>
      </c>
      <c r="M16" s="17">
        <v>125</v>
      </c>
      <c r="N16" s="17">
        <v>122</v>
      </c>
      <c r="O16" s="21">
        <f t="shared" si="0"/>
        <v>756</v>
      </c>
      <c r="Q16" s="106">
        <f t="shared" si="1"/>
        <v>151</v>
      </c>
      <c r="S16" s="106">
        <f t="shared" si="2"/>
        <v>241</v>
      </c>
      <c r="T16" s="106">
        <f t="shared" si="3"/>
        <v>215</v>
      </c>
      <c r="U16" s="106">
        <f t="shared" si="4"/>
        <v>273</v>
      </c>
      <c r="W16" s="106">
        <f t="shared" si="5"/>
        <v>273</v>
      </c>
    </row>
    <row r="17" spans="1:23" ht="18.75" customHeight="1" thickTop="1" x14ac:dyDescent="0.25">
      <c r="A17" s="495" t="s">
        <v>26</v>
      </c>
      <c r="B17" s="496"/>
      <c r="C17" s="22">
        <f t="shared" ref="C17:N17" si="6">SUM(C9:C16)</f>
        <v>490</v>
      </c>
      <c r="D17" s="22">
        <f t="shared" si="6"/>
        <v>733</v>
      </c>
      <c r="E17" s="118">
        <f t="shared" si="6"/>
        <v>12</v>
      </c>
      <c r="F17" s="118">
        <f t="shared" si="6"/>
        <v>32</v>
      </c>
      <c r="G17" s="118">
        <f t="shared" si="6"/>
        <v>191</v>
      </c>
      <c r="H17" s="22">
        <f t="shared" si="6"/>
        <v>406</v>
      </c>
      <c r="I17" s="22">
        <f t="shared" si="6"/>
        <v>99</v>
      </c>
      <c r="J17" s="22">
        <f t="shared" si="6"/>
        <v>91</v>
      </c>
      <c r="K17" s="22">
        <f t="shared" si="6"/>
        <v>59</v>
      </c>
      <c r="L17" s="22">
        <f t="shared" si="6"/>
        <v>67</v>
      </c>
      <c r="M17" s="22">
        <f t="shared" si="6"/>
        <v>217</v>
      </c>
      <c r="N17" s="22">
        <f t="shared" si="6"/>
        <v>497</v>
      </c>
      <c r="O17" s="22">
        <f>SUM(O9:O16)</f>
        <v>2894</v>
      </c>
      <c r="Q17" s="106">
        <f t="shared" si="1"/>
        <v>284</v>
      </c>
      <c r="U17" s="106">
        <f>SUM(U9:U16)</f>
        <v>781</v>
      </c>
      <c r="V17" s="106">
        <f t="shared" ref="V17:W17" si="7">SUM(V9:V16)</f>
        <v>29</v>
      </c>
      <c r="W17" s="106">
        <f t="shared" si="7"/>
        <v>810</v>
      </c>
    </row>
    <row r="18" spans="1:23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23" x14ac:dyDescent="0.25">
      <c r="A19" s="137"/>
      <c r="B19" s="137"/>
      <c r="C19" s="23"/>
      <c r="D19" s="23"/>
      <c r="E19" s="23"/>
      <c r="F19" s="23"/>
      <c r="G19" s="23"/>
      <c r="H19" s="143">
        <f>SUM(F16:H16)</f>
        <v>193</v>
      </c>
      <c r="I19" s="23"/>
      <c r="J19" s="143">
        <f>SUM(C17:J17)</f>
        <v>2054</v>
      </c>
      <c r="K19" s="143">
        <f>SUM(F17:K17)</f>
        <v>878</v>
      </c>
      <c r="L19" s="23"/>
      <c r="M19" s="23"/>
      <c r="N19" s="143">
        <f>SUM(L17:N17)</f>
        <v>781</v>
      </c>
      <c r="O19" s="23"/>
    </row>
    <row r="20" spans="1:23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143">
        <f>SUM(K17:M17)</f>
        <v>343</v>
      </c>
      <c r="L20" s="23"/>
      <c r="M20" s="23"/>
      <c r="N20" s="23"/>
      <c r="O20" s="23"/>
    </row>
    <row r="21" spans="1:23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23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23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23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23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23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23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23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23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23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23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23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497" t="s">
        <v>27</v>
      </c>
      <c r="B35" s="497"/>
      <c r="C35" s="497"/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497"/>
    </row>
    <row r="36" spans="1:17" ht="18.75" x14ac:dyDescent="0.3">
      <c r="A36" s="497" t="s">
        <v>103</v>
      </c>
      <c r="B36" s="497"/>
      <c r="C36" s="497"/>
      <c r="D36" s="497"/>
      <c r="E36" s="497"/>
      <c r="F36" s="497"/>
      <c r="G36" s="497"/>
      <c r="H36" s="497"/>
      <c r="I36" s="497"/>
      <c r="J36" s="497"/>
      <c r="K36" s="497"/>
      <c r="L36" s="497"/>
      <c r="M36" s="497"/>
      <c r="N36" s="497"/>
      <c r="O36" s="497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498" t="s">
        <v>2</v>
      </c>
      <c r="B39" s="498" t="s">
        <v>3</v>
      </c>
      <c r="C39" s="500" t="s">
        <v>4</v>
      </c>
      <c r="D39" s="500"/>
      <c r="E39" s="500"/>
      <c r="F39" s="500"/>
      <c r="G39" s="500"/>
      <c r="H39" s="500"/>
      <c r="I39" s="500"/>
      <c r="J39" s="500"/>
      <c r="K39" s="500"/>
      <c r="L39" s="500"/>
      <c r="M39" s="500"/>
      <c r="N39" s="500"/>
      <c r="O39" s="498" t="s">
        <v>5</v>
      </c>
    </row>
    <row r="40" spans="1:17" x14ac:dyDescent="0.25">
      <c r="A40" s="499"/>
      <c r="B40" s="499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501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63">
        <v>0</v>
      </c>
      <c r="D42" s="63">
        <v>0</v>
      </c>
      <c r="E42" s="28">
        <v>0</v>
      </c>
      <c r="F42" s="28">
        <v>7</v>
      </c>
      <c r="G42" s="28">
        <v>248</v>
      </c>
      <c r="H42" s="28">
        <v>0</v>
      </c>
      <c r="I42" s="28">
        <v>1</v>
      </c>
      <c r="J42" s="28">
        <v>3</v>
      </c>
      <c r="K42" s="28">
        <v>62</v>
      </c>
      <c r="L42" s="59">
        <v>0</v>
      </c>
      <c r="M42" s="28">
        <v>9</v>
      </c>
      <c r="N42" s="28">
        <v>0</v>
      </c>
      <c r="O42" s="29">
        <f>SUM(C42:N42)</f>
        <v>330</v>
      </c>
      <c r="Q42" s="106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61">
        <v>0</v>
      </c>
      <c r="D43" s="16">
        <v>4</v>
      </c>
      <c r="E43" s="16">
        <v>14</v>
      </c>
      <c r="F43" s="16">
        <v>92</v>
      </c>
      <c r="G43" s="16">
        <v>101</v>
      </c>
      <c r="H43" s="16">
        <v>4</v>
      </c>
      <c r="I43" s="16">
        <v>13</v>
      </c>
      <c r="J43" s="16">
        <v>21</v>
      </c>
      <c r="K43" s="16">
        <v>27</v>
      </c>
      <c r="L43" s="61">
        <v>60</v>
      </c>
      <c r="M43" s="16">
        <v>1</v>
      </c>
      <c r="N43" s="16">
        <v>4</v>
      </c>
      <c r="O43" s="18">
        <f t="shared" ref="O43:O49" si="8">SUM(C43:N43)</f>
        <v>341</v>
      </c>
      <c r="Q43" s="106">
        <f t="shared" ref="Q43:Q49" si="9">SUM(C43:E43)</f>
        <v>18</v>
      </c>
    </row>
    <row r="44" spans="1:17" ht="18.75" customHeight="1" x14ac:dyDescent="0.25">
      <c r="A44" s="14">
        <v>3</v>
      </c>
      <c r="B44" s="7" t="s">
        <v>20</v>
      </c>
      <c r="C44" s="61">
        <v>0</v>
      </c>
      <c r="D44" s="16">
        <v>0</v>
      </c>
      <c r="E44" s="16">
        <v>0</v>
      </c>
      <c r="F44" s="16">
        <v>10</v>
      </c>
      <c r="G44" s="16">
        <v>15</v>
      </c>
      <c r="H44" s="16">
        <v>0</v>
      </c>
      <c r="I44" s="16">
        <v>5</v>
      </c>
      <c r="J44" s="16">
        <v>10</v>
      </c>
      <c r="K44" s="16">
        <v>0</v>
      </c>
      <c r="L44" s="61">
        <v>0</v>
      </c>
      <c r="M44" s="16">
        <v>0</v>
      </c>
      <c r="N44" s="16">
        <v>0</v>
      </c>
      <c r="O44" s="18">
        <f t="shared" si="8"/>
        <v>40</v>
      </c>
      <c r="Q44" s="106">
        <f t="shared" si="9"/>
        <v>0</v>
      </c>
    </row>
    <row r="45" spans="1:17" ht="18.75" customHeight="1" x14ac:dyDescent="0.25">
      <c r="A45" s="14">
        <v>4</v>
      </c>
      <c r="B45" s="15" t="s">
        <v>21</v>
      </c>
      <c r="C45" s="61">
        <v>1</v>
      </c>
      <c r="D45" s="16">
        <v>2</v>
      </c>
      <c r="E45" s="16">
        <v>16</v>
      </c>
      <c r="F45" s="16">
        <v>182</v>
      </c>
      <c r="G45" s="17">
        <v>0</v>
      </c>
      <c r="H45" s="16">
        <v>1</v>
      </c>
      <c r="I45" s="16">
        <v>0</v>
      </c>
      <c r="J45" s="16">
        <v>21</v>
      </c>
      <c r="K45" s="16">
        <v>11</v>
      </c>
      <c r="L45" s="61">
        <v>0</v>
      </c>
      <c r="M45" s="16">
        <v>1</v>
      </c>
      <c r="N45" s="16">
        <v>5</v>
      </c>
      <c r="O45" s="18">
        <f t="shared" si="8"/>
        <v>240</v>
      </c>
      <c r="Q45" s="106">
        <f t="shared" si="9"/>
        <v>19</v>
      </c>
    </row>
    <row r="46" spans="1:17" ht="18.75" customHeight="1" x14ac:dyDescent="0.25">
      <c r="A46" s="14">
        <v>5</v>
      </c>
      <c r="B46" s="19" t="s">
        <v>22</v>
      </c>
      <c r="C46" s="61">
        <v>0</v>
      </c>
      <c r="D46" s="16">
        <v>0</v>
      </c>
      <c r="E46" s="16">
        <v>0</v>
      </c>
      <c r="F46" s="16">
        <v>45</v>
      </c>
      <c r="G46" s="16">
        <v>119</v>
      </c>
      <c r="H46" s="16">
        <v>0</v>
      </c>
      <c r="I46" s="16">
        <v>0</v>
      </c>
      <c r="J46" s="16">
        <v>20</v>
      </c>
      <c r="K46" s="16">
        <v>0</v>
      </c>
      <c r="L46" s="16">
        <v>0</v>
      </c>
      <c r="M46" s="16">
        <v>0</v>
      </c>
      <c r="N46" s="16">
        <v>10</v>
      </c>
      <c r="O46" s="18">
        <f t="shared" si="8"/>
        <v>194</v>
      </c>
      <c r="Q46" s="106">
        <f t="shared" si="9"/>
        <v>0</v>
      </c>
    </row>
    <row r="47" spans="1:17" ht="18.75" customHeight="1" x14ac:dyDescent="0.25">
      <c r="A47" s="14">
        <v>6</v>
      </c>
      <c r="B47" s="19" t="s">
        <v>23</v>
      </c>
      <c r="C47" s="61">
        <v>5</v>
      </c>
      <c r="D47" s="16">
        <v>0</v>
      </c>
      <c r="E47" s="16">
        <v>0</v>
      </c>
      <c r="F47" s="16">
        <v>36</v>
      </c>
      <c r="G47" s="16">
        <v>18</v>
      </c>
      <c r="H47" s="16">
        <v>0</v>
      </c>
      <c r="I47" s="16">
        <v>0</v>
      </c>
      <c r="J47" s="16">
        <v>14</v>
      </c>
      <c r="K47" s="16">
        <v>21</v>
      </c>
      <c r="L47" s="16">
        <v>6</v>
      </c>
      <c r="M47" s="16">
        <v>0</v>
      </c>
      <c r="N47" s="16">
        <v>0</v>
      </c>
      <c r="O47" s="18">
        <f t="shared" si="8"/>
        <v>100</v>
      </c>
      <c r="Q47" s="106">
        <f t="shared" si="9"/>
        <v>5</v>
      </c>
    </row>
    <row r="48" spans="1:17" ht="18.75" customHeight="1" x14ac:dyDescent="0.25">
      <c r="A48" s="14">
        <v>7</v>
      </c>
      <c r="B48" s="19" t="s">
        <v>24</v>
      </c>
      <c r="C48" s="61">
        <v>1</v>
      </c>
      <c r="D48" s="16">
        <v>4</v>
      </c>
      <c r="E48" s="16">
        <v>245</v>
      </c>
      <c r="F48" s="16">
        <v>99</v>
      </c>
      <c r="G48" s="16">
        <v>1</v>
      </c>
      <c r="H48" s="16">
        <v>1</v>
      </c>
      <c r="I48" s="16">
        <v>0</v>
      </c>
      <c r="J48" s="16">
        <v>237</v>
      </c>
      <c r="K48" s="16">
        <v>27</v>
      </c>
      <c r="L48" s="16">
        <v>3</v>
      </c>
      <c r="M48" s="16">
        <v>0</v>
      </c>
      <c r="N48" s="16">
        <v>4</v>
      </c>
      <c r="O48" s="18">
        <f t="shared" si="8"/>
        <v>622</v>
      </c>
      <c r="Q48" s="106">
        <f t="shared" si="9"/>
        <v>250</v>
      </c>
    </row>
    <row r="49" spans="1:17" ht="18.75" customHeight="1" thickBot="1" x14ac:dyDescent="0.3">
      <c r="A49" s="20">
        <v>8</v>
      </c>
      <c r="B49" s="15" t="s">
        <v>25</v>
      </c>
      <c r="C49" s="62">
        <v>25</v>
      </c>
      <c r="D49" s="17">
        <v>1</v>
      </c>
      <c r="E49" s="17">
        <v>42</v>
      </c>
      <c r="F49" s="17">
        <v>64</v>
      </c>
      <c r="G49" s="17">
        <v>145</v>
      </c>
      <c r="H49" s="17">
        <v>6</v>
      </c>
      <c r="I49" s="17">
        <v>26</v>
      </c>
      <c r="J49" s="17">
        <v>66</v>
      </c>
      <c r="K49" s="17">
        <v>101</v>
      </c>
      <c r="L49" s="17">
        <v>0</v>
      </c>
      <c r="M49" s="17">
        <v>48</v>
      </c>
      <c r="N49" s="17">
        <v>27</v>
      </c>
      <c r="O49" s="21">
        <f t="shared" si="8"/>
        <v>551</v>
      </c>
      <c r="Q49" s="106">
        <f t="shared" si="9"/>
        <v>68</v>
      </c>
    </row>
    <row r="50" spans="1:17" ht="18.75" customHeight="1" thickTop="1" x14ac:dyDescent="0.25">
      <c r="A50" s="495" t="s">
        <v>26</v>
      </c>
      <c r="B50" s="496"/>
      <c r="C50" s="22">
        <f t="shared" ref="C50:O50" si="10">SUM(C42:C49)</f>
        <v>32</v>
      </c>
      <c r="D50" s="22">
        <f t="shared" si="10"/>
        <v>11</v>
      </c>
      <c r="E50" s="22">
        <f t="shared" si="10"/>
        <v>317</v>
      </c>
      <c r="F50" s="22">
        <f t="shared" si="10"/>
        <v>535</v>
      </c>
      <c r="G50" s="22">
        <f t="shared" si="10"/>
        <v>647</v>
      </c>
      <c r="H50" s="22">
        <f t="shared" si="10"/>
        <v>12</v>
      </c>
      <c r="I50" s="22">
        <f t="shared" si="10"/>
        <v>45</v>
      </c>
      <c r="J50" s="22">
        <f t="shared" si="10"/>
        <v>392</v>
      </c>
      <c r="K50" s="22">
        <f t="shared" si="10"/>
        <v>249</v>
      </c>
      <c r="L50" s="22">
        <f t="shared" si="10"/>
        <v>69</v>
      </c>
      <c r="M50" s="22">
        <f t="shared" si="10"/>
        <v>59</v>
      </c>
      <c r="N50" s="22">
        <f t="shared" si="10"/>
        <v>50</v>
      </c>
      <c r="O50" s="22">
        <f t="shared" si="10"/>
        <v>2418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104">
        <f>SUM(C50:J50)</f>
        <v>1991</v>
      </c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104">
        <f>J50*5.8</f>
        <v>2273.6</v>
      </c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497" t="s">
        <v>28</v>
      </c>
      <c r="B68" s="497"/>
      <c r="C68" s="497"/>
      <c r="D68" s="497"/>
      <c r="E68" s="497"/>
      <c r="F68" s="497"/>
      <c r="G68" s="497"/>
      <c r="H68" s="497"/>
      <c r="I68" s="497"/>
      <c r="J68" s="497"/>
      <c r="K68" s="497"/>
      <c r="L68" s="497"/>
      <c r="M68" s="497"/>
      <c r="N68" s="497"/>
      <c r="O68" s="497"/>
    </row>
    <row r="69" spans="1:17" ht="18.75" x14ac:dyDescent="0.3">
      <c r="A69" s="497" t="s">
        <v>103</v>
      </c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497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502" t="s">
        <v>2</v>
      </c>
      <c r="B72" s="502" t="s">
        <v>3</v>
      </c>
      <c r="C72" s="504" t="s">
        <v>4</v>
      </c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2" t="s">
        <v>5</v>
      </c>
    </row>
    <row r="73" spans="1:17" x14ac:dyDescent="0.25">
      <c r="A73" s="503"/>
      <c r="B73" s="503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505"/>
    </row>
    <row r="74" spans="1:17" ht="15.75" thickBot="1" x14ac:dyDescent="0.3">
      <c r="A74" s="5">
        <v>1</v>
      </c>
      <c r="B74" s="5">
        <v>2</v>
      </c>
      <c r="C74" s="5">
        <v>3</v>
      </c>
      <c r="D74" s="5">
        <v>4</v>
      </c>
      <c r="E74" s="5">
        <v>5</v>
      </c>
      <c r="F74" s="5">
        <v>6</v>
      </c>
      <c r="G74" s="5">
        <v>7</v>
      </c>
      <c r="H74" s="5">
        <v>8</v>
      </c>
      <c r="I74" s="5">
        <v>9</v>
      </c>
      <c r="J74" s="5">
        <v>10</v>
      </c>
      <c r="K74" s="5">
        <v>11</v>
      </c>
      <c r="L74" s="5">
        <v>12</v>
      </c>
      <c r="M74" s="5">
        <v>13</v>
      </c>
      <c r="N74" s="5">
        <v>14</v>
      </c>
      <c r="O74" s="5">
        <v>15</v>
      </c>
    </row>
    <row r="75" spans="1:17" ht="18.75" customHeight="1" thickTop="1" x14ac:dyDescent="0.25">
      <c r="A75" s="6">
        <v>1</v>
      </c>
      <c r="B75" s="7" t="s">
        <v>18</v>
      </c>
      <c r="C75" s="63">
        <v>0</v>
      </c>
      <c r="D75" s="63">
        <v>0</v>
      </c>
      <c r="E75" s="28">
        <v>0</v>
      </c>
      <c r="F75" s="9">
        <v>35</v>
      </c>
      <c r="G75" s="28">
        <v>1237</v>
      </c>
      <c r="H75" s="28">
        <v>0</v>
      </c>
      <c r="I75" s="28">
        <v>5</v>
      </c>
      <c r="J75" s="28">
        <v>13</v>
      </c>
      <c r="K75" s="28">
        <v>337</v>
      </c>
      <c r="L75" s="59">
        <v>0</v>
      </c>
      <c r="M75" s="28">
        <v>67</v>
      </c>
      <c r="N75" s="28">
        <v>0</v>
      </c>
      <c r="O75" s="10">
        <f>SUM(C75:N75)</f>
        <v>1694</v>
      </c>
      <c r="Q75" s="106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61">
        <v>0</v>
      </c>
      <c r="D76" s="16">
        <v>37</v>
      </c>
      <c r="E76" s="16">
        <v>91</v>
      </c>
      <c r="F76" s="16">
        <v>751</v>
      </c>
      <c r="G76" s="16">
        <v>606</v>
      </c>
      <c r="H76" s="16">
        <v>24</v>
      </c>
      <c r="I76" s="16">
        <v>78</v>
      </c>
      <c r="J76" s="16">
        <v>171</v>
      </c>
      <c r="K76" s="16">
        <v>213</v>
      </c>
      <c r="L76" s="61">
        <v>450</v>
      </c>
      <c r="M76" s="16">
        <v>6</v>
      </c>
      <c r="N76" s="16">
        <v>24</v>
      </c>
      <c r="O76" s="18">
        <f t="shared" ref="O76:O82" si="11">SUM(C76:N76)</f>
        <v>2451</v>
      </c>
      <c r="Q76" s="106">
        <f t="shared" ref="Q76:Q82" si="12">SUM(C76:E76)</f>
        <v>128</v>
      </c>
    </row>
    <row r="77" spans="1:17" ht="18.75" customHeight="1" x14ac:dyDescent="0.25">
      <c r="A77" s="14">
        <v>3</v>
      </c>
      <c r="B77" s="7" t="s">
        <v>20</v>
      </c>
      <c r="C77" s="61">
        <v>0</v>
      </c>
      <c r="D77" s="16">
        <v>0</v>
      </c>
      <c r="E77" s="16">
        <v>0</v>
      </c>
      <c r="F77" s="16">
        <v>57</v>
      </c>
      <c r="G77" s="16">
        <v>86</v>
      </c>
      <c r="H77" s="16">
        <v>0</v>
      </c>
      <c r="I77" s="16">
        <v>28</v>
      </c>
      <c r="J77" s="16">
        <v>50</v>
      </c>
      <c r="K77" s="16">
        <v>0</v>
      </c>
      <c r="L77" s="61">
        <v>0</v>
      </c>
      <c r="M77" s="16">
        <v>0</v>
      </c>
      <c r="N77" s="16">
        <v>0</v>
      </c>
      <c r="O77" s="18">
        <f t="shared" si="11"/>
        <v>221</v>
      </c>
      <c r="Q77" s="106">
        <f t="shared" si="12"/>
        <v>0</v>
      </c>
    </row>
    <row r="78" spans="1:17" ht="18.75" customHeight="1" x14ac:dyDescent="0.25">
      <c r="A78" s="14">
        <v>4</v>
      </c>
      <c r="B78" s="15" t="s">
        <v>21</v>
      </c>
      <c r="C78" s="61">
        <v>5</v>
      </c>
      <c r="D78" s="16">
        <v>11</v>
      </c>
      <c r="E78" s="16">
        <v>94</v>
      </c>
      <c r="F78" s="17">
        <v>1029</v>
      </c>
      <c r="G78" s="17">
        <v>0</v>
      </c>
      <c r="H78" s="16">
        <v>5</v>
      </c>
      <c r="I78" s="16">
        <v>0</v>
      </c>
      <c r="J78" s="16">
        <v>123</v>
      </c>
      <c r="K78" s="16">
        <v>90</v>
      </c>
      <c r="L78" s="61">
        <v>0</v>
      </c>
      <c r="M78" s="16">
        <v>7</v>
      </c>
      <c r="N78" s="16">
        <v>43</v>
      </c>
      <c r="O78" s="18">
        <f t="shared" si="11"/>
        <v>1407</v>
      </c>
      <c r="Q78" s="106">
        <f t="shared" si="12"/>
        <v>110</v>
      </c>
    </row>
    <row r="79" spans="1:17" ht="18.75" customHeight="1" x14ac:dyDescent="0.25">
      <c r="A79" s="14">
        <v>5</v>
      </c>
      <c r="B79" s="19" t="s">
        <v>22</v>
      </c>
      <c r="C79" s="61">
        <v>0</v>
      </c>
      <c r="D79" s="16">
        <v>0</v>
      </c>
      <c r="E79" s="16">
        <v>0</v>
      </c>
      <c r="F79" s="16">
        <v>262</v>
      </c>
      <c r="G79" s="16">
        <v>701</v>
      </c>
      <c r="H79" s="16">
        <v>0</v>
      </c>
      <c r="I79" s="16">
        <v>0</v>
      </c>
      <c r="J79" s="16">
        <v>116</v>
      </c>
      <c r="K79" s="16">
        <v>0</v>
      </c>
      <c r="L79" s="16">
        <v>0</v>
      </c>
      <c r="M79" s="16">
        <v>0</v>
      </c>
      <c r="N79" s="16">
        <v>68</v>
      </c>
      <c r="O79" s="18">
        <f t="shared" si="11"/>
        <v>1147</v>
      </c>
      <c r="Q79" s="106">
        <f t="shared" si="12"/>
        <v>0</v>
      </c>
    </row>
    <row r="80" spans="1:17" ht="18.75" customHeight="1" x14ac:dyDescent="0.25">
      <c r="A80" s="14">
        <v>6</v>
      </c>
      <c r="B80" s="19" t="s">
        <v>23</v>
      </c>
      <c r="C80" s="61">
        <v>29</v>
      </c>
      <c r="D80" s="16">
        <v>0</v>
      </c>
      <c r="E80" s="16">
        <v>0</v>
      </c>
      <c r="F80" s="16">
        <v>278</v>
      </c>
      <c r="G80" s="16">
        <v>105</v>
      </c>
      <c r="H80" s="16">
        <v>0</v>
      </c>
      <c r="I80" s="16">
        <v>0</v>
      </c>
      <c r="J80" s="16">
        <v>91</v>
      </c>
      <c r="K80" s="16">
        <v>134</v>
      </c>
      <c r="L80" s="16">
        <v>36</v>
      </c>
      <c r="M80" s="16">
        <v>0</v>
      </c>
      <c r="N80" s="16">
        <v>0</v>
      </c>
      <c r="O80" s="18">
        <f t="shared" si="11"/>
        <v>673</v>
      </c>
      <c r="Q80" s="106">
        <f t="shared" si="12"/>
        <v>29</v>
      </c>
    </row>
    <row r="81" spans="1:17" ht="18.75" customHeight="1" x14ac:dyDescent="0.25">
      <c r="A81" s="14">
        <v>7</v>
      </c>
      <c r="B81" s="19" t="s">
        <v>24</v>
      </c>
      <c r="C81" s="61">
        <v>6</v>
      </c>
      <c r="D81" s="16">
        <v>23</v>
      </c>
      <c r="E81" s="16">
        <v>1559</v>
      </c>
      <c r="F81" s="16">
        <v>553</v>
      </c>
      <c r="G81" s="16">
        <v>6</v>
      </c>
      <c r="H81" s="16">
        <v>6</v>
      </c>
      <c r="I81" s="16">
        <v>0</v>
      </c>
      <c r="J81" s="16">
        <v>1325</v>
      </c>
      <c r="K81" s="16">
        <v>144</v>
      </c>
      <c r="L81" s="16">
        <v>17</v>
      </c>
      <c r="M81" s="16">
        <v>0</v>
      </c>
      <c r="N81" s="16">
        <v>21</v>
      </c>
      <c r="O81" s="18">
        <f t="shared" si="11"/>
        <v>3660</v>
      </c>
      <c r="Q81" s="106">
        <f t="shared" si="12"/>
        <v>1588</v>
      </c>
    </row>
    <row r="82" spans="1:17" ht="18.75" customHeight="1" thickBot="1" x14ac:dyDescent="0.3">
      <c r="A82" s="20">
        <v>8</v>
      </c>
      <c r="B82" s="15" t="s">
        <v>25</v>
      </c>
      <c r="C82" s="62">
        <v>112</v>
      </c>
      <c r="D82" s="17">
        <v>5</v>
      </c>
      <c r="E82" s="17">
        <v>318</v>
      </c>
      <c r="F82" s="17">
        <v>515</v>
      </c>
      <c r="G82" s="17">
        <v>948</v>
      </c>
      <c r="H82" s="17">
        <v>39</v>
      </c>
      <c r="I82" s="17">
        <v>145</v>
      </c>
      <c r="J82" s="17">
        <v>518</v>
      </c>
      <c r="K82" s="17">
        <v>760</v>
      </c>
      <c r="L82" s="17">
        <v>0</v>
      </c>
      <c r="M82" s="17">
        <v>306</v>
      </c>
      <c r="N82" s="17">
        <v>175</v>
      </c>
      <c r="O82" s="21">
        <f t="shared" si="11"/>
        <v>3841</v>
      </c>
      <c r="Q82" s="106">
        <f t="shared" si="12"/>
        <v>435</v>
      </c>
    </row>
    <row r="83" spans="1:17" ht="18.75" customHeight="1" thickTop="1" x14ac:dyDescent="0.25">
      <c r="A83" s="495" t="s">
        <v>26</v>
      </c>
      <c r="B83" s="496"/>
      <c r="C83" s="22">
        <f t="shared" ref="C83:N83" si="13">SUM(C75:C82)</f>
        <v>152</v>
      </c>
      <c r="D83" s="22">
        <f t="shared" si="13"/>
        <v>76</v>
      </c>
      <c r="E83" s="22">
        <f t="shared" si="13"/>
        <v>2062</v>
      </c>
      <c r="F83" s="22">
        <f t="shared" si="13"/>
        <v>3480</v>
      </c>
      <c r="G83" s="22">
        <f t="shared" si="13"/>
        <v>3689</v>
      </c>
      <c r="H83" s="22">
        <f t="shared" si="13"/>
        <v>74</v>
      </c>
      <c r="I83" s="22">
        <f t="shared" si="13"/>
        <v>256</v>
      </c>
      <c r="J83" s="22">
        <f t="shared" si="13"/>
        <v>2407</v>
      </c>
      <c r="K83" s="22">
        <f t="shared" si="13"/>
        <v>1678</v>
      </c>
      <c r="L83" s="22">
        <f t="shared" si="13"/>
        <v>503</v>
      </c>
      <c r="M83" s="22">
        <f t="shared" si="13"/>
        <v>386</v>
      </c>
      <c r="N83" s="22">
        <f t="shared" si="13"/>
        <v>331</v>
      </c>
      <c r="O83" s="22">
        <f>SUM(O75:O82)</f>
        <v>15094</v>
      </c>
    </row>
    <row r="84" spans="1:17" x14ac:dyDescent="0.25">
      <c r="A84" s="23"/>
      <c r="B84" s="23"/>
      <c r="C84" s="143"/>
      <c r="D84" s="30"/>
      <c r="E84" s="23"/>
      <c r="F84" s="143"/>
      <c r="G84" s="23"/>
      <c r="H84" s="23"/>
      <c r="I84" s="143"/>
      <c r="J84" s="23"/>
      <c r="K84" s="23"/>
      <c r="L84" s="143"/>
      <c r="M84" s="23"/>
      <c r="N84" s="23"/>
      <c r="O84" s="143"/>
    </row>
    <row r="85" spans="1:17" x14ac:dyDescent="0.25">
      <c r="A85" s="24"/>
      <c r="B85" s="24"/>
      <c r="C85" s="24"/>
      <c r="E85" s="24"/>
      <c r="F85" s="24"/>
      <c r="G85" s="24"/>
      <c r="H85" s="24"/>
      <c r="I85" s="24"/>
      <c r="J85" s="10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104"/>
      <c r="K86" s="24"/>
      <c r="L86" s="493" t="s">
        <v>176</v>
      </c>
      <c r="M86" s="24"/>
      <c r="N86" s="10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493" t="s">
        <v>177</v>
      </c>
      <c r="M87" s="24"/>
      <c r="N87" s="24"/>
      <c r="O87" s="24"/>
      <c r="Q87" s="106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493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493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493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494" t="s">
        <v>178</v>
      </c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493" t="s">
        <v>179</v>
      </c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493" t="s">
        <v>180</v>
      </c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497" t="s">
        <v>30</v>
      </c>
      <c r="B101" s="497"/>
      <c r="C101" s="497"/>
      <c r="D101" s="497"/>
      <c r="E101" s="497"/>
      <c r="F101" s="497"/>
      <c r="G101" s="497"/>
      <c r="H101" s="497"/>
      <c r="I101" s="497"/>
      <c r="J101" s="497"/>
      <c r="K101" s="497"/>
      <c r="L101" s="497"/>
      <c r="M101" s="497"/>
      <c r="N101" s="497"/>
      <c r="O101" s="497"/>
    </row>
    <row r="102" spans="1:15" ht="18.75" x14ac:dyDescent="0.3">
      <c r="A102" s="497" t="s">
        <v>103</v>
      </c>
      <c r="B102" s="497"/>
      <c r="C102" s="497"/>
      <c r="D102" s="497"/>
      <c r="E102" s="497"/>
      <c r="F102" s="497"/>
      <c r="G102" s="497"/>
      <c r="H102" s="497"/>
      <c r="I102" s="497"/>
      <c r="J102" s="497"/>
      <c r="K102" s="497"/>
      <c r="L102" s="497"/>
      <c r="M102" s="497"/>
      <c r="N102" s="497"/>
      <c r="O102" s="497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498" t="s">
        <v>2</v>
      </c>
      <c r="B105" s="498" t="s">
        <v>3</v>
      </c>
      <c r="C105" s="500" t="s">
        <v>4</v>
      </c>
      <c r="D105" s="500"/>
      <c r="E105" s="500"/>
      <c r="F105" s="500"/>
      <c r="G105" s="500"/>
      <c r="H105" s="500"/>
      <c r="I105" s="500"/>
      <c r="J105" s="500"/>
      <c r="K105" s="500"/>
      <c r="L105" s="500"/>
      <c r="M105" s="500"/>
      <c r="N105" s="500"/>
      <c r="O105" s="498" t="s">
        <v>5</v>
      </c>
    </row>
    <row r="106" spans="1:15" x14ac:dyDescent="0.25">
      <c r="A106" s="499"/>
      <c r="B106" s="499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501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64">
        <v>0</v>
      </c>
      <c r="D108" s="64">
        <v>0</v>
      </c>
      <c r="E108" s="70">
        <v>0</v>
      </c>
      <c r="F108" s="32">
        <v>49.88</v>
      </c>
      <c r="G108" s="32">
        <v>49.88</v>
      </c>
      <c r="H108" s="32">
        <v>0</v>
      </c>
      <c r="I108" s="32">
        <v>53</v>
      </c>
      <c r="J108" s="32">
        <v>44.72</v>
      </c>
      <c r="K108" s="32">
        <v>54.35</v>
      </c>
      <c r="L108" s="65">
        <v>0</v>
      </c>
      <c r="M108" s="32">
        <v>75</v>
      </c>
      <c r="N108" s="32">
        <v>0</v>
      </c>
      <c r="O108" s="33">
        <f t="shared" ref="O108:O115" si="14">O75/O42*10</f>
        <v>51.333333333333336</v>
      </c>
    </row>
    <row r="109" spans="1:15" ht="18.75" customHeight="1" x14ac:dyDescent="0.25">
      <c r="A109" s="14">
        <v>2</v>
      </c>
      <c r="B109" s="12" t="s">
        <v>19</v>
      </c>
      <c r="C109" s="66">
        <v>0</v>
      </c>
      <c r="D109" s="34">
        <v>92.16</v>
      </c>
      <c r="E109" s="34">
        <v>76</v>
      </c>
      <c r="F109" s="34">
        <v>81.7</v>
      </c>
      <c r="G109" s="34">
        <v>60</v>
      </c>
      <c r="H109" s="34">
        <v>60</v>
      </c>
      <c r="I109" s="34">
        <v>60.15</v>
      </c>
      <c r="J109" s="34">
        <v>81.569999999999993</v>
      </c>
      <c r="K109" s="34">
        <v>78.75</v>
      </c>
      <c r="L109" s="66">
        <v>76.510000000000005</v>
      </c>
      <c r="M109" s="34">
        <v>60</v>
      </c>
      <c r="N109" s="34">
        <v>61.25</v>
      </c>
      <c r="O109" s="35">
        <f t="shared" si="14"/>
        <v>71.876832844574778</v>
      </c>
    </row>
    <row r="110" spans="1:15" ht="18.75" customHeight="1" x14ac:dyDescent="0.25">
      <c r="A110" s="14">
        <v>3</v>
      </c>
      <c r="B110" s="7" t="s">
        <v>20</v>
      </c>
      <c r="C110" s="66">
        <v>0</v>
      </c>
      <c r="D110" s="34">
        <v>0</v>
      </c>
      <c r="E110" s="34">
        <v>0</v>
      </c>
      <c r="F110" s="34">
        <v>57.62</v>
      </c>
      <c r="G110" s="34">
        <v>57.35</v>
      </c>
      <c r="H110" s="34">
        <v>0</v>
      </c>
      <c r="I110" s="34">
        <v>57</v>
      </c>
      <c r="J110" s="34">
        <v>50.74</v>
      </c>
      <c r="K110" s="34">
        <v>0</v>
      </c>
      <c r="L110" s="66">
        <v>0</v>
      </c>
      <c r="M110" s="34">
        <v>0</v>
      </c>
      <c r="N110" s="34">
        <v>0</v>
      </c>
      <c r="O110" s="35">
        <f t="shared" si="14"/>
        <v>55.25</v>
      </c>
    </row>
    <row r="111" spans="1:15" ht="18.75" customHeight="1" x14ac:dyDescent="0.25">
      <c r="A111" s="14">
        <v>4</v>
      </c>
      <c r="B111" s="15" t="s">
        <v>21</v>
      </c>
      <c r="C111" s="66">
        <v>52.33</v>
      </c>
      <c r="D111" s="34">
        <v>53.22</v>
      </c>
      <c r="E111" s="34">
        <v>58.65</v>
      </c>
      <c r="F111" s="34">
        <v>56.55</v>
      </c>
      <c r="G111" s="36">
        <v>0</v>
      </c>
      <c r="H111" s="34">
        <v>52.46</v>
      </c>
      <c r="I111" s="34">
        <v>0</v>
      </c>
      <c r="J111" s="34">
        <v>63</v>
      </c>
      <c r="K111" s="34">
        <v>81.599999999999994</v>
      </c>
      <c r="L111" s="66">
        <v>0</v>
      </c>
      <c r="M111" s="34">
        <v>69.36</v>
      </c>
      <c r="N111" s="34">
        <v>85.68</v>
      </c>
      <c r="O111" s="35">
        <f t="shared" si="14"/>
        <v>58.625</v>
      </c>
    </row>
    <row r="112" spans="1:15" ht="18.75" customHeight="1" x14ac:dyDescent="0.25">
      <c r="A112" s="14">
        <v>5</v>
      </c>
      <c r="B112" s="19" t="s">
        <v>22</v>
      </c>
      <c r="C112" s="66">
        <v>0</v>
      </c>
      <c r="D112" s="34">
        <v>0</v>
      </c>
      <c r="E112" s="34">
        <v>0</v>
      </c>
      <c r="F112" s="34">
        <v>58.15</v>
      </c>
      <c r="G112" s="34">
        <v>58.93</v>
      </c>
      <c r="H112" s="34">
        <v>0</v>
      </c>
      <c r="I112" s="34">
        <v>0</v>
      </c>
      <c r="J112" s="34">
        <v>58</v>
      </c>
      <c r="K112" s="34">
        <v>0</v>
      </c>
      <c r="L112" s="34">
        <v>0</v>
      </c>
      <c r="M112" s="34">
        <v>0</v>
      </c>
      <c r="N112" s="34">
        <v>68</v>
      </c>
      <c r="O112" s="35">
        <f t="shared" si="14"/>
        <v>59.123711340206185</v>
      </c>
    </row>
    <row r="113" spans="1:15" ht="18.75" customHeight="1" x14ac:dyDescent="0.25">
      <c r="A113" s="14">
        <v>6</v>
      </c>
      <c r="B113" s="19" t="s">
        <v>23</v>
      </c>
      <c r="C113" s="66">
        <v>58.08</v>
      </c>
      <c r="D113" s="34">
        <v>0</v>
      </c>
      <c r="E113" s="34">
        <v>0</v>
      </c>
      <c r="F113" s="34">
        <v>77.400000000000006</v>
      </c>
      <c r="G113" s="34">
        <v>58.48</v>
      </c>
      <c r="H113" s="34">
        <v>0</v>
      </c>
      <c r="I113" s="34">
        <v>0</v>
      </c>
      <c r="J113" s="34">
        <v>65.36</v>
      </c>
      <c r="K113" s="34">
        <v>63.75</v>
      </c>
      <c r="L113" s="34">
        <v>60.35</v>
      </c>
      <c r="M113" s="34">
        <v>0</v>
      </c>
      <c r="N113" s="34">
        <v>0</v>
      </c>
      <c r="O113" s="35">
        <f t="shared" si="14"/>
        <v>67.300000000000011</v>
      </c>
    </row>
    <row r="114" spans="1:15" ht="18.75" customHeight="1" x14ac:dyDescent="0.25">
      <c r="A114" s="14">
        <v>7</v>
      </c>
      <c r="B114" s="19" t="s">
        <v>24</v>
      </c>
      <c r="C114" s="66">
        <v>55.9</v>
      </c>
      <c r="D114" s="34">
        <v>57.62</v>
      </c>
      <c r="E114" s="34">
        <v>63.64</v>
      </c>
      <c r="F114" s="34">
        <v>55.9</v>
      </c>
      <c r="G114" s="34">
        <v>60</v>
      </c>
      <c r="H114" s="34">
        <v>60</v>
      </c>
      <c r="I114" s="34">
        <v>0</v>
      </c>
      <c r="J114" s="34">
        <v>55.9</v>
      </c>
      <c r="K114" s="34">
        <v>53.55</v>
      </c>
      <c r="L114" s="34">
        <v>57.8</v>
      </c>
      <c r="M114" s="34">
        <v>0</v>
      </c>
      <c r="N114" s="34">
        <v>52.7</v>
      </c>
      <c r="O114" s="35">
        <f t="shared" si="14"/>
        <v>58.842443729903536</v>
      </c>
    </row>
    <row r="115" spans="1:15" ht="18.75" customHeight="1" thickBot="1" x14ac:dyDescent="0.3">
      <c r="A115" s="20">
        <v>8</v>
      </c>
      <c r="B115" s="15" t="s">
        <v>25</v>
      </c>
      <c r="C115" s="67">
        <v>45.01</v>
      </c>
      <c r="D115" s="36">
        <v>50</v>
      </c>
      <c r="E115" s="36">
        <v>75.680000000000007</v>
      </c>
      <c r="F115" s="36">
        <v>80.510000000000005</v>
      </c>
      <c r="G115" s="36">
        <v>65.349999999999994</v>
      </c>
      <c r="H115" s="36">
        <v>65.349999999999994</v>
      </c>
      <c r="I115" s="34">
        <v>55.9</v>
      </c>
      <c r="J115" s="36">
        <v>78.430000000000007</v>
      </c>
      <c r="K115" s="36">
        <v>75.25</v>
      </c>
      <c r="L115" s="36">
        <v>0</v>
      </c>
      <c r="M115" s="36">
        <v>63.75</v>
      </c>
      <c r="N115" s="36">
        <v>65</v>
      </c>
      <c r="O115" s="37">
        <f t="shared" si="14"/>
        <v>69.709618874773142</v>
      </c>
    </row>
    <row r="116" spans="1:15" ht="18.75" customHeight="1" thickTop="1" x14ac:dyDescent="0.25">
      <c r="A116" s="495" t="s">
        <v>26</v>
      </c>
      <c r="B116" s="496"/>
      <c r="C116" s="38">
        <f>C83/C50*10</f>
        <v>47.5</v>
      </c>
      <c r="D116" s="38">
        <f>D83/D50*10</f>
        <v>69.090909090909093</v>
      </c>
      <c r="E116" s="38">
        <f>E83/E50*10</f>
        <v>65.047318611987379</v>
      </c>
      <c r="F116" s="38">
        <f t="shared" ref="F116:O116" si="15">F83/F50*10</f>
        <v>65.046728971962608</v>
      </c>
      <c r="G116" s="38">
        <f>G83/G50*10</f>
        <v>57.017001545595051</v>
      </c>
      <c r="H116" s="38">
        <f t="shared" si="15"/>
        <v>61.666666666666671</v>
      </c>
      <c r="I116" s="38">
        <f t="shared" si="15"/>
        <v>56.888888888888893</v>
      </c>
      <c r="J116" s="38">
        <f t="shared" si="15"/>
        <v>61.403061224489797</v>
      </c>
      <c r="K116" s="38">
        <f t="shared" si="15"/>
        <v>67.389558232931734</v>
      </c>
      <c r="L116" s="38">
        <f t="shared" si="15"/>
        <v>72.898550724637687</v>
      </c>
      <c r="M116" s="38">
        <f t="shared" si="15"/>
        <v>65.423728813559322</v>
      </c>
      <c r="N116" s="38">
        <f t="shared" si="15"/>
        <v>66.2</v>
      </c>
      <c r="O116" s="38">
        <f t="shared" si="15"/>
        <v>62.423490488006621</v>
      </c>
    </row>
    <row r="117" spans="1:15" x14ac:dyDescent="0.25">
      <c r="A117" s="23"/>
      <c r="B117" s="23"/>
      <c r="C117" s="23"/>
      <c r="D117" s="23"/>
      <c r="E117" s="23"/>
      <c r="F117" s="23"/>
      <c r="G117" s="23"/>
      <c r="H117" s="39"/>
      <c r="I117" s="23"/>
      <c r="J117" s="23"/>
      <c r="K117" s="23"/>
      <c r="L117" s="23"/>
      <c r="M117" s="23"/>
      <c r="N117" s="23"/>
      <c r="O117" s="23"/>
    </row>
    <row r="118" spans="1:15" x14ac:dyDescent="0.25">
      <c r="F118" s="73"/>
      <c r="J118" s="73"/>
      <c r="N118" s="73"/>
    </row>
    <row r="119" spans="1:15" x14ac:dyDescent="0.25">
      <c r="K119" t="s">
        <v>93</v>
      </c>
    </row>
    <row r="120" spans="1:15" x14ac:dyDescent="0.25">
      <c r="K120" t="s">
        <v>90</v>
      </c>
    </row>
    <row r="124" spans="1:15" x14ac:dyDescent="0.25">
      <c r="K124" t="s">
        <v>91</v>
      </c>
    </row>
    <row r="125" spans="1:15" x14ac:dyDescent="0.25">
      <c r="K125" t="s">
        <v>92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zoomScale="90" zoomScaleNormal="90" workbookViewId="0">
      <selection sqref="A1:O1"/>
    </sheetView>
  </sheetViews>
  <sheetFormatPr defaultRowHeight="15" x14ac:dyDescent="0.25"/>
  <cols>
    <col min="1" max="1" width="4" customWidth="1"/>
    <col min="2" max="2" width="17.42578125" customWidth="1"/>
    <col min="3" max="15" width="8.5703125" customWidth="1"/>
  </cols>
  <sheetData>
    <row r="1" spans="1:15" ht="18.75" x14ac:dyDescent="0.3">
      <c r="A1" s="497" t="s">
        <v>32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</row>
    <row r="2" spans="1:15" ht="18.75" x14ac:dyDescent="0.3">
      <c r="A2" s="497" t="s">
        <v>103</v>
      </c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 t="s">
        <v>1</v>
      </c>
    </row>
    <row r="4" spans="1:15" x14ac:dyDescent="0.25">
      <c r="A4" s="498" t="s">
        <v>2</v>
      </c>
      <c r="B4" s="498" t="s">
        <v>3</v>
      </c>
      <c r="C4" s="500" t="s">
        <v>4</v>
      </c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498" t="s">
        <v>5</v>
      </c>
    </row>
    <row r="5" spans="1:15" x14ac:dyDescent="0.25">
      <c r="A5" s="499"/>
      <c r="B5" s="499"/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501"/>
    </row>
    <row r="6" spans="1:15" ht="15.75" thickBot="1" x14ac:dyDescent="0.3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</row>
    <row r="7" spans="1:15" ht="18.75" customHeight="1" thickTop="1" x14ac:dyDescent="0.25">
      <c r="A7" s="6">
        <v>1</v>
      </c>
      <c r="B7" s="7" t="s">
        <v>18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f>SUM(C7:N7)</f>
        <v>0</v>
      </c>
    </row>
    <row r="8" spans="1:15" ht="18.75" customHeight="1" x14ac:dyDescent="0.25">
      <c r="A8" s="11">
        <v>2</v>
      </c>
      <c r="B8" s="12" t="s">
        <v>19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f t="shared" ref="O8:O14" si="0">SUM(C8:N8)</f>
        <v>0</v>
      </c>
    </row>
    <row r="9" spans="1:15" ht="18.75" customHeight="1" x14ac:dyDescent="0.25">
      <c r="A9" s="11">
        <v>3</v>
      </c>
      <c r="B9" s="7" t="s">
        <v>20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f t="shared" si="0"/>
        <v>0</v>
      </c>
    </row>
    <row r="10" spans="1:15" ht="18.75" customHeight="1" x14ac:dyDescent="0.25">
      <c r="A10" s="14">
        <v>4</v>
      </c>
      <c r="B10" s="15" t="s">
        <v>21</v>
      </c>
      <c r="C10" s="17">
        <v>0</v>
      </c>
      <c r="D10" s="17">
        <v>2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6">
        <f t="shared" si="0"/>
        <v>2</v>
      </c>
    </row>
    <row r="11" spans="1:15" ht="18.75" customHeight="1" x14ac:dyDescent="0.25">
      <c r="A11" s="14">
        <v>5</v>
      </c>
      <c r="B11" s="19" t="s">
        <v>22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f t="shared" si="0"/>
        <v>0</v>
      </c>
    </row>
    <row r="12" spans="1:15" ht="18.75" customHeight="1" x14ac:dyDescent="0.25">
      <c r="A12" s="14">
        <v>6</v>
      </c>
      <c r="B12" s="19" t="s">
        <v>23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f t="shared" si="0"/>
        <v>0</v>
      </c>
    </row>
    <row r="13" spans="1:15" ht="18.75" customHeight="1" x14ac:dyDescent="0.25">
      <c r="A13" s="14">
        <v>7</v>
      </c>
      <c r="B13" s="19" t="s">
        <v>24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f t="shared" si="0"/>
        <v>0</v>
      </c>
    </row>
    <row r="14" spans="1:15" ht="18.75" customHeight="1" thickBot="1" x14ac:dyDescent="0.3">
      <c r="A14" s="20">
        <v>8</v>
      </c>
      <c r="B14" s="15" t="s">
        <v>25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40">
        <f t="shared" si="0"/>
        <v>0</v>
      </c>
    </row>
    <row r="15" spans="1:15" ht="18.75" customHeight="1" thickTop="1" x14ac:dyDescent="0.25">
      <c r="A15" s="495" t="s">
        <v>26</v>
      </c>
      <c r="B15" s="496"/>
      <c r="C15" s="22">
        <f t="shared" ref="C15:O15" si="1">SUM(C7:C14)</f>
        <v>0</v>
      </c>
      <c r="D15" s="22">
        <f t="shared" si="1"/>
        <v>2</v>
      </c>
      <c r="E15" s="22">
        <f t="shared" si="1"/>
        <v>0</v>
      </c>
      <c r="F15" s="22">
        <f t="shared" si="1"/>
        <v>0</v>
      </c>
      <c r="G15" s="22">
        <f t="shared" si="1"/>
        <v>0</v>
      </c>
      <c r="H15" s="22">
        <f t="shared" si="1"/>
        <v>0</v>
      </c>
      <c r="I15" s="22">
        <f t="shared" si="1"/>
        <v>0</v>
      </c>
      <c r="J15" s="22">
        <f t="shared" si="1"/>
        <v>0</v>
      </c>
      <c r="K15" s="22">
        <f t="shared" si="1"/>
        <v>0</v>
      </c>
      <c r="L15" s="22">
        <f t="shared" si="1"/>
        <v>0</v>
      </c>
      <c r="M15" s="22">
        <f t="shared" si="1"/>
        <v>0</v>
      </c>
      <c r="N15" s="22">
        <f t="shared" si="1"/>
        <v>0</v>
      </c>
      <c r="O15" s="22">
        <f t="shared" si="1"/>
        <v>2</v>
      </c>
    </row>
    <row r="16" spans="1: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spans="1:15" ht="18.75" x14ac:dyDescent="0.3">
      <c r="A17" s="497" t="s">
        <v>76</v>
      </c>
      <c r="B17" s="497"/>
      <c r="C17" s="497"/>
      <c r="D17" s="497"/>
      <c r="E17" s="497"/>
      <c r="F17" s="497"/>
      <c r="G17" s="497"/>
      <c r="H17" s="497"/>
      <c r="I17" s="497"/>
      <c r="J17" s="497"/>
      <c r="K17" s="497"/>
      <c r="L17" s="497"/>
      <c r="M17" s="497"/>
      <c r="N17" s="497"/>
      <c r="O17" s="497"/>
    </row>
    <row r="18" spans="1:15" ht="18.75" x14ac:dyDescent="0.3">
      <c r="A18" s="497" t="s">
        <v>103</v>
      </c>
      <c r="B18" s="497"/>
      <c r="C18" s="497"/>
      <c r="D18" s="497"/>
      <c r="E18" s="497"/>
      <c r="F18" s="497"/>
      <c r="G18" s="497"/>
      <c r="H18" s="497"/>
      <c r="I18" s="497"/>
      <c r="J18" s="497"/>
      <c r="K18" s="497"/>
      <c r="L18" s="497"/>
      <c r="M18" s="497"/>
      <c r="N18" s="497"/>
      <c r="O18" s="497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 t="s">
        <v>1</v>
      </c>
    </row>
    <row r="20" spans="1:15" x14ac:dyDescent="0.25">
      <c r="A20" s="498" t="s">
        <v>2</v>
      </c>
      <c r="B20" s="498" t="s">
        <v>3</v>
      </c>
      <c r="C20" s="500" t="s">
        <v>4</v>
      </c>
      <c r="D20" s="500"/>
      <c r="E20" s="500"/>
      <c r="F20" s="500"/>
      <c r="G20" s="500"/>
      <c r="H20" s="500"/>
      <c r="I20" s="500"/>
      <c r="J20" s="500"/>
      <c r="K20" s="500"/>
      <c r="L20" s="500"/>
      <c r="M20" s="500"/>
      <c r="N20" s="500"/>
      <c r="O20" s="498" t="s">
        <v>5</v>
      </c>
    </row>
    <row r="21" spans="1:15" x14ac:dyDescent="0.25">
      <c r="A21" s="499"/>
      <c r="B21" s="499"/>
      <c r="C21" s="102" t="s">
        <v>6</v>
      </c>
      <c r="D21" s="102" t="s">
        <v>7</v>
      </c>
      <c r="E21" s="102" t="s">
        <v>8</v>
      </c>
      <c r="F21" s="102" t="s">
        <v>9</v>
      </c>
      <c r="G21" s="102" t="s">
        <v>10</v>
      </c>
      <c r="H21" s="102" t="s">
        <v>11</v>
      </c>
      <c r="I21" s="102" t="s">
        <v>12</v>
      </c>
      <c r="J21" s="102" t="s">
        <v>13</v>
      </c>
      <c r="K21" s="102" t="s">
        <v>14</v>
      </c>
      <c r="L21" s="102" t="s">
        <v>15</v>
      </c>
      <c r="M21" s="102" t="s">
        <v>16</v>
      </c>
      <c r="N21" s="102" t="s">
        <v>17</v>
      </c>
      <c r="O21" s="501"/>
    </row>
    <row r="22" spans="1:15" ht="15.75" thickBot="1" x14ac:dyDescent="0.3">
      <c r="A22" s="5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5">
        <v>8</v>
      </c>
      <c r="I22" s="5">
        <v>9</v>
      </c>
      <c r="J22" s="5">
        <v>10</v>
      </c>
      <c r="K22" s="5">
        <v>11</v>
      </c>
      <c r="L22" s="5">
        <v>12</v>
      </c>
      <c r="M22" s="5">
        <v>13</v>
      </c>
      <c r="N22" s="5">
        <v>14</v>
      </c>
      <c r="O22" s="5">
        <v>15</v>
      </c>
    </row>
    <row r="23" spans="1:15" ht="18.75" customHeight="1" thickTop="1" x14ac:dyDescent="0.25">
      <c r="A23" s="6">
        <v>1</v>
      </c>
      <c r="B23" s="7" t="s">
        <v>18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f>SUM(C23:N23)</f>
        <v>0</v>
      </c>
    </row>
    <row r="24" spans="1:15" ht="18.75" customHeight="1" x14ac:dyDescent="0.25">
      <c r="A24" s="11">
        <v>2</v>
      </c>
      <c r="B24" s="12" t="s">
        <v>19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f t="shared" ref="O24:O30" si="2">SUM(C24:N24)</f>
        <v>0</v>
      </c>
    </row>
    <row r="25" spans="1:15" ht="18.75" customHeight="1" x14ac:dyDescent="0.25">
      <c r="A25" s="11">
        <v>3</v>
      </c>
      <c r="B25" s="7" t="s">
        <v>20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f t="shared" si="2"/>
        <v>0</v>
      </c>
    </row>
    <row r="26" spans="1:15" ht="18.75" customHeight="1" x14ac:dyDescent="0.25">
      <c r="A26" s="14">
        <v>4</v>
      </c>
      <c r="B26" s="15" t="s">
        <v>21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6">
        <f t="shared" si="2"/>
        <v>0</v>
      </c>
    </row>
    <row r="27" spans="1:15" ht="18.75" customHeight="1" x14ac:dyDescent="0.25">
      <c r="A27" s="14">
        <v>5</v>
      </c>
      <c r="B27" s="19" t="s">
        <v>22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f t="shared" si="2"/>
        <v>0</v>
      </c>
    </row>
    <row r="28" spans="1:15" ht="18.75" customHeight="1" x14ac:dyDescent="0.25">
      <c r="A28" s="14">
        <v>6</v>
      </c>
      <c r="B28" s="19" t="s">
        <v>23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f t="shared" si="2"/>
        <v>0</v>
      </c>
    </row>
    <row r="29" spans="1:15" ht="18.75" customHeight="1" x14ac:dyDescent="0.25">
      <c r="A29" s="14">
        <v>7</v>
      </c>
      <c r="B29" s="19" t="s">
        <v>24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f t="shared" si="2"/>
        <v>0</v>
      </c>
    </row>
    <row r="30" spans="1:15" ht="18.75" customHeight="1" thickBot="1" x14ac:dyDescent="0.3">
      <c r="A30" s="20">
        <v>8</v>
      </c>
      <c r="B30" s="15" t="s">
        <v>25</v>
      </c>
      <c r="C30" s="17">
        <v>0</v>
      </c>
      <c r="D30" s="17">
        <v>2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40">
        <f t="shared" si="2"/>
        <v>2</v>
      </c>
    </row>
    <row r="31" spans="1:15" ht="18.75" customHeight="1" thickTop="1" x14ac:dyDescent="0.25">
      <c r="A31" s="495" t="s">
        <v>26</v>
      </c>
      <c r="B31" s="496"/>
      <c r="C31" s="22">
        <f t="shared" ref="C31:O31" si="3">SUM(C23:C30)</f>
        <v>0</v>
      </c>
      <c r="D31" s="22">
        <f t="shared" si="3"/>
        <v>2</v>
      </c>
      <c r="E31" s="22">
        <f t="shared" si="3"/>
        <v>0</v>
      </c>
      <c r="F31" s="22">
        <f t="shared" si="3"/>
        <v>0</v>
      </c>
      <c r="G31" s="22">
        <f t="shared" si="3"/>
        <v>0</v>
      </c>
      <c r="H31" s="22">
        <f t="shared" si="3"/>
        <v>0</v>
      </c>
      <c r="I31" s="22">
        <f t="shared" si="3"/>
        <v>0</v>
      </c>
      <c r="J31" s="22">
        <f t="shared" si="3"/>
        <v>0</v>
      </c>
      <c r="K31" s="22">
        <f t="shared" si="3"/>
        <v>0</v>
      </c>
      <c r="L31" s="22">
        <f t="shared" si="3"/>
        <v>0</v>
      </c>
      <c r="M31" s="22">
        <f t="shared" si="3"/>
        <v>0</v>
      </c>
      <c r="N31" s="22">
        <f t="shared" si="3"/>
        <v>0</v>
      </c>
      <c r="O31" s="22">
        <f t="shared" si="3"/>
        <v>2</v>
      </c>
    </row>
  </sheetData>
  <mergeCells count="14">
    <mergeCell ref="A15:B15"/>
    <mergeCell ref="A1:O1"/>
    <mergeCell ref="A2:O2"/>
    <mergeCell ref="A4:A5"/>
    <mergeCell ref="B4:B5"/>
    <mergeCell ref="C4:N4"/>
    <mergeCell ref="O4:O5"/>
    <mergeCell ref="A31:B31"/>
    <mergeCell ref="A17:O17"/>
    <mergeCell ref="A18:O18"/>
    <mergeCell ref="A20:A21"/>
    <mergeCell ref="B20:B21"/>
    <mergeCell ref="C20:N20"/>
    <mergeCell ref="O20:O21"/>
  </mergeCells>
  <pageMargins left="1.5748031496062993" right="0.70866141732283472" top="0.94488188976377963" bottom="0.55118110236220474" header="0.31496062992125984" footer="0.31496062992125984"/>
  <pageSetup paperSize="9" scale="9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85546875" customWidth="1"/>
    <col min="3" max="15" width="8.5703125" customWidth="1"/>
  </cols>
  <sheetData>
    <row r="2" spans="1:15" ht="18.75" x14ac:dyDescent="0.3">
      <c r="A2" s="497" t="s">
        <v>33</v>
      </c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</row>
    <row r="3" spans="1:15" ht="18.75" x14ac:dyDescent="0.3">
      <c r="A3" s="497" t="s">
        <v>103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498" t="s">
        <v>2</v>
      </c>
      <c r="B6" s="498" t="s">
        <v>3</v>
      </c>
      <c r="C6" s="500" t="s">
        <v>4</v>
      </c>
      <c r="D6" s="500"/>
      <c r="E6" s="500"/>
      <c r="F6" s="500"/>
      <c r="G6" s="500"/>
      <c r="H6" s="500"/>
      <c r="I6" s="500"/>
      <c r="J6" s="500"/>
      <c r="K6" s="500"/>
      <c r="L6" s="500"/>
      <c r="M6" s="500"/>
      <c r="N6" s="500"/>
      <c r="O6" s="498" t="s">
        <v>5</v>
      </c>
    </row>
    <row r="7" spans="1:15" x14ac:dyDescent="0.25">
      <c r="A7" s="499"/>
      <c r="B7" s="499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501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42">
        <f>SUM(C9:N9)</f>
        <v>0</v>
      </c>
    </row>
    <row r="10" spans="1:15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</row>
    <row r="11" spans="1:15" ht="18.75" customHeight="1" x14ac:dyDescent="0.25">
      <c r="A11" s="14">
        <v>3</v>
      </c>
      <c r="B11" s="7" t="s">
        <v>20</v>
      </c>
      <c r="C11" s="16">
        <v>10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35</v>
      </c>
      <c r="L11" s="16">
        <v>0</v>
      </c>
      <c r="M11" s="16">
        <v>4</v>
      </c>
      <c r="N11" s="16">
        <v>25</v>
      </c>
      <c r="O11" s="18">
        <f t="shared" si="0"/>
        <v>74</v>
      </c>
    </row>
    <row r="12" spans="1:15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43">
        <f t="shared" si="0"/>
        <v>0</v>
      </c>
    </row>
    <row r="17" spans="1:15" ht="18.75" customHeight="1" thickTop="1" x14ac:dyDescent="0.25">
      <c r="A17" s="495" t="s">
        <v>26</v>
      </c>
      <c r="B17" s="496"/>
      <c r="C17" s="22">
        <f t="shared" ref="C17:O17" si="1">SUM(C9:C16)</f>
        <v>10</v>
      </c>
      <c r="D17" s="22">
        <f t="shared" si="1"/>
        <v>0</v>
      </c>
      <c r="E17" s="22">
        <f t="shared" si="1"/>
        <v>0</v>
      </c>
      <c r="F17" s="22">
        <f t="shared" si="1"/>
        <v>0</v>
      </c>
      <c r="G17" s="22">
        <f t="shared" si="1"/>
        <v>0</v>
      </c>
      <c r="H17" s="22">
        <f t="shared" si="1"/>
        <v>0</v>
      </c>
      <c r="I17" s="22">
        <f t="shared" si="1"/>
        <v>0</v>
      </c>
      <c r="J17" s="22">
        <f t="shared" si="1"/>
        <v>0</v>
      </c>
      <c r="K17" s="22">
        <f t="shared" si="1"/>
        <v>35</v>
      </c>
      <c r="L17" s="22">
        <f t="shared" si="1"/>
        <v>0</v>
      </c>
      <c r="M17" s="22">
        <f t="shared" si="1"/>
        <v>4</v>
      </c>
      <c r="N17" s="22">
        <f t="shared" si="1"/>
        <v>25</v>
      </c>
      <c r="O17" s="22">
        <f t="shared" si="1"/>
        <v>74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5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</row>
    <row r="21" spans="1:15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</row>
    <row r="22" spans="1:15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spans="1:15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spans="1:15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spans="1:15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 x14ac:dyDescent="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1:15" x14ac:dyDescent="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</row>
    <row r="35" spans="1:15" ht="18.75" x14ac:dyDescent="0.3">
      <c r="A35" s="497" t="s">
        <v>34</v>
      </c>
      <c r="B35" s="497"/>
      <c r="C35" s="497"/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497"/>
    </row>
    <row r="36" spans="1:15" ht="18.75" x14ac:dyDescent="0.3">
      <c r="A36" s="497" t="s">
        <v>103</v>
      </c>
      <c r="B36" s="497"/>
      <c r="C36" s="497"/>
      <c r="D36" s="497"/>
      <c r="E36" s="497"/>
      <c r="F36" s="497"/>
      <c r="G36" s="497"/>
      <c r="H36" s="497"/>
      <c r="I36" s="497"/>
      <c r="J36" s="497"/>
      <c r="K36" s="497"/>
      <c r="L36" s="497"/>
      <c r="M36" s="497"/>
      <c r="N36" s="497"/>
      <c r="O36" s="497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498" t="s">
        <v>2</v>
      </c>
      <c r="B39" s="498" t="s">
        <v>3</v>
      </c>
      <c r="C39" s="500" t="s">
        <v>4</v>
      </c>
      <c r="D39" s="500"/>
      <c r="E39" s="500"/>
      <c r="F39" s="500"/>
      <c r="G39" s="500"/>
      <c r="H39" s="500"/>
      <c r="I39" s="500"/>
      <c r="J39" s="500"/>
      <c r="K39" s="500"/>
      <c r="L39" s="500"/>
      <c r="M39" s="500"/>
      <c r="N39" s="500"/>
      <c r="O39" s="498" t="s">
        <v>5</v>
      </c>
    </row>
    <row r="40" spans="1:15" x14ac:dyDescent="0.25">
      <c r="A40" s="499"/>
      <c r="B40" s="499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501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9">
        <v>0</v>
      </c>
      <c r="L42" s="28">
        <v>0</v>
      </c>
      <c r="M42" s="28">
        <v>0</v>
      </c>
      <c r="N42" s="28">
        <v>0</v>
      </c>
      <c r="O42" s="42">
        <f>SUM(C42:N42)</f>
        <v>0</v>
      </c>
    </row>
    <row r="43" spans="1:15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8">
        <v>0</v>
      </c>
      <c r="L43" s="16">
        <v>0</v>
      </c>
      <c r="M43" s="16">
        <v>0</v>
      </c>
      <c r="N43" s="16">
        <v>0</v>
      </c>
      <c r="O43" s="18">
        <f t="shared" ref="O43:O49" si="2">SUM(C43:N43)</f>
        <v>0</v>
      </c>
    </row>
    <row r="44" spans="1:15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15</v>
      </c>
      <c r="G44" s="16">
        <v>0</v>
      </c>
      <c r="H44" s="16">
        <v>0</v>
      </c>
      <c r="I44" s="16">
        <v>0</v>
      </c>
      <c r="J44" s="16">
        <v>0</v>
      </c>
      <c r="K44" s="8">
        <v>0</v>
      </c>
      <c r="L44" s="16">
        <v>0</v>
      </c>
      <c r="M44" s="16">
        <v>0</v>
      </c>
      <c r="N44" s="16">
        <v>0</v>
      </c>
      <c r="O44" s="18">
        <f t="shared" si="2"/>
        <v>15</v>
      </c>
    </row>
    <row r="45" spans="1:15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7">
        <v>0</v>
      </c>
      <c r="L45" s="16">
        <v>0</v>
      </c>
      <c r="M45" s="16">
        <v>0</v>
      </c>
      <c r="N45" s="16">
        <v>0</v>
      </c>
      <c r="O45" s="18">
        <f t="shared" si="2"/>
        <v>0</v>
      </c>
    </row>
    <row r="46" spans="1:15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0</v>
      </c>
    </row>
    <row r="47" spans="1:15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0</v>
      </c>
    </row>
    <row r="48" spans="1:15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43">
        <f t="shared" si="2"/>
        <v>0</v>
      </c>
    </row>
    <row r="50" spans="1:15" ht="18.75" customHeight="1" thickTop="1" x14ac:dyDescent="0.25">
      <c r="A50" s="495" t="s">
        <v>26</v>
      </c>
      <c r="B50" s="496"/>
      <c r="C50" s="22">
        <f t="shared" ref="C50:O50" si="3">SUM(C42:C49)</f>
        <v>0</v>
      </c>
      <c r="D50" s="22">
        <f t="shared" si="3"/>
        <v>0</v>
      </c>
      <c r="E50" s="22">
        <f t="shared" si="3"/>
        <v>0</v>
      </c>
      <c r="F50" s="22">
        <f t="shared" si="3"/>
        <v>15</v>
      </c>
      <c r="G50" s="22">
        <f t="shared" si="3"/>
        <v>0</v>
      </c>
      <c r="H50" s="22">
        <f t="shared" si="3"/>
        <v>0</v>
      </c>
      <c r="I50" s="22">
        <f t="shared" si="3"/>
        <v>0</v>
      </c>
      <c r="J50" s="22">
        <f t="shared" si="3"/>
        <v>0</v>
      </c>
      <c r="K50" s="22">
        <f t="shared" si="3"/>
        <v>0</v>
      </c>
      <c r="L50" s="22">
        <f t="shared" si="3"/>
        <v>0</v>
      </c>
      <c r="M50" s="22">
        <f t="shared" si="3"/>
        <v>0</v>
      </c>
      <c r="N50" s="22">
        <f t="shared" si="3"/>
        <v>0</v>
      </c>
      <c r="O50" s="22">
        <f t="shared" si="3"/>
        <v>15</v>
      </c>
    </row>
    <row r="51" spans="1:1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497" t="s">
        <v>35</v>
      </c>
      <c r="B68" s="497"/>
      <c r="C68" s="497"/>
      <c r="D68" s="497"/>
      <c r="E68" s="497"/>
      <c r="F68" s="497"/>
      <c r="G68" s="497"/>
      <c r="H68" s="497"/>
      <c r="I68" s="497"/>
      <c r="J68" s="497"/>
      <c r="K68" s="497"/>
      <c r="L68" s="497"/>
      <c r="M68" s="497"/>
      <c r="N68" s="497"/>
      <c r="O68" s="497"/>
    </row>
    <row r="69" spans="1:15" ht="18.75" x14ac:dyDescent="0.3">
      <c r="A69" s="497" t="s">
        <v>103</v>
      </c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497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498" t="s">
        <v>2</v>
      </c>
      <c r="B72" s="498" t="s">
        <v>3</v>
      </c>
      <c r="C72" s="500" t="s">
        <v>4</v>
      </c>
      <c r="D72" s="500"/>
      <c r="E72" s="500"/>
      <c r="F72" s="500"/>
      <c r="G72" s="500"/>
      <c r="H72" s="500"/>
      <c r="I72" s="500"/>
      <c r="J72" s="500"/>
      <c r="K72" s="500"/>
      <c r="L72" s="500"/>
      <c r="M72" s="500"/>
      <c r="N72" s="500"/>
      <c r="O72" s="498" t="s">
        <v>5</v>
      </c>
    </row>
    <row r="73" spans="1:15" x14ac:dyDescent="0.25">
      <c r="A73" s="499"/>
      <c r="B73" s="499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501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9">
        <v>0</v>
      </c>
      <c r="L75" s="28">
        <v>0</v>
      </c>
      <c r="M75" s="28">
        <v>0</v>
      </c>
      <c r="N75" s="28">
        <v>0</v>
      </c>
      <c r="O75" s="42">
        <f>SUM(C75:N75)</f>
        <v>0</v>
      </c>
    </row>
    <row r="76" spans="1:15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8">
        <v>0</v>
      </c>
      <c r="L76" s="16">
        <v>0</v>
      </c>
      <c r="M76" s="16">
        <v>0</v>
      </c>
      <c r="N76" s="16">
        <v>0</v>
      </c>
      <c r="O76" s="18">
        <f t="shared" ref="O76:O82" si="4">SUM(C76:N76)</f>
        <v>0</v>
      </c>
    </row>
    <row r="77" spans="1:15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59</v>
      </c>
      <c r="G77" s="16">
        <v>0</v>
      </c>
      <c r="H77" s="16">
        <v>0</v>
      </c>
      <c r="I77" s="16">
        <v>0</v>
      </c>
      <c r="J77" s="16">
        <v>0</v>
      </c>
      <c r="K77" s="8">
        <v>0</v>
      </c>
      <c r="L77" s="16">
        <v>0</v>
      </c>
      <c r="M77" s="16">
        <v>0</v>
      </c>
      <c r="N77" s="16">
        <v>0</v>
      </c>
      <c r="O77" s="18">
        <f t="shared" si="4"/>
        <v>59</v>
      </c>
    </row>
    <row r="78" spans="1:15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7">
        <v>0</v>
      </c>
      <c r="L78" s="16">
        <v>0</v>
      </c>
      <c r="M78" s="16">
        <v>0</v>
      </c>
      <c r="N78" s="16">
        <v>0</v>
      </c>
      <c r="O78" s="18">
        <f t="shared" si="4"/>
        <v>0</v>
      </c>
    </row>
    <row r="79" spans="1:15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4"/>
        <v>0</v>
      </c>
    </row>
    <row r="80" spans="1:15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4"/>
        <v>0</v>
      </c>
    </row>
    <row r="81" spans="1:15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4"/>
        <v>0</v>
      </c>
    </row>
    <row r="82" spans="1:15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43">
        <f t="shared" si="4"/>
        <v>0</v>
      </c>
    </row>
    <row r="83" spans="1:15" ht="18.75" customHeight="1" thickTop="1" x14ac:dyDescent="0.25">
      <c r="A83" s="495" t="s">
        <v>26</v>
      </c>
      <c r="B83" s="496"/>
      <c r="C83" s="22">
        <f t="shared" ref="C83:O83" si="5">SUM(C75:C82)</f>
        <v>0</v>
      </c>
      <c r="D83" s="22">
        <f t="shared" si="5"/>
        <v>0</v>
      </c>
      <c r="E83" s="22">
        <f t="shared" si="5"/>
        <v>0</v>
      </c>
      <c r="F83" s="22">
        <f t="shared" si="5"/>
        <v>59</v>
      </c>
      <c r="G83" s="22">
        <f t="shared" si="5"/>
        <v>0</v>
      </c>
      <c r="H83" s="22">
        <f t="shared" si="5"/>
        <v>0</v>
      </c>
      <c r="I83" s="22">
        <f t="shared" si="5"/>
        <v>0</v>
      </c>
      <c r="J83" s="22">
        <f t="shared" si="5"/>
        <v>0</v>
      </c>
      <c r="K83" s="22">
        <f t="shared" si="5"/>
        <v>0</v>
      </c>
      <c r="L83" s="22">
        <f t="shared" si="5"/>
        <v>0</v>
      </c>
      <c r="M83" s="22">
        <f t="shared" si="5"/>
        <v>0</v>
      </c>
      <c r="N83" s="22">
        <f t="shared" si="5"/>
        <v>0</v>
      </c>
      <c r="O83" s="22">
        <f t="shared" si="5"/>
        <v>59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493" t="s">
        <v>176</v>
      </c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493" t="s">
        <v>177</v>
      </c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493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493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493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494" t="s">
        <v>178</v>
      </c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493" t="s">
        <v>179</v>
      </c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493" t="s">
        <v>180</v>
      </c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497" t="s">
        <v>36</v>
      </c>
      <c r="B101" s="497"/>
      <c r="C101" s="497"/>
      <c r="D101" s="497"/>
      <c r="E101" s="497"/>
      <c r="F101" s="497"/>
      <c r="G101" s="497"/>
      <c r="H101" s="497"/>
      <c r="I101" s="497"/>
      <c r="J101" s="497"/>
      <c r="K101" s="497"/>
      <c r="L101" s="497"/>
      <c r="M101" s="497"/>
      <c r="N101" s="497"/>
      <c r="O101" s="497"/>
    </row>
    <row r="102" spans="1:15" ht="18.75" x14ac:dyDescent="0.3">
      <c r="A102" s="497" t="s">
        <v>103</v>
      </c>
      <c r="B102" s="497"/>
      <c r="C102" s="497"/>
      <c r="D102" s="497"/>
      <c r="E102" s="497"/>
      <c r="F102" s="497"/>
      <c r="G102" s="497"/>
      <c r="H102" s="497"/>
      <c r="I102" s="497"/>
      <c r="J102" s="497"/>
      <c r="K102" s="497"/>
      <c r="L102" s="497"/>
      <c r="M102" s="497"/>
      <c r="N102" s="497"/>
      <c r="O102" s="497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498" t="s">
        <v>2</v>
      </c>
      <c r="B105" s="498" t="s">
        <v>3</v>
      </c>
      <c r="C105" s="500" t="s">
        <v>4</v>
      </c>
      <c r="D105" s="500"/>
      <c r="E105" s="500"/>
      <c r="F105" s="500"/>
      <c r="G105" s="500"/>
      <c r="H105" s="500"/>
      <c r="I105" s="500"/>
      <c r="J105" s="500"/>
      <c r="K105" s="500"/>
      <c r="L105" s="500"/>
      <c r="M105" s="500"/>
      <c r="N105" s="500"/>
      <c r="O105" s="498" t="s">
        <v>5</v>
      </c>
    </row>
    <row r="106" spans="1:15" x14ac:dyDescent="0.25">
      <c r="A106" s="499"/>
      <c r="B106" s="499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501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28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9">
        <v>0</v>
      </c>
      <c r="L108" s="28">
        <v>0</v>
      </c>
      <c r="M108" s="28">
        <v>0</v>
      </c>
      <c r="N108" s="28">
        <v>0</v>
      </c>
      <c r="O108" s="44">
        <f>SUM(C108:N108)</f>
        <v>0</v>
      </c>
    </row>
    <row r="109" spans="1:15" ht="18.75" customHeight="1" x14ac:dyDescent="0.25">
      <c r="A109" s="14">
        <v>2</v>
      </c>
      <c r="B109" s="12" t="s">
        <v>19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8">
        <v>0</v>
      </c>
      <c r="L109" s="16">
        <v>0</v>
      </c>
      <c r="M109" s="16">
        <v>0</v>
      </c>
      <c r="N109" s="16">
        <v>0</v>
      </c>
      <c r="O109" s="35">
        <f t="shared" ref="O109:O115" si="6">SUM(C109:N109)</f>
        <v>0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16">
        <v>0</v>
      </c>
      <c r="E110" s="16">
        <v>0</v>
      </c>
      <c r="F110" s="34">
        <v>39.56</v>
      </c>
      <c r="G110" s="16">
        <v>0</v>
      </c>
      <c r="H110" s="16">
        <v>0</v>
      </c>
      <c r="I110" s="16">
        <v>0</v>
      </c>
      <c r="J110" s="16">
        <v>0</v>
      </c>
      <c r="K110" s="8">
        <v>0</v>
      </c>
      <c r="L110" s="16">
        <v>0</v>
      </c>
      <c r="M110" s="16">
        <v>0</v>
      </c>
      <c r="N110" s="16">
        <v>0</v>
      </c>
      <c r="O110" s="35">
        <f>O77/O44*10</f>
        <v>39.333333333333329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7">
        <v>0</v>
      </c>
      <c r="L111" s="16">
        <v>0</v>
      </c>
      <c r="M111" s="16">
        <v>0</v>
      </c>
      <c r="N111" s="16">
        <v>0</v>
      </c>
      <c r="O111" s="35">
        <f t="shared" si="6"/>
        <v>0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f t="shared" si="6"/>
        <v>0</v>
      </c>
    </row>
    <row r="113" spans="1:15" ht="18.75" customHeight="1" x14ac:dyDescent="0.25">
      <c r="A113" s="14">
        <v>6</v>
      </c>
      <c r="B113" s="19" t="s">
        <v>23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f t="shared" si="6"/>
        <v>0</v>
      </c>
    </row>
    <row r="114" spans="1:15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f t="shared" si="6"/>
        <v>0</v>
      </c>
    </row>
    <row r="115" spans="1:15" ht="18.75" customHeight="1" thickBot="1" x14ac:dyDescent="0.3">
      <c r="A115" s="20">
        <v>8</v>
      </c>
      <c r="B115" s="15" t="s">
        <v>25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11">
        <f t="shared" si="6"/>
        <v>0</v>
      </c>
    </row>
    <row r="116" spans="1:15" ht="18.75" customHeight="1" thickTop="1" x14ac:dyDescent="0.25">
      <c r="A116" s="495" t="s">
        <v>26</v>
      </c>
      <c r="B116" s="496"/>
      <c r="C116" s="38">
        <f t="shared" ref="C116:N116" si="7">SUM(C108:C115)</f>
        <v>0</v>
      </c>
      <c r="D116" s="38">
        <f t="shared" si="7"/>
        <v>0</v>
      </c>
      <c r="E116" s="38">
        <f t="shared" si="7"/>
        <v>0</v>
      </c>
      <c r="F116" s="38">
        <f t="shared" si="7"/>
        <v>39.56</v>
      </c>
      <c r="G116" s="38">
        <f t="shared" si="7"/>
        <v>0</v>
      </c>
      <c r="H116" s="38">
        <f t="shared" si="7"/>
        <v>0</v>
      </c>
      <c r="I116" s="38">
        <f t="shared" si="7"/>
        <v>0</v>
      </c>
      <c r="J116" s="38">
        <f t="shared" si="7"/>
        <v>0</v>
      </c>
      <c r="K116" s="38">
        <f t="shared" si="7"/>
        <v>0</v>
      </c>
      <c r="L116" s="38">
        <f t="shared" si="7"/>
        <v>0</v>
      </c>
      <c r="M116" s="38">
        <f t="shared" si="7"/>
        <v>0</v>
      </c>
      <c r="N116" s="38">
        <f t="shared" si="7"/>
        <v>0</v>
      </c>
      <c r="O116" s="38">
        <f>SUM(O108:O115)</f>
        <v>39.333333333333329</v>
      </c>
    </row>
    <row r="117" spans="1:15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1:15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t="s">
        <v>93</v>
      </c>
      <c r="L119" s="24"/>
      <c r="M119" s="24"/>
      <c r="N119" s="24"/>
      <c r="O119" s="24"/>
    </row>
    <row r="120" spans="1:15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t="s">
        <v>90</v>
      </c>
      <c r="L120" s="24"/>
      <c r="M120" s="24"/>
      <c r="N120" s="24"/>
      <c r="O120" s="24"/>
    </row>
    <row r="121" spans="1:15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L121" s="24"/>
      <c r="M121" s="24"/>
      <c r="N121" s="24"/>
      <c r="O121" s="24"/>
    </row>
    <row r="122" spans="1:15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L122" s="24"/>
      <c r="M122" s="24"/>
      <c r="N122" s="24"/>
      <c r="O122" s="24"/>
    </row>
    <row r="123" spans="1:15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L123" s="24"/>
      <c r="M123" s="24"/>
      <c r="N123" s="24"/>
      <c r="O123" s="24"/>
    </row>
    <row r="124" spans="1:15" x14ac:dyDescent="0.25">
      <c r="K124" t="s">
        <v>91</v>
      </c>
    </row>
    <row r="125" spans="1:15" x14ac:dyDescent="0.25">
      <c r="K125" t="s">
        <v>92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70866141732283472" top="0.94488188976377963" bottom="0.74803149606299213" header="0.31496062992125984" footer="0.31496062992125984"/>
  <pageSetup paperSize="9" scale="90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7109375" customWidth="1"/>
    <col min="3" max="15" width="8.5703125" customWidth="1"/>
  </cols>
  <sheetData>
    <row r="2" spans="1:17" ht="18.75" x14ac:dyDescent="0.3">
      <c r="A2" s="497" t="s">
        <v>37</v>
      </c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</row>
    <row r="3" spans="1:17" ht="18.75" x14ac:dyDescent="0.3">
      <c r="A3" s="497" t="s">
        <v>103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498" t="s">
        <v>2</v>
      </c>
      <c r="B6" s="498" t="s">
        <v>3</v>
      </c>
      <c r="C6" s="500" t="s">
        <v>4</v>
      </c>
      <c r="D6" s="500"/>
      <c r="E6" s="500"/>
      <c r="F6" s="500"/>
      <c r="G6" s="500"/>
      <c r="H6" s="500"/>
      <c r="I6" s="500"/>
      <c r="J6" s="500"/>
      <c r="K6" s="500"/>
      <c r="L6" s="500"/>
      <c r="M6" s="500"/>
      <c r="N6" s="500"/>
      <c r="O6" s="498" t="s">
        <v>5</v>
      </c>
    </row>
    <row r="7" spans="1:17" x14ac:dyDescent="0.25">
      <c r="A7" s="499"/>
      <c r="B7" s="499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501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102</v>
      </c>
    </row>
    <row r="9" spans="1:17" ht="18.75" customHeight="1" thickTop="1" x14ac:dyDescent="0.25">
      <c r="A9" s="27">
        <v>1</v>
      </c>
      <c r="B9" s="7" t="s">
        <v>18</v>
      </c>
      <c r="C9" s="63">
        <v>2</v>
      </c>
      <c r="D9" s="28">
        <v>5</v>
      </c>
      <c r="E9" s="28">
        <v>0</v>
      </c>
      <c r="F9" s="28">
        <v>1</v>
      </c>
      <c r="G9" s="28">
        <v>0</v>
      </c>
      <c r="H9" s="28">
        <v>0</v>
      </c>
      <c r="I9" s="28">
        <v>0</v>
      </c>
      <c r="J9" s="28">
        <v>0</v>
      </c>
      <c r="K9" s="28">
        <v>1</v>
      </c>
      <c r="L9" s="28">
        <v>1</v>
      </c>
      <c r="M9" s="28">
        <v>0</v>
      </c>
      <c r="N9" s="28">
        <v>0</v>
      </c>
      <c r="O9" s="29">
        <f>SUM(C9:N9)</f>
        <v>10</v>
      </c>
      <c r="Q9" s="106">
        <f>SUM(L9:M9)</f>
        <v>1</v>
      </c>
    </row>
    <row r="10" spans="1:17" ht="18.75" customHeight="1" x14ac:dyDescent="0.25">
      <c r="A10" s="14">
        <v>2</v>
      </c>
      <c r="B10" s="12" t="s">
        <v>19</v>
      </c>
      <c r="C10" s="61">
        <v>0</v>
      </c>
      <c r="D10" s="16">
        <v>0</v>
      </c>
      <c r="E10" s="16">
        <v>0</v>
      </c>
      <c r="F10" s="16">
        <v>0</v>
      </c>
      <c r="G10" s="16">
        <v>1</v>
      </c>
      <c r="H10" s="16">
        <v>0</v>
      </c>
      <c r="I10" s="16">
        <v>1</v>
      </c>
      <c r="J10" s="16">
        <v>0</v>
      </c>
      <c r="K10" s="16">
        <v>0</v>
      </c>
      <c r="L10" s="16">
        <v>1</v>
      </c>
      <c r="M10" s="16">
        <v>0</v>
      </c>
      <c r="N10" s="16">
        <v>0</v>
      </c>
      <c r="O10" s="18">
        <f t="shared" ref="O10:O16" si="0">SUM(C10:N10)</f>
        <v>3</v>
      </c>
      <c r="Q10" s="106">
        <f t="shared" ref="Q10:Q16" si="1">SUM(L10:M10)</f>
        <v>1</v>
      </c>
    </row>
    <row r="11" spans="1:17" ht="18.75" customHeight="1" x14ac:dyDescent="0.25">
      <c r="A11" s="14">
        <v>3</v>
      </c>
      <c r="B11" s="7" t="s">
        <v>20</v>
      </c>
      <c r="C11" s="61">
        <v>1</v>
      </c>
      <c r="D11" s="16">
        <v>0</v>
      </c>
      <c r="E11" s="16">
        <v>0</v>
      </c>
      <c r="F11" s="16">
        <v>0</v>
      </c>
      <c r="G11" s="16">
        <v>3</v>
      </c>
      <c r="H11" s="16">
        <v>4</v>
      </c>
      <c r="I11" s="16">
        <v>0</v>
      </c>
      <c r="J11" s="16">
        <v>0</v>
      </c>
      <c r="K11" s="16">
        <v>1</v>
      </c>
      <c r="L11" s="16">
        <v>0</v>
      </c>
      <c r="M11" s="16">
        <v>35</v>
      </c>
      <c r="N11" s="16">
        <v>15</v>
      </c>
      <c r="O11" s="18">
        <f t="shared" si="0"/>
        <v>59</v>
      </c>
      <c r="Q11" s="106">
        <f t="shared" si="1"/>
        <v>35</v>
      </c>
    </row>
    <row r="12" spans="1:17" ht="18.75" customHeight="1" x14ac:dyDescent="0.25">
      <c r="A12" s="14">
        <v>4</v>
      </c>
      <c r="B12" s="15" t="s">
        <v>21</v>
      </c>
      <c r="C12" s="61">
        <v>1</v>
      </c>
      <c r="D12" s="16">
        <v>0</v>
      </c>
      <c r="E12" s="16">
        <v>0</v>
      </c>
      <c r="F12" s="16">
        <v>1</v>
      </c>
      <c r="G12" s="16">
        <v>1</v>
      </c>
      <c r="H12" s="16">
        <v>0</v>
      </c>
      <c r="I12" s="16">
        <v>1</v>
      </c>
      <c r="J12" s="16">
        <v>0</v>
      </c>
      <c r="K12" s="16">
        <v>1</v>
      </c>
      <c r="L12" s="16">
        <v>0</v>
      </c>
      <c r="M12" s="16">
        <v>0</v>
      </c>
      <c r="N12" s="16">
        <v>1</v>
      </c>
      <c r="O12" s="18">
        <f t="shared" si="0"/>
        <v>6</v>
      </c>
      <c r="Q12" s="106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61">
        <v>0</v>
      </c>
      <c r="D13" s="16">
        <v>0</v>
      </c>
      <c r="E13" s="16">
        <v>1</v>
      </c>
      <c r="F13" s="16">
        <v>0</v>
      </c>
      <c r="G13" s="16">
        <v>0</v>
      </c>
      <c r="H13" s="16">
        <v>0</v>
      </c>
      <c r="I13" s="16">
        <v>3</v>
      </c>
      <c r="J13" s="16">
        <v>0</v>
      </c>
      <c r="K13" s="16">
        <v>1</v>
      </c>
      <c r="L13" s="16">
        <v>0</v>
      </c>
      <c r="M13" s="16">
        <v>0</v>
      </c>
      <c r="N13" s="16">
        <v>0</v>
      </c>
      <c r="O13" s="18">
        <f t="shared" si="0"/>
        <v>5</v>
      </c>
      <c r="Q13" s="106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61">
        <v>0</v>
      </c>
      <c r="D14" s="16">
        <v>0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0</v>
      </c>
      <c r="K14" s="16">
        <v>2</v>
      </c>
      <c r="L14" s="16">
        <v>0</v>
      </c>
      <c r="M14" s="16">
        <v>0</v>
      </c>
      <c r="N14" s="16">
        <v>0</v>
      </c>
      <c r="O14" s="18">
        <f t="shared" si="0"/>
        <v>3</v>
      </c>
      <c r="Q14" s="106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61">
        <v>0</v>
      </c>
      <c r="D15" s="16">
        <v>0</v>
      </c>
      <c r="E15" s="16">
        <v>0</v>
      </c>
      <c r="F15" s="327">
        <v>0.2</v>
      </c>
      <c r="G15" s="16">
        <v>0</v>
      </c>
      <c r="H15" s="16">
        <v>0</v>
      </c>
      <c r="I15" s="16">
        <v>0</v>
      </c>
      <c r="J15" s="327">
        <v>0.5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0.7</v>
      </c>
      <c r="Q15" s="106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62">
        <v>0</v>
      </c>
      <c r="D16" s="17">
        <v>1</v>
      </c>
      <c r="E16" s="17">
        <v>0</v>
      </c>
      <c r="F16" s="17">
        <v>0</v>
      </c>
      <c r="G16" s="17">
        <v>1</v>
      </c>
      <c r="H16" s="17"/>
      <c r="I16" s="17">
        <v>0</v>
      </c>
      <c r="J16" s="17">
        <v>1</v>
      </c>
      <c r="K16" s="17">
        <v>0</v>
      </c>
      <c r="L16" s="17">
        <v>1</v>
      </c>
      <c r="M16" s="17">
        <v>1</v>
      </c>
      <c r="N16" s="17">
        <v>0</v>
      </c>
      <c r="O16" s="21">
        <f t="shared" si="0"/>
        <v>5</v>
      </c>
      <c r="Q16" s="106">
        <f t="shared" si="1"/>
        <v>2</v>
      </c>
    </row>
    <row r="17" spans="1:15" ht="18.75" customHeight="1" thickTop="1" x14ac:dyDescent="0.25">
      <c r="A17" s="495" t="s">
        <v>26</v>
      </c>
      <c r="B17" s="496"/>
      <c r="C17" s="22">
        <f t="shared" ref="C17:O17" si="2">SUM(C9:C16)</f>
        <v>4</v>
      </c>
      <c r="D17" s="22">
        <f t="shared" si="2"/>
        <v>6</v>
      </c>
      <c r="E17" s="22">
        <f t="shared" si="2"/>
        <v>1</v>
      </c>
      <c r="F17" s="328">
        <f t="shared" si="2"/>
        <v>3.2</v>
      </c>
      <c r="G17" s="22">
        <f t="shared" si="2"/>
        <v>6</v>
      </c>
      <c r="H17" s="22">
        <f t="shared" si="2"/>
        <v>4</v>
      </c>
      <c r="I17" s="22">
        <f t="shared" si="2"/>
        <v>5</v>
      </c>
      <c r="J17" s="328">
        <f t="shared" si="2"/>
        <v>1.5</v>
      </c>
      <c r="K17" s="22">
        <f t="shared" si="2"/>
        <v>6</v>
      </c>
      <c r="L17" s="22">
        <f t="shared" si="2"/>
        <v>3</v>
      </c>
      <c r="M17" s="22">
        <f t="shared" si="2"/>
        <v>36</v>
      </c>
      <c r="N17" s="22">
        <f t="shared" si="2"/>
        <v>16</v>
      </c>
      <c r="O17" s="22">
        <f t="shared" si="2"/>
        <v>91.7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143">
        <f>SUM(L17:N17)</f>
        <v>55</v>
      </c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7" ht="18.75" x14ac:dyDescent="0.3">
      <c r="A35" s="497" t="s">
        <v>38</v>
      </c>
      <c r="B35" s="497"/>
      <c r="C35" s="497"/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497"/>
    </row>
    <row r="36" spans="1:17" ht="18.75" x14ac:dyDescent="0.3">
      <c r="A36" s="497" t="s">
        <v>103</v>
      </c>
      <c r="B36" s="497"/>
      <c r="C36" s="497"/>
      <c r="D36" s="497"/>
      <c r="E36" s="497"/>
      <c r="F36" s="497"/>
      <c r="G36" s="497"/>
      <c r="H36" s="497"/>
      <c r="I36" s="497"/>
      <c r="J36" s="497"/>
      <c r="K36" s="497"/>
      <c r="L36" s="497"/>
      <c r="M36" s="497"/>
      <c r="N36" s="497"/>
      <c r="O36" s="497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498" t="s">
        <v>2</v>
      </c>
      <c r="B39" s="498" t="s">
        <v>3</v>
      </c>
      <c r="C39" s="500" t="s">
        <v>4</v>
      </c>
      <c r="D39" s="500"/>
      <c r="E39" s="500"/>
      <c r="F39" s="500"/>
      <c r="G39" s="500"/>
      <c r="H39" s="500"/>
      <c r="I39" s="500"/>
      <c r="J39" s="500"/>
      <c r="K39" s="500"/>
      <c r="L39" s="500"/>
      <c r="M39" s="500"/>
      <c r="N39" s="500"/>
      <c r="O39" s="498" t="s">
        <v>5</v>
      </c>
    </row>
    <row r="40" spans="1:17" x14ac:dyDescent="0.25">
      <c r="A40" s="499"/>
      <c r="B40" s="499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501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63">
        <v>0</v>
      </c>
      <c r="D42" s="75" t="s">
        <v>119</v>
      </c>
      <c r="E42" s="75" t="s">
        <v>120</v>
      </c>
      <c r="F42" s="75">
        <v>0</v>
      </c>
      <c r="G42" s="76">
        <v>0</v>
      </c>
      <c r="H42" s="76" t="s">
        <v>134</v>
      </c>
      <c r="I42" s="28">
        <v>0</v>
      </c>
      <c r="J42" s="28">
        <v>0</v>
      </c>
      <c r="K42" s="28">
        <v>0</v>
      </c>
      <c r="L42" s="28">
        <v>0</v>
      </c>
      <c r="M42" s="75" t="s">
        <v>134</v>
      </c>
      <c r="N42" s="28">
        <v>0</v>
      </c>
      <c r="O42" s="467" t="s">
        <v>151</v>
      </c>
      <c r="P42" s="107"/>
      <c r="Q42" s="106">
        <v>8</v>
      </c>
    </row>
    <row r="43" spans="1:17" ht="18.75" customHeight="1" x14ac:dyDescent="0.25">
      <c r="A43" s="14">
        <v>2</v>
      </c>
      <c r="B43" s="12" t="s">
        <v>19</v>
      </c>
      <c r="C43" s="61">
        <v>0</v>
      </c>
      <c r="D43" s="16">
        <v>0</v>
      </c>
      <c r="E43" s="16">
        <v>0</v>
      </c>
      <c r="F43" s="16">
        <v>0</v>
      </c>
      <c r="G43" s="61">
        <v>1</v>
      </c>
      <c r="H43" s="138">
        <v>0</v>
      </c>
      <c r="I43" s="142" t="s">
        <v>134</v>
      </c>
      <c r="J43" s="142">
        <v>0</v>
      </c>
      <c r="K43" s="16">
        <v>0</v>
      </c>
      <c r="L43" s="16">
        <v>1</v>
      </c>
      <c r="M43" s="16">
        <v>0</v>
      </c>
      <c r="N43" s="16">
        <v>0</v>
      </c>
      <c r="O43" s="18">
        <f t="shared" ref="O43:O48" si="3">SUM(C43:N43)</f>
        <v>2</v>
      </c>
      <c r="P43" s="107"/>
      <c r="Q43" s="106">
        <v>1</v>
      </c>
    </row>
    <row r="44" spans="1:17" ht="18.75" customHeight="1" x14ac:dyDescent="0.25">
      <c r="A44" s="14">
        <v>3</v>
      </c>
      <c r="B44" s="7" t="s">
        <v>20</v>
      </c>
      <c r="C44" s="61">
        <v>0</v>
      </c>
      <c r="D44" s="16">
        <v>0</v>
      </c>
      <c r="E44" s="16">
        <v>0</v>
      </c>
      <c r="F44" s="16">
        <v>1</v>
      </c>
      <c r="G44" s="61">
        <v>0</v>
      </c>
      <c r="H44" s="61">
        <v>0</v>
      </c>
      <c r="I44" s="142">
        <v>0</v>
      </c>
      <c r="J44" s="16">
        <v>5</v>
      </c>
      <c r="K44" s="16">
        <v>6</v>
      </c>
      <c r="L44" s="16">
        <v>0</v>
      </c>
      <c r="M44" s="16">
        <v>0</v>
      </c>
      <c r="N44" s="16">
        <v>0</v>
      </c>
      <c r="O44" s="18">
        <f t="shared" si="3"/>
        <v>12</v>
      </c>
      <c r="P44" s="107"/>
      <c r="Q44" s="106">
        <f>SUM(C44:N44)</f>
        <v>12</v>
      </c>
    </row>
    <row r="45" spans="1:17" ht="18.75" customHeight="1" x14ac:dyDescent="0.25">
      <c r="A45" s="14">
        <v>4</v>
      </c>
      <c r="B45" s="15" t="s">
        <v>21</v>
      </c>
      <c r="C45" s="61">
        <v>0</v>
      </c>
      <c r="D45" s="16">
        <v>0</v>
      </c>
      <c r="E45" s="16">
        <v>0</v>
      </c>
      <c r="F45" s="16">
        <v>1</v>
      </c>
      <c r="G45" s="61">
        <v>0</v>
      </c>
      <c r="H45" s="138" t="s">
        <v>134</v>
      </c>
      <c r="I45" s="142" t="s">
        <v>134</v>
      </c>
      <c r="J45" s="16">
        <v>0</v>
      </c>
      <c r="K45" s="16">
        <v>0</v>
      </c>
      <c r="L45" s="142" t="s">
        <v>134</v>
      </c>
      <c r="M45" s="16">
        <v>1</v>
      </c>
      <c r="N45" s="16">
        <v>0</v>
      </c>
      <c r="O45" s="18">
        <v>5</v>
      </c>
      <c r="P45" s="107"/>
      <c r="Q45" s="106">
        <v>2</v>
      </c>
    </row>
    <row r="46" spans="1:17" ht="18.75" customHeight="1" x14ac:dyDescent="0.25">
      <c r="A46" s="14">
        <v>5</v>
      </c>
      <c r="B46" s="19" t="s">
        <v>22</v>
      </c>
      <c r="C46" s="61">
        <v>0</v>
      </c>
      <c r="D46" s="16">
        <v>0</v>
      </c>
      <c r="E46" s="16">
        <v>0</v>
      </c>
      <c r="F46" s="16">
        <v>0</v>
      </c>
      <c r="G46" s="61">
        <v>1</v>
      </c>
      <c r="H46" s="61">
        <v>0</v>
      </c>
      <c r="I46" s="142">
        <v>0</v>
      </c>
      <c r="J46" s="16">
        <v>0</v>
      </c>
      <c r="K46" s="16">
        <v>3</v>
      </c>
      <c r="L46" s="16">
        <v>0</v>
      </c>
      <c r="M46" s="16">
        <v>1</v>
      </c>
      <c r="N46" s="16">
        <v>0</v>
      </c>
      <c r="O46" s="18">
        <f t="shared" si="3"/>
        <v>5</v>
      </c>
      <c r="P46" s="107"/>
      <c r="Q46" s="106">
        <f>SUM(C46:N46)</f>
        <v>5</v>
      </c>
    </row>
    <row r="47" spans="1:17" ht="18.75" customHeight="1" x14ac:dyDescent="0.25">
      <c r="A47" s="14">
        <v>6</v>
      </c>
      <c r="B47" s="19" t="s">
        <v>23</v>
      </c>
      <c r="C47" s="61">
        <v>0</v>
      </c>
      <c r="D47" s="16">
        <v>0</v>
      </c>
      <c r="E47" s="16">
        <v>0</v>
      </c>
      <c r="F47" s="16">
        <v>0</v>
      </c>
      <c r="G47" s="61">
        <v>0</v>
      </c>
      <c r="H47" s="61">
        <v>0</v>
      </c>
      <c r="I47" s="142" t="s">
        <v>134</v>
      </c>
      <c r="J47" s="16">
        <v>0</v>
      </c>
      <c r="K47" s="16">
        <v>0</v>
      </c>
      <c r="L47" s="16">
        <v>0</v>
      </c>
      <c r="M47" s="16">
        <v>2</v>
      </c>
      <c r="N47" s="16">
        <v>0</v>
      </c>
      <c r="O47" s="18">
        <v>3</v>
      </c>
      <c r="P47" s="107"/>
      <c r="Q47" s="106">
        <f>SUM(C47:N47)</f>
        <v>2</v>
      </c>
    </row>
    <row r="48" spans="1:17" ht="18.75" customHeight="1" x14ac:dyDescent="0.25">
      <c r="A48" s="14">
        <v>7</v>
      </c>
      <c r="B48" s="19" t="s">
        <v>24</v>
      </c>
      <c r="C48" s="61">
        <v>0</v>
      </c>
      <c r="D48" s="16">
        <v>0</v>
      </c>
      <c r="E48" s="16">
        <v>0</v>
      </c>
      <c r="F48" s="16">
        <v>0</v>
      </c>
      <c r="G48" s="61">
        <v>0</v>
      </c>
      <c r="H48" s="61">
        <v>0</v>
      </c>
      <c r="I48" s="327">
        <v>0.2</v>
      </c>
      <c r="J48" s="16">
        <v>0</v>
      </c>
      <c r="K48" s="16">
        <v>0</v>
      </c>
      <c r="L48" s="16">
        <v>0</v>
      </c>
      <c r="M48" s="327">
        <v>0.5</v>
      </c>
      <c r="N48" s="16">
        <v>0</v>
      </c>
      <c r="O48" s="468">
        <f t="shared" si="3"/>
        <v>0.7</v>
      </c>
      <c r="P48" s="107"/>
      <c r="Q48" s="106">
        <f>SUM(C48:N48)</f>
        <v>0.7</v>
      </c>
    </row>
    <row r="49" spans="1:17" ht="18.75" customHeight="1" thickBot="1" x14ac:dyDescent="0.3">
      <c r="A49" s="20">
        <v>8</v>
      </c>
      <c r="B49" s="15" t="s">
        <v>25</v>
      </c>
      <c r="C49" s="108">
        <v>0</v>
      </c>
      <c r="D49" s="17">
        <v>0</v>
      </c>
      <c r="E49" s="101" t="s">
        <v>121</v>
      </c>
      <c r="F49" s="17">
        <v>0</v>
      </c>
      <c r="G49" s="108" t="s">
        <v>134</v>
      </c>
      <c r="H49" s="62"/>
      <c r="I49" s="17">
        <v>0</v>
      </c>
      <c r="J49" s="101">
        <v>1</v>
      </c>
      <c r="K49" s="17">
        <v>0</v>
      </c>
      <c r="L49" s="17">
        <v>0</v>
      </c>
      <c r="M49" s="17">
        <v>1</v>
      </c>
      <c r="N49" s="17">
        <v>1</v>
      </c>
      <c r="O49" s="18">
        <v>7</v>
      </c>
      <c r="P49" s="107"/>
      <c r="Q49" s="106">
        <v>4</v>
      </c>
    </row>
    <row r="50" spans="1:17" ht="18.75" customHeight="1" thickTop="1" x14ac:dyDescent="0.25">
      <c r="A50" s="495" t="s">
        <v>26</v>
      </c>
      <c r="B50" s="496"/>
      <c r="C50" s="22">
        <f>SUM(C42:C49)</f>
        <v>0</v>
      </c>
      <c r="D50" s="22">
        <v>2</v>
      </c>
      <c r="E50" s="22">
        <v>8</v>
      </c>
      <c r="F50" s="22">
        <f t="shared" ref="F50:N50" si="4">SUM(F42:F49)</f>
        <v>2</v>
      </c>
      <c r="G50" s="22">
        <v>3</v>
      </c>
      <c r="H50" s="22">
        <f t="shared" si="4"/>
        <v>0</v>
      </c>
      <c r="I50" s="328">
        <v>3.2</v>
      </c>
      <c r="J50" s="22">
        <f t="shared" si="4"/>
        <v>6</v>
      </c>
      <c r="K50" s="22">
        <f t="shared" si="4"/>
        <v>9</v>
      </c>
      <c r="L50" s="22">
        <v>2</v>
      </c>
      <c r="M50" s="328">
        <v>6.5</v>
      </c>
      <c r="N50" s="22">
        <f t="shared" si="4"/>
        <v>1</v>
      </c>
      <c r="O50" s="328">
        <v>43.7</v>
      </c>
      <c r="Q50" s="106">
        <f>SUM(Q42:Q49)</f>
        <v>34.700000000000003</v>
      </c>
    </row>
    <row r="51" spans="1:17" x14ac:dyDescent="0.25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506" t="s">
        <v>61</v>
      </c>
      <c r="B52" s="506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497" t="s">
        <v>39</v>
      </c>
      <c r="B68" s="497"/>
      <c r="C68" s="497"/>
      <c r="D68" s="497"/>
      <c r="E68" s="497"/>
      <c r="F68" s="497"/>
      <c r="G68" s="497"/>
      <c r="H68" s="497"/>
      <c r="I68" s="497"/>
      <c r="J68" s="497"/>
      <c r="K68" s="497"/>
      <c r="L68" s="497"/>
      <c r="M68" s="497"/>
      <c r="N68" s="497"/>
      <c r="O68" s="497"/>
    </row>
    <row r="69" spans="1:15" ht="18.75" x14ac:dyDescent="0.3">
      <c r="A69" s="497" t="s">
        <v>103</v>
      </c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497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498" t="s">
        <v>2</v>
      </c>
      <c r="B72" s="498" t="s">
        <v>3</v>
      </c>
      <c r="C72" s="500" t="s">
        <v>4</v>
      </c>
      <c r="D72" s="500"/>
      <c r="E72" s="500"/>
      <c r="F72" s="500"/>
      <c r="G72" s="500"/>
      <c r="H72" s="500"/>
      <c r="I72" s="500"/>
      <c r="J72" s="500"/>
      <c r="K72" s="500"/>
      <c r="L72" s="500"/>
      <c r="M72" s="500"/>
      <c r="N72" s="500"/>
      <c r="O72" s="498" t="s">
        <v>5</v>
      </c>
    </row>
    <row r="73" spans="1:15" x14ac:dyDescent="0.25">
      <c r="A73" s="499"/>
      <c r="B73" s="499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501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63">
        <v>0</v>
      </c>
      <c r="D75" s="63">
        <v>0</v>
      </c>
      <c r="E75" s="63">
        <v>0</v>
      </c>
      <c r="F75" s="28">
        <v>0</v>
      </c>
      <c r="G75" s="63">
        <v>0</v>
      </c>
      <c r="H75" s="63">
        <v>0</v>
      </c>
      <c r="I75" s="63">
        <v>0</v>
      </c>
      <c r="J75" s="28">
        <v>0</v>
      </c>
      <c r="K75" s="28">
        <v>0</v>
      </c>
      <c r="L75" s="28">
        <v>0</v>
      </c>
      <c r="M75" s="75">
        <v>0</v>
      </c>
      <c r="N75" s="28">
        <v>0</v>
      </c>
      <c r="O75" s="29">
        <f>SUM(C75:N75)</f>
        <v>0</v>
      </c>
    </row>
    <row r="76" spans="1:15" ht="18.75" customHeight="1" x14ac:dyDescent="0.25">
      <c r="A76" s="14">
        <v>2</v>
      </c>
      <c r="B76" s="12" t="s">
        <v>19</v>
      </c>
      <c r="C76" s="61">
        <v>0</v>
      </c>
      <c r="D76" s="61">
        <v>0</v>
      </c>
      <c r="E76" s="61">
        <v>0</v>
      </c>
      <c r="F76" s="16">
        <v>0</v>
      </c>
      <c r="G76" s="61">
        <v>2</v>
      </c>
      <c r="H76" s="61">
        <v>0</v>
      </c>
      <c r="I76" s="61">
        <v>0</v>
      </c>
      <c r="J76" s="142">
        <v>0</v>
      </c>
      <c r="K76" s="16">
        <v>0</v>
      </c>
      <c r="L76" s="16">
        <v>3</v>
      </c>
      <c r="M76" s="16">
        <v>0</v>
      </c>
      <c r="N76" s="16">
        <v>0</v>
      </c>
      <c r="O76" s="18">
        <f t="shared" ref="O76:O82" si="5">SUM(C76:N76)</f>
        <v>5</v>
      </c>
    </row>
    <row r="77" spans="1:15" ht="18.75" customHeight="1" x14ac:dyDescent="0.25">
      <c r="A77" s="14">
        <v>3</v>
      </c>
      <c r="B77" s="7" t="s">
        <v>20</v>
      </c>
      <c r="C77" s="61">
        <v>0</v>
      </c>
      <c r="D77" s="61">
        <v>0</v>
      </c>
      <c r="E77" s="61">
        <v>0</v>
      </c>
      <c r="F77" s="71">
        <v>2</v>
      </c>
      <c r="G77" s="61">
        <v>0</v>
      </c>
      <c r="H77" s="61">
        <v>0</v>
      </c>
      <c r="I77" s="61">
        <v>0</v>
      </c>
      <c r="J77" s="16">
        <v>12</v>
      </c>
      <c r="K77" s="16">
        <v>17</v>
      </c>
      <c r="L77" s="16">
        <v>0</v>
      </c>
      <c r="M77" s="16">
        <v>0</v>
      </c>
      <c r="N77" s="16">
        <v>0</v>
      </c>
      <c r="O77" s="18">
        <f t="shared" si="5"/>
        <v>31</v>
      </c>
    </row>
    <row r="78" spans="1:15" ht="18.75" customHeight="1" x14ac:dyDescent="0.25">
      <c r="A78" s="14">
        <v>4</v>
      </c>
      <c r="B78" s="15" t="s">
        <v>21</v>
      </c>
      <c r="C78" s="61">
        <v>0</v>
      </c>
      <c r="D78" s="61">
        <v>0</v>
      </c>
      <c r="E78" s="61">
        <v>0</v>
      </c>
      <c r="F78" s="16">
        <v>2</v>
      </c>
      <c r="G78" s="61">
        <v>0</v>
      </c>
      <c r="H78" s="61">
        <v>0</v>
      </c>
      <c r="I78" s="61">
        <v>0</v>
      </c>
      <c r="J78" s="16">
        <v>0</v>
      </c>
      <c r="K78" s="16">
        <v>0</v>
      </c>
      <c r="L78" s="16">
        <v>0</v>
      </c>
      <c r="M78" s="16">
        <v>4</v>
      </c>
      <c r="N78" s="16">
        <v>0</v>
      </c>
      <c r="O78" s="18">
        <f t="shared" si="5"/>
        <v>6</v>
      </c>
    </row>
    <row r="79" spans="1:15" ht="18.75" customHeight="1" x14ac:dyDescent="0.25">
      <c r="A79" s="14">
        <v>5</v>
      </c>
      <c r="B79" s="19" t="s">
        <v>22</v>
      </c>
      <c r="C79" s="61">
        <v>0</v>
      </c>
      <c r="D79" s="61">
        <v>0</v>
      </c>
      <c r="E79" s="61">
        <v>0</v>
      </c>
      <c r="F79" s="16">
        <v>0</v>
      </c>
      <c r="G79" s="61">
        <v>2</v>
      </c>
      <c r="H79" s="61">
        <v>0</v>
      </c>
      <c r="I79" s="61">
        <v>0</v>
      </c>
      <c r="J79" s="16">
        <v>0</v>
      </c>
      <c r="K79" s="16">
        <v>9</v>
      </c>
      <c r="L79" s="16">
        <v>0</v>
      </c>
      <c r="M79" s="16">
        <v>3</v>
      </c>
      <c r="N79" s="16">
        <v>0</v>
      </c>
      <c r="O79" s="18">
        <f t="shared" si="5"/>
        <v>14</v>
      </c>
    </row>
    <row r="80" spans="1:15" ht="18.75" customHeight="1" x14ac:dyDescent="0.25">
      <c r="A80" s="14">
        <v>6</v>
      </c>
      <c r="B80" s="19" t="s">
        <v>23</v>
      </c>
      <c r="C80" s="61">
        <v>0</v>
      </c>
      <c r="D80" s="61">
        <v>0</v>
      </c>
      <c r="E80" s="61">
        <v>0</v>
      </c>
      <c r="F80" s="16">
        <v>0</v>
      </c>
      <c r="G80" s="61">
        <v>0</v>
      </c>
      <c r="H80" s="61">
        <v>0</v>
      </c>
      <c r="I80" s="61">
        <v>0</v>
      </c>
      <c r="J80" s="16">
        <v>0</v>
      </c>
      <c r="K80" s="16">
        <v>0</v>
      </c>
      <c r="L80" s="16">
        <v>0</v>
      </c>
      <c r="M80" s="16">
        <v>8</v>
      </c>
      <c r="N80" s="16">
        <v>0</v>
      </c>
      <c r="O80" s="18">
        <f t="shared" si="5"/>
        <v>8</v>
      </c>
    </row>
    <row r="81" spans="1:15" ht="18.75" customHeight="1" x14ac:dyDescent="0.25">
      <c r="A81" s="14">
        <v>7</v>
      </c>
      <c r="B81" s="19" t="s">
        <v>24</v>
      </c>
      <c r="C81" s="61">
        <v>0</v>
      </c>
      <c r="D81" s="61">
        <v>0</v>
      </c>
      <c r="E81" s="61">
        <v>0</v>
      </c>
      <c r="F81" s="16">
        <v>0</v>
      </c>
      <c r="G81" s="61">
        <v>0</v>
      </c>
      <c r="H81" s="61">
        <v>0</v>
      </c>
      <c r="I81" s="327">
        <v>0.4</v>
      </c>
      <c r="J81" s="16">
        <v>0</v>
      </c>
      <c r="K81" s="16">
        <v>0</v>
      </c>
      <c r="L81" s="16">
        <v>0</v>
      </c>
      <c r="M81" s="71">
        <v>2</v>
      </c>
      <c r="N81" s="16">
        <v>0</v>
      </c>
      <c r="O81" s="18">
        <f t="shared" si="5"/>
        <v>2.4</v>
      </c>
    </row>
    <row r="82" spans="1:15" ht="18.75" customHeight="1" thickBot="1" x14ac:dyDescent="0.3">
      <c r="A82" s="20">
        <v>8</v>
      </c>
      <c r="B82" s="15" t="s">
        <v>25</v>
      </c>
      <c r="C82" s="62">
        <v>0</v>
      </c>
      <c r="D82" s="62">
        <v>0</v>
      </c>
      <c r="E82" s="62">
        <v>0</v>
      </c>
      <c r="F82" s="17">
        <v>0</v>
      </c>
      <c r="G82" s="62">
        <v>0</v>
      </c>
      <c r="H82" s="62">
        <v>0</v>
      </c>
      <c r="I82" s="17">
        <v>0</v>
      </c>
      <c r="J82" s="101">
        <v>2</v>
      </c>
      <c r="K82" s="17">
        <v>0</v>
      </c>
      <c r="L82" s="17">
        <v>0</v>
      </c>
      <c r="M82" s="17">
        <v>3</v>
      </c>
      <c r="N82" s="17">
        <v>3</v>
      </c>
      <c r="O82" s="21">
        <f t="shared" si="5"/>
        <v>8</v>
      </c>
    </row>
    <row r="83" spans="1:15" ht="18.75" customHeight="1" thickTop="1" x14ac:dyDescent="0.25">
      <c r="A83" s="495" t="s">
        <v>26</v>
      </c>
      <c r="B83" s="496"/>
      <c r="C83" s="22">
        <f t="shared" ref="C83:O83" si="6">SUM(C75:C82)</f>
        <v>0</v>
      </c>
      <c r="D83" s="22">
        <f t="shared" si="6"/>
        <v>0</v>
      </c>
      <c r="E83" s="22">
        <f t="shared" si="6"/>
        <v>0</v>
      </c>
      <c r="F83" s="72">
        <f t="shared" si="6"/>
        <v>4</v>
      </c>
      <c r="G83" s="22">
        <f t="shared" si="6"/>
        <v>4</v>
      </c>
      <c r="H83" s="22">
        <f t="shared" si="6"/>
        <v>0</v>
      </c>
      <c r="I83" s="328">
        <f t="shared" si="6"/>
        <v>0.4</v>
      </c>
      <c r="J83" s="22">
        <f t="shared" si="6"/>
        <v>14</v>
      </c>
      <c r="K83" s="22">
        <f t="shared" si="6"/>
        <v>26</v>
      </c>
      <c r="L83" s="22">
        <f t="shared" si="6"/>
        <v>3</v>
      </c>
      <c r="M83" s="22">
        <f t="shared" si="6"/>
        <v>20</v>
      </c>
      <c r="N83" s="22">
        <f t="shared" si="6"/>
        <v>3</v>
      </c>
      <c r="O83" s="22">
        <f t="shared" si="6"/>
        <v>74.400000000000006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493" t="s">
        <v>176</v>
      </c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493" t="s">
        <v>177</v>
      </c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493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493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493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494" t="s">
        <v>178</v>
      </c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493" t="s">
        <v>179</v>
      </c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493" t="s">
        <v>180</v>
      </c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6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6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6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6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6" ht="18.75" x14ac:dyDescent="0.3">
      <c r="A101" s="497" t="s">
        <v>40</v>
      </c>
      <c r="B101" s="497"/>
      <c r="C101" s="497"/>
      <c r="D101" s="497"/>
      <c r="E101" s="497"/>
      <c r="F101" s="497"/>
      <c r="G101" s="497"/>
      <c r="H101" s="497"/>
      <c r="I101" s="497"/>
      <c r="J101" s="497"/>
      <c r="K101" s="497"/>
      <c r="L101" s="497"/>
      <c r="M101" s="497"/>
      <c r="N101" s="497"/>
      <c r="O101" s="497"/>
    </row>
    <row r="102" spans="1:16" ht="18.75" x14ac:dyDescent="0.3">
      <c r="A102" s="497" t="s">
        <v>103</v>
      </c>
      <c r="B102" s="497"/>
      <c r="C102" s="497"/>
      <c r="D102" s="497"/>
      <c r="E102" s="497"/>
      <c r="F102" s="497"/>
      <c r="G102" s="497"/>
      <c r="H102" s="497"/>
      <c r="I102" s="497"/>
      <c r="J102" s="497"/>
      <c r="K102" s="497"/>
      <c r="L102" s="497"/>
      <c r="M102" s="497"/>
      <c r="N102" s="497"/>
      <c r="O102" s="497"/>
    </row>
    <row r="103" spans="1:16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6" x14ac:dyDescent="0.25">
      <c r="A105" s="498" t="s">
        <v>2</v>
      </c>
      <c r="B105" s="498" t="s">
        <v>3</v>
      </c>
      <c r="C105" s="500" t="s">
        <v>4</v>
      </c>
      <c r="D105" s="500"/>
      <c r="E105" s="500"/>
      <c r="F105" s="500"/>
      <c r="G105" s="500"/>
      <c r="H105" s="500"/>
      <c r="I105" s="500"/>
      <c r="J105" s="500"/>
      <c r="K105" s="500"/>
      <c r="L105" s="500"/>
      <c r="M105" s="500"/>
      <c r="N105" s="500"/>
      <c r="O105" s="498" t="s">
        <v>5</v>
      </c>
    </row>
    <row r="106" spans="1:16" x14ac:dyDescent="0.25">
      <c r="A106" s="499"/>
      <c r="B106" s="499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501"/>
    </row>
    <row r="107" spans="1:16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6" ht="18.75" customHeight="1" thickTop="1" x14ac:dyDescent="0.25">
      <c r="A108" s="27">
        <v>1</v>
      </c>
      <c r="B108" s="7" t="s">
        <v>18</v>
      </c>
      <c r="C108" s="28">
        <v>0</v>
      </c>
      <c r="D108" s="63">
        <v>0</v>
      </c>
      <c r="E108" s="63">
        <v>0</v>
      </c>
      <c r="F108" s="31">
        <v>0</v>
      </c>
      <c r="G108" s="63">
        <v>0</v>
      </c>
      <c r="H108" s="63">
        <v>0</v>
      </c>
      <c r="I108" s="63">
        <v>0</v>
      </c>
      <c r="J108" s="63">
        <v>0</v>
      </c>
      <c r="K108" s="64">
        <v>0</v>
      </c>
      <c r="L108" s="28">
        <v>0</v>
      </c>
      <c r="M108" s="75">
        <v>0</v>
      </c>
      <c r="N108" s="28">
        <v>0</v>
      </c>
      <c r="O108" s="33">
        <v>0</v>
      </c>
    </row>
    <row r="109" spans="1:16" ht="18.75" customHeight="1" x14ac:dyDescent="0.25">
      <c r="A109" s="14">
        <v>2</v>
      </c>
      <c r="B109" s="12" t="s">
        <v>19</v>
      </c>
      <c r="C109" s="16">
        <v>0</v>
      </c>
      <c r="D109" s="61">
        <v>0</v>
      </c>
      <c r="E109" s="61">
        <v>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6">
        <v>0</v>
      </c>
      <c r="L109" s="34">
        <v>29.13</v>
      </c>
      <c r="M109" s="16">
        <v>0</v>
      </c>
      <c r="N109" s="16">
        <v>0</v>
      </c>
      <c r="O109" s="35">
        <f>SUM(C109:N109)</f>
        <v>29.13</v>
      </c>
    </row>
    <row r="110" spans="1:16" ht="18.75" customHeight="1" x14ac:dyDescent="0.25">
      <c r="A110" s="14">
        <v>3</v>
      </c>
      <c r="B110" s="7" t="s">
        <v>20</v>
      </c>
      <c r="C110" s="16">
        <v>0</v>
      </c>
      <c r="D110" s="61">
        <v>0</v>
      </c>
      <c r="E110" s="61">
        <v>0</v>
      </c>
      <c r="F110" s="34">
        <v>25.23</v>
      </c>
      <c r="G110" s="66">
        <v>25.23</v>
      </c>
      <c r="H110" s="61">
        <v>0</v>
      </c>
      <c r="I110" s="61">
        <v>0</v>
      </c>
      <c r="J110" s="66">
        <v>25.01</v>
      </c>
      <c r="K110" s="66">
        <v>29</v>
      </c>
      <c r="L110" s="16">
        <v>0</v>
      </c>
      <c r="M110" s="16">
        <v>0</v>
      </c>
      <c r="N110" s="16">
        <v>0</v>
      </c>
      <c r="O110" s="35">
        <f>SUM(C110:N110)/4</f>
        <v>26.1175</v>
      </c>
    </row>
    <row r="111" spans="1:16" ht="18.75" customHeight="1" x14ac:dyDescent="0.25">
      <c r="A111" s="14">
        <v>4</v>
      </c>
      <c r="B111" s="15" t="s">
        <v>21</v>
      </c>
      <c r="C111" s="16">
        <v>0</v>
      </c>
      <c r="D111" s="61">
        <v>0</v>
      </c>
      <c r="E111" s="61">
        <v>0</v>
      </c>
      <c r="F111" s="66">
        <v>24.31</v>
      </c>
      <c r="G111" s="66">
        <v>0</v>
      </c>
      <c r="H111" s="61">
        <v>0</v>
      </c>
      <c r="I111" s="61">
        <v>0</v>
      </c>
      <c r="J111" s="61">
        <v>0</v>
      </c>
      <c r="K111" s="66">
        <v>0</v>
      </c>
      <c r="L111" s="16">
        <v>0</v>
      </c>
      <c r="M111" s="34">
        <v>46.8</v>
      </c>
      <c r="N111" s="16">
        <v>0</v>
      </c>
      <c r="O111" s="35">
        <f>SUM(C111:N111)/2</f>
        <v>35.555</v>
      </c>
      <c r="P111">
        <f>6/2*10</f>
        <v>30</v>
      </c>
    </row>
    <row r="112" spans="1:16" ht="18.75" customHeight="1" x14ac:dyDescent="0.25">
      <c r="A112" s="14">
        <v>5</v>
      </c>
      <c r="B112" s="19" t="s">
        <v>22</v>
      </c>
      <c r="C112" s="34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6">
        <v>31.4</v>
      </c>
      <c r="L112" s="16">
        <v>0</v>
      </c>
      <c r="M112" s="34">
        <v>30.15</v>
      </c>
      <c r="N112" s="16">
        <v>0</v>
      </c>
      <c r="O112" s="35">
        <f>SUM(C112:N112)/2</f>
        <v>30.774999999999999</v>
      </c>
    </row>
    <row r="113" spans="1:16" ht="18.75" customHeight="1" x14ac:dyDescent="0.25">
      <c r="A113" s="14">
        <v>6</v>
      </c>
      <c r="B113" s="19" t="s">
        <v>23</v>
      </c>
      <c r="C113" s="16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6">
        <v>0</v>
      </c>
      <c r="L113" s="16">
        <v>0</v>
      </c>
      <c r="M113" s="34">
        <v>40</v>
      </c>
      <c r="N113" s="16">
        <v>0</v>
      </c>
      <c r="O113" s="35">
        <f t="shared" ref="O113" si="7">SUM(C113:N113)</f>
        <v>40</v>
      </c>
    </row>
    <row r="114" spans="1:16" ht="18.75" customHeight="1" x14ac:dyDescent="0.25">
      <c r="A114" s="14">
        <v>7</v>
      </c>
      <c r="B114" s="19" t="s">
        <v>24</v>
      </c>
      <c r="C114" s="16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34">
        <v>20</v>
      </c>
      <c r="J114" s="34">
        <v>0</v>
      </c>
      <c r="K114" s="66">
        <v>0</v>
      </c>
      <c r="L114" s="16">
        <v>0</v>
      </c>
      <c r="M114" s="34">
        <v>35</v>
      </c>
      <c r="N114" s="16">
        <v>0</v>
      </c>
      <c r="O114" s="35">
        <f>SUM(C114:N114)/2</f>
        <v>27.5</v>
      </c>
    </row>
    <row r="115" spans="1:16" ht="18.75" customHeight="1" thickBot="1" x14ac:dyDescent="0.3">
      <c r="A115" s="20">
        <v>8</v>
      </c>
      <c r="B115" s="15" t="s">
        <v>25</v>
      </c>
      <c r="C115" s="17">
        <v>0</v>
      </c>
      <c r="D115" s="62">
        <v>0</v>
      </c>
      <c r="E115" s="62">
        <v>0</v>
      </c>
      <c r="F115" s="67">
        <v>0</v>
      </c>
      <c r="G115" s="62">
        <v>0</v>
      </c>
      <c r="H115" s="62">
        <v>0</v>
      </c>
      <c r="I115" s="17">
        <v>0</v>
      </c>
      <c r="J115" s="36">
        <v>20.149999999999999</v>
      </c>
      <c r="K115" s="67">
        <v>0</v>
      </c>
      <c r="L115" s="17">
        <v>0</v>
      </c>
      <c r="M115" s="36">
        <v>29</v>
      </c>
      <c r="N115" s="36">
        <v>30</v>
      </c>
      <c r="O115" s="37">
        <f>SUM(C115:N115)/2</f>
        <v>39.575000000000003</v>
      </c>
      <c r="P115">
        <f>5/2*10</f>
        <v>25</v>
      </c>
    </row>
    <row r="116" spans="1:16" ht="18.75" customHeight="1" thickTop="1" x14ac:dyDescent="0.25">
      <c r="A116" s="495" t="s">
        <v>26</v>
      </c>
      <c r="B116" s="496"/>
      <c r="C116" s="38">
        <v>0</v>
      </c>
      <c r="D116" s="38">
        <v>0</v>
      </c>
      <c r="E116" s="38">
        <f>SUM(E108:E115)</f>
        <v>0</v>
      </c>
      <c r="F116" s="38">
        <f>SUM(F108:F115)/2</f>
        <v>24.77</v>
      </c>
      <c r="G116" s="38">
        <f t="shared" ref="G116:N116" si="8">SUM(G108:G115)</f>
        <v>25.23</v>
      </c>
      <c r="H116" s="38">
        <f t="shared" si="8"/>
        <v>0</v>
      </c>
      <c r="I116" s="38">
        <f t="shared" si="8"/>
        <v>20</v>
      </c>
      <c r="J116" s="38">
        <f>SUM(J108:J115)/2</f>
        <v>22.58</v>
      </c>
      <c r="K116" s="38">
        <f>SUM(K108:K115)/2</f>
        <v>30.2</v>
      </c>
      <c r="L116" s="38">
        <f t="shared" si="8"/>
        <v>29.13</v>
      </c>
      <c r="M116" s="38">
        <f>SUM(M108:M115)/5</f>
        <v>36.19</v>
      </c>
      <c r="N116" s="38">
        <f t="shared" si="8"/>
        <v>30</v>
      </c>
      <c r="O116" s="45">
        <f>SUM(O108:O115)/7</f>
        <v>32.664642857142859</v>
      </c>
    </row>
    <row r="117" spans="1:16" x14ac:dyDescent="0.25">
      <c r="A117" s="24"/>
      <c r="B117" s="24"/>
      <c r="C117" s="24"/>
      <c r="D117" s="24"/>
      <c r="E117" s="24"/>
      <c r="F117" s="24"/>
      <c r="G117" s="104"/>
      <c r="H117" s="24"/>
      <c r="I117" s="24"/>
      <c r="J117" s="24"/>
      <c r="K117" s="24"/>
      <c r="L117" s="24"/>
      <c r="M117" s="24"/>
      <c r="N117" s="24"/>
      <c r="O117" s="24"/>
    </row>
    <row r="118" spans="1:16" x14ac:dyDescent="0.25">
      <c r="A118" s="24"/>
      <c r="B118" s="24"/>
      <c r="C118" s="24"/>
      <c r="D118" s="24"/>
      <c r="E118" s="24"/>
      <c r="F118" s="24"/>
      <c r="G118" s="104"/>
      <c r="H118" s="24"/>
      <c r="I118" s="24"/>
      <c r="J118" s="24"/>
      <c r="K118" s="24"/>
      <c r="L118" s="24"/>
      <c r="M118" s="24"/>
      <c r="N118" s="24"/>
      <c r="O118" s="24"/>
    </row>
    <row r="119" spans="1:16" x14ac:dyDescent="0.25">
      <c r="K119" t="s">
        <v>93</v>
      </c>
    </row>
    <row r="120" spans="1:16" x14ac:dyDescent="0.25">
      <c r="K120" t="s">
        <v>90</v>
      </c>
    </row>
    <row r="124" spans="1:16" x14ac:dyDescent="0.25">
      <c r="K124" t="s">
        <v>91</v>
      </c>
    </row>
    <row r="125" spans="1:16" x14ac:dyDescent="0.25">
      <c r="K125" t="s">
        <v>92</v>
      </c>
    </row>
  </sheetData>
  <mergeCells count="29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52:B52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497" t="s">
        <v>57</v>
      </c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</row>
    <row r="3" spans="1:17" ht="18.75" x14ac:dyDescent="0.3">
      <c r="A3" s="497" t="s">
        <v>103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498" t="s">
        <v>2</v>
      </c>
      <c r="B6" s="498" t="s">
        <v>3</v>
      </c>
      <c r="C6" s="507" t="s">
        <v>4</v>
      </c>
      <c r="D6" s="507"/>
      <c r="E6" s="507"/>
      <c r="F6" s="507"/>
      <c r="G6" s="507"/>
      <c r="H6" s="507"/>
      <c r="I6" s="507"/>
      <c r="J6" s="507"/>
      <c r="K6" s="507"/>
      <c r="L6" s="507"/>
      <c r="M6" s="507"/>
      <c r="N6" s="507"/>
      <c r="O6" s="498" t="s">
        <v>5</v>
      </c>
    </row>
    <row r="7" spans="1:17" x14ac:dyDescent="0.25">
      <c r="A7" s="499"/>
      <c r="B7" s="499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501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102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6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16">
        <v>5</v>
      </c>
      <c r="D10" s="16">
        <v>9</v>
      </c>
      <c r="E10" s="16">
        <v>6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20</v>
      </c>
      <c r="Q10" s="106">
        <f t="shared" ref="Q10:Q16" si="1">SUM(L10:M10)</f>
        <v>0</v>
      </c>
    </row>
    <row r="11" spans="1:17" ht="18.75" customHeight="1" x14ac:dyDescent="0.25">
      <c r="A11" s="14">
        <v>3</v>
      </c>
      <c r="B11" s="7" t="s">
        <v>20</v>
      </c>
      <c r="C11" s="16">
        <v>15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15</v>
      </c>
      <c r="Q11" s="106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106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10</v>
      </c>
      <c r="E13" s="16">
        <v>25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35</v>
      </c>
      <c r="Q13" s="106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6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6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28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28</v>
      </c>
      <c r="Q16" s="106">
        <f t="shared" si="1"/>
        <v>0</v>
      </c>
    </row>
    <row r="17" spans="1:15" ht="18.75" customHeight="1" thickTop="1" x14ac:dyDescent="0.25">
      <c r="A17" s="495" t="s">
        <v>26</v>
      </c>
      <c r="B17" s="496"/>
      <c r="C17" s="22">
        <f t="shared" ref="C17:O17" si="2">SUM(C9:C16)</f>
        <v>20</v>
      </c>
      <c r="D17" s="22">
        <f t="shared" si="2"/>
        <v>19</v>
      </c>
      <c r="E17" s="22">
        <f t="shared" si="2"/>
        <v>59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22">
        <f t="shared" si="2"/>
        <v>98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497" t="s">
        <v>58</v>
      </c>
      <c r="B35" s="497"/>
      <c r="C35" s="497"/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497"/>
    </row>
    <row r="36" spans="1:17" ht="18.75" x14ac:dyDescent="0.3">
      <c r="A36" s="497" t="s">
        <v>103</v>
      </c>
      <c r="B36" s="497"/>
      <c r="C36" s="497"/>
      <c r="D36" s="497"/>
      <c r="E36" s="497"/>
      <c r="F36" s="497"/>
      <c r="G36" s="497"/>
      <c r="H36" s="497"/>
      <c r="I36" s="497"/>
      <c r="J36" s="497"/>
      <c r="K36" s="497"/>
      <c r="L36" s="497"/>
      <c r="M36" s="497"/>
      <c r="N36" s="497"/>
      <c r="O36" s="497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498" t="s">
        <v>2</v>
      </c>
      <c r="B39" s="498" t="s">
        <v>3</v>
      </c>
      <c r="C39" s="500" t="s">
        <v>4</v>
      </c>
      <c r="D39" s="500"/>
      <c r="E39" s="500"/>
      <c r="F39" s="500"/>
      <c r="G39" s="500"/>
      <c r="H39" s="500"/>
      <c r="I39" s="500"/>
      <c r="J39" s="500"/>
      <c r="K39" s="500"/>
      <c r="L39" s="500"/>
      <c r="M39" s="500"/>
      <c r="N39" s="500"/>
      <c r="O39" s="498" t="s">
        <v>5</v>
      </c>
    </row>
    <row r="40" spans="1:17" x14ac:dyDescent="0.25">
      <c r="A40" s="499"/>
      <c r="B40" s="499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501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6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16">
        <v>1</v>
      </c>
      <c r="D43" s="16">
        <v>2</v>
      </c>
      <c r="E43" s="16">
        <v>19</v>
      </c>
      <c r="F43" s="16">
        <v>3</v>
      </c>
      <c r="G43" s="16">
        <v>6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31</v>
      </c>
      <c r="Q43" s="106">
        <f t="shared" ref="Q43:Q49" si="4">SUM(C43:E43)</f>
        <v>22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42" t="s">
        <v>122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6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6">
        <f t="shared" si="4"/>
        <v>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4</v>
      </c>
      <c r="E46" s="16">
        <v>0</v>
      </c>
      <c r="F46" s="16">
        <v>0</v>
      </c>
      <c r="G46" s="16">
        <v>10</v>
      </c>
      <c r="H46" s="16">
        <v>25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39</v>
      </c>
      <c r="Q46" s="106">
        <f t="shared" si="4"/>
        <v>4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6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6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101">
        <v>0</v>
      </c>
      <c r="D49" s="17">
        <v>0</v>
      </c>
      <c r="E49" s="17">
        <v>0</v>
      </c>
      <c r="F49" s="17">
        <v>0</v>
      </c>
      <c r="G49" s="17">
        <v>0</v>
      </c>
      <c r="H49" s="17">
        <v>28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3"/>
        <v>28</v>
      </c>
      <c r="P49" s="110">
        <v>15</v>
      </c>
      <c r="Q49" s="106">
        <f t="shared" si="4"/>
        <v>0</v>
      </c>
    </row>
    <row r="50" spans="1:17" ht="18.75" customHeight="1" thickTop="1" x14ac:dyDescent="0.25">
      <c r="A50" s="495" t="s">
        <v>26</v>
      </c>
      <c r="B50" s="496"/>
      <c r="C50" s="22">
        <f>SUM(C42:C49)</f>
        <v>1</v>
      </c>
      <c r="D50" s="22">
        <f t="shared" ref="D50:N50" si="5">SUM(D42:D49)</f>
        <v>6</v>
      </c>
      <c r="E50" s="22">
        <v>59</v>
      </c>
      <c r="F50" s="22">
        <f t="shared" si="5"/>
        <v>3</v>
      </c>
      <c r="G50" s="22">
        <f t="shared" si="5"/>
        <v>16</v>
      </c>
      <c r="H50" s="22">
        <f t="shared" si="5"/>
        <v>53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22">
        <f>SUM(O42:O49)</f>
        <v>98</v>
      </c>
      <c r="P50" s="109">
        <f>SUM(P42:P49)</f>
        <v>15</v>
      </c>
    </row>
    <row r="51" spans="1:17" x14ac:dyDescent="0.25">
      <c r="A51" s="116" t="s">
        <v>83</v>
      </c>
      <c r="B51" s="116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497" t="s">
        <v>59</v>
      </c>
      <c r="B68" s="497"/>
      <c r="C68" s="497"/>
      <c r="D68" s="497"/>
      <c r="E68" s="497"/>
      <c r="F68" s="497"/>
      <c r="G68" s="497"/>
      <c r="H68" s="497"/>
      <c r="I68" s="497"/>
      <c r="J68" s="497"/>
      <c r="K68" s="497"/>
      <c r="L68" s="497"/>
      <c r="M68" s="497"/>
      <c r="N68" s="497"/>
      <c r="O68" s="497"/>
    </row>
    <row r="69" spans="1:17" ht="18.75" x14ac:dyDescent="0.3">
      <c r="A69" s="497" t="s">
        <v>103</v>
      </c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497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498" t="s">
        <v>2</v>
      </c>
      <c r="B72" s="498" t="s">
        <v>3</v>
      </c>
      <c r="C72" s="500" t="s">
        <v>4</v>
      </c>
      <c r="D72" s="500"/>
      <c r="E72" s="500"/>
      <c r="F72" s="500"/>
      <c r="G72" s="500"/>
      <c r="H72" s="500"/>
      <c r="I72" s="500"/>
      <c r="J72" s="500"/>
      <c r="K72" s="500"/>
      <c r="L72" s="500"/>
      <c r="M72" s="500"/>
      <c r="N72" s="500"/>
      <c r="O72" s="498" t="s">
        <v>5</v>
      </c>
    </row>
    <row r="73" spans="1:17" x14ac:dyDescent="0.25">
      <c r="A73" s="499"/>
      <c r="B73" s="499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501"/>
      <c r="Q73" s="105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06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16">
        <v>1</v>
      </c>
      <c r="D76" s="16">
        <v>2</v>
      </c>
      <c r="E76" s="16">
        <v>15</v>
      </c>
      <c r="F76" s="16">
        <v>3</v>
      </c>
      <c r="G76" s="16">
        <v>5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26</v>
      </c>
      <c r="Q76" s="106">
        <f t="shared" ref="Q76:Q82" si="7">SUM(C76:E76)</f>
        <v>18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9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9</v>
      </c>
      <c r="Q77" s="106">
        <f t="shared" si="7"/>
        <v>0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0</v>
      </c>
      <c r="Q78" s="106">
        <f t="shared" si="7"/>
        <v>0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4</v>
      </c>
      <c r="E79" s="16">
        <v>0</v>
      </c>
      <c r="F79" s="16">
        <v>0</v>
      </c>
      <c r="G79" s="16">
        <v>9</v>
      </c>
      <c r="H79" s="16">
        <v>24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37</v>
      </c>
      <c r="Q79" s="106">
        <f t="shared" si="7"/>
        <v>4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06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06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25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21">
        <f t="shared" si="6"/>
        <v>25</v>
      </c>
      <c r="Q82" s="106">
        <f t="shared" si="7"/>
        <v>0</v>
      </c>
    </row>
    <row r="83" spans="1:17" ht="18.75" customHeight="1" thickTop="1" x14ac:dyDescent="0.25">
      <c r="A83" s="495" t="s">
        <v>26</v>
      </c>
      <c r="B83" s="496"/>
      <c r="C83" s="22">
        <f t="shared" ref="C83:O83" si="8">SUM(C75:C82)</f>
        <v>1</v>
      </c>
      <c r="D83" s="22">
        <f t="shared" si="8"/>
        <v>6</v>
      </c>
      <c r="E83" s="22">
        <f t="shared" si="8"/>
        <v>15</v>
      </c>
      <c r="F83" s="22">
        <f t="shared" si="8"/>
        <v>3</v>
      </c>
      <c r="G83" s="22">
        <f t="shared" si="8"/>
        <v>23</v>
      </c>
      <c r="H83" s="22">
        <f t="shared" si="8"/>
        <v>49</v>
      </c>
      <c r="I83" s="22">
        <f t="shared" si="8"/>
        <v>0</v>
      </c>
      <c r="J83" s="22">
        <f t="shared" si="8"/>
        <v>0</v>
      </c>
      <c r="K83" s="22">
        <f t="shared" si="8"/>
        <v>0</v>
      </c>
      <c r="L83" s="22">
        <f t="shared" si="8"/>
        <v>0</v>
      </c>
      <c r="M83" s="22">
        <f t="shared" si="8"/>
        <v>0</v>
      </c>
      <c r="N83" s="22">
        <f t="shared" si="8"/>
        <v>0</v>
      </c>
      <c r="O83" s="22">
        <f t="shared" si="8"/>
        <v>97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493" t="s">
        <v>176</v>
      </c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493" t="s">
        <v>177</v>
      </c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493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493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493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494" t="s">
        <v>178</v>
      </c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493" t="s">
        <v>179</v>
      </c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493" t="s">
        <v>180</v>
      </c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497" t="s">
        <v>60</v>
      </c>
      <c r="B101" s="497"/>
      <c r="C101" s="497"/>
      <c r="D101" s="497"/>
      <c r="E101" s="497"/>
      <c r="F101" s="497"/>
      <c r="G101" s="497"/>
      <c r="H101" s="497"/>
      <c r="I101" s="497"/>
      <c r="J101" s="497"/>
      <c r="K101" s="497"/>
      <c r="L101" s="497"/>
      <c r="M101" s="497"/>
      <c r="N101" s="497"/>
      <c r="O101" s="497"/>
    </row>
    <row r="102" spans="1:15" ht="18.75" x14ac:dyDescent="0.3">
      <c r="A102" s="497" t="s">
        <v>103</v>
      </c>
      <c r="B102" s="497"/>
      <c r="C102" s="497"/>
      <c r="D102" s="497"/>
      <c r="E102" s="497"/>
      <c r="F102" s="497"/>
      <c r="G102" s="497"/>
      <c r="H102" s="497"/>
      <c r="I102" s="497"/>
      <c r="J102" s="497"/>
      <c r="K102" s="497"/>
      <c r="L102" s="497"/>
      <c r="M102" s="497"/>
      <c r="N102" s="497"/>
      <c r="O102" s="497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498" t="s">
        <v>2</v>
      </c>
      <c r="B105" s="498" t="s">
        <v>3</v>
      </c>
      <c r="C105" s="500" t="s">
        <v>4</v>
      </c>
      <c r="D105" s="500"/>
      <c r="E105" s="500"/>
      <c r="F105" s="500"/>
      <c r="G105" s="500"/>
      <c r="H105" s="500"/>
      <c r="I105" s="500"/>
      <c r="J105" s="500"/>
      <c r="K105" s="500"/>
      <c r="L105" s="500"/>
      <c r="M105" s="500"/>
      <c r="N105" s="500"/>
      <c r="O105" s="498" t="s">
        <v>5</v>
      </c>
    </row>
    <row r="106" spans="1:15" x14ac:dyDescent="0.25">
      <c r="A106" s="499"/>
      <c r="B106" s="499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501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34">
        <v>10</v>
      </c>
      <c r="D109" s="34">
        <v>11.12</v>
      </c>
      <c r="E109" s="34">
        <v>8.19</v>
      </c>
      <c r="F109" s="34">
        <v>10</v>
      </c>
      <c r="G109" s="34">
        <v>9.4499999999999993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f>O76/O43*10</f>
        <v>8.387096774193548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34">
        <v>10</v>
      </c>
      <c r="E112" s="16">
        <v>0</v>
      </c>
      <c r="F112" s="16">
        <v>0</v>
      </c>
      <c r="G112" s="34">
        <v>9.2100000000000009</v>
      </c>
      <c r="H112" s="34">
        <v>9.4499999999999993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f>O79/O46*10</f>
        <v>9.4871794871794872</v>
      </c>
    </row>
    <row r="113" spans="1:16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3">
      <c r="A115" s="20">
        <v>8</v>
      </c>
      <c r="B115" s="15" t="s">
        <v>25</v>
      </c>
      <c r="C115" s="36">
        <v>0</v>
      </c>
      <c r="D115" s="17">
        <v>0</v>
      </c>
      <c r="E115" s="17">
        <v>0</v>
      </c>
      <c r="F115" s="17">
        <v>0</v>
      </c>
      <c r="G115" s="17">
        <v>0</v>
      </c>
      <c r="H115" s="36">
        <v>9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f>O82/O49*10</f>
        <v>8.9285714285714288</v>
      </c>
    </row>
    <row r="116" spans="1:16" ht="18.75" customHeight="1" thickTop="1" x14ac:dyDescent="0.25">
      <c r="A116" s="495" t="s">
        <v>26</v>
      </c>
      <c r="B116" s="496"/>
      <c r="C116" s="38">
        <v>10</v>
      </c>
      <c r="D116" s="38">
        <f>D83/D50*10</f>
        <v>10</v>
      </c>
      <c r="E116" s="38">
        <v>8.19</v>
      </c>
      <c r="F116" s="38">
        <v>10</v>
      </c>
      <c r="G116" s="38">
        <f>SUM(G108:G115)/2</f>
        <v>9.33</v>
      </c>
      <c r="H116" s="38">
        <f>SUM(H108:H115)/2</f>
        <v>9.2249999999999996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f>O83/O50*10</f>
        <v>9.8979591836734695</v>
      </c>
      <c r="P116" s="73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25">
      <c r="K119" t="s">
        <v>94</v>
      </c>
    </row>
    <row r="120" spans="1:16" x14ac:dyDescent="0.25">
      <c r="K120" t="s">
        <v>90</v>
      </c>
    </row>
    <row r="124" spans="1:16" x14ac:dyDescent="0.25">
      <c r="K124" t="s">
        <v>91</v>
      </c>
    </row>
    <row r="125" spans="1:16" x14ac:dyDescent="0.25">
      <c r="K125" t="s">
        <v>92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28515625" customWidth="1"/>
    <col min="3" max="15" width="8.5703125" customWidth="1"/>
  </cols>
  <sheetData>
    <row r="2" spans="1:17" ht="18.75" x14ac:dyDescent="0.3">
      <c r="A2" s="508" t="s">
        <v>41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</row>
    <row r="3" spans="1:17" ht="18.75" x14ac:dyDescent="0.3">
      <c r="A3" s="497" t="s">
        <v>103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498" t="s">
        <v>2</v>
      </c>
      <c r="B6" s="498" t="s">
        <v>3</v>
      </c>
      <c r="C6" s="500" t="s">
        <v>4</v>
      </c>
      <c r="D6" s="500"/>
      <c r="E6" s="500"/>
      <c r="F6" s="500"/>
      <c r="G6" s="500"/>
      <c r="H6" s="500"/>
      <c r="I6" s="500"/>
      <c r="J6" s="500"/>
      <c r="K6" s="500"/>
      <c r="L6" s="500"/>
      <c r="M6" s="500"/>
      <c r="N6" s="500"/>
      <c r="O6" s="498" t="s">
        <v>5</v>
      </c>
    </row>
    <row r="7" spans="1:17" x14ac:dyDescent="0.25">
      <c r="A7" s="499"/>
      <c r="B7" s="499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501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7" ht="18.75" customHeight="1" thickTop="1" x14ac:dyDescent="0.25">
      <c r="A9" s="27">
        <v>1</v>
      </c>
      <c r="B9" s="7" t="s">
        <v>18</v>
      </c>
      <c r="C9" s="28">
        <v>31</v>
      </c>
      <c r="D9" s="28">
        <v>0</v>
      </c>
      <c r="E9" s="28">
        <v>0</v>
      </c>
      <c r="F9" s="28">
        <v>25</v>
      </c>
      <c r="G9" s="28">
        <v>105</v>
      </c>
      <c r="H9" s="28">
        <v>0</v>
      </c>
      <c r="I9" s="28">
        <v>0</v>
      </c>
      <c r="J9" s="28">
        <v>0</v>
      </c>
      <c r="K9" s="28">
        <v>0</v>
      </c>
      <c r="L9" s="46">
        <v>77</v>
      </c>
      <c r="M9" s="28">
        <v>49</v>
      </c>
      <c r="N9" s="28">
        <v>35</v>
      </c>
      <c r="O9" s="29">
        <f>SUM(C9:N9)</f>
        <v>322</v>
      </c>
      <c r="Q9" s="106">
        <f>SUM(F9:K9)</f>
        <v>130</v>
      </c>
    </row>
    <row r="10" spans="1:17" ht="18.75" customHeight="1" x14ac:dyDescent="0.25">
      <c r="A10" s="14">
        <v>2</v>
      </c>
      <c r="B10" s="12" t="s">
        <v>19</v>
      </c>
      <c r="C10" s="16">
        <v>125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47">
        <v>122</v>
      </c>
      <c r="M10" s="16">
        <v>64</v>
      </c>
      <c r="N10" s="16">
        <v>0</v>
      </c>
      <c r="O10" s="18">
        <f t="shared" ref="O10:O16" si="0">SUM(C10:N10)</f>
        <v>311</v>
      </c>
      <c r="Q10" s="106">
        <f t="shared" ref="Q10:Q17" si="1">SUM(F10:K10)</f>
        <v>0</v>
      </c>
    </row>
    <row r="11" spans="1:17" ht="18.75" customHeight="1" x14ac:dyDescent="0.25">
      <c r="A11" s="14">
        <v>3</v>
      </c>
      <c r="B11" s="7" t="s">
        <v>20</v>
      </c>
      <c r="C11" s="16">
        <v>20</v>
      </c>
      <c r="D11" s="16">
        <v>0</v>
      </c>
      <c r="E11" s="16">
        <v>0</v>
      </c>
      <c r="F11" s="16">
        <v>280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125</v>
      </c>
      <c r="M11" s="16">
        <v>180</v>
      </c>
      <c r="N11" s="16">
        <v>0</v>
      </c>
      <c r="O11" s="18">
        <f t="shared" si="0"/>
        <v>605</v>
      </c>
      <c r="Q11" s="106">
        <f t="shared" si="1"/>
        <v>280</v>
      </c>
    </row>
    <row r="12" spans="1:17" ht="18.75" customHeight="1" x14ac:dyDescent="0.25">
      <c r="A12" s="14">
        <v>4</v>
      </c>
      <c r="B12" s="15" t="s">
        <v>21</v>
      </c>
      <c r="C12" s="16">
        <v>22</v>
      </c>
      <c r="D12" s="16">
        <v>0</v>
      </c>
      <c r="E12" s="16">
        <v>18</v>
      </c>
      <c r="F12" s="16">
        <v>0</v>
      </c>
      <c r="G12" s="16">
        <v>15</v>
      </c>
      <c r="H12" s="16">
        <v>3</v>
      </c>
      <c r="I12" s="16">
        <v>17</v>
      </c>
      <c r="J12" s="16">
        <v>0</v>
      </c>
      <c r="K12" s="16">
        <v>0</v>
      </c>
      <c r="L12" s="16">
        <v>11</v>
      </c>
      <c r="M12" s="16">
        <v>8</v>
      </c>
      <c r="N12" s="16">
        <v>2</v>
      </c>
      <c r="O12" s="18">
        <f t="shared" si="0"/>
        <v>96</v>
      </c>
      <c r="Q12" s="106">
        <f t="shared" si="1"/>
        <v>35</v>
      </c>
    </row>
    <row r="13" spans="1:17" ht="18.75" customHeight="1" x14ac:dyDescent="0.25">
      <c r="A13" s="14">
        <v>5</v>
      </c>
      <c r="B13" s="19" t="s">
        <v>22</v>
      </c>
      <c r="C13" s="16">
        <v>96</v>
      </c>
      <c r="D13" s="16">
        <v>0</v>
      </c>
      <c r="E13" s="16">
        <v>0</v>
      </c>
      <c r="F13" s="16">
        <v>115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230</v>
      </c>
      <c r="N13" s="16">
        <v>48</v>
      </c>
      <c r="O13" s="18">
        <f t="shared" si="0"/>
        <v>489</v>
      </c>
      <c r="Q13" s="106">
        <f t="shared" si="1"/>
        <v>115</v>
      </c>
    </row>
    <row r="14" spans="1:17" ht="18.75" customHeight="1" x14ac:dyDescent="0.25">
      <c r="A14" s="14">
        <v>6</v>
      </c>
      <c r="B14" s="19" t="s">
        <v>23</v>
      </c>
      <c r="C14" s="16">
        <v>15</v>
      </c>
      <c r="D14" s="16">
        <v>0</v>
      </c>
      <c r="E14" s="16">
        <v>20</v>
      </c>
      <c r="F14" s="16">
        <v>30</v>
      </c>
      <c r="G14" s="16">
        <v>0</v>
      </c>
      <c r="H14" s="16">
        <v>0</v>
      </c>
      <c r="I14" s="16">
        <v>15</v>
      </c>
      <c r="J14" s="16">
        <v>5</v>
      </c>
      <c r="K14" s="16">
        <v>0</v>
      </c>
      <c r="L14" s="16">
        <v>0</v>
      </c>
      <c r="M14" s="16">
        <v>15</v>
      </c>
      <c r="N14" s="16">
        <v>0</v>
      </c>
      <c r="O14" s="18">
        <f t="shared" si="0"/>
        <v>100</v>
      </c>
      <c r="Q14" s="106">
        <f t="shared" si="1"/>
        <v>50</v>
      </c>
    </row>
    <row r="15" spans="1:17" ht="18.75" customHeight="1" x14ac:dyDescent="0.25">
      <c r="A15" s="14">
        <v>7</v>
      </c>
      <c r="B15" s="19" t="s">
        <v>24</v>
      </c>
      <c r="C15" s="16">
        <v>1</v>
      </c>
      <c r="D15" s="16">
        <v>0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2</v>
      </c>
      <c r="Q15" s="106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2</v>
      </c>
      <c r="E16" s="17">
        <v>75</v>
      </c>
      <c r="F16" s="17">
        <v>248</v>
      </c>
      <c r="G16" s="17">
        <v>0</v>
      </c>
      <c r="H16" s="17"/>
      <c r="I16" s="17">
        <v>225</v>
      </c>
      <c r="J16" s="17">
        <v>25</v>
      </c>
      <c r="K16" s="17">
        <v>35</v>
      </c>
      <c r="L16" s="17">
        <v>175</v>
      </c>
      <c r="M16" s="17">
        <v>0</v>
      </c>
      <c r="N16" s="17">
        <v>50</v>
      </c>
      <c r="O16" s="21">
        <f t="shared" si="0"/>
        <v>835</v>
      </c>
      <c r="Q16" s="106">
        <f t="shared" si="1"/>
        <v>533</v>
      </c>
    </row>
    <row r="17" spans="1:17" ht="18.75" customHeight="1" thickTop="1" x14ac:dyDescent="0.25">
      <c r="A17" s="495" t="s">
        <v>26</v>
      </c>
      <c r="B17" s="496"/>
      <c r="C17" s="22">
        <f t="shared" ref="C17:O17" si="2">SUM(C9:C16)</f>
        <v>310</v>
      </c>
      <c r="D17" s="22">
        <f t="shared" si="2"/>
        <v>2</v>
      </c>
      <c r="E17" s="22">
        <f t="shared" si="2"/>
        <v>114</v>
      </c>
      <c r="F17" s="22">
        <f t="shared" si="2"/>
        <v>698</v>
      </c>
      <c r="G17" s="22">
        <f t="shared" si="2"/>
        <v>120</v>
      </c>
      <c r="H17" s="22">
        <f t="shared" si="2"/>
        <v>3</v>
      </c>
      <c r="I17" s="22">
        <f t="shared" si="2"/>
        <v>257</v>
      </c>
      <c r="J17" s="22">
        <f t="shared" si="2"/>
        <v>30</v>
      </c>
      <c r="K17" s="22">
        <f t="shared" si="2"/>
        <v>35</v>
      </c>
      <c r="L17" s="22">
        <f t="shared" si="2"/>
        <v>510</v>
      </c>
      <c r="M17" s="22">
        <f t="shared" si="2"/>
        <v>546</v>
      </c>
      <c r="N17" s="22">
        <f t="shared" si="2"/>
        <v>135</v>
      </c>
      <c r="O17" s="22">
        <f t="shared" si="2"/>
        <v>2760</v>
      </c>
      <c r="Q17" s="106">
        <f t="shared" si="1"/>
        <v>1143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143">
        <f>SUM(C17:J17)</f>
        <v>1534</v>
      </c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7" ht="18.75" x14ac:dyDescent="0.3">
      <c r="A35" s="497" t="s">
        <v>42</v>
      </c>
      <c r="B35" s="497"/>
      <c r="C35" s="497"/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497"/>
    </row>
    <row r="36" spans="1:17" ht="18.75" x14ac:dyDescent="0.3">
      <c r="A36" s="497" t="s">
        <v>103</v>
      </c>
      <c r="B36" s="497"/>
      <c r="C36" s="497"/>
      <c r="D36" s="497"/>
      <c r="E36" s="497"/>
      <c r="F36" s="497"/>
      <c r="G36" s="497"/>
      <c r="H36" s="497"/>
      <c r="I36" s="497"/>
      <c r="J36" s="497"/>
      <c r="K36" s="497"/>
      <c r="L36" s="497"/>
      <c r="M36" s="497"/>
      <c r="N36" s="497"/>
      <c r="O36" s="497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498" t="s">
        <v>2</v>
      </c>
      <c r="B39" s="498" t="s">
        <v>3</v>
      </c>
      <c r="C39" s="500" t="s">
        <v>4</v>
      </c>
      <c r="D39" s="500"/>
      <c r="E39" s="500"/>
      <c r="F39" s="500"/>
      <c r="G39" s="500"/>
      <c r="H39" s="500"/>
      <c r="I39" s="500"/>
      <c r="J39" s="500"/>
      <c r="K39" s="500"/>
      <c r="L39" s="500"/>
      <c r="M39" s="500"/>
      <c r="N39" s="500"/>
      <c r="O39" s="498" t="s">
        <v>5</v>
      </c>
    </row>
    <row r="40" spans="1:17" x14ac:dyDescent="0.25">
      <c r="A40" s="499"/>
      <c r="B40" s="499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501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46">
        <v>0</v>
      </c>
      <c r="D42" s="28">
        <v>0</v>
      </c>
      <c r="E42" s="28">
        <v>185</v>
      </c>
      <c r="F42" s="28">
        <v>31</v>
      </c>
      <c r="G42" s="28">
        <v>0</v>
      </c>
      <c r="H42" s="28">
        <v>25</v>
      </c>
      <c r="I42" s="28">
        <v>105</v>
      </c>
      <c r="J42" s="28">
        <v>0</v>
      </c>
      <c r="K42" s="28">
        <v>0</v>
      </c>
      <c r="L42" s="46">
        <v>0</v>
      </c>
      <c r="M42" s="46">
        <v>0</v>
      </c>
      <c r="N42" s="46">
        <v>0</v>
      </c>
      <c r="O42" s="29">
        <f>SUM(C42:N42)</f>
        <v>346</v>
      </c>
      <c r="Q42" s="106">
        <f>SUM(F42:K42)</f>
        <v>161</v>
      </c>
    </row>
    <row r="43" spans="1:17" ht="18.75" customHeight="1" x14ac:dyDescent="0.25">
      <c r="A43" s="14">
        <v>2</v>
      </c>
      <c r="B43" s="12" t="s">
        <v>19</v>
      </c>
      <c r="C43" s="47">
        <v>0</v>
      </c>
      <c r="D43" s="16">
        <v>0</v>
      </c>
      <c r="E43" s="16">
        <v>0</v>
      </c>
      <c r="F43" s="16">
        <v>0</v>
      </c>
      <c r="G43" s="16">
        <v>123</v>
      </c>
      <c r="H43" s="16">
        <v>63</v>
      </c>
      <c r="I43" s="16">
        <v>0</v>
      </c>
      <c r="J43" s="16">
        <v>0</v>
      </c>
      <c r="K43" s="16">
        <v>0</v>
      </c>
      <c r="L43" s="47">
        <v>0</v>
      </c>
      <c r="M43" s="47">
        <v>0</v>
      </c>
      <c r="N43" s="47">
        <v>0</v>
      </c>
      <c r="O43" s="18">
        <f t="shared" ref="O43:O49" si="3">SUM(C43:N43)</f>
        <v>186</v>
      </c>
      <c r="Q43" s="106">
        <f t="shared" ref="Q43:Q50" si="4">SUM(F43:K43)</f>
        <v>186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275</v>
      </c>
      <c r="F44" s="16">
        <v>20</v>
      </c>
      <c r="G44" s="16">
        <v>0</v>
      </c>
      <c r="H44" s="16">
        <v>0</v>
      </c>
      <c r="I44" s="16">
        <v>280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575</v>
      </c>
      <c r="Q44" s="106">
        <f t="shared" si="4"/>
        <v>300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5</v>
      </c>
      <c r="E45" s="16">
        <v>141</v>
      </c>
      <c r="F45" s="16">
        <v>5</v>
      </c>
      <c r="G45" s="16">
        <v>0</v>
      </c>
      <c r="H45" s="16">
        <v>18</v>
      </c>
      <c r="I45" s="16">
        <v>0</v>
      </c>
      <c r="J45" s="16">
        <v>15</v>
      </c>
      <c r="K45" s="16">
        <v>20</v>
      </c>
      <c r="L45" s="16">
        <v>17</v>
      </c>
      <c r="M45" s="16">
        <v>0</v>
      </c>
      <c r="N45" s="16">
        <v>0</v>
      </c>
      <c r="O45" s="18">
        <f t="shared" si="3"/>
        <v>221</v>
      </c>
      <c r="Q45" s="106">
        <f t="shared" si="4"/>
        <v>58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102</v>
      </c>
      <c r="F46" s="16">
        <v>96</v>
      </c>
      <c r="G46" s="16">
        <v>0</v>
      </c>
      <c r="H46" s="16">
        <v>0</v>
      </c>
      <c r="I46" s="16">
        <v>115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313</v>
      </c>
      <c r="Q46" s="106">
        <f t="shared" si="4"/>
        <v>211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15</v>
      </c>
      <c r="E47" s="16">
        <v>65</v>
      </c>
      <c r="F47" s="16">
        <v>0</v>
      </c>
      <c r="G47" s="16">
        <v>0</v>
      </c>
      <c r="H47" s="16">
        <v>50</v>
      </c>
      <c r="I47" s="16">
        <v>0</v>
      </c>
      <c r="J47" s="16">
        <v>0</v>
      </c>
      <c r="K47" s="16">
        <v>0</v>
      </c>
      <c r="L47" s="16">
        <v>15</v>
      </c>
      <c r="M47" s="16">
        <v>5</v>
      </c>
      <c r="N47" s="16">
        <v>0</v>
      </c>
      <c r="O47" s="18">
        <f t="shared" si="3"/>
        <v>150</v>
      </c>
      <c r="Q47" s="106">
        <f t="shared" si="4"/>
        <v>50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1</v>
      </c>
      <c r="F48" s="16">
        <v>0</v>
      </c>
      <c r="G48" s="16">
        <v>0</v>
      </c>
      <c r="H48" s="16">
        <v>1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2</v>
      </c>
      <c r="Q48" s="106">
        <f t="shared" si="4"/>
        <v>1</v>
      </c>
    </row>
    <row r="49" spans="1:17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332</v>
      </c>
      <c r="F49" s="17">
        <v>0</v>
      </c>
      <c r="G49" s="17">
        <v>2</v>
      </c>
      <c r="H49" s="17"/>
      <c r="I49" s="17">
        <v>248</v>
      </c>
      <c r="J49" s="17">
        <v>0</v>
      </c>
      <c r="K49" s="17">
        <v>30</v>
      </c>
      <c r="L49" s="17">
        <v>225</v>
      </c>
      <c r="M49" s="17">
        <v>25</v>
      </c>
      <c r="N49" s="49">
        <v>175</v>
      </c>
      <c r="O49" s="21">
        <f t="shared" si="3"/>
        <v>1037</v>
      </c>
      <c r="Q49" s="106">
        <f t="shared" si="4"/>
        <v>280</v>
      </c>
    </row>
    <row r="50" spans="1:17" ht="18.75" customHeight="1" thickTop="1" x14ac:dyDescent="0.25">
      <c r="A50" s="495" t="s">
        <v>26</v>
      </c>
      <c r="B50" s="496"/>
      <c r="C50" s="22">
        <f t="shared" ref="C50:O50" si="5">SUM(C42:C49)</f>
        <v>0</v>
      </c>
      <c r="D50" s="22">
        <f t="shared" si="5"/>
        <v>20</v>
      </c>
      <c r="E50" s="22">
        <f t="shared" si="5"/>
        <v>1101</v>
      </c>
      <c r="F50" s="22">
        <f t="shared" si="5"/>
        <v>152</v>
      </c>
      <c r="G50" s="22">
        <f t="shared" si="5"/>
        <v>125</v>
      </c>
      <c r="H50" s="22">
        <f t="shared" si="5"/>
        <v>157</v>
      </c>
      <c r="I50" s="22">
        <f t="shared" si="5"/>
        <v>748</v>
      </c>
      <c r="J50" s="22">
        <f t="shared" si="5"/>
        <v>15</v>
      </c>
      <c r="K50" s="22">
        <f t="shared" si="5"/>
        <v>50</v>
      </c>
      <c r="L50" s="22">
        <f t="shared" si="5"/>
        <v>257</v>
      </c>
      <c r="M50" s="22">
        <f t="shared" si="5"/>
        <v>30</v>
      </c>
      <c r="N50" s="22">
        <f t="shared" si="5"/>
        <v>175</v>
      </c>
      <c r="O50" s="22">
        <f t="shared" si="5"/>
        <v>2830</v>
      </c>
      <c r="Q50" s="106">
        <f t="shared" si="4"/>
        <v>1247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497" t="s">
        <v>43</v>
      </c>
      <c r="B68" s="497"/>
      <c r="C68" s="497"/>
      <c r="D68" s="497"/>
      <c r="E68" s="497"/>
      <c r="F68" s="497"/>
      <c r="G68" s="497"/>
      <c r="H68" s="497"/>
      <c r="I68" s="497"/>
      <c r="J68" s="497"/>
      <c r="K68" s="497"/>
      <c r="L68" s="497"/>
      <c r="M68" s="497"/>
      <c r="N68" s="497"/>
      <c r="O68" s="497"/>
    </row>
    <row r="69" spans="1:17" ht="18.75" x14ac:dyDescent="0.3">
      <c r="A69" s="497" t="s">
        <v>103</v>
      </c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497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498" t="s">
        <v>2</v>
      </c>
      <c r="B72" s="498" t="s">
        <v>3</v>
      </c>
      <c r="C72" s="500" t="s">
        <v>4</v>
      </c>
      <c r="D72" s="500"/>
      <c r="E72" s="500"/>
      <c r="F72" s="500"/>
      <c r="G72" s="500"/>
      <c r="H72" s="500"/>
      <c r="I72" s="500"/>
      <c r="J72" s="500"/>
      <c r="K72" s="500"/>
      <c r="L72" s="500"/>
      <c r="M72" s="500"/>
      <c r="N72" s="500"/>
      <c r="O72" s="498" t="s">
        <v>5</v>
      </c>
    </row>
    <row r="73" spans="1:17" x14ac:dyDescent="0.25">
      <c r="A73" s="499"/>
      <c r="B73" s="499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501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46">
        <v>0</v>
      </c>
      <c r="D75" s="28">
        <v>0</v>
      </c>
      <c r="E75" s="28">
        <v>155</v>
      </c>
      <c r="F75" s="28">
        <v>24</v>
      </c>
      <c r="G75" s="28">
        <v>0</v>
      </c>
      <c r="H75" s="28">
        <v>18</v>
      </c>
      <c r="I75" s="28">
        <v>69</v>
      </c>
      <c r="J75" s="28">
        <v>0</v>
      </c>
      <c r="K75" s="28">
        <v>0</v>
      </c>
      <c r="L75" s="46">
        <v>0</v>
      </c>
      <c r="M75" s="46">
        <v>0</v>
      </c>
      <c r="N75" s="46">
        <v>0</v>
      </c>
      <c r="O75" s="29">
        <f>SUM(C75:N75)</f>
        <v>266</v>
      </c>
      <c r="Q75" s="106">
        <f>SUM(F75:K75)</f>
        <v>111</v>
      </c>
    </row>
    <row r="76" spans="1:17" ht="18.75" customHeight="1" x14ac:dyDescent="0.25">
      <c r="A76" s="14">
        <v>2</v>
      </c>
      <c r="B76" s="12" t="s">
        <v>19</v>
      </c>
      <c r="C76" s="47">
        <v>0</v>
      </c>
      <c r="D76" s="16">
        <v>0</v>
      </c>
      <c r="E76" s="16">
        <v>0</v>
      </c>
      <c r="F76" s="16">
        <v>0</v>
      </c>
      <c r="G76" s="16">
        <v>123</v>
      </c>
      <c r="H76" s="16">
        <v>47</v>
      </c>
      <c r="I76" s="16">
        <v>0</v>
      </c>
      <c r="J76" s="16">
        <v>0</v>
      </c>
      <c r="K76" s="16">
        <v>0</v>
      </c>
      <c r="L76" s="47">
        <v>0</v>
      </c>
      <c r="M76" s="47">
        <v>0</v>
      </c>
      <c r="N76" s="47">
        <v>0</v>
      </c>
      <c r="O76" s="18">
        <f t="shared" ref="O76:O82" si="6">SUM(C76:N76)</f>
        <v>170</v>
      </c>
      <c r="Q76" s="106">
        <f t="shared" ref="Q76:Q83" si="7">SUM(F76:K76)</f>
        <v>170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247</v>
      </c>
      <c r="F77" s="16">
        <v>18</v>
      </c>
      <c r="G77" s="16">
        <v>0</v>
      </c>
      <c r="H77" s="16">
        <v>0</v>
      </c>
      <c r="I77" s="16">
        <v>206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471</v>
      </c>
      <c r="Q77" s="106">
        <f t="shared" si="7"/>
        <v>224</v>
      </c>
    </row>
    <row r="78" spans="1:17" ht="18.75" customHeight="1" x14ac:dyDescent="0.25">
      <c r="A78" s="14">
        <v>4</v>
      </c>
      <c r="B78" s="15" t="s">
        <v>21</v>
      </c>
      <c r="C78" s="16">
        <v>4</v>
      </c>
      <c r="D78" s="16">
        <v>5</v>
      </c>
      <c r="E78" s="16">
        <v>147</v>
      </c>
      <c r="F78" s="16">
        <v>5</v>
      </c>
      <c r="G78" s="16">
        <v>0</v>
      </c>
      <c r="H78" s="16">
        <v>17</v>
      </c>
      <c r="I78" s="16">
        <v>0</v>
      </c>
      <c r="J78" s="16">
        <v>22</v>
      </c>
      <c r="K78" s="16">
        <v>16</v>
      </c>
      <c r="L78" s="16">
        <v>19</v>
      </c>
      <c r="M78" s="16">
        <v>0</v>
      </c>
      <c r="N78" s="16">
        <v>0</v>
      </c>
      <c r="O78" s="18">
        <f t="shared" si="6"/>
        <v>235</v>
      </c>
      <c r="Q78" s="106">
        <f t="shared" si="7"/>
        <v>60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209</v>
      </c>
      <c r="F79" s="16">
        <v>147</v>
      </c>
      <c r="G79" s="16">
        <v>0</v>
      </c>
      <c r="H79" s="16">
        <v>0</v>
      </c>
      <c r="I79" s="16">
        <v>93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449</v>
      </c>
      <c r="Q79" s="106">
        <f t="shared" si="7"/>
        <v>240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15</v>
      </c>
      <c r="E80" s="16">
        <v>66</v>
      </c>
      <c r="F80" s="16">
        <v>0</v>
      </c>
      <c r="G80" s="16">
        <v>0</v>
      </c>
      <c r="H80" s="16">
        <v>58</v>
      </c>
      <c r="I80" s="16">
        <v>0</v>
      </c>
      <c r="J80" s="16">
        <v>0</v>
      </c>
      <c r="K80" s="16">
        <v>0</v>
      </c>
      <c r="L80" s="16">
        <v>16</v>
      </c>
      <c r="M80" s="16">
        <v>7</v>
      </c>
      <c r="N80" s="16">
        <v>0</v>
      </c>
      <c r="O80" s="18">
        <f t="shared" si="6"/>
        <v>162</v>
      </c>
      <c r="Q80" s="106">
        <f t="shared" si="7"/>
        <v>58</v>
      </c>
    </row>
    <row r="81" spans="1:18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1</v>
      </c>
      <c r="F81" s="16">
        <v>0</v>
      </c>
      <c r="G81" s="16">
        <v>0</v>
      </c>
      <c r="H81" s="16">
        <v>1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2</v>
      </c>
      <c r="Q81" s="106">
        <f t="shared" si="7"/>
        <v>1</v>
      </c>
    </row>
    <row r="82" spans="1:18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680</v>
      </c>
      <c r="F82" s="17">
        <v>0</v>
      </c>
      <c r="G82" s="17">
        <v>2</v>
      </c>
      <c r="H82" s="17">
        <v>59</v>
      </c>
      <c r="I82" s="17">
        <v>214</v>
      </c>
      <c r="J82" s="17">
        <v>0</v>
      </c>
      <c r="K82" s="17">
        <v>26</v>
      </c>
      <c r="L82" s="17">
        <v>255</v>
      </c>
      <c r="M82" s="17">
        <v>28</v>
      </c>
      <c r="N82" s="49">
        <v>151</v>
      </c>
      <c r="O82" s="21">
        <f t="shared" si="6"/>
        <v>1415</v>
      </c>
      <c r="Q82" s="106">
        <f t="shared" si="7"/>
        <v>301</v>
      </c>
    </row>
    <row r="83" spans="1:18" ht="18.75" customHeight="1" thickTop="1" x14ac:dyDescent="0.25">
      <c r="A83" s="495" t="s">
        <v>26</v>
      </c>
      <c r="B83" s="496"/>
      <c r="C83" s="22">
        <f t="shared" ref="C83:O83" si="8">SUM(C75:C82)</f>
        <v>4</v>
      </c>
      <c r="D83" s="22">
        <f t="shared" si="8"/>
        <v>20</v>
      </c>
      <c r="E83" s="22">
        <f t="shared" si="8"/>
        <v>1505</v>
      </c>
      <c r="F83" s="22">
        <f t="shared" si="8"/>
        <v>194</v>
      </c>
      <c r="G83" s="22">
        <f t="shared" si="8"/>
        <v>125</v>
      </c>
      <c r="H83" s="22">
        <f>SUM(H75:H82)</f>
        <v>200</v>
      </c>
      <c r="I83" s="22">
        <f t="shared" si="8"/>
        <v>582</v>
      </c>
      <c r="J83" s="22">
        <f t="shared" si="8"/>
        <v>22</v>
      </c>
      <c r="K83" s="22">
        <f t="shared" si="8"/>
        <v>42</v>
      </c>
      <c r="L83" s="22">
        <f t="shared" si="8"/>
        <v>290</v>
      </c>
      <c r="M83" s="22">
        <f t="shared" si="8"/>
        <v>35</v>
      </c>
      <c r="N83" s="22">
        <f t="shared" si="8"/>
        <v>151</v>
      </c>
      <c r="O83" s="22">
        <f t="shared" si="8"/>
        <v>3170</v>
      </c>
      <c r="Q83" s="106">
        <f t="shared" si="7"/>
        <v>1165</v>
      </c>
      <c r="R83" s="106">
        <f>O83/0.32</f>
        <v>9906.25</v>
      </c>
    </row>
    <row r="84" spans="1:18" x14ac:dyDescent="0.25">
      <c r="A84" s="23"/>
      <c r="B84" s="23"/>
      <c r="C84" s="143"/>
      <c r="D84" s="23"/>
      <c r="E84" s="23"/>
      <c r="F84" s="143"/>
      <c r="G84" s="23"/>
      <c r="H84" s="23"/>
      <c r="I84" s="143"/>
      <c r="J84" s="23"/>
      <c r="K84" s="23"/>
      <c r="L84" s="143"/>
      <c r="M84" s="23"/>
      <c r="N84" s="23"/>
      <c r="O84" s="23"/>
    </row>
    <row r="85" spans="1:18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493" t="s">
        <v>176</v>
      </c>
      <c r="M85" s="24"/>
      <c r="N85" s="24"/>
      <c r="O85" s="24"/>
      <c r="R85">
        <f>R83/O50</f>
        <v>3.5004416961130742</v>
      </c>
    </row>
    <row r="86" spans="1:18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493" t="s">
        <v>177</v>
      </c>
      <c r="M86" s="24"/>
      <c r="N86" s="24"/>
      <c r="O86" s="24"/>
    </row>
    <row r="87" spans="1:18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493"/>
      <c r="M87" s="24"/>
      <c r="N87" s="24"/>
      <c r="O87" s="24"/>
    </row>
    <row r="88" spans="1:18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493"/>
      <c r="M88" s="24"/>
      <c r="N88" s="24"/>
      <c r="O88" s="24"/>
    </row>
    <row r="89" spans="1:18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493"/>
      <c r="M89" s="24"/>
      <c r="N89" s="24"/>
      <c r="O89" s="24"/>
    </row>
    <row r="90" spans="1:18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494" t="s">
        <v>178</v>
      </c>
      <c r="M90" s="24"/>
      <c r="N90" s="24"/>
      <c r="O90" s="24"/>
    </row>
    <row r="91" spans="1:18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493" t="s">
        <v>179</v>
      </c>
      <c r="M91" s="24"/>
      <c r="N91" s="24"/>
      <c r="O91" s="24"/>
    </row>
    <row r="92" spans="1:18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493" t="s">
        <v>180</v>
      </c>
      <c r="M92" s="24"/>
      <c r="N92" s="24"/>
      <c r="O92" s="24"/>
    </row>
    <row r="93" spans="1:18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M93" s="24"/>
      <c r="N93" s="24"/>
      <c r="O93" s="24"/>
    </row>
    <row r="94" spans="1:18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8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8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7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7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7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7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7" ht="18.75" x14ac:dyDescent="0.3">
      <c r="A101" s="497" t="s">
        <v>44</v>
      </c>
      <c r="B101" s="497"/>
      <c r="C101" s="497"/>
      <c r="D101" s="497"/>
      <c r="E101" s="497"/>
      <c r="F101" s="497"/>
      <c r="G101" s="497"/>
      <c r="H101" s="497"/>
      <c r="I101" s="497"/>
      <c r="J101" s="497"/>
      <c r="K101" s="497"/>
      <c r="L101" s="497"/>
      <c r="M101" s="497"/>
      <c r="N101" s="497"/>
      <c r="O101" s="497"/>
    </row>
    <row r="102" spans="1:17" ht="18.75" x14ac:dyDescent="0.3">
      <c r="A102" s="497" t="s">
        <v>103</v>
      </c>
      <c r="B102" s="497"/>
      <c r="C102" s="497"/>
      <c r="D102" s="497"/>
      <c r="E102" s="497"/>
      <c r="F102" s="497"/>
      <c r="G102" s="497"/>
      <c r="H102" s="497"/>
      <c r="I102" s="497"/>
      <c r="J102" s="497"/>
      <c r="K102" s="497"/>
      <c r="L102" s="497"/>
      <c r="M102" s="497"/>
      <c r="N102" s="497"/>
      <c r="O102" s="497"/>
    </row>
    <row r="103" spans="1:17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7" x14ac:dyDescent="0.25">
      <c r="A105" s="498" t="s">
        <v>2</v>
      </c>
      <c r="B105" s="498" t="s">
        <v>3</v>
      </c>
      <c r="C105" s="500" t="s">
        <v>4</v>
      </c>
      <c r="D105" s="500"/>
      <c r="E105" s="500"/>
      <c r="F105" s="500"/>
      <c r="G105" s="500"/>
      <c r="H105" s="500"/>
      <c r="I105" s="500"/>
      <c r="J105" s="500"/>
      <c r="K105" s="500"/>
      <c r="L105" s="500"/>
      <c r="M105" s="500"/>
      <c r="N105" s="500"/>
      <c r="O105" s="498" t="s">
        <v>5</v>
      </c>
    </row>
    <row r="106" spans="1:17" x14ac:dyDescent="0.25">
      <c r="A106" s="499"/>
      <c r="B106" s="499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501"/>
    </row>
    <row r="107" spans="1:17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7" ht="18.75" customHeight="1" thickTop="1" x14ac:dyDescent="0.25">
      <c r="A108" s="27">
        <v>1</v>
      </c>
      <c r="B108" s="7" t="s">
        <v>18</v>
      </c>
      <c r="C108" s="46">
        <v>0</v>
      </c>
      <c r="D108" s="32">
        <v>0</v>
      </c>
      <c r="E108" s="32">
        <v>8.36</v>
      </c>
      <c r="F108" s="32">
        <v>7.68</v>
      </c>
      <c r="G108" s="32">
        <v>0</v>
      </c>
      <c r="H108" s="32">
        <v>7.11</v>
      </c>
      <c r="I108" s="32">
        <v>6.56</v>
      </c>
      <c r="J108" s="32">
        <v>0</v>
      </c>
      <c r="K108" s="32">
        <v>0</v>
      </c>
      <c r="L108" s="32">
        <v>0</v>
      </c>
      <c r="M108" s="465">
        <v>0</v>
      </c>
      <c r="N108" s="465">
        <v>0</v>
      </c>
      <c r="O108" s="33">
        <f t="shared" ref="O108:O115" si="9">O75/O42*10</f>
        <v>7.6878612716763008</v>
      </c>
      <c r="Q108" s="73">
        <f>O108/0.32</f>
        <v>24.02456647398844</v>
      </c>
    </row>
    <row r="109" spans="1:17" ht="18.75" customHeight="1" x14ac:dyDescent="0.25">
      <c r="A109" s="14">
        <v>2</v>
      </c>
      <c r="B109" s="12" t="s">
        <v>19</v>
      </c>
      <c r="C109" s="47">
        <v>0</v>
      </c>
      <c r="D109" s="34">
        <v>0</v>
      </c>
      <c r="E109" s="34">
        <v>0</v>
      </c>
      <c r="F109" s="34">
        <v>0</v>
      </c>
      <c r="G109" s="34">
        <v>10.01</v>
      </c>
      <c r="H109" s="34">
        <v>7.51</v>
      </c>
      <c r="I109" s="34">
        <v>0</v>
      </c>
      <c r="J109" s="34">
        <v>0</v>
      </c>
      <c r="K109" s="34">
        <v>0</v>
      </c>
      <c r="L109" s="34">
        <v>0</v>
      </c>
      <c r="M109" s="466">
        <v>0</v>
      </c>
      <c r="N109" s="466">
        <v>0</v>
      </c>
      <c r="O109" s="35">
        <f t="shared" si="9"/>
        <v>9.1397849462365581</v>
      </c>
      <c r="Q109" s="73">
        <f t="shared" ref="Q109:Q115" si="10">O109/0.32</f>
        <v>28.561827956989244</v>
      </c>
    </row>
    <row r="110" spans="1:17" ht="18.75" customHeight="1" x14ac:dyDescent="0.25">
      <c r="A110" s="14">
        <v>3</v>
      </c>
      <c r="B110" s="7" t="s">
        <v>20</v>
      </c>
      <c r="C110" s="16">
        <v>0</v>
      </c>
      <c r="D110" s="34">
        <v>0</v>
      </c>
      <c r="E110" s="34">
        <v>9</v>
      </c>
      <c r="F110" s="34">
        <v>9</v>
      </c>
      <c r="G110" s="34">
        <v>0</v>
      </c>
      <c r="H110" s="34">
        <v>0</v>
      </c>
      <c r="I110" s="34">
        <v>7.36</v>
      </c>
      <c r="J110" s="34">
        <v>0</v>
      </c>
      <c r="K110" s="34">
        <v>0</v>
      </c>
      <c r="L110" s="34">
        <v>0</v>
      </c>
      <c r="M110" s="34">
        <v>0</v>
      </c>
      <c r="N110" s="34">
        <v>0</v>
      </c>
      <c r="O110" s="35">
        <f t="shared" si="9"/>
        <v>8.1913043478260867</v>
      </c>
      <c r="Q110" s="73">
        <f t="shared" si="10"/>
        <v>25.59782608695652</v>
      </c>
    </row>
    <row r="111" spans="1:17" ht="18.75" customHeight="1" x14ac:dyDescent="0.25">
      <c r="A111" s="14">
        <v>4</v>
      </c>
      <c r="B111" s="15" t="s">
        <v>21</v>
      </c>
      <c r="C111" s="34">
        <v>12</v>
      </c>
      <c r="D111" s="34">
        <v>10.029999999999999</v>
      </c>
      <c r="E111" s="34">
        <v>10.45</v>
      </c>
      <c r="F111" s="34">
        <v>9.15</v>
      </c>
      <c r="G111" s="34">
        <v>0</v>
      </c>
      <c r="H111" s="34">
        <v>9.2799999999999994</v>
      </c>
      <c r="I111" s="34">
        <v>0</v>
      </c>
      <c r="J111" s="34">
        <v>14.4</v>
      </c>
      <c r="K111" s="34">
        <v>8.19</v>
      </c>
      <c r="L111" s="34">
        <v>11.25</v>
      </c>
      <c r="M111" s="34">
        <v>0</v>
      </c>
      <c r="N111" s="34">
        <v>0</v>
      </c>
      <c r="O111" s="35">
        <f t="shared" si="9"/>
        <v>10.633484162895927</v>
      </c>
      <c r="Q111" s="73">
        <f t="shared" si="10"/>
        <v>33.229638009049772</v>
      </c>
    </row>
    <row r="112" spans="1:17" ht="18.75" customHeight="1" x14ac:dyDescent="0.25">
      <c r="A112" s="14">
        <v>5</v>
      </c>
      <c r="B112" s="19" t="s">
        <v>22</v>
      </c>
      <c r="C112" s="16">
        <v>0</v>
      </c>
      <c r="D112" s="34">
        <v>0</v>
      </c>
      <c r="E112" s="34">
        <v>20.48</v>
      </c>
      <c r="F112" s="34">
        <v>15.36</v>
      </c>
      <c r="G112" s="34">
        <v>0</v>
      </c>
      <c r="H112" s="34">
        <v>0</v>
      </c>
      <c r="I112" s="34">
        <v>8.11</v>
      </c>
      <c r="J112" s="34">
        <v>0</v>
      </c>
      <c r="K112" s="34">
        <v>0</v>
      </c>
      <c r="L112" s="34">
        <v>0</v>
      </c>
      <c r="M112" s="34">
        <v>0</v>
      </c>
      <c r="N112" s="34">
        <v>0</v>
      </c>
      <c r="O112" s="35">
        <f t="shared" si="9"/>
        <v>14.345047923322685</v>
      </c>
      <c r="Q112" s="73">
        <f t="shared" si="10"/>
        <v>44.828274760383387</v>
      </c>
    </row>
    <row r="113" spans="1:19" ht="18.75" customHeight="1" x14ac:dyDescent="0.25">
      <c r="A113" s="14">
        <v>6</v>
      </c>
      <c r="B113" s="19" t="s">
        <v>23</v>
      </c>
      <c r="C113" s="16">
        <v>0</v>
      </c>
      <c r="D113" s="34">
        <v>10.25</v>
      </c>
      <c r="E113" s="34">
        <v>10.11</v>
      </c>
      <c r="F113" s="34">
        <v>0</v>
      </c>
      <c r="G113" s="34">
        <v>0</v>
      </c>
      <c r="H113" s="34">
        <v>11.52</v>
      </c>
      <c r="I113" s="34">
        <v>0</v>
      </c>
      <c r="J113" s="34">
        <v>0</v>
      </c>
      <c r="K113" s="34">
        <v>0</v>
      </c>
      <c r="L113" s="34">
        <v>10.88</v>
      </c>
      <c r="M113" s="34">
        <v>13.76</v>
      </c>
      <c r="N113" s="34">
        <v>0</v>
      </c>
      <c r="O113" s="35">
        <f t="shared" si="9"/>
        <v>10.8</v>
      </c>
      <c r="Q113" s="73">
        <f t="shared" si="10"/>
        <v>33.75</v>
      </c>
      <c r="S113">
        <f>5804/2337*10</f>
        <v>24.835258878904579</v>
      </c>
    </row>
    <row r="114" spans="1:19" ht="18.75" customHeight="1" x14ac:dyDescent="0.25">
      <c r="A114" s="14">
        <v>7</v>
      </c>
      <c r="B114" s="19" t="s">
        <v>24</v>
      </c>
      <c r="C114" s="16">
        <v>0</v>
      </c>
      <c r="D114" s="34">
        <v>0</v>
      </c>
      <c r="E114" s="34">
        <v>10</v>
      </c>
      <c r="F114" s="34">
        <v>0</v>
      </c>
      <c r="G114" s="34">
        <v>0</v>
      </c>
      <c r="H114" s="34">
        <v>7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  <c r="N114" s="34">
        <v>0</v>
      </c>
      <c r="O114" s="35">
        <f t="shared" si="9"/>
        <v>10</v>
      </c>
      <c r="Q114" s="73">
        <f t="shared" si="10"/>
        <v>31.25</v>
      </c>
    </row>
    <row r="115" spans="1:19" ht="18.75" customHeight="1" thickBot="1" x14ac:dyDescent="0.3">
      <c r="A115" s="20">
        <v>8</v>
      </c>
      <c r="B115" s="15" t="s">
        <v>25</v>
      </c>
      <c r="C115" s="17">
        <v>0</v>
      </c>
      <c r="D115" s="36">
        <v>0</v>
      </c>
      <c r="E115" s="36">
        <v>20.45</v>
      </c>
      <c r="F115" s="36">
        <v>0</v>
      </c>
      <c r="G115" s="36">
        <v>8</v>
      </c>
      <c r="H115" s="36">
        <v>7.81</v>
      </c>
      <c r="I115" s="36">
        <v>8.64</v>
      </c>
      <c r="J115" s="36">
        <v>0</v>
      </c>
      <c r="K115" s="36">
        <v>8.64</v>
      </c>
      <c r="L115" s="36">
        <v>11.32</v>
      </c>
      <c r="M115" s="36">
        <v>11.2</v>
      </c>
      <c r="N115" s="51">
        <v>8.6300000000000008</v>
      </c>
      <c r="O115" s="37">
        <f t="shared" si="9"/>
        <v>13.645130183220829</v>
      </c>
      <c r="Q115" s="73">
        <f t="shared" si="10"/>
        <v>42.64103182256509</v>
      </c>
    </row>
    <row r="116" spans="1:19" ht="18.75" customHeight="1" thickTop="1" x14ac:dyDescent="0.25">
      <c r="A116" s="495" t="s">
        <v>26</v>
      </c>
      <c r="B116" s="496"/>
      <c r="C116" s="52">
        <v>12</v>
      </c>
      <c r="D116" s="52">
        <f>D83/D50*10</f>
        <v>10</v>
      </c>
      <c r="E116" s="52">
        <f>E83/E50*10</f>
        <v>13.669391462306994</v>
      </c>
      <c r="F116" s="52">
        <f t="shared" ref="F116:N116" si="11">F83/F50*10</f>
        <v>12.763157894736842</v>
      </c>
      <c r="G116" s="52">
        <f t="shared" si="11"/>
        <v>10</v>
      </c>
      <c r="H116" s="52">
        <f t="shared" si="11"/>
        <v>12.738853503184712</v>
      </c>
      <c r="I116" s="52">
        <f t="shared" si="11"/>
        <v>7.7807486631016047</v>
      </c>
      <c r="J116" s="52">
        <v>14.4</v>
      </c>
      <c r="K116" s="52">
        <f t="shared" si="11"/>
        <v>8.4</v>
      </c>
      <c r="L116" s="52">
        <f t="shared" si="11"/>
        <v>11.284046692607003</v>
      </c>
      <c r="M116" s="52">
        <f t="shared" si="11"/>
        <v>11.666666666666668</v>
      </c>
      <c r="N116" s="52">
        <f t="shared" si="11"/>
        <v>8.6285714285714281</v>
      </c>
      <c r="O116" s="45">
        <f>O83/O50*10</f>
        <v>11.201413427561837</v>
      </c>
      <c r="Q116">
        <f>11.94/0.32</f>
        <v>37.3125</v>
      </c>
    </row>
    <row r="117" spans="1:19" x14ac:dyDescent="0.25">
      <c r="A117" s="24"/>
      <c r="B117" s="24"/>
      <c r="C117" s="24"/>
      <c r="D117" s="74"/>
      <c r="E117" s="24"/>
      <c r="F117" s="24"/>
      <c r="G117" s="24"/>
      <c r="H117" s="74"/>
      <c r="I117" s="24"/>
      <c r="J117" s="24"/>
      <c r="K117" s="24"/>
      <c r="L117" s="24"/>
      <c r="M117" s="24"/>
      <c r="N117" s="24"/>
      <c r="O117" s="24"/>
    </row>
    <row r="118" spans="1:19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103"/>
      <c r="L118" s="24"/>
      <c r="M118" s="24"/>
      <c r="N118" s="24"/>
      <c r="O118" s="24"/>
    </row>
    <row r="119" spans="1:19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t="s">
        <v>93</v>
      </c>
      <c r="L119" s="24"/>
      <c r="M119" s="24"/>
      <c r="N119" s="24"/>
      <c r="O119" s="24"/>
    </row>
    <row r="120" spans="1:19" x14ac:dyDescent="0.25">
      <c r="K120" t="s">
        <v>90</v>
      </c>
    </row>
    <row r="124" spans="1:19" x14ac:dyDescent="0.25">
      <c r="K124" t="s">
        <v>91</v>
      </c>
    </row>
    <row r="125" spans="1:19" x14ac:dyDescent="0.25">
      <c r="K125" t="s">
        <v>92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0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5" customWidth="1"/>
    <col min="3" max="15" width="8.5703125" customWidth="1"/>
  </cols>
  <sheetData>
    <row r="2" spans="1:17" ht="18.75" x14ac:dyDescent="0.3">
      <c r="A2" s="497" t="s">
        <v>45</v>
      </c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</row>
    <row r="3" spans="1:17" ht="18.75" x14ac:dyDescent="0.3">
      <c r="A3" s="497" t="s">
        <v>103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498" t="s">
        <v>2</v>
      </c>
      <c r="B6" s="498" t="s">
        <v>3</v>
      </c>
      <c r="C6" s="500" t="s">
        <v>4</v>
      </c>
      <c r="D6" s="500"/>
      <c r="E6" s="500"/>
      <c r="F6" s="500"/>
      <c r="G6" s="500"/>
      <c r="H6" s="500"/>
      <c r="I6" s="500"/>
      <c r="J6" s="500"/>
      <c r="K6" s="500"/>
      <c r="L6" s="500"/>
      <c r="M6" s="500"/>
      <c r="N6" s="500"/>
      <c r="O6" s="498" t="s">
        <v>5</v>
      </c>
    </row>
    <row r="7" spans="1:17" x14ac:dyDescent="0.25">
      <c r="A7" s="499"/>
      <c r="B7" s="499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501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88</v>
      </c>
    </row>
    <row r="9" spans="1:17" ht="18.75" customHeight="1" thickTop="1" x14ac:dyDescent="0.25">
      <c r="A9" s="27">
        <v>1</v>
      </c>
      <c r="B9" s="7" t="s">
        <v>18</v>
      </c>
      <c r="C9" s="16">
        <v>2</v>
      </c>
      <c r="D9" s="28">
        <v>10</v>
      </c>
      <c r="E9" s="28">
        <v>0</v>
      </c>
      <c r="F9" s="28">
        <v>0</v>
      </c>
      <c r="G9" s="16">
        <v>0</v>
      </c>
      <c r="H9" s="28">
        <v>0</v>
      </c>
      <c r="I9" s="28">
        <v>0</v>
      </c>
      <c r="J9" s="28">
        <v>0</v>
      </c>
      <c r="K9" s="46">
        <v>0</v>
      </c>
      <c r="L9" s="28">
        <v>1</v>
      </c>
      <c r="M9" s="28">
        <v>5</v>
      </c>
      <c r="N9" s="28">
        <v>0</v>
      </c>
      <c r="O9" s="29">
        <f>SUM(C9:N9)</f>
        <v>18</v>
      </c>
      <c r="Q9" s="106">
        <f>SUM(F9:K9)</f>
        <v>0</v>
      </c>
    </row>
    <row r="10" spans="1:17" ht="18.75" customHeight="1" x14ac:dyDescent="0.25">
      <c r="A10" s="14">
        <v>2</v>
      </c>
      <c r="B10" s="12" t="s">
        <v>19</v>
      </c>
      <c r="C10" s="17">
        <v>1</v>
      </c>
      <c r="D10" s="16">
        <v>0</v>
      </c>
      <c r="E10" s="16">
        <v>0</v>
      </c>
      <c r="F10" s="16">
        <v>0</v>
      </c>
      <c r="G10" s="17">
        <v>1</v>
      </c>
      <c r="H10" s="16">
        <v>1</v>
      </c>
      <c r="I10" s="16">
        <v>1</v>
      </c>
      <c r="J10" s="16">
        <v>0</v>
      </c>
      <c r="K10" s="47">
        <v>0</v>
      </c>
      <c r="L10" s="16">
        <v>0</v>
      </c>
      <c r="M10" s="16">
        <v>0</v>
      </c>
      <c r="N10" s="16">
        <v>1</v>
      </c>
      <c r="O10" s="18">
        <f t="shared" ref="O10:O16" si="0">SUM(C10:N10)</f>
        <v>5</v>
      </c>
      <c r="Q10" s="106">
        <f t="shared" ref="Q10:Q17" si="1">SUM(F10:K10)</f>
        <v>3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4</v>
      </c>
      <c r="M11" s="16">
        <v>3</v>
      </c>
      <c r="N11" s="16">
        <v>2</v>
      </c>
      <c r="O11" s="18">
        <f t="shared" si="0"/>
        <v>9</v>
      </c>
      <c r="Q11" s="106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7">
        <v>0</v>
      </c>
      <c r="D12" s="16">
        <v>0</v>
      </c>
      <c r="E12" s="16">
        <v>0</v>
      </c>
      <c r="F12" s="16">
        <v>0</v>
      </c>
      <c r="G12" s="17">
        <v>2</v>
      </c>
      <c r="H12" s="16">
        <v>0</v>
      </c>
      <c r="I12" s="16">
        <v>0</v>
      </c>
      <c r="J12" s="16">
        <v>0</v>
      </c>
      <c r="K12" s="16">
        <v>2</v>
      </c>
      <c r="L12" s="16">
        <v>0</v>
      </c>
      <c r="M12" s="16">
        <v>2</v>
      </c>
      <c r="N12" s="16">
        <v>1</v>
      </c>
      <c r="O12" s="18">
        <f t="shared" si="0"/>
        <v>7</v>
      </c>
      <c r="Q12" s="106">
        <f t="shared" si="1"/>
        <v>4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1</v>
      </c>
      <c r="N13" s="16">
        <v>0</v>
      </c>
      <c r="O13" s="18">
        <f t="shared" si="0"/>
        <v>1</v>
      </c>
      <c r="Q13" s="106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5</v>
      </c>
      <c r="F14" s="16">
        <v>0</v>
      </c>
      <c r="G14" s="16">
        <v>0</v>
      </c>
      <c r="H14" s="16">
        <v>0</v>
      </c>
      <c r="I14" s="16">
        <v>3</v>
      </c>
      <c r="J14" s="16">
        <v>0</v>
      </c>
      <c r="K14" s="16">
        <v>0</v>
      </c>
      <c r="L14" s="16">
        <v>0</v>
      </c>
      <c r="M14" s="16">
        <v>0</v>
      </c>
      <c r="N14" s="16">
        <v>3</v>
      </c>
      <c r="O14" s="18">
        <f t="shared" si="0"/>
        <v>11</v>
      </c>
      <c r="Q14" s="106">
        <f t="shared" si="1"/>
        <v>3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6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2</v>
      </c>
      <c r="E16" s="17">
        <v>2</v>
      </c>
      <c r="F16" s="17">
        <v>2</v>
      </c>
      <c r="G16" s="17">
        <v>0</v>
      </c>
      <c r="H16" s="17"/>
      <c r="I16" s="17">
        <v>2</v>
      </c>
      <c r="J16" s="17">
        <v>0</v>
      </c>
      <c r="K16" s="17">
        <v>3</v>
      </c>
      <c r="L16" s="17">
        <v>5</v>
      </c>
      <c r="M16" s="17">
        <v>0</v>
      </c>
      <c r="N16" s="17">
        <v>0</v>
      </c>
      <c r="O16" s="53">
        <f t="shared" si="0"/>
        <v>16</v>
      </c>
      <c r="Q16" s="106">
        <f t="shared" si="1"/>
        <v>7</v>
      </c>
    </row>
    <row r="17" spans="1:17" ht="18.75" customHeight="1" thickTop="1" x14ac:dyDescent="0.25">
      <c r="A17" s="495" t="s">
        <v>26</v>
      </c>
      <c r="B17" s="496"/>
      <c r="C17" s="22">
        <f t="shared" ref="C17:O17" si="2">SUM(C9:C16)</f>
        <v>3</v>
      </c>
      <c r="D17" s="22">
        <f t="shared" si="2"/>
        <v>12</v>
      </c>
      <c r="E17" s="22">
        <f t="shared" si="2"/>
        <v>7</v>
      </c>
      <c r="F17" s="22">
        <f t="shared" si="2"/>
        <v>2</v>
      </c>
      <c r="G17" s="22">
        <f t="shared" si="2"/>
        <v>3</v>
      </c>
      <c r="H17" s="22">
        <f t="shared" si="2"/>
        <v>1</v>
      </c>
      <c r="I17" s="22">
        <f t="shared" si="2"/>
        <v>6</v>
      </c>
      <c r="J17" s="22">
        <f t="shared" si="2"/>
        <v>0</v>
      </c>
      <c r="K17" s="22">
        <f t="shared" si="2"/>
        <v>5</v>
      </c>
      <c r="L17" s="22">
        <f t="shared" si="2"/>
        <v>10</v>
      </c>
      <c r="M17" s="22">
        <f t="shared" si="2"/>
        <v>11</v>
      </c>
      <c r="N17" s="22">
        <f t="shared" si="2"/>
        <v>7</v>
      </c>
      <c r="O17" s="22">
        <f t="shared" si="2"/>
        <v>67</v>
      </c>
      <c r="Q17" s="106">
        <f t="shared" si="1"/>
        <v>17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ht="18.75" x14ac:dyDescent="0.3">
      <c r="A34" s="497" t="s">
        <v>46</v>
      </c>
      <c r="B34" s="497"/>
      <c r="C34" s="497"/>
      <c r="D34" s="497"/>
      <c r="E34" s="497"/>
      <c r="F34" s="497"/>
      <c r="G34" s="497"/>
      <c r="H34" s="497"/>
      <c r="I34" s="497"/>
      <c r="J34" s="497"/>
      <c r="K34" s="497"/>
      <c r="L34" s="497"/>
      <c r="M34" s="497"/>
      <c r="N34" s="497"/>
      <c r="O34" s="497"/>
    </row>
    <row r="35" spans="1:17" ht="18.75" x14ac:dyDescent="0.3">
      <c r="A35" s="497" t="s">
        <v>103</v>
      </c>
      <c r="B35" s="497"/>
      <c r="C35" s="497"/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497"/>
    </row>
    <row r="36" spans="1:17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 t="s">
        <v>1</v>
      </c>
    </row>
    <row r="38" spans="1:17" x14ac:dyDescent="0.25">
      <c r="A38" s="498" t="s">
        <v>2</v>
      </c>
      <c r="B38" s="498" t="s">
        <v>3</v>
      </c>
      <c r="C38" s="500" t="s">
        <v>4</v>
      </c>
      <c r="D38" s="500"/>
      <c r="E38" s="500"/>
      <c r="F38" s="500"/>
      <c r="G38" s="500"/>
      <c r="H38" s="500"/>
      <c r="I38" s="500"/>
      <c r="J38" s="500"/>
      <c r="K38" s="500"/>
      <c r="L38" s="500"/>
      <c r="M38" s="500"/>
      <c r="N38" s="500"/>
      <c r="O38" s="498" t="s">
        <v>5</v>
      </c>
    </row>
    <row r="39" spans="1:17" x14ac:dyDescent="0.25">
      <c r="A39" s="499"/>
      <c r="B39" s="499"/>
      <c r="C39" s="25" t="s">
        <v>6</v>
      </c>
      <c r="D39" s="25" t="s">
        <v>7</v>
      </c>
      <c r="E39" s="25" t="s">
        <v>8</v>
      </c>
      <c r="F39" s="25" t="s">
        <v>9</v>
      </c>
      <c r="G39" s="25" t="s">
        <v>10</v>
      </c>
      <c r="H39" s="25" t="s">
        <v>11</v>
      </c>
      <c r="I39" s="25" t="s">
        <v>12</v>
      </c>
      <c r="J39" s="25" t="s">
        <v>13</v>
      </c>
      <c r="K39" s="25" t="s">
        <v>14</v>
      </c>
      <c r="L39" s="25" t="s">
        <v>15</v>
      </c>
      <c r="M39" s="25" t="s">
        <v>16</v>
      </c>
      <c r="N39" s="25" t="s">
        <v>17</v>
      </c>
      <c r="O39" s="501"/>
    </row>
    <row r="40" spans="1:17" ht="15.75" thickBot="1" x14ac:dyDescent="0.3">
      <c r="A40" s="26">
        <v>1</v>
      </c>
      <c r="B40" s="26">
        <v>2</v>
      </c>
      <c r="C40" s="26">
        <v>3</v>
      </c>
      <c r="D40" s="26">
        <v>4</v>
      </c>
      <c r="E40" s="26">
        <v>5</v>
      </c>
      <c r="F40" s="26">
        <v>6</v>
      </c>
      <c r="G40" s="26">
        <v>7</v>
      </c>
      <c r="H40" s="26">
        <v>8</v>
      </c>
      <c r="I40" s="26">
        <v>9</v>
      </c>
      <c r="J40" s="26">
        <v>10</v>
      </c>
      <c r="K40" s="26">
        <v>11</v>
      </c>
      <c r="L40" s="26">
        <v>12</v>
      </c>
      <c r="M40" s="26">
        <v>13</v>
      </c>
      <c r="N40" s="26">
        <v>14</v>
      </c>
      <c r="O40" s="26">
        <v>15</v>
      </c>
    </row>
    <row r="41" spans="1:17" ht="18.75" customHeight="1" thickTop="1" x14ac:dyDescent="0.25">
      <c r="A41" s="27">
        <v>1</v>
      </c>
      <c r="B41" s="7" t="s">
        <v>18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9</v>
      </c>
      <c r="J41" s="28">
        <v>2</v>
      </c>
      <c r="K41" s="28">
        <v>0</v>
      </c>
      <c r="L41" s="28">
        <v>2</v>
      </c>
      <c r="M41" s="28">
        <v>0</v>
      </c>
      <c r="N41" s="16">
        <v>0</v>
      </c>
      <c r="O41" s="29">
        <f>SUM(C41:N41)</f>
        <v>13</v>
      </c>
      <c r="Q41" s="106">
        <f>SUM(F41:K41)</f>
        <v>11</v>
      </c>
    </row>
    <row r="42" spans="1:17" ht="18.75" customHeight="1" x14ac:dyDescent="0.25">
      <c r="A42" s="14">
        <v>2</v>
      </c>
      <c r="B42" s="12" t="s">
        <v>19</v>
      </c>
      <c r="C42" s="16">
        <v>0</v>
      </c>
      <c r="D42" s="16">
        <v>0</v>
      </c>
      <c r="E42" s="16">
        <v>0</v>
      </c>
      <c r="F42" s="16">
        <v>0</v>
      </c>
      <c r="G42" s="16">
        <v>1</v>
      </c>
      <c r="H42" s="16">
        <v>0</v>
      </c>
      <c r="I42" s="16">
        <v>0</v>
      </c>
      <c r="J42" s="16">
        <v>0</v>
      </c>
      <c r="K42" s="16">
        <v>1</v>
      </c>
      <c r="L42" s="16">
        <v>0</v>
      </c>
      <c r="M42" s="16">
        <v>0</v>
      </c>
      <c r="N42" s="17">
        <v>0</v>
      </c>
      <c r="O42" s="18">
        <f t="shared" ref="O42:O48" si="3">SUM(C42:N42)</f>
        <v>2</v>
      </c>
      <c r="Q42" s="106">
        <f t="shared" ref="Q42:Q49" si="4">SUM(F42:K42)</f>
        <v>2</v>
      </c>
    </row>
    <row r="43" spans="1:17" ht="18.75" customHeight="1" x14ac:dyDescent="0.25">
      <c r="A43" s="14">
        <v>3</v>
      </c>
      <c r="B43" s="7" t="s">
        <v>20</v>
      </c>
      <c r="C43" s="16">
        <v>0</v>
      </c>
      <c r="D43" s="16">
        <v>0</v>
      </c>
      <c r="E43" s="16">
        <v>0</v>
      </c>
      <c r="F43" s="16">
        <v>4</v>
      </c>
      <c r="G43" s="16">
        <v>0</v>
      </c>
      <c r="H43" s="16">
        <v>0</v>
      </c>
      <c r="I43" s="16">
        <v>0</v>
      </c>
      <c r="J43" s="16">
        <v>2</v>
      </c>
      <c r="K43" s="16">
        <v>0</v>
      </c>
      <c r="L43" s="16">
        <v>2</v>
      </c>
      <c r="M43" s="16">
        <v>0</v>
      </c>
      <c r="N43" s="16">
        <v>0</v>
      </c>
      <c r="O43" s="18">
        <f t="shared" si="3"/>
        <v>8</v>
      </c>
      <c r="Q43" s="106">
        <f t="shared" si="4"/>
        <v>6</v>
      </c>
    </row>
    <row r="44" spans="1:17" ht="18.75" customHeight="1" x14ac:dyDescent="0.25">
      <c r="A44" s="14">
        <v>4</v>
      </c>
      <c r="B44" s="15" t="s">
        <v>21</v>
      </c>
      <c r="C44" s="17">
        <v>0</v>
      </c>
      <c r="D44" s="17">
        <v>0</v>
      </c>
      <c r="E44" s="16">
        <v>0</v>
      </c>
      <c r="F44" s="16">
        <v>1</v>
      </c>
      <c r="G44" s="16">
        <v>0</v>
      </c>
      <c r="H44" s="16">
        <v>2</v>
      </c>
      <c r="I44" s="16">
        <v>0</v>
      </c>
      <c r="J44" s="16">
        <v>0</v>
      </c>
      <c r="K44" s="16">
        <v>0</v>
      </c>
      <c r="L44" s="16">
        <v>0</v>
      </c>
      <c r="M44" s="16">
        <v>1</v>
      </c>
      <c r="N44" s="17">
        <v>2</v>
      </c>
      <c r="O44" s="18">
        <f t="shared" si="3"/>
        <v>6</v>
      </c>
      <c r="Q44" s="106">
        <f t="shared" si="4"/>
        <v>3</v>
      </c>
    </row>
    <row r="45" spans="1:17" ht="18.75" customHeight="1" x14ac:dyDescent="0.25">
      <c r="A45" s="14">
        <v>5</v>
      </c>
      <c r="B45" s="19" t="s">
        <v>22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1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1</v>
      </c>
      <c r="Q45" s="106">
        <f t="shared" si="4"/>
        <v>1</v>
      </c>
    </row>
    <row r="46" spans="1:17" ht="18.75" customHeight="1" x14ac:dyDescent="0.25">
      <c r="A46" s="14">
        <v>6</v>
      </c>
      <c r="B46" s="19" t="s">
        <v>23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2</v>
      </c>
      <c r="J46" s="16">
        <v>2</v>
      </c>
      <c r="K46" s="16">
        <v>0</v>
      </c>
      <c r="L46" s="16">
        <v>0</v>
      </c>
      <c r="M46" s="16">
        <v>4</v>
      </c>
      <c r="N46" s="16">
        <v>0</v>
      </c>
      <c r="O46" s="18">
        <f t="shared" si="3"/>
        <v>8</v>
      </c>
      <c r="Q46" s="106">
        <f t="shared" si="4"/>
        <v>4</v>
      </c>
    </row>
    <row r="47" spans="1:17" ht="18.75" customHeight="1" x14ac:dyDescent="0.25">
      <c r="A47" s="14">
        <v>7</v>
      </c>
      <c r="B47" s="19" t="s">
        <v>24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6">
        <f t="shared" si="4"/>
        <v>0</v>
      </c>
    </row>
    <row r="48" spans="1:17" ht="18.75" customHeight="1" thickBot="1" x14ac:dyDescent="0.3">
      <c r="A48" s="54">
        <v>8</v>
      </c>
      <c r="B48" s="15" t="s">
        <v>25</v>
      </c>
      <c r="C48" s="17">
        <v>4</v>
      </c>
      <c r="D48" s="17">
        <v>0</v>
      </c>
      <c r="E48" s="17">
        <v>4</v>
      </c>
      <c r="F48" s="17">
        <v>0</v>
      </c>
      <c r="G48" s="17">
        <v>0</v>
      </c>
      <c r="H48" s="17"/>
      <c r="I48" s="17">
        <v>0</v>
      </c>
      <c r="J48" s="17">
        <v>0</v>
      </c>
      <c r="K48" s="55">
        <v>8</v>
      </c>
      <c r="L48" s="17">
        <v>0</v>
      </c>
      <c r="M48" s="17">
        <v>0</v>
      </c>
      <c r="N48" s="17">
        <v>2</v>
      </c>
      <c r="O48" s="56">
        <f t="shared" si="3"/>
        <v>18</v>
      </c>
      <c r="Q48" s="106">
        <f t="shared" si="4"/>
        <v>8</v>
      </c>
    </row>
    <row r="49" spans="1:17" ht="18.75" customHeight="1" thickTop="1" x14ac:dyDescent="0.25">
      <c r="A49" s="495" t="s">
        <v>26</v>
      </c>
      <c r="B49" s="496"/>
      <c r="C49" s="22">
        <f t="shared" ref="C49:O49" si="5">SUM(C41:C48)</f>
        <v>4</v>
      </c>
      <c r="D49" s="22">
        <f t="shared" si="5"/>
        <v>0</v>
      </c>
      <c r="E49" s="22">
        <f t="shared" si="5"/>
        <v>4</v>
      </c>
      <c r="F49" s="22">
        <f t="shared" si="5"/>
        <v>5</v>
      </c>
      <c r="G49" s="22">
        <f t="shared" si="5"/>
        <v>1</v>
      </c>
      <c r="H49" s="22">
        <f t="shared" si="5"/>
        <v>3</v>
      </c>
      <c r="I49" s="22">
        <f t="shared" si="5"/>
        <v>11</v>
      </c>
      <c r="J49" s="22">
        <f t="shared" si="5"/>
        <v>6</v>
      </c>
      <c r="K49" s="22">
        <f t="shared" si="5"/>
        <v>9</v>
      </c>
      <c r="L49" s="22">
        <f t="shared" si="5"/>
        <v>4</v>
      </c>
      <c r="M49" s="22">
        <f t="shared" si="5"/>
        <v>5</v>
      </c>
      <c r="N49" s="22">
        <f t="shared" si="5"/>
        <v>4</v>
      </c>
      <c r="O49" s="22">
        <f t="shared" si="5"/>
        <v>56</v>
      </c>
      <c r="Q49" s="106">
        <f t="shared" si="4"/>
        <v>35</v>
      </c>
    </row>
    <row r="50" spans="1:17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51" spans="1:17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497" t="s">
        <v>47</v>
      </c>
      <c r="B68" s="497"/>
      <c r="C68" s="497"/>
      <c r="D68" s="497"/>
      <c r="E68" s="497"/>
      <c r="F68" s="497"/>
      <c r="G68" s="497"/>
      <c r="H68" s="497"/>
      <c r="I68" s="497"/>
      <c r="J68" s="497"/>
      <c r="K68" s="497"/>
      <c r="L68" s="497"/>
      <c r="M68" s="497"/>
      <c r="N68" s="497"/>
      <c r="O68" s="497"/>
    </row>
    <row r="69" spans="1:17" ht="18.75" x14ac:dyDescent="0.3">
      <c r="A69" s="497" t="s">
        <v>103</v>
      </c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497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498" t="s">
        <v>2</v>
      </c>
      <c r="B72" s="498" t="s">
        <v>3</v>
      </c>
      <c r="C72" s="500" t="s">
        <v>4</v>
      </c>
      <c r="D72" s="500"/>
      <c r="E72" s="500"/>
      <c r="F72" s="500"/>
      <c r="G72" s="500"/>
      <c r="H72" s="500"/>
      <c r="I72" s="500"/>
      <c r="J72" s="500"/>
      <c r="K72" s="500"/>
      <c r="L72" s="500"/>
      <c r="M72" s="500"/>
      <c r="N72" s="500"/>
      <c r="O72" s="498" t="s">
        <v>5</v>
      </c>
    </row>
    <row r="73" spans="1:17" x14ac:dyDescent="0.25">
      <c r="A73" s="499"/>
      <c r="B73" s="499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501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89</v>
      </c>
      <c r="J75" s="28">
        <v>18</v>
      </c>
      <c r="K75" s="28">
        <v>0</v>
      </c>
      <c r="L75" s="28">
        <v>19</v>
      </c>
      <c r="M75" s="28">
        <v>0</v>
      </c>
      <c r="N75" s="16">
        <v>0</v>
      </c>
      <c r="O75" s="29">
        <f>SUM(C75:N75)</f>
        <v>126</v>
      </c>
      <c r="Q75" s="106">
        <f>SUM(F75:K75)</f>
        <v>107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12</v>
      </c>
      <c r="H76" s="16">
        <v>0</v>
      </c>
      <c r="I76" s="16">
        <v>0</v>
      </c>
      <c r="J76" s="16">
        <v>0</v>
      </c>
      <c r="K76" s="16">
        <v>10</v>
      </c>
      <c r="L76" s="16">
        <v>0</v>
      </c>
      <c r="M76" s="16">
        <v>0</v>
      </c>
      <c r="N76" s="17">
        <v>0</v>
      </c>
      <c r="O76" s="18">
        <f t="shared" ref="O76:O82" si="6">SUM(C76:N76)</f>
        <v>22</v>
      </c>
      <c r="Q76" s="106">
        <f t="shared" ref="Q76:Q83" si="7">SUM(F76:K76)</f>
        <v>22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71">
        <v>68</v>
      </c>
      <c r="G77" s="16">
        <v>0</v>
      </c>
      <c r="H77" s="16">
        <v>0</v>
      </c>
      <c r="I77" s="16">
        <v>0</v>
      </c>
      <c r="J77" s="16">
        <v>34</v>
      </c>
      <c r="K77" s="16">
        <v>0</v>
      </c>
      <c r="L77" s="16">
        <v>26</v>
      </c>
      <c r="M77" s="16">
        <v>0</v>
      </c>
      <c r="N77" s="16">
        <v>0</v>
      </c>
      <c r="O77" s="18">
        <f t="shared" si="6"/>
        <v>128</v>
      </c>
      <c r="Q77" s="106">
        <f t="shared" si="7"/>
        <v>102</v>
      </c>
    </row>
    <row r="78" spans="1:17" ht="18.75" customHeight="1" x14ac:dyDescent="0.25">
      <c r="A78" s="14">
        <v>4</v>
      </c>
      <c r="B78" s="15" t="s">
        <v>21</v>
      </c>
      <c r="C78" s="17">
        <v>0</v>
      </c>
      <c r="D78" s="16">
        <v>0</v>
      </c>
      <c r="E78" s="16">
        <v>0</v>
      </c>
      <c r="F78" s="71">
        <v>12</v>
      </c>
      <c r="G78" s="16">
        <v>0</v>
      </c>
      <c r="H78" s="16">
        <v>30</v>
      </c>
      <c r="I78" s="16">
        <v>0</v>
      </c>
      <c r="J78" s="16">
        <v>0</v>
      </c>
      <c r="K78" s="16">
        <v>0</v>
      </c>
      <c r="L78" s="16">
        <v>0</v>
      </c>
      <c r="M78" s="16">
        <v>15</v>
      </c>
      <c r="N78" s="17">
        <v>37</v>
      </c>
      <c r="O78" s="18">
        <f t="shared" si="6"/>
        <v>94</v>
      </c>
      <c r="Q78" s="106">
        <f t="shared" si="7"/>
        <v>42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11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11</v>
      </c>
      <c r="Q79" s="106">
        <f t="shared" si="7"/>
        <v>11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34</v>
      </c>
      <c r="J80" s="16">
        <v>40</v>
      </c>
      <c r="K80" s="16">
        <v>0</v>
      </c>
      <c r="L80" s="16">
        <v>0</v>
      </c>
      <c r="M80" s="16">
        <v>60</v>
      </c>
      <c r="N80" s="16">
        <v>0</v>
      </c>
      <c r="O80" s="18">
        <f t="shared" si="6"/>
        <v>134</v>
      </c>
      <c r="Q80" s="106">
        <f t="shared" si="7"/>
        <v>74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06">
        <f t="shared" si="7"/>
        <v>0</v>
      </c>
    </row>
    <row r="82" spans="1:17" ht="18.75" customHeight="1" thickBot="1" x14ac:dyDescent="0.3">
      <c r="A82" s="54">
        <v>8</v>
      </c>
      <c r="B82" s="15" t="s">
        <v>25</v>
      </c>
      <c r="C82" s="17">
        <v>33</v>
      </c>
      <c r="D82" s="17">
        <v>0</v>
      </c>
      <c r="E82" s="17">
        <v>60</v>
      </c>
      <c r="F82" s="17">
        <v>0</v>
      </c>
      <c r="G82" s="17">
        <v>0</v>
      </c>
      <c r="H82" s="17"/>
      <c r="I82" s="17">
        <v>0</v>
      </c>
      <c r="J82" s="17">
        <v>0</v>
      </c>
      <c r="K82" s="55">
        <v>64</v>
      </c>
      <c r="L82" s="17">
        <v>0</v>
      </c>
      <c r="M82" s="17">
        <v>0</v>
      </c>
      <c r="N82" s="17">
        <v>31</v>
      </c>
      <c r="O82" s="56">
        <f t="shared" si="6"/>
        <v>188</v>
      </c>
      <c r="Q82" s="106">
        <f t="shared" si="7"/>
        <v>64</v>
      </c>
    </row>
    <row r="83" spans="1:17" ht="18.75" customHeight="1" thickTop="1" x14ac:dyDescent="0.25">
      <c r="A83" s="495" t="s">
        <v>26</v>
      </c>
      <c r="B83" s="496"/>
      <c r="C83" s="22">
        <f t="shared" ref="C83:O83" si="8">SUM(C75:C82)</f>
        <v>33</v>
      </c>
      <c r="D83" s="22">
        <f t="shared" si="8"/>
        <v>0</v>
      </c>
      <c r="E83" s="22">
        <f t="shared" si="8"/>
        <v>60</v>
      </c>
      <c r="F83" s="22">
        <f t="shared" si="8"/>
        <v>80</v>
      </c>
      <c r="G83" s="22">
        <f t="shared" si="8"/>
        <v>12</v>
      </c>
      <c r="H83" s="22">
        <f t="shared" si="8"/>
        <v>41</v>
      </c>
      <c r="I83" s="22">
        <f t="shared" si="8"/>
        <v>123</v>
      </c>
      <c r="J83" s="22">
        <f t="shared" si="8"/>
        <v>92</v>
      </c>
      <c r="K83" s="22">
        <f t="shared" si="8"/>
        <v>74</v>
      </c>
      <c r="L83" s="22">
        <f t="shared" si="8"/>
        <v>45</v>
      </c>
      <c r="M83" s="22">
        <f t="shared" si="8"/>
        <v>75</v>
      </c>
      <c r="N83" s="22">
        <f t="shared" si="8"/>
        <v>68</v>
      </c>
      <c r="O83" s="22">
        <f t="shared" si="8"/>
        <v>703</v>
      </c>
      <c r="Q83" s="106">
        <f t="shared" si="7"/>
        <v>422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493" t="s">
        <v>176</v>
      </c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493" t="s">
        <v>177</v>
      </c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493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493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493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494" t="s">
        <v>178</v>
      </c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493" t="s">
        <v>179</v>
      </c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493" t="s">
        <v>180</v>
      </c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ht="18.75" x14ac:dyDescent="0.3">
      <c r="A96" s="497" t="s">
        <v>48</v>
      </c>
      <c r="B96" s="497"/>
      <c r="C96" s="497"/>
      <c r="D96" s="497"/>
      <c r="E96" s="497"/>
      <c r="F96" s="497"/>
      <c r="G96" s="497"/>
      <c r="H96" s="497"/>
      <c r="I96" s="497"/>
      <c r="J96" s="497"/>
      <c r="K96" s="497"/>
      <c r="L96" s="497"/>
      <c r="M96" s="497"/>
      <c r="N96" s="497"/>
      <c r="O96" s="497"/>
    </row>
    <row r="97" spans="1:15" ht="18.75" x14ac:dyDescent="0.3">
      <c r="A97" s="497" t="s">
        <v>103</v>
      </c>
      <c r="B97" s="497"/>
      <c r="C97" s="497"/>
      <c r="D97" s="497"/>
      <c r="E97" s="497"/>
      <c r="F97" s="497"/>
      <c r="G97" s="497"/>
      <c r="H97" s="497"/>
      <c r="I97" s="497"/>
      <c r="J97" s="497"/>
      <c r="K97" s="497"/>
      <c r="L97" s="497"/>
      <c r="M97" s="497"/>
      <c r="N97" s="497"/>
      <c r="O97" s="497"/>
    </row>
    <row r="98" spans="1:15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 t="s">
        <v>31</v>
      </c>
    </row>
    <row r="100" spans="1:15" x14ac:dyDescent="0.25">
      <c r="A100" s="498" t="s">
        <v>2</v>
      </c>
      <c r="B100" s="498" t="s">
        <v>3</v>
      </c>
      <c r="C100" s="500" t="s">
        <v>4</v>
      </c>
      <c r="D100" s="500"/>
      <c r="E100" s="500"/>
      <c r="F100" s="500"/>
      <c r="G100" s="500"/>
      <c r="H100" s="500"/>
      <c r="I100" s="500"/>
      <c r="J100" s="500"/>
      <c r="K100" s="500"/>
      <c r="L100" s="500"/>
      <c r="M100" s="500"/>
      <c r="N100" s="500"/>
      <c r="O100" s="498" t="s">
        <v>5</v>
      </c>
    </row>
    <row r="101" spans="1:15" x14ac:dyDescent="0.25">
      <c r="A101" s="499"/>
      <c r="B101" s="499"/>
      <c r="C101" s="25" t="s">
        <v>6</v>
      </c>
      <c r="D101" s="25" t="s">
        <v>7</v>
      </c>
      <c r="E101" s="25" t="s">
        <v>8</v>
      </c>
      <c r="F101" s="25" t="s">
        <v>9</v>
      </c>
      <c r="G101" s="25" t="s">
        <v>10</v>
      </c>
      <c r="H101" s="25" t="s">
        <v>11</v>
      </c>
      <c r="I101" s="25" t="s">
        <v>12</v>
      </c>
      <c r="J101" s="25" t="s">
        <v>13</v>
      </c>
      <c r="K101" s="25" t="s">
        <v>14</v>
      </c>
      <c r="L101" s="25" t="s">
        <v>15</v>
      </c>
      <c r="M101" s="25" t="s">
        <v>16</v>
      </c>
      <c r="N101" s="25" t="s">
        <v>17</v>
      </c>
      <c r="O101" s="501"/>
    </row>
    <row r="102" spans="1:15" ht="15.75" thickBot="1" x14ac:dyDescent="0.3">
      <c r="A102" s="26">
        <v>1</v>
      </c>
      <c r="B102" s="26">
        <v>2</v>
      </c>
      <c r="C102" s="26">
        <v>3</v>
      </c>
      <c r="D102" s="26">
        <v>4</v>
      </c>
      <c r="E102" s="26">
        <v>5</v>
      </c>
      <c r="F102" s="26">
        <v>6</v>
      </c>
      <c r="G102" s="26">
        <v>7</v>
      </c>
      <c r="H102" s="26">
        <v>8</v>
      </c>
      <c r="I102" s="26">
        <v>9</v>
      </c>
      <c r="J102" s="26">
        <v>10</v>
      </c>
      <c r="K102" s="26">
        <v>11</v>
      </c>
      <c r="L102" s="26">
        <v>12</v>
      </c>
      <c r="M102" s="26">
        <v>13</v>
      </c>
      <c r="N102" s="26">
        <v>14</v>
      </c>
      <c r="O102" s="26">
        <v>15</v>
      </c>
    </row>
    <row r="103" spans="1:15" ht="18" customHeight="1" thickTop="1" x14ac:dyDescent="0.25">
      <c r="A103" s="27">
        <v>1</v>
      </c>
      <c r="B103" s="7" t="s">
        <v>18</v>
      </c>
      <c r="C103" s="28">
        <v>0</v>
      </c>
      <c r="D103" s="28">
        <v>0</v>
      </c>
      <c r="E103" s="28">
        <v>0</v>
      </c>
      <c r="F103" s="28">
        <v>0</v>
      </c>
      <c r="G103" s="28">
        <v>0</v>
      </c>
      <c r="H103" s="32">
        <v>0</v>
      </c>
      <c r="I103" s="32">
        <v>99.2</v>
      </c>
      <c r="J103" s="32">
        <v>89.2</v>
      </c>
      <c r="K103" s="28">
        <v>0</v>
      </c>
      <c r="L103" s="32">
        <v>95.21</v>
      </c>
      <c r="M103" s="32">
        <v>0</v>
      </c>
      <c r="N103" s="34">
        <v>0</v>
      </c>
      <c r="O103" s="44">
        <f>O75/O41*10</f>
        <v>96.92307692307692</v>
      </c>
    </row>
    <row r="104" spans="1:15" ht="18" customHeight="1" x14ac:dyDescent="0.25">
      <c r="A104" s="14">
        <v>2</v>
      </c>
      <c r="B104" s="12" t="s">
        <v>19</v>
      </c>
      <c r="C104" s="16">
        <v>0</v>
      </c>
      <c r="D104" s="16">
        <v>0</v>
      </c>
      <c r="E104" s="16">
        <v>0</v>
      </c>
      <c r="F104" s="16">
        <v>0</v>
      </c>
      <c r="G104" s="34">
        <v>120</v>
      </c>
      <c r="H104" s="16">
        <v>0</v>
      </c>
      <c r="I104" s="16">
        <v>0</v>
      </c>
      <c r="J104" s="34">
        <v>0</v>
      </c>
      <c r="K104" s="34">
        <v>100.15</v>
      </c>
      <c r="L104" s="34">
        <v>0</v>
      </c>
      <c r="M104" s="34">
        <v>0</v>
      </c>
      <c r="N104" s="36">
        <v>0</v>
      </c>
      <c r="O104" s="35">
        <v>0</v>
      </c>
    </row>
    <row r="105" spans="1:15" ht="18" customHeight="1" x14ac:dyDescent="0.25">
      <c r="A105" s="14">
        <v>3</v>
      </c>
      <c r="B105" s="7" t="s">
        <v>20</v>
      </c>
      <c r="C105" s="16">
        <v>0</v>
      </c>
      <c r="D105" s="16">
        <v>0</v>
      </c>
      <c r="E105" s="16">
        <v>0</v>
      </c>
      <c r="F105" s="34">
        <v>170.08</v>
      </c>
      <c r="G105" s="16">
        <v>0</v>
      </c>
      <c r="H105" s="16">
        <v>0</v>
      </c>
      <c r="I105" s="16">
        <v>0</v>
      </c>
      <c r="J105" s="34">
        <v>170.11</v>
      </c>
      <c r="K105" s="16">
        <v>0</v>
      </c>
      <c r="L105" s="34">
        <v>131.5</v>
      </c>
      <c r="M105" s="34">
        <v>0</v>
      </c>
      <c r="N105" s="34">
        <v>0</v>
      </c>
      <c r="O105" s="35">
        <v>0</v>
      </c>
    </row>
    <row r="106" spans="1:15" ht="18" customHeight="1" x14ac:dyDescent="0.25">
      <c r="A106" s="14">
        <v>4</v>
      </c>
      <c r="B106" s="15" t="s">
        <v>21</v>
      </c>
      <c r="C106" s="36">
        <v>0</v>
      </c>
      <c r="D106" s="17">
        <v>0</v>
      </c>
      <c r="E106" s="17">
        <v>0</v>
      </c>
      <c r="F106" s="34">
        <v>125.66</v>
      </c>
      <c r="G106" s="16">
        <v>0</v>
      </c>
      <c r="H106" s="34">
        <v>150.05000000000001</v>
      </c>
      <c r="I106" s="16">
        <v>0</v>
      </c>
      <c r="J106" s="34">
        <v>0</v>
      </c>
      <c r="K106" s="16">
        <v>0</v>
      </c>
      <c r="L106" s="34">
        <v>0</v>
      </c>
      <c r="M106" s="34">
        <v>150.25</v>
      </c>
      <c r="N106" s="36">
        <v>187</v>
      </c>
      <c r="O106" s="35">
        <f>(O78/O44)*10</f>
        <v>156.66666666666666</v>
      </c>
    </row>
    <row r="107" spans="1:15" ht="18" customHeight="1" x14ac:dyDescent="0.25">
      <c r="A107" s="14">
        <v>5</v>
      </c>
      <c r="B107" s="19" t="s">
        <v>22</v>
      </c>
      <c r="C107" s="34">
        <v>0</v>
      </c>
      <c r="D107" s="16">
        <v>0</v>
      </c>
      <c r="E107" s="16">
        <v>0</v>
      </c>
      <c r="F107" s="16">
        <v>0</v>
      </c>
      <c r="G107" s="16">
        <v>0</v>
      </c>
      <c r="H107" s="34">
        <v>110.85</v>
      </c>
      <c r="I107" s="16">
        <v>0</v>
      </c>
      <c r="J107" s="34">
        <v>0</v>
      </c>
      <c r="K107" s="16">
        <v>0</v>
      </c>
      <c r="L107" s="34">
        <v>0</v>
      </c>
      <c r="M107" s="34">
        <v>0</v>
      </c>
      <c r="N107" s="34">
        <v>0</v>
      </c>
      <c r="O107" s="35">
        <f>(O79/O45)*10</f>
        <v>110</v>
      </c>
    </row>
    <row r="108" spans="1:15" ht="18" customHeight="1" x14ac:dyDescent="0.25">
      <c r="A108" s="14">
        <v>6</v>
      </c>
      <c r="B108" s="19" t="s">
        <v>23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34">
        <v>170</v>
      </c>
      <c r="J108" s="34">
        <v>200.05</v>
      </c>
      <c r="K108" s="34">
        <v>0</v>
      </c>
      <c r="L108" s="34">
        <v>0</v>
      </c>
      <c r="M108" s="34">
        <v>150.01</v>
      </c>
      <c r="N108" s="34">
        <v>0</v>
      </c>
      <c r="O108" s="35">
        <f>(O80/O46)*10</f>
        <v>167.5</v>
      </c>
    </row>
    <row r="109" spans="1:15" ht="18" customHeight="1" x14ac:dyDescent="0.25">
      <c r="A109" s="14">
        <v>7</v>
      </c>
      <c r="B109" s="19" t="s">
        <v>24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34">
        <v>0</v>
      </c>
      <c r="K109" s="16">
        <v>0</v>
      </c>
      <c r="L109" s="34">
        <v>0</v>
      </c>
      <c r="M109" s="34">
        <v>0</v>
      </c>
      <c r="N109" s="34">
        <v>0</v>
      </c>
      <c r="O109" s="35">
        <v>0</v>
      </c>
    </row>
    <row r="110" spans="1:15" ht="18" customHeight="1" thickBot="1" x14ac:dyDescent="0.3">
      <c r="A110" s="54">
        <v>8</v>
      </c>
      <c r="B110" s="15" t="s">
        <v>25</v>
      </c>
      <c r="C110" s="36">
        <v>83.05</v>
      </c>
      <c r="D110" s="17">
        <v>0</v>
      </c>
      <c r="E110" s="36">
        <v>150.01</v>
      </c>
      <c r="F110" s="17">
        <v>0</v>
      </c>
      <c r="G110" s="17">
        <v>0</v>
      </c>
      <c r="H110" s="17">
        <v>0</v>
      </c>
      <c r="I110" s="17">
        <v>0</v>
      </c>
      <c r="J110" s="57">
        <v>0</v>
      </c>
      <c r="K110" s="57">
        <v>80.5</v>
      </c>
      <c r="L110" s="36">
        <v>0</v>
      </c>
      <c r="M110" s="36">
        <v>0</v>
      </c>
      <c r="N110" s="36">
        <v>157.5</v>
      </c>
      <c r="O110" s="35">
        <v>0</v>
      </c>
    </row>
    <row r="111" spans="1:15" ht="18" customHeight="1" thickTop="1" x14ac:dyDescent="0.25">
      <c r="A111" s="495" t="s">
        <v>26</v>
      </c>
      <c r="B111" s="496"/>
      <c r="C111" s="38">
        <v>83.05</v>
      </c>
      <c r="D111" s="38">
        <v>0</v>
      </c>
      <c r="E111" s="38">
        <v>150.01</v>
      </c>
      <c r="F111" s="38">
        <f t="shared" ref="F111:N111" si="9">F83/F49*10</f>
        <v>160</v>
      </c>
      <c r="G111" s="38">
        <f t="shared" si="9"/>
        <v>120</v>
      </c>
      <c r="H111" s="38">
        <f t="shared" si="9"/>
        <v>136.66666666666666</v>
      </c>
      <c r="I111" s="38">
        <f t="shared" si="9"/>
        <v>111.81818181818181</v>
      </c>
      <c r="J111" s="38">
        <f t="shared" si="9"/>
        <v>153.33333333333334</v>
      </c>
      <c r="K111" s="38">
        <f>K83/K49*10</f>
        <v>82.222222222222214</v>
      </c>
      <c r="L111" s="38">
        <f t="shared" si="9"/>
        <v>112.5</v>
      </c>
      <c r="M111" s="38">
        <f t="shared" si="9"/>
        <v>150</v>
      </c>
      <c r="N111" s="38">
        <f t="shared" si="9"/>
        <v>170</v>
      </c>
      <c r="O111" s="38">
        <f>O83/O49*10</f>
        <v>125.53571428571429</v>
      </c>
    </row>
    <row r="112" spans="1:15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</row>
    <row r="114" spans="11:11" x14ac:dyDescent="0.25">
      <c r="K114" t="s">
        <v>94</v>
      </c>
    </row>
    <row r="115" spans="11:11" x14ac:dyDescent="0.25">
      <c r="K115" t="s">
        <v>90</v>
      </c>
    </row>
    <row r="119" spans="11:11" x14ac:dyDescent="0.25">
      <c r="K119" t="s">
        <v>91</v>
      </c>
    </row>
    <row r="120" spans="11:11" x14ac:dyDescent="0.25">
      <c r="K120" t="s">
        <v>92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4:O34"/>
    <mergeCell ref="A35:O35"/>
    <mergeCell ref="A38:A39"/>
    <mergeCell ref="B38:B39"/>
    <mergeCell ref="C38:N38"/>
    <mergeCell ref="O38:O39"/>
    <mergeCell ref="A49:B49"/>
    <mergeCell ref="A68:O68"/>
    <mergeCell ref="A69:O69"/>
    <mergeCell ref="A72:A73"/>
    <mergeCell ref="B72:B73"/>
    <mergeCell ref="C72:N72"/>
    <mergeCell ref="O72:O73"/>
    <mergeCell ref="A111:B111"/>
    <mergeCell ref="A83:B83"/>
    <mergeCell ref="A96:O96"/>
    <mergeCell ref="A97:O97"/>
    <mergeCell ref="A100:A101"/>
    <mergeCell ref="B100:B101"/>
    <mergeCell ref="C100:N100"/>
    <mergeCell ref="O100:O101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.140625" customWidth="1"/>
    <col min="2" max="2" width="14.28515625" customWidth="1"/>
    <col min="3" max="15" width="8.5703125" customWidth="1"/>
  </cols>
  <sheetData>
    <row r="2" spans="1:17" ht="18.75" x14ac:dyDescent="0.3">
      <c r="A2" s="497" t="s">
        <v>49</v>
      </c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</row>
    <row r="3" spans="1:17" ht="18.75" x14ac:dyDescent="0.3">
      <c r="A3" s="497" t="s">
        <v>103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498" t="s">
        <v>2</v>
      </c>
      <c r="B6" s="498" t="s">
        <v>3</v>
      </c>
      <c r="C6" s="500" t="s">
        <v>4</v>
      </c>
      <c r="D6" s="500"/>
      <c r="E6" s="500"/>
      <c r="F6" s="500"/>
      <c r="G6" s="500"/>
      <c r="H6" s="500"/>
      <c r="I6" s="500"/>
      <c r="J6" s="500"/>
      <c r="K6" s="500"/>
      <c r="L6" s="500"/>
      <c r="M6" s="500"/>
      <c r="N6" s="500"/>
      <c r="O6" s="498" t="s">
        <v>5</v>
      </c>
    </row>
    <row r="7" spans="1:17" x14ac:dyDescent="0.25">
      <c r="A7" s="499"/>
      <c r="B7" s="499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501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88</v>
      </c>
    </row>
    <row r="9" spans="1:17" ht="18.75" customHeight="1" thickTop="1" x14ac:dyDescent="0.25">
      <c r="A9" s="27">
        <v>1</v>
      </c>
      <c r="B9" s="7" t="s">
        <v>18</v>
      </c>
      <c r="C9" s="28">
        <v>1</v>
      </c>
      <c r="D9" s="28">
        <v>4</v>
      </c>
      <c r="E9" s="28">
        <v>0</v>
      </c>
      <c r="F9" s="28">
        <v>2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1</v>
      </c>
      <c r="M9" s="28">
        <v>2</v>
      </c>
      <c r="N9" s="28">
        <v>2</v>
      </c>
      <c r="O9" s="29">
        <f>SUM(C9:N9)</f>
        <v>12</v>
      </c>
      <c r="Q9" s="106">
        <f>SUM(F9:K9)</f>
        <v>2</v>
      </c>
    </row>
    <row r="10" spans="1:17" ht="18.75" customHeight="1" x14ac:dyDescent="0.25">
      <c r="A10" s="14">
        <v>2</v>
      </c>
      <c r="B10" s="12" t="s">
        <v>19</v>
      </c>
      <c r="C10" s="16">
        <v>2</v>
      </c>
      <c r="D10" s="16">
        <v>0</v>
      </c>
      <c r="E10" s="16">
        <v>0</v>
      </c>
      <c r="F10" s="16">
        <v>0</v>
      </c>
      <c r="G10" s="16">
        <v>0</v>
      </c>
      <c r="H10" s="16">
        <v>1</v>
      </c>
      <c r="I10" s="16">
        <v>1</v>
      </c>
      <c r="J10" s="16">
        <v>0</v>
      </c>
      <c r="K10" s="16">
        <v>1</v>
      </c>
      <c r="L10" s="16">
        <v>1</v>
      </c>
      <c r="M10" s="16">
        <v>0</v>
      </c>
      <c r="N10" s="16">
        <v>0</v>
      </c>
      <c r="O10" s="18">
        <f t="shared" ref="O10:O16" si="0">SUM(C10:N10)</f>
        <v>6</v>
      </c>
      <c r="Q10" s="106">
        <f t="shared" ref="Q10:Q17" si="1">SUM(F10:K10)</f>
        <v>3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6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1</v>
      </c>
      <c r="G12" s="16">
        <v>1</v>
      </c>
      <c r="H12" s="16">
        <v>0</v>
      </c>
      <c r="I12" s="16">
        <v>0</v>
      </c>
      <c r="J12" s="16">
        <v>0</v>
      </c>
      <c r="K12" s="16">
        <v>1</v>
      </c>
      <c r="L12" s="16">
        <v>1</v>
      </c>
      <c r="M12" s="16">
        <v>1</v>
      </c>
      <c r="N12" s="16">
        <v>2</v>
      </c>
      <c r="O12" s="18">
        <f t="shared" si="0"/>
        <v>7</v>
      </c>
      <c r="Q12" s="106">
        <f t="shared" si="1"/>
        <v>3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2</v>
      </c>
      <c r="F13" s="16">
        <v>0</v>
      </c>
      <c r="G13" s="16">
        <v>1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3</v>
      </c>
      <c r="Q13" s="106">
        <f t="shared" si="1"/>
        <v>1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6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6">
        <f t="shared" si="1"/>
        <v>0</v>
      </c>
    </row>
    <row r="16" spans="1:17" ht="18.75" customHeight="1" thickBot="1" x14ac:dyDescent="0.3">
      <c r="A16" s="54">
        <v>8</v>
      </c>
      <c r="B16" s="15" t="s">
        <v>25</v>
      </c>
      <c r="C16" s="55">
        <v>0</v>
      </c>
      <c r="D16" s="55">
        <v>0</v>
      </c>
      <c r="E16" s="55">
        <v>1</v>
      </c>
      <c r="F16" s="55">
        <v>0</v>
      </c>
      <c r="G16" s="55">
        <v>0</v>
      </c>
      <c r="H16" s="55"/>
      <c r="I16" s="55">
        <v>0</v>
      </c>
      <c r="J16" s="55">
        <v>1</v>
      </c>
      <c r="K16" s="55">
        <v>1</v>
      </c>
      <c r="L16" s="55">
        <v>1</v>
      </c>
      <c r="M16" s="55">
        <v>0</v>
      </c>
      <c r="N16" s="55">
        <v>0</v>
      </c>
      <c r="O16" s="56">
        <f t="shared" si="0"/>
        <v>4</v>
      </c>
      <c r="Q16" s="106">
        <f t="shared" si="1"/>
        <v>2</v>
      </c>
    </row>
    <row r="17" spans="1:17" ht="18.75" customHeight="1" thickTop="1" x14ac:dyDescent="0.25">
      <c r="A17" s="495" t="s">
        <v>26</v>
      </c>
      <c r="B17" s="496"/>
      <c r="C17" s="22">
        <f t="shared" ref="C17:O17" si="2">SUM(C9:C16)</f>
        <v>3</v>
      </c>
      <c r="D17" s="22">
        <f t="shared" si="2"/>
        <v>4</v>
      </c>
      <c r="E17" s="22">
        <f t="shared" si="2"/>
        <v>3</v>
      </c>
      <c r="F17" s="22">
        <f t="shared" si="2"/>
        <v>3</v>
      </c>
      <c r="G17" s="22">
        <f t="shared" si="2"/>
        <v>2</v>
      </c>
      <c r="H17" s="22">
        <f t="shared" si="2"/>
        <v>1</v>
      </c>
      <c r="I17" s="22">
        <f t="shared" si="2"/>
        <v>1</v>
      </c>
      <c r="J17" s="22">
        <f t="shared" si="2"/>
        <v>1</v>
      </c>
      <c r="K17" s="22">
        <f t="shared" si="2"/>
        <v>3</v>
      </c>
      <c r="L17" s="22">
        <f t="shared" si="2"/>
        <v>4</v>
      </c>
      <c r="M17" s="22">
        <f t="shared" si="2"/>
        <v>3</v>
      </c>
      <c r="N17" s="22">
        <f t="shared" si="2"/>
        <v>4</v>
      </c>
      <c r="O17" s="22">
        <f t="shared" si="2"/>
        <v>32</v>
      </c>
      <c r="Q17" s="106">
        <f t="shared" si="1"/>
        <v>11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497" t="s">
        <v>50</v>
      </c>
      <c r="B35" s="497"/>
      <c r="C35" s="497"/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497"/>
    </row>
    <row r="36" spans="1:17" ht="18.75" x14ac:dyDescent="0.3">
      <c r="A36" s="497" t="s">
        <v>103</v>
      </c>
      <c r="B36" s="497"/>
      <c r="C36" s="497"/>
      <c r="D36" s="497"/>
      <c r="E36" s="497"/>
      <c r="F36" s="497"/>
      <c r="G36" s="497"/>
      <c r="H36" s="497"/>
      <c r="I36" s="497"/>
      <c r="J36" s="497"/>
      <c r="K36" s="497"/>
      <c r="L36" s="497"/>
      <c r="M36" s="497"/>
      <c r="N36" s="497"/>
      <c r="O36" s="497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498" t="s">
        <v>2</v>
      </c>
      <c r="B39" s="498" t="s">
        <v>3</v>
      </c>
      <c r="C39" s="500" t="s">
        <v>4</v>
      </c>
      <c r="D39" s="500"/>
      <c r="E39" s="500"/>
      <c r="F39" s="500"/>
      <c r="G39" s="500"/>
      <c r="H39" s="500"/>
      <c r="I39" s="500"/>
      <c r="J39" s="500"/>
      <c r="K39" s="500"/>
      <c r="L39" s="500"/>
      <c r="M39" s="500"/>
      <c r="N39" s="500"/>
      <c r="O39" s="498" t="s">
        <v>5</v>
      </c>
    </row>
    <row r="40" spans="1:17" x14ac:dyDescent="0.25">
      <c r="A40" s="499"/>
      <c r="B40" s="499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501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3</v>
      </c>
      <c r="F42" s="28">
        <v>4</v>
      </c>
      <c r="G42" s="28">
        <v>0</v>
      </c>
      <c r="H42" s="28">
        <v>0</v>
      </c>
      <c r="I42" s="28">
        <v>0</v>
      </c>
      <c r="J42" s="28">
        <v>2</v>
      </c>
      <c r="K42" s="28">
        <v>0</v>
      </c>
      <c r="L42" s="28">
        <v>0</v>
      </c>
      <c r="M42" s="28">
        <v>0</v>
      </c>
      <c r="N42" s="28">
        <v>0</v>
      </c>
      <c r="O42" s="29">
        <f>SUM(C42:N42)</f>
        <v>9</v>
      </c>
      <c r="Q42" s="106">
        <f>SUM(F42:K42)</f>
        <v>6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3</v>
      </c>
      <c r="H43" s="16">
        <v>0</v>
      </c>
      <c r="I43" s="16">
        <v>0</v>
      </c>
      <c r="J43" s="16">
        <v>0</v>
      </c>
      <c r="K43" s="16">
        <v>0</v>
      </c>
      <c r="L43" s="16">
        <v>1</v>
      </c>
      <c r="M43" s="16">
        <v>0</v>
      </c>
      <c r="N43" s="16">
        <v>0</v>
      </c>
      <c r="O43" s="18">
        <f t="shared" ref="O43:O49" si="3">SUM(C43:N43)</f>
        <v>4</v>
      </c>
      <c r="Q43" s="106">
        <f t="shared" ref="Q43:Q50" si="4">SUM(F43:K43)</f>
        <v>3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6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1</v>
      </c>
      <c r="F45" s="16">
        <v>1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2</v>
      </c>
      <c r="M45" s="16">
        <v>0</v>
      </c>
      <c r="N45" s="16">
        <v>2</v>
      </c>
      <c r="O45" s="18">
        <f t="shared" si="3"/>
        <v>6</v>
      </c>
      <c r="Q45" s="106">
        <f t="shared" si="4"/>
        <v>1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1</v>
      </c>
      <c r="F46" s="16">
        <v>0</v>
      </c>
      <c r="G46" s="16">
        <v>0</v>
      </c>
      <c r="H46" s="16">
        <v>0</v>
      </c>
      <c r="I46" s="16">
        <v>1</v>
      </c>
      <c r="J46" s="16">
        <v>0</v>
      </c>
      <c r="K46" s="16">
        <v>0</v>
      </c>
      <c r="L46" s="16">
        <v>1</v>
      </c>
      <c r="M46" s="16">
        <v>0</v>
      </c>
      <c r="N46" s="16">
        <v>0</v>
      </c>
      <c r="O46" s="18">
        <f t="shared" si="3"/>
        <v>3</v>
      </c>
      <c r="Q46" s="106">
        <f t="shared" si="4"/>
        <v>1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6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6">
        <f t="shared" si="4"/>
        <v>0</v>
      </c>
    </row>
    <row r="49" spans="1:17" ht="18.75" customHeight="1" thickBot="1" x14ac:dyDescent="0.3">
      <c r="A49" s="54">
        <v>8</v>
      </c>
      <c r="B49" s="15" t="s">
        <v>25</v>
      </c>
      <c r="C49" s="55">
        <v>1</v>
      </c>
      <c r="D49" s="55">
        <v>0</v>
      </c>
      <c r="E49" s="55">
        <v>1</v>
      </c>
      <c r="F49" s="55">
        <v>0</v>
      </c>
      <c r="G49" s="55">
        <v>0</v>
      </c>
      <c r="H49" s="55">
        <v>0</v>
      </c>
      <c r="I49" s="55">
        <v>0</v>
      </c>
      <c r="J49" s="55">
        <v>0</v>
      </c>
      <c r="K49" s="55">
        <v>2</v>
      </c>
      <c r="L49" s="55">
        <v>1</v>
      </c>
      <c r="M49" s="55">
        <v>0</v>
      </c>
      <c r="N49" s="55">
        <v>0</v>
      </c>
      <c r="O49" s="56">
        <f t="shared" si="3"/>
        <v>5</v>
      </c>
      <c r="Q49" s="106">
        <f t="shared" si="4"/>
        <v>2</v>
      </c>
    </row>
    <row r="50" spans="1:17" ht="18.75" customHeight="1" thickTop="1" x14ac:dyDescent="0.25">
      <c r="A50" s="495" t="s">
        <v>26</v>
      </c>
      <c r="B50" s="496"/>
      <c r="C50" s="22">
        <f t="shared" ref="C50:O50" si="5">SUM(C42:C49)</f>
        <v>1</v>
      </c>
      <c r="D50" s="22">
        <f t="shared" si="5"/>
        <v>0</v>
      </c>
      <c r="E50" s="22">
        <f t="shared" si="5"/>
        <v>6</v>
      </c>
      <c r="F50" s="22">
        <f t="shared" si="5"/>
        <v>5</v>
      </c>
      <c r="G50" s="22">
        <f t="shared" si="5"/>
        <v>3</v>
      </c>
      <c r="H50" s="22">
        <f t="shared" si="5"/>
        <v>0</v>
      </c>
      <c r="I50" s="22">
        <f t="shared" si="5"/>
        <v>1</v>
      </c>
      <c r="J50" s="22">
        <f t="shared" si="5"/>
        <v>2</v>
      </c>
      <c r="K50" s="22">
        <f t="shared" si="5"/>
        <v>2</v>
      </c>
      <c r="L50" s="22">
        <f t="shared" si="5"/>
        <v>5</v>
      </c>
      <c r="M50" s="22">
        <f t="shared" si="5"/>
        <v>0</v>
      </c>
      <c r="N50" s="22">
        <f t="shared" si="5"/>
        <v>2</v>
      </c>
      <c r="O50" s="22">
        <f t="shared" si="5"/>
        <v>27</v>
      </c>
      <c r="Q50" s="106">
        <f t="shared" si="4"/>
        <v>13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497" t="s">
        <v>51</v>
      </c>
      <c r="B68" s="497"/>
      <c r="C68" s="497"/>
      <c r="D68" s="497"/>
      <c r="E68" s="497"/>
      <c r="F68" s="497"/>
      <c r="G68" s="497"/>
      <c r="H68" s="497"/>
      <c r="I68" s="497"/>
      <c r="J68" s="497"/>
      <c r="K68" s="497"/>
      <c r="L68" s="497"/>
      <c r="M68" s="497"/>
      <c r="N68" s="497"/>
      <c r="O68" s="497"/>
    </row>
    <row r="69" spans="1:17" ht="18.75" x14ac:dyDescent="0.3">
      <c r="A69" s="497" t="s">
        <v>103</v>
      </c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497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498" t="s">
        <v>2</v>
      </c>
      <c r="B72" s="498" t="s">
        <v>3</v>
      </c>
      <c r="C72" s="500" t="s">
        <v>4</v>
      </c>
      <c r="D72" s="500"/>
      <c r="E72" s="500"/>
      <c r="F72" s="500"/>
      <c r="G72" s="500"/>
      <c r="H72" s="500"/>
      <c r="I72" s="500"/>
      <c r="J72" s="500"/>
      <c r="K72" s="500"/>
      <c r="L72" s="500"/>
      <c r="M72" s="500"/>
      <c r="N72" s="500"/>
      <c r="O72" s="498" t="s">
        <v>5</v>
      </c>
    </row>
    <row r="73" spans="1:17" x14ac:dyDescent="0.25">
      <c r="A73" s="499"/>
      <c r="B73" s="499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501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33</v>
      </c>
      <c r="F75" s="28">
        <v>38</v>
      </c>
      <c r="G75" s="28">
        <v>0</v>
      </c>
      <c r="H75" s="28">
        <v>0</v>
      </c>
      <c r="I75" s="28">
        <v>0</v>
      </c>
      <c r="J75" s="28">
        <v>17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88</v>
      </c>
      <c r="Q75" s="106">
        <f>SUM(F75:K75)</f>
        <v>55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30</v>
      </c>
      <c r="H76" s="16">
        <v>0</v>
      </c>
      <c r="I76" s="16">
        <v>0</v>
      </c>
      <c r="J76" s="16">
        <v>0</v>
      </c>
      <c r="K76" s="16">
        <v>0</v>
      </c>
      <c r="L76" s="16">
        <v>9</v>
      </c>
      <c r="M76" s="16">
        <v>0</v>
      </c>
      <c r="N76" s="16">
        <v>0</v>
      </c>
      <c r="O76" s="18">
        <f t="shared" ref="O76:O82" si="6">SUM(C76:N76)</f>
        <v>39</v>
      </c>
      <c r="Q76" s="106">
        <f t="shared" ref="Q76:Q83" si="7">SUM(F76:K76)</f>
        <v>30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106">
        <f t="shared" si="7"/>
        <v>0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11</v>
      </c>
      <c r="F78" s="16">
        <v>11</v>
      </c>
      <c r="G78" s="61">
        <v>0</v>
      </c>
      <c r="H78" s="16">
        <v>0</v>
      </c>
      <c r="I78" s="141">
        <v>0</v>
      </c>
      <c r="J78" s="16">
        <v>0</v>
      </c>
      <c r="K78" s="16">
        <v>0</v>
      </c>
      <c r="L78" s="16">
        <v>30</v>
      </c>
      <c r="M78" s="16">
        <v>0</v>
      </c>
      <c r="N78" s="16">
        <v>25</v>
      </c>
      <c r="O78" s="18">
        <f t="shared" si="6"/>
        <v>77</v>
      </c>
      <c r="Q78" s="106">
        <f t="shared" si="7"/>
        <v>11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12</v>
      </c>
      <c r="F79" s="16">
        <v>0</v>
      </c>
      <c r="G79" s="16">
        <v>0</v>
      </c>
      <c r="H79" s="16">
        <v>0</v>
      </c>
      <c r="I79" s="16">
        <v>11</v>
      </c>
      <c r="J79" s="16">
        <v>0</v>
      </c>
      <c r="K79" s="16">
        <v>0</v>
      </c>
      <c r="L79" s="16">
        <v>10</v>
      </c>
      <c r="M79" s="16">
        <v>0</v>
      </c>
      <c r="N79" s="16">
        <v>0</v>
      </c>
      <c r="O79" s="18">
        <f t="shared" si="6"/>
        <v>33</v>
      </c>
      <c r="Q79" s="106">
        <f t="shared" si="7"/>
        <v>11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06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06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55"/>
      <c r="D82" s="55">
        <v>0</v>
      </c>
      <c r="E82" s="55">
        <v>12</v>
      </c>
      <c r="F82" s="55">
        <v>0</v>
      </c>
      <c r="G82" s="55">
        <v>0</v>
      </c>
      <c r="H82" s="55">
        <v>0</v>
      </c>
      <c r="I82" s="55">
        <v>0</v>
      </c>
      <c r="J82" s="55">
        <v>0</v>
      </c>
      <c r="K82" s="55">
        <v>15</v>
      </c>
      <c r="L82" s="55">
        <v>8</v>
      </c>
      <c r="M82" s="55">
        <v>0</v>
      </c>
      <c r="N82" s="55">
        <v>0</v>
      </c>
      <c r="O82" s="53">
        <f t="shared" si="6"/>
        <v>35</v>
      </c>
      <c r="Q82" s="106">
        <f t="shared" si="7"/>
        <v>15</v>
      </c>
    </row>
    <row r="83" spans="1:17" ht="18.75" customHeight="1" thickTop="1" x14ac:dyDescent="0.25">
      <c r="A83" s="495" t="s">
        <v>26</v>
      </c>
      <c r="B83" s="496"/>
      <c r="C83" s="22">
        <f t="shared" ref="C83:O83" si="8">SUM(C75:C82)</f>
        <v>0</v>
      </c>
      <c r="D83" s="22">
        <f t="shared" si="8"/>
        <v>0</v>
      </c>
      <c r="E83" s="22">
        <f t="shared" si="8"/>
        <v>68</v>
      </c>
      <c r="F83" s="22">
        <f t="shared" si="8"/>
        <v>49</v>
      </c>
      <c r="G83" s="22">
        <f t="shared" si="8"/>
        <v>30</v>
      </c>
      <c r="H83" s="22">
        <f t="shared" si="8"/>
        <v>0</v>
      </c>
      <c r="I83" s="22">
        <f t="shared" si="8"/>
        <v>11</v>
      </c>
      <c r="J83" s="22">
        <f t="shared" si="8"/>
        <v>17</v>
      </c>
      <c r="K83" s="22">
        <f t="shared" si="8"/>
        <v>15</v>
      </c>
      <c r="L83" s="22">
        <f t="shared" si="8"/>
        <v>57</v>
      </c>
      <c r="M83" s="22">
        <f t="shared" si="8"/>
        <v>0</v>
      </c>
      <c r="N83" s="22">
        <f t="shared" si="8"/>
        <v>25</v>
      </c>
      <c r="O83" s="22">
        <f t="shared" si="8"/>
        <v>272</v>
      </c>
      <c r="Q83" s="106">
        <f t="shared" si="7"/>
        <v>122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493" t="s">
        <v>176</v>
      </c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493" t="s">
        <v>177</v>
      </c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493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493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493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494" t="s">
        <v>178</v>
      </c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493" t="s">
        <v>179</v>
      </c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493" t="s">
        <v>180</v>
      </c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497" t="s">
        <v>52</v>
      </c>
      <c r="B101" s="497"/>
      <c r="C101" s="497"/>
      <c r="D101" s="497"/>
      <c r="E101" s="497"/>
      <c r="F101" s="497"/>
      <c r="G101" s="497"/>
      <c r="H101" s="497"/>
      <c r="I101" s="497"/>
      <c r="J101" s="497"/>
      <c r="K101" s="497"/>
      <c r="L101" s="497"/>
      <c r="M101" s="497"/>
      <c r="N101" s="497"/>
      <c r="O101" s="497"/>
    </row>
    <row r="102" spans="1:15" ht="18.75" x14ac:dyDescent="0.3">
      <c r="A102" s="497" t="s">
        <v>103</v>
      </c>
      <c r="B102" s="497"/>
      <c r="C102" s="497"/>
      <c r="D102" s="497"/>
      <c r="E102" s="497"/>
      <c r="F102" s="497"/>
      <c r="G102" s="497"/>
      <c r="H102" s="497"/>
      <c r="I102" s="497"/>
      <c r="J102" s="497"/>
      <c r="K102" s="497"/>
      <c r="L102" s="497"/>
      <c r="M102" s="497"/>
      <c r="N102" s="497"/>
      <c r="O102" s="497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498" t="s">
        <v>2</v>
      </c>
      <c r="B105" s="498" t="s">
        <v>3</v>
      </c>
      <c r="C105" s="500" t="s">
        <v>4</v>
      </c>
      <c r="D105" s="500"/>
      <c r="E105" s="500"/>
      <c r="F105" s="500"/>
      <c r="G105" s="500"/>
      <c r="H105" s="500"/>
      <c r="I105" s="500"/>
      <c r="J105" s="500"/>
      <c r="K105" s="500"/>
      <c r="L105" s="500"/>
      <c r="M105" s="500"/>
      <c r="N105" s="500"/>
      <c r="O105" s="498" t="s">
        <v>5</v>
      </c>
    </row>
    <row r="106" spans="1:15" x14ac:dyDescent="0.25">
      <c r="A106" s="499"/>
      <c r="B106" s="499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501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28">
        <v>0</v>
      </c>
      <c r="D108" s="28">
        <v>0</v>
      </c>
      <c r="E108" s="32">
        <v>110.03</v>
      </c>
      <c r="F108" s="32">
        <v>96.35</v>
      </c>
      <c r="G108" s="28">
        <v>0</v>
      </c>
      <c r="H108" s="28">
        <v>0</v>
      </c>
      <c r="I108" s="28">
        <v>0</v>
      </c>
      <c r="J108" s="32">
        <v>85.28</v>
      </c>
      <c r="K108" s="32">
        <v>0</v>
      </c>
      <c r="L108" s="32">
        <v>0</v>
      </c>
      <c r="M108" s="28">
        <v>0</v>
      </c>
      <c r="N108" s="28">
        <v>0</v>
      </c>
      <c r="O108" s="33">
        <f>O75/O42*10</f>
        <v>97.777777777777786</v>
      </c>
    </row>
    <row r="109" spans="1:15" ht="18.75" customHeight="1" x14ac:dyDescent="0.25">
      <c r="A109" s="14">
        <v>2</v>
      </c>
      <c r="B109" s="12" t="s">
        <v>19</v>
      </c>
      <c r="C109" s="34">
        <v>150.35</v>
      </c>
      <c r="D109" s="16">
        <v>0</v>
      </c>
      <c r="E109" s="34">
        <v>0</v>
      </c>
      <c r="F109" s="16">
        <v>0</v>
      </c>
      <c r="G109" s="34">
        <v>100.31</v>
      </c>
      <c r="H109" s="16">
        <v>0</v>
      </c>
      <c r="I109" s="16">
        <v>0</v>
      </c>
      <c r="J109" s="16">
        <v>0</v>
      </c>
      <c r="K109" s="34">
        <v>0</v>
      </c>
      <c r="L109" s="34">
        <v>90.31</v>
      </c>
      <c r="M109" s="16">
        <v>0</v>
      </c>
      <c r="N109" s="16">
        <v>0</v>
      </c>
      <c r="O109" s="58">
        <v>0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16">
        <v>0</v>
      </c>
      <c r="E110" s="34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34">
        <v>0</v>
      </c>
      <c r="L110" s="34">
        <v>0</v>
      </c>
      <c r="M110" s="16">
        <v>0</v>
      </c>
      <c r="N110" s="16">
        <v>0</v>
      </c>
      <c r="O110" s="58">
        <v>0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16">
        <v>0</v>
      </c>
      <c r="E111" s="34">
        <v>111.65</v>
      </c>
      <c r="F111" s="34">
        <v>116.4</v>
      </c>
      <c r="G111" s="66">
        <v>0</v>
      </c>
      <c r="H111" s="16">
        <v>0</v>
      </c>
      <c r="I111" s="34">
        <v>0</v>
      </c>
      <c r="J111" s="34">
        <v>0</v>
      </c>
      <c r="K111" s="34">
        <v>0</v>
      </c>
      <c r="L111" s="34">
        <v>150</v>
      </c>
      <c r="M111" s="16">
        <v>0</v>
      </c>
      <c r="N111" s="34">
        <v>125.25</v>
      </c>
      <c r="O111" s="58">
        <f>O78/O45*10</f>
        <v>128.33333333333334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34">
        <v>119.03</v>
      </c>
      <c r="F112" s="16">
        <v>0</v>
      </c>
      <c r="G112" s="16">
        <v>0</v>
      </c>
      <c r="H112" s="16">
        <v>0</v>
      </c>
      <c r="I112" s="34">
        <v>110.15</v>
      </c>
      <c r="J112" s="16">
        <v>0</v>
      </c>
      <c r="K112" s="34">
        <v>0</v>
      </c>
      <c r="L112" s="34">
        <v>101.26</v>
      </c>
      <c r="M112" s="16">
        <v>0</v>
      </c>
      <c r="N112" s="16">
        <v>0</v>
      </c>
      <c r="O112" s="58">
        <f>O79/O46*10</f>
        <v>110</v>
      </c>
    </row>
    <row r="113" spans="1:15" ht="18.75" customHeight="1" x14ac:dyDescent="0.25">
      <c r="A113" s="14">
        <v>6</v>
      </c>
      <c r="B113" s="19" t="s">
        <v>23</v>
      </c>
      <c r="C113" s="16">
        <v>0</v>
      </c>
      <c r="D113" s="16">
        <v>0</v>
      </c>
      <c r="E113" s="34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34">
        <v>0</v>
      </c>
      <c r="L113" s="34">
        <v>0</v>
      </c>
      <c r="M113" s="16">
        <v>0</v>
      </c>
      <c r="N113" s="16">
        <v>0</v>
      </c>
      <c r="O113" s="58">
        <v>0</v>
      </c>
    </row>
    <row r="114" spans="1:15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34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34">
        <v>0</v>
      </c>
      <c r="L114" s="34">
        <v>0</v>
      </c>
      <c r="M114" s="16">
        <v>0</v>
      </c>
      <c r="N114" s="16">
        <v>0</v>
      </c>
      <c r="O114" s="35">
        <v>0</v>
      </c>
    </row>
    <row r="115" spans="1:15" ht="18.75" customHeight="1" thickBot="1" x14ac:dyDescent="0.3">
      <c r="A115" s="20">
        <v>8</v>
      </c>
      <c r="B115" s="15" t="s">
        <v>25</v>
      </c>
      <c r="C115" s="55">
        <v>0</v>
      </c>
      <c r="D115" s="55">
        <v>0</v>
      </c>
      <c r="E115" s="57">
        <v>125</v>
      </c>
      <c r="F115" s="55">
        <v>0</v>
      </c>
      <c r="G115" s="55">
        <v>0</v>
      </c>
      <c r="H115" s="55">
        <v>0</v>
      </c>
      <c r="I115" s="57">
        <v>0</v>
      </c>
      <c r="J115" s="57">
        <v>0</v>
      </c>
      <c r="K115" s="57">
        <v>75.31</v>
      </c>
      <c r="L115" s="57">
        <v>80.12</v>
      </c>
      <c r="M115" s="55">
        <v>0</v>
      </c>
      <c r="N115" s="55">
        <v>0</v>
      </c>
      <c r="O115" s="35">
        <f>O82/O49*10</f>
        <v>70</v>
      </c>
    </row>
    <row r="116" spans="1:15" ht="18.75" customHeight="1" thickTop="1" x14ac:dyDescent="0.25">
      <c r="A116" s="495" t="s">
        <v>26</v>
      </c>
      <c r="B116" s="496"/>
      <c r="C116" s="38">
        <v>150.35</v>
      </c>
      <c r="D116" s="38">
        <v>0</v>
      </c>
      <c r="E116" s="38">
        <f>E83/E50*10</f>
        <v>113.33333333333334</v>
      </c>
      <c r="F116" s="38">
        <v>85.02</v>
      </c>
      <c r="G116" s="38">
        <f>SUM(G108:G115)</f>
        <v>100.31</v>
      </c>
      <c r="H116" s="38">
        <v>0</v>
      </c>
      <c r="I116" s="38">
        <v>110.15</v>
      </c>
      <c r="J116" s="38">
        <v>85.28</v>
      </c>
      <c r="K116" s="38">
        <v>75.31</v>
      </c>
      <c r="L116" s="38">
        <f>L83/L50*10</f>
        <v>114</v>
      </c>
      <c r="M116" s="38">
        <v>0</v>
      </c>
      <c r="N116" s="38">
        <f>SUM(N108:N115)</f>
        <v>125.25</v>
      </c>
      <c r="O116" s="38">
        <f>O83/O50*10</f>
        <v>100.74074074074075</v>
      </c>
    </row>
    <row r="119" spans="1:15" x14ac:dyDescent="0.25">
      <c r="K119" t="s">
        <v>93</v>
      </c>
    </row>
    <row r="120" spans="1:15" x14ac:dyDescent="0.25">
      <c r="K120" t="s">
        <v>90</v>
      </c>
    </row>
    <row r="124" spans="1:15" x14ac:dyDescent="0.25">
      <c r="K124" t="s">
        <v>91</v>
      </c>
    </row>
    <row r="125" spans="1:15" x14ac:dyDescent="0.25">
      <c r="K125" t="s">
        <v>92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140625" customWidth="1"/>
    <col min="3" max="15" width="8.5703125" customWidth="1"/>
  </cols>
  <sheetData>
    <row r="2" spans="1:17" ht="18.75" x14ac:dyDescent="0.3">
      <c r="A2" s="497" t="s">
        <v>53</v>
      </c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</row>
    <row r="3" spans="1:17" ht="18.75" x14ac:dyDescent="0.3">
      <c r="A3" s="497" t="s">
        <v>103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498" t="s">
        <v>2</v>
      </c>
      <c r="B6" s="498" t="s">
        <v>3</v>
      </c>
      <c r="C6" s="507" t="s">
        <v>4</v>
      </c>
      <c r="D6" s="507"/>
      <c r="E6" s="507"/>
      <c r="F6" s="507"/>
      <c r="G6" s="507"/>
      <c r="H6" s="507"/>
      <c r="I6" s="507"/>
      <c r="J6" s="507"/>
      <c r="K6" s="507"/>
      <c r="L6" s="507"/>
      <c r="M6" s="507"/>
      <c r="N6" s="507"/>
      <c r="O6" s="498" t="s">
        <v>5</v>
      </c>
    </row>
    <row r="7" spans="1:17" x14ac:dyDescent="0.25">
      <c r="A7" s="499"/>
      <c r="B7" s="499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501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88</v>
      </c>
    </row>
    <row r="9" spans="1:17" ht="18.75" customHeight="1" thickTop="1" x14ac:dyDescent="0.25">
      <c r="A9" s="27">
        <v>1</v>
      </c>
      <c r="B9" s="7" t="s">
        <v>18</v>
      </c>
      <c r="C9" s="28">
        <v>1</v>
      </c>
      <c r="D9" s="28">
        <v>2</v>
      </c>
      <c r="E9" s="28">
        <v>0</v>
      </c>
      <c r="F9" s="28">
        <v>0</v>
      </c>
      <c r="G9" s="28">
        <v>0</v>
      </c>
      <c r="H9" s="68">
        <v>0</v>
      </c>
      <c r="I9" s="68">
        <v>0</v>
      </c>
      <c r="J9" s="68">
        <v>0</v>
      </c>
      <c r="K9" s="28">
        <v>0</v>
      </c>
      <c r="L9" s="68">
        <v>0</v>
      </c>
      <c r="M9" s="28">
        <v>0</v>
      </c>
      <c r="N9" s="68">
        <v>2</v>
      </c>
      <c r="O9" s="29">
        <f>SUM(C9:N9)</f>
        <v>5</v>
      </c>
      <c r="Q9" s="106">
        <f>SUM(F9:K9)</f>
        <v>0</v>
      </c>
    </row>
    <row r="10" spans="1:17" ht="18.75" customHeight="1" x14ac:dyDescent="0.25">
      <c r="A10" s="14">
        <v>2</v>
      </c>
      <c r="B10" s="12" t="s">
        <v>19</v>
      </c>
      <c r="C10" s="16">
        <v>1</v>
      </c>
      <c r="D10" s="16">
        <v>0</v>
      </c>
      <c r="E10" s="16">
        <v>0</v>
      </c>
      <c r="F10" s="16">
        <v>0</v>
      </c>
      <c r="G10" s="16">
        <v>0</v>
      </c>
      <c r="H10" s="48">
        <v>1</v>
      </c>
      <c r="I10" s="48">
        <v>0</v>
      </c>
      <c r="J10" s="48">
        <v>0</v>
      </c>
      <c r="K10" s="16">
        <v>0</v>
      </c>
      <c r="L10" s="48">
        <v>0</v>
      </c>
      <c r="M10" s="16">
        <v>0</v>
      </c>
      <c r="N10" s="48">
        <v>0</v>
      </c>
      <c r="O10" s="18">
        <f t="shared" ref="O10:O16" si="0">SUM(C10:N10)</f>
        <v>2</v>
      </c>
      <c r="Q10" s="106">
        <f t="shared" ref="Q10:Q17" si="1">SUM(F10:K10)</f>
        <v>1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1</v>
      </c>
      <c r="H11" s="16">
        <v>2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3</v>
      </c>
      <c r="Q11" s="106">
        <f t="shared" si="1"/>
        <v>3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11</v>
      </c>
      <c r="I12" s="16">
        <v>1</v>
      </c>
      <c r="J12" s="16">
        <v>0</v>
      </c>
      <c r="K12" s="16">
        <v>0</v>
      </c>
      <c r="L12" s="16">
        <v>1</v>
      </c>
      <c r="M12" s="16">
        <v>0</v>
      </c>
      <c r="N12" s="16">
        <v>2</v>
      </c>
      <c r="O12" s="18">
        <f t="shared" si="0"/>
        <v>15</v>
      </c>
      <c r="Q12" s="106">
        <f t="shared" si="1"/>
        <v>12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1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1</v>
      </c>
      <c r="Q13" s="106">
        <f t="shared" si="1"/>
        <v>1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6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6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/>
      <c r="I16" s="17">
        <v>0</v>
      </c>
      <c r="J16" s="17">
        <v>1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1</v>
      </c>
      <c r="Q16" s="106">
        <f t="shared" si="1"/>
        <v>1</v>
      </c>
    </row>
    <row r="17" spans="1:17" ht="18.75" customHeight="1" thickTop="1" x14ac:dyDescent="0.25">
      <c r="A17" s="495" t="s">
        <v>26</v>
      </c>
      <c r="B17" s="496"/>
      <c r="C17" s="22">
        <f t="shared" ref="C17:O17" si="2">SUM(C9:C16)</f>
        <v>2</v>
      </c>
      <c r="D17" s="22">
        <f t="shared" si="2"/>
        <v>2</v>
      </c>
      <c r="E17" s="22">
        <f t="shared" si="2"/>
        <v>0</v>
      </c>
      <c r="F17" s="22">
        <f t="shared" si="2"/>
        <v>0</v>
      </c>
      <c r="G17" s="22">
        <f t="shared" si="2"/>
        <v>2</v>
      </c>
      <c r="H17" s="22">
        <f t="shared" si="2"/>
        <v>14</v>
      </c>
      <c r="I17" s="22">
        <f t="shared" si="2"/>
        <v>1</v>
      </c>
      <c r="J17" s="22">
        <f t="shared" si="2"/>
        <v>1</v>
      </c>
      <c r="K17" s="22">
        <f t="shared" si="2"/>
        <v>0</v>
      </c>
      <c r="L17" s="22">
        <f t="shared" si="2"/>
        <v>1</v>
      </c>
      <c r="M17" s="22">
        <f t="shared" si="2"/>
        <v>0</v>
      </c>
      <c r="N17" s="22">
        <f t="shared" si="2"/>
        <v>4</v>
      </c>
      <c r="O17" s="22">
        <f t="shared" si="2"/>
        <v>27</v>
      </c>
      <c r="Q17" s="106">
        <f t="shared" si="1"/>
        <v>18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497" t="s">
        <v>54</v>
      </c>
      <c r="B35" s="497"/>
      <c r="C35" s="497"/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497"/>
    </row>
    <row r="36" spans="1:17" ht="18.75" x14ac:dyDescent="0.3">
      <c r="A36" s="497" t="s">
        <v>103</v>
      </c>
      <c r="B36" s="497"/>
      <c r="C36" s="497"/>
      <c r="D36" s="497"/>
      <c r="E36" s="497"/>
      <c r="F36" s="497"/>
      <c r="G36" s="497"/>
      <c r="H36" s="497"/>
      <c r="I36" s="497"/>
      <c r="J36" s="497"/>
      <c r="K36" s="497"/>
      <c r="L36" s="497"/>
      <c r="M36" s="497"/>
      <c r="N36" s="497"/>
      <c r="O36" s="497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498" t="s">
        <v>2</v>
      </c>
      <c r="B39" s="498" t="s">
        <v>3</v>
      </c>
      <c r="C39" s="500" t="s">
        <v>4</v>
      </c>
      <c r="D39" s="500"/>
      <c r="E39" s="500"/>
      <c r="F39" s="500"/>
      <c r="G39" s="500"/>
      <c r="H39" s="500"/>
      <c r="I39" s="500"/>
      <c r="J39" s="500"/>
      <c r="K39" s="500"/>
      <c r="L39" s="500"/>
      <c r="M39" s="500"/>
      <c r="N39" s="500"/>
      <c r="O39" s="498" t="s">
        <v>5</v>
      </c>
    </row>
    <row r="40" spans="1:17" x14ac:dyDescent="0.25">
      <c r="A40" s="499"/>
      <c r="B40" s="499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501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68">
        <v>0</v>
      </c>
      <c r="D42" s="68">
        <v>0</v>
      </c>
      <c r="E42" s="68">
        <v>3</v>
      </c>
      <c r="F42" s="28">
        <v>0</v>
      </c>
      <c r="G42" s="68">
        <v>0</v>
      </c>
      <c r="H42" s="28">
        <v>0</v>
      </c>
      <c r="I42" s="16">
        <v>0</v>
      </c>
      <c r="J42" s="28">
        <v>0</v>
      </c>
      <c r="K42" s="68">
        <v>0</v>
      </c>
      <c r="L42" s="68">
        <v>0</v>
      </c>
      <c r="M42" s="28">
        <v>0</v>
      </c>
      <c r="N42" s="68"/>
      <c r="O42" s="29">
        <f>SUM(C42:N42)</f>
        <v>3</v>
      </c>
      <c r="Q42" s="106">
        <f>SUM(F42:K42)</f>
        <v>0</v>
      </c>
    </row>
    <row r="43" spans="1:17" ht="18.75" customHeight="1" x14ac:dyDescent="0.25">
      <c r="A43" s="14">
        <v>2</v>
      </c>
      <c r="B43" s="12" t="s">
        <v>19</v>
      </c>
      <c r="C43" s="48">
        <v>0</v>
      </c>
      <c r="D43" s="48">
        <v>0</v>
      </c>
      <c r="E43" s="48">
        <v>0</v>
      </c>
      <c r="F43" s="16">
        <v>0</v>
      </c>
      <c r="G43" s="48">
        <v>1</v>
      </c>
      <c r="H43" s="16">
        <v>0</v>
      </c>
      <c r="I43" s="16">
        <v>0</v>
      </c>
      <c r="J43" s="16">
        <v>0</v>
      </c>
      <c r="K43" s="48">
        <v>0</v>
      </c>
      <c r="L43" s="48">
        <v>0</v>
      </c>
      <c r="M43" s="16">
        <v>0</v>
      </c>
      <c r="N43" s="48">
        <v>0</v>
      </c>
      <c r="O43" s="18">
        <f t="shared" ref="O43:O49" si="3">SUM(C43:N43)</f>
        <v>1</v>
      </c>
      <c r="Q43" s="106">
        <f t="shared" ref="Q43:Q50" si="4">SUM(F43:K43)</f>
        <v>1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3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3</v>
      </c>
      <c r="Q44" s="106">
        <f t="shared" si="4"/>
        <v>3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11</v>
      </c>
      <c r="K45" s="16">
        <v>1</v>
      </c>
      <c r="L45" s="16">
        <v>0</v>
      </c>
      <c r="M45" s="16">
        <v>0</v>
      </c>
      <c r="N45" s="16">
        <v>1</v>
      </c>
      <c r="O45" s="18">
        <f t="shared" si="3"/>
        <v>13</v>
      </c>
      <c r="Q45" s="106">
        <f t="shared" si="4"/>
        <v>12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1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1</v>
      </c>
      <c r="Q46" s="106">
        <f t="shared" si="4"/>
        <v>1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6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6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1</v>
      </c>
      <c r="M49" s="17">
        <v>0</v>
      </c>
      <c r="N49" s="17">
        <v>0</v>
      </c>
      <c r="O49" s="21">
        <f t="shared" si="3"/>
        <v>1</v>
      </c>
      <c r="Q49" s="106">
        <f t="shared" si="4"/>
        <v>0</v>
      </c>
    </row>
    <row r="50" spans="1:17" ht="18.75" customHeight="1" thickTop="1" x14ac:dyDescent="0.25">
      <c r="A50" s="495" t="s">
        <v>26</v>
      </c>
      <c r="B50" s="496"/>
      <c r="C50" s="22">
        <f t="shared" ref="C50:O50" si="5">SUM(C42:C49)</f>
        <v>0</v>
      </c>
      <c r="D50" s="22">
        <f t="shared" si="5"/>
        <v>0</v>
      </c>
      <c r="E50" s="22">
        <f t="shared" si="5"/>
        <v>3</v>
      </c>
      <c r="F50" s="22">
        <f t="shared" si="5"/>
        <v>0</v>
      </c>
      <c r="G50" s="22">
        <f t="shared" si="5"/>
        <v>1</v>
      </c>
      <c r="H50" s="22">
        <f t="shared" si="5"/>
        <v>0</v>
      </c>
      <c r="I50" s="22">
        <f t="shared" si="5"/>
        <v>1</v>
      </c>
      <c r="J50" s="22">
        <f t="shared" si="5"/>
        <v>14</v>
      </c>
      <c r="K50" s="22">
        <f t="shared" si="5"/>
        <v>1</v>
      </c>
      <c r="L50" s="22">
        <f t="shared" si="5"/>
        <v>1</v>
      </c>
      <c r="M50" s="22">
        <f t="shared" si="5"/>
        <v>0</v>
      </c>
      <c r="N50" s="22">
        <f t="shared" si="5"/>
        <v>1</v>
      </c>
      <c r="O50" s="22">
        <f t="shared" si="5"/>
        <v>22</v>
      </c>
      <c r="Q50" s="106">
        <f t="shared" si="4"/>
        <v>17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497" t="s">
        <v>55</v>
      </c>
      <c r="B68" s="497"/>
      <c r="C68" s="497"/>
      <c r="D68" s="497"/>
      <c r="E68" s="497"/>
      <c r="F68" s="497"/>
      <c r="G68" s="497"/>
      <c r="H68" s="497"/>
      <c r="I68" s="497"/>
      <c r="J68" s="497"/>
      <c r="K68" s="497"/>
      <c r="L68" s="497"/>
      <c r="M68" s="497"/>
      <c r="N68" s="497"/>
      <c r="O68" s="497"/>
    </row>
    <row r="69" spans="1:17" ht="18.75" x14ac:dyDescent="0.3">
      <c r="A69" s="497" t="s">
        <v>103</v>
      </c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497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498" t="s">
        <v>2</v>
      </c>
      <c r="B72" s="498" t="s">
        <v>3</v>
      </c>
      <c r="C72" s="500" t="s">
        <v>4</v>
      </c>
      <c r="D72" s="500"/>
      <c r="E72" s="500"/>
      <c r="F72" s="500"/>
      <c r="G72" s="500"/>
      <c r="H72" s="500"/>
      <c r="I72" s="500"/>
      <c r="J72" s="500"/>
      <c r="K72" s="500"/>
      <c r="L72" s="500"/>
      <c r="M72" s="500"/>
      <c r="N72" s="500"/>
      <c r="O72" s="498" t="s">
        <v>5</v>
      </c>
    </row>
    <row r="73" spans="1:17" x14ac:dyDescent="0.25">
      <c r="A73" s="499"/>
      <c r="B73" s="499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501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68">
        <v>0</v>
      </c>
      <c r="D75" s="68">
        <v>0</v>
      </c>
      <c r="E75" s="69">
        <v>2</v>
      </c>
      <c r="F75" s="28">
        <v>0</v>
      </c>
      <c r="G75" s="68">
        <v>0</v>
      </c>
      <c r="H75" s="28">
        <v>0</v>
      </c>
      <c r="I75" s="16">
        <v>0</v>
      </c>
      <c r="J75" s="28">
        <v>0</v>
      </c>
      <c r="K75" s="68">
        <v>0</v>
      </c>
      <c r="L75" s="68">
        <v>0</v>
      </c>
      <c r="M75" s="28">
        <v>0</v>
      </c>
      <c r="N75" s="68"/>
      <c r="O75" s="470">
        <f>SUM(C75:N75)</f>
        <v>2</v>
      </c>
      <c r="Q75" s="106">
        <f>SUM(F75:K75)</f>
        <v>0</v>
      </c>
    </row>
    <row r="76" spans="1:17" ht="18.75" customHeight="1" x14ac:dyDescent="0.25">
      <c r="A76" s="14">
        <v>2</v>
      </c>
      <c r="B76" s="12" t="s">
        <v>19</v>
      </c>
      <c r="C76" s="48">
        <v>0</v>
      </c>
      <c r="D76" s="48">
        <v>0</v>
      </c>
      <c r="E76" s="48">
        <v>0</v>
      </c>
      <c r="F76" s="16">
        <v>0</v>
      </c>
      <c r="G76" s="48">
        <v>1</v>
      </c>
      <c r="H76" s="16">
        <v>0</v>
      </c>
      <c r="I76" s="16">
        <v>0</v>
      </c>
      <c r="J76" s="16">
        <v>0</v>
      </c>
      <c r="K76" s="48">
        <v>0</v>
      </c>
      <c r="L76" s="48">
        <v>0</v>
      </c>
      <c r="M76" s="16">
        <v>0</v>
      </c>
      <c r="N76" s="48">
        <v>0</v>
      </c>
      <c r="O76" s="468">
        <f t="shared" ref="O76:O82" si="6">SUM(C76:N76)</f>
        <v>1</v>
      </c>
      <c r="Q76" s="106">
        <f t="shared" ref="Q76:Q83" si="7">SUM(F76:K76)</f>
        <v>1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327">
        <v>2.4</v>
      </c>
      <c r="K77" s="16">
        <v>0</v>
      </c>
      <c r="L77" s="16">
        <v>0</v>
      </c>
      <c r="M77" s="16">
        <v>0</v>
      </c>
      <c r="N77" s="16">
        <v>0</v>
      </c>
      <c r="O77" s="468">
        <f t="shared" si="6"/>
        <v>2.4</v>
      </c>
      <c r="Q77" s="106">
        <f t="shared" si="7"/>
        <v>2.4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327">
        <v>8.8000000000000007</v>
      </c>
      <c r="K78" s="327">
        <v>0.6</v>
      </c>
      <c r="L78" s="16">
        <v>0</v>
      </c>
      <c r="M78" s="16">
        <v>0</v>
      </c>
      <c r="N78" s="327">
        <v>0.6</v>
      </c>
      <c r="O78" s="468">
        <f t="shared" si="6"/>
        <v>10</v>
      </c>
      <c r="Q78" s="106">
        <f t="shared" si="7"/>
        <v>9.4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1</v>
      </c>
      <c r="J79" s="16">
        <v>0</v>
      </c>
      <c r="K79" s="16">
        <v>0</v>
      </c>
      <c r="L79" s="16">
        <v>0</v>
      </c>
      <c r="M79" s="16">
        <v>0</v>
      </c>
      <c r="N79" s="327">
        <v>0</v>
      </c>
      <c r="O79" s="468">
        <f t="shared" si="6"/>
        <v>1</v>
      </c>
      <c r="Q79" s="106">
        <f t="shared" si="7"/>
        <v>1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327">
        <v>0</v>
      </c>
      <c r="O80" s="468">
        <f t="shared" si="6"/>
        <v>0</v>
      </c>
      <c r="Q80" s="106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327">
        <v>0</v>
      </c>
      <c r="O81" s="468">
        <f t="shared" si="6"/>
        <v>0</v>
      </c>
      <c r="Q81" s="106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463">
        <v>0.3</v>
      </c>
      <c r="M82" s="17">
        <v>0</v>
      </c>
      <c r="N82" s="463">
        <v>0</v>
      </c>
      <c r="O82" s="469">
        <f t="shared" si="6"/>
        <v>0.3</v>
      </c>
      <c r="Q82" s="106">
        <f t="shared" si="7"/>
        <v>0</v>
      </c>
    </row>
    <row r="83" spans="1:17" ht="18.75" customHeight="1" thickTop="1" x14ac:dyDescent="0.25">
      <c r="A83" s="495" t="s">
        <v>26</v>
      </c>
      <c r="B83" s="496"/>
      <c r="C83" s="22">
        <f t="shared" ref="C83:O83" si="8">SUM(C75:C82)</f>
        <v>0</v>
      </c>
      <c r="D83" s="22">
        <f t="shared" si="8"/>
        <v>0</v>
      </c>
      <c r="E83" s="22">
        <f t="shared" si="8"/>
        <v>2</v>
      </c>
      <c r="F83" s="22">
        <f t="shared" si="8"/>
        <v>0</v>
      </c>
      <c r="G83" s="22">
        <f t="shared" si="8"/>
        <v>1</v>
      </c>
      <c r="H83" s="22">
        <f t="shared" si="8"/>
        <v>0</v>
      </c>
      <c r="I83" s="22">
        <f t="shared" si="8"/>
        <v>1</v>
      </c>
      <c r="J83" s="328">
        <f t="shared" si="8"/>
        <v>11.200000000000001</v>
      </c>
      <c r="K83" s="328">
        <f t="shared" si="8"/>
        <v>0.6</v>
      </c>
      <c r="L83" s="328">
        <f t="shared" si="8"/>
        <v>0.3</v>
      </c>
      <c r="M83" s="22">
        <f t="shared" si="8"/>
        <v>0</v>
      </c>
      <c r="N83" s="328">
        <f t="shared" si="8"/>
        <v>0.6</v>
      </c>
      <c r="O83" s="328">
        <f t="shared" si="8"/>
        <v>16.7</v>
      </c>
      <c r="Q83" s="106">
        <f t="shared" si="7"/>
        <v>13.8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493" t="s">
        <v>176</v>
      </c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493" t="s">
        <v>177</v>
      </c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493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493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493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494" t="s">
        <v>178</v>
      </c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493" t="s">
        <v>179</v>
      </c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493" t="s">
        <v>180</v>
      </c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497" t="s">
        <v>56</v>
      </c>
      <c r="B101" s="497"/>
      <c r="C101" s="497"/>
      <c r="D101" s="497"/>
      <c r="E101" s="497"/>
      <c r="F101" s="497"/>
      <c r="G101" s="497"/>
      <c r="H101" s="497"/>
      <c r="I101" s="497"/>
      <c r="J101" s="497"/>
      <c r="K101" s="497"/>
      <c r="L101" s="497"/>
      <c r="M101" s="497"/>
      <c r="N101" s="497"/>
      <c r="O101" s="497"/>
    </row>
    <row r="102" spans="1:15" ht="18.75" x14ac:dyDescent="0.3">
      <c r="A102" s="497" t="s">
        <v>103</v>
      </c>
      <c r="B102" s="497"/>
      <c r="C102" s="497"/>
      <c r="D102" s="497"/>
      <c r="E102" s="497"/>
      <c r="F102" s="497"/>
      <c r="G102" s="497"/>
      <c r="H102" s="497"/>
      <c r="I102" s="497"/>
      <c r="J102" s="497"/>
      <c r="K102" s="497"/>
      <c r="L102" s="497"/>
      <c r="M102" s="497"/>
      <c r="N102" s="497"/>
      <c r="O102" s="497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498" t="s">
        <v>2</v>
      </c>
      <c r="B105" s="498" t="s">
        <v>3</v>
      </c>
      <c r="C105" s="500" t="s">
        <v>4</v>
      </c>
      <c r="D105" s="500"/>
      <c r="E105" s="500"/>
      <c r="F105" s="500"/>
      <c r="G105" s="500"/>
      <c r="H105" s="500"/>
      <c r="I105" s="500"/>
      <c r="J105" s="500"/>
      <c r="K105" s="500"/>
      <c r="L105" s="500"/>
      <c r="M105" s="500"/>
      <c r="N105" s="500"/>
      <c r="O105" s="498" t="s">
        <v>5</v>
      </c>
    </row>
    <row r="106" spans="1:15" x14ac:dyDescent="0.25">
      <c r="A106" s="499"/>
      <c r="B106" s="499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501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68">
        <v>0</v>
      </c>
      <c r="D108" s="68">
        <v>0</v>
      </c>
      <c r="E108" s="50">
        <v>6.51</v>
      </c>
      <c r="F108" s="28">
        <v>0</v>
      </c>
      <c r="G108" s="68">
        <v>0</v>
      </c>
      <c r="H108" s="28">
        <v>0</v>
      </c>
      <c r="I108" s="68">
        <v>0</v>
      </c>
      <c r="J108" s="32">
        <v>0</v>
      </c>
      <c r="K108" s="68">
        <v>0</v>
      </c>
      <c r="L108" s="68">
        <v>0</v>
      </c>
      <c r="M108" s="28">
        <v>0</v>
      </c>
      <c r="N108" s="68">
        <v>0</v>
      </c>
      <c r="O108" s="33">
        <f>O75/O42*10</f>
        <v>6.6666666666666661</v>
      </c>
    </row>
    <row r="109" spans="1:15" ht="18.75" customHeight="1" x14ac:dyDescent="0.25">
      <c r="A109" s="14">
        <v>2</v>
      </c>
      <c r="B109" s="12" t="s">
        <v>19</v>
      </c>
      <c r="C109" s="48">
        <v>0</v>
      </c>
      <c r="D109" s="48">
        <v>0</v>
      </c>
      <c r="E109" s="48">
        <v>0</v>
      </c>
      <c r="F109" s="16">
        <v>0</v>
      </c>
      <c r="G109" s="353">
        <v>11.01</v>
      </c>
      <c r="H109" s="16">
        <v>0</v>
      </c>
      <c r="I109" s="48">
        <v>0</v>
      </c>
      <c r="J109" s="34">
        <v>0</v>
      </c>
      <c r="K109" s="48">
        <v>0</v>
      </c>
      <c r="L109" s="48">
        <v>0</v>
      </c>
      <c r="M109" s="16">
        <v>0</v>
      </c>
      <c r="N109" s="48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34">
        <v>8.0299999999999994</v>
      </c>
      <c r="K110" s="16">
        <v>0</v>
      </c>
      <c r="L110" s="16">
        <v>0</v>
      </c>
      <c r="M110" s="16">
        <v>0</v>
      </c>
      <c r="N110" s="16">
        <v>0</v>
      </c>
      <c r="O110" s="35">
        <f>O77/O44*10</f>
        <v>7.9999999999999991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34">
        <v>0</v>
      </c>
      <c r="J111" s="34">
        <v>8</v>
      </c>
      <c r="K111" s="34">
        <v>6</v>
      </c>
      <c r="L111" s="16">
        <v>0</v>
      </c>
      <c r="M111" s="16">
        <v>0</v>
      </c>
      <c r="N111" s="34">
        <v>6</v>
      </c>
      <c r="O111" s="35">
        <f>O78/O45*10</f>
        <v>7.6923076923076925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460">
        <v>7.1</v>
      </c>
      <c r="J112" s="34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f>O79/O46*10</f>
        <v>10</v>
      </c>
    </row>
    <row r="113" spans="1:15" ht="18.75" customHeight="1" x14ac:dyDescent="0.25">
      <c r="A113" s="14">
        <v>6</v>
      </c>
      <c r="B113" s="19" t="s">
        <v>23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48">
        <v>0</v>
      </c>
      <c r="J113" s="34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5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34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5" ht="18.75" customHeight="1" thickBot="1" x14ac:dyDescent="0.3">
      <c r="A115" s="20">
        <v>8</v>
      </c>
      <c r="B115" s="15" t="s">
        <v>25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36">
        <v>0</v>
      </c>
      <c r="J115" s="36">
        <v>0</v>
      </c>
      <c r="K115" s="17">
        <v>0</v>
      </c>
      <c r="L115" s="36">
        <v>3.11</v>
      </c>
      <c r="M115" s="17">
        <v>0</v>
      </c>
      <c r="N115" s="17">
        <v>0</v>
      </c>
      <c r="O115" s="35">
        <f>O82/O49*10</f>
        <v>3</v>
      </c>
    </row>
    <row r="116" spans="1:15" ht="18.75" customHeight="1" thickTop="1" x14ac:dyDescent="0.25">
      <c r="A116" s="495" t="s">
        <v>26</v>
      </c>
      <c r="B116" s="496"/>
      <c r="C116" s="38">
        <v>0</v>
      </c>
      <c r="D116" s="38">
        <f>SUM(D108:D115)</f>
        <v>0</v>
      </c>
      <c r="E116" s="38">
        <f>SUM(E108:E115)</f>
        <v>6.51</v>
      </c>
      <c r="F116" s="38">
        <f>SUM(F108:F115)</f>
        <v>0</v>
      </c>
      <c r="G116" s="38">
        <f>SUM(G108:G115)</f>
        <v>11.01</v>
      </c>
      <c r="H116" s="38">
        <v>0</v>
      </c>
      <c r="I116" s="38">
        <v>7.1</v>
      </c>
      <c r="J116" s="38">
        <f>J83/J50*10</f>
        <v>8</v>
      </c>
      <c r="K116" s="38">
        <v>6</v>
      </c>
      <c r="L116" s="38">
        <v>3.11</v>
      </c>
      <c r="M116" s="38">
        <v>0</v>
      </c>
      <c r="N116" s="38">
        <f>SUM(N108:N115)</f>
        <v>6</v>
      </c>
      <c r="O116" s="38">
        <f>O83/O50*10</f>
        <v>7.5909090909090899</v>
      </c>
    </row>
    <row r="117" spans="1:15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5" x14ac:dyDescent="0.25">
      <c r="E118" s="73"/>
    </row>
    <row r="119" spans="1:15" x14ac:dyDescent="0.25">
      <c r="K119" t="s">
        <v>94</v>
      </c>
    </row>
    <row r="120" spans="1:15" x14ac:dyDescent="0.25">
      <c r="K120" t="s">
        <v>90</v>
      </c>
    </row>
    <row r="124" spans="1:15" x14ac:dyDescent="0.25">
      <c r="K124" t="s">
        <v>91</v>
      </c>
    </row>
    <row r="125" spans="1:15" x14ac:dyDescent="0.25">
      <c r="K125" t="s">
        <v>92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workbookViewId="0">
      <selection activeCell="D36" sqref="D36"/>
    </sheetView>
  </sheetViews>
  <sheetFormatPr defaultRowHeight="15" x14ac:dyDescent="0.25"/>
  <cols>
    <col min="1" max="1" width="3.7109375" customWidth="1"/>
    <col min="2" max="2" width="17" customWidth="1"/>
    <col min="3" max="6" width="15.140625" customWidth="1"/>
    <col min="7" max="7" width="4.140625" customWidth="1"/>
  </cols>
  <sheetData>
    <row r="1" spans="1:6" x14ac:dyDescent="0.25">
      <c r="A1" s="77" t="s">
        <v>74</v>
      </c>
    </row>
    <row r="2" spans="1:6" x14ac:dyDescent="0.25">
      <c r="A2" s="77" t="s">
        <v>104</v>
      </c>
    </row>
    <row r="3" spans="1:6" x14ac:dyDescent="0.25">
      <c r="A3" s="77"/>
    </row>
    <row r="4" spans="1:6" ht="15.75" thickBot="1" x14ac:dyDescent="0.3">
      <c r="A4" s="77" t="s">
        <v>66</v>
      </c>
    </row>
    <row r="5" spans="1:6" x14ac:dyDescent="0.25">
      <c r="A5" s="511" t="s">
        <v>2</v>
      </c>
      <c r="B5" s="513" t="s">
        <v>3</v>
      </c>
      <c r="C5" s="79" t="s">
        <v>63</v>
      </c>
      <c r="D5" s="79" t="s">
        <v>64</v>
      </c>
      <c r="E5" s="79" t="s">
        <v>65</v>
      </c>
      <c r="F5" s="80" t="s">
        <v>62</v>
      </c>
    </row>
    <row r="6" spans="1:6" x14ac:dyDescent="0.25">
      <c r="A6" s="512"/>
      <c r="B6" s="499"/>
      <c r="C6" s="81" t="s">
        <v>1</v>
      </c>
      <c r="D6" s="81" t="s">
        <v>1</v>
      </c>
      <c r="E6" s="81" t="s">
        <v>29</v>
      </c>
      <c r="F6" s="82" t="s">
        <v>31</v>
      </c>
    </row>
    <row r="7" spans="1:6" ht="15.75" thickBot="1" x14ac:dyDescent="0.3">
      <c r="A7" s="83">
        <v>1</v>
      </c>
      <c r="B7" s="78">
        <v>2</v>
      </c>
      <c r="C7" s="78">
        <v>3</v>
      </c>
      <c r="D7" s="78">
        <v>4</v>
      </c>
      <c r="E7" s="78">
        <v>5</v>
      </c>
      <c r="F7" s="84">
        <v>6</v>
      </c>
    </row>
    <row r="8" spans="1:6" ht="15.75" thickTop="1" x14ac:dyDescent="0.25">
      <c r="A8" s="85">
        <v>1</v>
      </c>
      <c r="B8" s="7" t="s">
        <v>18</v>
      </c>
      <c r="C8" s="89">
        <f>'padi sawah'!O9</f>
        <v>377</v>
      </c>
      <c r="D8" s="89">
        <f>'padi sawah'!O42</f>
        <v>330</v>
      </c>
      <c r="E8" s="89">
        <f>'padi sawah'!O75</f>
        <v>1694</v>
      </c>
      <c r="F8" s="93">
        <f>'padi sawah'!O108</f>
        <v>51.333333333333336</v>
      </c>
    </row>
    <row r="9" spans="1:6" x14ac:dyDescent="0.25">
      <c r="A9" s="86">
        <v>2</v>
      </c>
      <c r="B9" s="12" t="s">
        <v>19</v>
      </c>
      <c r="C9" s="90">
        <f>'padi sawah'!O10</f>
        <v>491</v>
      </c>
      <c r="D9" s="90">
        <f>'padi sawah'!O43</f>
        <v>341</v>
      </c>
      <c r="E9" s="90">
        <f>'padi sawah'!O76</f>
        <v>2451</v>
      </c>
      <c r="F9" s="93">
        <f>'padi sawah'!O109</f>
        <v>71.876832844574778</v>
      </c>
    </row>
    <row r="10" spans="1:6" x14ac:dyDescent="0.25">
      <c r="A10" s="86">
        <v>3</v>
      </c>
      <c r="B10" s="7" t="s">
        <v>20</v>
      </c>
      <c r="C10" s="90">
        <f>'padi sawah'!O11</f>
        <v>55</v>
      </c>
      <c r="D10" s="90">
        <f>'padi sawah'!O44</f>
        <v>40</v>
      </c>
      <c r="E10" s="90">
        <f>'padi sawah'!O77</f>
        <v>221</v>
      </c>
      <c r="F10" s="93">
        <f>'padi sawah'!O110</f>
        <v>55.25</v>
      </c>
    </row>
    <row r="11" spans="1:6" x14ac:dyDescent="0.25">
      <c r="A11" s="87">
        <v>4</v>
      </c>
      <c r="B11" s="15" t="s">
        <v>21</v>
      </c>
      <c r="C11" s="90">
        <f>'padi sawah'!O12</f>
        <v>270</v>
      </c>
      <c r="D11" s="90">
        <f>'padi sawah'!O45</f>
        <v>240</v>
      </c>
      <c r="E11" s="90">
        <f>'padi sawah'!O78</f>
        <v>1407</v>
      </c>
      <c r="F11" s="93">
        <f>'padi sawah'!O111</f>
        <v>58.625</v>
      </c>
    </row>
    <row r="12" spans="1:6" x14ac:dyDescent="0.25">
      <c r="A12" s="87">
        <v>5</v>
      </c>
      <c r="B12" s="19" t="s">
        <v>22</v>
      </c>
      <c r="C12" s="90">
        <f>'padi sawah'!O13</f>
        <v>209</v>
      </c>
      <c r="D12" s="90">
        <f>'padi sawah'!O46</f>
        <v>194</v>
      </c>
      <c r="E12" s="90">
        <f>'padi sawah'!O79</f>
        <v>1147</v>
      </c>
      <c r="F12" s="93">
        <f>'padi sawah'!O112</f>
        <v>59.123711340206185</v>
      </c>
    </row>
    <row r="13" spans="1:6" x14ac:dyDescent="0.25">
      <c r="A13" s="87">
        <v>6</v>
      </c>
      <c r="B13" s="19" t="s">
        <v>23</v>
      </c>
      <c r="C13" s="90">
        <f>'padi sawah'!O14</f>
        <v>138</v>
      </c>
      <c r="D13" s="90">
        <f>'padi sawah'!O47</f>
        <v>100</v>
      </c>
      <c r="E13" s="90">
        <f>'padi sawah'!O80</f>
        <v>673</v>
      </c>
      <c r="F13" s="93">
        <f>'padi sawah'!O113</f>
        <v>67.300000000000011</v>
      </c>
    </row>
    <row r="14" spans="1:6" x14ac:dyDescent="0.25">
      <c r="A14" s="87">
        <v>7</v>
      </c>
      <c r="B14" s="19" t="s">
        <v>24</v>
      </c>
      <c r="C14" s="90">
        <f>'padi sawah'!O15</f>
        <v>598</v>
      </c>
      <c r="D14" s="90">
        <f>'padi sawah'!O48</f>
        <v>622</v>
      </c>
      <c r="E14" s="90">
        <f>'padi sawah'!O81</f>
        <v>3660</v>
      </c>
      <c r="F14" s="93">
        <f>'padi sawah'!O114</f>
        <v>58.842443729903536</v>
      </c>
    </row>
    <row r="15" spans="1:6" ht="15.75" thickBot="1" x14ac:dyDescent="0.3">
      <c r="A15" s="88">
        <v>8</v>
      </c>
      <c r="B15" s="15" t="s">
        <v>25</v>
      </c>
      <c r="C15" s="91">
        <f>'padi sawah'!O16</f>
        <v>756</v>
      </c>
      <c r="D15" s="91">
        <f>'padi sawah'!O49</f>
        <v>551</v>
      </c>
      <c r="E15" s="91">
        <f>'padi sawah'!O82</f>
        <v>3841</v>
      </c>
      <c r="F15" s="94">
        <f>'padi sawah'!O115</f>
        <v>69.709618874773142</v>
      </c>
    </row>
    <row r="16" spans="1:6" ht="16.5" thickTop="1" thickBot="1" x14ac:dyDescent="0.3">
      <c r="A16" s="509" t="s">
        <v>26</v>
      </c>
      <c r="B16" s="510"/>
      <c r="C16" s="92">
        <f>SUM(C8:C15)</f>
        <v>2894</v>
      </c>
      <c r="D16" s="92">
        <f>SUM(D8:D15)</f>
        <v>2418</v>
      </c>
      <c r="E16" s="92">
        <f>SUM(E8:E15)</f>
        <v>15094</v>
      </c>
      <c r="F16" s="95">
        <f>E16/D16*10</f>
        <v>62.423490488006621</v>
      </c>
    </row>
    <row r="18" spans="1:6" ht="15.75" thickBot="1" x14ac:dyDescent="0.3">
      <c r="A18" s="77" t="s">
        <v>67</v>
      </c>
    </row>
    <row r="19" spans="1:6" x14ac:dyDescent="0.25">
      <c r="A19" s="511" t="s">
        <v>2</v>
      </c>
      <c r="B19" s="513" t="s">
        <v>3</v>
      </c>
      <c r="C19" s="79" t="s">
        <v>63</v>
      </c>
      <c r="D19" s="79" t="s">
        <v>64</v>
      </c>
      <c r="E19" s="79" t="s">
        <v>65</v>
      </c>
      <c r="F19" s="80" t="s">
        <v>62</v>
      </c>
    </row>
    <row r="20" spans="1:6" x14ac:dyDescent="0.25">
      <c r="A20" s="512"/>
      <c r="B20" s="499"/>
      <c r="C20" s="81" t="s">
        <v>1</v>
      </c>
      <c r="D20" s="81" t="s">
        <v>1</v>
      </c>
      <c r="E20" s="81" t="s">
        <v>29</v>
      </c>
      <c r="F20" s="82" t="s">
        <v>31</v>
      </c>
    </row>
    <row r="21" spans="1:6" ht="15.75" thickBot="1" x14ac:dyDescent="0.3">
      <c r="A21" s="83">
        <v>1</v>
      </c>
      <c r="B21" s="78">
        <v>2</v>
      </c>
      <c r="C21" s="78">
        <v>3</v>
      </c>
      <c r="D21" s="78">
        <v>4</v>
      </c>
      <c r="E21" s="78">
        <v>5</v>
      </c>
      <c r="F21" s="84">
        <v>6</v>
      </c>
    </row>
    <row r="22" spans="1:6" ht="15.75" thickTop="1" x14ac:dyDescent="0.25">
      <c r="A22" s="85">
        <v>1</v>
      </c>
      <c r="B22" s="7" t="s">
        <v>18</v>
      </c>
      <c r="C22" s="154">
        <f>'padi ladang'!O9</f>
        <v>0</v>
      </c>
      <c r="D22" s="154">
        <f>'padi ladang'!O42</f>
        <v>0</v>
      </c>
      <c r="E22" s="154">
        <f>'padi ladang'!O75</f>
        <v>0</v>
      </c>
      <c r="F22" s="158">
        <f>'padi ladang'!O108</f>
        <v>0</v>
      </c>
    </row>
    <row r="23" spans="1:6" x14ac:dyDescent="0.25">
      <c r="A23" s="86">
        <v>2</v>
      </c>
      <c r="B23" s="12" t="s">
        <v>19</v>
      </c>
      <c r="C23" s="90">
        <f>'padi ladang'!O10</f>
        <v>0</v>
      </c>
      <c r="D23" s="90">
        <f>'padi ladang'!O43</f>
        <v>0</v>
      </c>
      <c r="E23" s="90">
        <f>'padi ladang'!O76</f>
        <v>0</v>
      </c>
      <c r="F23" s="121">
        <f>'padi ladang'!O109</f>
        <v>0</v>
      </c>
    </row>
    <row r="24" spans="1:6" x14ac:dyDescent="0.25">
      <c r="A24" s="86">
        <v>3</v>
      </c>
      <c r="B24" s="7" t="s">
        <v>20</v>
      </c>
      <c r="C24" s="90">
        <f>'padi ladang'!O11</f>
        <v>74</v>
      </c>
      <c r="D24" s="90">
        <f>'padi ladang'!O44</f>
        <v>15</v>
      </c>
      <c r="E24" s="90">
        <f>'padi ladang'!O77</f>
        <v>59</v>
      </c>
      <c r="F24" s="121">
        <f>'padi ladang'!O110</f>
        <v>39.333333333333329</v>
      </c>
    </row>
    <row r="25" spans="1:6" x14ac:dyDescent="0.25">
      <c r="A25" s="87">
        <v>4</v>
      </c>
      <c r="B25" s="15" t="s">
        <v>21</v>
      </c>
      <c r="C25" s="90">
        <f>'padi ladang'!O12</f>
        <v>0</v>
      </c>
      <c r="D25" s="90">
        <f>'padi ladang'!O45</f>
        <v>0</v>
      </c>
      <c r="E25" s="90">
        <f>'padi ladang'!O78</f>
        <v>0</v>
      </c>
      <c r="F25" s="121">
        <f>'padi ladang'!O111</f>
        <v>0</v>
      </c>
    </row>
    <row r="26" spans="1:6" x14ac:dyDescent="0.25">
      <c r="A26" s="87">
        <v>5</v>
      </c>
      <c r="B26" s="19" t="s">
        <v>22</v>
      </c>
      <c r="C26" s="90">
        <f>'padi ladang'!O13</f>
        <v>0</v>
      </c>
      <c r="D26" s="90">
        <f>'padi ladang'!O46</f>
        <v>0</v>
      </c>
      <c r="E26" s="90">
        <f>'padi ladang'!O79</f>
        <v>0</v>
      </c>
      <c r="F26" s="121">
        <f>'padi ladang'!O112</f>
        <v>0</v>
      </c>
    </row>
    <row r="27" spans="1:6" x14ac:dyDescent="0.25">
      <c r="A27" s="87">
        <v>6</v>
      </c>
      <c r="B27" s="19" t="s">
        <v>23</v>
      </c>
      <c r="C27" s="90">
        <f>'padi ladang'!O14</f>
        <v>0</v>
      </c>
      <c r="D27" s="90">
        <f>'padi ladang'!O47</f>
        <v>0</v>
      </c>
      <c r="E27" s="90">
        <f>'padi ladang'!O80</f>
        <v>0</v>
      </c>
      <c r="F27" s="121">
        <f>'padi ladang'!O113</f>
        <v>0</v>
      </c>
    </row>
    <row r="28" spans="1:6" x14ac:dyDescent="0.25">
      <c r="A28" s="87">
        <v>7</v>
      </c>
      <c r="B28" s="19" t="s">
        <v>24</v>
      </c>
      <c r="C28" s="90">
        <f>'padi ladang'!O15</f>
        <v>0</v>
      </c>
      <c r="D28" s="90">
        <f>'padi ladang'!O48</f>
        <v>0</v>
      </c>
      <c r="E28" s="90">
        <f>'padi ladang'!O81</f>
        <v>0</v>
      </c>
      <c r="F28" s="121">
        <f>'padi ladang'!O114</f>
        <v>0</v>
      </c>
    </row>
    <row r="29" spans="1:6" ht="15.75" thickBot="1" x14ac:dyDescent="0.3">
      <c r="A29" s="88">
        <v>8</v>
      </c>
      <c r="B29" s="15" t="s">
        <v>25</v>
      </c>
      <c r="C29" s="91">
        <f>'padi ladang'!O16</f>
        <v>0</v>
      </c>
      <c r="D29" s="91">
        <f>'padi ladang'!O49</f>
        <v>0</v>
      </c>
      <c r="E29" s="91">
        <f>'padi ladang'!O82</f>
        <v>0</v>
      </c>
      <c r="F29" s="160">
        <f>'padi ladang'!O115</f>
        <v>0</v>
      </c>
    </row>
    <row r="30" spans="1:6" ht="16.5" thickTop="1" thickBot="1" x14ac:dyDescent="0.3">
      <c r="A30" s="509" t="s">
        <v>26</v>
      </c>
      <c r="B30" s="510"/>
      <c r="C30" s="92">
        <f>SUM(C22:C29)</f>
        <v>74</v>
      </c>
      <c r="D30" s="92">
        <f>SUM(D22:D29)</f>
        <v>15</v>
      </c>
      <c r="E30" s="92">
        <f>SUM(E22:E29)</f>
        <v>59</v>
      </c>
      <c r="F30" s="95">
        <f>E30/D30*10</f>
        <v>39.333333333333329</v>
      </c>
    </row>
    <row r="32" spans="1:6" ht="15.75" thickBot="1" x14ac:dyDescent="0.3">
      <c r="A32" s="77" t="s">
        <v>68</v>
      </c>
    </row>
    <row r="33" spans="1:6" x14ac:dyDescent="0.25">
      <c r="A33" s="511" t="s">
        <v>2</v>
      </c>
      <c r="B33" s="513" t="s">
        <v>3</v>
      </c>
      <c r="C33" s="79" t="s">
        <v>63</v>
      </c>
      <c r="D33" s="79" t="s">
        <v>64</v>
      </c>
      <c r="E33" s="79" t="s">
        <v>65</v>
      </c>
      <c r="F33" s="80" t="s">
        <v>62</v>
      </c>
    </row>
    <row r="34" spans="1:6" x14ac:dyDescent="0.25">
      <c r="A34" s="512"/>
      <c r="B34" s="499"/>
      <c r="C34" s="81" t="s">
        <v>1</v>
      </c>
      <c r="D34" s="81" t="s">
        <v>1</v>
      </c>
      <c r="E34" s="81" t="s">
        <v>29</v>
      </c>
      <c r="F34" s="82" t="s">
        <v>31</v>
      </c>
    </row>
    <row r="35" spans="1:6" ht="15.75" thickBot="1" x14ac:dyDescent="0.3">
      <c r="A35" s="83">
        <v>1</v>
      </c>
      <c r="B35" s="78">
        <v>2</v>
      </c>
      <c r="C35" s="78">
        <v>3</v>
      </c>
      <c r="D35" s="78">
        <v>4</v>
      </c>
      <c r="E35" s="78">
        <v>5</v>
      </c>
      <c r="F35" s="84">
        <v>6</v>
      </c>
    </row>
    <row r="36" spans="1:6" ht="15.75" thickTop="1" x14ac:dyDescent="0.25">
      <c r="A36" s="85">
        <v>1</v>
      </c>
      <c r="B36" s="7" t="s">
        <v>18</v>
      </c>
      <c r="C36" s="154">
        <f>jagung!O9</f>
        <v>10</v>
      </c>
      <c r="D36" s="155">
        <f>jagung!Q42</f>
        <v>8</v>
      </c>
      <c r="E36" s="154">
        <f>jagung!O75</f>
        <v>0</v>
      </c>
      <c r="F36" s="158">
        <f>jagung!O108</f>
        <v>0</v>
      </c>
    </row>
    <row r="37" spans="1:6" x14ac:dyDescent="0.25">
      <c r="A37" s="86">
        <v>2</v>
      </c>
      <c r="B37" s="12" t="s">
        <v>19</v>
      </c>
      <c r="C37" s="90">
        <f>jagung!O10</f>
        <v>3</v>
      </c>
      <c r="D37" s="147">
        <f>jagung!Q43</f>
        <v>1</v>
      </c>
      <c r="E37" s="90">
        <f>jagung!O76</f>
        <v>5</v>
      </c>
      <c r="F37" s="121">
        <f>jagung!O109</f>
        <v>29.13</v>
      </c>
    </row>
    <row r="38" spans="1:6" x14ac:dyDescent="0.25">
      <c r="A38" s="86">
        <v>3</v>
      </c>
      <c r="B38" s="7" t="s">
        <v>20</v>
      </c>
      <c r="C38" s="90">
        <f>jagung!O11</f>
        <v>59</v>
      </c>
      <c r="D38" s="147">
        <f>jagung!Q44</f>
        <v>12</v>
      </c>
      <c r="E38" s="90">
        <f>jagung!O77</f>
        <v>31</v>
      </c>
      <c r="F38" s="121">
        <f>jagung!O110</f>
        <v>26.1175</v>
      </c>
    </row>
    <row r="39" spans="1:6" x14ac:dyDescent="0.25">
      <c r="A39" s="87">
        <v>4</v>
      </c>
      <c r="B39" s="15" t="s">
        <v>21</v>
      </c>
      <c r="C39" s="90">
        <f>jagung!O12</f>
        <v>6</v>
      </c>
      <c r="D39" s="147">
        <f>jagung!Q45</f>
        <v>2</v>
      </c>
      <c r="E39" s="90">
        <f>jagung!O78</f>
        <v>6</v>
      </c>
      <c r="F39" s="121">
        <f>jagung!O111</f>
        <v>35.555</v>
      </c>
    </row>
    <row r="40" spans="1:6" x14ac:dyDescent="0.25">
      <c r="A40" s="87">
        <v>5</v>
      </c>
      <c r="B40" s="19" t="s">
        <v>22</v>
      </c>
      <c r="C40" s="90">
        <f>jagung!O13</f>
        <v>5</v>
      </c>
      <c r="D40" s="147">
        <f>jagung!Q46</f>
        <v>5</v>
      </c>
      <c r="E40" s="90">
        <f>jagung!O79</f>
        <v>14</v>
      </c>
      <c r="F40" s="121">
        <f>jagung!O112</f>
        <v>30.774999999999999</v>
      </c>
    </row>
    <row r="41" spans="1:6" x14ac:dyDescent="0.25">
      <c r="A41" s="87">
        <v>6</v>
      </c>
      <c r="B41" s="19" t="s">
        <v>23</v>
      </c>
      <c r="C41" s="90">
        <f>jagung!O14</f>
        <v>3</v>
      </c>
      <c r="D41" s="147">
        <f>jagung!Q47</f>
        <v>2</v>
      </c>
      <c r="E41" s="90">
        <f>jagung!O80</f>
        <v>8</v>
      </c>
      <c r="F41" s="121">
        <f>jagung!O113</f>
        <v>40</v>
      </c>
    </row>
    <row r="42" spans="1:6" x14ac:dyDescent="0.25">
      <c r="A42" s="87">
        <v>7</v>
      </c>
      <c r="B42" s="19" t="s">
        <v>24</v>
      </c>
      <c r="C42" s="90">
        <f>jagung!O15</f>
        <v>0.7</v>
      </c>
      <c r="D42" s="147">
        <f>jagung!Q48</f>
        <v>0.7</v>
      </c>
      <c r="E42" s="90">
        <f>jagung!O81</f>
        <v>2.4</v>
      </c>
      <c r="F42" s="121">
        <f>jagung!O114</f>
        <v>27.5</v>
      </c>
    </row>
    <row r="43" spans="1:6" ht="15.75" thickBot="1" x14ac:dyDescent="0.3">
      <c r="A43" s="88">
        <v>8</v>
      </c>
      <c r="B43" s="15" t="s">
        <v>25</v>
      </c>
      <c r="C43" s="91">
        <f>jagung!O16</f>
        <v>5</v>
      </c>
      <c r="D43" s="149">
        <f>jagung!Q49</f>
        <v>4</v>
      </c>
      <c r="E43" s="91">
        <f>jagung!O82</f>
        <v>8</v>
      </c>
      <c r="F43" s="160">
        <f>jagung!O115</f>
        <v>39.575000000000003</v>
      </c>
    </row>
    <row r="44" spans="1:6" ht="16.5" thickTop="1" thickBot="1" x14ac:dyDescent="0.3">
      <c r="A44" s="509" t="s">
        <v>26</v>
      </c>
      <c r="B44" s="510"/>
      <c r="C44" s="92">
        <f>SUM(C36:C43)</f>
        <v>91.7</v>
      </c>
      <c r="D44" s="92">
        <f>SUM(D36:D43)</f>
        <v>34.700000000000003</v>
      </c>
      <c r="E44" s="92">
        <f>SUM(E36:E43)</f>
        <v>74.400000000000006</v>
      </c>
      <c r="F44" s="159">
        <f>jagung!O116</f>
        <v>32.664642857142859</v>
      </c>
    </row>
    <row r="45" spans="1:6" x14ac:dyDescent="0.25">
      <c r="A45" s="100" t="s">
        <v>75</v>
      </c>
      <c r="C45" s="98"/>
      <c r="D45" s="98"/>
      <c r="E45" s="98"/>
      <c r="F45" s="99"/>
    </row>
    <row r="46" spans="1:6" x14ac:dyDescent="0.25">
      <c r="A46" s="97"/>
      <c r="B46" s="97"/>
      <c r="C46" s="98"/>
      <c r="D46" s="98"/>
      <c r="E46" s="98"/>
      <c r="F46" s="99"/>
    </row>
    <row r="47" spans="1:6" x14ac:dyDescent="0.25">
      <c r="A47" s="97"/>
      <c r="B47" s="97"/>
      <c r="C47" s="98"/>
      <c r="D47" s="98"/>
      <c r="E47" s="98"/>
      <c r="F47" s="99"/>
    </row>
    <row r="48" spans="1:6" x14ac:dyDescent="0.25">
      <c r="A48" s="97"/>
      <c r="B48" s="97"/>
      <c r="C48" s="98"/>
      <c r="D48" s="98"/>
      <c r="E48" s="98"/>
      <c r="F48" s="99"/>
    </row>
    <row r="49" spans="1:6" x14ac:dyDescent="0.25">
      <c r="A49" s="97"/>
      <c r="B49" s="97"/>
      <c r="C49" s="98"/>
      <c r="D49" s="98"/>
      <c r="E49" s="98"/>
      <c r="F49" s="99"/>
    </row>
    <row r="50" spans="1:6" x14ac:dyDescent="0.25">
      <c r="A50" s="97"/>
      <c r="B50" s="97"/>
      <c r="C50" s="98"/>
      <c r="D50" s="98"/>
      <c r="E50" s="98"/>
      <c r="F50" s="99"/>
    </row>
    <row r="51" spans="1:6" x14ac:dyDescent="0.25">
      <c r="A51" s="97"/>
      <c r="B51" s="97"/>
      <c r="C51" s="98"/>
      <c r="D51" s="98"/>
      <c r="E51" s="98"/>
      <c r="F51" s="99"/>
    </row>
    <row r="53" spans="1:6" ht="15.75" thickBot="1" x14ac:dyDescent="0.3">
      <c r="A53" s="77" t="s">
        <v>69</v>
      </c>
    </row>
    <row r="54" spans="1:6" x14ac:dyDescent="0.25">
      <c r="A54" s="511" t="s">
        <v>2</v>
      </c>
      <c r="B54" s="513" t="s">
        <v>3</v>
      </c>
      <c r="C54" s="79" t="s">
        <v>63</v>
      </c>
      <c r="D54" s="79" t="s">
        <v>64</v>
      </c>
      <c r="E54" s="79" t="s">
        <v>65</v>
      </c>
      <c r="F54" s="80" t="s">
        <v>62</v>
      </c>
    </row>
    <row r="55" spans="1:6" x14ac:dyDescent="0.25">
      <c r="A55" s="512"/>
      <c r="B55" s="499"/>
      <c r="C55" s="81" t="s">
        <v>1</v>
      </c>
      <c r="D55" s="81" t="s">
        <v>1</v>
      </c>
      <c r="E55" s="81" t="s">
        <v>29</v>
      </c>
      <c r="F55" s="82" t="s">
        <v>31</v>
      </c>
    </row>
    <row r="56" spans="1:6" ht="15.75" thickBot="1" x14ac:dyDescent="0.3">
      <c r="A56" s="83">
        <v>1</v>
      </c>
      <c r="B56" s="78">
        <v>2</v>
      </c>
      <c r="C56" s="78">
        <v>3</v>
      </c>
      <c r="D56" s="78">
        <v>4</v>
      </c>
      <c r="E56" s="78">
        <v>5</v>
      </c>
      <c r="F56" s="84">
        <v>6</v>
      </c>
    </row>
    <row r="57" spans="1:6" ht="15.75" thickTop="1" x14ac:dyDescent="0.25">
      <c r="A57" s="85">
        <v>1</v>
      </c>
      <c r="B57" s="7" t="s">
        <v>18</v>
      </c>
      <c r="C57" s="154">
        <f>kedelai!O9</f>
        <v>0</v>
      </c>
      <c r="D57" s="155">
        <f>kedelai!O42</f>
        <v>0</v>
      </c>
      <c r="E57" s="155">
        <f>kedelai!O75</f>
        <v>0</v>
      </c>
      <c r="F57" s="156">
        <f>kedelai!O108</f>
        <v>0</v>
      </c>
    </row>
    <row r="58" spans="1:6" x14ac:dyDescent="0.25">
      <c r="A58" s="86">
        <v>2</v>
      </c>
      <c r="B58" s="12" t="s">
        <v>19</v>
      </c>
      <c r="C58" s="90">
        <f>kedelai!O10</f>
        <v>20</v>
      </c>
      <c r="D58" s="147">
        <f>kedelai!O43</f>
        <v>31</v>
      </c>
      <c r="E58" s="147">
        <f>kedelai!O76</f>
        <v>26</v>
      </c>
      <c r="F58" s="148">
        <f>kedelai!O109</f>
        <v>8.387096774193548</v>
      </c>
    </row>
    <row r="59" spans="1:6" x14ac:dyDescent="0.25">
      <c r="A59" s="86">
        <v>3</v>
      </c>
      <c r="B59" s="7" t="s">
        <v>20</v>
      </c>
      <c r="C59" s="90">
        <f>kedelai!O11</f>
        <v>15</v>
      </c>
      <c r="D59" s="147">
        <f>kedelai!O44</f>
        <v>0</v>
      </c>
      <c r="E59" s="147">
        <f>kedelai!O77</f>
        <v>9</v>
      </c>
      <c r="F59" s="148">
        <f>kedelai!O110</f>
        <v>0</v>
      </c>
    </row>
    <row r="60" spans="1:6" x14ac:dyDescent="0.25">
      <c r="A60" s="87">
        <v>4</v>
      </c>
      <c r="B60" s="15" t="s">
        <v>21</v>
      </c>
      <c r="C60" s="90">
        <f>kedelai!O12</f>
        <v>0</v>
      </c>
      <c r="D60" s="147">
        <f>kedelai!O45</f>
        <v>0</v>
      </c>
      <c r="E60" s="147">
        <f>kedelai!O78</f>
        <v>0</v>
      </c>
      <c r="F60" s="148">
        <f>kedelai!O111</f>
        <v>0</v>
      </c>
    </row>
    <row r="61" spans="1:6" x14ac:dyDescent="0.25">
      <c r="A61" s="87">
        <v>5</v>
      </c>
      <c r="B61" s="19" t="s">
        <v>22</v>
      </c>
      <c r="C61" s="90">
        <f>kedelai!O13</f>
        <v>35</v>
      </c>
      <c r="D61" s="147">
        <f>kedelai!O46</f>
        <v>39</v>
      </c>
      <c r="E61" s="147">
        <f>kedelai!O79</f>
        <v>37</v>
      </c>
      <c r="F61" s="148">
        <f>kedelai!O112</f>
        <v>9.4871794871794872</v>
      </c>
    </row>
    <row r="62" spans="1:6" x14ac:dyDescent="0.25">
      <c r="A62" s="87">
        <v>6</v>
      </c>
      <c r="B62" s="19" t="s">
        <v>23</v>
      </c>
      <c r="C62" s="90">
        <f>kedelai!O14</f>
        <v>0</v>
      </c>
      <c r="D62" s="147">
        <f>kedelai!O47</f>
        <v>0</v>
      </c>
      <c r="E62" s="147">
        <f>kedelai!O80</f>
        <v>0</v>
      </c>
      <c r="F62" s="148">
        <f>kedelai!O113</f>
        <v>0</v>
      </c>
    </row>
    <row r="63" spans="1:6" x14ac:dyDescent="0.25">
      <c r="A63" s="87">
        <v>7</v>
      </c>
      <c r="B63" s="19" t="s">
        <v>24</v>
      </c>
      <c r="C63" s="90">
        <f>kedelai!O15</f>
        <v>0</v>
      </c>
      <c r="D63" s="147">
        <f>kedelai!O48</f>
        <v>0</v>
      </c>
      <c r="E63" s="147">
        <f>kedelai!O81</f>
        <v>0</v>
      </c>
      <c r="F63" s="148">
        <f>kedelai!O114</f>
        <v>0</v>
      </c>
    </row>
    <row r="64" spans="1:6" ht="15.75" thickBot="1" x14ac:dyDescent="0.3">
      <c r="A64" s="88">
        <v>8</v>
      </c>
      <c r="B64" s="15" t="s">
        <v>25</v>
      </c>
      <c r="C64" s="91">
        <f>kedelai!O16</f>
        <v>28</v>
      </c>
      <c r="D64" s="149">
        <f>kedelai!O49</f>
        <v>28</v>
      </c>
      <c r="E64" s="149">
        <f>kedelai!O82</f>
        <v>25</v>
      </c>
      <c r="F64" s="150">
        <f>kedelai!O115</f>
        <v>8.9285714285714288</v>
      </c>
    </row>
    <row r="65" spans="1:6" ht="16.5" thickTop="1" thickBot="1" x14ac:dyDescent="0.3">
      <c r="A65" s="509" t="s">
        <v>26</v>
      </c>
      <c r="B65" s="510"/>
      <c r="C65" s="92">
        <f>SUM(C57:C64)</f>
        <v>98</v>
      </c>
      <c r="D65" s="92">
        <f>SUM(D57:D64)</f>
        <v>98</v>
      </c>
      <c r="E65" s="92">
        <f>SUM(E57:E64)</f>
        <v>97</v>
      </c>
      <c r="F65" s="157">
        <f>kedelai!O116</f>
        <v>9.8979591836734695</v>
      </c>
    </row>
    <row r="67" spans="1:6" ht="15.75" thickBot="1" x14ac:dyDescent="0.3">
      <c r="A67" s="77" t="s">
        <v>70</v>
      </c>
    </row>
    <row r="68" spans="1:6" x14ac:dyDescent="0.25">
      <c r="A68" s="511" t="s">
        <v>2</v>
      </c>
      <c r="B68" s="513" t="s">
        <v>3</v>
      </c>
      <c r="C68" s="79" t="s">
        <v>63</v>
      </c>
      <c r="D68" s="79" t="s">
        <v>64</v>
      </c>
      <c r="E68" s="79" t="s">
        <v>65</v>
      </c>
      <c r="F68" s="80" t="s">
        <v>62</v>
      </c>
    </row>
    <row r="69" spans="1:6" x14ac:dyDescent="0.25">
      <c r="A69" s="512"/>
      <c r="B69" s="499"/>
      <c r="C69" s="81" t="s">
        <v>1</v>
      </c>
      <c r="D69" s="81" t="s">
        <v>1</v>
      </c>
      <c r="E69" s="81" t="s">
        <v>29</v>
      </c>
      <c r="F69" s="82" t="s">
        <v>31</v>
      </c>
    </row>
    <row r="70" spans="1:6" ht="15.75" thickBot="1" x14ac:dyDescent="0.3">
      <c r="A70" s="83">
        <v>1</v>
      </c>
      <c r="B70" s="78">
        <v>2</v>
      </c>
      <c r="C70" s="78">
        <v>3</v>
      </c>
      <c r="D70" s="78">
        <v>4</v>
      </c>
      <c r="E70" s="78">
        <v>5</v>
      </c>
      <c r="F70" s="84">
        <v>6</v>
      </c>
    </row>
    <row r="71" spans="1:6" ht="15.75" thickTop="1" x14ac:dyDescent="0.25">
      <c r="A71" s="85">
        <v>1</v>
      </c>
      <c r="B71" s="7" t="s">
        <v>18</v>
      </c>
      <c r="C71" s="151">
        <f>'kc tanah'!O9</f>
        <v>322</v>
      </c>
      <c r="D71" s="152">
        <f>'kc tanah'!O42</f>
        <v>346</v>
      </c>
      <c r="E71" s="152">
        <f>'kc tanah'!O75</f>
        <v>266</v>
      </c>
      <c r="F71" s="153">
        <f>'kc tanah'!O108</f>
        <v>7.6878612716763008</v>
      </c>
    </row>
    <row r="72" spans="1:6" x14ac:dyDescent="0.25">
      <c r="A72" s="86">
        <v>2</v>
      </c>
      <c r="B72" s="12" t="s">
        <v>19</v>
      </c>
      <c r="C72" s="90">
        <f>'kc tanah'!O10</f>
        <v>311</v>
      </c>
      <c r="D72" s="147">
        <f>'kc tanah'!O43</f>
        <v>186</v>
      </c>
      <c r="E72" s="147">
        <f>'kc tanah'!O76</f>
        <v>170</v>
      </c>
      <c r="F72" s="148">
        <f>'kc tanah'!O109</f>
        <v>9.1397849462365581</v>
      </c>
    </row>
    <row r="73" spans="1:6" x14ac:dyDescent="0.25">
      <c r="A73" s="86">
        <v>3</v>
      </c>
      <c r="B73" s="7" t="s">
        <v>20</v>
      </c>
      <c r="C73" s="90">
        <f>'kc tanah'!O11</f>
        <v>605</v>
      </c>
      <c r="D73" s="147">
        <f>'kc tanah'!O44</f>
        <v>575</v>
      </c>
      <c r="E73" s="147">
        <f>'kc tanah'!O77</f>
        <v>471</v>
      </c>
      <c r="F73" s="148">
        <f>'kc tanah'!O110</f>
        <v>8.1913043478260867</v>
      </c>
    </row>
    <row r="74" spans="1:6" x14ac:dyDescent="0.25">
      <c r="A74" s="87">
        <v>4</v>
      </c>
      <c r="B74" s="15" t="s">
        <v>21</v>
      </c>
      <c r="C74" s="90">
        <f>'kc tanah'!O12</f>
        <v>96</v>
      </c>
      <c r="D74" s="147">
        <f>'kc tanah'!O45</f>
        <v>221</v>
      </c>
      <c r="E74" s="147">
        <f>'kc tanah'!O78</f>
        <v>235</v>
      </c>
      <c r="F74" s="148">
        <f>'kc tanah'!O111</f>
        <v>10.633484162895927</v>
      </c>
    </row>
    <row r="75" spans="1:6" x14ac:dyDescent="0.25">
      <c r="A75" s="87">
        <v>5</v>
      </c>
      <c r="B75" s="19" t="s">
        <v>22</v>
      </c>
      <c r="C75" s="90">
        <f>'kc tanah'!O13</f>
        <v>489</v>
      </c>
      <c r="D75" s="147">
        <f>'kc tanah'!O46</f>
        <v>313</v>
      </c>
      <c r="E75" s="147">
        <f>'kc tanah'!O79</f>
        <v>449</v>
      </c>
      <c r="F75" s="148">
        <f>'kc tanah'!O112</f>
        <v>14.345047923322685</v>
      </c>
    </row>
    <row r="76" spans="1:6" x14ac:dyDescent="0.25">
      <c r="A76" s="87">
        <v>6</v>
      </c>
      <c r="B76" s="19" t="s">
        <v>23</v>
      </c>
      <c r="C76" s="90">
        <f>'kc tanah'!O14</f>
        <v>100</v>
      </c>
      <c r="D76" s="147">
        <f>'kc tanah'!O47</f>
        <v>150</v>
      </c>
      <c r="E76" s="147">
        <f>'kc tanah'!O80</f>
        <v>162</v>
      </c>
      <c r="F76" s="148">
        <f>'kc tanah'!O113</f>
        <v>10.8</v>
      </c>
    </row>
    <row r="77" spans="1:6" x14ac:dyDescent="0.25">
      <c r="A77" s="87">
        <v>7</v>
      </c>
      <c r="B77" s="19" t="s">
        <v>24</v>
      </c>
      <c r="C77" s="90">
        <f>'kc tanah'!O15</f>
        <v>2</v>
      </c>
      <c r="D77" s="147">
        <f>'kc tanah'!O48</f>
        <v>2</v>
      </c>
      <c r="E77" s="147">
        <f>'kc tanah'!O81</f>
        <v>2</v>
      </c>
      <c r="F77" s="148">
        <f>'kc tanah'!O114</f>
        <v>10</v>
      </c>
    </row>
    <row r="78" spans="1:6" ht="15.75" thickBot="1" x14ac:dyDescent="0.3">
      <c r="A78" s="88">
        <v>8</v>
      </c>
      <c r="B78" s="15" t="s">
        <v>25</v>
      </c>
      <c r="C78" s="91">
        <f>'kc tanah'!O16</f>
        <v>835</v>
      </c>
      <c r="D78" s="149">
        <f>'kc tanah'!O49</f>
        <v>1037</v>
      </c>
      <c r="E78" s="149">
        <f>'kc tanah'!O82</f>
        <v>1415</v>
      </c>
      <c r="F78" s="150">
        <f>'kc tanah'!O115</f>
        <v>13.645130183220829</v>
      </c>
    </row>
    <row r="79" spans="1:6" ht="16.5" thickTop="1" thickBot="1" x14ac:dyDescent="0.3">
      <c r="A79" s="509" t="s">
        <v>26</v>
      </c>
      <c r="B79" s="510"/>
      <c r="C79" s="92">
        <f>SUM(C71:C78)</f>
        <v>2760</v>
      </c>
      <c r="D79" s="92">
        <f>SUM(D71:D78)</f>
        <v>2830</v>
      </c>
      <c r="E79" s="92">
        <f>SUM(E71:E78)</f>
        <v>3170</v>
      </c>
      <c r="F79" s="95">
        <f>E79/D79*10</f>
        <v>11.201413427561837</v>
      </c>
    </row>
    <row r="81" spans="1:6" ht="15.75" thickBot="1" x14ac:dyDescent="0.3">
      <c r="A81" s="77" t="s">
        <v>71</v>
      </c>
    </row>
    <row r="82" spans="1:6" x14ac:dyDescent="0.25">
      <c r="A82" s="511" t="s">
        <v>2</v>
      </c>
      <c r="B82" s="513" t="s">
        <v>3</v>
      </c>
      <c r="C82" s="79" t="s">
        <v>63</v>
      </c>
      <c r="D82" s="79" t="s">
        <v>64</v>
      </c>
      <c r="E82" s="79" t="s">
        <v>65</v>
      </c>
      <c r="F82" s="80" t="s">
        <v>62</v>
      </c>
    </row>
    <row r="83" spans="1:6" x14ac:dyDescent="0.25">
      <c r="A83" s="512"/>
      <c r="B83" s="499"/>
      <c r="C83" s="81" t="s">
        <v>1</v>
      </c>
      <c r="D83" s="81" t="s">
        <v>1</v>
      </c>
      <c r="E83" s="81" t="s">
        <v>29</v>
      </c>
      <c r="F83" s="82" t="s">
        <v>31</v>
      </c>
    </row>
    <row r="84" spans="1:6" ht="15.75" thickBot="1" x14ac:dyDescent="0.3">
      <c r="A84" s="83">
        <v>1</v>
      </c>
      <c r="B84" s="78">
        <v>2</v>
      </c>
      <c r="C84" s="78">
        <v>3</v>
      </c>
      <c r="D84" s="78">
        <v>4</v>
      </c>
      <c r="E84" s="78">
        <v>5</v>
      </c>
      <c r="F84" s="84">
        <v>6</v>
      </c>
    </row>
    <row r="85" spans="1:6" ht="15.75" thickTop="1" x14ac:dyDescent="0.25">
      <c r="A85" s="85">
        <v>1</v>
      </c>
      <c r="B85" s="7" t="s">
        <v>18</v>
      </c>
      <c r="C85" s="151">
        <f>'ubi kayu'!O9</f>
        <v>18</v>
      </c>
      <c r="D85" s="152">
        <f>'ubi kayu'!O41</f>
        <v>13</v>
      </c>
      <c r="E85" s="152">
        <f>'ubi kayu'!O75</f>
        <v>126</v>
      </c>
      <c r="F85" s="153">
        <f>'ubi kayu'!O103</f>
        <v>96.92307692307692</v>
      </c>
    </row>
    <row r="86" spans="1:6" x14ac:dyDescent="0.25">
      <c r="A86" s="86">
        <v>2</v>
      </c>
      <c r="B86" s="12" t="s">
        <v>19</v>
      </c>
      <c r="C86" s="90">
        <f>'ubi kayu'!O10</f>
        <v>5</v>
      </c>
      <c r="D86" s="147">
        <f>'ubi kayu'!O42</f>
        <v>2</v>
      </c>
      <c r="E86" s="147">
        <f>'ubi kayu'!O76</f>
        <v>22</v>
      </c>
      <c r="F86" s="148">
        <f>'ubi kayu'!O104</f>
        <v>0</v>
      </c>
    </row>
    <row r="87" spans="1:6" x14ac:dyDescent="0.25">
      <c r="A87" s="86">
        <v>3</v>
      </c>
      <c r="B87" s="7" t="s">
        <v>20</v>
      </c>
      <c r="C87" s="90">
        <f>'ubi kayu'!O11</f>
        <v>9</v>
      </c>
      <c r="D87" s="147">
        <f>'ubi kayu'!O43</f>
        <v>8</v>
      </c>
      <c r="E87" s="147">
        <f>'ubi kayu'!O77</f>
        <v>128</v>
      </c>
      <c r="F87" s="148">
        <f>'ubi kayu'!O105</f>
        <v>0</v>
      </c>
    </row>
    <row r="88" spans="1:6" x14ac:dyDescent="0.25">
      <c r="A88" s="87">
        <v>4</v>
      </c>
      <c r="B88" s="15" t="s">
        <v>21</v>
      </c>
      <c r="C88" s="90">
        <f>'ubi kayu'!O12</f>
        <v>7</v>
      </c>
      <c r="D88" s="147">
        <f>'ubi kayu'!O44</f>
        <v>6</v>
      </c>
      <c r="E88" s="147">
        <f>'ubi kayu'!O78</f>
        <v>94</v>
      </c>
      <c r="F88" s="148">
        <f>'ubi kayu'!O106</f>
        <v>156.66666666666666</v>
      </c>
    </row>
    <row r="89" spans="1:6" x14ac:dyDescent="0.25">
      <c r="A89" s="87">
        <v>5</v>
      </c>
      <c r="B89" s="19" t="s">
        <v>22</v>
      </c>
      <c r="C89" s="90">
        <f>'ubi kayu'!O13</f>
        <v>1</v>
      </c>
      <c r="D89" s="147">
        <f>'ubi kayu'!O45</f>
        <v>1</v>
      </c>
      <c r="E89" s="147">
        <f>'ubi kayu'!O79</f>
        <v>11</v>
      </c>
      <c r="F89" s="148">
        <f>'ubi kayu'!O107</f>
        <v>110</v>
      </c>
    </row>
    <row r="90" spans="1:6" x14ac:dyDescent="0.25">
      <c r="A90" s="87">
        <v>6</v>
      </c>
      <c r="B90" s="19" t="s">
        <v>23</v>
      </c>
      <c r="C90" s="90">
        <f>'ubi kayu'!O14</f>
        <v>11</v>
      </c>
      <c r="D90" s="147">
        <f>'ubi kayu'!O46</f>
        <v>8</v>
      </c>
      <c r="E90" s="147">
        <f>'ubi kayu'!O80</f>
        <v>134</v>
      </c>
      <c r="F90" s="148">
        <f>'ubi kayu'!O108</f>
        <v>167.5</v>
      </c>
    </row>
    <row r="91" spans="1:6" x14ac:dyDescent="0.25">
      <c r="A91" s="87">
        <v>7</v>
      </c>
      <c r="B91" s="19" t="s">
        <v>24</v>
      </c>
      <c r="C91" s="90">
        <f>'ubi kayu'!O15</f>
        <v>0</v>
      </c>
      <c r="D91" s="147">
        <f>'ubi kayu'!O47</f>
        <v>0</v>
      </c>
      <c r="E91" s="147">
        <f>'ubi kayu'!O81</f>
        <v>0</v>
      </c>
      <c r="F91" s="148">
        <f>'ubi kayu'!O109</f>
        <v>0</v>
      </c>
    </row>
    <row r="92" spans="1:6" ht="15.75" thickBot="1" x14ac:dyDescent="0.3">
      <c r="A92" s="88">
        <v>8</v>
      </c>
      <c r="B92" s="15" t="s">
        <v>25</v>
      </c>
      <c r="C92" s="91">
        <f>'ubi kayu'!O16</f>
        <v>16</v>
      </c>
      <c r="D92" s="149">
        <f>'ubi kayu'!O48</f>
        <v>18</v>
      </c>
      <c r="E92" s="149">
        <f>'ubi kayu'!O82</f>
        <v>188</v>
      </c>
      <c r="F92" s="150">
        <f>'ubi kayu'!O110</f>
        <v>0</v>
      </c>
    </row>
    <row r="93" spans="1:6" ht="16.5" thickTop="1" thickBot="1" x14ac:dyDescent="0.3">
      <c r="A93" s="509" t="s">
        <v>26</v>
      </c>
      <c r="B93" s="510"/>
      <c r="C93" s="92">
        <f>SUM(C85:C92)</f>
        <v>67</v>
      </c>
      <c r="D93" s="92">
        <f>SUM(D85:D92)</f>
        <v>56</v>
      </c>
      <c r="E93" s="92">
        <f>SUM(E85:E92)</f>
        <v>703</v>
      </c>
      <c r="F93" s="95">
        <f>E93/D93*10</f>
        <v>125.53571428571429</v>
      </c>
    </row>
    <row r="104" spans="1:6" ht="15.75" thickBot="1" x14ac:dyDescent="0.3">
      <c r="A104" s="77" t="s">
        <v>72</v>
      </c>
    </row>
    <row r="105" spans="1:6" x14ac:dyDescent="0.25">
      <c r="A105" s="511" t="s">
        <v>2</v>
      </c>
      <c r="B105" s="513" t="s">
        <v>3</v>
      </c>
      <c r="C105" s="79" t="s">
        <v>63</v>
      </c>
      <c r="D105" s="79" t="s">
        <v>64</v>
      </c>
      <c r="E105" s="79" t="s">
        <v>65</v>
      </c>
      <c r="F105" s="80" t="s">
        <v>62</v>
      </c>
    </row>
    <row r="106" spans="1:6" x14ac:dyDescent="0.25">
      <c r="A106" s="512"/>
      <c r="B106" s="499"/>
      <c r="C106" s="81" t="s">
        <v>1</v>
      </c>
      <c r="D106" s="81" t="s">
        <v>1</v>
      </c>
      <c r="E106" s="81" t="s">
        <v>29</v>
      </c>
      <c r="F106" s="82" t="s">
        <v>31</v>
      </c>
    </row>
    <row r="107" spans="1:6" ht="15.75" thickBot="1" x14ac:dyDescent="0.3">
      <c r="A107" s="83">
        <v>1</v>
      </c>
      <c r="B107" s="78">
        <v>2</v>
      </c>
      <c r="C107" s="78">
        <v>3</v>
      </c>
      <c r="D107" s="78">
        <v>4</v>
      </c>
      <c r="E107" s="78">
        <v>5</v>
      </c>
      <c r="F107" s="84">
        <v>6</v>
      </c>
    </row>
    <row r="108" spans="1:6" ht="15.75" thickTop="1" x14ac:dyDescent="0.25">
      <c r="A108" s="85">
        <v>1</v>
      </c>
      <c r="B108" s="7" t="s">
        <v>18</v>
      </c>
      <c r="C108" s="151">
        <f>'ubi jalar'!O9</f>
        <v>12</v>
      </c>
      <c r="D108" s="152">
        <f>'ubi jalar'!O42</f>
        <v>9</v>
      </c>
      <c r="E108" s="152">
        <f>'ubi jalar'!O75</f>
        <v>88</v>
      </c>
      <c r="F108" s="153">
        <f>'ubi jalar'!O108</f>
        <v>97.777777777777786</v>
      </c>
    </row>
    <row r="109" spans="1:6" x14ac:dyDescent="0.25">
      <c r="A109" s="86">
        <v>2</v>
      </c>
      <c r="B109" s="12" t="s">
        <v>19</v>
      </c>
      <c r="C109" s="90">
        <f>'ubi jalar'!O10</f>
        <v>6</v>
      </c>
      <c r="D109" s="147">
        <f>'ubi jalar'!O43</f>
        <v>4</v>
      </c>
      <c r="E109" s="147">
        <f>'ubi jalar'!O76</f>
        <v>39</v>
      </c>
      <c r="F109" s="148">
        <f>'ubi jalar'!O109</f>
        <v>0</v>
      </c>
    </row>
    <row r="110" spans="1:6" x14ac:dyDescent="0.25">
      <c r="A110" s="86">
        <v>3</v>
      </c>
      <c r="B110" s="7" t="s">
        <v>20</v>
      </c>
      <c r="C110" s="90">
        <f>'ubi jalar'!O11</f>
        <v>0</v>
      </c>
      <c r="D110" s="147">
        <f>'ubi jalar'!O44</f>
        <v>0</v>
      </c>
      <c r="E110" s="147">
        <f>'ubi jalar'!O77</f>
        <v>0</v>
      </c>
      <c r="F110" s="148">
        <f>'ubi jalar'!O110</f>
        <v>0</v>
      </c>
    </row>
    <row r="111" spans="1:6" x14ac:dyDescent="0.25">
      <c r="A111" s="87">
        <v>4</v>
      </c>
      <c r="B111" s="15" t="s">
        <v>21</v>
      </c>
      <c r="C111" s="90">
        <f>'ubi jalar'!O12</f>
        <v>7</v>
      </c>
      <c r="D111" s="147">
        <f>'ubi jalar'!O45</f>
        <v>6</v>
      </c>
      <c r="E111" s="147">
        <f>'ubi jalar'!O78</f>
        <v>77</v>
      </c>
      <c r="F111" s="148">
        <f>'ubi jalar'!O111</f>
        <v>128.33333333333334</v>
      </c>
    </row>
    <row r="112" spans="1:6" x14ac:dyDescent="0.25">
      <c r="A112" s="87">
        <v>5</v>
      </c>
      <c r="B112" s="19" t="s">
        <v>22</v>
      </c>
      <c r="C112" s="90">
        <f>'ubi jalar'!O13</f>
        <v>3</v>
      </c>
      <c r="D112" s="147">
        <f>'ubi jalar'!O46</f>
        <v>3</v>
      </c>
      <c r="E112" s="147">
        <f>'ubi jalar'!O79</f>
        <v>33</v>
      </c>
      <c r="F112" s="148">
        <f>'ubi jalar'!O112</f>
        <v>110</v>
      </c>
    </row>
    <row r="113" spans="1:6" x14ac:dyDescent="0.25">
      <c r="A113" s="87">
        <v>6</v>
      </c>
      <c r="B113" s="19" t="s">
        <v>23</v>
      </c>
      <c r="C113" s="90">
        <f>'ubi jalar'!O14</f>
        <v>0</v>
      </c>
      <c r="D113" s="147">
        <f>'ubi jalar'!O47</f>
        <v>0</v>
      </c>
      <c r="E113" s="147">
        <f>'ubi jalar'!O80</f>
        <v>0</v>
      </c>
      <c r="F113" s="148">
        <f>'ubi jalar'!O113</f>
        <v>0</v>
      </c>
    </row>
    <row r="114" spans="1:6" x14ac:dyDescent="0.25">
      <c r="A114" s="87">
        <v>7</v>
      </c>
      <c r="B114" s="19" t="s">
        <v>24</v>
      </c>
      <c r="C114" s="90">
        <f>'ubi jalar'!O15</f>
        <v>0</v>
      </c>
      <c r="D114" s="147">
        <f>'ubi jalar'!O48</f>
        <v>0</v>
      </c>
      <c r="E114" s="147">
        <f>'ubi jalar'!O81</f>
        <v>0</v>
      </c>
      <c r="F114" s="148">
        <f>'ubi jalar'!O114</f>
        <v>0</v>
      </c>
    </row>
    <row r="115" spans="1:6" ht="15.75" thickBot="1" x14ac:dyDescent="0.3">
      <c r="A115" s="88">
        <v>8</v>
      </c>
      <c r="B115" s="15" t="s">
        <v>25</v>
      </c>
      <c r="C115" s="91">
        <f>'ubi jalar'!O16</f>
        <v>4</v>
      </c>
      <c r="D115" s="149">
        <f>'ubi jalar'!O49</f>
        <v>5</v>
      </c>
      <c r="E115" s="149">
        <f>'ubi jalar'!O82</f>
        <v>35</v>
      </c>
      <c r="F115" s="150">
        <f>'ubi jalar'!O115</f>
        <v>70</v>
      </c>
    </row>
    <row r="116" spans="1:6" ht="16.5" thickTop="1" thickBot="1" x14ac:dyDescent="0.3">
      <c r="A116" s="509" t="s">
        <v>26</v>
      </c>
      <c r="B116" s="510"/>
      <c r="C116" s="92">
        <f>SUM(C108:C115)</f>
        <v>32</v>
      </c>
      <c r="D116" s="92">
        <f>SUM(D108:D115)</f>
        <v>27</v>
      </c>
      <c r="E116" s="92">
        <f>SUM(E108:E115)</f>
        <v>272</v>
      </c>
      <c r="F116" s="95">
        <f>E116/D116*10</f>
        <v>100.74074074074075</v>
      </c>
    </row>
    <row r="118" spans="1:6" ht="15.75" thickBot="1" x14ac:dyDescent="0.3">
      <c r="A118" s="77" t="s">
        <v>73</v>
      </c>
    </row>
    <row r="119" spans="1:6" x14ac:dyDescent="0.25">
      <c r="A119" s="511" t="s">
        <v>2</v>
      </c>
      <c r="B119" s="513" t="s">
        <v>3</v>
      </c>
      <c r="C119" s="79" t="s">
        <v>63</v>
      </c>
      <c r="D119" s="79" t="s">
        <v>64</v>
      </c>
      <c r="E119" s="79" t="s">
        <v>65</v>
      </c>
      <c r="F119" s="80" t="s">
        <v>62</v>
      </c>
    </row>
    <row r="120" spans="1:6" x14ac:dyDescent="0.25">
      <c r="A120" s="512"/>
      <c r="B120" s="499"/>
      <c r="C120" s="81" t="s">
        <v>1</v>
      </c>
      <c r="D120" s="81" t="s">
        <v>1</v>
      </c>
      <c r="E120" s="81" t="s">
        <v>29</v>
      </c>
      <c r="F120" s="82" t="s">
        <v>31</v>
      </c>
    </row>
    <row r="121" spans="1:6" ht="15.75" thickBot="1" x14ac:dyDescent="0.3">
      <c r="A121" s="83">
        <v>1</v>
      </c>
      <c r="B121" s="78">
        <v>2</v>
      </c>
      <c r="C121" s="78">
        <v>3</v>
      </c>
      <c r="D121" s="78">
        <v>4</v>
      </c>
      <c r="E121" s="78">
        <v>5</v>
      </c>
      <c r="F121" s="84">
        <v>6</v>
      </c>
    </row>
    <row r="122" spans="1:6" ht="15.75" thickTop="1" x14ac:dyDescent="0.25">
      <c r="A122" s="85">
        <v>1</v>
      </c>
      <c r="B122" s="7" t="s">
        <v>18</v>
      </c>
      <c r="C122" s="89">
        <f>'kc ijo'!O9</f>
        <v>5</v>
      </c>
      <c r="D122" s="96">
        <f>'kc ijo'!O42</f>
        <v>3</v>
      </c>
      <c r="E122" s="96">
        <f>'kc ijo'!O75</f>
        <v>2</v>
      </c>
      <c r="F122" s="146">
        <f>'kc ijo'!O108</f>
        <v>6.6666666666666661</v>
      </c>
    </row>
    <row r="123" spans="1:6" x14ac:dyDescent="0.25">
      <c r="A123" s="86">
        <v>2</v>
      </c>
      <c r="B123" s="12" t="s">
        <v>19</v>
      </c>
      <c r="C123" s="90">
        <f>'kc ijo'!O10</f>
        <v>2</v>
      </c>
      <c r="D123" s="147">
        <f>'kc ijo'!O43</f>
        <v>1</v>
      </c>
      <c r="E123" s="147">
        <f>'kc ijo'!O76</f>
        <v>1</v>
      </c>
      <c r="F123" s="148">
        <f>'kc ijo'!O109</f>
        <v>0</v>
      </c>
    </row>
    <row r="124" spans="1:6" x14ac:dyDescent="0.25">
      <c r="A124" s="86">
        <v>3</v>
      </c>
      <c r="B124" s="7" t="s">
        <v>20</v>
      </c>
      <c r="C124" s="90">
        <f>'kc ijo'!O11</f>
        <v>3</v>
      </c>
      <c r="D124" s="147">
        <f>'kc ijo'!O44</f>
        <v>3</v>
      </c>
      <c r="E124" s="147">
        <f>'kc ijo'!O77</f>
        <v>2.4</v>
      </c>
      <c r="F124" s="148">
        <f>'kc ijo'!O110</f>
        <v>7.9999999999999991</v>
      </c>
    </row>
    <row r="125" spans="1:6" x14ac:dyDescent="0.25">
      <c r="A125" s="87">
        <v>4</v>
      </c>
      <c r="B125" s="15" t="s">
        <v>21</v>
      </c>
      <c r="C125" s="90">
        <f>'kc ijo'!O12</f>
        <v>15</v>
      </c>
      <c r="D125" s="147">
        <f>'kc ijo'!O45</f>
        <v>13</v>
      </c>
      <c r="E125" s="147">
        <f>'kc ijo'!O78</f>
        <v>10</v>
      </c>
      <c r="F125" s="148">
        <f>'kc ijo'!O111</f>
        <v>7.6923076923076925</v>
      </c>
    </row>
    <row r="126" spans="1:6" x14ac:dyDescent="0.25">
      <c r="A126" s="87">
        <v>5</v>
      </c>
      <c r="B126" s="19" t="s">
        <v>22</v>
      </c>
      <c r="C126" s="90">
        <f>'kc ijo'!O13</f>
        <v>1</v>
      </c>
      <c r="D126" s="147">
        <f>'kc ijo'!O46</f>
        <v>1</v>
      </c>
      <c r="E126" s="147">
        <f>'kc ijo'!O79</f>
        <v>1</v>
      </c>
      <c r="F126" s="148">
        <f>'kc ijo'!O112</f>
        <v>10</v>
      </c>
    </row>
    <row r="127" spans="1:6" x14ac:dyDescent="0.25">
      <c r="A127" s="87">
        <v>6</v>
      </c>
      <c r="B127" s="19" t="s">
        <v>23</v>
      </c>
      <c r="C127" s="90">
        <f>'kc ijo'!O14</f>
        <v>0</v>
      </c>
      <c r="D127" s="147">
        <f>'kc ijo'!O47</f>
        <v>0</v>
      </c>
      <c r="E127" s="147">
        <f>'kc ijo'!O80</f>
        <v>0</v>
      </c>
      <c r="F127" s="148">
        <f>'kc ijo'!O113</f>
        <v>0</v>
      </c>
    </row>
    <row r="128" spans="1:6" x14ac:dyDescent="0.25">
      <c r="A128" s="87">
        <v>7</v>
      </c>
      <c r="B128" s="19" t="s">
        <v>24</v>
      </c>
      <c r="C128" s="90">
        <f>'kc ijo'!O15</f>
        <v>0</v>
      </c>
      <c r="D128" s="147">
        <f>'kc ijo'!O48</f>
        <v>0</v>
      </c>
      <c r="E128" s="147">
        <f>'kc ijo'!O81</f>
        <v>0</v>
      </c>
      <c r="F128" s="148">
        <f>'kc ijo'!O114</f>
        <v>0</v>
      </c>
    </row>
    <row r="129" spans="1:6" ht="15.75" thickBot="1" x14ac:dyDescent="0.3">
      <c r="A129" s="88">
        <v>8</v>
      </c>
      <c r="B129" s="15" t="s">
        <v>25</v>
      </c>
      <c r="C129" s="91">
        <f>'kc ijo'!O16</f>
        <v>1</v>
      </c>
      <c r="D129" s="149">
        <f>'kc ijo'!O49</f>
        <v>1</v>
      </c>
      <c r="E129" s="149">
        <f>'kc ijo'!O82</f>
        <v>0.3</v>
      </c>
      <c r="F129" s="150">
        <f>'kc ijo'!O115</f>
        <v>3</v>
      </c>
    </row>
    <row r="130" spans="1:6" ht="16.5" thickTop="1" thickBot="1" x14ac:dyDescent="0.3">
      <c r="A130" s="509" t="s">
        <v>26</v>
      </c>
      <c r="B130" s="510"/>
      <c r="C130" s="92">
        <f>SUM(C122:C129)</f>
        <v>27</v>
      </c>
      <c r="D130" s="92">
        <f>SUM(D122:D129)</f>
        <v>22</v>
      </c>
      <c r="E130" s="92">
        <f>SUM(E122:E129)</f>
        <v>16.7</v>
      </c>
      <c r="F130" s="95">
        <f>E130/D130*10</f>
        <v>7.5909090909090899</v>
      </c>
    </row>
  </sheetData>
  <mergeCells count="24">
    <mergeCell ref="A65:B65"/>
    <mergeCell ref="A5:A6"/>
    <mergeCell ref="B5:B6"/>
    <mergeCell ref="A16:B16"/>
    <mergeCell ref="A19:A20"/>
    <mergeCell ref="B19:B20"/>
    <mergeCell ref="A30:B30"/>
    <mergeCell ref="A33:A34"/>
    <mergeCell ref="B33:B34"/>
    <mergeCell ref="A44:B44"/>
    <mergeCell ref="A54:A55"/>
    <mergeCell ref="B54:B55"/>
    <mergeCell ref="A130:B130"/>
    <mergeCell ref="A68:A69"/>
    <mergeCell ref="B68:B69"/>
    <mergeCell ref="A79:B79"/>
    <mergeCell ref="A82:A83"/>
    <mergeCell ref="B82:B83"/>
    <mergeCell ref="A93:B93"/>
    <mergeCell ref="A105:A106"/>
    <mergeCell ref="B105:B106"/>
    <mergeCell ref="A116:B116"/>
    <mergeCell ref="A119:A120"/>
    <mergeCell ref="B119:B120"/>
  </mergeCells>
  <pageMargins left="1.04" right="0.51181102362204722" top="0.65" bottom="0.59055118110236227" header="0.31496062992125984" footer="0.31496062992125984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260"/>
  <sheetViews>
    <sheetView zoomScale="90" zoomScaleNormal="90" workbookViewId="0">
      <selection activeCell="A19" sqref="A19:Q19"/>
    </sheetView>
  </sheetViews>
  <sheetFormatPr defaultRowHeight="15" x14ac:dyDescent="0.25"/>
  <cols>
    <col min="1" max="1" width="4.28515625" customWidth="1"/>
    <col min="2" max="2" width="14.140625" customWidth="1"/>
    <col min="3" max="8" width="7.85546875" customWidth="1"/>
    <col min="9" max="9" width="8.5703125" customWidth="1"/>
    <col min="10" max="15" width="7.85546875" customWidth="1"/>
    <col min="16" max="17" width="8.5703125" customWidth="1"/>
  </cols>
  <sheetData>
    <row r="2" spans="1:23" ht="15.75" x14ac:dyDescent="0.25">
      <c r="A2" s="516" t="s">
        <v>89</v>
      </c>
      <c r="B2" s="516"/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</row>
    <row r="3" spans="1:23" ht="15.75" x14ac:dyDescent="0.25">
      <c r="A3" s="516" t="s">
        <v>82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  <c r="N3" s="516"/>
      <c r="O3" s="516"/>
      <c r="P3" s="516"/>
      <c r="Q3" s="516"/>
    </row>
    <row r="4" spans="1:23" ht="15.75" thickBot="1" x14ac:dyDescent="0.3">
      <c r="Q4" s="77" t="s">
        <v>1</v>
      </c>
    </row>
    <row r="5" spans="1:23" x14ac:dyDescent="0.25">
      <c r="A5" s="511" t="s">
        <v>2</v>
      </c>
      <c r="B5" s="513" t="s">
        <v>3</v>
      </c>
      <c r="C5" s="517" t="s">
        <v>114</v>
      </c>
      <c r="D5" s="518"/>
      <c r="E5" s="518"/>
      <c r="F5" s="518"/>
      <c r="G5" s="518"/>
      <c r="H5" s="518"/>
      <c r="I5" s="519" t="s">
        <v>84</v>
      </c>
      <c r="J5" s="518">
        <v>2016</v>
      </c>
      <c r="K5" s="518"/>
      <c r="L5" s="518"/>
      <c r="M5" s="518"/>
      <c r="N5" s="518"/>
      <c r="O5" s="518"/>
      <c r="P5" s="519" t="s">
        <v>85</v>
      </c>
      <c r="Q5" s="521" t="s">
        <v>5</v>
      </c>
    </row>
    <row r="6" spans="1:23" x14ac:dyDescent="0.25">
      <c r="A6" s="512"/>
      <c r="B6" s="499"/>
      <c r="C6" s="144" t="s">
        <v>15</v>
      </c>
      <c r="D6" s="144" t="s">
        <v>16</v>
      </c>
      <c r="E6" s="144" t="s">
        <v>17</v>
      </c>
      <c r="F6" s="144" t="s">
        <v>6</v>
      </c>
      <c r="G6" s="144" t="s">
        <v>77</v>
      </c>
      <c r="H6" s="122" t="s">
        <v>78</v>
      </c>
      <c r="I6" s="520"/>
      <c r="J6" s="112" t="s">
        <v>79</v>
      </c>
      <c r="K6" s="144" t="s">
        <v>10</v>
      </c>
      <c r="L6" s="144" t="s">
        <v>11</v>
      </c>
      <c r="M6" s="144" t="s">
        <v>12</v>
      </c>
      <c r="N6" s="144" t="s">
        <v>80</v>
      </c>
      <c r="O6" s="122" t="s">
        <v>81</v>
      </c>
      <c r="P6" s="520"/>
      <c r="Q6" s="522"/>
    </row>
    <row r="7" spans="1:23" ht="15.75" thickBot="1" x14ac:dyDescent="0.3">
      <c r="A7" s="114">
        <v>1</v>
      </c>
      <c r="B7" s="5">
        <v>2</v>
      </c>
      <c r="C7" s="5">
        <v>3</v>
      </c>
      <c r="D7" s="5">
        <v>4</v>
      </c>
      <c r="E7" s="5">
        <v>5</v>
      </c>
      <c r="F7" s="5">
        <v>6</v>
      </c>
      <c r="G7" s="5">
        <v>7</v>
      </c>
      <c r="H7" s="123">
        <v>8</v>
      </c>
      <c r="I7" s="125">
        <v>9</v>
      </c>
      <c r="J7" s="113">
        <v>10</v>
      </c>
      <c r="K7" s="5">
        <v>11</v>
      </c>
      <c r="L7" s="5">
        <v>12</v>
      </c>
      <c r="M7" s="5">
        <v>13</v>
      </c>
      <c r="N7" s="5">
        <v>14</v>
      </c>
      <c r="O7" s="123">
        <v>15</v>
      </c>
      <c r="P7" s="125">
        <v>16</v>
      </c>
      <c r="Q7" s="134">
        <v>17</v>
      </c>
    </row>
    <row r="8" spans="1:23" ht="15.75" thickTop="1" x14ac:dyDescent="0.25">
      <c r="A8" s="85">
        <v>1</v>
      </c>
      <c r="B8" s="7" t="s">
        <v>18</v>
      </c>
      <c r="C8" s="139">
        <v>0</v>
      </c>
      <c r="D8" s="139">
        <v>0</v>
      </c>
      <c r="E8" s="139">
        <v>0</v>
      </c>
      <c r="F8" s="139">
        <f>'padi sawah'!C9</f>
        <v>7</v>
      </c>
      <c r="G8" s="139">
        <f>'padi sawah'!D9</f>
        <v>248</v>
      </c>
      <c r="H8" s="139">
        <f>'padi sawah'!E9</f>
        <v>0</v>
      </c>
      <c r="I8" s="127">
        <f>SUM(C8:H8)</f>
        <v>255</v>
      </c>
      <c r="J8" s="139">
        <f>'padi sawah'!F9</f>
        <v>0</v>
      </c>
      <c r="K8" s="139">
        <f>'padi sawah'!G9</f>
        <v>3</v>
      </c>
      <c r="L8" s="139">
        <f>'padi sawah'!H9</f>
        <v>37</v>
      </c>
      <c r="M8" s="139">
        <f>'padi sawah'!I9</f>
        <v>27</v>
      </c>
      <c r="N8" s="139">
        <f>'padi sawah'!J9</f>
        <v>8</v>
      </c>
      <c r="O8" s="139">
        <f>'padi sawah'!K9</f>
        <v>0</v>
      </c>
      <c r="P8" s="127">
        <f>SUM(J8:O8)</f>
        <v>75</v>
      </c>
      <c r="Q8" s="130">
        <f>SUM(I8,P8)</f>
        <v>330</v>
      </c>
      <c r="S8" s="323">
        <v>0</v>
      </c>
      <c r="T8" s="106">
        <f>I8+S8</f>
        <v>255</v>
      </c>
    </row>
    <row r="9" spans="1:23" x14ac:dyDescent="0.25">
      <c r="A9" s="86">
        <v>2</v>
      </c>
      <c r="B9" s="12" t="s">
        <v>19</v>
      </c>
      <c r="C9" s="60">
        <v>4</v>
      </c>
      <c r="D9" s="60">
        <v>2</v>
      </c>
      <c r="E9" s="60">
        <v>29</v>
      </c>
      <c r="F9" s="60">
        <f>'padi sawah'!C10</f>
        <v>49</v>
      </c>
      <c r="G9" s="60">
        <f>'padi sawah'!D10</f>
        <v>128</v>
      </c>
      <c r="H9" s="161">
        <f>'padi sawah'!E10</f>
        <v>4</v>
      </c>
      <c r="I9" s="128">
        <f t="shared" ref="I9:I15" si="0">SUM(C9:H9)</f>
        <v>216</v>
      </c>
      <c r="J9" s="60">
        <f>'padi sawah'!F10</f>
        <v>5</v>
      </c>
      <c r="K9" s="60">
        <f>'padi sawah'!G10</f>
        <v>13</v>
      </c>
      <c r="L9" s="60">
        <f>'padi sawah'!H10</f>
        <v>38</v>
      </c>
      <c r="M9" s="60">
        <f>'padi sawah'!I10</f>
        <v>37</v>
      </c>
      <c r="N9" s="60">
        <f>'padi sawah'!J10</f>
        <v>31</v>
      </c>
      <c r="O9" s="161">
        <f>'padi sawah'!K10</f>
        <v>11</v>
      </c>
      <c r="P9" s="128">
        <f t="shared" ref="P9:P14" si="1">SUM(J9:O9)</f>
        <v>135</v>
      </c>
      <c r="Q9" s="131">
        <f t="shared" ref="Q9:Q15" si="2">SUM(I9,P9)</f>
        <v>351</v>
      </c>
      <c r="S9" s="323">
        <v>4</v>
      </c>
      <c r="T9" s="106">
        <f t="shared" ref="T9:T15" si="3">I9+S9</f>
        <v>220</v>
      </c>
    </row>
    <row r="10" spans="1:23" x14ac:dyDescent="0.25">
      <c r="A10" s="86">
        <v>3</v>
      </c>
      <c r="B10" s="7" t="s">
        <v>20</v>
      </c>
      <c r="C10" s="60">
        <v>0</v>
      </c>
      <c r="D10" s="60">
        <v>0</v>
      </c>
      <c r="E10" s="60">
        <v>0</v>
      </c>
      <c r="F10" s="60">
        <f>'padi sawah'!C11</f>
        <v>10</v>
      </c>
      <c r="G10" s="60">
        <f>'padi sawah'!D11</f>
        <v>15</v>
      </c>
      <c r="H10" s="161">
        <f>'padi sawah'!E11</f>
        <v>0</v>
      </c>
      <c r="I10" s="128">
        <f t="shared" si="0"/>
        <v>25</v>
      </c>
      <c r="J10" s="60">
        <f>'padi sawah'!F11</f>
        <v>0</v>
      </c>
      <c r="K10" s="60">
        <f>'padi sawah'!G11</f>
        <v>10</v>
      </c>
      <c r="L10" s="60">
        <f>'padi sawah'!H11</f>
        <v>5</v>
      </c>
      <c r="M10" s="60">
        <f>'padi sawah'!I11</f>
        <v>0</v>
      </c>
      <c r="N10" s="60">
        <f>'padi sawah'!J11</f>
        <v>0</v>
      </c>
      <c r="O10" s="161">
        <f>'padi sawah'!K11</f>
        <v>5</v>
      </c>
      <c r="P10" s="128">
        <f t="shared" si="1"/>
        <v>20</v>
      </c>
      <c r="Q10" s="131">
        <f t="shared" si="2"/>
        <v>45</v>
      </c>
      <c r="S10" s="323">
        <v>0</v>
      </c>
      <c r="T10" s="106">
        <f t="shared" si="3"/>
        <v>25</v>
      </c>
    </row>
    <row r="11" spans="1:23" x14ac:dyDescent="0.25">
      <c r="A11" s="87">
        <v>4</v>
      </c>
      <c r="B11" s="15" t="s">
        <v>21</v>
      </c>
      <c r="C11" s="60">
        <v>1</v>
      </c>
      <c r="D11" s="60">
        <v>2</v>
      </c>
      <c r="E11" s="60">
        <v>16</v>
      </c>
      <c r="F11" s="60">
        <f>'padi sawah'!C12</f>
        <v>182</v>
      </c>
      <c r="G11" s="60">
        <f>'padi sawah'!D12</f>
        <v>1</v>
      </c>
      <c r="H11" s="161">
        <f>'padi sawah'!E12</f>
        <v>1</v>
      </c>
      <c r="I11" s="128">
        <f t="shared" si="0"/>
        <v>203</v>
      </c>
      <c r="J11" s="60">
        <f>'padi sawah'!F12</f>
        <v>0</v>
      </c>
      <c r="K11" s="60">
        <f>'padi sawah'!G12</f>
        <v>21</v>
      </c>
      <c r="L11" s="60">
        <f>'padi sawah'!H12</f>
        <v>11</v>
      </c>
      <c r="M11" s="60">
        <f>'padi sawah'!I12</f>
        <v>2</v>
      </c>
      <c r="N11" s="60">
        <f>'padi sawah'!J12</f>
        <v>1</v>
      </c>
      <c r="O11" s="161">
        <f>'padi sawah'!K12</f>
        <v>5</v>
      </c>
      <c r="P11" s="128">
        <f t="shared" si="1"/>
        <v>40</v>
      </c>
      <c r="Q11" s="131">
        <f t="shared" si="2"/>
        <v>243</v>
      </c>
      <c r="S11" s="323">
        <v>1</v>
      </c>
      <c r="T11" s="106">
        <f t="shared" si="3"/>
        <v>204</v>
      </c>
    </row>
    <row r="12" spans="1:23" x14ac:dyDescent="0.25">
      <c r="A12" s="87">
        <v>5</v>
      </c>
      <c r="B12" s="19" t="s">
        <v>22</v>
      </c>
      <c r="C12" s="60">
        <v>0</v>
      </c>
      <c r="D12" s="60">
        <v>0</v>
      </c>
      <c r="E12" s="60">
        <v>0</v>
      </c>
      <c r="F12" s="60">
        <f>'padi sawah'!C13</f>
        <v>45</v>
      </c>
      <c r="G12" s="60">
        <f>'padi sawah'!D13</f>
        <v>119</v>
      </c>
      <c r="H12" s="161">
        <f>'padi sawah'!E13</f>
        <v>0</v>
      </c>
      <c r="I12" s="128">
        <f t="shared" si="0"/>
        <v>164</v>
      </c>
      <c r="J12" s="60">
        <f>'padi sawah'!F13</f>
        <v>0</v>
      </c>
      <c r="K12" s="60">
        <f>'padi sawah'!G13</f>
        <v>20</v>
      </c>
      <c r="L12" s="60">
        <f>'padi sawah'!H13</f>
        <v>0</v>
      </c>
      <c r="M12" s="60">
        <f>'padi sawah'!I13</f>
        <v>0</v>
      </c>
      <c r="N12" s="60">
        <f>'padi sawah'!J13</f>
        <v>0</v>
      </c>
      <c r="O12" s="161">
        <f>'padi sawah'!K13</f>
        <v>10</v>
      </c>
      <c r="P12" s="128">
        <f t="shared" si="1"/>
        <v>30</v>
      </c>
      <c r="Q12" s="131">
        <f t="shared" si="2"/>
        <v>194</v>
      </c>
      <c r="S12" s="323">
        <v>0</v>
      </c>
      <c r="T12" s="106">
        <f t="shared" si="3"/>
        <v>164</v>
      </c>
    </row>
    <row r="13" spans="1:23" x14ac:dyDescent="0.25">
      <c r="A13" s="87">
        <v>6</v>
      </c>
      <c r="B13" s="19" t="s">
        <v>23</v>
      </c>
      <c r="C13" s="60">
        <v>0</v>
      </c>
      <c r="D13" s="60">
        <v>5</v>
      </c>
      <c r="E13" s="60">
        <v>7</v>
      </c>
      <c r="F13" s="60">
        <f>'padi sawah'!C14</f>
        <v>29</v>
      </c>
      <c r="G13" s="60">
        <f>'padi sawah'!D14</f>
        <v>18</v>
      </c>
      <c r="H13" s="161">
        <f>'padi sawah'!E14</f>
        <v>0</v>
      </c>
      <c r="I13" s="128">
        <f t="shared" si="0"/>
        <v>59</v>
      </c>
      <c r="J13" s="60">
        <f>'padi sawah'!F14</f>
        <v>0</v>
      </c>
      <c r="K13" s="60">
        <f>'padi sawah'!G14</f>
        <v>10</v>
      </c>
      <c r="L13" s="60">
        <f>'padi sawah'!H14</f>
        <v>25</v>
      </c>
      <c r="M13" s="60">
        <f>'padi sawah'!I14</f>
        <v>6</v>
      </c>
      <c r="N13" s="60">
        <f>'padi sawah'!J14</f>
        <v>0</v>
      </c>
      <c r="O13" s="161">
        <f>'padi sawah'!K14</f>
        <v>0</v>
      </c>
      <c r="P13" s="128">
        <f t="shared" si="1"/>
        <v>41</v>
      </c>
      <c r="Q13" s="131">
        <f t="shared" si="2"/>
        <v>100</v>
      </c>
      <c r="S13" s="323">
        <v>0</v>
      </c>
      <c r="T13" s="106">
        <f t="shared" si="3"/>
        <v>59</v>
      </c>
    </row>
    <row r="14" spans="1:23" x14ac:dyDescent="0.25">
      <c r="A14" s="87">
        <v>7</v>
      </c>
      <c r="B14" s="19" t="s">
        <v>24</v>
      </c>
      <c r="C14" s="60">
        <v>0</v>
      </c>
      <c r="D14" s="60">
        <v>5</v>
      </c>
      <c r="E14" s="60">
        <v>179</v>
      </c>
      <c r="F14" s="60">
        <f>'padi sawah'!C15</f>
        <v>104</v>
      </c>
      <c r="G14" s="60">
        <f>'padi sawah'!D15</f>
        <v>59</v>
      </c>
      <c r="H14" s="161">
        <f>'padi sawah'!E15</f>
        <v>1</v>
      </c>
      <c r="I14" s="128">
        <f t="shared" si="0"/>
        <v>348</v>
      </c>
      <c r="J14" s="60">
        <f>'padi sawah'!F15</f>
        <v>1</v>
      </c>
      <c r="K14" s="60">
        <f>'padi sawah'!G15</f>
        <v>48</v>
      </c>
      <c r="L14" s="60">
        <f>'padi sawah'!H15</f>
        <v>189</v>
      </c>
      <c r="M14" s="60">
        <f>'padi sawah'!I15</f>
        <v>27</v>
      </c>
      <c r="N14" s="60">
        <f>'padi sawah'!J15</f>
        <v>3</v>
      </c>
      <c r="O14" s="161">
        <f>'padi sawah'!K15</f>
        <v>1</v>
      </c>
      <c r="P14" s="128">
        <f t="shared" si="1"/>
        <v>269</v>
      </c>
      <c r="Q14" s="131">
        <f t="shared" si="2"/>
        <v>617</v>
      </c>
      <c r="S14" s="323">
        <v>1.3</v>
      </c>
      <c r="T14" s="106">
        <f t="shared" si="3"/>
        <v>349.3</v>
      </c>
    </row>
    <row r="15" spans="1:23" ht="15.75" thickBot="1" x14ac:dyDescent="0.3">
      <c r="A15" s="88">
        <v>8</v>
      </c>
      <c r="B15" s="15" t="s">
        <v>25</v>
      </c>
      <c r="C15" s="145">
        <v>1</v>
      </c>
      <c r="D15" s="140">
        <v>1</v>
      </c>
      <c r="E15" s="60">
        <v>42</v>
      </c>
      <c r="F15" s="140">
        <f>'padi sawah'!C16</f>
        <v>64</v>
      </c>
      <c r="G15" s="140">
        <f>'padi sawah'!D16</f>
        <v>145</v>
      </c>
      <c r="H15" s="140">
        <f>'padi sawah'!E16</f>
        <v>6</v>
      </c>
      <c r="I15" s="129">
        <f t="shared" si="0"/>
        <v>259</v>
      </c>
      <c r="J15" s="140">
        <f>'padi sawah'!F16</f>
        <v>26</v>
      </c>
      <c r="K15" s="140">
        <f>'padi sawah'!G16</f>
        <v>66</v>
      </c>
      <c r="L15" s="140">
        <f>'padi sawah'!H16</f>
        <v>101</v>
      </c>
      <c r="M15" s="140">
        <f>'padi sawah'!I16</f>
        <v>0</v>
      </c>
      <c r="N15" s="140">
        <f>'padi sawah'!J16</f>
        <v>48</v>
      </c>
      <c r="O15" s="140">
        <f>'padi sawah'!K16</f>
        <v>27</v>
      </c>
      <c r="P15" s="129">
        <f>SUM(J15:O15)</f>
        <v>268</v>
      </c>
      <c r="Q15" s="132">
        <f t="shared" si="2"/>
        <v>527</v>
      </c>
      <c r="S15" s="323">
        <v>6</v>
      </c>
      <c r="T15" s="106">
        <f t="shared" si="3"/>
        <v>265</v>
      </c>
      <c r="V15">
        <v>737.7</v>
      </c>
    </row>
    <row r="16" spans="1:23" ht="16.5" thickTop="1" thickBot="1" x14ac:dyDescent="0.3">
      <c r="A16" s="514" t="s">
        <v>26</v>
      </c>
      <c r="B16" s="515"/>
      <c r="C16" s="115">
        <f t="shared" ref="C16:H16" si="4">SUM(C8:C15)</f>
        <v>6</v>
      </c>
      <c r="D16" s="115">
        <f t="shared" si="4"/>
        <v>15</v>
      </c>
      <c r="E16" s="115">
        <f t="shared" si="4"/>
        <v>273</v>
      </c>
      <c r="F16" s="115">
        <f t="shared" si="4"/>
        <v>490</v>
      </c>
      <c r="G16" s="115">
        <f t="shared" si="4"/>
        <v>733</v>
      </c>
      <c r="H16" s="124">
        <f t="shared" si="4"/>
        <v>12</v>
      </c>
      <c r="I16" s="126">
        <f>SUM(I8:I15)</f>
        <v>1529</v>
      </c>
      <c r="J16" s="136">
        <f t="shared" ref="J16:O16" si="5">SUM(J8:J15)</f>
        <v>32</v>
      </c>
      <c r="K16" s="115">
        <f t="shared" si="5"/>
        <v>191</v>
      </c>
      <c r="L16" s="115">
        <f t="shared" si="5"/>
        <v>406</v>
      </c>
      <c r="M16" s="115">
        <f t="shared" si="5"/>
        <v>99</v>
      </c>
      <c r="N16" s="115">
        <f t="shared" si="5"/>
        <v>91</v>
      </c>
      <c r="O16" s="124">
        <f t="shared" si="5"/>
        <v>59</v>
      </c>
      <c r="P16" s="126">
        <f>SUM(P8:P15)</f>
        <v>878</v>
      </c>
      <c r="Q16" s="133">
        <f>SUM(Q8:Q15)</f>
        <v>2407</v>
      </c>
      <c r="S16" s="323">
        <f>SUM(S8:S15)</f>
        <v>12.3</v>
      </c>
      <c r="T16" s="106">
        <f>SUM(T8:T15)</f>
        <v>1541.3</v>
      </c>
      <c r="U16">
        <v>1695</v>
      </c>
      <c r="V16" s="106">
        <f>U16-T16</f>
        <v>153.70000000000005</v>
      </c>
      <c r="W16" s="106">
        <f>SUM(F16:H16,J16:O16)</f>
        <v>2113</v>
      </c>
    </row>
    <row r="17" spans="1:22" x14ac:dyDescent="0.25">
      <c r="V17" s="106">
        <f>V15+V16</f>
        <v>891.40000000000009</v>
      </c>
    </row>
    <row r="18" spans="1:22" ht="15.75" x14ac:dyDescent="0.25">
      <c r="A18" s="516" t="s">
        <v>95</v>
      </c>
      <c r="B18" s="516"/>
      <c r="C18" s="516"/>
      <c r="D18" s="516"/>
      <c r="E18" s="516"/>
      <c r="F18" s="516"/>
      <c r="G18" s="516"/>
      <c r="H18" s="516"/>
      <c r="I18" s="516"/>
      <c r="J18" s="516"/>
      <c r="K18" s="516"/>
      <c r="L18" s="516"/>
      <c r="M18" s="516"/>
      <c r="N18" s="516"/>
      <c r="O18" s="516"/>
      <c r="P18" s="516"/>
      <c r="Q18" s="516"/>
    </row>
    <row r="19" spans="1:22" ht="15.75" x14ac:dyDescent="0.25">
      <c r="A19" s="516" t="s">
        <v>82</v>
      </c>
      <c r="B19" s="516"/>
      <c r="C19" s="516"/>
      <c r="D19" s="516"/>
      <c r="E19" s="516"/>
      <c r="F19" s="516"/>
      <c r="G19" s="516"/>
      <c r="H19" s="516"/>
      <c r="I19" s="516"/>
      <c r="J19" s="516"/>
      <c r="K19" s="516"/>
      <c r="L19" s="516"/>
      <c r="M19" s="516"/>
      <c r="N19" s="516"/>
      <c r="O19" s="516"/>
      <c r="P19" s="516"/>
      <c r="Q19" s="516"/>
    </row>
    <row r="20" spans="1:22" ht="15.75" thickBot="1" x14ac:dyDescent="0.3">
      <c r="Q20" s="77" t="s">
        <v>1</v>
      </c>
    </row>
    <row r="21" spans="1:22" x14ac:dyDescent="0.25">
      <c r="A21" s="511" t="s">
        <v>2</v>
      </c>
      <c r="B21" s="513" t="s">
        <v>3</v>
      </c>
      <c r="C21" s="517" t="s">
        <v>114</v>
      </c>
      <c r="D21" s="518"/>
      <c r="E21" s="518"/>
      <c r="F21" s="518"/>
      <c r="G21" s="518"/>
      <c r="H21" s="518"/>
      <c r="I21" s="519" t="s">
        <v>84</v>
      </c>
      <c r="J21" s="518">
        <v>2016</v>
      </c>
      <c r="K21" s="518"/>
      <c r="L21" s="518"/>
      <c r="M21" s="518"/>
      <c r="N21" s="518"/>
      <c r="O21" s="518"/>
      <c r="P21" s="519" t="s">
        <v>85</v>
      </c>
      <c r="Q21" s="521" t="s">
        <v>5</v>
      </c>
    </row>
    <row r="22" spans="1:22" x14ac:dyDescent="0.25">
      <c r="A22" s="512"/>
      <c r="B22" s="499"/>
      <c r="C22" s="166" t="s">
        <v>15</v>
      </c>
      <c r="D22" s="166" t="s">
        <v>16</v>
      </c>
      <c r="E22" s="166" t="s">
        <v>17</v>
      </c>
      <c r="F22" s="166" t="s">
        <v>6</v>
      </c>
      <c r="G22" s="166" t="s">
        <v>77</v>
      </c>
      <c r="H22" s="122" t="s">
        <v>78</v>
      </c>
      <c r="I22" s="520"/>
      <c r="J22" s="112" t="s">
        <v>79</v>
      </c>
      <c r="K22" s="166" t="s">
        <v>10</v>
      </c>
      <c r="L22" s="166" t="s">
        <v>11</v>
      </c>
      <c r="M22" s="166" t="s">
        <v>12</v>
      </c>
      <c r="N22" s="166" t="s">
        <v>80</v>
      </c>
      <c r="O22" s="122" t="s">
        <v>81</v>
      </c>
      <c r="P22" s="520"/>
      <c r="Q22" s="522"/>
    </row>
    <row r="23" spans="1:22" ht="15.75" thickBot="1" x14ac:dyDescent="0.3">
      <c r="A23" s="114">
        <v>1</v>
      </c>
      <c r="B23" s="5">
        <v>2</v>
      </c>
      <c r="C23" s="5">
        <v>3</v>
      </c>
      <c r="D23" s="5">
        <v>4</v>
      </c>
      <c r="E23" s="5">
        <v>5</v>
      </c>
      <c r="F23" s="5">
        <v>6</v>
      </c>
      <c r="G23" s="5">
        <v>7</v>
      </c>
      <c r="H23" s="123">
        <v>8</v>
      </c>
      <c r="I23" s="125">
        <v>9</v>
      </c>
      <c r="J23" s="113">
        <v>10</v>
      </c>
      <c r="K23" s="5">
        <v>11</v>
      </c>
      <c r="L23" s="5">
        <v>12</v>
      </c>
      <c r="M23" s="5">
        <v>13</v>
      </c>
      <c r="N23" s="5">
        <v>14</v>
      </c>
      <c r="O23" s="123">
        <v>15</v>
      </c>
      <c r="P23" s="125">
        <v>16</v>
      </c>
      <c r="Q23" s="134">
        <v>17</v>
      </c>
    </row>
    <row r="24" spans="1:22" ht="15.75" thickTop="1" x14ac:dyDescent="0.25">
      <c r="A24" s="85">
        <v>1</v>
      </c>
      <c r="B24" s="7" t="s">
        <v>18</v>
      </c>
      <c r="C24" s="139">
        <v>0</v>
      </c>
      <c r="D24" s="139">
        <v>0</v>
      </c>
      <c r="E24" s="139">
        <v>0</v>
      </c>
      <c r="F24" s="139">
        <f>'padi ladang'!C9</f>
        <v>0</v>
      </c>
      <c r="G24" s="139">
        <f>'padi ladang'!D9</f>
        <v>0</v>
      </c>
      <c r="H24" s="139">
        <f>'padi ladang'!E9</f>
        <v>0</v>
      </c>
      <c r="I24" s="127">
        <f>SUM(C24:H24)</f>
        <v>0</v>
      </c>
      <c r="J24" s="162">
        <f>'padi ladang'!F9</f>
        <v>0</v>
      </c>
      <c r="K24" s="162">
        <f>'padi ladang'!G9</f>
        <v>0</v>
      </c>
      <c r="L24" s="162">
        <f>'padi ladang'!H9</f>
        <v>0</v>
      </c>
      <c r="M24" s="162">
        <f>'padi ladang'!I9</f>
        <v>0</v>
      </c>
      <c r="N24" s="162">
        <f>'padi ladang'!J9</f>
        <v>0</v>
      </c>
      <c r="O24" s="162">
        <f>'padi ladang'!K9</f>
        <v>0</v>
      </c>
      <c r="P24" s="127">
        <f>SUM(J24:O24)</f>
        <v>0</v>
      </c>
      <c r="Q24" s="130">
        <f>SUM(I24,P24)</f>
        <v>0</v>
      </c>
    </row>
    <row r="25" spans="1:22" x14ac:dyDescent="0.25">
      <c r="A25" s="86">
        <v>2</v>
      </c>
      <c r="B25" s="12" t="s">
        <v>19</v>
      </c>
      <c r="C25" s="60">
        <v>0</v>
      </c>
      <c r="D25" s="60">
        <v>0</v>
      </c>
      <c r="E25" s="60">
        <v>0</v>
      </c>
      <c r="F25" s="60">
        <f>'padi ladang'!C10</f>
        <v>0</v>
      </c>
      <c r="G25" s="60">
        <f>'padi ladang'!D10</f>
        <v>0</v>
      </c>
      <c r="H25" s="60">
        <f>'padi ladang'!E10</f>
        <v>0</v>
      </c>
      <c r="I25" s="128">
        <f t="shared" ref="I25:I31" si="6">SUM(C25:H25)</f>
        <v>0</v>
      </c>
      <c r="J25" s="135">
        <f>'padi ladang'!F10</f>
        <v>0</v>
      </c>
      <c r="K25" s="135">
        <f>'padi ladang'!G10</f>
        <v>0</v>
      </c>
      <c r="L25" s="135">
        <f>'padi ladang'!H10</f>
        <v>0</v>
      </c>
      <c r="M25" s="135">
        <f>'padi ladang'!I10</f>
        <v>0</v>
      </c>
      <c r="N25" s="135">
        <f>'padi ladang'!J10</f>
        <v>0</v>
      </c>
      <c r="O25" s="164">
        <f>'padi ladang'!K10</f>
        <v>0</v>
      </c>
      <c r="P25" s="128">
        <f t="shared" ref="P25:P30" si="7">SUM(J25:O25)</f>
        <v>0</v>
      </c>
      <c r="Q25" s="131">
        <f t="shared" ref="Q25:Q31" si="8">SUM(I25,P25)</f>
        <v>0</v>
      </c>
    </row>
    <row r="26" spans="1:22" x14ac:dyDescent="0.25">
      <c r="A26" s="86">
        <v>3</v>
      </c>
      <c r="B26" s="7" t="s">
        <v>20</v>
      </c>
      <c r="C26" s="60">
        <v>0</v>
      </c>
      <c r="D26" s="60">
        <v>0</v>
      </c>
      <c r="E26" s="60">
        <v>5</v>
      </c>
      <c r="F26" s="60">
        <f>'padi ladang'!C11</f>
        <v>10</v>
      </c>
      <c r="G26" s="60">
        <f>'padi ladang'!D11</f>
        <v>0</v>
      </c>
      <c r="H26" s="60">
        <f>'padi ladang'!E11</f>
        <v>0</v>
      </c>
      <c r="I26" s="128">
        <f t="shared" si="6"/>
        <v>15</v>
      </c>
      <c r="J26" s="135">
        <f>'padi ladang'!F11</f>
        <v>0</v>
      </c>
      <c r="K26" s="135">
        <f>'padi ladang'!G11</f>
        <v>0</v>
      </c>
      <c r="L26" s="135">
        <f>'padi ladang'!H11</f>
        <v>0</v>
      </c>
      <c r="M26" s="135">
        <f>'padi ladang'!I11</f>
        <v>0</v>
      </c>
      <c r="N26" s="135">
        <f>'padi ladang'!J11</f>
        <v>0</v>
      </c>
      <c r="O26" s="164">
        <f>'padi ladang'!K11</f>
        <v>35</v>
      </c>
      <c r="P26" s="128">
        <f t="shared" si="7"/>
        <v>35</v>
      </c>
      <c r="Q26" s="131">
        <f t="shared" si="8"/>
        <v>50</v>
      </c>
    </row>
    <row r="27" spans="1:22" x14ac:dyDescent="0.25">
      <c r="A27" s="87">
        <v>4</v>
      </c>
      <c r="B27" s="15" t="s">
        <v>21</v>
      </c>
      <c r="C27" s="60">
        <v>0</v>
      </c>
      <c r="D27" s="60">
        <v>0</v>
      </c>
      <c r="E27" s="60">
        <v>0</v>
      </c>
      <c r="F27" s="60">
        <f>'padi ladang'!C12</f>
        <v>0</v>
      </c>
      <c r="G27" s="60">
        <f>'padi ladang'!D12</f>
        <v>0</v>
      </c>
      <c r="H27" s="60">
        <f>'padi ladang'!E12</f>
        <v>0</v>
      </c>
      <c r="I27" s="128">
        <f t="shared" si="6"/>
        <v>0</v>
      </c>
      <c r="J27" s="135">
        <f>'padi ladang'!F12</f>
        <v>0</v>
      </c>
      <c r="K27" s="135">
        <f>'padi ladang'!G12</f>
        <v>0</v>
      </c>
      <c r="L27" s="135">
        <f>'padi ladang'!H12</f>
        <v>0</v>
      </c>
      <c r="M27" s="135">
        <f>'padi ladang'!I12</f>
        <v>0</v>
      </c>
      <c r="N27" s="135">
        <f>'padi ladang'!J12</f>
        <v>0</v>
      </c>
      <c r="O27" s="164">
        <f>'padi ladang'!K12</f>
        <v>0</v>
      </c>
      <c r="P27" s="128">
        <f t="shared" si="7"/>
        <v>0</v>
      </c>
      <c r="Q27" s="131">
        <f t="shared" si="8"/>
        <v>0</v>
      </c>
    </row>
    <row r="28" spans="1:22" x14ac:dyDescent="0.25">
      <c r="A28" s="87">
        <v>5</v>
      </c>
      <c r="B28" s="19" t="s">
        <v>22</v>
      </c>
      <c r="C28" s="60">
        <v>0</v>
      </c>
      <c r="D28" s="60">
        <v>0</v>
      </c>
      <c r="E28" s="60">
        <v>0</v>
      </c>
      <c r="F28" s="60">
        <f>'padi ladang'!C13</f>
        <v>0</v>
      </c>
      <c r="G28" s="60">
        <f>'padi ladang'!D13</f>
        <v>0</v>
      </c>
      <c r="H28" s="60">
        <f>'padi ladang'!E13</f>
        <v>0</v>
      </c>
      <c r="I28" s="128">
        <f t="shared" si="6"/>
        <v>0</v>
      </c>
      <c r="J28" s="135">
        <f>'padi ladang'!F13</f>
        <v>0</v>
      </c>
      <c r="K28" s="135">
        <f>'padi ladang'!G13</f>
        <v>0</v>
      </c>
      <c r="L28" s="135">
        <f>'padi ladang'!H13</f>
        <v>0</v>
      </c>
      <c r="M28" s="135">
        <f>'padi ladang'!I13</f>
        <v>0</v>
      </c>
      <c r="N28" s="135">
        <f>'padi ladang'!J13</f>
        <v>0</v>
      </c>
      <c r="O28" s="164">
        <f>'padi ladang'!K13</f>
        <v>0</v>
      </c>
      <c r="P28" s="128">
        <f t="shared" si="7"/>
        <v>0</v>
      </c>
      <c r="Q28" s="131">
        <f t="shared" si="8"/>
        <v>0</v>
      </c>
    </row>
    <row r="29" spans="1:22" x14ac:dyDescent="0.25">
      <c r="A29" s="87">
        <v>6</v>
      </c>
      <c r="B29" s="19" t="s">
        <v>23</v>
      </c>
      <c r="C29" s="60">
        <v>0</v>
      </c>
      <c r="D29" s="60">
        <v>0</v>
      </c>
      <c r="E29" s="60">
        <v>0</v>
      </c>
      <c r="F29" s="60">
        <f>'padi ladang'!C14</f>
        <v>0</v>
      </c>
      <c r="G29" s="60">
        <f>'padi ladang'!D14</f>
        <v>0</v>
      </c>
      <c r="H29" s="60">
        <f>'padi ladang'!E14</f>
        <v>0</v>
      </c>
      <c r="I29" s="128">
        <f t="shared" si="6"/>
        <v>0</v>
      </c>
      <c r="J29" s="135">
        <f>'padi ladang'!F14</f>
        <v>0</v>
      </c>
      <c r="K29" s="135">
        <f>'padi ladang'!G14</f>
        <v>0</v>
      </c>
      <c r="L29" s="135">
        <f>'padi ladang'!H14</f>
        <v>0</v>
      </c>
      <c r="M29" s="135">
        <f>'padi ladang'!I14</f>
        <v>0</v>
      </c>
      <c r="N29" s="135">
        <f>'padi ladang'!J14</f>
        <v>0</v>
      </c>
      <c r="O29" s="164">
        <f>'padi ladang'!K14</f>
        <v>0</v>
      </c>
      <c r="P29" s="128">
        <f t="shared" si="7"/>
        <v>0</v>
      </c>
      <c r="Q29" s="131">
        <f t="shared" si="8"/>
        <v>0</v>
      </c>
    </row>
    <row r="30" spans="1:22" x14ac:dyDescent="0.25">
      <c r="A30" s="87">
        <v>7</v>
      </c>
      <c r="B30" s="19" t="s">
        <v>24</v>
      </c>
      <c r="C30" s="60">
        <v>0</v>
      </c>
      <c r="D30" s="60">
        <v>0</v>
      </c>
      <c r="E30" s="60">
        <v>0</v>
      </c>
      <c r="F30" s="60">
        <f>'padi ladang'!C15</f>
        <v>0</v>
      </c>
      <c r="G30" s="60">
        <f>'padi ladang'!D15</f>
        <v>0</v>
      </c>
      <c r="H30" s="60">
        <f>'padi ladang'!E15</f>
        <v>0</v>
      </c>
      <c r="I30" s="128">
        <f t="shared" si="6"/>
        <v>0</v>
      </c>
      <c r="J30" s="135">
        <f>'padi ladang'!F15</f>
        <v>0</v>
      </c>
      <c r="K30" s="135">
        <f>'padi ladang'!G15</f>
        <v>0</v>
      </c>
      <c r="L30" s="135">
        <f>'padi ladang'!H15</f>
        <v>0</v>
      </c>
      <c r="M30" s="135">
        <f>'padi ladang'!I15</f>
        <v>0</v>
      </c>
      <c r="N30" s="135">
        <f>'padi ladang'!J15</f>
        <v>0</v>
      </c>
      <c r="O30" s="164">
        <f>'padi ladang'!K15</f>
        <v>0</v>
      </c>
      <c r="P30" s="128">
        <f t="shared" si="7"/>
        <v>0</v>
      </c>
      <c r="Q30" s="131">
        <f t="shared" si="8"/>
        <v>0</v>
      </c>
    </row>
    <row r="31" spans="1:22" ht="15.75" thickBot="1" x14ac:dyDescent="0.3">
      <c r="A31" s="88">
        <v>8</v>
      </c>
      <c r="B31" s="15" t="s">
        <v>25</v>
      </c>
      <c r="C31" s="140">
        <v>0</v>
      </c>
      <c r="D31" s="140">
        <v>0</v>
      </c>
      <c r="E31" s="140">
        <v>0</v>
      </c>
      <c r="F31" s="145">
        <f>'padi ladang'!C16</f>
        <v>0</v>
      </c>
      <c r="G31" s="140">
        <f>'padi ladang'!D16</f>
        <v>0</v>
      </c>
      <c r="H31" s="140">
        <f>'padi ladang'!E16</f>
        <v>0</v>
      </c>
      <c r="I31" s="129">
        <f t="shared" si="6"/>
        <v>0</v>
      </c>
      <c r="J31" s="163">
        <f>'padi ladang'!F16</f>
        <v>0</v>
      </c>
      <c r="K31" s="163">
        <f>'padi ladang'!G16</f>
        <v>0</v>
      </c>
      <c r="L31" s="163">
        <f>'padi ladang'!H16</f>
        <v>0</v>
      </c>
      <c r="M31" s="163">
        <f>'padi ladang'!I16</f>
        <v>0</v>
      </c>
      <c r="N31" s="163">
        <f>'padi ladang'!J16</f>
        <v>0</v>
      </c>
      <c r="O31" s="163">
        <f>'padi ladang'!K16</f>
        <v>0</v>
      </c>
      <c r="P31" s="129">
        <f>SUM(J31:O31)</f>
        <v>0</v>
      </c>
      <c r="Q31" s="132">
        <f t="shared" si="8"/>
        <v>0</v>
      </c>
    </row>
    <row r="32" spans="1:22" ht="16.5" thickTop="1" thickBot="1" x14ac:dyDescent="0.3">
      <c r="A32" s="514" t="s">
        <v>26</v>
      </c>
      <c r="B32" s="515"/>
      <c r="C32" s="115">
        <f t="shared" ref="C32:H32" si="9">SUM(C24:C31)</f>
        <v>0</v>
      </c>
      <c r="D32" s="115">
        <f t="shared" si="9"/>
        <v>0</v>
      </c>
      <c r="E32" s="115">
        <f t="shared" si="9"/>
        <v>5</v>
      </c>
      <c r="F32" s="115">
        <f t="shared" si="9"/>
        <v>10</v>
      </c>
      <c r="G32" s="115">
        <f t="shared" si="9"/>
        <v>0</v>
      </c>
      <c r="H32" s="124">
        <f t="shared" si="9"/>
        <v>0</v>
      </c>
      <c r="I32" s="126">
        <f>SUM(I24:I31)</f>
        <v>15</v>
      </c>
      <c r="J32" s="136">
        <f t="shared" ref="J32:O32" si="10">SUM(J24:J31)</f>
        <v>0</v>
      </c>
      <c r="K32" s="115">
        <f t="shared" si="10"/>
        <v>0</v>
      </c>
      <c r="L32" s="115">
        <f t="shared" si="10"/>
        <v>0</v>
      </c>
      <c r="M32" s="115">
        <f t="shared" si="10"/>
        <v>0</v>
      </c>
      <c r="N32" s="115">
        <f t="shared" si="10"/>
        <v>0</v>
      </c>
      <c r="O32" s="124">
        <f t="shared" si="10"/>
        <v>35</v>
      </c>
      <c r="P32" s="126">
        <f>SUM(P24:P31)</f>
        <v>35</v>
      </c>
      <c r="Q32" s="133">
        <f>SUM(Q24:Q31)</f>
        <v>50</v>
      </c>
    </row>
    <row r="34" spans="1:17" ht="15.75" x14ac:dyDescent="0.25">
      <c r="A34" s="516" t="s">
        <v>97</v>
      </c>
      <c r="B34" s="516"/>
      <c r="C34" s="516"/>
      <c r="D34" s="516"/>
      <c r="E34" s="516"/>
      <c r="F34" s="516"/>
      <c r="G34" s="516"/>
      <c r="H34" s="516"/>
      <c r="I34" s="516"/>
      <c r="J34" s="516"/>
      <c r="K34" s="516"/>
      <c r="L34" s="516"/>
      <c r="M34" s="516"/>
      <c r="N34" s="516"/>
      <c r="O34" s="516"/>
      <c r="P34" s="516"/>
      <c r="Q34" s="516"/>
    </row>
    <row r="35" spans="1:17" ht="15.75" x14ac:dyDescent="0.25">
      <c r="A35" s="516" t="s">
        <v>82</v>
      </c>
      <c r="B35" s="516"/>
      <c r="C35" s="516"/>
      <c r="D35" s="516"/>
      <c r="E35" s="516"/>
      <c r="F35" s="516"/>
      <c r="G35" s="516"/>
      <c r="H35" s="516"/>
      <c r="I35" s="516"/>
      <c r="J35" s="516"/>
      <c r="K35" s="516"/>
      <c r="L35" s="516"/>
      <c r="M35" s="516"/>
      <c r="N35" s="516"/>
      <c r="O35" s="516"/>
      <c r="P35" s="516"/>
      <c r="Q35" s="516"/>
    </row>
    <row r="36" spans="1:17" ht="15.75" thickBot="1" x14ac:dyDescent="0.3">
      <c r="Q36" s="77" t="s">
        <v>1</v>
      </c>
    </row>
    <row r="37" spans="1:17" x14ac:dyDescent="0.25">
      <c r="A37" s="511" t="s">
        <v>2</v>
      </c>
      <c r="B37" s="513" t="s">
        <v>3</v>
      </c>
      <c r="C37" s="517" t="s">
        <v>114</v>
      </c>
      <c r="D37" s="518"/>
      <c r="E37" s="518"/>
      <c r="F37" s="518"/>
      <c r="G37" s="518"/>
      <c r="H37" s="518"/>
      <c r="I37" s="519" t="s">
        <v>84</v>
      </c>
      <c r="J37" s="518">
        <v>2016</v>
      </c>
      <c r="K37" s="518"/>
      <c r="L37" s="518"/>
      <c r="M37" s="518"/>
      <c r="N37" s="518"/>
      <c r="O37" s="518"/>
      <c r="P37" s="519" t="s">
        <v>85</v>
      </c>
      <c r="Q37" s="521" t="s">
        <v>5</v>
      </c>
    </row>
    <row r="38" spans="1:17" x14ac:dyDescent="0.25">
      <c r="A38" s="512"/>
      <c r="B38" s="499"/>
      <c r="C38" s="166" t="s">
        <v>15</v>
      </c>
      <c r="D38" s="166" t="s">
        <v>16</v>
      </c>
      <c r="E38" s="166" t="s">
        <v>17</v>
      </c>
      <c r="F38" s="166" t="s">
        <v>6</v>
      </c>
      <c r="G38" s="166" t="s">
        <v>77</v>
      </c>
      <c r="H38" s="122" t="s">
        <v>78</v>
      </c>
      <c r="I38" s="520"/>
      <c r="J38" s="112" t="s">
        <v>79</v>
      </c>
      <c r="K38" s="166" t="s">
        <v>10</v>
      </c>
      <c r="L38" s="166" t="s">
        <v>11</v>
      </c>
      <c r="M38" s="166" t="s">
        <v>12</v>
      </c>
      <c r="N38" s="166" t="s">
        <v>80</v>
      </c>
      <c r="O38" s="122" t="s">
        <v>81</v>
      </c>
      <c r="P38" s="520"/>
      <c r="Q38" s="522"/>
    </row>
    <row r="39" spans="1:17" ht="15.75" thickBot="1" x14ac:dyDescent="0.3">
      <c r="A39" s="114">
        <v>1</v>
      </c>
      <c r="B39" s="5">
        <v>2</v>
      </c>
      <c r="C39" s="5">
        <v>3</v>
      </c>
      <c r="D39" s="5">
        <v>4</v>
      </c>
      <c r="E39" s="5">
        <v>5</v>
      </c>
      <c r="F39" s="5">
        <v>6</v>
      </c>
      <c r="G39" s="5">
        <v>7</v>
      </c>
      <c r="H39" s="123">
        <v>8</v>
      </c>
      <c r="I39" s="125">
        <v>9</v>
      </c>
      <c r="J39" s="113">
        <v>10</v>
      </c>
      <c r="K39" s="5">
        <v>11</v>
      </c>
      <c r="L39" s="5">
        <v>12</v>
      </c>
      <c r="M39" s="5">
        <v>13</v>
      </c>
      <c r="N39" s="5">
        <v>14</v>
      </c>
      <c r="O39" s="123">
        <v>15</v>
      </c>
      <c r="P39" s="125">
        <v>16</v>
      </c>
      <c r="Q39" s="134">
        <v>17</v>
      </c>
    </row>
    <row r="40" spans="1:17" ht="15.75" thickTop="1" x14ac:dyDescent="0.25">
      <c r="A40" s="85">
        <v>1</v>
      </c>
      <c r="B40" s="7" t="s">
        <v>18</v>
      </c>
      <c r="C40" s="139">
        <v>0</v>
      </c>
      <c r="D40" s="139">
        <v>0</v>
      </c>
      <c r="E40" s="139">
        <v>0</v>
      </c>
      <c r="F40" s="139">
        <f>jagung!C9</f>
        <v>2</v>
      </c>
      <c r="G40" s="139">
        <f>jagung!D9</f>
        <v>5</v>
      </c>
      <c r="H40" s="139">
        <f>jagung!E9</f>
        <v>0</v>
      </c>
      <c r="I40" s="127">
        <f>SUM(C40:H40)</f>
        <v>7</v>
      </c>
      <c r="J40" s="162">
        <f>jagung!F9</f>
        <v>1</v>
      </c>
      <c r="K40" s="162">
        <f>jagung!G9</f>
        <v>0</v>
      </c>
      <c r="L40" s="162">
        <f>jagung!H9</f>
        <v>0</v>
      </c>
      <c r="M40" s="162">
        <f>jagung!I9</f>
        <v>0</v>
      </c>
      <c r="N40" s="162">
        <f>jagung!J9</f>
        <v>0</v>
      </c>
      <c r="O40" s="162">
        <f>jagung!K9</f>
        <v>1</v>
      </c>
      <c r="P40" s="127">
        <f>SUM(J40:O40)</f>
        <v>2</v>
      </c>
      <c r="Q40" s="130">
        <f>SUM(I40,P40)</f>
        <v>9</v>
      </c>
    </row>
    <row r="41" spans="1:17" x14ac:dyDescent="0.25">
      <c r="A41" s="86">
        <v>2</v>
      </c>
      <c r="B41" s="12" t="s">
        <v>19</v>
      </c>
      <c r="C41" s="60">
        <v>0</v>
      </c>
      <c r="D41" s="60">
        <v>0</v>
      </c>
      <c r="E41" s="60">
        <v>1</v>
      </c>
      <c r="F41" s="60">
        <f>jagung!C10</f>
        <v>0</v>
      </c>
      <c r="G41" s="60">
        <f>jagung!D10</f>
        <v>0</v>
      </c>
      <c r="H41" s="60">
        <f>jagung!E10</f>
        <v>0</v>
      </c>
      <c r="I41" s="128">
        <f t="shared" ref="I41:I47" si="11">SUM(C41:H41)</f>
        <v>1</v>
      </c>
      <c r="J41" s="135">
        <f>jagung!F10</f>
        <v>0</v>
      </c>
      <c r="K41" s="135">
        <f>jagung!G10</f>
        <v>1</v>
      </c>
      <c r="L41" s="135">
        <f>jagung!H10</f>
        <v>0</v>
      </c>
      <c r="M41" s="135">
        <f>jagung!I10</f>
        <v>1</v>
      </c>
      <c r="N41" s="135">
        <f>jagung!J10</f>
        <v>0</v>
      </c>
      <c r="O41" s="164">
        <f>jagung!K10</f>
        <v>0</v>
      </c>
      <c r="P41" s="128">
        <f t="shared" ref="P41:P46" si="12">SUM(J41:O41)</f>
        <v>2</v>
      </c>
      <c r="Q41" s="131">
        <f t="shared" ref="Q41:Q47" si="13">SUM(I41,P41)</f>
        <v>3</v>
      </c>
    </row>
    <row r="42" spans="1:17" x14ac:dyDescent="0.25">
      <c r="A42" s="86">
        <v>3</v>
      </c>
      <c r="B42" s="7" t="s">
        <v>20</v>
      </c>
      <c r="C42" s="60">
        <v>0</v>
      </c>
      <c r="D42" s="60">
        <v>2</v>
      </c>
      <c r="E42" s="60">
        <v>2</v>
      </c>
      <c r="F42" s="60">
        <f>jagung!C11</f>
        <v>1</v>
      </c>
      <c r="G42" s="60">
        <f>jagung!D11</f>
        <v>0</v>
      </c>
      <c r="H42" s="60">
        <f>jagung!E11</f>
        <v>0</v>
      </c>
      <c r="I42" s="128">
        <f t="shared" si="11"/>
        <v>5</v>
      </c>
      <c r="J42" s="135">
        <f>jagung!F11</f>
        <v>0</v>
      </c>
      <c r="K42" s="135">
        <f>jagung!G11</f>
        <v>3</v>
      </c>
      <c r="L42" s="135">
        <f>jagung!H11</f>
        <v>4</v>
      </c>
      <c r="M42" s="135">
        <f>jagung!I11</f>
        <v>0</v>
      </c>
      <c r="N42" s="135">
        <f>jagung!J11</f>
        <v>0</v>
      </c>
      <c r="O42" s="164">
        <f>jagung!K11</f>
        <v>1</v>
      </c>
      <c r="P42" s="128">
        <f t="shared" si="12"/>
        <v>8</v>
      </c>
      <c r="Q42" s="131">
        <f t="shared" si="13"/>
        <v>13</v>
      </c>
    </row>
    <row r="43" spans="1:17" x14ac:dyDescent="0.25">
      <c r="A43" s="87">
        <v>4</v>
      </c>
      <c r="B43" s="15" t="s">
        <v>21</v>
      </c>
      <c r="C43" s="60">
        <v>0</v>
      </c>
      <c r="D43" s="60">
        <v>0</v>
      </c>
      <c r="E43" s="60">
        <v>0</v>
      </c>
      <c r="F43" s="60">
        <f>jagung!C12</f>
        <v>1</v>
      </c>
      <c r="G43" s="60">
        <f>jagung!D12</f>
        <v>0</v>
      </c>
      <c r="H43" s="60">
        <f>jagung!E12</f>
        <v>0</v>
      </c>
      <c r="I43" s="128">
        <f t="shared" si="11"/>
        <v>1</v>
      </c>
      <c r="J43" s="135">
        <f>jagung!F12</f>
        <v>1</v>
      </c>
      <c r="K43" s="135">
        <f>jagung!G12</f>
        <v>1</v>
      </c>
      <c r="L43" s="135">
        <f>jagung!H12</f>
        <v>0</v>
      </c>
      <c r="M43" s="135">
        <f>jagung!I12</f>
        <v>1</v>
      </c>
      <c r="N43" s="135">
        <f>jagung!J12</f>
        <v>0</v>
      </c>
      <c r="O43" s="164">
        <f>jagung!K12</f>
        <v>1</v>
      </c>
      <c r="P43" s="128">
        <f t="shared" si="12"/>
        <v>4</v>
      </c>
      <c r="Q43" s="131">
        <f t="shared" si="13"/>
        <v>5</v>
      </c>
    </row>
    <row r="44" spans="1:17" x14ac:dyDescent="0.25">
      <c r="A44" s="87">
        <v>5</v>
      </c>
      <c r="B44" s="19" t="s">
        <v>22</v>
      </c>
      <c r="C44" s="60">
        <v>1</v>
      </c>
      <c r="D44" s="60">
        <v>0</v>
      </c>
      <c r="E44" s="60">
        <v>0</v>
      </c>
      <c r="F44" s="60">
        <f>jagung!C13</f>
        <v>0</v>
      </c>
      <c r="G44" s="60">
        <f>jagung!D13</f>
        <v>0</v>
      </c>
      <c r="H44" s="60">
        <f>jagung!E13</f>
        <v>1</v>
      </c>
      <c r="I44" s="128">
        <f t="shared" si="11"/>
        <v>2</v>
      </c>
      <c r="J44" s="135">
        <f>jagung!F13</f>
        <v>0</v>
      </c>
      <c r="K44" s="135">
        <f>jagung!G13</f>
        <v>0</v>
      </c>
      <c r="L44" s="135">
        <f>jagung!H13</f>
        <v>0</v>
      </c>
      <c r="M44" s="135">
        <f>jagung!I13</f>
        <v>3</v>
      </c>
      <c r="N44" s="135">
        <f>jagung!J13</f>
        <v>0</v>
      </c>
      <c r="O44" s="164">
        <f>jagung!K13</f>
        <v>1</v>
      </c>
      <c r="P44" s="128">
        <f t="shared" si="12"/>
        <v>4</v>
      </c>
      <c r="Q44" s="131">
        <f t="shared" si="13"/>
        <v>6</v>
      </c>
    </row>
    <row r="45" spans="1:17" x14ac:dyDescent="0.25">
      <c r="A45" s="87">
        <v>6</v>
      </c>
      <c r="B45" s="19" t="s">
        <v>23</v>
      </c>
      <c r="C45" s="60">
        <v>0</v>
      </c>
      <c r="D45" s="60">
        <v>0</v>
      </c>
      <c r="E45" s="60">
        <v>0</v>
      </c>
      <c r="F45" s="60">
        <f>jagung!C14</f>
        <v>0</v>
      </c>
      <c r="G45" s="60">
        <f>jagung!D14</f>
        <v>0</v>
      </c>
      <c r="H45" s="60">
        <f>jagung!E14</f>
        <v>0</v>
      </c>
      <c r="I45" s="128">
        <f t="shared" si="11"/>
        <v>0</v>
      </c>
      <c r="J45" s="135">
        <f>jagung!F14</f>
        <v>1</v>
      </c>
      <c r="K45" s="135">
        <f>jagung!G14</f>
        <v>0</v>
      </c>
      <c r="L45" s="135">
        <f>jagung!H14</f>
        <v>0</v>
      </c>
      <c r="M45" s="135">
        <f>jagung!I14</f>
        <v>0</v>
      </c>
      <c r="N45" s="135">
        <f>jagung!J14</f>
        <v>0</v>
      </c>
      <c r="O45" s="164">
        <f>jagung!K14</f>
        <v>2</v>
      </c>
      <c r="P45" s="128">
        <f t="shared" si="12"/>
        <v>3</v>
      </c>
      <c r="Q45" s="131">
        <f t="shared" si="13"/>
        <v>3</v>
      </c>
    </row>
    <row r="46" spans="1:17" x14ac:dyDescent="0.25">
      <c r="A46" s="87">
        <v>7</v>
      </c>
      <c r="B46" s="19" t="s">
        <v>24</v>
      </c>
      <c r="C46" s="60">
        <v>0</v>
      </c>
      <c r="D46" s="60">
        <v>0</v>
      </c>
      <c r="E46" s="60">
        <v>0</v>
      </c>
      <c r="F46" s="60">
        <f>jagung!C15</f>
        <v>0</v>
      </c>
      <c r="G46" s="60">
        <f>jagung!D15</f>
        <v>0</v>
      </c>
      <c r="H46" s="60">
        <f>jagung!E15</f>
        <v>0</v>
      </c>
      <c r="I46" s="128">
        <f t="shared" si="11"/>
        <v>0</v>
      </c>
      <c r="J46" s="342">
        <f>jagung!F15</f>
        <v>0.2</v>
      </c>
      <c r="K46" s="135">
        <f>jagung!G15</f>
        <v>0</v>
      </c>
      <c r="L46" s="135">
        <f>jagung!H15</f>
        <v>0</v>
      </c>
      <c r="M46" s="135">
        <f>jagung!I15</f>
        <v>0</v>
      </c>
      <c r="N46" s="135">
        <f>jagung!J15</f>
        <v>0.5</v>
      </c>
      <c r="O46" s="164">
        <f>jagung!K15</f>
        <v>0</v>
      </c>
      <c r="P46" s="128">
        <f t="shared" si="12"/>
        <v>0.7</v>
      </c>
      <c r="Q46" s="131">
        <f t="shared" si="13"/>
        <v>0.7</v>
      </c>
    </row>
    <row r="47" spans="1:17" ht="15.75" thickBot="1" x14ac:dyDescent="0.3">
      <c r="A47" s="88">
        <v>8</v>
      </c>
      <c r="B47" s="15" t="s">
        <v>25</v>
      </c>
      <c r="C47" s="140">
        <v>0</v>
      </c>
      <c r="D47" s="140">
        <v>0</v>
      </c>
      <c r="E47" s="140">
        <v>3</v>
      </c>
      <c r="F47" s="145">
        <f>jagung!C16</f>
        <v>0</v>
      </c>
      <c r="G47" s="140">
        <f>jagung!D16</f>
        <v>1</v>
      </c>
      <c r="H47" s="140">
        <f>jagung!E16</f>
        <v>0</v>
      </c>
      <c r="I47" s="129">
        <f t="shared" si="11"/>
        <v>4</v>
      </c>
      <c r="J47" s="163">
        <f>jagung!F16</f>
        <v>0</v>
      </c>
      <c r="K47" s="163">
        <f>jagung!G16</f>
        <v>1</v>
      </c>
      <c r="L47" s="163">
        <f>jagung!H16</f>
        <v>0</v>
      </c>
      <c r="M47" s="163">
        <f>jagung!I16</f>
        <v>0</v>
      </c>
      <c r="N47" s="163">
        <f>jagung!J16</f>
        <v>1</v>
      </c>
      <c r="O47" s="163">
        <f>jagung!K16</f>
        <v>0</v>
      </c>
      <c r="P47" s="129">
        <f>SUM(J47:O47)</f>
        <v>2</v>
      </c>
      <c r="Q47" s="132">
        <f t="shared" si="13"/>
        <v>6</v>
      </c>
    </row>
    <row r="48" spans="1:17" ht="16.5" thickTop="1" thickBot="1" x14ac:dyDescent="0.3">
      <c r="A48" s="514" t="s">
        <v>26</v>
      </c>
      <c r="B48" s="515"/>
      <c r="C48" s="115">
        <f t="shared" ref="C48:H48" si="14">SUM(C40:C47)</f>
        <v>1</v>
      </c>
      <c r="D48" s="115">
        <f t="shared" si="14"/>
        <v>2</v>
      </c>
      <c r="E48" s="115">
        <f t="shared" si="14"/>
        <v>6</v>
      </c>
      <c r="F48" s="115">
        <f t="shared" si="14"/>
        <v>4</v>
      </c>
      <c r="G48" s="115">
        <f t="shared" si="14"/>
        <v>6</v>
      </c>
      <c r="H48" s="124">
        <f t="shared" si="14"/>
        <v>1</v>
      </c>
      <c r="I48" s="126">
        <f>SUM(I40:I47)</f>
        <v>20</v>
      </c>
      <c r="J48" s="343">
        <f t="shared" ref="J48:O48" si="15">SUM(J40:J47)</f>
        <v>3.2</v>
      </c>
      <c r="K48" s="115">
        <f t="shared" si="15"/>
        <v>6</v>
      </c>
      <c r="L48" s="115">
        <f t="shared" si="15"/>
        <v>4</v>
      </c>
      <c r="M48" s="115">
        <f t="shared" si="15"/>
        <v>5</v>
      </c>
      <c r="N48" s="115">
        <f t="shared" si="15"/>
        <v>1.5</v>
      </c>
      <c r="O48" s="124">
        <f t="shared" si="15"/>
        <v>6</v>
      </c>
      <c r="P48" s="126">
        <f>SUM(P40:P47)</f>
        <v>25.7</v>
      </c>
      <c r="Q48" s="133">
        <f>SUM(Q40:Q47)</f>
        <v>45.7</v>
      </c>
    </row>
    <row r="50" spans="1:17" ht="15.75" x14ac:dyDescent="0.25">
      <c r="A50" s="516" t="s">
        <v>96</v>
      </c>
      <c r="B50" s="516"/>
      <c r="C50" s="516"/>
      <c r="D50" s="516"/>
      <c r="E50" s="516"/>
      <c r="F50" s="516"/>
      <c r="G50" s="516"/>
      <c r="H50" s="516"/>
      <c r="I50" s="516"/>
      <c r="J50" s="516"/>
      <c r="K50" s="516"/>
      <c r="L50" s="516"/>
      <c r="M50" s="516"/>
      <c r="N50" s="516"/>
      <c r="O50" s="516"/>
      <c r="P50" s="516"/>
      <c r="Q50" s="516"/>
    </row>
    <row r="51" spans="1:17" ht="15.75" x14ac:dyDescent="0.25">
      <c r="A51" s="516" t="s">
        <v>82</v>
      </c>
      <c r="B51" s="516"/>
      <c r="C51" s="516"/>
      <c r="D51" s="516"/>
      <c r="E51" s="516"/>
      <c r="F51" s="516"/>
      <c r="G51" s="516"/>
      <c r="H51" s="516"/>
      <c r="I51" s="516"/>
      <c r="J51" s="516"/>
      <c r="K51" s="516"/>
      <c r="L51" s="516"/>
      <c r="M51" s="516"/>
      <c r="N51" s="516"/>
      <c r="O51" s="516"/>
      <c r="P51" s="516"/>
      <c r="Q51" s="516"/>
    </row>
    <row r="52" spans="1:17" ht="15.75" thickBot="1" x14ac:dyDescent="0.3">
      <c r="Q52" s="77" t="s">
        <v>1</v>
      </c>
    </row>
    <row r="53" spans="1:17" x14ac:dyDescent="0.25">
      <c r="A53" s="511" t="s">
        <v>2</v>
      </c>
      <c r="B53" s="513" t="s">
        <v>3</v>
      </c>
      <c r="C53" s="517" t="s">
        <v>114</v>
      </c>
      <c r="D53" s="518"/>
      <c r="E53" s="518"/>
      <c r="F53" s="518"/>
      <c r="G53" s="518"/>
      <c r="H53" s="518"/>
      <c r="I53" s="519" t="s">
        <v>84</v>
      </c>
      <c r="J53" s="518">
        <v>2016</v>
      </c>
      <c r="K53" s="518"/>
      <c r="L53" s="518"/>
      <c r="M53" s="518"/>
      <c r="N53" s="518"/>
      <c r="O53" s="518"/>
      <c r="P53" s="519" t="s">
        <v>85</v>
      </c>
      <c r="Q53" s="521" t="s">
        <v>5</v>
      </c>
    </row>
    <row r="54" spans="1:17" x14ac:dyDescent="0.25">
      <c r="A54" s="512"/>
      <c r="B54" s="499"/>
      <c r="C54" s="166" t="s">
        <v>15</v>
      </c>
      <c r="D54" s="166" t="s">
        <v>16</v>
      </c>
      <c r="E54" s="166" t="s">
        <v>17</v>
      </c>
      <c r="F54" s="166" t="s">
        <v>6</v>
      </c>
      <c r="G54" s="166" t="s">
        <v>77</v>
      </c>
      <c r="H54" s="122" t="s">
        <v>78</v>
      </c>
      <c r="I54" s="520"/>
      <c r="J54" s="112" t="s">
        <v>79</v>
      </c>
      <c r="K54" s="166" t="s">
        <v>10</v>
      </c>
      <c r="L54" s="166" t="s">
        <v>11</v>
      </c>
      <c r="M54" s="166" t="s">
        <v>12</v>
      </c>
      <c r="N54" s="166" t="s">
        <v>80</v>
      </c>
      <c r="O54" s="122" t="s">
        <v>81</v>
      </c>
      <c r="P54" s="520"/>
      <c r="Q54" s="522"/>
    </row>
    <row r="55" spans="1:17" ht="15.75" thickBot="1" x14ac:dyDescent="0.3">
      <c r="A55" s="114">
        <v>1</v>
      </c>
      <c r="B55" s="5">
        <v>2</v>
      </c>
      <c r="C55" s="5">
        <v>3</v>
      </c>
      <c r="D55" s="5">
        <v>4</v>
      </c>
      <c r="E55" s="5">
        <v>5</v>
      </c>
      <c r="F55" s="5">
        <v>6</v>
      </c>
      <c r="G55" s="5">
        <v>7</v>
      </c>
      <c r="H55" s="123">
        <v>8</v>
      </c>
      <c r="I55" s="125">
        <v>9</v>
      </c>
      <c r="J55" s="113">
        <v>10</v>
      </c>
      <c r="K55" s="5">
        <v>11</v>
      </c>
      <c r="L55" s="5">
        <v>12</v>
      </c>
      <c r="M55" s="5">
        <v>13</v>
      </c>
      <c r="N55" s="5">
        <v>14</v>
      </c>
      <c r="O55" s="123">
        <v>15</v>
      </c>
      <c r="P55" s="125">
        <v>16</v>
      </c>
      <c r="Q55" s="134">
        <v>17</v>
      </c>
    </row>
    <row r="56" spans="1:17" ht="15.75" thickTop="1" x14ac:dyDescent="0.25">
      <c r="A56" s="85">
        <v>1</v>
      </c>
      <c r="B56" s="7" t="s">
        <v>18</v>
      </c>
      <c r="C56" s="139">
        <v>0</v>
      </c>
      <c r="D56" s="139">
        <v>0</v>
      </c>
      <c r="E56" s="139">
        <v>0</v>
      </c>
      <c r="F56" s="139">
        <f>kedelai!C9</f>
        <v>0</v>
      </c>
      <c r="G56" s="139">
        <f>kedelai!D9</f>
        <v>0</v>
      </c>
      <c r="H56" s="139">
        <f>kedelai!E9</f>
        <v>0</v>
      </c>
      <c r="I56" s="127">
        <f>SUM(C56:H56)</f>
        <v>0</v>
      </c>
      <c r="J56" s="162">
        <f>kedelai!F9</f>
        <v>0</v>
      </c>
      <c r="K56" s="162">
        <f>kedelai!G9</f>
        <v>0</v>
      </c>
      <c r="L56" s="162">
        <f>kedelai!H9</f>
        <v>0</v>
      </c>
      <c r="M56" s="162">
        <f>kedelai!I9</f>
        <v>0</v>
      </c>
      <c r="N56" s="162">
        <f>kedelai!J9</f>
        <v>0</v>
      </c>
      <c r="O56" s="162">
        <f>kedelai!K9</f>
        <v>0</v>
      </c>
      <c r="P56" s="127">
        <f>SUM(J56:O56)</f>
        <v>0</v>
      </c>
      <c r="Q56" s="130">
        <f>SUM(I56,P56)</f>
        <v>0</v>
      </c>
    </row>
    <row r="57" spans="1:17" x14ac:dyDescent="0.25">
      <c r="A57" s="86">
        <v>2</v>
      </c>
      <c r="B57" s="12" t="s">
        <v>19</v>
      </c>
      <c r="C57" s="60">
        <v>1</v>
      </c>
      <c r="D57" s="60">
        <v>5</v>
      </c>
      <c r="E57" s="60">
        <v>5</v>
      </c>
      <c r="F57" s="60">
        <f>kedelai!C10</f>
        <v>5</v>
      </c>
      <c r="G57" s="60">
        <f>kedelai!D10</f>
        <v>9</v>
      </c>
      <c r="H57" s="60">
        <f>kedelai!E10</f>
        <v>6</v>
      </c>
      <c r="I57" s="128">
        <f t="shared" ref="I57:I63" si="16">SUM(C57:H57)</f>
        <v>31</v>
      </c>
      <c r="J57" s="135">
        <f>kedelai!F10</f>
        <v>0</v>
      </c>
      <c r="K57" s="135">
        <f>kedelai!G10</f>
        <v>0</v>
      </c>
      <c r="L57" s="135">
        <f>kedelai!H10</f>
        <v>0</v>
      </c>
      <c r="M57" s="135">
        <f>kedelai!I10</f>
        <v>0</v>
      </c>
      <c r="N57" s="135">
        <f>kedelai!J10</f>
        <v>0</v>
      </c>
      <c r="O57" s="164">
        <f>kedelai!K10</f>
        <v>0</v>
      </c>
      <c r="P57" s="128">
        <f t="shared" ref="P57:P62" si="17">SUM(J57:O57)</f>
        <v>0</v>
      </c>
      <c r="Q57" s="131">
        <f t="shared" ref="Q57:Q63" si="18">SUM(I57,P57)</f>
        <v>31</v>
      </c>
    </row>
    <row r="58" spans="1:17" x14ac:dyDescent="0.25">
      <c r="A58" s="86">
        <v>3</v>
      </c>
      <c r="B58" s="7" t="s">
        <v>20</v>
      </c>
      <c r="C58" s="60">
        <v>0</v>
      </c>
      <c r="D58" s="60">
        <v>0</v>
      </c>
      <c r="E58" s="60">
        <v>25</v>
      </c>
      <c r="F58" s="60">
        <f>kedelai!C11</f>
        <v>15</v>
      </c>
      <c r="G58" s="60">
        <f>kedelai!D11</f>
        <v>0</v>
      </c>
      <c r="H58" s="60">
        <f>kedelai!E11</f>
        <v>0</v>
      </c>
      <c r="I58" s="128">
        <f t="shared" si="16"/>
        <v>40</v>
      </c>
      <c r="J58" s="135">
        <f>kedelai!F11</f>
        <v>0</v>
      </c>
      <c r="K58" s="135">
        <f>kedelai!G11</f>
        <v>0</v>
      </c>
      <c r="L58" s="135">
        <f>kedelai!H11</f>
        <v>0</v>
      </c>
      <c r="M58" s="135">
        <f>kedelai!I11</f>
        <v>0</v>
      </c>
      <c r="N58" s="135">
        <f>kedelai!J11</f>
        <v>0</v>
      </c>
      <c r="O58" s="164">
        <f>kedelai!K11</f>
        <v>0</v>
      </c>
      <c r="P58" s="128">
        <f t="shared" si="17"/>
        <v>0</v>
      </c>
      <c r="Q58" s="131">
        <f t="shared" si="18"/>
        <v>40</v>
      </c>
    </row>
    <row r="59" spans="1:17" x14ac:dyDescent="0.25">
      <c r="A59" s="87">
        <v>4</v>
      </c>
      <c r="B59" s="15" t="s">
        <v>21</v>
      </c>
      <c r="C59" s="60">
        <v>0</v>
      </c>
      <c r="D59" s="60">
        <v>0</v>
      </c>
      <c r="E59" s="60">
        <v>0</v>
      </c>
      <c r="F59" s="60">
        <f>kedelai!C12</f>
        <v>0</v>
      </c>
      <c r="G59" s="60">
        <f>kedelai!D12</f>
        <v>0</v>
      </c>
      <c r="H59" s="60">
        <f>kedelai!E12</f>
        <v>0</v>
      </c>
      <c r="I59" s="128">
        <f t="shared" si="16"/>
        <v>0</v>
      </c>
      <c r="J59" s="135">
        <f>kedelai!F12</f>
        <v>0</v>
      </c>
      <c r="K59" s="135">
        <f>kedelai!G12</f>
        <v>0</v>
      </c>
      <c r="L59" s="135">
        <f>kedelai!H12</f>
        <v>0</v>
      </c>
      <c r="M59" s="135">
        <f>kedelai!I12</f>
        <v>0</v>
      </c>
      <c r="N59" s="135">
        <f>kedelai!J12</f>
        <v>0</v>
      </c>
      <c r="O59" s="164">
        <f>kedelai!K12</f>
        <v>0</v>
      </c>
      <c r="P59" s="128">
        <f t="shared" si="17"/>
        <v>0</v>
      </c>
      <c r="Q59" s="131">
        <f t="shared" si="18"/>
        <v>0</v>
      </c>
    </row>
    <row r="60" spans="1:17" x14ac:dyDescent="0.25">
      <c r="A60" s="87">
        <v>5</v>
      </c>
      <c r="B60" s="19" t="s">
        <v>22</v>
      </c>
      <c r="C60" s="60">
        <v>2</v>
      </c>
      <c r="D60" s="60">
        <v>2</v>
      </c>
      <c r="E60" s="60">
        <v>4</v>
      </c>
      <c r="F60" s="60">
        <f>kedelai!C13</f>
        <v>0</v>
      </c>
      <c r="G60" s="60">
        <f>kedelai!D13</f>
        <v>10</v>
      </c>
      <c r="H60" s="60">
        <f>kedelai!E13</f>
        <v>25</v>
      </c>
      <c r="I60" s="128">
        <f t="shared" si="16"/>
        <v>43</v>
      </c>
      <c r="J60" s="135">
        <f>kedelai!F13</f>
        <v>0</v>
      </c>
      <c r="K60" s="135">
        <f>kedelai!G13</f>
        <v>0</v>
      </c>
      <c r="L60" s="135">
        <f>kedelai!H13</f>
        <v>0</v>
      </c>
      <c r="M60" s="135">
        <f>kedelai!I13</f>
        <v>0</v>
      </c>
      <c r="N60" s="135">
        <f>kedelai!J13</f>
        <v>0</v>
      </c>
      <c r="O60" s="164">
        <f>kedelai!K13</f>
        <v>0</v>
      </c>
      <c r="P60" s="128">
        <f t="shared" si="17"/>
        <v>0</v>
      </c>
      <c r="Q60" s="131">
        <f t="shared" si="18"/>
        <v>43</v>
      </c>
    </row>
    <row r="61" spans="1:17" x14ac:dyDescent="0.25">
      <c r="A61" s="87">
        <v>6</v>
      </c>
      <c r="B61" s="19" t="s">
        <v>23</v>
      </c>
      <c r="C61" s="60">
        <v>0</v>
      </c>
      <c r="D61" s="60">
        <v>0</v>
      </c>
      <c r="E61" s="60">
        <v>0</v>
      </c>
      <c r="F61" s="60">
        <f>kedelai!C14</f>
        <v>0</v>
      </c>
      <c r="G61" s="60">
        <f>kedelai!D14</f>
        <v>0</v>
      </c>
      <c r="H61" s="60">
        <f>kedelai!E14</f>
        <v>0</v>
      </c>
      <c r="I61" s="128">
        <f t="shared" si="16"/>
        <v>0</v>
      </c>
      <c r="J61" s="135">
        <f>kedelai!F14</f>
        <v>0</v>
      </c>
      <c r="K61" s="135">
        <f>kedelai!G14</f>
        <v>0</v>
      </c>
      <c r="L61" s="135">
        <f>kedelai!H14</f>
        <v>0</v>
      </c>
      <c r="M61" s="135">
        <f>kedelai!I14</f>
        <v>0</v>
      </c>
      <c r="N61" s="135">
        <f>kedelai!J14</f>
        <v>0</v>
      </c>
      <c r="O61" s="164">
        <f>kedelai!K14</f>
        <v>0</v>
      </c>
      <c r="P61" s="128">
        <f t="shared" si="17"/>
        <v>0</v>
      </c>
      <c r="Q61" s="131">
        <f t="shared" si="18"/>
        <v>0</v>
      </c>
    </row>
    <row r="62" spans="1:17" x14ac:dyDescent="0.25">
      <c r="A62" s="87">
        <v>7</v>
      </c>
      <c r="B62" s="19" t="s">
        <v>24</v>
      </c>
      <c r="C62" s="60">
        <v>0</v>
      </c>
      <c r="D62" s="60">
        <v>0</v>
      </c>
      <c r="E62" s="60">
        <v>0</v>
      </c>
      <c r="F62" s="60">
        <f>kedelai!C15</f>
        <v>0</v>
      </c>
      <c r="G62" s="60">
        <f>kedelai!D15</f>
        <v>0</v>
      </c>
      <c r="H62" s="60">
        <f>kedelai!E15</f>
        <v>0</v>
      </c>
      <c r="I62" s="128">
        <f t="shared" si="16"/>
        <v>0</v>
      </c>
      <c r="J62" s="135">
        <f>kedelai!F15</f>
        <v>0</v>
      </c>
      <c r="K62" s="135">
        <f>kedelai!G15</f>
        <v>0</v>
      </c>
      <c r="L62" s="135">
        <f>kedelai!H15</f>
        <v>0</v>
      </c>
      <c r="M62" s="135">
        <f>kedelai!I15</f>
        <v>0</v>
      </c>
      <c r="N62" s="135">
        <f>kedelai!J15</f>
        <v>0</v>
      </c>
      <c r="O62" s="164">
        <f>kedelai!K15</f>
        <v>0</v>
      </c>
      <c r="P62" s="128">
        <f t="shared" si="17"/>
        <v>0</v>
      </c>
      <c r="Q62" s="131">
        <f t="shared" si="18"/>
        <v>0</v>
      </c>
    </row>
    <row r="63" spans="1:17" ht="15.75" thickBot="1" x14ac:dyDescent="0.3">
      <c r="A63" s="88">
        <v>8</v>
      </c>
      <c r="B63" s="15" t="s">
        <v>25</v>
      </c>
      <c r="C63" s="140">
        <v>0</v>
      </c>
      <c r="D63" s="140">
        <v>0</v>
      </c>
      <c r="E63" s="140">
        <v>2</v>
      </c>
      <c r="F63" s="145">
        <f>kedelai!C16</f>
        <v>0</v>
      </c>
      <c r="G63" s="140">
        <f>kedelai!D16</f>
        <v>0</v>
      </c>
      <c r="H63" s="140">
        <f>kedelai!E16</f>
        <v>28</v>
      </c>
      <c r="I63" s="129">
        <f t="shared" si="16"/>
        <v>30</v>
      </c>
      <c r="J63" s="163">
        <f>kedelai!F16</f>
        <v>0</v>
      </c>
      <c r="K63" s="163">
        <f>kedelai!G16</f>
        <v>0</v>
      </c>
      <c r="L63" s="163">
        <f>kedelai!H16</f>
        <v>0</v>
      </c>
      <c r="M63" s="163">
        <f>kedelai!I16</f>
        <v>0</v>
      </c>
      <c r="N63" s="163">
        <f>kedelai!J16</f>
        <v>0</v>
      </c>
      <c r="O63" s="163">
        <f>kedelai!K16</f>
        <v>0</v>
      </c>
      <c r="P63" s="129">
        <f>SUM(J63:O63)</f>
        <v>0</v>
      </c>
      <c r="Q63" s="132">
        <f t="shared" si="18"/>
        <v>30</v>
      </c>
    </row>
    <row r="64" spans="1:17" ht="16.5" thickTop="1" thickBot="1" x14ac:dyDescent="0.3">
      <c r="A64" s="514" t="s">
        <v>26</v>
      </c>
      <c r="B64" s="515"/>
      <c r="C64" s="115">
        <f t="shared" ref="C64:H64" si="19">SUM(C56:C63)</f>
        <v>3</v>
      </c>
      <c r="D64" s="115">
        <f t="shared" si="19"/>
        <v>7</v>
      </c>
      <c r="E64" s="115">
        <f t="shared" si="19"/>
        <v>36</v>
      </c>
      <c r="F64" s="115">
        <f t="shared" si="19"/>
        <v>20</v>
      </c>
      <c r="G64" s="115">
        <f t="shared" si="19"/>
        <v>19</v>
      </c>
      <c r="H64" s="124">
        <f t="shared" si="19"/>
        <v>59</v>
      </c>
      <c r="I64" s="126">
        <f>SUM(I56:I63)</f>
        <v>144</v>
      </c>
      <c r="J64" s="136">
        <f t="shared" ref="J64:O64" si="20">SUM(J56:J63)</f>
        <v>0</v>
      </c>
      <c r="K64" s="115">
        <f t="shared" si="20"/>
        <v>0</v>
      </c>
      <c r="L64" s="115">
        <f t="shared" si="20"/>
        <v>0</v>
      </c>
      <c r="M64" s="115">
        <f t="shared" si="20"/>
        <v>0</v>
      </c>
      <c r="N64" s="115">
        <f t="shared" si="20"/>
        <v>0</v>
      </c>
      <c r="O64" s="124">
        <f t="shared" si="20"/>
        <v>0</v>
      </c>
      <c r="P64" s="126">
        <f>SUM(P56:P63)</f>
        <v>0</v>
      </c>
      <c r="Q64" s="133">
        <f>SUM(Q56:Q63)</f>
        <v>144</v>
      </c>
    </row>
    <row r="66" spans="1:17" ht="15.75" x14ac:dyDescent="0.25">
      <c r="A66" s="516" t="s">
        <v>98</v>
      </c>
      <c r="B66" s="516"/>
      <c r="C66" s="516"/>
      <c r="D66" s="516"/>
      <c r="E66" s="516"/>
      <c r="F66" s="516"/>
      <c r="G66" s="516"/>
      <c r="H66" s="516"/>
      <c r="I66" s="516"/>
      <c r="J66" s="516"/>
      <c r="K66" s="516"/>
      <c r="L66" s="516"/>
      <c r="M66" s="516"/>
      <c r="N66" s="516"/>
      <c r="O66" s="516"/>
      <c r="P66" s="516"/>
      <c r="Q66" s="516"/>
    </row>
    <row r="67" spans="1:17" ht="15.75" x14ac:dyDescent="0.25">
      <c r="A67" s="516" t="s">
        <v>82</v>
      </c>
      <c r="B67" s="516"/>
      <c r="C67" s="516"/>
      <c r="D67" s="516"/>
      <c r="E67" s="516"/>
      <c r="F67" s="516"/>
      <c r="G67" s="516"/>
      <c r="H67" s="516"/>
      <c r="I67" s="516"/>
      <c r="J67" s="516"/>
      <c r="K67" s="516"/>
      <c r="L67" s="516"/>
      <c r="M67" s="516"/>
      <c r="N67" s="516"/>
      <c r="O67" s="516"/>
      <c r="P67" s="516"/>
      <c r="Q67" s="516"/>
    </row>
    <row r="68" spans="1:17" ht="15.75" thickBot="1" x14ac:dyDescent="0.3">
      <c r="Q68" s="77" t="s">
        <v>1</v>
      </c>
    </row>
    <row r="69" spans="1:17" x14ac:dyDescent="0.25">
      <c r="A69" s="511" t="s">
        <v>2</v>
      </c>
      <c r="B69" s="513" t="s">
        <v>3</v>
      </c>
      <c r="C69" s="517" t="s">
        <v>114</v>
      </c>
      <c r="D69" s="518"/>
      <c r="E69" s="518"/>
      <c r="F69" s="518"/>
      <c r="G69" s="518"/>
      <c r="H69" s="518"/>
      <c r="I69" s="519" t="s">
        <v>84</v>
      </c>
      <c r="J69" s="518">
        <v>2016</v>
      </c>
      <c r="K69" s="518"/>
      <c r="L69" s="518"/>
      <c r="M69" s="518"/>
      <c r="N69" s="518"/>
      <c r="O69" s="518"/>
      <c r="P69" s="519" t="s">
        <v>85</v>
      </c>
      <c r="Q69" s="521" t="s">
        <v>5</v>
      </c>
    </row>
    <row r="70" spans="1:17" x14ac:dyDescent="0.25">
      <c r="A70" s="512"/>
      <c r="B70" s="499"/>
      <c r="C70" s="166" t="s">
        <v>15</v>
      </c>
      <c r="D70" s="166" t="s">
        <v>16</v>
      </c>
      <c r="E70" s="166" t="s">
        <v>17</v>
      </c>
      <c r="F70" s="166" t="s">
        <v>6</v>
      </c>
      <c r="G70" s="166" t="s">
        <v>77</v>
      </c>
      <c r="H70" s="122" t="s">
        <v>78</v>
      </c>
      <c r="I70" s="520"/>
      <c r="J70" s="112" t="s">
        <v>79</v>
      </c>
      <c r="K70" s="166" t="s">
        <v>10</v>
      </c>
      <c r="L70" s="166" t="s">
        <v>11</v>
      </c>
      <c r="M70" s="166" t="s">
        <v>12</v>
      </c>
      <c r="N70" s="166" t="s">
        <v>80</v>
      </c>
      <c r="O70" s="122" t="s">
        <v>81</v>
      </c>
      <c r="P70" s="520"/>
      <c r="Q70" s="522"/>
    </row>
    <row r="71" spans="1:17" ht="15.75" thickBot="1" x14ac:dyDescent="0.3">
      <c r="A71" s="114">
        <v>1</v>
      </c>
      <c r="B71" s="5">
        <v>2</v>
      </c>
      <c r="C71" s="5">
        <v>3</v>
      </c>
      <c r="D71" s="5">
        <v>4</v>
      </c>
      <c r="E71" s="5">
        <v>5</v>
      </c>
      <c r="F71" s="5">
        <v>6</v>
      </c>
      <c r="G71" s="5">
        <v>7</v>
      </c>
      <c r="H71" s="123">
        <v>8</v>
      </c>
      <c r="I71" s="125">
        <v>9</v>
      </c>
      <c r="J71" s="113">
        <v>10</v>
      </c>
      <c r="K71" s="5">
        <v>11</v>
      </c>
      <c r="L71" s="5">
        <v>12</v>
      </c>
      <c r="M71" s="5">
        <v>13</v>
      </c>
      <c r="N71" s="5">
        <v>14</v>
      </c>
      <c r="O71" s="123">
        <v>15</v>
      </c>
      <c r="P71" s="125">
        <v>16</v>
      </c>
      <c r="Q71" s="134">
        <v>17</v>
      </c>
    </row>
    <row r="72" spans="1:17" ht="15.75" thickTop="1" x14ac:dyDescent="0.25">
      <c r="A72" s="85">
        <v>1</v>
      </c>
      <c r="B72" s="7" t="s">
        <v>18</v>
      </c>
      <c r="C72" s="139">
        <v>0</v>
      </c>
      <c r="D72" s="139">
        <v>0</v>
      </c>
      <c r="E72" s="139">
        <v>185</v>
      </c>
      <c r="F72" s="139">
        <f>'kc tanah'!C9</f>
        <v>31</v>
      </c>
      <c r="G72" s="139">
        <f>'kc tanah'!D9</f>
        <v>0</v>
      </c>
      <c r="H72" s="139">
        <f>'kc tanah'!E9</f>
        <v>0</v>
      </c>
      <c r="I72" s="127">
        <f>SUM(C72:H72)</f>
        <v>216</v>
      </c>
      <c r="J72" s="162">
        <f>'kc tanah'!F9</f>
        <v>25</v>
      </c>
      <c r="K72" s="162">
        <f>'kc tanah'!G9</f>
        <v>105</v>
      </c>
      <c r="L72" s="162">
        <f>'kc tanah'!H9</f>
        <v>0</v>
      </c>
      <c r="M72" s="162">
        <f>'kc tanah'!I9</f>
        <v>0</v>
      </c>
      <c r="N72" s="162">
        <f>'kc tanah'!J9</f>
        <v>0</v>
      </c>
      <c r="O72" s="162">
        <f>'kc tanah'!K9</f>
        <v>0</v>
      </c>
      <c r="P72" s="127">
        <f>SUM(J72:O72)</f>
        <v>130</v>
      </c>
      <c r="Q72" s="130">
        <f>SUM(I72,P72)</f>
        <v>346</v>
      </c>
    </row>
    <row r="73" spans="1:17" x14ac:dyDescent="0.25">
      <c r="A73" s="86">
        <v>2</v>
      </c>
      <c r="B73" s="12" t="s">
        <v>19</v>
      </c>
      <c r="C73" s="60">
        <v>1</v>
      </c>
      <c r="D73" s="60">
        <v>3</v>
      </c>
      <c r="E73" s="60">
        <v>57</v>
      </c>
      <c r="F73" s="60">
        <f>'kc tanah'!C10</f>
        <v>125</v>
      </c>
      <c r="G73" s="60">
        <f>'kc tanah'!D10</f>
        <v>0</v>
      </c>
      <c r="H73" s="60">
        <f>'kc tanah'!E10</f>
        <v>0</v>
      </c>
      <c r="I73" s="128">
        <f t="shared" ref="I73:I79" si="21">SUM(C73:H73)</f>
        <v>186</v>
      </c>
      <c r="J73" s="135">
        <f>'kc tanah'!F10</f>
        <v>0</v>
      </c>
      <c r="K73" s="135">
        <f>'kc tanah'!G10</f>
        <v>0</v>
      </c>
      <c r="L73" s="135">
        <f>'kc tanah'!H10</f>
        <v>0</v>
      </c>
      <c r="M73" s="135">
        <f>'kc tanah'!I10</f>
        <v>0</v>
      </c>
      <c r="N73" s="135">
        <f>'kc tanah'!J10</f>
        <v>0</v>
      </c>
      <c r="O73" s="164">
        <f>'kc tanah'!K10</f>
        <v>0</v>
      </c>
      <c r="P73" s="128">
        <f t="shared" ref="P73:P78" si="22">SUM(J73:O73)</f>
        <v>0</v>
      </c>
      <c r="Q73" s="131">
        <f t="shared" ref="Q73:Q79" si="23">SUM(I73,P73)</f>
        <v>186</v>
      </c>
    </row>
    <row r="74" spans="1:17" x14ac:dyDescent="0.25">
      <c r="A74" s="86">
        <v>3</v>
      </c>
      <c r="B74" s="7" t="s">
        <v>20</v>
      </c>
      <c r="C74" s="60">
        <v>0</v>
      </c>
      <c r="D74" s="60">
        <v>0</v>
      </c>
      <c r="E74" s="60">
        <v>275</v>
      </c>
      <c r="F74" s="60">
        <f>'kc tanah'!C11</f>
        <v>20</v>
      </c>
      <c r="G74" s="60">
        <f>'kc tanah'!D11</f>
        <v>0</v>
      </c>
      <c r="H74" s="60">
        <f>'kc tanah'!E11</f>
        <v>0</v>
      </c>
      <c r="I74" s="128">
        <f t="shared" si="21"/>
        <v>295</v>
      </c>
      <c r="J74" s="135">
        <f>'kc tanah'!F11</f>
        <v>280</v>
      </c>
      <c r="K74" s="135">
        <f>'kc tanah'!G11</f>
        <v>0</v>
      </c>
      <c r="L74" s="135">
        <f>'kc tanah'!H11</f>
        <v>0</v>
      </c>
      <c r="M74" s="135">
        <f>'kc tanah'!I11</f>
        <v>0</v>
      </c>
      <c r="N74" s="135">
        <f>'kc tanah'!J11</f>
        <v>0</v>
      </c>
      <c r="O74" s="164">
        <f>'kc tanah'!K11</f>
        <v>0</v>
      </c>
      <c r="P74" s="128">
        <f t="shared" si="22"/>
        <v>280</v>
      </c>
      <c r="Q74" s="131">
        <f t="shared" si="23"/>
        <v>575</v>
      </c>
    </row>
    <row r="75" spans="1:17" x14ac:dyDescent="0.25">
      <c r="A75" s="87">
        <v>4</v>
      </c>
      <c r="B75" s="15" t="s">
        <v>21</v>
      </c>
      <c r="C75" s="60">
        <v>0</v>
      </c>
      <c r="D75" s="60">
        <v>5</v>
      </c>
      <c r="E75" s="60">
        <v>141</v>
      </c>
      <c r="F75" s="60">
        <f>'kc tanah'!C12</f>
        <v>22</v>
      </c>
      <c r="G75" s="60">
        <f>'kc tanah'!D12</f>
        <v>0</v>
      </c>
      <c r="H75" s="60">
        <f>'kc tanah'!E12</f>
        <v>18</v>
      </c>
      <c r="I75" s="128">
        <f t="shared" si="21"/>
        <v>186</v>
      </c>
      <c r="J75" s="135">
        <f>'kc tanah'!F12</f>
        <v>0</v>
      </c>
      <c r="K75" s="135">
        <f>'kc tanah'!G12</f>
        <v>15</v>
      </c>
      <c r="L75" s="135">
        <f>'kc tanah'!H12</f>
        <v>3</v>
      </c>
      <c r="M75" s="135">
        <f>'kc tanah'!I12</f>
        <v>17</v>
      </c>
      <c r="N75" s="135">
        <f>'kc tanah'!J12</f>
        <v>0</v>
      </c>
      <c r="O75" s="164">
        <f>'kc tanah'!K12</f>
        <v>0</v>
      </c>
      <c r="P75" s="128">
        <f t="shared" si="22"/>
        <v>35</v>
      </c>
      <c r="Q75" s="131">
        <f t="shared" si="23"/>
        <v>221</v>
      </c>
    </row>
    <row r="76" spans="1:17" x14ac:dyDescent="0.25">
      <c r="A76" s="87">
        <v>5</v>
      </c>
      <c r="B76" s="19" t="s">
        <v>22</v>
      </c>
      <c r="C76" s="60">
        <v>0</v>
      </c>
      <c r="D76" s="60">
        <v>0</v>
      </c>
      <c r="E76" s="60">
        <v>102</v>
      </c>
      <c r="F76" s="60">
        <f>'kc tanah'!C13</f>
        <v>96</v>
      </c>
      <c r="G76" s="60">
        <f>'kc tanah'!D13</f>
        <v>0</v>
      </c>
      <c r="H76" s="60">
        <f>'kc tanah'!E13</f>
        <v>0</v>
      </c>
      <c r="I76" s="128">
        <f t="shared" si="21"/>
        <v>198</v>
      </c>
      <c r="J76" s="135">
        <f>'kc tanah'!F13</f>
        <v>115</v>
      </c>
      <c r="K76" s="135">
        <f>'kc tanah'!G13</f>
        <v>0</v>
      </c>
      <c r="L76" s="135">
        <f>'kc tanah'!H13</f>
        <v>0</v>
      </c>
      <c r="M76" s="135">
        <f>'kc tanah'!I13</f>
        <v>0</v>
      </c>
      <c r="N76" s="135">
        <f>'kc tanah'!J13</f>
        <v>0</v>
      </c>
      <c r="O76" s="164">
        <f>'kc tanah'!K13</f>
        <v>0</v>
      </c>
      <c r="P76" s="128">
        <f t="shared" si="22"/>
        <v>115</v>
      </c>
      <c r="Q76" s="131">
        <f t="shared" si="23"/>
        <v>313</v>
      </c>
    </row>
    <row r="77" spans="1:17" x14ac:dyDescent="0.25">
      <c r="A77" s="87">
        <v>6</v>
      </c>
      <c r="B77" s="19" t="s">
        <v>23</v>
      </c>
      <c r="C77" s="60">
        <v>0</v>
      </c>
      <c r="D77" s="60">
        <v>15</v>
      </c>
      <c r="E77" s="60">
        <v>50</v>
      </c>
      <c r="F77" s="60">
        <f>'kc tanah'!C14</f>
        <v>15</v>
      </c>
      <c r="G77" s="60">
        <f>'kc tanah'!D14</f>
        <v>0</v>
      </c>
      <c r="H77" s="60">
        <f>'kc tanah'!E14</f>
        <v>20</v>
      </c>
      <c r="I77" s="128">
        <f t="shared" si="21"/>
        <v>100</v>
      </c>
      <c r="J77" s="135">
        <f>'kc tanah'!F14</f>
        <v>30</v>
      </c>
      <c r="K77" s="135">
        <f>'kc tanah'!G14</f>
        <v>0</v>
      </c>
      <c r="L77" s="135">
        <f>'kc tanah'!H14</f>
        <v>0</v>
      </c>
      <c r="M77" s="135">
        <f>'kc tanah'!I14</f>
        <v>15</v>
      </c>
      <c r="N77" s="135">
        <f>'kc tanah'!J14</f>
        <v>5</v>
      </c>
      <c r="O77" s="164">
        <f>'kc tanah'!K14</f>
        <v>0</v>
      </c>
      <c r="P77" s="128">
        <f t="shared" si="22"/>
        <v>50</v>
      </c>
      <c r="Q77" s="131">
        <f t="shared" si="23"/>
        <v>150</v>
      </c>
    </row>
    <row r="78" spans="1:17" x14ac:dyDescent="0.25">
      <c r="A78" s="87">
        <v>7</v>
      </c>
      <c r="B78" s="19" t="s">
        <v>24</v>
      </c>
      <c r="C78" s="60">
        <v>0</v>
      </c>
      <c r="D78" s="60">
        <v>0</v>
      </c>
      <c r="E78" s="60">
        <v>0</v>
      </c>
      <c r="F78" s="60">
        <f>'kc tanah'!C15</f>
        <v>1</v>
      </c>
      <c r="G78" s="60">
        <f>'kc tanah'!D15</f>
        <v>0</v>
      </c>
      <c r="H78" s="60">
        <f>'kc tanah'!E15</f>
        <v>1</v>
      </c>
      <c r="I78" s="128">
        <f t="shared" si="21"/>
        <v>2</v>
      </c>
      <c r="J78" s="135">
        <f>'kc tanah'!F15</f>
        <v>0</v>
      </c>
      <c r="K78" s="135">
        <f>'kc tanah'!G15</f>
        <v>0</v>
      </c>
      <c r="L78" s="135">
        <f>'kc tanah'!H15</f>
        <v>0</v>
      </c>
      <c r="M78" s="135">
        <f>'kc tanah'!I15</f>
        <v>0</v>
      </c>
      <c r="N78" s="135">
        <f>'kc tanah'!J15</f>
        <v>0</v>
      </c>
      <c r="O78" s="164">
        <f>'kc tanah'!K15</f>
        <v>0</v>
      </c>
      <c r="P78" s="128">
        <f t="shared" si="22"/>
        <v>0</v>
      </c>
      <c r="Q78" s="131">
        <f t="shared" si="23"/>
        <v>2</v>
      </c>
    </row>
    <row r="79" spans="1:17" ht="15.75" thickBot="1" x14ac:dyDescent="0.3">
      <c r="A79" s="88">
        <v>8</v>
      </c>
      <c r="B79" s="15" t="s">
        <v>25</v>
      </c>
      <c r="C79" s="140">
        <v>0</v>
      </c>
      <c r="D79" s="140">
        <v>0</v>
      </c>
      <c r="E79" s="140">
        <v>332</v>
      </c>
      <c r="F79" s="140">
        <f>'kc tanah'!C16</f>
        <v>0</v>
      </c>
      <c r="G79" s="140">
        <f>'kc tanah'!D16</f>
        <v>2</v>
      </c>
      <c r="H79" s="140">
        <f>'kc tanah'!E16</f>
        <v>75</v>
      </c>
      <c r="I79" s="129">
        <f t="shared" si="21"/>
        <v>409</v>
      </c>
      <c r="J79" s="163">
        <f>'kc tanah'!F16</f>
        <v>248</v>
      </c>
      <c r="K79" s="163">
        <f>'kc tanah'!G16</f>
        <v>0</v>
      </c>
      <c r="L79" s="163">
        <f>'kc tanah'!H16</f>
        <v>0</v>
      </c>
      <c r="M79" s="163">
        <f>'kc tanah'!I16</f>
        <v>225</v>
      </c>
      <c r="N79" s="163">
        <f>'kc tanah'!J16</f>
        <v>25</v>
      </c>
      <c r="O79" s="163">
        <f>'kc tanah'!K16</f>
        <v>35</v>
      </c>
      <c r="P79" s="129">
        <f>SUM(J79:O79)</f>
        <v>533</v>
      </c>
      <c r="Q79" s="132">
        <f t="shared" si="23"/>
        <v>942</v>
      </c>
    </row>
    <row r="80" spans="1:17" ht="16.5" thickTop="1" thickBot="1" x14ac:dyDescent="0.3">
      <c r="A80" s="514" t="s">
        <v>26</v>
      </c>
      <c r="B80" s="515"/>
      <c r="C80" s="115">
        <f t="shared" ref="C80:H80" si="24">SUM(C72:C79)</f>
        <v>1</v>
      </c>
      <c r="D80" s="115">
        <f t="shared" si="24"/>
        <v>23</v>
      </c>
      <c r="E80" s="115">
        <f t="shared" si="24"/>
        <v>1142</v>
      </c>
      <c r="F80" s="115">
        <f t="shared" si="24"/>
        <v>310</v>
      </c>
      <c r="G80" s="115">
        <f t="shared" si="24"/>
        <v>2</v>
      </c>
      <c r="H80" s="124">
        <f t="shared" si="24"/>
        <v>114</v>
      </c>
      <c r="I80" s="126">
        <f>SUM(I72:I79)</f>
        <v>1592</v>
      </c>
      <c r="J80" s="136">
        <f t="shared" ref="J80:O80" si="25">SUM(J72:J79)</f>
        <v>698</v>
      </c>
      <c r="K80" s="115">
        <f t="shared" si="25"/>
        <v>120</v>
      </c>
      <c r="L80" s="115">
        <f t="shared" si="25"/>
        <v>3</v>
      </c>
      <c r="M80" s="115">
        <f t="shared" si="25"/>
        <v>257</v>
      </c>
      <c r="N80" s="115">
        <f t="shared" si="25"/>
        <v>30</v>
      </c>
      <c r="O80" s="124">
        <f t="shared" si="25"/>
        <v>35</v>
      </c>
      <c r="P80" s="126">
        <f>SUM(P72:P79)</f>
        <v>1143</v>
      </c>
      <c r="Q80" s="133">
        <f>SUM(Q72:Q79)</f>
        <v>2735</v>
      </c>
    </row>
    <row r="82" spans="1:17" ht="15.75" x14ac:dyDescent="0.25">
      <c r="A82" s="516" t="s">
        <v>99</v>
      </c>
      <c r="B82" s="516"/>
      <c r="C82" s="516"/>
      <c r="D82" s="516"/>
      <c r="E82" s="516"/>
      <c r="F82" s="516"/>
      <c r="G82" s="516"/>
      <c r="H82" s="516"/>
      <c r="I82" s="516"/>
      <c r="J82" s="516"/>
      <c r="K82" s="516"/>
      <c r="L82" s="516"/>
      <c r="M82" s="516"/>
      <c r="N82" s="516"/>
      <c r="O82" s="516"/>
      <c r="P82" s="516"/>
      <c r="Q82" s="516"/>
    </row>
    <row r="83" spans="1:17" ht="15.75" x14ac:dyDescent="0.25">
      <c r="A83" s="516" t="s">
        <v>82</v>
      </c>
      <c r="B83" s="516"/>
      <c r="C83" s="516"/>
      <c r="D83" s="516"/>
      <c r="E83" s="516"/>
      <c r="F83" s="516"/>
      <c r="G83" s="516"/>
      <c r="H83" s="516"/>
      <c r="I83" s="516"/>
      <c r="J83" s="516"/>
      <c r="K83" s="516"/>
      <c r="L83" s="516"/>
      <c r="M83" s="516"/>
      <c r="N83" s="516"/>
      <c r="O83" s="516"/>
      <c r="P83" s="516"/>
      <c r="Q83" s="516"/>
    </row>
    <row r="84" spans="1:17" ht="15.75" thickBot="1" x14ac:dyDescent="0.3">
      <c r="Q84" s="77" t="s">
        <v>1</v>
      </c>
    </row>
    <row r="85" spans="1:17" x14ac:dyDescent="0.25">
      <c r="A85" s="511" t="s">
        <v>2</v>
      </c>
      <c r="B85" s="513" t="s">
        <v>3</v>
      </c>
      <c r="C85" s="517" t="s">
        <v>114</v>
      </c>
      <c r="D85" s="518"/>
      <c r="E85" s="518"/>
      <c r="F85" s="518"/>
      <c r="G85" s="518"/>
      <c r="H85" s="518"/>
      <c r="I85" s="519" t="s">
        <v>84</v>
      </c>
      <c r="J85" s="518">
        <v>2016</v>
      </c>
      <c r="K85" s="518"/>
      <c r="L85" s="518"/>
      <c r="M85" s="518"/>
      <c r="N85" s="518"/>
      <c r="O85" s="518"/>
      <c r="P85" s="519" t="s">
        <v>85</v>
      </c>
      <c r="Q85" s="521" t="s">
        <v>5</v>
      </c>
    </row>
    <row r="86" spans="1:17" x14ac:dyDescent="0.25">
      <c r="A86" s="512"/>
      <c r="B86" s="499"/>
      <c r="C86" s="166" t="s">
        <v>15</v>
      </c>
      <c r="D86" s="166" t="s">
        <v>16</v>
      </c>
      <c r="E86" s="166" t="s">
        <v>17</v>
      </c>
      <c r="F86" s="166" t="s">
        <v>6</v>
      </c>
      <c r="G86" s="166" t="s">
        <v>77</v>
      </c>
      <c r="H86" s="122" t="s">
        <v>78</v>
      </c>
      <c r="I86" s="520"/>
      <c r="J86" s="112" t="s">
        <v>79</v>
      </c>
      <c r="K86" s="166" t="s">
        <v>10</v>
      </c>
      <c r="L86" s="166" t="s">
        <v>11</v>
      </c>
      <c r="M86" s="166" t="s">
        <v>12</v>
      </c>
      <c r="N86" s="166" t="s">
        <v>80</v>
      </c>
      <c r="O86" s="122" t="s">
        <v>81</v>
      </c>
      <c r="P86" s="520"/>
      <c r="Q86" s="522"/>
    </row>
    <row r="87" spans="1:17" ht="15.75" thickBot="1" x14ac:dyDescent="0.3">
      <c r="A87" s="114">
        <v>1</v>
      </c>
      <c r="B87" s="5">
        <v>2</v>
      </c>
      <c r="C87" s="5">
        <v>3</v>
      </c>
      <c r="D87" s="5">
        <v>4</v>
      </c>
      <c r="E87" s="5">
        <v>5</v>
      </c>
      <c r="F87" s="5">
        <v>6</v>
      </c>
      <c r="G87" s="5">
        <v>7</v>
      </c>
      <c r="H87" s="123">
        <v>8</v>
      </c>
      <c r="I87" s="125">
        <v>9</v>
      </c>
      <c r="J87" s="113">
        <v>10</v>
      </c>
      <c r="K87" s="5">
        <v>11</v>
      </c>
      <c r="L87" s="5">
        <v>12</v>
      </c>
      <c r="M87" s="5">
        <v>13</v>
      </c>
      <c r="N87" s="5">
        <v>14</v>
      </c>
      <c r="O87" s="123">
        <v>15</v>
      </c>
      <c r="P87" s="125">
        <v>16</v>
      </c>
      <c r="Q87" s="134">
        <v>17</v>
      </c>
    </row>
    <row r="88" spans="1:17" ht="15.75" thickTop="1" x14ac:dyDescent="0.25">
      <c r="A88" s="85">
        <v>1</v>
      </c>
      <c r="B88" s="7" t="s">
        <v>18</v>
      </c>
      <c r="C88" s="139">
        <v>0</v>
      </c>
      <c r="D88" s="139">
        <v>0</v>
      </c>
      <c r="E88" s="139">
        <v>1</v>
      </c>
      <c r="F88" s="139">
        <f>'ubi kayu'!C9</f>
        <v>2</v>
      </c>
      <c r="G88" s="139">
        <f>'ubi kayu'!D9</f>
        <v>10</v>
      </c>
      <c r="H88" s="139">
        <f>'ubi kayu'!E9</f>
        <v>0</v>
      </c>
      <c r="I88" s="127">
        <f>SUM(C88:H88)</f>
        <v>13</v>
      </c>
      <c r="J88" s="162">
        <f>'ubi kayu'!F9</f>
        <v>0</v>
      </c>
      <c r="K88" s="162">
        <f>'ubi kayu'!G9</f>
        <v>0</v>
      </c>
      <c r="L88" s="162">
        <f>'ubi kayu'!H9</f>
        <v>0</v>
      </c>
      <c r="M88" s="162">
        <f>'ubi kayu'!I9</f>
        <v>0</v>
      </c>
      <c r="N88" s="162">
        <f>'ubi kayu'!J9</f>
        <v>0</v>
      </c>
      <c r="O88" s="162">
        <f>'ubi kayu'!K9</f>
        <v>0</v>
      </c>
      <c r="P88" s="127">
        <f>SUM(J88:O88)</f>
        <v>0</v>
      </c>
      <c r="Q88" s="130">
        <f>SUM(I88,P88)</f>
        <v>13</v>
      </c>
    </row>
    <row r="89" spans="1:17" x14ac:dyDescent="0.25">
      <c r="A89" s="86">
        <v>2</v>
      </c>
      <c r="B89" s="12" t="s">
        <v>19</v>
      </c>
      <c r="C89" s="60">
        <v>0</v>
      </c>
      <c r="D89" s="60">
        <v>0</v>
      </c>
      <c r="E89" s="60">
        <v>0</v>
      </c>
      <c r="F89" s="60">
        <f>'ubi kayu'!C10</f>
        <v>1</v>
      </c>
      <c r="G89" s="60">
        <f>'ubi kayu'!D10</f>
        <v>0</v>
      </c>
      <c r="H89" s="60">
        <f>'ubi kayu'!E10</f>
        <v>0</v>
      </c>
      <c r="I89" s="128">
        <f t="shared" ref="I89:I95" si="26">SUM(C89:H89)</f>
        <v>1</v>
      </c>
      <c r="J89" s="135">
        <f>'ubi kayu'!F10</f>
        <v>0</v>
      </c>
      <c r="K89" s="135">
        <f>'ubi kayu'!G10</f>
        <v>1</v>
      </c>
      <c r="L89" s="135">
        <f>'ubi kayu'!H10</f>
        <v>1</v>
      </c>
      <c r="M89" s="135">
        <f>'ubi kayu'!I10</f>
        <v>1</v>
      </c>
      <c r="N89" s="135">
        <f>'ubi kayu'!J10</f>
        <v>0</v>
      </c>
      <c r="O89" s="164">
        <f>'ubi kayu'!K10</f>
        <v>0</v>
      </c>
      <c r="P89" s="128">
        <f t="shared" ref="P89:P94" si="27">SUM(J89:O89)</f>
        <v>3</v>
      </c>
      <c r="Q89" s="131">
        <f t="shared" ref="Q89:Q95" si="28">SUM(I89,P89)</f>
        <v>4</v>
      </c>
    </row>
    <row r="90" spans="1:17" x14ac:dyDescent="0.25">
      <c r="A90" s="86">
        <v>3</v>
      </c>
      <c r="B90" s="7" t="s">
        <v>20</v>
      </c>
      <c r="C90" s="60">
        <v>0</v>
      </c>
      <c r="D90" s="60">
        <v>0</v>
      </c>
      <c r="E90" s="60">
        <v>3</v>
      </c>
      <c r="F90" s="60">
        <f>'ubi kayu'!C11</f>
        <v>0</v>
      </c>
      <c r="G90" s="60">
        <f>'ubi kayu'!D11</f>
        <v>0</v>
      </c>
      <c r="H90" s="60">
        <f>'ubi kayu'!E11</f>
        <v>0</v>
      </c>
      <c r="I90" s="128">
        <f t="shared" si="26"/>
        <v>3</v>
      </c>
      <c r="J90" s="135">
        <f>'ubi kayu'!F11</f>
        <v>0</v>
      </c>
      <c r="K90" s="135">
        <f>'ubi kayu'!G11</f>
        <v>0</v>
      </c>
      <c r="L90" s="135">
        <f>'ubi kayu'!H11</f>
        <v>0</v>
      </c>
      <c r="M90" s="135">
        <f>'ubi kayu'!I11</f>
        <v>0</v>
      </c>
      <c r="N90" s="135">
        <f>'ubi kayu'!J11</f>
        <v>0</v>
      </c>
      <c r="O90" s="164">
        <f>'ubi kayu'!K11</f>
        <v>0</v>
      </c>
      <c r="P90" s="128">
        <f t="shared" si="27"/>
        <v>0</v>
      </c>
      <c r="Q90" s="131">
        <f t="shared" si="28"/>
        <v>3</v>
      </c>
    </row>
    <row r="91" spans="1:17" x14ac:dyDescent="0.25">
      <c r="A91" s="87">
        <v>4</v>
      </c>
      <c r="B91" s="15" t="s">
        <v>21</v>
      </c>
      <c r="C91" s="60">
        <v>0</v>
      </c>
      <c r="D91" s="60">
        <v>0</v>
      </c>
      <c r="E91" s="60">
        <v>2</v>
      </c>
      <c r="F91" s="60">
        <f>'ubi kayu'!C12</f>
        <v>0</v>
      </c>
      <c r="G91" s="60">
        <f>'ubi kayu'!D12</f>
        <v>0</v>
      </c>
      <c r="H91" s="60">
        <f>'ubi kayu'!E12</f>
        <v>0</v>
      </c>
      <c r="I91" s="128">
        <f t="shared" si="26"/>
        <v>2</v>
      </c>
      <c r="J91" s="135">
        <f>'ubi kayu'!F12</f>
        <v>0</v>
      </c>
      <c r="K91" s="135">
        <f>'ubi kayu'!G12</f>
        <v>2</v>
      </c>
      <c r="L91" s="135">
        <f>'ubi kayu'!H12</f>
        <v>0</v>
      </c>
      <c r="M91" s="135">
        <f>'ubi kayu'!I12</f>
        <v>0</v>
      </c>
      <c r="N91" s="135">
        <f>'ubi kayu'!J12</f>
        <v>0</v>
      </c>
      <c r="O91" s="164">
        <f>'ubi kayu'!K12</f>
        <v>2</v>
      </c>
      <c r="P91" s="128">
        <f t="shared" si="27"/>
        <v>4</v>
      </c>
      <c r="Q91" s="131">
        <f t="shared" si="28"/>
        <v>6</v>
      </c>
    </row>
    <row r="92" spans="1:17" x14ac:dyDescent="0.25">
      <c r="A92" s="87">
        <v>5</v>
      </c>
      <c r="B92" s="19" t="s">
        <v>22</v>
      </c>
      <c r="C92" s="60">
        <v>0</v>
      </c>
      <c r="D92" s="60">
        <v>0</v>
      </c>
      <c r="E92" s="60">
        <v>1</v>
      </c>
      <c r="F92" s="60">
        <f>'ubi kayu'!C13</f>
        <v>0</v>
      </c>
      <c r="G92" s="60">
        <f>'ubi kayu'!D13</f>
        <v>0</v>
      </c>
      <c r="H92" s="60">
        <f>'ubi kayu'!E13</f>
        <v>0</v>
      </c>
      <c r="I92" s="128">
        <f t="shared" si="26"/>
        <v>1</v>
      </c>
      <c r="J92" s="135">
        <f>'ubi kayu'!F13</f>
        <v>0</v>
      </c>
      <c r="K92" s="135">
        <f>'ubi kayu'!G13</f>
        <v>0</v>
      </c>
      <c r="L92" s="135">
        <f>'ubi kayu'!H13</f>
        <v>0</v>
      </c>
      <c r="M92" s="135">
        <f>'ubi kayu'!I13</f>
        <v>0</v>
      </c>
      <c r="N92" s="135">
        <f>'ubi kayu'!J13</f>
        <v>0</v>
      </c>
      <c r="O92" s="164">
        <f>'ubi kayu'!K13</f>
        <v>0</v>
      </c>
      <c r="P92" s="128">
        <f t="shared" si="27"/>
        <v>0</v>
      </c>
      <c r="Q92" s="131">
        <f t="shared" si="28"/>
        <v>1</v>
      </c>
    </row>
    <row r="93" spans="1:17" x14ac:dyDescent="0.25">
      <c r="A93" s="87">
        <v>6</v>
      </c>
      <c r="B93" s="19" t="s">
        <v>23</v>
      </c>
      <c r="C93" s="60">
        <v>0</v>
      </c>
      <c r="D93" s="60">
        <v>0</v>
      </c>
      <c r="E93" s="60">
        <v>0</v>
      </c>
      <c r="F93" s="60">
        <f>'ubi kayu'!C14</f>
        <v>0</v>
      </c>
      <c r="G93" s="60">
        <f>'ubi kayu'!D14</f>
        <v>0</v>
      </c>
      <c r="H93" s="60">
        <f>'ubi kayu'!E14</f>
        <v>5</v>
      </c>
      <c r="I93" s="128">
        <f t="shared" si="26"/>
        <v>5</v>
      </c>
      <c r="J93" s="135">
        <f>'ubi kayu'!F14</f>
        <v>0</v>
      </c>
      <c r="K93" s="135">
        <f>'ubi kayu'!G14</f>
        <v>0</v>
      </c>
      <c r="L93" s="135">
        <f>'ubi kayu'!H14</f>
        <v>0</v>
      </c>
      <c r="M93" s="135">
        <f>'ubi kayu'!I14</f>
        <v>3</v>
      </c>
      <c r="N93" s="135">
        <f>'ubi kayu'!J14</f>
        <v>0</v>
      </c>
      <c r="O93" s="164">
        <f>'ubi kayu'!K14</f>
        <v>0</v>
      </c>
      <c r="P93" s="128">
        <f t="shared" si="27"/>
        <v>3</v>
      </c>
      <c r="Q93" s="131">
        <f t="shared" si="28"/>
        <v>8</v>
      </c>
    </row>
    <row r="94" spans="1:17" x14ac:dyDescent="0.25">
      <c r="A94" s="87">
        <v>7</v>
      </c>
      <c r="B94" s="19" t="s">
        <v>24</v>
      </c>
      <c r="C94" s="60">
        <v>0</v>
      </c>
      <c r="D94" s="60">
        <v>0</v>
      </c>
      <c r="E94" s="60">
        <v>0</v>
      </c>
      <c r="F94" s="60">
        <f>'ubi kayu'!C15</f>
        <v>0</v>
      </c>
      <c r="G94" s="60">
        <f>'ubi kayu'!D15</f>
        <v>0</v>
      </c>
      <c r="H94" s="60">
        <f>'ubi kayu'!E15</f>
        <v>0</v>
      </c>
      <c r="I94" s="128">
        <f t="shared" si="26"/>
        <v>0</v>
      </c>
      <c r="J94" s="135">
        <f>'ubi kayu'!F15</f>
        <v>0</v>
      </c>
      <c r="K94" s="135">
        <f>'ubi kayu'!G15</f>
        <v>0</v>
      </c>
      <c r="L94" s="135">
        <f>'ubi kayu'!H15</f>
        <v>0</v>
      </c>
      <c r="M94" s="135">
        <f>'ubi kayu'!I15</f>
        <v>0</v>
      </c>
      <c r="N94" s="135">
        <f>'ubi kayu'!J15</f>
        <v>0</v>
      </c>
      <c r="O94" s="164">
        <f>'ubi kayu'!K15</f>
        <v>0</v>
      </c>
      <c r="P94" s="128">
        <f t="shared" si="27"/>
        <v>0</v>
      </c>
      <c r="Q94" s="131">
        <f t="shared" si="28"/>
        <v>0</v>
      </c>
    </row>
    <row r="95" spans="1:17" ht="15.75" thickBot="1" x14ac:dyDescent="0.3">
      <c r="A95" s="88">
        <v>8</v>
      </c>
      <c r="B95" s="15" t="s">
        <v>25</v>
      </c>
      <c r="C95" s="140">
        <v>0</v>
      </c>
      <c r="D95" s="140">
        <v>0</v>
      </c>
      <c r="E95" s="140">
        <v>2</v>
      </c>
      <c r="F95" s="145">
        <f>'ubi kayu'!C16</f>
        <v>0</v>
      </c>
      <c r="G95" s="140">
        <f>'ubi kayu'!D16</f>
        <v>2</v>
      </c>
      <c r="H95" s="140">
        <f>'ubi kayu'!E16</f>
        <v>2</v>
      </c>
      <c r="I95" s="129">
        <f t="shared" si="26"/>
        <v>6</v>
      </c>
      <c r="J95" s="163">
        <f>'ubi kayu'!F16</f>
        <v>2</v>
      </c>
      <c r="K95" s="163">
        <f>'ubi kayu'!G16</f>
        <v>0</v>
      </c>
      <c r="L95" s="163">
        <f>'ubi kayu'!H16</f>
        <v>0</v>
      </c>
      <c r="M95" s="163">
        <f>'ubi kayu'!I16</f>
        <v>2</v>
      </c>
      <c r="N95" s="163">
        <f>'ubi kayu'!J16</f>
        <v>0</v>
      </c>
      <c r="O95" s="163">
        <f>'ubi kayu'!K16</f>
        <v>3</v>
      </c>
      <c r="P95" s="129">
        <f>SUM(J95:O95)</f>
        <v>7</v>
      </c>
      <c r="Q95" s="132">
        <f t="shared" si="28"/>
        <v>13</v>
      </c>
    </row>
    <row r="96" spans="1:17" ht="16.5" thickTop="1" thickBot="1" x14ac:dyDescent="0.3">
      <c r="A96" s="514" t="s">
        <v>26</v>
      </c>
      <c r="B96" s="515"/>
      <c r="C96" s="115">
        <f t="shared" ref="C96:H96" si="29">SUM(C88:C95)</f>
        <v>0</v>
      </c>
      <c r="D96" s="115">
        <f t="shared" si="29"/>
        <v>0</v>
      </c>
      <c r="E96" s="115">
        <f t="shared" si="29"/>
        <v>9</v>
      </c>
      <c r="F96" s="115">
        <f t="shared" si="29"/>
        <v>3</v>
      </c>
      <c r="G96" s="115">
        <f t="shared" si="29"/>
        <v>12</v>
      </c>
      <c r="H96" s="124">
        <f t="shared" si="29"/>
        <v>7</v>
      </c>
      <c r="I96" s="126">
        <f>SUM(I88:I95)</f>
        <v>31</v>
      </c>
      <c r="J96" s="136">
        <f t="shared" ref="J96:O96" si="30">SUM(J88:J95)</f>
        <v>2</v>
      </c>
      <c r="K96" s="115">
        <f t="shared" si="30"/>
        <v>3</v>
      </c>
      <c r="L96" s="115">
        <f t="shared" si="30"/>
        <v>1</v>
      </c>
      <c r="M96" s="115">
        <f t="shared" si="30"/>
        <v>6</v>
      </c>
      <c r="N96" s="115">
        <f t="shared" si="30"/>
        <v>0</v>
      </c>
      <c r="O96" s="124">
        <f t="shared" si="30"/>
        <v>5</v>
      </c>
      <c r="P96" s="126">
        <f>SUM(P88:P95)</f>
        <v>17</v>
      </c>
      <c r="Q96" s="133">
        <f>SUM(Q88:Q95)</f>
        <v>48</v>
      </c>
    </row>
    <row r="98" spans="1:17" ht="15.75" x14ac:dyDescent="0.25">
      <c r="A98" s="516" t="s">
        <v>100</v>
      </c>
      <c r="B98" s="516"/>
      <c r="C98" s="516"/>
      <c r="D98" s="516"/>
      <c r="E98" s="516"/>
      <c r="F98" s="516"/>
      <c r="G98" s="516"/>
      <c r="H98" s="516"/>
      <c r="I98" s="516"/>
      <c r="J98" s="516"/>
      <c r="K98" s="516"/>
      <c r="L98" s="516"/>
      <c r="M98" s="516"/>
      <c r="N98" s="516"/>
      <c r="O98" s="516"/>
      <c r="P98" s="516"/>
      <c r="Q98" s="516"/>
    </row>
    <row r="99" spans="1:17" ht="15.75" x14ac:dyDescent="0.25">
      <c r="A99" s="516" t="s">
        <v>82</v>
      </c>
      <c r="B99" s="516"/>
      <c r="C99" s="516"/>
      <c r="D99" s="516"/>
      <c r="E99" s="516"/>
      <c r="F99" s="516"/>
      <c r="G99" s="516"/>
      <c r="H99" s="516"/>
      <c r="I99" s="516"/>
      <c r="J99" s="516"/>
      <c r="K99" s="516"/>
      <c r="L99" s="516"/>
      <c r="M99" s="516"/>
      <c r="N99" s="516"/>
      <c r="O99" s="516"/>
      <c r="P99" s="516"/>
      <c r="Q99" s="516"/>
    </row>
    <row r="100" spans="1:17" ht="15.75" thickBot="1" x14ac:dyDescent="0.3">
      <c r="Q100" s="77" t="s">
        <v>1</v>
      </c>
    </row>
    <row r="101" spans="1:17" x14ac:dyDescent="0.25">
      <c r="A101" s="511" t="s">
        <v>2</v>
      </c>
      <c r="B101" s="513" t="s">
        <v>3</v>
      </c>
      <c r="C101" s="517" t="s">
        <v>114</v>
      </c>
      <c r="D101" s="518"/>
      <c r="E101" s="518"/>
      <c r="F101" s="518"/>
      <c r="G101" s="518"/>
      <c r="H101" s="518"/>
      <c r="I101" s="519" t="s">
        <v>84</v>
      </c>
      <c r="J101" s="518">
        <v>2016</v>
      </c>
      <c r="K101" s="518"/>
      <c r="L101" s="518"/>
      <c r="M101" s="518"/>
      <c r="N101" s="518"/>
      <c r="O101" s="518"/>
      <c r="P101" s="519" t="s">
        <v>85</v>
      </c>
      <c r="Q101" s="521" t="s">
        <v>5</v>
      </c>
    </row>
    <row r="102" spans="1:17" x14ac:dyDescent="0.25">
      <c r="A102" s="512"/>
      <c r="B102" s="499"/>
      <c r="C102" s="166" t="s">
        <v>15</v>
      </c>
      <c r="D102" s="166" t="s">
        <v>16</v>
      </c>
      <c r="E102" s="166" t="s">
        <v>17</v>
      </c>
      <c r="F102" s="166" t="s">
        <v>6</v>
      </c>
      <c r="G102" s="166" t="s">
        <v>77</v>
      </c>
      <c r="H102" s="122" t="s">
        <v>78</v>
      </c>
      <c r="I102" s="520"/>
      <c r="J102" s="112" t="s">
        <v>79</v>
      </c>
      <c r="K102" s="166" t="s">
        <v>10</v>
      </c>
      <c r="L102" s="166" t="s">
        <v>11</v>
      </c>
      <c r="M102" s="166" t="s">
        <v>12</v>
      </c>
      <c r="N102" s="166" t="s">
        <v>80</v>
      </c>
      <c r="O102" s="122" t="s">
        <v>81</v>
      </c>
      <c r="P102" s="520"/>
      <c r="Q102" s="522"/>
    </row>
    <row r="103" spans="1:17" ht="15.75" thickBot="1" x14ac:dyDescent="0.3">
      <c r="A103" s="114">
        <v>1</v>
      </c>
      <c r="B103" s="5">
        <v>2</v>
      </c>
      <c r="C103" s="5">
        <v>3</v>
      </c>
      <c r="D103" s="5">
        <v>4</v>
      </c>
      <c r="E103" s="5">
        <v>5</v>
      </c>
      <c r="F103" s="5">
        <v>6</v>
      </c>
      <c r="G103" s="5">
        <v>7</v>
      </c>
      <c r="H103" s="123">
        <v>8</v>
      </c>
      <c r="I103" s="125">
        <v>9</v>
      </c>
      <c r="J103" s="113">
        <v>10</v>
      </c>
      <c r="K103" s="5">
        <v>11</v>
      </c>
      <c r="L103" s="5">
        <v>12</v>
      </c>
      <c r="M103" s="5">
        <v>13</v>
      </c>
      <c r="N103" s="5">
        <v>14</v>
      </c>
      <c r="O103" s="123">
        <v>15</v>
      </c>
      <c r="P103" s="125">
        <v>16</v>
      </c>
      <c r="Q103" s="134">
        <v>17</v>
      </c>
    </row>
    <row r="104" spans="1:17" ht="15.75" thickTop="1" x14ac:dyDescent="0.25">
      <c r="A104" s="85">
        <v>1</v>
      </c>
      <c r="B104" s="7" t="s">
        <v>18</v>
      </c>
      <c r="C104" s="139">
        <v>0</v>
      </c>
      <c r="D104" s="139">
        <v>0</v>
      </c>
      <c r="E104" s="139">
        <v>0</v>
      </c>
      <c r="F104" s="139">
        <f>'ubi jalar'!C9</f>
        <v>1</v>
      </c>
      <c r="G104" s="139">
        <f>'ubi jalar'!D9</f>
        <v>4</v>
      </c>
      <c r="H104" s="139">
        <f>'ubi jalar'!E9</f>
        <v>0</v>
      </c>
      <c r="I104" s="127">
        <f>SUM(C104:H104)</f>
        <v>5</v>
      </c>
      <c r="J104" s="162">
        <f>'ubi jalar'!F9</f>
        <v>2</v>
      </c>
      <c r="K104" s="162">
        <f>'ubi jalar'!G9</f>
        <v>0</v>
      </c>
      <c r="L104" s="162">
        <f>'ubi jalar'!H9</f>
        <v>0</v>
      </c>
      <c r="M104" s="162">
        <f>'ubi jalar'!I9</f>
        <v>0</v>
      </c>
      <c r="N104" s="162">
        <f>'ubi jalar'!J9</f>
        <v>0</v>
      </c>
      <c r="O104" s="162">
        <f>'ubi jalar'!K9</f>
        <v>0</v>
      </c>
      <c r="P104" s="127">
        <f>SUM(J104:O104)</f>
        <v>2</v>
      </c>
      <c r="Q104" s="130">
        <f>SUM(I104,P104)</f>
        <v>7</v>
      </c>
    </row>
    <row r="105" spans="1:17" x14ac:dyDescent="0.25">
      <c r="A105" s="86">
        <v>2</v>
      </c>
      <c r="B105" s="12" t="s">
        <v>19</v>
      </c>
      <c r="C105" s="60">
        <v>1</v>
      </c>
      <c r="D105" s="60">
        <v>1</v>
      </c>
      <c r="E105" s="60">
        <v>0</v>
      </c>
      <c r="F105" s="60">
        <f>'ubi jalar'!C10</f>
        <v>2</v>
      </c>
      <c r="G105" s="60">
        <f>'ubi jalar'!D10</f>
        <v>0</v>
      </c>
      <c r="H105" s="60">
        <f>'ubi jalar'!E10</f>
        <v>0</v>
      </c>
      <c r="I105" s="128">
        <f t="shared" ref="I105:I111" si="31">SUM(C105:H105)</f>
        <v>4</v>
      </c>
      <c r="J105" s="135">
        <f>'ubi jalar'!F10</f>
        <v>0</v>
      </c>
      <c r="K105" s="135">
        <f>'ubi jalar'!G10</f>
        <v>0</v>
      </c>
      <c r="L105" s="135">
        <f>'ubi jalar'!H10</f>
        <v>1</v>
      </c>
      <c r="M105" s="135">
        <f>'ubi jalar'!I10</f>
        <v>1</v>
      </c>
      <c r="N105" s="135">
        <f>'ubi jalar'!J10</f>
        <v>0</v>
      </c>
      <c r="O105" s="164">
        <f>'ubi jalar'!K10</f>
        <v>1</v>
      </c>
      <c r="P105" s="128">
        <f t="shared" ref="P105:P110" si="32">SUM(J105:O105)</f>
        <v>3</v>
      </c>
      <c r="Q105" s="131">
        <f t="shared" ref="Q105:Q111" si="33">SUM(I105,P105)</f>
        <v>7</v>
      </c>
    </row>
    <row r="106" spans="1:17" x14ac:dyDescent="0.25">
      <c r="A106" s="86">
        <v>3</v>
      </c>
      <c r="B106" s="7" t="s">
        <v>20</v>
      </c>
      <c r="C106" s="60">
        <v>0</v>
      </c>
      <c r="D106" s="60">
        <v>0</v>
      </c>
      <c r="E106" s="60">
        <v>0</v>
      </c>
      <c r="F106" s="60">
        <f>'ubi jalar'!C11</f>
        <v>0</v>
      </c>
      <c r="G106" s="60">
        <f>'ubi jalar'!D11</f>
        <v>0</v>
      </c>
      <c r="H106" s="60">
        <f>'ubi jalar'!E11</f>
        <v>0</v>
      </c>
      <c r="I106" s="128">
        <f t="shared" si="31"/>
        <v>0</v>
      </c>
      <c r="J106" s="135">
        <f>'ubi jalar'!F11</f>
        <v>0</v>
      </c>
      <c r="K106" s="135">
        <f>'ubi jalar'!G11</f>
        <v>0</v>
      </c>
      <c r="L106" s="135">
        <f>'ubi jalar'!H11</f>
        <v>0</v>
      </c>
      <c r="M106" s="135">
        <f>'ubi jalar'!I11</f>
        <v>0</v>
      </c>
      <c r="N106" s="135">
        <f>'ubi jalar'!J11</f>
        <v>0</v>
      </c>
      <c r="O106" s="164">
        <f>'ubi jalar'!K11</f>
        <v>0</v>
      </c>
      <c r="P106" s="128">
        <f t="shared" si="32"/>
        <v>0</v>
      </c>
      <c r="Q106" s="131">
        <f t="shared" si="33"/>
        <v>0</v>
      </c>
    </row>
    <row r="107" spans="1:17" x14ac:dyDescent="0.25">
      <c r="A107" s="87">
        <v>4</v>
      </c>
      <c r="B107" s="15" t="s">
        <v>21</v>
      </c>
      <c r="C107" s="60">
        <v>1</v>
      </c>
      <c r="D107" s="60">
        <v>1</v>
      </c>
      <c r="E107" s="60">
        <v>0</v>
      </c>
      <c r="F107" s="60">
        <f>'ubi jalar'!C12</f>
        <v>0</v>
      </c>
      <c r="G107" s="60">
        <f>'ubi jalar'!D12</f>
        <v>0</v>
      </c>
      <c r="H107" s="60">
        <f>'ubi jalar'!E12</f>
        <v>0</v>
      </c>
      <c r="I107" s="128">
        <f t="shared" si="31"/>
        <v>2</v>
      </c>
      <c r="J107" s="135">
        <f>'ubi jalar'!F12</f>
        <v>1</v>
      </c>
      <c r="K107" s="135">
        <f>'ubi jalar'!G12</f>
        <v>1</v>
      </c>
      <c r="L107" s="135">
        <f>'ubi jalar'!H12</f>
        <v>0</v>
      </c>
      <c r="M107" s="135">
        <f>'ubi jalar'!I12</f>
        <v>0</v>
      </c>
      <c r="N107" s="135">
        <f>'ubi jalar'!J12</f>
        <v>0</v>
      </c>
      <c r="O107" s="164">
        <f>'ubi jalar'!K12</f>
        <v>1</v>
      </c>
      <c r="P107" s="128">
        <f t="shared" si="32"/>
        <v>3</v>
      </c>
      <c r="Q107" s="131">
        <f t="shared" si="33"/>
        <v>5</v>
      </c>
    </row>
    <row r="108" spans="1:17" x14ac:dyDescent="0.25">
      <c r="A108" s="87">
        <v>5</v>
      </c>
      <c r="B108" s="19" t="s">
        <v>22</v>
      </c>
      <c r="C108" s="60">
        <v>0</v>
      </c>
      <c r="D108" s="60">
        <v>0</v>
      </c>
      <c r="E108" s="60">
        <v>0</v>
      </c>
      <c r="F108" s="60">
        <f>'ubi jalar'!C13</f>
        <v>0</v>
      </c>
      <c r="G108" s="60">
        <f>'ubi jalar'!D13</f>
        <v>0</v>
      </c>
      <c r="H108" s="60">
        <f>'ubi jalar'!E13</f>
        <v>2</v>
      </c>
      <c r="I108" s="128">
        <f t="shared" si="31"/>
        <v>2</v>
      </c>
      <c r="J108" s="135">
        <f>'ubi jalar'!F13</f>
        <v>0</v>
      </c>
      <c r="K108" s="135">
        <f>'ubi jalar'!G13</f>
        <v>1</v>
      </c>
      <c r="L108" s="135">
        <f>'ubi jalar'!H13</f>
        <v>0</v>
      </c>
      <c r="M108" s="135">
        <f>'ubi jalar'!I13</f>
        <v>0</v>
      </c>
      <c r="N108" s="135">
        <f>'ubi jalar'!J13</f>
        <v>0</v>
      </c>
      <c r="O108" s="164">
        <f>'ubi jalar'!K13</f>
        <v>0</v>
      </c>
      <c r="P108" s="128">
        <f t="shared" si="32"/>
        <v>1</v>
      </c>
      <c r="Q108" s="131">
        <f t="shared" si="33"/>
        <v>3</v>
      </c>
    </row>
    <row r="109" spans="1:17" x14ac:dyDescent="0.25">
      <c r="A109" s="87">
        <v>6</v>
      </c>
      <c r="B109" s="19" t="s">
        <v>23</v>
      </c>
      <c r="C109" s="60">
        <v>0</v>
      </c>
      <c r="D109" s="60">
        <v>0</v>
      </c>
      <c r="E109" s="60">
        <v>0</v>
      </c>
      <c r="F109" s="60">
        <f>'ubi jalar'!C14</f>
        <v>0</v>
      </c>
      <c r="G109" s="60">
        <f>'ubi jalar'!D14</f>
        <v>0</v>
      </c>
      <c r="H109" s="60">
        <f>'ubi jalar'!E14</f>
        <v>0</v>
      </c>
      <c r="I109" s="128">
        <f t="shared" si="31"/>
        <v>0</v>
      </c>
      <c r="J109" s="135">
        <f>'ubi jalar'!F14</f>
        <v>0</v>
      </c>
      <c r="K109" s="135">
        <f>'ubi jalar'!G14</f>
        <v>0</v>
      </c>
      <c r="L109" s="135">
        <f>'ubi jalar'!H14</f>
        <v>0</v>
      </c>
      <c r="M109" s="135">
        <f>'ubi jalar'!I14</f>
        <v>0</v>
      </c>
      <c r="N109" s="135">
        <f>'ubi jalar'!J14</f>
        <v>0</v>
      </c>
      <c r="O109" s="164">
        <f>'ubi jalar'!K14</f>
        <v>0</v>
      </c>
      <c r="P109" s="128">
        <f t="shared" si="32"/>
        <v>0</v>
      </c>
      <c r="Q109" s="131">
        <f t="shared" si="33"/>
        <v>0</v>
      </c>
    </row>
    <row r="110" spans="1:17" x14ac:dyDescent="0.25">
      <c r="A110" s="87">
        <v>7</v>
      </c>
      <c r="B110" s="19" t="s">
        <v>24</v>
      </c>
      <c r="C110" s="60">
        <v>0</v>
      </c>
      <c r="D110" s="60">
        <v>0</v>
      </c>
      <c r="E110" s="60">
        <v>0</v>
      </c>
      <c r="F110" s="60">
        <f>'ubi jalar'!C15</f>
        <v>0</v>
      </c>
      <c r="G110" s="60">
        <f>'ubi jalar'!D15</f>
        <v>0</v>
      </c>
      <c r="H110" s="60">
        <f>'ubi jalar'!E15</f>
        <v>0</v>
      </c>
      <c r="I110" s="128">
        <f t="shared" si="31"/>
        <v>0</v>
      </c>
      <c r="J110" s="135">
        <f>'ubi jalar'!F15</f>
        <v>0</v>
      </c>
      <c r="K110" s="135">
        <f>'ubi jalar'!G15</f>
        <v>0</v>
      </c>
      <c r="L110" s="135">
        <f>'ubi jalar'!H15</f>
        <v>0</v>
      </c>
      <c r="M110" s="135">
        <f>'ubi jalar'!I15</f>
        <v>0</v>
      </c>
      <c r="N110" s="135">
        <f>'ubi jalar'!J15</f>
        <v>0</v>
      </c>
      <c r="O110" s="164">
        <f>'ubi jalar'!K15</f>
        <v>0</v>
      </c>
      <c r="P110" s="128">
        <f t="shared" si="32"/>
        <v>0</v>
      </c>
      <c r="Q110" s="131">
        <f t="shared" si="33"/>
        <v>0</v>
      </c>
    </row>
    <row r="111" spans="1:17" ht="15.75" thickBot="1" x14ac:dyDescent="0.3">
      <c r="A111" s="88">
        <v>8</v>
      </c>
      <c r="B111" s="15" t="s">
        <v>25</v>
      </c>
      <c r="C111" s="140">
        <v>0</v>
      </c>
      <c r="D111" s="140">
        <v>0</v>
      </c>
      <c r="E111" s="140">
        <v>1</v>
      </c>
      <c r="F111" s="145">
        <f>'ubi jalar'!C16</f>
        <v>0</v>
      </c>
      <c r="G111" s="140">
        <f>'ubi jalar'!D16</f>
        <v>0</v>
      </c>
      <c r="H111" s="140">
        <f>'ubi jalar'!E16</f>
        <v>1</v>
      </c>
      <c r="I111" s="129">
        <f t="shared" si="31"/>
        <v>2</v>
      </c>
      <c r="J111" s="163">
        <f>'ubi jalar'!F16</f>
        <v>0</v>
      </c>
      <c r="K111" s="163">
        <f>'ubi jalar'!G16</f>
        <v>0</v>
      </c>
      <c r="L111" s="163">
        <f>'ubi jalar'!H16</f>
        <v>0</v>
      </c>
      <c r="M111" s="163">
        <f>'ubi jalar'!I16</f>
        <v>0</v>
      </c>
      <c r="N111" s="163">
        <f>'ubi jalar'!J16</f>
        <v>1</v>
      </c>
      <c r="O111" s="163">
        <f>'ubi jalar'!K16</f>
        <v>1</v>
      </c>
      <c r="P111" s="129">
        <f>SUM(J111:O111)</f>
        <v>2</v>
      </c>
      <c r="Q111" s="132">
        <f t="shared" si="33"/>
        <v>4</v>
      </c>
    </row>
    <row r="112" spans="1:17" ht="16.5" thickTop="1" thickBot="1" x14ac:dyDescent="0.3">
      <c r="A112" s="514" t="s">
        <v>26</v>
      </c>
      <c r="B112" s="515"/>
      <c r="C112" s="115">
        <f t="shared" ref="C112:H112" si="34">SUM(C104:C111)</f>
        <v>2</v>
      </c>
      <c r="D112" s="115">
        <f t="shared" si="34"/>
        <v>2</v>
      </c>
      <c r="E112" s="115">
        <f t="shared" si="34"/>
        <v>1</v>
      </c>
      <c r="F112" s="115">
        <f t="shared" si="34"/>
        <v>3</v>
      </c>
      <c r="G112" s="115">
        <f t="shared" si="34"/>
        <v>4</v>
      </c>
      <c r="H112" s="124">
        <f t="shared" si="34"/>
        <v>3</v>
      </c>
      <c r="I112" s="126">
        <f>SUM(I104:I111)</f>
        <v>15</v>
      </c>
      <c r="J112" s="136">
        <f t="shared" ref="J112:O112" si="35">SUM(J104:J111)</f>
        <v>3</v>
      </c>
      <c r="K112" s="115">
        <f t="shared" si="35"/>
        <v>2</v>
      </c>
      <c r="L112" s="115">
        <f t="shared" si="35"/>
        <v>1</v>
      </c>
      <c r="M112" s="115">
        <f t="shared" si="35"/>
        <v>1</v>
      </c>
      <c r="N112" s="115">
        <f t="shared" si="35"/>
        <v>1</v>
      </c>
      <c r="O112" s="124">
        <f t="shared" si="35"/>
        <v>3</v>
      </c>
      <c r="P112" s="126">
        <f>SUM(P104:P111)</f>
        <v>11</v>
      </c>
      <c r="Q112" s="133">
        <f>SUM(Q104:Q111)</f>
        <v>26</v>
      </c>
    </row>
    <row r="114" spans="1:17" ht="15.75" x14ac:dyDescent="0.25">
      <c r="A114" s="516" t="s">
        <v>101</v>
      </c>
      <c r="B114" s="516"/>
      <c r="C114" s="516"/>
      <c r="D114" s="516"/>
      <c r="E114" s="516"/>
      <c r="F114" s="516"/>
      <c r="G114" s="516"/>
      <c r="H114" s="516"/>
      <c r="I114" s="516"/>
      <c r="J114" s="516"/>
      <c r="K114" s="516"/>
      <c r="L114" s="516"/>
      <c r="M114" s="516"/>
      <c r="N114" s="516"/>
      <c r="O114" s="516"/>
      <c r="P114" s="516"/>
      <c r="Q114" s="516"/>
    </row>
    <row r="115" spans="1:17" ht="15.75" x14ac:dyDescent="0.25">
      <c r="A115" s="516" t="s">
        <v>82</v>
      </c>
      <c r="B115" s="516"/>
      <c r="C115" s="516"/>
      <c r="D115" s="516"/>
      <c r="E115" s="516"/>
      <c r="F115" s="516"/>
      <c r="G115" s="516"/>
      <c r="H115" s="516"/>
      <c r="I115" s="516"/>
      <c r="J115" s="516"/>
      <c r="K115" s="516"/>
      <c r="L115" s="516"/>
      <c r="M115" s="516"/>
      <c r="N115" s="516"/>
      <c r="O115" s="516"/>
      <c r="P115" s="516"/>
      <c r="Q115" s="516"/>
    </row>
    <row r="116" spans="1:17" ht="15.75" thickBot="1" x14ac:dyDescent="0.3">
      <c r="Q116" s="77" t="s">
        <v>1</v>
      </c>
    </row>
    <row r="117" spans="1:17" x14ac:dyDescent="0.25">
      <c r="A117" s="511" t="s">
        <v>2</v>
      </c>
      <c r="B117" s="513" t="s">
        <v>3</v>
      </c>
      <c r="C117" s="517" t="s">
        <v>114</v>
      </c>
      <c r="D117" s="518"/>
      <c r="E117" s="518"/>
      <c r="F117" s="518"/>
      <c r="G117" s="518"/>
      <c r="H117" s="518"/>
      <c r="I117" s="519" t="s">
        <v>84</v>
      </c>
      <c r="J117" s="518">
        <v>2016</v>
      </c>
      <c r="K117" s="518"/>
      <c r="L117" s="518"/>
      <c r="M117" s="518"/>
      <c r="N117" s="518"/>
      <c r="O117" s="518"/>
      <c r="P117" s="519" t="s">
        <v>85</v>
      </c>
      <c r="Q117" s="521" t="s">
        <v>5</v>
      </c>
    </row>
    <row r="118" spans="1:17" x14ac:dyDescent="0.25">
      <c r="A118" s="512"/>
      <c r="B118" s="499"/>
      <c r="C118" s="166" t="s">
        <v>15</v>
      </c>
      <c r="D118" s="166" t="s">
        <v>16</v>
      </c>
      <c r="E118" s="166" t="s">
        <v>17</v>
      </c>
      <c r="F118" s="166" t="s">
        <v>6</v>
      </c>
      <c r="G118" s="166" t="s">
        <v>77</v>
      </c>
      <c r="H118" s="122" t="s">
        <v>78</v>
      </c>
      <c r="I118" s="520"/>
      <c r="J118" s="112" t="s">
        <v>79</v>
      </c>
      <c r="K118" s="166" t="s">
        <v>10</v>
      </c>
      <c r="L118" s="166" t="s">
        <v>11</v>
      </c>
      <c r="M118" s="166" t="s">
        <v>12</v>
      </c>
      <c r="N118" s="166" t="s">
        <v>80</v>
      </c>
      <c r="O118" s="122" t="s">
        <v>81</v>
      </c>
      <c r="P118" s="520"/>
      <c r="Q118" s="522"/>
    </row>
    <row r="119" spans="1:17" ht="15.75" thickBot="1" x14ac:dyDescent="0.3">
      <c r="A119" s="114">
        <v>1</v>
      </c>
      <c r="B119" s="5">
        <v>2</v>
      </c>
      <c r="C119" s="5">
        <v>3</v>
      </c>
      <c r="D119" s="5">
        <v>4</v>
      </c>
      <c r="E119" s="5">
        <v>5</v>
      </c>
      <c r="F119" s="5">
        <v>6</v>
      </c>
      <c r="G119" s="5">
        <v>7</v>
      </c>
      <c r="H119" s="123">
        <v>8</v>
      </c>
      <c r="I119" s="125">
        <v>9</v>
      </c>
      <c r="J119" s="113">
        <v>10</v>
      </c>
      <c r="K119" s="5">
        <v>11</v>
      </c>
      <c r="L119" s="5">
        <v>12</v>
      </c>
      <c r="M119" s="5">
        <v>13</v>
      </c>
      <c r="N119" s="5">
        <v>14</v>
      </c>
      <c r="O119" s="123">
        <v>15</v>
      </c>
      <c r="P119" s="125">
        <v>16</v>
      </c>
      <c r="Q119" s="134">
        <v>17</v>
      </c>
    </row>
    <row r="120" spans="1:17" ht="15.75" thickTop="1" x14ac:dyDescent="0.25">
      <c r="A120" s="85">
        <v>1</v>
      </c>
      <c r="B120" s="7" t="s">
        <v>18</v>
      </c>
      <c r="C120" s="139">
        <v>0</v>
      </c>
      <c r="D120" s="139">
        <v>0</v>
      </c>
      <c r="E120" s="139">
        <v>0</v>
      </c>
      <c r="F120" s="139">
        <f>'kc ijo'!C9</f>
        <v>1</v>
      </c>
      <c r="G120" s="139">
        <f>'kc ijo'!D9</f>
        <v>2</v>
      </c>
      <c r="H120" s="139">
        <f>'kc ijo'!E9</f>
        <v>0</v>
      </c>
      <c r="I120" s="127">
        <f>SUM(C120:H120)</f>
        <v>3</v>
      </c>
      <c r="J120" s="162">
        <f>'kc ijo'!F9</f>
        <v>0</v>
      </c>
      <c r="K120" s="162">
        <f>'kc ijo'!G9</f>
        <v>0</v>
      </c>
      <c r="L120" s="162">
        <f>'kc ijo'!H9</f>
        <v>0</v>
      </c>
      <c r="M120" s="162">
        <f>'kc ijo'!I9</f>
        <v>0</v>
      </c>
      <c r="N120" s="162">
        <f>'kc ijo'!J9</f>
        <v>0</v>
      </c>
      <c r="O120" s="162">
        <f>'kc ijo'!K9</f>
        <v>0</v>
      </c>
      <c r="P120" s="127">
        <f>SUM(J120:O120)</f>
        <v>0</v>
      </c>
      <c r="Q120" s="130">
        <f>SUM(I120,P120)</f>
        <v>3</v>
      </c>
    </row>
    <row r="121" spans="1:17" x14ac:dyDescent="0.25">
      <c r="A121" s="86">
        <v>2</v>
      </c>
      <c r="B121" s="12" t="s">
        <v>19</v>
      </c>
      <c r="C121" s="60">
        <v>0</v>
      </c>
      <c r="D121" s="60">
        <v>0</v>
      </c>
      <c r="E121" s="60">
        <v>0</v>
      </c>
      <c r="F121" s="60">
        <f>'kc ijo'!C10</f>
        <v>1</v>
      </c>
      <c r="G121" s="60">
        <f>'kc ijo'!D10</f>
        <v>0</v>
      </c>
      <c r="H121" s="60">
        <f>'kc ijo'!E10</f>
        <v>0</v>
      </c>
      <c r="I121" s="128">
        <f t="shared" ref="I121:I127" si="36">SUM(C121:H121)</f>
        <v>1</v>
      </c>
      <c r="J121" s="135">
        <f>'kc ijo'!F10</f>
        <v>0</v>
      </c>
      <c r="K121" s="135">
        <f>'kc ijo'!G10</f>
        <v>0</v>
      </c>
      <c r="L121" s="135">
        <f>'kc ijo'!H10</f>
        <v>1</v>
      </c>
      <c r="M121" s="135">
        <f>'kc ijo'!I10</f>
        <v>0</v>
      </c>
      <c r="N121" s="135">
        <f>'kc ijo'!J10</f>
        <v>0</v>
      </c>
      <c r="O121" s="164">
        <f>'kc ijo'!K10</f>
        <v>0</v>
      </c>
      <c r="P121" s="128">
        <f t="shared" ref="P121:P126" si="37">SUM(J121:O121)</f>
        <v>1</v>
      </c>
      <c r="Q121" s="131">
        <f t="shared" ref="Q121:Q127" si="38">SUM(I121,P121)</f>
        <v>2</v>
      </c>
    </row>
    <row r="122" spans="1:17" x14ac:dyDescent="0.25">
      <c r="A122" s="86">
        <v>3</v>
      </c>
      <c r="B122" s="7" t="s">
        <v>20</v>
      </c>
      <c r="C122" s="60">
        <v>0</v>
      </c>
      <c r="D122" s="60">
        <v>0</v>
      </c>
      <c r="E122" s="60">
        <v>0</v>
      </c>
      <c r="F122" s="60">
        <f>'kc ijo'!C11</f>
        <v>0</v>
      </c>
      <c r="G122" s="60">
        <f>'kc ijo'!D11</f>
        <v>0</v>
      </c>
      <c r="H122" s="60">
        <f>'kc ijo'!E11</f>
        <v>0</v>
      </c>
      <c r="I122" s="128">
        <f t="shared" si="36"/>
        <v>0</v>
      </c>
      <c r="J122" s="135">
        <f>'kc ijo'!F11</f>
        <v>0</v>
      </c>
      <c r="K122" s="135">
        <f>'kc ijo'!G11</f>
        <v>1</v>
      </c>
      <c r="L122" s="135">
        <f>'kc ijo'!H11</f>
        <v>2</v>
      </c>
      <c r="M122" s="135">
        <f>'kc ijo'!I11</f>
        <v>0</v>
      </c>
      <c r="N122" s="135">
        <f>'kc ijo'!J11</f>
        <v>0</v>
      </c>
      <c r="O122" s="164">
        <f>'kc ijo'!K11</f>
        <v>0</v>
      </c>
      <c r="P122" s="128">
        <f t="shared" si="37"/>
        <v>3</v>
      </c>
      <c r="Q122" s="131">
        <f t="shared" si="38"/>
        <v>3</v>
      </c>
    </row>
    <row r="123" spans="1:17" x14ac:dyDescent="0.25">
      <c r="A123" s="87">
        <v>4</v>
      </c>
      <c r="B123" s="15" t="s">
        <v>21</v>
      </c>
      <c r="C123" s="60">
        <v>0</v>
      </c>
      <c r="D123" s="60">
        <v>0</v>
      </c>
      <c r="E123" s="60">
        <v>0</v>
      </c>
      <c r="F123" s="60">
        <f>'kc ijo'!C12</f>
        <v>0</v>
      </c>
      <c r="G123" s="60">
        <f>'kc ijo'!D12</f>
        <v>0</v>
      </c>
      <c r="H123" s="60">
        <f>'kc ijo'!E12</f>
        <v>0</v>
      </c>
      <c r="I123" s="128">
        <f t="shared" si="36"/>
        <v>0</v>
      </c>
      <c r="J123" s="135">
        <f>'kc ijo'!F12</f>
        <v>0</v>
      </c>
      <c r="K123" s="135">
        <f>'kc ijo'!G12</f>
        <v>0</v>
      </c>
      <c r="L123" s="135">
        <f>'kc ijo'!H12</f>
        <v>11</v>
      </c>
      <c r="M123" s="135">
        <f>'kc ijo'!I12</f>
        <v>1</v>
      </c>
      <c r="N123" s="135">
        <f>'kc ijo'!J12</f>
        <v>0</v>
      </c>
      <c r="O123" s="164">
        <f>'kc ijo'!K12</f>
        <v>0</v>
      </c>
      <c r="P123" s="128">
        <f t="shared" si="37"/>
        <v>12</v>
      </c>
      <c r="Q123" s="131">
        <f t="shared" si="38"/>
        <v>12</v>
      </c>
    </row>
    <row r="124" spans="1:17" x14ac:dyDescent="0.25">
      <c r="A124" s="87">
        <v>5</v>
      </c>
      <c r="B124" s="19" t="s">
        <v>22</v>
      </c>
      <c r="C124" s="60">
        <v>0</v>
      </c>
      <c r="D124" s="60">
        <v>0</v>
      </c>
      <c r="E124" s="60">
        <v>0</v>
      </c>
      <c r="F124" s="60">
        <f>'kc ijo'!C13</f>
        <v>0</v>
      </c>
      <c r="G124" s="60">
        <f>'kc ijo'!D13</f>
        <v>0</v>
      </c>
      <c r="H124" s="60">
        <f>'kc ijo'!E13</f>
        <v>0</v>
      </c>
      <c r="I124" s="128">
        <f t="shared" si="36"/>
        <v>0</v>
      </c>
      <c r="J124" s="135">
        <f>'kc ijo'!F13</f>
        <v>0</v>
      </c>
      <c r="K124" s="135">
        <f>'kc ijo'!G13</f>
        <v>1</v>
      </c>
      <c r="L124" s="135">
        <f>'kc ijo'!H13</f>
        <v>0</v>
      </c>
      <c r="M124" s="135">
        <f>'kc ijo'!I13</f>
        <v>0</v>
      </c>
      <c r="N124" s="135">
        <f>'kc ijo'!J13</f>
        <v>0</v>
      </c>
      <c r="O124" s="164">
        <f>'kc ijo'!K13</f>
        <v>0</v>
      </c>
      <c r="P124" s="128">
        <f t="shared" si="37"/>
        <v>1</v>
      </c>
      <c r="Q124" s="131">
        <f t="shared" si="38"/>
        <v>1</v>
      </c>
    </row>
    <row r="125" spans="1:17" x14ac:dyDescent="0.25">
      <c r="A125" s="87">
        <v>6</v>
      </c>
      <c r="B125" s="19" t="s">
        <v>23</v>
      </c>
      <c r="C125" s="60">
        <v>0</v>
      </c>
      <c r="D125" s="60">
        <v>0</v>
      </c>
      <c r="E125" s="60">
        <v>0</v>
      </c>
      <c r="F125" s="60">
        <f>'kc ijo'!C14</f>
        <v>0</v>
      </c>
      <c r="G125" s="60">
        <f>'kc ijo'!D14</f>
        <v>0</v>
      </c>
      <c r="H125" s="60">
        <f>'kc ijo'!E14</f>
        <v>0</v>
      </c>
      <c r="I125" s="128">
        <f t="shared" si="36"/>
        <v>0</v>
      </c>
      <c r="J125" s="135">
        <f>'kc ijo'!F14</f>
        <v>0</v>
      </c>
      <c r="K125" s="135">
        <f>'kc ijo'!G14</f>
        <v>0</v>
      </c>
      <c r="L125" s="135">
        <f>'kc ijo'!H14</f>
        <v>0</v>
      </c>
      <c r="M125" s="135">
        <f>'kc ijo'!I14</f>
        <v>0</v>
      </c>
      <c r="N125" s="135">
        <f>'kc ijo'!J14</f>
        <v>0</v>
      </c>
      <c r="O125" s="164">
        <f>'kc ijo'!K14</f>
        <v>0</v>
      </c>
      <c r="P125" s="128">
        <f t="shared" si="37"/>
        <v>0</v>
      </c>
      <c r="Q125" s="131">
        <f t="shared" si="38"/>
        <v>0</v>
      </c>
    </row>
    <row r="126" spans="1:17" x14ac:dyDescent="0.25">
      <c r="A126" s="87">
        <v>7</v>
      </c>
      <c r="B126" s="19" t="s">
        <v>24</v>
      </c>
      <c r="C126" s="60">
        <v>0</v>
      </c>
      <c r="D126" s="60">
        <v>0</v>
      </c>
      <c r="E126" s="60">
        <v>0</v>
      </c>
      <c r="F126" s="60">
        <f>'kc ijo'!C15</f>
        <v>0</v>
      </c>
      <c r="G126" s="60">
        <f>'kc ijo'!D15</f>
        <v>0</v>
      </c>
      <c r="H126" s="60">
        <f>'kc ijo'!E15</f>
        <v>0</v>
      </c>
      <c r="I126" s="128">
        <f t="shared" si="36"/>
        <v>0</v>
      </c>
      <c r="J126" s="135">
        <f>'kc ijo'!F15</f>
        <v>0</v>
      </c>
      <c r="K126" s="135">
        <f>'kc ijo'!G15</f>
        <v>0</v>
      </c>
      <c r="L126" s="135">
        <f>'kc ijo'!H15</f>
        <v>0</v>
      </c>
      <c r="M126" s="135">
        <f>'kc ijo'!I15</f>
        <v>0</v>
      </c>
      <c r="N126" s="135">
        <f>'kc ijo'!J15</f>
        <v>0</v>
      </c>
      <c r="O126" s="164">
        <f>'kc ijo'!K15</f>
        <v>0</v>
      </c>
      <c r="P126" s="128">
        <f t="shared" si="37"/>
        <v>0</v>
      </c>
      <c r="Q126" s="131">
        <f t="shared" si="38"/>
        <v>0</v>
      </c>
    </row>
    <row r="127" spans="1:17" ht="15.75" thickBot="1" x14ac:dyDescent="0.3">
      <c r="A127" s="88">
        <v>8</v>
      </c>
      <c r="B127" s="15" t="s">
        <v>25</v>
      </c>
      <c r="C127" s="140">
        <v>0</v>
      </c>
      <c r="D127" s="140">
        <v>0</v>
      </c>
      <c r="E127" s="140">
        <v>0</v>
      </c>
      <c r="F127" s="145">
        <f>'kc ijo'!C16</f>
        <v>0</v>
      </c>
      <c r="G127" s="140">
        <f>'kc ijo'!D16</f>
        <v>0</v>
      </c>
      <c r="H127" s="140">
        <f>'kc ijo'!E16</f>
        <v>0</v>
      </c>
      <c r="I127" s="129">
        <f t="shared" si="36"/>
        <v>0</v>
      </c>
      <c r="J127" s="163">
        <f>'kc ijo'!F16</f>
        <v>0</v>
      </c>
      <c r="K127" s="163">
        <f>'kc ijo'!G16</f>
        <v>0</v>
      </c>
      <c r="L127" s="163">
        <f>'kc ijo'!H16</f>
        <v>0</v>
      </c>
      <c r="M127" s="163">
        <f>'kc ijo'!I16</f>
        <v>0</v>
      </c>
      <c r="N127" s="163">
        <f>'kc ijo'!J16</f>
        <v>1</v>
      </c>
      <c r="O127" s="163">
        <f>'kc ijo'!K16</f>
        <v>0</v>
      </c>
      <c r="P127" s="129">
        <f>SUM(J127:O127)</f>
        <v>1</v>
      </c>
      <c r="Q127" s="132">
        <f t="shared" si="38"/>
        <v>1</v>
      </c>
    </row>
    <row r="128" spans="1:17" ht="16.5" thickTop="1" thickBot="1" x14ac:dyDescent="0.3">
      <c r="A128" s="514" t="s">
        <v>26</v>
      </c>
      <c r="B128" s="515"/>
      <c r="C128" s="115">
        <f t="shared" ref="C128:H128" si="39">SUM(C120:C127)</f>
        <v>0</v>
      </c>
      <c r="D128" s="115">
        <f t="shared" si="39"/>
        <v>0</v>
      </c>
      <c r="E128" s="115">
        <f t="shared" si="39"/>
        <v>0</v>
      </c>
      <c r="F128" s="115">
        <f t="shared" si="39"/>
        <v>2</v>
      </c>
      <c r="G128" s="115">
        <f t="shared" si="39"/>
        <v>2</v>
      </c>
      <c r="H128" s="124">
        <f t="shared" si="39"/>
        <v>0</v>
      </c>
      <c r="I128" s="126">
        <f>SUM(I120:I127)</f>
        <v>4</v>
      </c>
      <c r="J128" s="136">
        <f t="shared" ref="J128:O128" si="40">SUM(J120:J127)</f>
        <v>0</v>
      </c>
      <c r="K128" s="115">
        <f t="shared" si="40"/>
        <v>2</v>
      </c>
      <c r="L128" s="115">
        <f t="shared" si="40"/>
        <v>14</v>
      </c>
      <c r="M128" s="115">
        <f t="shared" si="40"/>
        <v>1</v>
      </c>
      <c r="N128" s="115">
        <f t="shared" si="40"/>
        <v>1</v>
      </c>
      <c r="O128" s="124">
        <f t="shared" si="40"/>
        <v>0</v>
      </c>
      <c r="P128" s="126">
        <f>SUM(P120:P127)</f>
        <v>18</v>
      </c>
      <c r="Q128" s="133">
        <f>SUM(Q120:Q127)</f>
        <v>22</v>
      </c>
    </row>
    <row r="132" spans="1:17" ht="15.75" x14ac:dyDescent="0.25">
      <c r="A132" s="516" t="s">
        <v>123</v>
      </c>
      <c r="B132" s="516"/>
      <c r="C132" s="516"/>
      <c r="D132" s="516"/>
      <c r="E132" s="516"/>
      <c r="F132" s="516"/>
      <c r="G132" s="516"/>
      <c r="H132" s="516"/>
      <c r="I132" s="516"/>
      <c r="J132" s="516"/>
      <c r="K132" s="516"/>
      <c r="L132" s="516"/>
      <c r="M132" s="516"/>
      <c r="N132" s="516"/>
      <c r="O132" s="516"/>
      <c r="P132" s="516"/>
      <c r="Q132" s="516"/>
    </row>
    <row r="133" spans="1:17" ht="15.75" x14ac:dyDescent="0.25">
      <c r="A133" s="516" t="s">
        <v>82</v>
      </c>
      <c r="B133" s="516"/>
      <c r="C133" s="516"/>
      <c r="D133" s="516"/>
      <c r="E133" s="516"/>
      <c r="F133" s="516"/>
      <c r="G133" s="516"/>
      <c r="H133" s="516"/>
      <c r="I133" s="516"/>
      <c r="J133" s="516"/>
      <c r="K133" s="516"/>
      <c r="L133" s="516"/>
      <c r="M133" s="516"/>
      <c r="N133" s="516"/>
      <c r="O133" s="516"/>
      <c r="P133" s="516"/>
      <c r="Q133" s="516"/>
    </row>
    <row r="134" spans="1:17" ht="15.75" thickBot="1" x14ac:dyDescent="0.3">
      <c r="Q134" s="77" t="s">
        <v>1</v>
      </c>
    </row>
    <row r="135" spans="1:17" x14ac:dyDescent="0.25">
      <c r="A135" s="511" t="s">
        <v>2</v>
      </c>
      <c r="B135" s="513" t="s">
        <v>3</v>
      </c>
      <c r="C135" s="517" t="s">
        <v>114</v>
      </c>
      <c r="D135" s="518"/>
      <c r="E135" s="518"/>
      <c r="F135" s="518"/>
      <c r="G135" s="518"/>
      <c r="H135" s="518"/>
      <c r="I135" s="519" t="s">
        <v>84</v>
      </c>
      <c r="J135" s="518">
        <v>2016</v>
      </c>
      <c r="K135" s="518"/>
      <c r="L135" s="518"/>
      <c r="M135" s="518"/>
      <c r="N135" s="518"/>
      <c r="O135" s="518"/>
      <c r="P135" s="519" t="s">
        <v>85</v>
      </c>
      <c r="Q135" s="521" t="s">
        <v>5</v>
      </c>
    </row>
    <row r="136" spans="1:17" x14ac:dyDescent="0.25">
      <c r="A136" s="512"/>
      <c r="B136" s="499"/>
      <c r="C136" s="325" t="s">
        <v>15</v>
      </c>
      <c r="D136" s="325" t="s">
        <v>16</v>
      </c>
      <c r="E136" s="325" t="s">
        <v>17</v>
      </c>
      <c r="F136" s="325" t="s">
        <v>6</v>
      </c>
      <c r="G136" s="325" t="s">
        <v>77</v>
      </c>
      <c r="H136" s="122" t="s">
        <v>78</v>
      </c>
      <c r="I136" s="520"/>
      <c r="J136" s="112" t="s">
        <v>79</v>
      </c>
      <c r="K136" s="325" t="s">
        <v>10</v>
      </c>
      <c r="L136" s="325" t="s">
        <v>11</v>
      </c>
      <c r="M136" s="325" t="s">
        <v>12</v>
      </c>
      <c r="N136" s="325" t="s">
        <v>80</v>
      </c>
      <c r="O136" s="122" t="s">
        <v>81</v>
      </c>
      <c r="P136" s="520"/>
      <c r="Q136" s="522"/>
    </row>
    <row r="137" spans="1:17" ht="15.75" thickBot="1" x14ac:dyDescent="0.3">
      <c r="A137" s="114">
        <v>1</v>
      </c>
      <c r="B137" s="5">
        <v>2</v>
      </c>
      <c r="C137" s="5">
        <v>3</v>
      </c>
      <c r="D137" s="5">
        <v>4</v>
      </c>
      <c r="E137" s="5">
        <v>5</v>
      </c>
      <c r="F137" s="5">
        <v>6</v>
      </c>
      <c r="G137" s="5">
        <v>7</v>
      </c>
      <c r="H137" s="123">
        <v>8</v>
      </c>
      <c r="I137" s="125">
        <v>9</v>
      </c>
      <c r="J137" s="113">
        <v>10</v>
      </c>
      <c r="K137" s="5">
        <v>11</v>
      </c>
      <c r="L137" s="5">
        <v>12</v>
      </c>
      <c r="M137" s="5">
        <v>13</v>
      </c>
      <c r="N137" s="5">
        <v>14</v>
      </c>
      <c r="O137" s="123">
        <v>15</v>
      </c>
      <c r="P137" s="125">
        <v>16</v>
      </c>
      <c r="Q137" s="134">
        <v>17</v>
      </c>
    </row>
    <row r="138" spans="1:17" ht="15.75" thickTop="1" x14ac:dyDescent="0.25">
      <c r="A138" s="85">
        <v>1</v>
      </c>
      <c r="B138" s="7" t="s">
        <v>18</v>
      </c>
      <c r="C138" s="139">
        <v>0</v>
      </c>
      <c r="D138" s="139">
        <v>1</v>
      </c>
      <c r="E138" s="139">
        <v>0</v>
      </c>
      <c r="F138" s="139">
        <f>'padi sawah'!C42</f>
        <v>0</v>
      </c>
      <c r="G138" s="139">
        <f>'padi sawah'!D42</f>
        <v>0</v>
      </c>
      <c r="H138" s="139">
        <f>'padi sawah'!E42</f>
        <v>0</v>
      </c>
      <c r="I138" s="127">
        <f>SUM(C138:H138)</f>
        <v>1</v>
      </c>
      <c r="J138" s="162">
        <f>'padi sawah'!F42</f>
        <v>7</v>
      </c>
      <c r="K138" s="162">
        <f>'padi sawah'!G42</f>
        <v>248</v>
      </c>
      <c r="L138" s="162">
        <f>'padi sawah'!H42</f>
        <v>0</v>
      </c>
      <c r="M138" s="162">
        <f>'padi sawah'!I42</f>
        <v>1</v>
      </c>
      <c r="N138" s="162">
        <f>'padi sawah'!J42</f>
        <v>3</v>
      </c>
      <c r="O138" s="162">
        <f>'padi sawah'!K42</f>
        <v>62</v>
      </c>
      <c r="P138" s="127">
        <f>SUM(J138:O138)</f>
        <v>321</v>
      </c>
      <c r="Q138" s="130">
        <f>SUM(I138,P138)</f>
        <v>322</v>
      </c>
    </row>
    <row r="139" spans="1:17" x14ac:dyDescent="0.25">
      <c r="A139" s="86">
        <v>2</v>
      </c>
      <c r="B139" s="12" t="s">
        <v>19</v>
      </c>
      <c r="C139" s="60">
        <v>0</v>
      </c>
      <c r="D139" s="60">
        <v>0</v>
      </c>
      <c r="E139" s="60">
        <v>8</v>
      </c>
      <c r="F139" s="60">
        <f>'padi sawah'!C43</f>
        <v>0</v>
      </c>
      <c r="G139" s="60">
        <f>'padi sawah'!D43</f>
        <v>4</v>
      </c>
      <c r="H139" s="60">
        <f>'padi sawah'!E43</f>
        <v>14</v>
      </c>
      <c r="I139" s="128">
        <f t="shared" ref="I139:I145" si="41">SUM(C139:H139)</f>
        <v>26</v>
      </c>
      <c r="J139" s="135">
        <f>'padi sawah'!F43</f>
        <v>92</v>
      </c>
      <c r="K139" s="60">
        <f>'padi sawah'!G43</f>
        <v>101</v>
      </c>
      <c r="L139" s="135">
        <f>'padi sawah'!H43</f>
        <v>4</v>
      </c>
      <c r="M139" s="135">
        <f>'padi sawah'!I43</f>
        <v>13</v>
      </c>
      <c r="N139" s="135">
        <f>'padi sawah'!J43</f>
        <v>21</v>
      </c>
      <c r="O139" s="164">
        <f>'padi sawah'!K43</f>
        <v>27</v>
      </c>
      <c r="P139" s="128">
        <f t="shared" ref="P139:P144" si="42">SUM(J139:O139)</f>
        <v>258</v>
      </c>
      <c r="Q139" s="131">
        <f t="shared" ref="Q139:Q145" si="43">SUM(I139,P139)</f>
        <v>284</v>
      </c>
    </row>
    <row r="140" spans="1:17" x14ac:dyDescent="0.25">
      <c r="A140" s="86">
        <v>3</v>
      </c>
      <c r="B140" s="7" t="s">
        <v>20</v>
      </c>
      <c r="C140" s="60">
        <v>0</v>
      </c>
      <c r="D140" s="60">
        <v>0</v>
      </c>
      <c r="E140" s="60">
        <v>0</v>
      </c>
      <c r="F140" s="60">
        <f>'padi sawah'!C44</f>
        <v>0</v>
      </c>
      <c r="G140" s="60">
        <f>'padi sawah'!D44</f>
        <v>0</v>
      </c>
      <c r="H140" s="60">
        <f>'padi sawah'!E44</f>
        <v>0</v>
      </c>
      <c r="I140" s="128">
        <f t="shared" si="41"/>
        <v>0</v>
      </c>
      <c r="J140" s="135">
        <f>'padi sawah'!F44</f>
        <v>10</v>
      </c>
      <c r="K140" s="60">
        <f>'padi sawah'!G44</f>
        <v>15</v>
      </c>
      <c r="L140" s="135">
        <f>'padi sawah'!H44</f>
        <v>0</v>
      </c>
      <c r="M140" s="135">
        <f>'padi sawah'!I44</f>
        <v>5</v>
      </c>
      <c r="N140" s="135">
        <f>'padi sawah'!J44</f>
        <v>10</v>
      </c>
      <c r="O140" s="164">
        <f>'padi sawah'!K44</f>
        <v>0</v>
      </c>
      <c r="P140" s="128">
        <f t="shared" si="42"/>
        <v>40</v>
      </c>
      <c r="Q140" s="131">
        <f t="shared" si="43"/>
        <v>40</v>
      </c>
    </row>
    <row r="141" spans="1:17" x14ac:dyDescent="0.25">
      <c r="A141" s="87">
        <v>4</v>
      </c>
      <c r="B141" s="15" t="s">
        <v>21</v>
      </c>
      <c r="C141" s="60">
        <v>0</v>
      </c>
      <c r="D141" s="60">
        <v>2</v>
      </c>
      <c r="E141" s="60">
        <v>0</v>
      </c>
      <c r="F141" s="60">
        <f>'padi sawah'!C45</f>
        <v>1</v>
      </c>
      <c r="G141" s="60">
        <f>'padi sawah'!D45</f>
        <v>2</v>
      </c>
      <c r="H141" s="60">
        <f>'padi sawah'!E45</f>
        <v>16</v>
      </c>
      <c r="I141" s="128">
        <f t="shared" si="41"/>
        <v>21</v>
      </c>
      <c r="J141" s="135">
        <f>'padi sawah'!F45</f>
        <v>182</v>
      </c>
      <c r="K141" s="60">
        <f>'padi sawah'!G45</f>
        <v>0</v>
      </c>
      <c r="L141" s="135">
        <f>'padi sawah'!H45</f>
        <v>1</v>
      </c>
      <c r="M141" s="135">
        <f>'padi sawah'!I45</f>
        <v>0</v>
      </c>
      <c r="N141" s="135">
        <f>'padi sawah'!J45</f>
        <v>21</v>
      </c>
      <c r="O141" s="164">
        <f>'padi sawah'!K45</f>
        <v>11</v>
      </c>
      <c r="P141" s="128">
        <f t="shared" si="42"/>
        <v>215</v>
      </c>
      <c r="Q141" s="131">
        <f t="shared" si="43"/>
        <v>236</v>
      </c>
    </row>
    <row r="142" spans="1:17" x14ac:dyDescent="0.25">
      <c r="A142" s="87">
        <v>5</v>
      </c>
      <c r="B142" s="19" t="s">
        <v>22</v>
      </c>
      <c r="C142" s="60">
        <v>0</v>
      </c>
      <c r="D142" s="60">
        <v>0</v>
      </c>
      <c r="E142" s="60">
        <v>0</v>
      </c>
      <c r="F142" s="60">
        <f>'padi sawah'!C46</f>
        <v>0</v>
      </c>
      <c r="G142" s="60">
        <f>'padi sawah'!D46</f>
        <v>0</v>
      </c>
      <c r="H142" s="60">
        <f>'padi sawah'!E46</f>
        <v>0</v>
      </c>
      <c r="I142" s="128">
        <f t="shared" si="41"/>
        <v>0</v>
      </c>
      <c r="J142" s="135">
        <f>'padi sawah'!F46</f>
        <v>45</v>
      </c>
      <c r="K142" s="60">
        <f>'padi sawah'!G46</f>
        <v>119</v>
      </c>
      <c r="L142" s="135">
        <f>'padi sawah'!H46</f>
        <v>0</v>
      </c>
      <c r="M142" s="135">
        <f>'padi sawah'!I46</f>
        <v>0</v>
      </c>
      <c r="N142" s="135">
        <f>'padi sawah'!J46</f>
        <v>20</v>
      </c>
      <c r="O142" s="164">
        <f>'padi sawah'!K46</f>
        <v>0</v>
      </c>
      <c r="P142" s="128">
        <f t="shared" si="42"/>
        <v>184</v>
      </c>
      <c r="Q142" s="131">
        <f t="shared" si="43"/>
        <v>184</v>
      </c>
    </row>
    <row r="143" spans="1:17" x14ac:dyDescent="0.25">
      <c r="A143" s="87">
        <v>6</v>
      </c>
      <c r="B143" s="19" t="s">
        <v>23</v>
      </c>
      <c r="C143" s="60">
        <v>0</v>
      </c>
      <c r="D143" s="60">
        <v>7</v>
      </c>
      <c r="E143" s="60">
        <v>0</v>
      </c>
      <c r="F143" s="60">
        <f>'padi sawah'!C47</f>
        <v>5</v>
      </c>
      <c r="G143" s="60">
        <f>'padi sawah'!D47</f>
        <v>0</v>
      </c>
      <c r="H143" s="60">
        <f>'padi sawah'!E47</f>
        <v>0</v>
      </c>
      <c r="I143" s="128">
        <f t="shared" si="41"/>
        <v>12</v>
      </c>
      <c r="J143" s="135">
        <f>'padi sawah'!F47</f>
        <v>36</v>
      </c>
      <c r="K143" s="60">
        <f>'padi sawah'!G47</f>
        <v>18</v>
      </c>
      <c r="L143" s="135">
        <f>'padi sawah'!H47</f>
        <v>0</v>
      </c>
      <c r="M143" s="135">
        <f>'padi sawah'!I47</f>
        <v>0</v>
      </c>
      <c r="N143" s="135">
        <f>'padi sawah'!J47</f>
        <v>14</v>
      </c>
      <c r="O143" s="164">
        <f>'padi sawah'!K47</f>
        <v>21</v>
      </c>
      <c r="P143" s="128">
        <f t="shared" si="42"/>
        <v>89</v>
      </c>
      <c r="Q143" s="131">
        <f t="shared" si="43"/>
        <v>101</v>
      </c>
    </row>
    <row r="144" spans="1:17" x14ac:dyDescent="0.25">
      <c r="A144" s="87">
        <v>7</v>
      </c>
      <c r="B144" s="19" t="s">
        <v>24</v>
      </c>
      <c r="C144" s="60">
        <v>92</v>
      </c>
      <c r="D144" s="60">
        <v>0</v>
      </c>
      <c r="E144" s="60">
        <v>0</v>
      </c>
      <c r="F144" s="60">
        <f>'padi sawah'!C48</f>
        <v>1</v>
      </c>
      <c r="G144" s="60">
        <f>'padi sawah'!D48</f>
        <v>4</v>
      </c>
      <c r="H144" s="60">
        <f>'padi sawah'!E48</f>
        <v>245</v>
      </c>
      <c r="I144" s="128">
        <f t="shared" si="41"/>
        <v>342</v>
      </c>
      <c r="J144" s="135">
        <f>'padi sawah'!F48</f>
        <v>99</v>
      </c>
      <c r="K144" s="60">
        <f>'padi sawah'!G48</f>
        <v>1</v>
      </c>
      <c r="L144" s="135">
        <f>'padi sawah'!H48</f>
        <v>1</v>
      </c>
      <c r="M144" s="135">
        <f>'padi sawah'!I48</f>
        <v>0</v>
      </c>
      <c r="N144" s="135">
        <f>'padi sawah'!J48</f>
        <v>237</v>
      </c>
      <c r="O144" s="164">
        <f>'padi sawah'!K48</f>
        <v>27</v>
      </c>
      <c r="P144" s="128">
        <f t="shared" si="42"/>
        <v>365</v>
      </c>
      <c r="Q144" s="131">
        <f t="shared" si="43"/>
        <v>707</v>
      </c>
    </row>
    <row r="145" spans="1:17" ht="15.75" thickBot="1" x14ac:dyDescent="0.3">
      <c r="A145" s="88">
        <v>8</v>
      </c>
      <c r="B145" s="15" t="s">
        <v>25</v>
      </c>
      <c r="C145" s="140">
        <v>0</v>
      </c>
      <c r="D145" s="140">
        <v>0</v>
      </c>
      <c r="E145" s="140">
        <v>0</v>
      </c>
      <c r="F145" s="140">
        <f>'padi sawah'!C49</f>
        <v>25</v>
      </c>
      <c r="G145" s="140">
        <f>'padi sawah'!D49</f>
        <v>1</v>
      </c>
      <c r="H145" s="140">
        <f>'padi sawah'!E49</f>
        <v>42</v>
      </c>
      <c r="I145" s="129">
        <f t="shared" si="41"/>
        <v>68</v>
      </c>
      <c r="J145" s="329">
        <f>'padi sawah'!F49</f>
        <v>64</v>
      </c>
      <c r="K145" s="329">
        <f>'padi sawah'!G49</f>
        <v>145</v>
      </c>
      <c r="L145" s="329">
        <f>'padi sawah'!H49</f>
        <v>6</v>
      </c>
      <c r="M145" s="329">
        <f>'padi sawah'!I49</f>
        <v>26</v>
      </c>
      <c r="N145" s="329">
        <f>'padi sawah'!J49</f>
        <v>66</v>
      </c>
      <c r="O145" s="329">
        <f>'padi sawah'!K49</f>
        <v>101</v>
      </c>
      <c r="P145" s="129">
        <f>SUM(J145:O145)</f>
        <v>408</v>
      </c>
      <c r="Q145" s="132">
        <f t="shared" si="43"/>
        <v>476</v>
      </c>
    </row>
    <row r="146" spans="1:17" ht="16.5" thickTop="1" thickBot="1" x14ac:dyDescent="0.3">
      <c r="A146" s="514" t="s">
        <v>26</v>
      </c>
      <c r="B146" s="515"/>
      <c r="C146" s="115">
        <f t="shared" ref="C146:I146" si="44">SUM(C138:C145)</f>
        <v>92</v>
      </c>
      <c r="D146" s="115">
        <f t="shared" si="44"/>
        <v>10</v>
      </c>
      <c r="E146" s="115">
        <f t="shared" si="44"/>
        <v>8</v>
      </c>
      <c r="F146" s="115">
        <f t="shared" si="44"/>
        <v>32</v>
      </c>
      <c r="G146" s="115">
        <f t="shared" si="44"/>
        <v>11</v>
      </c>
      <c r="H146" s="124">
        <f t="shared" si="44"/>
        <v>317</v>
      </c>
      <c r="I146" s="126">
        <f t="shared" si="44"/>
        <v>470</v>
      </c>
      <c r="J146" s="136">
        <f t="shared" ref="J146:O146" si="45">SUM(J138:J145)</f>
        <v>535</v>
      </c>
      <c r="K146" s="115">
        <f t="shared" si="45"/>
        <v>647</v>
      </c>
      <c r="L146" s="115">
        <f t="shared" si="45"/>
        <v>12</v>
      </c>
      <c r="M146" s="115">
        <f t="shared" si="45"/>
        <v>45</v>
      </c>
      <c r="N146" s="115">
        <f t="shared" si="45"/>
        <v>392</v>
      </c>
      <c r="O146" s="124">
        <f t="shared" si="45"/>
        <v>249</v>
      </c>
      <c r="P146" s="126">
        <f>SUM(P138:P145)</f>
        <v>1880</v>
      </c>
      <c r="Q146" s="133">
        <f>SUM(Q138:Q145)</f>
        <v>2350</v>
      </c>
    </row>
    <row r="148" spans="1:17" ht="15.75" x14ac:dyDescent="0.25">
      <c r="A148" s="516" t="s">
        <v>124</v>
      </c>
      <c r="B148" s="516"/>
      <c r="C148" s="516"/>
      <c r="D148" s="516"/>
      <c r="E148" s="516"/>
      <c r="F148" s="516"/>
      <c r="G148" s="516"/>
      <c r="H148" s="516"/>
      <c r="I148" s="516"/>
      <c r="J148" s="516"/>
      <c r="K148" s="516"/>
      <c r="L148" s="516"/>
      <c r="M148" s="516"/>
      <c r="N148" s="516"/>
      <c r="O148" s="516"/>
      <c r="P148" s="516"/>
      <c r="Q148" s="516"/>
    </row>
    <row r="149" spans="1:17" ht="15.75" x14ac:dyDescent="0.25">
      <c r="A149" s="516" t="s">
        <v>82</v>
      </c>
      <c r="B149" s="516"/>
      <c r="C149" s="516"/>
      <c r="D149" s="516"/>
      <c r="E149" s="516"/>
      <c r="F149" s="516"/>
      <c r="G149" s="516"/>
      <c r="H149" s="516"/>
      <c r="I149" s="516"/>
      <c r="J149" s="516"/>
      <c r="K149" s="516"/>
      <c r="L149" s="516"/>
      <c r="M149" s="516"/>
      <c r="N149" s="516"/>
      <c r="O149" s="516"/>
      <c r="P149" s="516"/>
      <c r="Q149" s="516"/>
    </row>
    <row r="150" spans="1:17" ht="15.75" thickBot="1" x14ac:dyDescent="0.3">
      <c r="Q150" s="77" t="s">
        <v>1</v>
      </c>
    </row>
    <row r="151" spans="1:17" x14ac:dyDescent="0.25">
      <c r="A151" s="511" t="s">
        <v>2</v>
      </c>
      <c r="B151" s="513" t="s">
        <v>3</v>
      </c>
      <c r="C151" s="517" t="s">
        <v>114</v>
      </c>
      <c r="D151" s="518"/>
      <c r="E151" s="518"/>
      <c r="F151" s="518"/>
      <c r="G151" s="518"/>
      <c r="H151" s="518"/>
      <c r="I151" s="519" t="s">
        <v>84</v>
      </c>
      <c r="J151" s="518">
        <v>2016</v>
      </c>
      <c r="K151" s="518"/>
      <c r="L151" s="518"/>
      <c r="M151" s="518"/>
      <c r="N151" s="518"/>
      <c r="O151" s="518"/>
      <c r="P151" s="519" t="s">
        <v>85</v>
      </c>
      <c r="Q151" s="521" t="s">
        <v>5</v>
      </c>
    </row>
    <row r="152" spans="1:17" x14ac:dyDescent="0.25">
      <c r="A152" s="512"/>
      <c r="B152" s="499"/>
      <c r="C152" s="325" t="s">
        <v>15</v>
      </c>
      <c r="D152" s="325" t="s">
        <v>16</v>
      </c>
      <c r="E152" s="325" t="s">
        <v>17</v>
      </c>
      <c r="F152" s="325" t="s">
        <v>6</v>
      </c>
      <c r="G152" s="325" t="s">
        <v>77</v>
      </c>
      <c r="H152" s="122" t="s">
        <v>78</v>
      </c>
      <c r="I152" s="520"/>
      <c r="J152" s="112" t="s">
        <v>79</v>
      </c>
      <c r="K152" s="325" t="s">
        <v>10</v>
      </c>
      <c r="L152" s="325" t="s">
        <v>11</v>
      </c>
      <c r="M152" s="325" t="s">
        <v>12</v>
      </c>
      <c r="N152" s="325" t="s">
        <v>80</v>
      </c>
      <c r="O152" s="122" t="s">
        <v>81</v>
      </c>
      <c r="P152" s="520"/>
      <c r="Q152" s="522"/>
    </row>
    <row r="153" spans="1:17" ht="15.75" thickBot="1" x14ac:dyDescent="0.3">
      <c r="A153" s="114">
        <v>1</v>
      </c>
      <c r="B153" s="5">
        <v>2</v>
      </c>
      <c r="C153" s="5">
        <v>3</v>
      </c>
      <c r="D153" s="5">
        <v>4</v>
      </c>
      <c r="E153" s="5">
        <v>5</v>
      </c>
      <c r="F153" s="5">
        <v>6</v>
      </c>
      <c r="G153" s="5">
        <v>7</v>
      </c>
      <c r="H153" s="123">
        <v>8</v>
      </c>
      <c r="I153" s="125">
        <v>9</v>
      </c>
      <c r="J153" s="113">
        <v>10</v>
      </c>
      <c r="K153" s="5">
        <v>11</v>
      </c>
      <c r="L153" s="5">
        <v>12</v>
      </c>
      <c r="M153" s="5">
        <v>13</v>
      </c>
      <c r="N153" s="5">
        <v>14</v>
      </c>
      <c r="O153" s="123">
        <v>15</v>
      </c>
      <c r="P153" s="125">
        <v>16</v>
      </c>
      <c r="Q153" s="134">
        <v>17</v>
      </c>
    </row>
    <row r="154" spans="1:17" ht="15.75" thickTop="1" x14ac:dyDescent="0.25">
      <c r="A154" s="85">
        <v>1</v>
      </c>
      <c r="B154" s="7" t="s">
        <v>18</v>
      </c>
      <c r="C154" s="139">
        <v>0</v>
      </c>
      <c r="D154" s="139">
        <v>0</v>
      </c>
      <c r="E154" s="139">
        <v>0</v>
      </c>
      <c r="F154" s="139">
        <f>'padi ladang'!C42</f>
        <v>0</v>
      </c>
      <c r="G154" s="139">
        <f>'padi ladang'!D42</f>
        <v>0</v>
      </c>
      <c r="H154" s="139">
        <f>'padi ladang'!E42</f>
        <v>0</v>
      </c>
      <c r="I154" s="127">
        <f>SUM(C154:H154)</f>
        <v>0</v>
      </c>
      <c r="J154" s="162">
        <f>'padi ladang'!F42</f>
        <v>0</v>
      </c>
      <c r="K154" s="162">
        <f>'padi ladang'!G42</f>
        <v>0</v>
      </c>
      <c r="L154" s="162">
        <f>'padi ladang'!H42</f>
        <v>0</v>
      </c>
      <c r="M154" s="162">
        <f>'padi ladang'!I42</f>
        <v>0</v>
      </c>
      <c r="N154" s="162">
        <f>'padi ladang'!J42</f>
        <v>0</v>
      </c>
      <c r="O154" s="162">
        <f>'padi ladang'!K42</f>
        <v>0</v>
      </c>
      <c r="P154" s="127">
        <f>SUM(J154:O154)</f>
        <v>0</v>
      </c>
      <c r="Q154" s="130">
        <f>SUM(I154,P154)</f>
        <v>0</v>
      </c>
    </row>
    <row r="155" spans="1:17" x14ac:dyDescent="0.25">
      <c r="A155" s="86">
        <v>2</v>
      </c>
      <c r="B155" s="12" t="s">
        <v>19</v>
      </c>
      <c r="C155" s="60">
        <v>0</v>
      </c>
      <c r="D155" s="60">
        <v>0</v>
      </c>
      <c r="E155" s="60">
        <v>0</v>
      </c>
      <c r="F155" s="60">
        <f>'padi ladang'!C43</f>
        <v>0</v>
      </c>
      <c r="G155" s="60">
        <f>'padi ladang'!D43</f>
        <v>0</v>
      </c>
      <c r="H155" s="60">
        <f>'padi ladang'!E43</f>
        <v>0</v>
      </c>
      <c r="I155" s="128">
        <f t="shared" ref="I155:I161" si="46">SUM(C155:H155)</f>
        <v>0</v>
      </c>
      <c r="J155" s="135">
        <f>'padi ladang'!F43</f>
        <v>0</v>
      </c>
      <c r="K155" s="135">
        <f>'padi ladang'!G43</f>
        <v>0</v>
      </c>
      <c r="L155" s="135">
        <f>'padi ladang'!H43</f>
        <v>0</v>
      </c>
      <c r="M155" s="135">
        <f>'padi ladang'!I43</f>
        <v>0</v>
      </c>
      <c r="N155" s="135">
        <f>'padi ladang'!J43</f>
        <v>0</v>
      </c>
      <c r="O155" s="164">
        <f>'padi ladang'!K43</f>
        <v>0</v>
      </c>
      <c r="P155" s="128">
        <f t="shared" ref="P155:P160" si="47">SUM(J155:O155)</f>
        <v>0</v>
      </c>
      <c r="Q155" s="131">
        <f t="shared" ref="Q155:Q161" si="48">SUM(I155,P155)</f>
        <v>0</v>
      </c>
    </row>
    <row r="156" spans="1:17" x14ac:dyDescent="0.25">
      <c r="A156" s="86">
        <v>3</v>
      </c>
      <c r="B156" s="7" t="s">
        <v>20</v>
      </c>
      <c r="C156" s="60">
        <v>0</v>
      </c>
      <c r="D156" s="60">
        <v>0</v>
      </c>
      <c r="E156" s="60">
        <v>0</v>
      </c>
      <c r="F156" s="60">
        <f>'padi ladang'!C44</f>
        <v>0</v>
      </c>
      <c r="G156" s="60">
        <f>'padi ladang'!D44</f>
        <v>0</v>
      </c>
      <c r="H156" s="60">
        <f>'padi ladang'!E44</f>
        <v>0</v>
      </c>
      <c r="I156" s="128">
        <f t="shared" si="46"/>
        <v>0</v>
      </c>
      <c r="J156" s="135">
        <f>'padi ladang'!F44</f>
        <v>15</v>
      </c>
      <c r="K156" s="135">
        <f>'padi ladang'!G44</f>
        <v>0</v>
      </c>
      <c r="L156" s="135">
        <f>'padi ladang'!H44</f>
        <v>0</v>
      </c>
      <c r="M156" s="135">
        <f>'padi ladang'!I44</f>
        <v>0</v>
      </c>
      <c r="N156" s="135">
        <f>'padi ladang'!J44</f>
        <v>0</v>
      </c>
      <c r="O156" s="164">
        <f>'padi ladang'!K44</f>
        <v>0</v>
      </c>
      <c r="P156" s="128">
        <f t="shared" si="47"/>
        <v>15</v>
      </c>
      <c r="Q156" s="131">
        <f t="shared" si="48"/>
        <v>15</v>
      </c>
    </row>
    <row r="157" spans="1:17" x14ac:dyDescent="0.25">
      <c r="A157" s="87">
        <v>4</v>
      </c>
      <c r="B157" s="15" t="s">
        <v>21</v>
      </c>
      <c r="C157" s="60">
        <v>0</v>
      </c>
      <c r="D157" s="60">
        <v>0</v>
      </c>
      <c r="E157" s="60">
        <v>0</v>
      </c>
      <c r="F157" s="60">
        <f>'padi ladang'!C45</f>
        <v>0</v>
      </c>
      <c r="G157" s="60">
        <f>'padi ladang'!D45</f>
        <v>0</v>
      </c>
      <c r="H157" s="60">
        <f>'padi ladang'!E45</f>
        <v>0</v>
      </c>
      <c r="I157" s="128">
        <f t="shared" si="46"/>
        <v>0</v>
      </c>
      <c r="J157" s="135">
        <f>'padi ladang'!F45</f>
        <v>0</v>
      </c>
      <c r="K157" s="135">
        <f>'padi ladang'!G45</f>
        <v>0</v>
      </c>
      <c r="L157" s="135">
        <f>'padi ladang'!H45</f>
        <v>0</v>
      </c>
      <c r="M157" s="135">
        <f>'padi ladang'!I45</f>
        <v>0</v>
      </c>
      <c r="N157" s="135">
        <f>'padi ladang'!J45</f>
        <v>0</v>
      </c>
      <c r="O157" s="164">
        <f>'padi ladang'!K45</f>
        <v>0</v>
      </c>
      <c r="P157" s="128">
        <f t="shared" si="47"/>
        <v>0</v>
      </c>
      <c r="Q157" s="131">
        <f t="shared" si="48"/>
        <v>0</v>
      </c>
    </row>
    <row r="158" spans="1:17" x14ac:dyDescent="0.25">
      <c r="A158" s="87">
        <v>5</v>
      </c>
      <c r="B158" s="19" t="s">
        <v>22</v>
      </c>
      <c r="C158" s="60">
        <v>0</v>
      </c>
      <c r="D158" s="60">
        <v>0</v>
      </c>
      <c r="E158" s="60">
        <v>0</v>
      </c>
      <c r="F158" s="60">
        <f>'padi ladang'!C46</f>
        <v>0</v>
      </c>
      <c r="G158" s="60">
        <f>'padi ladang'!D46</f>
        <v>0</v>
      </c>
      <c r="H158" s="60">
        <f>'padi ladang'!E46</f>
        <v>0</v>
      </c>
      <c r="I158" s="128">
        <f t="shared" si="46"/>
        <v>0</v>
      </c>
      <c r="J158" s="135">
        <f>'padi ladang'!F46</f>
        <v>0</v>
      </c>
      <c r="K158" s="135">
        <f>'padi ladang'!G46</f>
        <v>0</v>
      </c>
      <c r="L158" s="135">
        <f>'padi ladang'!H46</f>
        <v>0</v>
      </c>
      <c r="M158" s="135">
        <f>'padi ladang'!I46</f>
        <v>0</v>
      </c>
      <c r="N158" s="135">
        <f>'padi ladang'!J46</f>
        <v>0</v>
      </c>
      <c r="O158" s="164">
        <f>'padi ladang'!K46</f>
        <v>0</v>
      </c>
      <c r="P158" s="128">
        <f t="shared" si="47"/>
        <v>0</v>
      </c>
      <c r="Q158" s="131">
        <f t="shared" si="48"/>
        <v>0</v>
      </c>
    </row>
    <row r="159" spans="1:17" x14ac:dyDescent="0.25">
      <c r="A159" s="87">
        <v>6</v>
      </c>
      <c r="B159" s="19" t="s">
        <v>23</v>
      </c>
      <c r="C159" s="60">
        <v>0</v>
      </c>
      <c r="D159" s="60">
        <v>0</v>
      </c>
      <c r="E159" s="60">
        <v>0</v>
      </c>
      <c r="F159" s="60">
        <f>'padi ladang'!C47</f>
        <v>0</v>
      </c>
      <c r="G159" s="60">
        <f>'padi ladang'!D47</f>
        <v>0</v>
      </c>
      <c r="H159" s="60">
        <f>'padi ladang'!E47</f>
        <v>0</v>
      </c>
      <c r="I159" s="128">
        <f t="shared" si="46"/>
        <v>0</v>
      </c>
      <c r="J159" s="135">
        <f>'padi ladang'!F47</f>
        <v>0</v>
      </c>
      <c r="K159" s="135">
        <f>'padi ladang'!G47</f>
        <v>0</v>
      </c>
      <c r="L159" s="135">
        <f>'padi ladang'!H47</f>
        <v>0</v>
      </c>
      <c r="M159" s="135">
        <f>'padi ladang'!I47</f>
        <v>0</v>
      </c>
      <c r="N159" s="135">
        <f>'padi ladang'!J47</f>
        <v>0</v>
      </c>
      <c r="O159" s="164">
        <f>'padi ladang'!K47</f>
        <v>0</v>
      </c>
      <c r="P159" s="128">
        <f t="shared" si="47"/>
        <v>0</v>
      </c>
      <c r="Q159" s="131">
        <f t="shared" si="48"/>
        <v>0</v>
      </c>
    </row>
    <row r="160" spans="1:17" x14ac:dyDescent="0.25">
      <c r="A160" s="87">
        <v>7</v>
      </c>
      <c r="B160" s="19" t="s">
        <v>24</v>
      </c>
      <c r="C160" s="60">
        <v>0</v>
      </c>
      <c r="D160" s="60">
        <v>0</v>
      </c>
      <c r="E160" s="60">
        <v>0</v>
      </c>
      <c r="F160" s="60">
        <f>'padi ladang'!C48</f>
        <v>0</v>
      </c>
      <c r="G160" s="60">
        <f>'padi ladang'!D48</f>
        <v>0</v>
      </c>
      <c r="H160" s="60">
        <f>'padi ladang'!E48</f>
        <v>0</v>
      </c>
      <c r="I160" s="128">
        <f t="shared" si="46"/>
        <v>0</v>
      </c>
      <c r="J160" s="135">
        <f>'padi ladang'!F48</f>
        <v>0</v>
      </c>
      <c r="K160" s="135">
        <f>'padi ladang'!G48</f>
        <v>0</v>
      </c>
      <c r="L160" s="135">
        <f>'padi ladang'!H48</f>
        <v>0</v>
      </c>
      <c r="M160" s="135">
        <f>'padi ladang'!I48</f>
        <v>0</v>
      </c>
      <c r="N160" s="135">
        <f>'padi ladang'!J48</f>
        <v>0</v>
      </c>
      <c r="O160" s="164">
        <f>'padi ladang'!K48</f>
        <v>0</v>
      </c>
      <c r="P160" s="128">
        <f t="shared" si="47"/>
        <v>0</v>
      </c>
      <c r="Q160" s="131">
        <f t="shared" si="48"/>
        <v>0</v>
      </c>
    </row>
    <row r="161" spans="1:17" ht="15.75" thickBot="1" x14ac:dyDescent="0.3">
      <c r="A161" s="88">
        <v>8</v>
      </c>
      <c r="B161" s="15" t="s">
        <v>25</v>
      </c>
      <c r="C161" s="140">
        <v>0</v>
      </c>
      <c r="D161" s="140">
        <v>0</v>
      </c>
      <c r="E161" s="140">
        <v>0</v>
      </c>
      <c r="F161" s="140">
        <f>'padi ladang'!C49</f>
        <v>0</v>
      </c>
      <c r="G161" s="140">
        <f>'padi ladang'!D49</f>
        <v>0</v>
      </c>
      <c r="H161" s="140">
        <f>'padi ladang'!E49</f>
        <v>0</v>
      </c>
      <c r="I161" s="129">
        <f t="shared" si="46"/>
        <v>0</v>
      </c>
      <c r="J161" s="329">
        <f>'padi ladang'!F49</f>
        <v>0</v>
      </c>
      <c r="K161" s="329">
        <f>'padi ladang'!G49</f>
        <v>0</v>
      </c>
      <c r="L161" s="329">
        <f>'padi ladang'!H49</f>
        <v>0</v>
      </c>
      <c r="M161" s="329">
        <f>'padi ladang'!I49</f>
        <v>0</v>
      </c>
      <c r="N161" s="329">
        <f>'padi ladang'!J49</f>
        <v>0</v>
      </c>
      <c r="O161" s="329">
        <f>'padi ladang'!K49</f>
        <v>0</v>
      </c>
      <c r="P161" s="129">
        <f>SUM(J161:O161)</f>
        <v>0</v>
      </c>
      <c r="Q161" s="132">
        <f t="shared" si="48"/>
        <v>0</v>
      </c>
    </row>
    <row r="162" spans="1:17" ht="16.5" thickTop="1" thickBot="1" x14ac:dyDescent="0.3">
      <c r="A162" s="514" t="s">
        <v>26</v>
      </c>
      <c r="B162" s="515"/>
      <c r="C162" s="115">
        <f t="shared" ref="C162:I162" si="49">SUM(C154:C161)</f>
        <v>0</v>
      </c>
      <c r="D162" s="115">
        <f t="shared" si="49"/>
        <v>0</v>
      </c>
      <c r="E162" s="115">
        <f t="shared" si="49"/>
        <v>0</v>
      </c>
      <c r="F162" s="115">
        <f t="shared" si="49"/>
        <v>0</v>
      </c>
      <c r="G162" s="115">
        <f t="shared" si="49"/>
        <v>0</v>
      </c>
      <c r="H162" s="124">
        <f t="shared" si="49"/>
        <v>0</v>
      </c>
      <c r="I162" s="126">
        <f t="shared" si="49"/>
        <v>0</v>
      </c>
      <c r="J162" s="136">
        <f t="shared" ref="J162:O162" si="50">SUM(J154:J161)</f>
        <v>15</v>
      </c>
      <c r="K162" s="115">
        <f t="shared" si="50"/>
        <v>0</v>
      </c>
      <c r="L162" s="115">
        <f t="shared" si="50"/>
        <v>0</v>
      </c>
      <c r="M162" s="115">
        <f t="shared" si="50"/>
        <v>0</v>
      </c>
      <c r="N162" s="115">
        <f t="shared" si="50"/>
        <v>0</v>
      </c>
      <c r="O162" s="124">
        <f t="shared" si="50"/>
        <v>0</v>
      </c>
      <c r="P162" s="126">
        <f>SUM(P154:P161)</f>
        <v>15</v>
      </c>
      <c r="Q162" s="133">
        <f>SUM(Q154:Q161)</f>
        <v>15</v>
      </c>
    </row>
    <row r="164" spans="1:17" ht="15.75" x14ac:dyDescent="0.25">
      <c r="A164" s="516" t="s">
        <v>125</v>
      </c>
      <c r="B164" s="516"/>
      <c r="C164" s="516"/>
      <c r="D164" s="516"/>
      <c r="E164" s="516"/>
      <c r="F164" s="516"/>
      <c r="G164" s="516"/>
      <c r="H164" s="516"/>
      <c r="I164" s="516"/>
      <c r="J164" s="516"/>
      <c r="K164" s="516"/>
      <c r="L164" s="516"/>
      <c r="M164" s="516"/>
      <c r="N164" s="516"/>
      <c r="O164" s="516"/>
      <c r="P164" s="516"/>
      <c r="Q164" s="516"/>
    </row>
    <row r="165" spans="1:17" ht="15.75" x14ac:dyDescent="0.25">
      <c r="A165" s="516" t="s">
        <v>82</v>
      </c>
      <c r="B165" s="516"/>
      <c r="C165" s="516"/>
      <c r="D165" s="516"/>
      <c r="E165" s="516"/>
      <c r="F165" s="516"/>
      <c r="G165" s="516"/>
      <c r="H165" s="516"/>
      <c r="I165" s="516"/>
      <c r="J165" s="516"/>
      <c r="K165" s="516"/>
      <c r="L165" s="516"/>
      <c r="M165" s="516"/>
      <c r="N165" s="516"/>
      <c r="O165" s="516"/>
      <c r="P165" s="516"/>
      <c r="Q165" s="516"/>
    </row>
    <row r="166" spans="1:17" ht="15.75" thickBot="1" x14ac:dyDescent="0.3">
      <c r="Q166" s="77" t="s">
        <v>1</v>
      </c>
    </row>
    <row r="167" spans="1:17" x14ac:dyDescent="0.25">
      <c r="A167" s="511" t="s">
        <v>2</v>
      </c>
      <c r="B167" s="513" t="s">
        <v>3</v>
      </c>
      <c r="C167" s="517" t="s">
        <v>114</v>
      </c>
      <c r="D167" s="518"/>
      <c r="E167" s="518"/>
      <c r="F167" s="518"/>
      <c r="G167" s="518"/>
      <c r="H167" s="518"/>
      <c r="I167" s="519" t="s">
        <v>84</v>
      </c>
      <c r="J167" s="518">
        <v>2016</v>
      </c>
      <c r="K167" s="518"/>
      <c r="L167" s="518"/>
      <c r="M167" s="518"/>
      <c r="N167" s="518"/>
      <c r="O167" s="518"/>
      <c r="P167" s="519" t="s">
        <v>85</v>
      </c>
      <c r="Q167" s="521" t="s">
        <v>5</v>
      </c>
    </row>
    <row r="168" spans="1:17" x14ac:dyDescent="0.25">
      <c r="A168" s="512"/>
      <c r="B168" s="499"/>
      <c r="C168" s="325" t="s">
        <v>15</v>
      </c>
      <c r="D168" s="325" t="s">
        <v>16</v>
      </c>
      <c r="E168" s="325" t="s">
        <v>17</v>
      </c>
      <c r="F168" s="325" t="s">
        <v>6</v>
      </c>
      <c r="G168" s="325" t="s">
        <v>77</v>
      </c>
      <c r="H168" s="122" t="s">
        <v>78</v>
      </c>
      <c r="I168" s="520"/>
      <c r="J168" s="112" t="s">
        <v>79</v>
      </c>
      <c r="K168" s="325" t="s">
        <v>10</v>
      </c>
      <c r="L168" s="325" t="s">
        <v>11</v>
      </c>
      <c r="M168" s="325" t="s">
        <v>12</v>
      </c>
      <c r="N168" s="325" t="s">
        <v>80</v>
      </c>
      <c r="O168" s="122" t="s">
        <v>81</v>
      </c>
      <c r="P168" s="520"/>
      <c r="Q168" s="522"/>
    </row>
    <row r="169" spans="1:17" ht="15.75" thickBot="1" x14ac:dyDescent="0.3">
      <c r="A169" s="114">
        <v>1</v>
      </c>
      <c r="B169" s="5">
        <v>2</v>
      </c>
      <c r="C169" s="5">
        <v>3</v>
      </c>
      <c r="D169" s="5">
        <v>4</v>
      </c>
      <c r="E169" s="5">
        <v>5</v>
      </c>
      <c r="F169" s="5">
        <v>6</v>
      </c>
      <c r="G169" s="5">
        <v>7</v>
      </c>
      <c r="H169" s="123">
        <v>8</v>
      </c>
      <c r="I169" s="125">
        <v>9</v>
      </c>
      <c r="J169" s="113">
        <v>10</v>
      </c>
      <c r="K169" s="5">
        <v>11</v>
      </c>
      <c r="L169" s="5">
        <v>12</v>
      </c>
      <c r="M169" s="5">
        <v>13</v>
      </c>
      <c r="N169" s="5">
        <v>14</v>
      </c>
      <c r="O169" s="123">
        <v>15</v>
      </c>
      <c r="P169" s="125">
        <v>16</v>
      </c>
      <c r="Q169" s="134">
        <v>17</v>
      </c>
    </row>
    <row r="170" spans="1:17" ht="15.75" thickTop="1" x14ac:dyDescent="0.25">
      <c r="A170" s="85">
        <v>1</v>
      </c>
      <c r="B170" s="7" t="s">
        <v>18</v>
      </c>
      <c r="C170" s="139">
        <v>0</v>
      </c>
      <c r="D170" s="139">
        <v>0</v>
      </c>
      <c r="E170" s="139">
        <v>0</v>
      </c>
      <c r="F170" s="139">
        <f>jagung!C42</f>
        <v>0</v>
      </c>
      <c r="G170" s="332" t="str">
        <f>jagung!D42</f>
        <v>2*</v>
      </c>
      <c r="H170" s="332" t="str">
        <f>jagung!E42</f>
        <v>5*</v>
      </c>
      <c r="I170" s="333" t="s">
        <v>128</v>
      </c>
      <c r="J170" s="162">
        <f>jagung!F42</f>
        <v>0</v>
      </c>
      <c r="K170" s="162">
        <f>jagung!G42</f>
        <v>0</v>
      </c>
      <c r="L170" s="162" t="str">
        <f>jagung!H42</f>
        <v>1*</v>
      </c>
      <c r="M170" s="162">
        <f>jagung!I42</f>
        <v>0</v>
      </c>
      <c r="N170" s="162">
        <f>jagung!J42</f>
        <v>0</v>
      </c>
      <c r="O170" s="162">
        <f>jagung!K42</f>
        <v>0</v>
      </c>
      <c r="P170" s="127">
        <f>SUM(J170:O170)</f>
        <v>0</v>
      </c>
      <c r="Q170" s="130">
        <f>SUM(I170,P170)</f>
        <v>0</v>
      </c>
    </row>
    <row r="171" spans="1:17" x14ac:dyDescent="0.25">
      <c r="A171" s="86">
        <v>2</v>
      </c>
      <c r="B171" s="12" t="s">
        <v>19</v>
      </c>
      <c r="C171" s="60">
        <v>0</v>
      </c>
      <c r="D171" s="60">
        <v>0</v>
      </c>
      <c r="E171" s="60">
        <v>0</v>
      </c>
      <c r="F171" s="60">
        <f>jagung!C43</f>
        <v>0</v>
      </c>
      <c r="G171" s="340">
        <f>jagung!D43</f>
        <v>0</v>
      </c>
      <c r="H171" s="340">
        <f>jagung!E43</f>
        <v>0</v>
      </c>
      <c r="I171" s="334">
        <f t="shared" ref="I171:I176" si="51">SUM(C171:H171)</f>
        <v>0</v>
      </c>
      <c r="J171" s="135">
        <f>jagung!F43</f>
        <v>0</v>
      </c>
      <c r="K171" s="135">
        <f>jagung!G43</f>
        <v>1</v>
      </c>
      <c r="L171" s="135">
        <f>jagung!H43</f>
        <v>0</v>
      </c>
      <c r="M171" s="135" t="str">
        <f>jagung!I43</f>
        <v>1*</v>
      </c>
      <c r="N171" s="135">
        <f>jagung!J43</f>
        <v>0</v>
      </c>
      <c r="O171" s="164">
        <f>jagung!K43</f>
        <v>0</v>
      </c>
      <c r="P171" s="128">
        <f t="shared" ref="P171:P176" si="52">SUM(J171:O171)</f>
        <v>1</v>
      </c>
      <c r="Q171" s="131">
        <f t="shared" ref="Q171:Q177" si="53">SUM(I171,P171)</f>
        <v>1</v>
      </c>
    </row>
    <row r="172" spans="1:17" x14ac:dyDescent="0.25">
      <c r="A172" s="86">
        <v>3</v>
      </c>
      <c r="B172" s="7" t="s">
        <v>20</v>
      </c>
      <c r="C172" s="60">
        <v>0</v>
      </c>
      <c r="D172" s="60">
        <v>0</v>
      </c>
      <c r="E172" s="60">
        <v>0</v>
      </c>
      <c r="F172" s="60">
        <f>jagung!C44</f>
        <v>0</v>
      </c>
      <c r="G172" s="340">
        <f>jagung!D44</f>
        <v>0</v>
      </c>
      <c r="H172" s="340">
        <f>jagung!E44</f>
        <v>0</v>
      </c>
      <c r="I172" s="334">
        <f t="shared" si="51"/>
        <v>0</v>
      </c>
      <c r="J172" s="135">
        <f>jagung!F44</f>
        <v>1</v>
      </c>
      <c r="K172" s="135">
        <f>jagung!G44</f>
        <v>0</v>
      </c>
      <c r="L172" s="135">
        <f>jagung!H44</f>
        <v>0</v>
      </c>
      <c r="M172" s="135">
        <f>jagung!I44</f>
        <v>0</v>
      </c>
      <c r="N172" s="135">
        <f>jagung!J44</f>
        <v>5</v>
      </c>
      <c r="O172" s="164">
        <f>jagung!K44</f>
        <v>6</v>
      </c>
      <c r="P172" s="128">
        <f t="shared" si="52"/>
        <v>12</v>
      </c>
      <c r="Q172" s="131">
        <f t="shared" si="53"/>
        <v>12</v>
      </c>
    </row>
    <row r="173" spans="1:17" x14ac:dyDescent="0.25">
      <c r="A173" s="87">
        <v>4</v>
      </c>
      <c r="B173" s="15" t="s">
        <v>21</v>
      </c>
      <c r="C173" s="60">
        <v>0</v>
      </c>
      <c r="D173" s="60">
        <v>0</v>
      </c>
      <c r="E173" s="60">
        <v>0</v>
      </c>
      <c r="F173" s="60">
        <f>jagung!C45</f>
        <v>0</v>
      </c>
      <c r="G173" s="340">
        <f>jagung!D45</f>
        <v>0</v>
      </c>
      <c r="H173" s="340">
        <f>jagung!E45</f>
        <v>0</v>
      </c>
      <c r="I173" s="334">
        <f t="shared" si="51"/>
        <v>0</v>
      </c>
      <c r="J173" s="135">
        <f>jagung!F45</f>
        <v>1</v>
      </c>
      <c r="K173" s="135">
        <f>jagung!G45</f>
        <v>0</v>
      </c>
      <c r="L173" s="135" t="str">
        <f>jagung!H45</f>
        <v>1*</v>
      </c>
      <c r="M173" s="135" t="str">
        <f>jagung!I45</f>
        <v>1*</v>
      </c>
      <c r="N173" s="135">
        <f>jagung!J45</f>
        <v>0</v>
      </c>
      <c r="O173" s="164">
        <f>jagung!K45</f>
        <v>0</v>
      </c>
      <c r="P173" s="128">
        <f t="shared" si="52"/>
        <v>1</v>
      </c>
      <c r="Q173" s="131">
        <f t="shared" si="53"/>
        <v>1</v>
      </c>
    </row>
    <row r="174" spans="1:17" x14ac:dyDescent="0.25">
      <c r="A174" s="87">
        <v>5</v>
      </c>
      <c r="B174" s="19" t="s">
        <v>22</v>
      </c>
      <c r="C174" s="60">
        <v>0</v>
      </c>
      <c r="D174" s="60">
        <v>0</v>
      </c>
      <c r="E174" s="60">
        <v>1</v>
      </c>
      <c r="F174" s="60">
        <f>jagung!C46</f>
        <v>0</v>
      </c>
      <c r="G174" s="340">
        <f>jagung!D46</f>
        <v>0</v>
      </c>
      <c r="H174" s="340">
        <f>jagung!E46</f>
        <v>0</v>
      </c>
      <c r="I174" s="334">
        <f t="shared" si="51"/>
        <v>1</v>
      </c>
      <c r="J174" s="135">
        <f>jagung!F46</f>
        <v>0</v>
      </c>
      <c r="K174" s="135">
        <f>jagung!G46</f>
        <v>1</v>
      </c>
      <c r="L174" s="135">
        <f>jagung!H46</f>
        <v>0</v>
      </c>
      <c r="M174" s="135">
        <f>jagung!I46</f>
        <v>0</v>
      </c>
      <c r="N174" s="135">
        <f>jagung!J46</f>
        <v>0</v>
      </c>
      <c r="O174" s="164">
        <f>jagung!K46</f>
        <v>3</v>
      </c>
      <c r="P174" s="128">
        <f t="shared" si="52"/>
        <v>4</v>
      </c>
      <c r="Q174" s="131">
        <f t="shared" si="53"/>
        <v>5</v>
      </c>
    </row>
    <row r="175" spans="1:17" x14ac:dyDescent="0.25">
      <c r="A175" s="87">
        <v>6</v>
      </c>
      <c r="B175" s="19" t="s">
        <v>23</v>
      </c>
      <c r="C175" s="60">
        <v>0</v>
      </c>
      <c r="D175" s="60">
        <v>0</v>
      </c>
      <c r="E175" s="60">
        <v>0</v>
      </c>
      <c r="F175" s="60">
        <f>jagung!C47</f>
        <v>0</v>
      </c>
      <c r="G175" s="340">
        <f>jagung!D47</f>
        <v>0</v>
      </c>
      <c r="H175" s="340">
        <f>jagung!E47</f>
        <v>0</v>
      </c>
      <c r="I175" s="334">
        <f t="shared" si="51"/>
        <v>0</v>
      </c>
      <c r="J175" s="135">
        <f>jagung!F47</f>
        <v>0</v>
      </c>
      <c r="K175" s="135">
        <f>jagung!G47</f>
        <v>0</v>
      </c>
      <c r="L175" s="135">
        <f>jagung!H47</f>
        <v>0</v>
      </c>
      <c r="M175" s="135" t="str">
        <f>jagung!I47</f>
        <v>1*</v>
      </c>
      <c r="N175" s="135">
        <f>jagung!J47</f>
        <v>0</v>
      </c>
      <c r="O175" s="164">
        <f>jagung!K47</f>
        <v>0</v>
      </c>
      <c r="P175" s="128">
        <f t="shared" si="52"/>
        <v>0</v>
      </c>
      <c r="Q175" s="131">
        <f t="shared" si="53"/>
        <v>0</v>
      </c>
    </row>
    <row r="176" spans="1:17" x14ac:dyDescent="0.25">
      <c r="A176" s="87">
        <v>7</v>
      </c>
      <c r="B176" s="19" t="s">
        <v>24</v>
      </c>
      <c r="C176" s="60">
        <v>0</v>
      </c>
      <c r="D176" s="60">
        <v>0</v>
      </c>
      <c r="E176" s="60">
        <v>0</v>
      </c>
      <c r="F176" s="60">
        <f>jagung!C48</f>
        <v>0</v>
      </c>
      <c r="G176" s="340">
        <f>jagung!D48</f>
        <v>0</v>
      </c>
      <c r="H176" s="340">
        <f>jagung!E48</f>
        <v>0</v>
      </c>
      <c r="I176" s="334">
        <f t="shared" si="51"/>
        <v>0</v>
      </c>
      <c r="J176" s="135">
        <f>jagung!F48</f>
        <v>0</v>
      </c>
      <c r="K176" s="135">
        <f>jagung!G48</f>
        <v>0</v>
      </c>
      <c r="L176" s="135">
        <f>jagung!H48</f>
        <v>0</v>
      </c>
      <c r="M176" s="135">
        <f>jagung!I48</f>
        <v>0.2</v>
      </c>
      <c r="N176" s="135">
        <f>jagung!J48</f>
        <v>0</v>
      </c>
      <c r="O176" s="164">
        <f>jagung!K48</f>
        <v>0</v>
      </c>
      <c r="P176" s="128">
        <f t="shared" si="52"/>
        <v>0.2</v>
      </c>
      <c r="Q176" s="131">
        <f t="shared" si="53"/>
        <v>0.2</v>
      </c>
    </row>
    <row r="177" spans="1:17" ht="15.75" thickBot="1" x14ac:dyDescent="0.3">
      <c r="A177" s="88">
        <v>8</v>
      </c>
      <c r="B177" s="15" t="s">
        <v>25</v>
      </c>
      <c r="C177" s="140">
        <v>0</v>
      </c>
      <c r="D177" s="140">
        <v>0</v>
      </c>
      <c r="E177" s="140">
        <v>0</v>
      </c>
      <c r="F177" s="140">
        <f>jagung!C49</f>
        <v>0</v>
      </c>
      <c r="G177" s="339">
        <f>jagung!D49</f>
        <v>0</v>
      </c>
      <c r="H177" s="339" t="str">
        <f>jagung!E49</f>
        <v>3*</v>
      </c>
      <c r="I177" s="335" t="s">
        <v>121</v>
      </c>
      <c r="J177" s="329">
        <f>jagung!F49</f>
        <v>0</v>
      </c>
      <c r="K177" s="329" t="str">
        <f>jagung!G49</f>
        <v>1*</v>
      </c>
      <c r="L177" s="329">
        <f>jagung!H49</f>
        <v>0</v>
      </c>
      <c r="M177" s="329">
        <f>jagung!I49</f>
        <v>0</v>
      </c>
      <c r="N177" s="329">
        <f>jagung!J49</f>
        <v>1</v>
      </c>
      <c r="O177" s="329">
        <f>jagung!K49</f>
        <v>0</v>
      </c>
      <c r="P177" s="129">
        <f>SUM(J177:O177)</f>
        <v>1</v>
      </c>
      <c r="Q177" s="132">
        <f t="shared" si="53"/>
        <v>1</v>
      </c>
    </row>
    <row r="178" spans="1:17" ht="16.5" thickTop="1" thickBot="1" x14ac:dyDescent="0.3">
      <c r="A178" s="514" t="s">
        <v>26</v>
      </c>
      <c r="B178" s="515"/>
      <c r="C178" s="115">
        <f>SUM(C170:C177)</f>
        <v>0</v>
      </c>
      <c r="D178" s="115">
        <f>SUM(D170:D177)</f>
        <v>0</v>
      </c>
      <c r="E178" s="115">
        <f>SUM(E170:E177)</f>
        <v>1</v>
      </c>
      <c r="F178" s="115">
        <f>SUM(F170:F177)</f>
        <v>0</v>
      </c>
      <c r="G178" s="336" t="s">
        <v>119</v>
      </c>
      <c r="H178" s="337" t="s">
        <v>127</v>
      </c>
      <c r="I178" s="338">
        <v>11</v>
      </c>
      <c r="J178" s="136">
        <f t="shared" ref="J178:O178" si="54">SUM(J170:J177)</f>
        <v>2</v>
      </c>
      <c r="K178" s="115">
        <f t="shared" si="54"/>
        <v>2</v>
      </c>
      <c r="L178" s="115">
        <f t="shared" si="54"/>
        <v>0</v>
      </c>
      <c r="M178" s="115">
        <f t="shared" si="54"/>
        <v>0.2</v>
      </c>
      <c r="N178" s="115">
        <f t="shared" si="54"/>
        <v>6</v>
      </c>
      <c r="O178" s="124">
        <f t="shared" si="54"/>
        <v>9</v>
      </c>
      <c r="P178" s="126">
        <f>SUM(P170:P177)</f>
        <v>19.2</v>
      </c>
      <c r="Q178" s="133">
        <f>SUM(Q170:Q177)</f>
        <v>20.2</v>
      </c>
    </row>
    <row r="179" spans="1:17" x14ac:dyDescent="0.25">
      <c r="A179" s="100" t="s">
        <v>75</v>
      </c>
      <c r="B179" s="97"/>
      <c r="C179" s="330"/>
      <c r="D179" s="330"/>
      <c r="E179" s="330"/>
      <c r="F179" s="330"/>
      <c r="G179" s="330"/>
      <c r="H179" s="330"/>
      <c r="I179" s="330"/>
      <c r="J179" s="331"/>
      <c r="K179" s="330"/>
      <c r="L179" s="330"/>
      <c r="M179" s="330"/>
      <c r="N179" s="330"/>
      <c r="O179" s="330"/>
      <c r="P179" s="330"/>
      <c r="Q179" s="330"/>
    </row>
    <row r="181" spans="1:17" ht="15.75" x14ac:dyDescent="0.25">
      <c r="A181" s="516" t="s">
        <v>126</v>
      </c>
      <c r="B181" s="516"/>
      <c r="C181" s="516"/>
      <c r="D181" s="516"/>
      <c r="E181" s="516"/>
      <c r="F181" s="516"/>
      <c r="G181" s="516"/>
      <c r="H181" s="516"/>
      <c r="I181" s="516"/>
      <c r="J181" s="516"/>
      <c r="K181" s="516"/>
      <c r="L181" s="516"/>
      <c r="M181" s="516"/>
      <c r="N181" s="516"/>
      <c r="O181" s="516"/>
      <c r="P181" s="516"/>
      <c r="Q181" s="516"/>
    </row>
    <row r="182" spans="1:17" ht="15.75" x14ac:dyDescent="0.25">
      <c r="A182" s="516" t="s">
        <v>82</v>
      </c>
      <c r="B182" s="516"/>
      <c r="C182" s="516"/>
      <c r="D182" s="516"/>
      <c r="E182" s="516"/>
      <c r="F182" s="516"/>
      <c r="G182" s="516"/>
      <c r="H182" s="516"/>
      <c r="I182" s="516"/>
      <c r="J182" s="516"/>
      <c r="K182" s="516"/>
      <c r="L182" s="516"/>
      <c r="M182" s="516"/>
      <c r="N182" s="516"/>
      <c r="O182" s="516"/>
      <c r="P182" s="516"/>
      <c r="Q182" s="516"/>
    </row>
    <row r="183" spans="1:17" ht="15.75" thickBot="1" x14ac:dyDescent="0.3">
      <c r="Q183" s="77" t="s">
        <v>1</v>
      </c>
    </row>
    <row r="184" spans="1:17" x14ac:dyDescent="0.25">
      <c r="A184" s="511" t="s">
        <v>2</v>
      </c>
      <c r="B184" s="513" t="s">
        <v>3</v>
      </c>
      <c r="C184" s="517" t="s">
        <v>114</v>
      </c>
      <c r="D184" s="518"/>
      <c r="E184" s="518"/>
      <c r="F184" s="518"/>
      <c r="G184" s="518"/>
      <c r="H184" s="518"/>
      <c r="I184" s="519" t="s">
        <v>84</v>
      </c>
      <c r="J184" s="518">
        <v>2016</v>
      </c>
      <c r="K184" s="518"/>
      <c r="L184" s="518"/>
      <c r="M184" s="518"/>
      <c r="N184" s="518"/>
      <c r="O184" s="518"/>
      <c r="P184" s="519" t="s">
        <v>85</v>
      </c>
      <c r="Q184" s="521" t="s">
        <v>5</v>
      </c>
    </row>
    <row r="185" spans="1:17" x14ac:dyDescent="0.25">
      <c r="A185" s="512"/>
      <c r="B185" s="499"/>
      <c r="C185" s="325" t="s">
        <v>15</v>
      </c>
      <c r="D185" s="325" t="s">
        <v>16</v>
      </c>
      <c r="E185" s="325" t="s">
        <v>17</v>
      </c>
      <c r="F185" s="325" t="s">
        <v>6</v>
      </c>
      <c r="G185" s="325" t="s">
        <v>77</v>
      </c>
      <c r="H185" s="122" t="s">
        <v>78</v>
      </c>
      <c r="I185" s="520"/>
      <c r="J185" s="112" t="s">
        <v>79</v>
      </c>
      <c r="K185" s="325" t="s">
        <v>10</v>
      </c>
      <c r="L185" s="325" t="s">
        <v>11</v>
      </c>
      <c r="M185" s="325" t="s">
        <v>12</v>
      </c>
      <c r="N185" s="325" t="s">
        <v>80</v>
      </c>
      <c r="O185" s="122" t="s">
        <v>81</v>
      </c>
      <c r="P185" s="520"/>
      <c r="Q185" s="522"/>
    </row>
    <row r="186" spans="1:17" ht="15.75" thickBot="1" x14ac:dyDescent="0.3">
      <c r="A186" s="114">
        <v>1</v>
      </c>
      <c r="B186" s="5">
        <v>2</v>
      </c>
      <c r="C186" s="5">
        <v>3</v>
      </c>
      <c r="D186" s="5">
        <v>4</v>
      </c>
      <c r="E186" s="5">
        <v>5</v>
      </c>
      <c r="F186" s="5">
        <v>6</v>
      </c>
      <c r="G186" s="5">
        <v>7</v>
      </c>
      <c r="H186" s="123">
        <v>8</v>
      </c>
      <c r="I186" s="125">
        <v>9</v>
      </c>
      <c r="J186" s="113">
        <v>10</v>
      </c>
      <c r="K186" s="5">
        <v>11</v>
      </c>
      <c r="L186" s="5">
        <v>12</v>
      </c>
      <c r="M186" s="5">
        <v>13</v>
      </c>
      <c r="N186" s="5">
        <v>14</v>
      </c>
      <c r="O186" s="123">
        <v>15</v>
      </c>
      <c r="P186" s="125">
        <v>16</v>
      </c>
      <c r="Q186" s="134">
        <v>17</v>
      </c>
    </row>
    <row r="187" spans="1:17" ht="15.75" thickTop="1" x14ac:dyDescent="0.25">
      <c r="A187" s="85">
        <v>1</v>
      </c>
      <c r="B187" s="7" t="s">
        <v>18</v>
      </c>
      <c r="C187" s="139">
        <v>0</v>
      </c>
      <c r="D187" s="139">
        <v>0</v>
      </c>
      <c r="E187" s="139">
        <v>0</v>
      </c>
      <c r="F187" s="139">
        <f>kedelai!C42</f>
        <v>0</v>
      </c>
      <c r="G187" s="139">
        <f>kedelai!D42</f>
        <v>0</v>
      </c>
      <c r="H187" s="139">
        <f>kedelai!E42</f>
        <v>0</v>
      </c>
      <c r="I187" s="127">
        <f>SUM(C187:H187)</f>
        <v>0</v>
      </c>
      <c r="J187" s="162">
        <f>kedelai!F42</f>
        <v>0</v>
      </c>
      <c r="K187" s="162">
        <f>kedelai!G42</f>
        <v>0</v>
      </c>
      <c r="L187" s="162">
        <f>kedelai!H42</f>
        <v>0</v>
      </c>
      <c r="M187" s="162">
        <f>kedelai!I42</f>
        <v>0</v>
      </c>
      <c r="N187" s="162">
        <f>kedelai!J42</f>
        <v>0</v>
      </c>
      <c r="O187" s="162">
        <f>kedelai!K42</f>
        <v>0</v>
      </c>
      <c r="P187" s="127">
        <f>SUM(J187:O187)</f>
        <v>0</v>
      </c>
      <c r="Q187" s="130">
        <f>SUM(I187,P187)</f>
        <v>0</v>
      </c>
    </row>
    <row r="188" spans="1:17" x14ac:dyDescent="0.25">
      <c r="A188" s="86">
        <v>2</v>
      </c>
      <c r="B188" s="12" t="s">
        <v>19</v>
      </c>
      <c r="C188" s="60">
        <v>0</v>
      </c>
      <c r="D188" s="60">
        <v>0</v>
      </c>
      <c r="E188" s="60">
        <v>0</v>
      </c>
      <c r="F188" s="60">
        <f>kedelai!C43</f>
        <v>1</v>
      </c>
      <c r="G188" s="60">
        <f>kedelai!D43</f>
        <v>2</v>
      </c>
      <c r="H188" s="60">
        <f>kedelai!E43</f>
        <v>19</v>
      </c>
      <c r="I188" s="128">
        <f t="shared" ref="I188:I194" si="55">SUM(C188:H188)</f>
        <v>22</v>
      </c>
      <c r="J188" s="135">
        <f>kedelai!F43</f>
        <v>3</v>
      </c>
      <c r="K188" s="135">
        <f>kedelai!G43</f>
        <v>6</v>
      </c>
      <c r="L188" s="135">
        <f>kedelai!H43</f>
        <v>0</v>
      </c>
      <c r="M188" s="135">
        <f>kedelai!I43</f>
        <v>0</v>
      </c>
      <c r="N188" s="135">
        <f>kedelai!J43</f>
        <v>0</v>
      </c>
      <c r="O188" s="164">
        <f>kedelai!K43</f>
        <v>0</v>
      </c>
      <c r="P188" s="128">
        <f t="shared" ref="P188:P193" si="56">SUM(J188:O188)</f>
        <v>9</v>
      </c>
      <c r="Q188" s="131">
        <f t="shared" ref="Q188:Q194" si="57">SUM(I188,P188)</f>
        <v>31</v>
      </c>
    </row>
    <row r="189" spans="1:17" x14ac:dyDescent="0.25">
      <c r="A189" s="86">
        <v>3</v>
      </c>
      <c r="B189" s="7" t="s">
        <v>20</v>
      </c>
      <c r="C189" s="60">
        <v>0</v>
      </c>
      <c r="D189" s="60">
        <v>0</v>
      </c>
      <c r="E189" s="60">
        <v>0</v>
      </c>
      <c r="F189" s="60">
        <f>kedelai!C44</f>
        <v>0</v>
      </c>
      <c r="G189" s="60">
        <f>kedelai!D44</f>
        <v>0</v>
      </c>
      <c r="H189" s="340" t="str">
        <f>kedelai!E44</f>
        <v>40*</v>
      </c>
      <c r="I189" s="334" t="s">
        <v>122</v>
      </c>
      <c r="J189" s="135">
        <f>kedelai!F44</f>
        <v>0</v>
      </c>
      <c r="K189" s="135">
        <f>kedelai!G44</f>
        <v>0</v>
      </c>
      <c r="L189" s="135">
        <f>kedelai!H44</f>
        <v>0</v>
      </c>
      <c r="M189" s="135">
        <f>kedelai!I44</f>
        <v>0</v>
      </c>
      <c r="N189" s="135">
        <f>kedelai!J44</f>
        <v>0</v>
      </c>
      <c r="O189" s="164">
        <f>kedelai!K44</f>
        <v>0</v>
      </c>
      <c r="P189" s="128">
        <f t="shared" si="56"/>
        <v>0</v>
      </c>
      <c r="Q189" s="131">
        <f t="shared" si="57"/>
        <v>0</v>
      </c>
    </row>
    <row r="190" spans="1:17" x14ac:dyDescent="0.25">
      <c r="A190" s="87">
        <v>4</v>
      </c>
      <c r="B190" s="15" t="s">
        <v>21</v>
      </c>
      <c r="C190" s="60">
        <v>0</v>
      </c>
      <c r="D190" s="60">
        <v>0</v>
      </c>
      <c r="E190" s="60">
        <v>0</v>
      </c>
      <c r="F190" s="60">
        <f>kedelai!C45</f>
        <v>0</v>
      </c>
      <c r="G190" s="60">
        <f>kedelai!D45</f>
        <v>0</v>
      </c>
      <c r="H190" s="60">
        <f>kedelai!E45</f>
        <v>0</v>
      </c>
      <c r="I190" s="128">
        <f t="shared" si="55"/>
        <v>0</v>
      </c>
      <c r="J190" s="135">
        <f>kedelai!F45</f>
        <v>0</v>
      </c>
      <c r="K190" s="135">
        <f>kedelai!G45</f>
        <v>0</v>
      </c>
      <c r="L190" s="135">
        <f>kedelai!H45</f>
        <v>0</v>
      </c>
      <c r="M190" s="135">
        <f>kedelai!I45</f>
        <v>0</v>
      </c>
      <c r="N190" s="135">
        <f>kedelai!J45</f>
        <v>0</v>
      </c>
      <c r="O190" s="164">
        <f>kedelai!K45</f>
        <v>0</v>
      </c>
      <c r="P190" s="128">
        <f t="shared" si="56"/>
        <v>0</v>
      </c>
      <c r="Q190" s="131">
        <f t="shared" si="57"/>
        <v>0</v>
      </c>
    </row>
    <row r="191" spans="1:17" x14ac:dyDescent="0.25">
      <c r="A191" s="87">
        <v>5</v>
      </c>
      <c r="B191" s="19" t="s">
        <v>22</v>
      </c>
      <c r="C191" s="60">
        <v>0</v>
      </c>
      <c r="D191" s="60">
        <v>0</v>
      </c>
      <c r="E191" s="60">
        <v>6</v>
      </c>
      <c r="F191" s="60">
        <f>kedelai!C46</f>
        <v>0</v>
      </c>
      <c r="G191" s="60">
        <f>kedelai!D46</f>
        <v>4</v>
      </c>
      <c r="H191" s="60">
        <f>kedelai!E46</f>
        <v>0</v>
      </c>
      <c r="I191" s="128">
        <f t="shared" si="55"/>
        <v>10</v>
      </c>
      <c r="J191" s="135">
        <f>kedelai!F46</f>
        <v>0</v>
      </c>
      <c r="K191" s="135">
        <f>kedelai!G46</f>
        <v>10</v>
      </c>
      <c r="L191" s="135">
        <f>kedelai!H46</f>
        <v>25</v>
      </c>
      <c r="M191" s="135">
        <f>kedelai!I46</f>
        <v>0</v>
      </c>
      <c r="N191" s="135">
        <f>kedelai!J46</f>
        <v>0</v>
      </c>
      <c r="O191" s="164">
        <f>kedelai!K46</f>
        <v>0</v>
      </c>
      <c r="P191" s="128">
        <f t="shared" si="56"/>
        <v>35</v>
      </c>
      <c r="Q191" s="131">
        <f t="shared" si="57"/>
        <v>45</v>
      </c>
    </row>
    <row r="192" spans="1:17" x14ac:dyDescent="0.25">
      <c r="A192" s="87">
        <v>6</v>
      </c>
      <c r="B192" s="19" t="s">
        <v>23</v>
      </c>
      <c r="C192" s="60">
        <v>0</v>
      </c>
      <c r="D192" s="60">
        <v>0</v>
      </c>
      <c r="E192" s="60">
        <v>0</v>
      </c>
      <c r="F192" s="60">
        <f>kedelai!C47</f>
        <v>0</v>
      </c>
      <c r="G192" s="60">
        <f>kedelai!D47</f>
        <v>0</v>
      </c>
      <c r="H192" s="60">
        <f>kedelai!E47</f>
        <v>0</v>
      </c>
      <c r="I192" s="128">
        <f t="shared" si="55"/>
        <v>0</v>
      </c>
      <c r="J192" s="135">
        <f>kedelai!F47</f>
        <v>0</v>
      </c>
      <c r="K192" s="135">
        <f>kedelai!G47</f>
        <v>0</v>
      </c>
      <c r="L192" s="135">
        <f>kedelai!H47</f>
        <v>0</v>
      </c>
      <c r="M192" s="135">
        <f>kedelai!I47</f>
        <v>0</v>
      </c>
      <c r="N192" s="135">
        <f>kedelai!J47</f>
        <v>0</v>
      </c>
      <c r="O192" s="164">
        <f>kedelai!K47</f>
        <v>0</v>
      </c>
      <c r="P192" s="128">
        <f t="shared" si="56"/>
        <v>0</v>
      </c>
      <c r="Q192" s="131">
        <f t="shared" si="57"/>
        <v>0</v>
      </c>
    </row>
    <row r="193" spans="1:17" x14ac:dyDescent="0.25">
      <c r="A193" s="87">
        <v>7</v>
      </c>
      <c r="B193" s="19" t="s">
        <v>24</v>
      </c>
      <c r="C193" s="60">
        <v>0</v>
      </c>
      <c r="D193" s="60">
        <v>0</v>
      </c>
      <c r="E193" s="60">
        <v>0</v>
      </c>
      <c r="F193" s="60">
        <f>kedelai!C48</f>
        <v>0</v>
      </c>
      <c r="G193" s="60">
        <f>kedelai!D48</f>
        <v>0</v>
      </c>
      <c r="H193" s="60">
        <f>kedelai!E48</f>
        <v>0</v>
      </c>
      <c r="I193" s="128">
        <f t="shared" si="55"/>
        <v>0</v>
      </c>
      <c r="J193" s="135">
        <f>kedelai!F48</f>
        <v>0</v>
      </c>
      <c r="K193" s="135">
        <f>kedelai!G48</f>
        <v>0</v>
      </c>
      <c r="L193" s="135">
        <f>kedelai!H48</f>
        <v>0</v>
      </c>
      <c r="M193" s="135">
        <f>kedelai!I48</f>
        <v>0</v>
      </c>
      <c r="N193" s="135">
        <f>kedelai!J48</f>
        <v>0</v>
      </c>
      <c r="O193" s="164">
        <f>kedelai!K48</f>
        <v>0</v>
      </c>
      <c r="P193" s="128">
        <f t="shared" si="56"/>
        <v>0</v>
      </c>
      <c r="Q193" s="131">
        <f t="shared" si="57"/>
        <v>0</v>
      </c>
    </row>
    <row r="194" spans="1:17" ht="15.75" thickBot="1" x14ac:dyDescent="0.3">
      <c r="A194" s="88">
        <v>8</v>
      </c>
      <c r="B194" s="15" t="s">
        <v>25</v>
      </c>
      <c r="C194" s="140">
        <v>0</v>
      </c>
      <c r="D194" s="140">
        <v>0</v>
      </c>
      <c r="E194" s="140">
        <v>0</v>
      </c>
      <c r="F194" s="140">
        <f>kedelai!C49</f>
        <v>0</v>
      </c>
      <c r="G194" s="140">
        <f>kedelai!D49</f>
        <v>0</v>
      </c>
      <c r="H194" s="140">
        <f>kedelai!E49</f>
        <v>0</v>
      </c>
      <c r="I194" s="129">
        <f t="shared" si="55"/>
        <v>0</v>
      </c>
      <c r="J194" s="329">
        <f>kedelai!F49</f>
        <v>0</v>
      </c>
      <c r="K194" s="329">
        <f>kedelai!G49</f>
        <v>0</v>
      </c>
      <c r="L194" s="329">
        <f>kedelai!H49</f>
        <v>28</v>
      </c>
      <c r="M194" s="329">
        <f>kedelai!I49</f>
        <v>0</v>
      </c>
      <c r="N194" s="329">
        <f>kedelai!J49</f>
        <v>0</v>
      </c>
      <c r="O194" s="329">
        <f>kedelai!K49</f>
        <v>0</v>
      </c>
      <c r="P194" s="129">
        <f>SUM(J194:O194)</f>
        <v>28</v>
      </c>
      <c r="Q194" s="132">
        <f t="shared" si="57"/>
        <v>28</v>
      </c>
    </row>
    <row r="195" spans="1:17" ht="16.5" thickTop="1" thickBot="1" x14ac:dyDescent="0.3">
      <c r="A195" s="514" t="s">
        <v>26</v>
      </c>
      <c r="B195" s="515"/>
      <c r="C195" s="115">
        <f>SUM(C187:C194)</f>
        <v>0</v>
      </c>
      <c r="D195" s="115">
        <f>SUM(D187:D194)</f>
        <v>0</v>
      </c>
      <c r="E195" s="115">
        <f>SUM(E187:E194)</f>
        <v>6</v>
      </c>
      <c r="F195" s="115">
        <f>SUM(F187:F194)</f>
        <v>1</v>
      </c>
      <c r="G195" s="115">
        <f>SUM(G187:G194)</f>
        <v>6</v>
      </c>
      <c r="H195" s="124">
        <v>59</v>
      </c>
      <c r="I195" s="126">
        <f>SUM(I187:I194)</f>
        <v>32</v>
      </c>
      <c r="J195" s="136">
        <f t="shared" ref="J195:O195" si="58">SUM(J187:J194)</f>
        <v>3</v>
      </c>
      <c r="K195" s="115">
        <f t="shared" si="58"/>
        <v>16</v>
      </c>
      <c r="L195" s="115">
        <f t="shared" si="58"/>
        <v>53</v>
      </c>
      <c r="M195" s="115">
        <f t="shared" si="58"/>
        <v>0</v>
      </c>
      <c r="N195" s="115">
        <f t="shared" si="58"/>
        <v>0</v>
      </c>
      <c r="O195" s="124">
        <f t="shared" si="58"/>
        <v>0</v>
      </c>
      <c r="P195" s="126">
        <f>SUM(P187:P194)</f>
        <v>72</v>
      </c>
      <c r="Q195" s="133">
        <f>SUM(Q187:Q194)</f>
        <v>104</v>
      </c>
    </row>
    <row r="196" spans="1:17" x14ac:dyDescent="0.25">
      <c r="A196" s="100" t="s">
        <v>75</v>
      </c>
    </row>
    <row r="198" spans="1:17" ht="15.75" x14ac:dyDescent="0.25">
      <c r="A198" s="516" t="s">
        <v>129</v>
      </c>
      <c r="B198" s="516"/>
      <c r="C198" s="516"/>
      <c r="D198" s="516"/>
      <c r="E198" s="516"/>
      <c r="F198" s="516"/>
      <c r="G198" s="516"/>
      <c r="H198" s="516"/>
      <c r="I198" s="516"/>
      <c r="J198" s="516"/>
      <c r="K198" s="516"/>
      <c r="L198" s="516"/>
      <c r="M198" s="516"/>
      <c r="N198" s="516"/>
      <c r="O198" s="516"/>
      <c r="P198" s="516"/>
      <c r="Q198" s="516"/>
    </row>
    <row r="199" spans="1:17" ht="15.75" x14ac:dyDescent="0.25">
      <c r="A199" s="516" t="s">
        <v>82</v>
      </c>
      <c r="B199" s="516"/>
      <c r="C199" s="516"/>
      <c r="D199" s="516"/>
      <c r="E199" s="516"/>
      <c r="F199" s="516"/>
      <c r="G199" s="516"/>
      <c r="H199" s="516"/>
      <c r="I199" s="516"/>
      <c r="J199" s="516"/>
      <c r="K199" s="516"/>
      <c r="L199" s="516"/>
      <c r="M199" s="516"/>
      <c r="N199" s="516"/>
      <c r="O199" s="516"/>
      <c r="P199" s="516"/>
      <c r="Q199" s="516"/>
    </row>
    <row r="200" spans="1:17" ht="15.75" thickBot="1" x14ac:dyDescent="0.3">
      <c r="Q200" s="77" t="s">
        <v>1</v>
      </c>
    </row>
    <row r="201" spans="1:17" x14ac:dyDescent="0.25">
      <c r="A201" s="511" t="s">
        <v>2</v>
      </c>
      <c r="B201" s="513" t="s">
        <v>3</v>
      </c>
      <c r="C201" s="517" t="s">
        <v>114</v>
      </c>
      <c r="D201" s="518"/>
      <c r="E201" s="518"/>
      <c r="F201" s="518"/>
      <c r="G201" s="518"/>
      <c r="H201" s="518"/>
      <c r="I201" s="519" t="s">
        <v>84</v>
      </c>
      <c r="J201" s="518">
        <v>2016</v>
      </c>
      <c r="K201" s="518"/>
      <c r="L201" s="518"/>
      <c r="M201" s="518"/>
      <c r="N201" s="518"/>
      <c r="O201" s="518"/>
      <c r="P201" s="519" t="s">
        <v>85</v>
      </c>
      <c r="Q201" s="521" t="s">
        <v>5</v>
      </c>
    </row>
    <row r="202" spans="1:17" x14ac:dyDescent="0.25">
      <c r="A202" s="512"/>
      <c r="B202" s="499"/>
      <c r="C202" s="325" t="s">
        <v>15</v>
      </c>
      <c r="D202" s="325" t="s">
        <v>16</v>
      </c>
      <c r="E202" s="325" t="s">
        <v>17</v>
      </c>
      <c r="F202" s="325" t="s">
        <v>6</v>
      </c>
      <c r="G202" s="325" t="s">
        <v>77</v>
      </c>
      <c r="H202" s="122" t="s">
        <v>78</v>
      </c>
      <c r="I202" s="520"/>
      <c r="J202" s="112" t="s">
        <v>79</v>
      </c>
      <c r="K202" s="325" t="s">
        <v>10</v>
      </c>
      <c r="L202" s="325" t="s">
        <v>11</v>
      </c>
      <c r="M202" s="325" t="s">
        <v>12</v>
      </c>
      <c r="N202" s="325" t="s">
        <v>80</v>
      </c>
      <c r="O202" s="122" t="s">
        <v>81</v>
      </c>
      <c r="P202" s="520"/>
      <c r="Q202" s="522"/>
    </row>
    <row r="203" spans="1:17" ht="15.75" thickBot="1" x14ac:dyDescent="0.3">
      <c r="A203" s="114">
        <v>1</v>
      </c>
      <c r="B203" s="5">
        <v>2</v>
      </c>
      <c r="C203" s="5">
        <v>3</v>
      </c>
      <c r="D203" s="5">
        <v>4</v>
      </c>
      <c r="E203" s="5">
        <v>5</v>
      </c>
      <c r="F203" s="5">
        <v>6</v>
      </c>
      <c r="G203" s="5">
        <v>7</v>
      </c>
      <c r="H203" s="123">
        <v>8</v>
      </c>
      <c r="I203" s="125">
        <v>9</v>
      </c>
      <c r="J203" s="113">
        <v>10</v>
      </c>
      <c r="K203" s="5">
        <v>11</v>
      </c>
      <c r="L203" s="5">
        <v>12</v>
      </c>
      <c r="M203" s="5">
        <v>13</v>
      </c>
      <c r="N203" s="5">
        <v>14</v>
      </c>
      <c r="O203" s="123">
        <v>15</v>
      </c>
      <c r="P203" s="125">
        <v>16</v>
      </c>
      <c r="Q203" s="134">
        <v>17</v>
      </c>
    </row>
    <row r="204" spans="1:17" ht="15.75" thickTop="1" x14ac:dyDescent="0.25">
      <c r="A204" s="85">
        <v>1</v>
      </c>
      <c r="B204" s="7" t="s">
        <v>18</v>
      </c>
      <c r="C204" s="139">
        <v>0</v>
      </c>
      <c r="D204" s="139">
        <v>0</v>
      </c>
      <c r="E204" s="139">
        <v>0</v>
      </c>
      <c r="F204" s="139">
        <v>31</v>
      </c>
      <c r="G204" s="139">
        <v>0</v>
      </c>
      <c r="H204" s="139">
        <v>0</v>
      </c>
      <c r="I204" s="127">
        <f t="shared" ref="I204:I211" si="59">SUM(C204:H204)</f>
        <v>31</v>
      </c>
      <c r="J204" s="162">
        <f>'kc tanah'!F9</f>
        <v>25</v>
      </c>
      <c r="K204" s="162">
        <f>'kc tanah'!G9</f>
        <v>105</v>
      </c>
      <c r="L204" s="162">
        <f>'kc tanah'!H9</f>
        <v>0</v>
      </c>
      <c r="M204" s="162">
        <f>'kc tanah'!I9</f>
        <v>0</v>
      </c>
      <c r="N204" s="162">
        <f>'kc tanah'!J9</f>
        <v>0</v>
      </c>
      <c r="O204" s="162">
        <f>'kc tanah'!K9</f>
        <v>0</v>
      </c>
      <c r="P204" s="127">
        <f>SUM(J204:O204)</f>
        <v>130</v>
      </c>
      <c r="Q204" s="130">
        <f>SUM(I204,P204)</f>
        <v>161</v>
      </c>
    </row>
    <row r="205" spans="1:17" x14ac:dyDescent="0.25">
      <c r="A205" s="86">
        <v>2</v>
      </c>
      <c r="B205" s="12" t="s">
        <v>19</v>
      </c>
      <c r="C205" s="60">
        <v>0</v>
      </c>
      <c r="D205" s="60">
        <v>0</v>
      </c>
      <c r="E205" s="60">
        <v>0</v>
      </c>
      <c r="F205" s="60">
        <v>125</v>
      </c>
      <c r="G205" s="60">
        <v>0</v>
      </c>
      <c r="H205" s="60">
        <v>0</v>
      </c>
      <c r="I205" s="128">
        <f t="shared" si="59"/>
        <v>125</v>
      </c>
      <c r="J205" s="341">
        <f>'kc tanah'!F10</f>
        <v>0</v>
      </c>
      <c r="K205" s="135">
        <f>'kc tanah'!G10</f>
        <v>0</v>
      </c>
      <c r="L205" s="135">
        <f>'kc tanah'!H10</f>
        <v>0</v>
      </c>
      <c r="M205" s="135">
        <f>'kc tanah'!I10</f>
        <v>0</v>
      </c>
      <c r="N205" s="135">
        <f>'kc tanah'!J10</f>
        <v>0</v>
      </c>
      <c r="O205" s="164">
        <f>'kc tanah'!K10</f>
        <v>0</v>
      </c>
      <c r="P205" s="128">
        <f t="shared" ref="P205:P210" si="60">SUM(J205:O205)</f>
        <v>0</v>
      </c>
      <c r="Q205" s="131">
        <f t="shared" ref="Q205:Q211" si="61">SUM(I205,P205)</f>
        <v>125</v>
      </c>
    </row>
    <row r="206" spans="1:17" x14ac:dyDescent="0.25">
      <c r="A206" s="86">
        <v>3</v>
      </c>
      <c r="B206" s="7" t="s">
        <v>20</v>
      </c>
      <c r="C206" s="60">
        <v>0</v>
      </c>
      <c r="D206" s="60">
        <v>0</v>
      </c>
      <c r="E206" s="60">
        <v>0</v>
      </c>
      <c r="F206" s="60">
        <v>20</v>
      </c>
      <c r="G206" s="60">
        <v>0</v>
      </c>
      <c r="H206" s="340">
        <v>0</v>
      </c>
      <c r="I206" s="128">
        <f t="shared" si="59"/>
        <v>20</v>
      </c>
      <c r="J206" s="341">
        <f>'kc tanah'!F11</f>
        <v>280</v>
      </c>
      <c r="K206" s="135">
        <f>'kc tanah'!G11</f>
        <v>0</v>
      </c>
      <c r="L206" s="135">
        <f>'kc tanah'!H11</f>
        <v>0</v>
      </c>
      <c r="M206" s="135">
        <f>'kc tanah'!I11</f>
        <v>0</v>
      </c>
      <c r="N206" s="135">
        <f>'kc tanah'!J11</f>
        <v>0</v>
      </c>
      <c r="O206" s="164">
        <f>'kc tanah'!K11</f>
        <v>0</v>
      </c>
      <c r="P206" s="128">
        <f t="shared" si="60"/>
        <v>280</v>
      </c>
      <c r="Q206" s="131">
        <f t="shared" si="61"/>
        <v>300</v>
      </c>
    </row>
    <row r="207" spans="1:17" x14ac:dyDescent="0.25">
      <c r="A207" s="87">
        <v>4</v>
      </c>
      <c r="B207" s="15" t="s">
        <v>21</v>
      </c>
      <c r="C207" s="60">
        <v>0</v>
      </c>
      <c r="D207" s="60">
        <v>0</v>
      </c>
      <c r="E207" s="60">
        <v>3</v>
      </c>
      <c r="F207" s="60">
        <v>22</v>
      </c>
      <c r="G207" s="60">
        <v>0</v>
      </c>
      <c r="H207" s="60">
        <v>18</v>
      </c>
      <c r="I207" s="128">
        <f t="shared" si="59"/>
        <v>43</v>
      </c>
      <c r="J207" s="341">
        <f>'kc tanah'!F12</f>
        <v>0</v>
      </c>
      <c r="K207" s="135">
        <f>'kc tanah'!G12</f>
        <v>15</v>
      </c>
      <c r="L207" s="135">
        <f>'kc tanah'!H12</f>
        <v>3</v>
      </c>
      <c r="M207" s="135">
        <f>'kc tanah'!I12</f>
        <v>17</v>
      </c>
      <c r="N207" s="135">
        <f>'kc tanah'!J12</f>
        <v>0</v>
      </c>
      <c r="O207" s="164">
        <f>'kc tanah'!K12</f>
        <v>0</v>
      </c>
      <c r="P207" s="128">
        <f t="shared" si="60"/>
        <v>35</v>
      </c>
      <c r="Q207" s="131">
        <f t="shared" si="61"/>
        <v>78</v>
      </c>
    </row>
    <row r="208" spans="1:17" x14ac:dyDescent="0.25">
      <c r="A208" s="87">
        <v>5</v>
      </c>
      <c r="B208" s="19" t="s">
        <v>22</v>
      </c>
      <c r="C208" s="60">
        <v>0</v>
      </c>
      <c r="D208" s="60">
        <v>0</v>
      </c>
      <c r="E208" s="60">
        <v>0</v>
      </c>
      <c r="F208" s="60">
        <v>96</v>
      </c>
      <c r="G208" s="60">
        <v>0</v>
      </c>
      <c r="H208" s="60">
        <v>0</v>
      </c>
      <c r="I208" s="128">
        <f t="shared" si="59"/>
        <v>96</v>
      </c>
      <c r="J208" s="341">
        <f>'kc tanah'!F13</f>
        <v>115</v>
      </c>
      <c r="K208" s="135">
        <f>'kc tanah'!G13</f>
        <v>0</v>
      </c>
      <c r="L208" s="135">
        <f>'kc tanah'!H13</f>
        <v>0</v>
      </c>
      <c r="M208" s="135">
        <f>'kc tanah'!I13</f>
        <v>0</v>
      </c>
      <c r="N208" s="135">
        <f>'kc tanah'!J13</f>
        <v>0</v>
      </c>
      <c r="O208" s="164">
        <f>'kc tanah'!K13</f>
        <v>0</v>
      </c>
      <c r="P208" s="128">
        <f t="shared" si="60"/>
        <v>115</v>
      </c>
      <c r="Q208" s="131">
        <f t="shared" si="61"/>
        <v>211</v>
      </c>
    </row>
    <row r="209" spans="1:17" x14ac:dyDescent="0.25">
      <c r="A209" s="87">
        <v>6</v>
      </c>
      <c r="B209" s="19" t="s">
        <v>23</v>
      </c>
      <c r="C209" s="60">
        <v>0</v>
      </c>
      <c r="D209" s="60">
        <v>0</v>
      </c>
      <c r="E209" s="60">
        <v>0</v>
      </c>
      <c r="F209" s="60">
        <v>15</v>
      </c>
      <c r="G209" s="60">
        <v>0</v>
      </c>
      <c r="H209" s="60">
        <v>20</v>
      </c>
      <c r="I209" s="128">
        <f t="shared" si="59"/>
        <v>35</v>
      </c>
      <c r="J209" s="341">
        <f>'kc tanah'!F14</f>
        <v>30</v>
      </c>
      <c r="K209" s="135">
        <f>'kc tanah'!G14</f>
        <v>0</v>
      </c>
      <c r="L209" s="135">
        <f>'kc tanah'!H14</f>
        <v>0</v>
      </c>
      <c r="M209" s="135">
        <f>'kc tanah'!I14</f>
        <v>15</v>
      </c>
      <c r="N209" s="135">
        <f>'kc tanah'!J14</f>
        <v>5</v>
      </c>
      <c r="O209" s="164">
        <f>'kc tanah'!K14</f>
        <v>0</v>
      </c>
      <c r="P209" s="128">
        <f t="shared" si="60"/>
        <v>50</v>
      </c>
      <c r="Q209" s="131">
        <f t="shared" si="61"/>
        <v>85</v>
      </c>
    </row>
    <row r="210" spans="1:17" x14ac:dyDescent="0.25">
      <c r="A210" s="87">
        <v>7</v>
      </c>
      <c r="B210" s="19" t="s">
        <v>24</v>
      </c>
      <c r="C210" s="60">
        <v>1</v>
      </c>
      <c r="D210" s="60">
        <v>0</v>
      </c>
      <c r="E210" s="60">
        <v>0</v>
      </c>
      <c r="F210" s="60">
        <v>1</v>
      </c>
      <c r="G210" s="60">
        <v>0</v>
      </c>
      <c r="H210" s="60">
        <v>1</v>
      </c>
      <c r="I210" s="128">
        <f t="shared" si="59"/>
        <v>3</v>
      </c>
      <c r="J210" s="341">
        <f>'kc tanah'!F15</f>
        <v>0</v>
      </c>
      <c r="K210" s="135">
        <f>'kc tanah'!G15</f>
        <v>0</v>
      </c>
      <c r="L210" s="135">
        <f>'kc tanah'!H15</f>
        <v>0</v>
      </c>
      <c r="M210" s="135">
        <f>'kc tanah'!I15</f>
        <v>0</v>
      </c>
      <c r="N210" s="135">
        <f>'kc tanah'!J15</f>
        <v>0</v>
      </c>
      <c r="O210" s="164">
        <f>'kc tanah'!K15</f>
        <v>0</v>
      </c>
      <c r="P210" s="128">
        <f t="shared" si="60"/>
        <v>0</v>
      </c>
      <c r="Q210" s="131">
        <f t="shared" si="61"/>
        <v>3</v>
      </c>
    </row>
    <row r="211" spans="1:17" ht="15.75" thickBot="1" x14ac:dyDescent="0.3">
      <c r="A211" s="88">
        <v>8</v>
      </c>
      <c r="B211" s="15" t="s">
        <v>25</v>
      </c>
      <c r="C211" s="140">
        <v>0</v>
      </c>
      <c r="D211" s="140">
        <v>75</v>
      </c>
      <c r="E211" s="140">
        <v>0</v>
      </c>
      <c r="F211" s="140">
        <v>0</v>
      </c>
      <c r="G211" s="140">
        <v>2</v>
      </c>
      <c r="H211" s="140">
        <v>75</v>
      </c>
      <c r="I211" s="129">
        <f t="shared" si="59"/>
        <v>152</v>
      </c>
      <c r="J211" s="329">
        <f>'kc tanah'!F16</f>
        <v>248</v>
      </c>
      <c r="K211" s="329">
        <f>'kc tanah'!G16</f>
        <v>0</v>
      </c>
      <c r="L211" s="329">
        <f>'kc tanah'!H16</f>
        <v>0</v>
      </c>
      <c r="M211" s="329">
        <f>'kc tanah'!I16</f>
        <v>225</v>
      </c>
      <c r="N211" s="329">
        <f>'kc tanah'!J16</f>
        <v>25</v>
      </c>
      <c r="O211" s="329">
        <f>'kc tanah'!K16</f>
        <v>35</v>
      </c>
      <c r="P211" s="129">
        <f>SUM(J211:O211)</f>
        <v>533</v>
      </c>
      <c r="Q211" s="132">
        <f t="shared" si="61"/>
        <v>685</v>
      </c>
    </row>
    <row r="212" spans="1:17" ht="16.5" thickTop="1" thickBot="1" x14ac:dyDescent="0.3">
      <c r="A212" s="514" t="s">
        <v>26</v>
      </c>
      <c r="B212" s="515"/>
      <c r="C212" s="115">
        <f t="shared" ref="C212:I212" si="62">SUM(C204:C211)</f>
        <v>1</v>
      </c>
      <c r="D212" s="115">
        <f t="shared" si="62"/>
        <v>75</v>
      </c>
      <c r="E212" s="115">
        <f t="shared" si="62"/>
        <v>3</v>
      </c>
      <c r="F212" s="115">
        <f t="shared" si="62"/>
        <v>310</v>
      </c>
      <c r="G212" s="115">
        <f t="shared" si="62"/>
        <v>2</v>
      </c>
      <c r="H212" s="124">
        <f t="shared" si="62"/>
        <v>114</v>
      </c>
      <c r="I212" s="126">
        <f t="shared" si="62"/>
        <v>505</v>
      </c>
      <c r="J212" s="136">
        <f t="shared" ref="J212:O212" si="63">SUM(J204:J211)</f>
        <v>698</v>
      </c>
      <c r="K212" s="115">
        <f t="shared" si="63"/>
        <v>120</v>
      </c>
      <c r="L212" s="115">
        <f t="shared" si="63"/>
        <v>3</v>
      </c>
      <c r="M212" s="115">
        <f t="shared" si="63"/>
        <v>257</v>
      </c>
      <c r="N212" s="115">
        <f t="shared" si="63"/>
        <v>30</v>
      </c>
      <c r="O212" s="124">
        <f t="shared" si="63"/>
        <v>35</v>
      </c>
      <c r="P212" s="126">
        <f>SUM(P204:P211)</f>
        <v>1143</v>
      </c>
      <c r="Q212" s="133">
        <f>SUM(Q204:Q211)</f>
        <v>1648</v>
      </c>
    </row>
    <row r="214" spans="1:17" ht="15.75" x14ac:dyDescent="0.25">
      <c r="A214" s="516" t="s">
        <v>130</v>
      </c>
      <c r="B214" s="516"/>
      <c r="C214" s="516"/>
      <c r="D214" s="516"/>
      <c r="E214" s="516"/>
      <c r="F214" s="516"/>
      <c r="G214" s="516"/>
      <c r="H214" s="516"/>
      <c r="I214" s="516"/>
      <c r="J214" s="516"/>
      <c r="K214" s="516"/>
      <c r="L214" s="516"/>
      <c r="M214" s="516"/>
      <c r="N214" s="516"/>
      <c r="O214" s="516"/>
      <c r="P214" s="516"/>
      <c r="Q214" s="516"/>
    </row>
    <row r="215" spans="1:17" ht="15.75" x14ac:dyDescent="0.25">
      <c r="A215" s="516" t="s">
        <v>82</v>
      </c>
      <c r="B215" s="516"/>
      <c r="C215" s="516"/>
      <c r="D215" s="516"/>
      <c r="E215" s="516"/>
      <c r="F215" s="516"/>
      <c r="G215" s="516"/>
      <c r="H215" s="516"/>
      <c r="I215" s="516"/>
      <c r="J215" s="516"/>
      <c r="K215" s="516"/>
      <c r="L215" s="516"/>
      <c r="M215" s="516"/>
      <c r="N215" s="516"/>
      <c r="O215" s="516"/>
      <c r="P215" s="516"/>
      <c r="Q215" s="516"/>
    </row>
    <row r="216" spans="1:17" ht="15.75" thickBot="1" x14ac:dyDescent="0.3">
      <c r="Q216" s="77" t="s">
        <v>1</v>
      </c>
    </row>
    <row r="217" spans="1:17" x14ac:dyDescent="0.25">
      <c r="A217" s="511" t="s">
        <v>2</v>
      </c>
      <c r="B217" s="513" t="s">
        <v>3</v>
      </c>
      <c r="C217" s="517" t="s">
        <v>114</v>
      </c>
      <c r="D217" s="518"/>
      <c r="E217" s="518"/>
      <c r="F217" s="518"/>
      <c r="G217" s="518"/>
      <c r="H217" s="518"/>
      <c r="I217" s="519" t="s">
        <v>84</v>
      </c>
      <c r="J217" s="518">
        <v>2016</v>
      </c>
      <c r="K217" s="518"/>
      <c r="L217" s="518"/>
      <c r="M217" s="518"/>
      <c r="N217" s="518"/>
      <c r="O217" s="518"/>
      <c r="P217" s="519" t="s">
        <v>85</v>
      </c>
      <c r="Q217" s="521" t="s">
        <v>5</v>
      </c>
    </row>
    <row r="218" spans="1:17" x14ac:dyDescent="0.25">
      <c r="A218" s="512"/>
      <c r="B218" s="499"/>
      <c r="C218" s="325" t="s">
        <v>15</v>
      </c>
      <c r="D218" s="325" t="s">
        <v>16</v>
      </c>
      <c r="E218" s="325" t="s">
        <v>17</v>
      </c>
      <c r="F218" s="325" t="s">
        <v>6</v>
      </c>
      <c r="G218" s="325" t="s">
        <v>77</v>
      </c>
      <c r="H218" s="122" t="s">
        <v>78</v>
      </c>
      <c r="I218" s="520"/>
      <c r="J218" s="112" t="s">
        <v>79</v>
      </c>
      <c r="K218" s="325" t="s">
        <v>10</v>
      </c>
      <c r="L218" s="325" t="s">
        <v>11</v>
      </c>
      <c r="M218" s="325" t="s">
        <v>12</v>
      </c>
      <c r="N218" s="325" t="s">
        <v>80</v>
      </c>
      <c r="O218" s="122" t="s">
        <v>81</v>
      </c>
      <c r="P218" s="520"/>
      <c r="Q218" s="522"/>
    </row>
    <row r="219" spans="1:17" ht="15.75" thickBot="1" x14ac:dyDescent="0.3">
      <c r="A219" s="114">
        <v>1</v>
      </c>
      <c r="B219" s="5">
        <v>2</v>
      </c>
      <c r="C219" s="5">
        <v>3</v>
      </c>
      <c r="D219" s="5">
        <v>4</v>
      </c>
      <c r="E219" s="5">
        <v>5</v>
      </c>
      <c r="F219" s="5">
        <v>6</v>
      </c>
      <c r="G219" s="5">
        <v>7</v>
      </c>
      <c r="H219" s="123">
        <v>8</v>
      </c>
      <c r="I219" s="125">
        <v>9</v>
      </c>
      <c r="J219" s="113">
        <v>10</v>
      </c>
      <c r="K219" s="5">
        <v>11</v>
      </c>
      <c r="L219" s="5">
        <v>12</v>
      </c>
      <c r="M219" s="5">
        <v>13</v>
      </c>
      <c r="N219" s="5">
        <v>14</v>
      </c>
      <c r="O219" s="123">
        <v>15</v>
      </c>
      <c r="P219" s="125">
        <v>16</v>
      </c>
      <c r="Q219" s="134">
        <v>17</v>
      </c>
    </row>
    <row r="220" spans="1:17" ht="15.75" thickTop="1" x14ac:dyDescent="0.25">
      <c r="A220" s="85">
        <v>1</v>
      </c>
      <c r="B220" s="7" t="s">
        <v>18</v>
      </c>
      <c r="C220" s="139">
        <v>0</v>
      </c>
      <c r="D220" s="139">
        <v>0</v>
      </c>
      <c r="E220" s="139">
        <v>0</v>
      </c>
      <c r="F220" s="139">
        <v>0</v>
      </c>
      <c r="G220" s="139">
        <v>0</v>
      </c>
      <c r="H220" s="139">
        <v>185</v>
      </c>
      <c r="I220" s="127">
        <f t="shared" ref="I220:I227" si="64">SUM(C220:H220)</f>
        <v>185</v>
      </c>
      <c r="J220" s="162">
        <f>'kc tanah'!F42</f>
        <v>31</v>
      </c>
      <c r="K220" s="162">
        <f>'kc tanah'!G42</f>
        <v>0</v>
      </c>
      <c r="L220" s="162">
        <f>'kc tanah'!H42</f>
        <v>25</v>
      </c>
      <c r="M220" s="162">
        <f>'kc tanah'!I42</f>
        <v>105</v>
      </c>
      <c r="N220" s="162">
        <f>'kc tanah'!J42</f>
        <v>0</v>
      </c>
      <c r="O220" s="162">
        <f>'kc tanah'!K42</f>
        <v>0</v>
      </c>
      <c r="P220" s="127">
        <f>SUM(J220:O220)</f>
        <v>161</v>
      </c>
      <c r="Q220" s="130">
        <f>SUM(I220,P220)</f>
        <v>346</v>
      </c>
    </row>
    <row r="221" spans="1:17" x14ac:dyDescent="0.25">
      <c r="A221" s="86">
        <v>2</v>
      </c>
      <c r="B221" s="12" t="s">
        <v>19</v>
      </c>
      <c r="C221" s="60">
        <v>0</v>
      </c>
      <c r="D221" s="60">
        <v>0</v>
      </c>
      <c r="E221" s="60">
        <v>0</v>
      </c>
      <c r="F221" s="60">
        <v>0</v>
      </c>
      <c r="G221" s="60">
        <v>0</v>
      </c>
      <c r="H221" s="60">
        <v>0</v>
      </c>
      <c r="I221" s="128">
        <f t="shared" si="64"/>
        <v>0</v>
      </c>
      <c r="J221" s="341">
        <f>'kc tanah'!F43</f>
        <v>0</v>
      </c>
      <c r="K221" s="135">
        <f>'kc tanah'!G43</f>
        <v>123</v>
      </c>
      <c r="L221" s="135">
        <f>'kc tanah'!H43</f>
        <v>63</v>
      </c>
      <c r="M221" s="135">
        <f>'kc tanah'!I43</f>
        <v>0</v>
      </c>
      <c r="N221" s="135">
        <f>'kc tanah'!J43</f>
        <v>0</v>
      </c>
      <c r="O221" s="164">
        <f>'kc tanah'!K43</f>
        <v>0</v>
      </c>
      <c r="P221" s="128">
        <f t="shared" ref="P221:P226" si="65">SUM(J221:O221)</f>
        <v>186</v>
      </c>
      <c r="Q221" s="131">
        <f t="shared" ref="Q221:Q227" si="66">SUM(I221,P221)</f>
        <v>186</v>
      </c>
    </row>
    <row r="222" spans="1:17" x14ac:dyDescent="0.25">
      <c r="A222" s="86">
        <v>3</v>
      </c>
      <c r="B222" s="7" t="s">
        <v>20</v>
      </c>
      <c r="C222" s="60">
        <v>0</v>
      </c>
      <c r="D222" s="60">
        <v>0</v>
      </c>
      <c r="E222" s="60">
        <v>0</v>
      </c>
      <c r="F222" s="60">
        <v>0</v>
      </c>
      <c r="G222" s="60">
        <v>0</v>
      </c>
      <c r="H222" s="340">
        <v>275</v>
      </c>
      <c r="I222" s="128">
        <f t="shared" si="64"/>
        <v>275</v>
      </c>
      <c r="J222" s="341">
        <f>'kc tanah'!F44</f>
        <v>20</v>
      </c>
      <c r="K222" s="135">
        <f>'kc tanah'!G44</f>
        <v>0</v>
      </c>
      <c r="L222" s="135">
        <f>'kc tanah'!H44</f>
        <v>0</v>
      </c>
      <c r="M222" s="135">
        <f>'kc tanah'!I44</f>
        <v>280</v>
      </c>
      <c r="N222" s="135">
        <f>'kc tanah'!J44</f>
        <v>0</v>
      </c>
      <c r="O222" s="164">
        <f>'kc tanah'!K44</f>
        <v>0</v>
      </c>
      <c r="P222" s="128">
        <f t="shared" si="65"/>
        <v>300</v>
      </c>
      <c r="Q222" s="131">
        <f t="shared" si="66"/>
        <v>575</v>
      </c>
    </row>
    <row r="223" spans="1:17" x14ac:dyDescent="0.25">
      <c r="A223" s="87">
        <v>4</v>
      </c>
      <c r="B223" s="15" t="s">
        <v>21</v>
      </c>
      <c r="C223" s="60">
        <v>0</v>
      </c>
      <c r="D223" s="60">
        <v>1</v>
      </c>
      <c r="E223" s="60">
        <v>1</v>
      </c>
      <c r="F223" s="60">
        <v>0</v>
      </c>
      <c r="G223" s="60">
        <v>5</v>
      </c>
      <c r="H223" s="60">
        <v>141</v>
      </c>
      <c r="I223" s="128">
        <f t="shared" si="64"/>
        <v>148</v>
      </c>
      <c r="J223" s="341">
        <f>'kc tanah'!F45</f>
        <v>5</v>
      </c>
      <c r="K223" s="135">
        <f>'kc tanah'!G45</f>
        <v>0</v>
      </c>
      <c r="L223" s="135">
        <f>'kc tanah'!H45</f>
        <v>18</v>
      </c>
      <c r="M223" s="135">
        <f>'kc tanah'!I45</f>
        <v>0</v>
      </c>
      <c r="N223" s="135">
        <f>'kc tanah'!J45</f>
        <v>15</v>
      </c>
      <c r="O223" s="164">
        <f>'kc tanah'!K45</f>
        <v>20</v>
      </c>
      <c r="P223" s="128">
        <f t="shared" si="65"/>
        <v>58</v>
      </c>
      <c r="Q223" s="131">
        <f t="shared" si="66"/>
        <v>206</v>
      </c>
    </row>
    <row r="224" spans="1:17" x14ac:dyDescent="0.25">
      <c r="A224" s="87">
        <v>5</v>
      </c>
      <c r="B224" s="19" t="s">
        <v>22</v>
      </c>
      <c r="C224" s="60">
        <v>0</v>
      </c>
      <c r="D224" s="60">
        <v>0</v>
      </c>
      <c r="E224" s="60">
        <v>2</v>
      </c>
      <c r="F224" s="60">
        <v>0</v>
      </c>
      <c r="G224" s="60">
        <v>0</v>
      </c>
      <c r="H224" s="60">
        <v>102</v>
      </c>
      <c r="I224" s="128">
        <f t="shared" si="64"/>
        <v>104</v>
      </c>
      <c r="J224" s="341">
        <f>'kc tanah'!F46</f>
        <v>96</v>
      </c>
      <c r="K224" s="135">
        <f>'kc tanah'!G46</f>
        <v>0</v>
      </c>
      <c r="L224" s="135">
        <f>'kc tanah'!H46</f>
        <v>0</v>
      </c>
      <c r="M224" s="135">
        <f>'kc tanah'!I46</f>
        <v>115</v>
      </c>
      <c r="N224" s="135">
        <f>'kc tanah'!J46</f>
        <v>0</v>
      </c>
      <c r="O224" s="164">
        <f>'kc tanah'!K46</f>
        <v>0</v>
      </c>
      <c r="P224" s="128">
        <f t="shared" si="65"/>
        <v>211</v>
      </c>
      <c r="Q224" s="131">
        <f t="shared" si="66"/>
        <v>315</v>
      </c>
    </row>
    <row r="225" spans="1:17" x14ac:dyDescent="0.25">
      <c r="A225" s="87">
        <v>6</v>
      </c>
      <c r="B225" s="19" t="s">
        <v>23</v>
      </c>
      <c r="C225" s="60">
        <v>4</v>
      </c>
      <c r="D225" s="60">
        <v>0</v>
      </c>
      <c r="E225" s="60">
        <v>0</v>
      </c>
      <c r="F225" s="60">
        <v>0</v>
      </c>
      <c r="G225" s="60">
        <v>15</v>
      </c>
      <c r="H225" s="60">
        <v>65</v>
      </c>
      <c r="I225" s="128">
        <f t="shared" si="64"/>
        <v>84</v>
      </c>
      <c r="J225" s="341">
        <f>'kc tanah'!F47</f>
        <v>0</v>
      </c>
      <c r="K225" s="135">
        <f>'kc tanah'!G47</f>
        <v>0</v>
      </c>
      <c r="L225" s="135">
        <f>'kc tanah'!H47</f>
        <v>50</v>
      </c>
      <c r="M225" s="135">
        <f>'kc tanah'!I47</f>
        <v>0</v>
      </c>
      <c r="N225" s="135">
        <f>'kc tanah'!J47</f>
        <v>0</v>
      </c>
      <c r="O225" s="164">
        <f>'kc tanah'!K47</f>
        <v>0</v>
      </c>
      <c r="P225" s="128">
        <f t="shared" si="65"/>
        <v>50</v>
      </c>
      <c r="Q225" s="131">
        <f t="shared" si="66"/>
        <v>134</v>
      </c>
    </row>
    <row r="226" spans="1:17" x14ac:dyDescent="0.25">
      <c r="A226" s="87">
        <v>7</v>
      </c>
      <c r="B226" s="19" t="s">
        <v>24</v>
      </c>
      <c r="C226" s="60">
        <v>0</v>
      </c>
      <c r="D226" s="60">
        <v>0</v>
      </c>
      <c r="E226" s="60">
        <v>0</v>
      </c>
      <c r="F226" s="60">
        <v>0</v>
      </c>
      <c r="G226" s="60">
        <v>0</v>
      </c>
      <c r="H226" s="60">
        <v>1</v>
      </c>
      <c r="I226" s="128">
        <f t="shared" si="64"/>
        <v>1</v>
      </c>
      <c r="J226" s="341">
        <f>'kc tanah'!F48</f>
        <v>0</v>
      </c>
      <c r="K226" s="135">
        <f>'kc tanah'!G48</f>
        <v>0</v>
      </c>
      <c r="L226" s="135">
        <f>'kc tanah'!H48</f>
        <v>1</v>
      </c>
      <c r="M226" s="135">
        <f>'kc tanah'!I48</f>
        <v>0</v>
      </c>
      <c r="N226" s="135">
        <f>'kc tanah'!J48</f>
        <v>0</v>
      </c>
      <c r="O226" s="164">
        <f>'kc tanah'!K48</f>
        <v>0</v>
      </c>
      <c r="P226" s="128">
        <f t="shared" si="65"/>
        <v>1</v>
      </c>
      <c r="Q226" s="131">
        <f t="shared" si="66"/>
        <v>2</v>
      </c>
    </row>
    <row r="227" spans="1:17" ht="15.75" thickBot="1" x14ac:dyDescent="0.3">
      <c r="A227" s="88">
        <v>8</v>
      </c>
      <c r="B227" s="15" t="s">
        <v>25</v>
      </c>
      <c r="C227" s="140">
        <v>0</v>
      </c>
      <c r="D227" s="140">
        <v>0</v>
      </c>
      <c r="E227" s="140">
        <v>0</v>
      </c>
      <c r="F227" s="140">
        <v>0</v>
      </c>
      <c r="G227" s="140">
        <v>0</v>
      </c>
      <c r="H227" s="140">
        <v>332</v>
      </c>
      <c r="I227" s="129">
        <f t="shared" si="64"/>
        <v>332</v>
      </c>
      <c r="J227" s="329">
        <f>'kc tanah'!F49</f>
        <v>0</v>
      </c>
      <c r="K227" s="329">
        <f>'kc tanah'!G49</f>
        <v>2</v>
      </c>
      <c r="L227" s="329">
        <f>'kc tanah'!H49</f>
        <v>0</v>
      </c>
      <c r="M227" s="329">
        <f>'kc tanah'!I49</f>
        <v>248</v>
      </c>
      <c r="N227" s="329">
        <f>'kc tanah'!J49</f>
        <v>0</v>
      </c>
      <c r="O227" s="329">
        <f>'kc tanah'!K49</f>
        <v>30</v>
      </c>
      <c r="P227" s="129">
        <f>SUM(J227:O227)</f>
        <v>280</v>
      </c>
      <c r="Q227" s="132">
        <f t="shared" si="66"/>
        <v>612</v>
      </c>
    </row>
    <row r="228" spans="1:17" ht="16.5" thickTop="1" thickBot="1" x14ac:dyDescent="0.3">
      <c r="A228" s="514" t="s">
        <v>26</v>
      </c>
      <c r="B228" s="515"/>
      <c r="C228" s="115">
        <f t="shared" ref="C228:I228" si="67">SUM(C220:C227)</f>
        <v>4</v>
      </c>
      <c r="D228" s="115">
        <f t="shared" si="67"/>
        <v>1</v>
      </c>
      <c r="E228" s="115">
        <f t="shared" si="67"/>
        <v>3</v>
      </c>
      <c r="F228" s="115">
        <f t="shared" si="67"/>
        <v>0</v>
      </c>
      <c r="G228" s="115">
        <f t="shared" si="67"/>
        <v>20</v>
      </c>
      <c r="H228" s="124">
        <f t="shared" si="67"/>
        <v>1101</v>
      </c>
      <c r="I228" s="126">
        <f t="shared" si="67"/>
        <v>1129</v>
      </c>
      <c r="J228" s="136">
        <f t="shared" ref="J228:O228" si="68">SUM(J220:J227)</f>
        <v>152</v>
      </c>
      <c r="K228" s="115">
        <f t="shared" si="68"/>
        <v>125</v>
      </c>
      <c r="L228" s="115">
        <f t="shared" si="68"/>
        <v>157</v>
      </c>
      <c r="M228" s="115">
        <f t="shared" si="68"/>
        <v>748</v>
      </c>
      <c r="N228" s="115">
        <f t="shared" si="68"/>
        <v>15</v>
      </c>
      <c r="O228" s="124">
        <f t="shared" si="68"/>
        <v>50</v>
      </c>
      <c r="P228" s="126">
        <f>SUM(P220:P227)</f>
        <v>1247</v>
      </c>
      <c r="Q228" s="133">
        <f>SUM(Q220:Q227)</f>
        <v>2376</v>
      </c>
    </row>
    <row r="230" spans="1:17" ht="15.75" x14ac:dyDescent="0.25">
      <c r="A230" s="516" t="s">
        <v>131</v>
      </c>
      <c r="B230" s="516"/>
      <c r="C230" s="516"/>
      <c r="D230" s="516"/>
      <c r="E230" s="516"/>
      <c r="F230" s="516"/>
      <c r="G230" s="516"/>
      <c r="H230" s="516"/>
      <c r="I230" s="516"/>
      <c r="J230" s="516"/>
      <c r="K230" s="516"/>
      <c r="L230" s="516"/>
      <c r="M230" s="516"/>
      <c r="N230" s="516"/>
      <c r="O230" s="516"/>
      <c r="P230" s="516"/>
      <c r="Q230" s="516"/>
    </row>
    <row r="231" spans="1:17" ht="15.75" x14ac:dyDescent="0.25">
      <c r="A231" s="516" t="s">
        <v>82</v>
      </c>
      <c r="B231" s="516"/>
      <c r="C231" s="516"/>
      <c r="D231" s="516"/>
      <c r="E231" s="516"/>
      <c r="F231" s="516"/>
      <c r="G231" s="516"/>
      <c r="H231" s="516"/>
      <c r="I231" s="516"/>
      <c r="J231" s="516"/>
      <c r="K231" s="516"/>
      <c r="L231" s="516"/>
      <c r="M231" s="516"/>
      <c r="N231" s="516"/>
      <c r="O231" s="516"/>
      <c r="P231" s="516"/>
      <c r="Q231" s="516"/>
    </row>
    <row r="232" spans="1:17" ht="15.75" thickBot="1" x14ac:dyDescent="0.3">
      <c r="Q232" s="77" t="s">
        <v>1</v>
      </c>
    </row>
    <row r="233" spans="1:17" x14ac:dyDescent="0.25">
      <c r="A233" s="511" t="s">
        <v>2</v>
      </c>
      <c r="B233" s="513" t="s">
        <v>3</v>
      </c>
      <c r="C233" s="517" t="s">
        <v>114</v>
      </c>
      <c r="D233" s="518"/>
      <c r="E233" s="518"/>
      <c r="F233" s="518"/>
      <c r="G233" s="518"/>
      <c r="H233" s="518"/>
      <c r="I233" s="519" t="s">
        <v>84</v>
      </c>
      <c r="J233" s="518">
        <v>2016</v>
      </c>
      <c r="K233" s="518"/>
      <c r="L233" s="518"/>
      <c r="M233" s="518"/>
      <c r="N233" s="518"/>
      <c r="O233" s="518"/>
      <c r="P233" s="519" t="s">
        <v>85</v>
      </c>
      <c r="Q233" s="521" t="s">
        <v>5</v>
      </c>
    </row>
    <row r="234" spans="1:17" x14ac:dyDescent="0.25">
      <c r="A234" s="512"/>
      <c r="B234" s="499"/>
      <c r="C234" s="325" t="s">
        <v>15</v>
      </c>
      <c r="D234" s="325" t="s">
        <v>16</v>
      </c>
      <c r="E234" s="325" t="s">
        <v>17</v>
      </c>
      <c r="F234" s="325" t="s">
        <v>6</v>
      </c>
      <c r="G234" s="325" t="s">
        <v>77</v>
      </c>
      <c r="H234" s="122" t="s">
        <v>78</v>
      </c>
      <c r="I234" s="520"/>
      <c r="J234" s="112" t="s">
        <v>79</v>
      </c>
      <c r="K234" s="325" t="s">
        <v>10</v>
      </c>
      <c r="L234" s="325" t="s">
        <v>11</v>
      </c>
      <c r="M234" s="325" t="s">
        <v>12</v>
      </c>
      <c r="N234" s="325" t="s">
        <v>80</v>
      </c>
      <c r="O234" s="122" t="s">
        <v>81</v>
      </c>
      <c r="P234" s="520"/>
      <c r="Q234" s="522"/>
    </row>
    <row r="235" spans="1:17" ht="15.75" thickBot="1" x14ac:dyDescent="0.3">
      <c r="A235" s="114">
        <v>1</v>
      </c>
      <c r="B235" s="5">
        <v>2</v>
      </c>
      <c r="C235" s="5">
        <v>3</v>
      </c>
      <c r="D235" s="5">
        <v>4</v>
      </c>
      <c r="E235" s="5">
        <v>5</v>
      </c>
      <c r="F235" s="5">
        <v>6</v>
      </c>
      <c r="G235" s="5">
        <v>7</v>
      </c>
      <c r="H235" s="123">
        <v>8</v>
      </c>
      <c r="I235" s="125">
        <v>9</v>
      </c>
      <c r="J235" s="113">
        <v>10</v>
      </c>
      <c r="K235" s="5">
        <v>11</v>
      </c>
      <c r="L235" s="5">
        <v>12</v>
      </c>
      <c r="M235" s="5">
        <v>13</v>
      </c>
      <c r="N235" s="5">
        <v>14</v>
      </c>
      <c r="O235" s="123">
        <v>15</v>
      </c>
      <c r="P235" s="125">
        <v>16</v>
      </c>
      <c r="Q235" s="134">
        <v>17</v>
      </c>
    </row>
    <row r="236" spans="1:17" ht="15.75" thickTop="1" x14ac:dyDescent="0.25">
      <c r="A236" s="85">
        <v>1</v>
      </c>
      <c r="B236" s="7" t="s">
        <v>18</v>
      </c>
      <c r="C236" s="139">
        <v>0</v>
      </c>
      <c r="D236" s="139">
        <v>0</v>
      </c>
      <c r="E236" s="139">
        <v>0</v>
      </c>
      <c r="F236" s="139">
        <v>0</v>
      </c>
      <c r="G236" s="139">
        <v>0</v>
      </c>
      <c r="H236" s="139">
        <v>3</v>
      </c>
      <c r="I236" s="127">
        <f t="shared" ref="I236:I243" si="69">SUM(C236:H236)</f>
        <v>3</v>
      </c>
      <c r="J236" s="162">
        <f>'ubi jalar'!F42</f>
        <v>4</v>
      </c>
      <c r="K236" s="162">
        <f>'ubi jalar'!G42</f>
        <v>0</v>
      </c>
      <c r="L236" s="162">
        <f>'ubi jalar'!H42</f>
        <v>0</v>
      </c>
      <c r="M236" s="162">
        <f>'ubi jalar'!I42</f>
        <v>0</v>
      </c>
      <c r="N236" s="162">
        <f>'ubi jalar'!J42</f>
        <v>2</v>
      </c>
      <c r="O236" s="162">
        <f>'ubi jalar'!K42</f>
        <v>0</v>
      </c>
      <c r="P236" s="127">
        <f>SUM(J236:O236)</f>
        <v>6</v>
      </c>
      <c r="Q236" s="130">
        <f>SUM(I236,P236)</f>
        <v>9</v>
      </c>
    </row>
    <row r="237" spans="1:17" x14ac:dyDescent="0.25">
      <c r="A237" s="86">
        <v>2</v>
      </c>
      <c r="B237" s="12" t="s">
        <v>19</v>
      </c>
      <c r="C237" s="60">
        <v>0</v>
      </c>
      <c r="D237" s="60">
        <v>0</v>
      </c>
      <c r="E237" s="60">
        <v>0</v>
      </c>
      <c r="F237" s="60">
        <v>0</v>
      </c>
      <c r="G237" s="60">
        <v>0</v>
      </c>
      <c r="H237" s="60">
        <v>0</v>
      </c>
      <c r="I237" s="128">
        <f t="shared" si="69"/>
        <v>0</v>
      </c>
      <c r="J237" s="341">
        <f>'ubi jalar'!F43</f>
        <v>0</v>
      </c>
      <c r="K237" s="135">
        <f>'ubi jalar'!G43</f>
        <v>3</v>
      </c>
      <c r="L237" s="135">
        <f>'ubi jalar'!H43</f>
        <v>0</v>
      </c>
      <c r="M237" s="135">
        <f>'ubi jalar'!I43</f>
        <v>0</v>
      </c>
      <c r="N237" s="135">
        <f>'ubi jalar'!J43</f>
        <v>0</v>
      </c>
      <c r="O237" s="164">
        <f>'ubi jalar'!K43</f>
        <v>0</v>
      </c>
      <c r="P237" s="128">
        <f t="shared" ref="P237:P242" si="70">SUM(J237:O237)</f>
        <v>3</v>
      </c>
      <c r="Q237" s="131">
        <f t="shared" ref="Q237:Q243" si="71">SUM(I237,P237)</f>
        <v>3</v>
      </c>
    </row>
    <row r="238" spans="1:17" x14ac:dyDescent="0.25">
      <c r="A238" s="86">
        <v>3</v>
      </c>
      <c r="B238" s="7" t="s">
        <v>20</v>
      </c>
      <c r="C238" s="60">
        <v>0</v>
      </c>
      <c r="D238" s="60">
        <v>0</v>
      </c>
      <c r="E238" s="60">
        <v>0</v>
      </c>
      <c r="F238" s="60">
        <v>0</v>
      </c>
      <c r="G238" s="60">
        <v>0</v>
      </c>
      <c r="H238" s="340">
        <v>0</v>
      </c>
      <c r="I238" s="128">
        <f t="shared" si="69"/>
        <v>0</v>
      </c>
      <c r="J238" s="341">
        <f>'ubi jalar'!F44</f>
        <v>0</v>
      </c>
      <c r="K238" s="135">
        <f>'ubi jalar'!G44</f>
        <v>0</v>
      </c>
      <c r="L238" s="135">
        <f>'ubi jalar'!H44</f>
        <v>0</v>
      </c>
      <c r="M238" s="135">
        <f>'ubi jalar'!I44</f>
        <v>0</v>
      </c>
      <c r="N238" s="135">
        <f>'ubi jalar'!J44</f>
        <v>0</v>
      </c>
      <c r="O238" s="164">
        <f>'ubi jalar'!K44</f>
        <v>0</v>
      </c>
      <c r="P238" s="128">
        <f t="shared" si="70"/>
        <v>0</v>
      </c>
      <c r="Q238" s="131">
        <f t="shared" si="71"/>
        <v>0</v>
      </c>
    </row>
    <row r="239" spans="1:17" x14ac:dyDescent="0.25">
      <c r="A239" s="87">
        <v>4</v>
      </c>
      <c r="B239" s="15" t="s">
        <v>21</v>
      </c>
      <c r="C239" s="60">
        <v>0</v>
      </c>
      <c r="D239" s="60">
        <v>0</v>
      </c>
      <c r="E239" s="60">
        <v>0</v>
      </c>
      <c r="F239" s="60">
        <v>0</v>
      </c>
      <c r="G239" s="60">
        <v>0</v>
      </c>
      <c r="H239" s="60">
        <v>1</v>
      </c>
      <c r="I239" s="128">
        <f t="shared" si="69"/>
        <v>1</v>
      </c>
      <c r="J239" s="341">
        <f>'ubi jalar'!F45</f>
        <v>1</v>
      </c>
      <c r="K239" s="135">
        <f>'ubi jalar'!G45</f>
        <v>0</v>
      </c>
      <c r="L239" s="135">
        <f>'ubi jalar'!H45</f>
        <v>0</v>
      </c>
      <c r="M239" s="135">
        <f>'ubi jalar'!I45</f>
        <v>0</v>
      </c>
      <c r="N239" s="135">
        <f>'ubi jalar'!J45</f>
        <v>0</v>
      </c>
      <c r="O239" s="164">
        <f>'ubi jalar'!K45</f>
        <v>0</v>
      </c>
      <c r="P239" s="128">
        <f t="shared" si="70"/>
        <v>1</v>
      </c>
      <c r="Q239" s="131">
        <f t="shared" si="71"/>
        <v>2</v>
      </c>
    </row>
    <row r="240" spans="1:17" x14ac:dyDescent="0.25">
      <c r="A240" s="87">
        <v>5</v>
      </c>
      <c r="B240" s="19" t="s">
        <v>22</v>
      </c>
      <c r="C240" s="60">
        <v>2</v>
      </c>
      <c r="D240" s="60">
        <v>0</v>
      </c>
      <c r="E240" s="60">
        <v>0</v>
      </c>
      <c r="F240" s="60">
        <v>0</v>
      </c>
      <c r="G240" s="60">
        <v>0</v>
      </c>
      <c r="H240" s="60">
        <v>1</v>
      </c>
      <c r="I240" s="128">
        <f t="shared" si="69"/>
        <v>3</v>
      </c>
      <c r="J240" s="341">
        <f>'ubi jalar'!F46</f>
        <v>0</v>
      </c>
      <c r="K240" s="135">
        <f>'ubi jalar'!G46</f>
        <v>0</v>
      </c>
      <c r="L240" s="135">
        <f>'ubi jalar'!H46</f>
        <v>0</v>
      </c>
      <c r="M240" s="135">
        <f>'ubi jalar'!I46</f>
        <v>1</v>
      </c>
      <c r="N240" s="135">
        <f>'ubi jalar'!J46</f>
        <v>0</v>
      </c>
      <c r="O240" s="164">
        <f>'ubi jalar'!K46</f>
        <v>0</v>
      </c>
      <c r="P240" s="128">
        <f t="shared" si="70"/>
        <v>1</v>
      </c>
      <c r="Q240" s="131">
        <f t="shared" si="71"/>
        <v>4</v>
      </c>
    </row>
    <row r="241" spans="1:17" x14ac:dyDescent="0.25">
      <c r="A241" s="87">
        <v>6</v>
      </c>
      <c r="B241" s="19" t="s">
        <v>23</v>
      </c>
      <c r="C241" s="60">
        <v>0</v>
      </c>
      <c r="D241" s="60">
        <v>0</v>
      </c>
      <c r="E241" s="60">
        <v>0</v>
      </c>
      <c r="F241" s="60">
        <v>0</v>
      </c>
      <c r="G241" s="60">
        <v>0</v>
      </c>
      <c r="H241" s="60">
        <v>0</v>
      </c>
      <c r="I241" s="128">
        <f t="shared" si="69"/>
        <v>0</v>
      </c>
      <c r="J241" s="341">
        <f>'ubi jalar'!F47</f>
        <v>0</v>
      </c>
      <c r="K241" s="135">
        <f>'ubi jalar'!G47</f>
        <v>0</v>
      </c>
      <c r="L241" s="135">
        <f>'ubi jalar'!H47</f>
        <v>0</v>
      </c>
      <c r="M241" s="135">
        <f>'ubi jalar'!I47</f>
        <v>0</v>
      </c>
      <c r="N241" s="135">
        <f>'ubi jalar'!J47</f>
        <v>0</v>
      </c>
      <c r="O241" s="164">
        <f>'ubi jalar'!K47</f>
        <v>0</v>
      </c>
      <c r="P241" s="128">
        <f t="shared" si="70"/>
        <v>0</v>
      </c>
      <c r="Q241" s="131">
        <f t="shared" si="71"/>
        <v>0</v>
      </c>
    </row>
    <row r="242" spans="1:17" x14ac:dyDescent="0.25">
      <c r="A242" s="87">
        <v>7</v>
      </c>
      <c r="B242" s="19" t="s">
        <v>24</v>
      </c>
      <c r="C242" s="60">
        <v>1</v>
      </c>
      <c r="D242" s="60">
        <v>1</v>
      </c>
      <c r="E242" s="60">
        <v>0</v>
      </c>
      <c r="F242" s="60">
        <v>0</v>
      </c>
      <c r="G242" s="60">
        <v>0</v>
      </c>
      <c r="H242" s="60">
        <v>0</v>
      </c>
      <c r="I242" s="128">
        <f t="shared" si="69"/>
        <v>2</v>
      </c>
      <c r="J242" s="341">
        <f>'ubi jalar'!F48</f>
        <v>0</v>
      </c>
      <c r="K242" s="135">
        <f>'ubi jalar'!G48</f>
        <v>0</v>
      </c>
      <c r="L242" s="135">
        <f>'ubi jalar'!H48</f>
        <v>0</v>
      </c>
      <c r="M242" s="135">
        <f>'ubi jalar'!I48</f>
        <v>0</v>
      </c>
      <c r="N242" s="135">
        <f>'ubi jalar'!J48</f>
        <v>0</v>
      </c>
      <c r="O242" s="164">
        <f>'ubi jalar'!K48</f>
        <v>0</v>
      </c>
      <c r="P242" s="128">
        <f t="shared" si="70"/>
        <v>0</v>
      </c>
      <c r="Q242" s="131">
        <f t="shared" si="71"/>
        <v>2</v>
      </c>
    </row>
    <row r="243" spans="1:17" ht="15.75" thickBot="1" x14ac:dyDescent="0.3">
      <c r="A243" s="88">
        <v>8</v>
      </c>
      <c r="B243" s="15" t="s">
        <v>25</v>
      </c>
      <c r="C243" s="140">
        <v>0</v>
      </c>
      <c r="D243" s="140">
        <v>0</v>
      </c>
      <c r="E243" s="140">
        <v>0</v>
      </c>
      <c r="F243" s="140">
        <v>1</v>
      </c>
      <c r="G243" s="140">
        <v>0</v>
      </c>
      <c r="H243" s="140">
        <v>1</v>
      </c>
      <c r="I243" s="129">
        <f t="shared" si="69"/>
        <v>2</v>
      </c>
      <c r="J243" s="329">
        <f>'ubi jalar'!F49</f>
        <v>0</v>
      </c>
      <c r="K243" s="329">
        <f>'ubi jalar'!G49</f>
        <v>0</v>
      </c>
      <c r="L243" s="329">
        <f>'ubi jalar'!H49</f>
        <v>0</v>
      </c>
      <c r="M243" s="329">
        <f>'ubi jalar'!I49</f>
        <v>0</v>
      </c>
      <c r="N243" s="329">
        <f>'ubi jalar'!J49</f>
        <v>0</v>
      </c>
      <c r="O243" s="329">
        <f>'ubi jalar'!K49</f>
        <v>2</v>
      </c>
      <c r="P243" s="129">
        <f>SUM(J243:O243)</f>
        <v>2</v>
      </c>
      <c r="Q243" s="132">
        <f t="shared" si="71"/>
        <v>4</v>
      </c>
    </row>
    <row r="244" spans="1:17" ht="16.5" thickTop="1" thickBot="1" x14ac:dyDescent="0.3">
      <c r="A244" s="514" t="s">
        <v>26</v>
      </c>
      <c r="B244" s="515"/>
      <c r="C244" s="115">
        <f t="shared" ref="C244:I244" si="72">SUM(C236:C243)</f>
        <v>3</v>
      </c>
      <c r="D244" s="115">
        <f t="shared" si="72"/>
        <v>1</v>
      </c>
      <c r="E244" s="115">
        <f t="shared" si="72"/>
        <v>0</v>
      </c>
      <c r="F244" s="115">
        <f t="shared" si="72"/>
        <v>1</v>
      </c>
      <c r="G244" s="115">
        <f t="shared" si="72"/>
        <v>0</v>
      </c>
      <c r="H244" s="124">
        <f t="shared" si="72"/>
        <v>6</v>
      </c>
      <c r="I244" s="126">
        <f t="shared" si="72"/>
        <v>11</v>
      </c>
      <c r="J244" s="136">
        <f t="shared" ref="J244:O244" si="73">SUM(J236:J243)</f>
        <v>5</v>
      </c>
      <c r="K244" s="115">
        <f t="shared" si="73"/>
        <v>3</v>
      </c>
      <c r="L244" s="115">
        <f t="shared" si="73"/>
        <v>0</v>
      </c>
      <c r="M244" s="115">
        <f t="shared" si="73"/>
        <v>1</v>
      </c>
      <c r="N244" s="115">
        <f t="shared" si="73"/>
        <v>2</v>
      </c>
      <c r="O244" s="124">
        <f t="shared" si="73"/>
        <v>2</v>
      </c>
      <c r="P244" s="126">
        <f>SUM(P236:P243)</f>
        <v>13</v>
      </c>
      <c r="Q244" s="133">
        <f>SUM(Q236:Q243)</f>
        <v>24</v>
      </c>
    </row>
    <row r="246" spans="1:17" ht="15.75" x14ac:dyDescent="0.25">
      <c r="A246" s="516" t="s">
        <v>132</v>
      </c>
      <c r="B246" s="516"/>
      <c r="C246" s="516"/>
      <c r="D246" s="516"/>
      <c r="E246" s="516"/>
      <c r="F246" s="516"/>
      <c r="G246" s="516"/>
      <c r="H246" s="516"/>
      <c r="I246" s="516"/>
      <c r="J246" s="516"/>
      <c r="K246" s="516"/>
      <c r="L246" s="516"/>
      <c r="M246" s="516"/>
      <c r="N246" s="516"/>
      <c r="O246" s="516"/>
      <c r="P246" s="516"/>
      <c r="Q246" s="516"/>
    </row>
    <row r="247" spans="1:17" ht="15.75" x14ac:dyDescent="0.25">
      <c r="A247" s="516" t="s">
        <v>82</v>
      </c>
      <c r="B247" s="516"/>
      <c r="C247" s="516"/>
      <c r="D247" s="516"/>
      <c r="E247" s="516"/>
      <c r="F247" s="516"/>
      <c r="G247" s="516"/>
      <c r="H247" s="516"/>
      <c r="I247" s="516"/>
      <c r="J247" s="516"/>
      <c r="K247" s="516"/>
      <c r="L247" s="516"/>
      <c r="M247" s="516"/>
      <c r="N247" s="516"/>
      <c r="O247" s="516"/>
      <c r="P247" s="516"/>
      <c r="Q247" s="516"/>
    </row>
    <row r="248" spans="1:17" ht="15.75" thickBot="1" x14ac:dyDescent="0.3">
      <c r="Q248" s="77" t="s">
        <v>1</v>
      </c>
    </row>
    <row r="249" spans="1:17" x14ac:dyDescent="0.25">
      <c r="A249" s="511" t="s">
        <v>2</v>
      </c>
      <c r="B249" s="513" t="s">
        <v>3</v>
      </c>
      <c r="C249" s="517" t="s">
        <v>114</v>
      </c>
      <c r="D249" s="518"/>
      <c r="E249" s="518"/>
      <c r="F249" s="518"/>
      <c r="G249" s="518"/>
      <c r="H249" s="518"/>
      <c r="I249" s="519" t="s">
        <v>84</v>
      </c>
      <c r="J249" s="518">
        <v>2016</v>
      </c>
      <c r="K249" s="518"/>
      <c r="L249" s="518"/>
      <c r="M249" s="518"/>
      <c r="N249" s="518"/>
      <c r="O249" s="518"/>
      <c r="P249" s="519" t="s">
        <v>85</v>
      </c>
      <c r="Q249" s="521" t="s">
        <v>5</v>
      </c>
    </row>
    <row r="250" spans="1:17" x14ac:dyDescent="0.25">
      <c r="A250" s="512"/>
      <c r="B250" s="499"/>
      <c r="C250" s="325" t="s">
        <v>15</v>
      </c>
      <c r="D250" s="325" t="s">
        <v>16</v>
      </c>
      <c r="E250" s="325" t="s">
        <v>17</v>
      </c>
      <c r="F250" s="325" t="s">
        <v>6</v>
      </c>
      <c r="G250" s="325" t="s">
        <v>77</v>
      </c>
      <c r="H250" s="122" t="s">
        <v>78</v>
      </c>
      <c r="I250" s="520"/>
      <c r="J250" s="112" t="s">
        <v>79</v>
      </c>
      <c r="K250" s="325" t="s">
        <v>10</v>
      </c>
      <c r="L250" s="325" t="s">
        <v>11</v>
      </c>
      <c r="M250" s="325" t="s">
        <v>12</v>
      </c>
      <c r="N250" s="325" t="s">
        <v>80</v>
      </c>
      <c r="O250" s="122" t="s">
        <v>81</v>
      </c>
      <c r="P250" s="520"/>
      <c r="Q250" s="522"/>
    </row>
    <row r="251" spans="1:17" ht="15.75" thickBot="1" x14ac:dyDescent="0.3">
      <c r="A251" s="114">
        <v>1</v>
      </c>
      <c r="B251" s="5">
        <v>2</v>
      </c>
      <c r="C251" s="5">
        <v>3</v>
      </c>
      <c r="D251" s="5">
        <v>4</v>
      </c>
      <c r="E251" s="5">
        <v>5</v>
      </c>
      <c r="F251" s="5">
        <v>6</v>
      </c>
      <c r="G251" s="5">
        <v>7</v>
      </c>
      <c r="H251" s="123">
        <v>8</v>
      </c>
      <c r="I251" s="125">
        <v>9</v>
      </c>
      <c r="J251" s="113">
        <v>10</v>
      </c>
      <c r="K251" s="5">
        <v>11</v>
      </c>
      <c r="L251" s="5">
        <v>12</v>
      </c>
      <c r="M251" s="5">
        <v>13</v>
      </c>
      <c r="N251" s="5">
        <v>14</v>
      </c>
      <c r="O251" s="123">
        <v>15</v>
      </c>
      <c r="P251" s="125">
        <v>16</v>
      </c>
      <c r="Q251" s="134">
        <v>17</v>
      </c>
    </row>
    <row r="252" spans="1:17" ht="15.75" thickTop="1" x14ac:dyDescent="0.25">
      <c r="A252" s="85">
        <v>1</v>
      </c>
      <c r="B252" s="7" t="s">
        <v>18</v>
      </c>
      <c r="C252" s="139">
        <v>0</v>
      </c>
      <c r="D252" s="139">
        <v>0</v>
      </c>
      <c r="E252" s="139">
        <v>0</v>
      </c>
      <c r="F252" s="139">
        <v>0</v>
      </c>
      <c r="G252" s="139">
        <v>0</v>
      </c>
      <c r="H252" s="139">
        <v>3</v>
      </c>
      <c r="I252" s="127">
        <f t="shared" ref="I252:I259" si="74">SUM(C252:H252)</f>
        <v>3</v>
      </c>
      <c r="J252" s="162">
        <f>'kc ijo'!F42</f>
        <v>0</v>
      </c>
      <c r="K252" s="162">
        <f>'kc ijo'!G42</f>
        <v>0</v>
      </c>
      <c r="L252" s="162">
        <f>'kc ijo'!H42</f>
        <v>0</v>
      </c>
      <c r="M252" s="162">
        <f>'kc ijo'!I42</f>
        <v>0</v>
      </c>
      <c r="N252" s="162">
        <f>'kc ijo'!J42</f>
        <v>0</v>
      </c>
      <c r="O252" s="162">
        <f>'kc ijo'!K42</f>
        <v>0</v>
      </c>
      <c r="P252" s="127">
        <f>SUM(J252:O252)</f>
        <v>0</v>
      </c>
      <c r="Q252" s="130">
        <f>SUM(I252,P252)</f>
        <v>3</v>
      </c>
    </row>
    <row r="253" spans="1:17" x14ac:dyDescent="0.25">
      <c r="A253" s="86">
        <v>2</v>
      </c>
      <c r="B253" s="12" t="s">
        <v>19</v>
      </c>
      <c r="C253" s="60">
        <v>0</v>
      </c>
      <c r="D253" s="60">
        <v>0</v>
      </c>
      <c r="E253" s="60">
        <v>0</v>
      </c>
      <c r="F253" s="60">
        <v>0</v>
      </c>
      <c r="G253" s="60">
        <v>0</v>
      </c>
      <c r="H253" s="60">
        <v>0</v>
      </c>
      <c r="I253" s="128">
        <f t="shared" si="74"/>
        <v>0</v>
      </c>
      <c r="J253" s="341">
        <f>'kc ijo'!F43</f>
        <v>0</v>
      </c>
      <c r="K253" s="135">
        <f>'kc ijo'!G43</f>
        <v>1</v>
      </c>
      <c r="L253" s="135">
        <f>'kc ijo'!H43</f>
        <v>0</v>
      </c>
      <c r="M253" s="135">
        <f>'kc ijo'!I43</f>
        <v>0</v>
      </c>
      <c r="N253" s="135">
        <f>'kc ijo'!J43</f>
        <v>0</v>
      </c>
      <c r="O253" s="164">
        <f>'kc ijo'!K43</f>
        <v>0</v>
      </c>
      <c r="P253" s="128">
        <f t="shared" ref="P253:P258" si="75">SUM(J253:O253)</f>
        <v>1</v>
      </c>
      <c r="Q253" s="131">
        <f t="shared" ref="Q253:Q259" si="76">SUM(I253,P253)</f>
        <v>1</v>
      </c>
    </row>
    <row r="254" spans="1:17" x14ac:dyDescent="0.25">
      <c r="A254" s="86">
        <v>3</v>
      </c>
      <c r="B254" s="7" t="s">
        <v>20</v>
      </c>
      <c r="C254" s="60">
        <v>0</v>
      </c>
      <c r="D254" s="60">
        <v>0</v>
      </c>
      <c r="E254" s="60">
        <v>0</v>
      </c>
      <c r="F254" s="60">
        <v>0</v>
      </c>
      <c r="G254" s="60">
        <v>0</v>
      </c>
      <c r="H254" s="340">
        <v>0</v>
      </c>
      <c r="I254" s="128">
        <f t="shared" si="74"/>
        <v>0</v>
      </c>
      <c r="J254" s="341">
        <f>'kc ijo'!F44</f>
        <v>0</v>
      </c>
      <c r="K254" s="135">
        <f>'kc ijo'!G44</f>
        <v>0</v>
      </c>
      <c r="L254" s="135">
        <f>'kc ijo'!H44</f>
        <v>0</v>
      </c>
      <c r="M254" s="135">
        <f>'kc ijo'!I44</f>
        <v>0</v>
      </c>
      <c r="N254" s="135">
        <f>'kc ijo'!J44</f>
        <v>3</v>
      </c>
      <c r="O254" s="164">
        <f>'kc ijo'!K44</f>
        <v>0</v>
      </c>
      <c r="P254" s="128">
        <f t="shared" si="75"/>
        <v>3</v>
      </c>
      <c r="Q254" s="131">
        <f t="shared" si="76"/>
        <v>3</v>
      </c>
    </row>
    <row r="255" spans="1:17" x14ac:dyDescent="0.25">
      <c r="A255" s="87">
        <v>4</v>
      </c>
      <c r="B255" s="15" t="s">
        <v>21</v>
      </c>
      <c r="C255" s="60">
        <v>0</v>
      </c>
      <c r="D255" s="60">
        <v>0</v>
      </c>
      <c r="E255" s="60">
        <v>0</v>
      </c>
      <c r="F255" s="60">
        <v>0</v>
      </c>
      <c r="G255" s="60">
        <v>0</v>
      </c>
      <c r="H255" s="60">
        <v>0</v>
      </c>
      <c r="I255" s="128">
        <f t="shared" si="74"/>
        <v>0</v>
      </c>
      <c r="J255" s="341">
        <f>'kc ijo'!F45</f>
        <v>0</v>
      </c>
      <c r="K255" s="135">
        <f>'kc ijo'!G45</f>
        <v>0</v>
      </c>
      <c r="L255" s="135">
        <f>'kc ijo'!H45</f>
        <v>0</v>
      </c>
      <c r="M255" s="135">
        <f>'kc ijo'!I45</f>
        <v>0</v>
      </c>
      <c r="N255" s="135">
        <f>'kc ijo'!J45</f>
        <v>11</v>
      </c>
      <c r="O255" s="164">
        <f>'kc ijo'!K45</f>
        <v>1</v>
      </c>
      <c r="P255" s="128">
        <f t="shared" si="75"/>
        <v>12</v>
      </c>
      <c r="Q255" s="131">
        <f t="shared" si="76"/>
        <v>12</v>
      </c>
    </row>
    <row r="256" spans="1:17" x14ac:dyDescent="0.25">
      <c r="A256" s="87">
        <v>5</v>
      </c>
      <c r="B256" s="19" t="s">
        <v>22</v>
      </c>
      <c r="C256" s="60">
        <v>0</v>
      </c>
      <c r="D256" s="60">
        <v>0</v>
      </c>
      <c r="E256" s="60">
        <v>0</v>
      </c>
      <c r="F256" s="60">
        <v>0</v>
      </c>
      <c r="G256" s="60">
        <v>0</v>
      </c>
      <c r="H256" s="60">
        <v>0</v>
      </c>
      <c r="I256" s="128">
        <f t="shared" si="74"/>
        <v>0</v>
      </c>
      <c r="J256" s="341">
        <f>'kc ijo'!F46</f>
        <v>0</v>
      </c>
      <c r="K256" s="135">
        <f>'kc ijo'!G46</f>
        <v>0</v>
      </c>
      <c r="L256" s="135">
        <f>'kc ijo'!H46</f>
        <v>0</v>
      </c>
      <c r="M256" s="135">
        <f>'kc ijo'!I46</f>
        <v>1</v>
      </c>
      <c r="N256" s="135">
        <f>'kc ijo'!J46</f>
        <v>0</v>
      </c>
      <c r="O256" s="164">
        <f>'kc ijo'!K46</f>
        <v>0</v>
      </c>
      <c r="P256" s="128">
        <f t="shared" si="75"/>
        <v>1</v>
      </c>
      <c r="Q256" s="131">
        <f t="shared" si="76"/>
        <v>1</v>
      </c>
    </row>
    <row r="257" spans="1:17" x14ac:dyDescent="0.25">
      <c r="A257" s="87">
        <v>6</v>
      </c>
      <c r="B257" s="19" t="s">
        <v>23</v>
      </c>
      <c r="C257" s="60">
        <v>0</v>
      </c>
      <c r="D257" s="60">
        <v>0</v>
      </c>
      <c r="E257" s="60">
        <v>0</v>
      </c>
      <c r="F257" s="60">
        <v>0</v>
      </c>
      <c r="G257" s="60">
        <v>0</v>
      </c>
      <c r="H257" s="60">
        <v>0</v>
      </c>
      <c r="I257" s="128">
        <f t="shared" si="74"/>
        <v>0</v>
      </c>
      <c r="J257" s="341">
        <f>'kc ijo'!F47</f>
        <v>0</v>
      </c>
      <c r="K257" s="135">
        <f>'kc ijo'!G47</f>
        <v>0</v>
      </c>
      <c r="L257" s="135">
        <f>'kc ijo'!H47</f>
        <v>0</v>
      </c>
      <c r="M257" s="135">
        <f>'kc ijo'!I47</f>
        <v>0</v>
      </c>
      <c r="N257" s="135">
        <f>'kc ijo'!J47</f>
        <v>0</v>
      </c>
      <c r="O257" s="164">
        <f>'kc ijo'!K47</f>
        <v>0</v>
      </c>
      <c r="P257" s="128">
        <f t="shared" si="75"/>
        <v>0</v>
      </c>
      <c r="Q257" s="131">
        <f t="shared" si="76"/>
        <v>0</v>
      </c>
    </row>
    <row r="258" spans="1:17" x14ac:dyDescent="0.25">
      <c r="A258" s="87">
        <v>7</v>
      </c>
      <c r="B258" s="19" t="s">
        <v>24</v>
      </c>
      <c r="C258" s="60">
        <v>0</v>
      </c>
      <c r="D258" s="60">
        <v>0</v>
      </c>
      <c r="E258" s="60">
        <v>0</v>
      </c>
      <c r="F258" s="60">
        <v>0</v>
      </c>
      <c r="G258" s="60">
        <v>0</v>
      </c>
      <c r="H258" s="60">
        <v>0</v>
      </c>
      <c r="I258" s="128">
        <f t="shared" si="74"/>
        <v>0</v>
      </c>
      <c r="J258" s="341">
        <f>'kc ijo'!F48</f>
        <v>0</v>
      </c>
      <c r="K258" s="135">
        <f>'kc ijo'!G48</f>
        <v>0</v>
      </c>
      <c r="L258" s="135">
        <f>'kc ijo'!H48</f>
        <v>0</v>
      </c>
      <c r="M258" s="135">
        <f>'kc ijo'!I48</f>
        <v>0</v>
      </c>
      <c r="N258" s="135">
        <f>'kc ijo'!J48</f>
        <v>0</v>
      </c>
      <c r="O258" s="164">
        <f>'kc ijo'!K48</f>
        <v>0</v>
      </c>
      <c r="P258" s="128">
        <f t="shared" si="75"/>
        <v>0</v>
      </c>
      <c r="Q258" s="131">
        <f t="shared" si="76"/>
        <v>0</v>
      </c>
    </row>
    <row r="259" spans="1:17" ht="15.75" thickBot="1" x14ac:dyDescent="0.3">
      <c r="A259" s="88">
        <v>8</v>
      </c>
      <c r="B259" s="15" t="s">
        <v>25</v>
      </c>
      <c r="C259" s="140">
        <v>0</v>
      </c>
      <c r="D259" s="140">
        <v>0</v>
      </c>
      <c r="E259" s="140">
        <v>0</v>
      </c>
      <c r="F259" s="140">
        <v>0</v>
      </c>
      <c r="G259" s="140">
        <v>0</v>
      </c>
      <c r="H259" s="140">
        <v>0</v>
      </c>
      <c r="I259" s="129">
        <f t="shared" si="74"/>
        <v>0</v>
      </c>
      <c r="J259" s="329">
        <f>'kc ijo'!F49</f>
        <v>0</v>
      </c>
      <c r="K259" s="329">
        <f>'kc ijo'!G49</f>
        <v>0</v>
      </c>
      <c r="L259" s="329">
        <f>'kc ijo'!H49</f>
        <v>0</v>
      </c>
      <c r="M259" s="329">
        <f>'kc ijo'!I49</f>
        <v>0</v>
      </c>
      <c r="N259" s="329">
        <f>'kc ijo'!J49</f>
        <v>0</v>
      </c>
      <c r="O259" s="329">
        <f>'kc ijo'!K49</f>
        <v>0</v>
      </c>
      <c r="P259" s="129">
        <f>SUM(J259:O259)</f>
        <v>0</v>
      </c>
      <c r="Q259" s="132">
        <f t="shared" si="76"/>
        <v>0</v>
      </c>
    </row>
    <row r="260" spans="1:17" ht="16.5" thickTop="1" thickBot="1" x14ac:dyDescent="0.3">
      <c r="A260" s="514" t="s">
        <v>26</v>
      </c>
      <c r="B260" s="515"/>
      <c r="C260" s="115">
        <f t="shared" ref="C260:I260" si="77">SUM(C252:C259)</f>
        <v>0</v>
      </c>
      <c r="D260" s="115">
        <f t="shared" si="77"/>
        <v>0</v>
      </c>
      <c r="E260" s="115">
        <f t="shared" si="77"/>
        <v>0</v>
      </c>
      <c r="F260" s="115">
        <f t="shared" si="77"/>
        <v>0</v>
      </c>
      <c r="G260" s="115">
        <f t="shared" si="77"/>
        <v>0</v>
      </c>
      <c r="H260" s="124">
        <f t="shared" si="77"/>
        <v>3</v>
      </c>
      <c r="I260" s="126">
        <f t="shared" si="77"/>
        <v>3</v>
      </c>
      <c r="J260" s="136">
        <f t="shared" ref="J260:O260" si="78">SUM(J252:J259)</f>
        <v>0</v>
      </c>
      <c r="K260" s="115">
        <f t="shared" si="78"/>
        <v>1</v>
      </c>
      <c r="L260" s="115">
        <f t="shared" si="78"/>
        <v>0</v>
      </c>
      <c r="M260" s="115">
        <f t="shared" si="78"/>
        <v>1</v>
      </c>
      <c r="N260" s="115">
        <f t="shared" si="78"/>
        <v>14</v>
      </c>
      <c r="O260" s="124">
        <f t="shared" si="78"/>
        <v>1</v>
      </c>
      <c r="P260" s="126">
        <f>SUM(P252:P259)</f>
        <v>17</v>
      </c>
      <c r="Q260" s="133">
        <f>SUM(Q252:Q259)</f>
        <v>20</v>
      </c>
    </row>
  </sheetData>
  <mergeCells count="160">
    <mergeCell ref="A128:B128"/>
    <mergeCell ref="A112:B112"/>
    <mergeCell ref="A114:Q114"/>
    <mergeCell ref="A115:Q115"/>
    <mergeCell ref="A117:A118"/>
    <mergeCell ref="B117:B118"/>
    <mergeCell ref="C117:H117"/>
    <mergeCell ref="I117:I118"/>
    <mergeCell ref="J117:O117"/>
    <mergeCell ref="P117:P118"/>
    <mergeCell ref="Q117:Q118"/>
    <mergeCell ref="A96:B96"/>
    <mergeCell ref="A98:Q98"/>
    <mergeCell ref="A99:Q99"/>
    <mergeCell ref="A101:A102"/>
    <mergeCell ref="B101:B102"/>
    <mergeCell ref="C101:H101"/>
    <mergeCell ref="I101:I102"/>
    <mergeCell ref="J101:O101"/>
    <mergeCell ref="P101:P102"/>
    <mergeCell ref="Q101:Q102"/>
    <mergeCell ref="A80:B80"/>
    <mergeCell ref="A82:Q82"/>
    <mergeCell ref="A83:Q83"/>
    <mergeCell ref="A85:A86"/>
    <mergeCell ref="B85:B86"/>
    <mergeCell ref="C85:H85"/>
    <mergeCell ref="I85:I86"/>
    <mergeCell ref="J85:O85"/>
    <mergeCell ref="P85:P86"/>
    <mergeCell ref="Q85:Q86"/>
    <mergeCell ref="A64:B64"/>
    <mergeCell ref="A66:Q66"/>
    <mergeCell ref="A67:Q67"/>
    <mergeCell ref="A69:A70"/>
    <mergeCell ref="B69:B70"/>
    <mergeCell ref="C69:H69"/>
    <mergeCell ref="I69:I70"/>
    <mergeCell ref="J69:O69"/>
    <mergeCell ref="P69:P70"/>
    <mergeCell ref="Q69:Q70"/>
    <mergeCell ref="A48:B48"/>
    <mergeCell ref="A50:Q50"/>
    <mergeCell ref="A51:Q51"/>
    <mergeCell ref="A53:A54"/>
    <mergeCell ref="B53:B54"/>
    <mergeCell ref="C53:H53"/>
    <mergeCell ref="I53:I54"/>
    <mergeCell ref="J53:O53"/>
    <mergeCell ref="P53:P54"/>
    <mergeCell ref="Q53:Q54"/>
    <mergeCell ref="A32:B32"/>
    <mergeCell ref="A34:Q34"/>
    <mergeCell ref="A35:Q35"/>
    <mergeCell ref="A37:A38"/>
    <mergeCell ref="B37:B38"/>
    <mergeCell ref="C37:H37"/>
    <mergeCell ref="I37:I38"/>
    <mergeCell ref="J37:O37"/>
    <mergeCell ref="P37:P38"/>
    <mergeCell ref="Q37:Q38"/>
    <mergeCell ref="A18:Q18"/>
    <mergeCell ref="A19:Q19"/>
    <mergeCell ref="A21:A22"/>
    <mergeCell ref="B21:B22"/>
    <mergeCell ref="C21:H21"/>
    <mergeCell ref="I21:I22"/>
    <mergeCell ref="J21:O21"/>
    <mergeCell ref="P21:P22"/>
    <mergeCell ref="Q21:Q22"/>
    <mergeCell ref="A16:B16"/>
    <mergeCell ref="A2:Q2"/>
    <mergeCell ref="A3:Q3"/>
    <mergeCell ref="A5:A6"/>
    <mergeCell ref="B5:B6"/>
    <mergeCell ref="C5:H5"/>
    <mergeCell ref="I5:I6"/>
    <mergeCell ref="J5:O5"/>
    <mergeCell ref="P5:P6"/>
    <mergeCell ref="Q5:Q6"/>
    <mergeCell ref="A132:Q132"/>
    <mergeCell ref="A133:Q133"/>
    <mergeCell ref="A135:A136"/>
    <mergeCell ref="B135:B136"/>
    <mergeCell ref="C135:H135"/>
    <mergeCell ref="I135:I136"/>
    <mergeCell ref="J135:O135"/>
    <mergeCell ref="P135:P136"/>
    <mergeCell ref="Q135:Q136"/>
    <mergeCell ref="A146:B146"/>
    <mergeCell ref="A148:Q148"/>
    <mergeCell ref="A149:Q149"/>
    <mergeCell ref="A151:A152"/>
    <mergeCell ref="B151:B152"/>
    <mergeCell ref="C151:H151"/>
    <mergeCell ref="I151:I152"/>
    <mergeCell ref="J151:O151"/>
    <mergeCell ref="P151:P152"/>
    <mergeCell ref="Q151:Q152"/>
    <mergeCell ref="A162:B162"/>
    <mergeCell ref="A164:Q164"/>
    <mergeCell ref="A165:Q165"/>
    <mergeCell ref="A167:A168"/>
    <mergeCell ref="B167:B168"/>
    <mergeCell ref="C167:H167"/>
    <mergeCell ref="I167:I168"/>
    <mergeCell ref="J167:O167"/>
    <mergeCell ref="P167:P168"/>
    <mergeCell ref="Q167:Q168"/>
    <mergeCell ref="A178:B178"/>
    <mergeCell ref="A181:Q181"/>
    <mergeCell ref="A182:Q182"/>
    <mergeCell ref="A184:A185"/>
    <mergeCell ref="B184:B185"/>
    <mergeCell ref="C184:H184"/>
    <mergeCell ref="I184:I185"/>
    <mergeCell ref="J184:O184"/>
    <mergeCell ref="P184:P185"/>
    <mergeCell ref="Q184:Q185"/>
    <mergeCell ref="A195:B195"/>
    <mergeCell ref="A198:Q198"/>
    <mergeCell ref="A199:Q199"/>
    <mergeCell ref="A201:A202"/>
    <mergeCell ref="B201:B202"/>
    <mergeCell ref="C201:H201"/>
    <mergeCell ref="I201:I202"/>
    <mergeCell ref="J201:O201"/>
    <mergeCell ref="P201:P202"/>
    <mergeCell ref="Q201:Q202"/>
    <mergeCell ref="A212:B212"/>
    <mergeCell ref="A214:Q214"/>
    <mergeCell ref="A215:Q215"/>
    <mergeCell ref="A217:A218"/>
    <mergeCell ref="B217:B218"/>
    <mergeCell ref="C217:H217"/>
    <mergeCell ref="I217:I218"/>
    <mergeCell ref="J217:O217"/>
    <mergeCell ref="P217:P218"/>
    <mergeCell ref="Q217:Q218"/>
    <mergeCell ref="A228:B228"/>
    <mergeCell ref="A230:Q230"/>
    <mergeCell ref="A231:Q231"/>
    <mergeCell ref="A233:A234"/>
    <mergeCell ref="B233:B234"/>
    <mergeCell ref="C233:H233"/>
    <mergeCell ref="I233:I234"/>
    <mergeCell ref="J233:O233"/>
    <mergeCell ref="P233:P234"/>
    <mergeCell ref="Q233:Q234"/>
    <mergeCell ref="A260:B260"/>
    <mergeCell ref="A244:B244"/>
    <mergeCell ref="A246:Q246"/>
    <mergeCell ref="A247:Q247"/>
    <mergeCell ref="A249:A250"/>
    <mergeCell ref="B249:B250"/>
    <mergeCell ref="C249:H249"/>
    <mergeCell ref="I249:I250"/>
    <mergeCell ref="J249:O249"/>
    <mergeCell ref="P249:P250"/>
    <mergeCell ref="Q249:Q250"/>
  </mergeCells>
  <pageMargins left="1.2204724409448819" right="0.59055118110236227" top="0.74803149606299213" bottom="0.74803149606299213" header="0.31496062992125984" footer="0.31496062992125984"/>
  <pageSetup paperSize="9" scale="90" orientation="landscape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5"/>
  <sheetViews>
    <sheetView zoomScale="90" zoomScaleNormal="90" workbookViewId="0">
      <selection activeCell="A2" sqref="A2:Q2"/>
    </sheetView>
  </sheetViews>
  <sheetFormatPr defaultRowHeight="15" x14ac:dyDescent="0.25"/>
  <cols>
    <col min="1" max="1" width="4.28515625" customWidth="1"/>
    <col min="2" max="2" width="14.140625" customWidth="1"/>
    <col min="3" max="8" width="7.85546875" customWidth="1"/>
    <col min="9" max="9" width="8.5703125" customWidth="1"/>
    <col min="10" max="15" width="7.85546875" customWidth="1"/>
    <col min="16" max="17" width="8.5703125" customWidth="1"/>
  </cols>
  <sheetData>
    <row r="1" spans="1:17" ht="15.75" x14ac:dyDescent="0.25">
      <c r="A1" s="516" t="s">
        <v>155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</row>
    <row r="2" spans="1:17" ht="15.75" x14ac:dyDescent="0.25">
      <c r="A2" s="516" t="s">
        <v>82</v>
      </c>
      <c r="B2" s="516"/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</row>
    <row r="3" spans="1:17" ht="15.75" thickBot="1" x14ac:dyDescent="0.3">
      <c r="Q3" s="77" t="s">
        <v>1</v>
      </c>
    </row>
    <row r="4" spans="1:17" x14ac:dyDescent="0.25">
      <c r="A4" s="511" t="s">
        <v>2</v>
      </c>
      <c r="B4" s="513" t="s">
        <v>3</v>
      </c>
      <c r="C4" s="517" t="s">
        <v>152</v>
      </c>
      <c r="D4" s="518"/>
      <c r="E4" s="518"/>
      <c r="F4" s="518"/>
      <c r="G4" s="518"/>
      <c r="H4" s="518"/>
      <c r="I4" s="519" t="s">
        <v>84</v>
      </c>
      <c r="J4" s="518">
        <v>2017</v>
      </c>
      <c r="K4" s="518"/>
      <c r="L4" s="518"/>
      <c r="M4" s="518"/>
      <c r="N4" s="518"/>
      <c r="O4" s="518"/>
      <c r="P4" s="519" t="s">
        <v>85</v>
      </c>
      <c r="Q4" s="521" t="s">
        <v>5</v>
      </c>
    </row>
    <row r="5" spans="1:17" x14ac:dyDescent="0.25">
      <c r="A5" s="512"/>
      <c r="B5" s="499"/>
      <c r="C5" s="471" t="s">
        <v>15</v>
      </c>
      <c r="D5" s="471" t="s">
        <v>16</v>
      </c>
      <c r="E5" s="471" t="s">
        <v>17</v>
      </c>
      <c r="F5" s="471" t="s">
        <v>6</v>
      </c>
      <c r="G5" s="471" t="s">
        <v>77</v>
      </c>
      <c r="H5" s="122" t="s">
        <v>78</v>
      </c>
      <c r="I5" s="520"/>
      <c r="J5" s="112" t="s">
        <v>79</v>
      </c>
      <c r="K5" s="471" t="s">
        <v>10</v>
      </c>
      <c r="L5" s="471" t="s">
        <v>11</v>
      </c>
      <c r="M5" s="471" t="s">
        <v>12</v>
      </c>
      <c r="N5" s="471" t="s">
        <v>80</v>
      </c>
      <c r="O5" s="122" t="s">
        <v>81</v>
      </c>
      <c r="P5" s="520"/>
      <c r="Q5" s="522"/>
    </row>
    <row r="6" spans="1:17" ht="15.75" thickBot="1" x14ac:dyDescent="0.3">
      <c r="A6" s="114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123">
        <v>8</v>
      </c>
      <c r="I6" s="125">
        <v>9</v>
      </c>
      <c r="J6" s="113">
        <v>10</v>
      </c>
      <c r="K6" s="5">
        <v>11</v>
      </c>
      <c r="L6" s="5">
        <v>12</v>
      </c>
      <c r="M6" s="5">
        <v>13</v>
      </c>
      <c r="N6" s="5">
        <v>14</v>
      </c>
      <c r="O6" s="123">
        <v>15</v>
      </c>
      <c r="P6" s="125">
        <v>16</v>
      </c>
      <c r="Q6" s="134">
        <v>17</v>
      </c>
    </row>
    <row r="7" spans="1:17" ht="15.75" thickTop="1" x14ac:dyDescent="0.25">
      <c r="A7" s="85">
        <v>1</v>
      </c>
      <c r="B7" s="7" t="s">
        <v>18</v>
      </c>
      <c r="C7" s="139">
        <f t="shared" ref="C7:E12" si="0">SUM(C23,C39)</f>
        <v>0</v>
      </c>
      <c r="D7" s="139">
        <f t="shared" si="0"/>
        <v>2</v>
      </c>
      <c r="E7" s="139">
        <f t="shared" si="0"/>
        <v>45</v>
      </c>
      <c r="F7" s="139"/>
      <c r="G7" s="139"/>
      <c r="H7" s="139"/>
      <c r="I7" s="127">
        <f>SUM(C7:H7)</f>
        <v>47</v>
      </c>
      <c r="J7" s="139"/>
      <c r="K7" s="139"/>
      <c r="L7" s="139"/>
      <c r="M7" s="139"/>
      <c r="N7" s="139"/>
      <c r="O7" s="139"/>
      <c r="P7" s="127">
        <f>SUM(J7:O7)</f>
        <v>0</v>
      </c>
      <c r="Q7" s="130">
        <f>SUM(I7,P7)</f>
        <v>47</v>
      </c>
    </row>
    <row r="8" spans="1:17" x14ac:dyDescent="0.25">
      <c r="A8" s="86">
        <v>2</v>
      </c>
      <c r="B8" s="12" t="s">
        <v>19</v>
      </c>
      <c r="C8" s="60">
        <f t="shared" si="0"/>
        <v>5</v>
      </c>
      <c r="D8" s="60">
        <f t="shared" si="0"/>
        <v>27</v>
      </c>
      <c r="E8" s="60">
        <f t="shared" si="0"/>
        <v>143</v>
      </c>
      <c r="F8" s="60"/>
      <c r="G8" s="60"/>
      <c r="H8" s="161"/>
      <c r="I8" s="128">
        <f t="shared" ref="I8:I14" si="1">SUM(C8:H8)</f>
        <v>175</v>
      </c>
      <c r="J8" s="60"/>
      <c r="K8" s="60"/>
      <c r="L8" s="60"/>
      <c r="M8" s="60"/>
      <c r="N8" s="60"/>
      <c r="O8" s="161"/>
      <c r="P8" s="128">
        <f t="shared" ref="P8:P13" si="2">SUM(J8:O8)</f>
        <v>0</v>
      </c>
      <c r="Q8" s="131">
        <f t="shared" ref="Q8:Q14" si="3">SUM(I8,P8)</f>
        <v>175</v>
      </c>
    </row>
    <row r="9" spans="1:17" x14ac:dyDescent="0.25">
      <c r="A9" s="86">
        <v>3</v>
      </c>
      <c r="B9" s="7" t="s">
        <v>20</v>
      </c>
      <c r="C9" s="60">
        <f t="shared" si="0"/>
        <v>5</v>
      </c>
      <c r="D9" s="60">
        <f t="shared" si="0"/>
        <v>9</v>
      </c>
      <c r="E9" s="60">
        <f t="shared" si="0"/>
        <v>25</v>
      </c>
      <c r="F9" s="60"/>
      <c r="G9" s="60"/>
      <c r="H9" s="161"/>
      <c r="I9" s="128">
        <f t="shared" si="1"/>
        <v>39</v>
      </c>
      <c r="J9" s="60"/>
      <c r="K9" s="60"/>
      <c r="L9" s="60"/>
      <c r="M9" s="60"/>
      <c r="N9" s="60"/>
      <c r="O9" s="161"/>
      <c r="P9" s="128">
        <f t="shared" si="2"/>
        <v>0</v>
      </c>
      <c r="Q9" s="131">
        <f t="shared" si="3"/>
        <v>39</v>
      </c>
    </row>
    <row r="10" spans="1:17" x14ac:dyDescent="0.25">
      <c r="A10" s="87">
        <v>4</v>
      </c>
      <c r="B10" s="15" t="s">
        <v>21</v>
      </c>
      <c r="C10" s="60">
        <f t="shared" si="0"/>
        <v>9</v>
      </c>
      <c r="D10" s="60">
        <f t="shared" si="0"/>
        <v>1</v>
      </c>
      <c r="E10" s="60">
        <f t="shared" si="0"/>
        <v>36</v>
      </c>
      <c r="F10" s="60"/>
      <c r="G10" s="60"/>
      <c r="H10" s="161"/>
      <c r="I10" s="128">
        <f t="shared" si="1"/>
        <v>46</v>
      </c>
      <c r="J10" s="60"/>
      <c r="K10" s="60"/>
      <c r="L10" s="60"/>
      <c r="M10" s="60"/>
      <c r="N10" s="60"/>
      <c r="O10" s="161"/>
      <c r="P10" s="128">
        <f t="shared" si="2"/>
        <v>0</v>
      </c>
      <c r="Q10" s="131">
        <f t="shared" si="3"/>
        <v>46</v>
      </c>
    </row>
    <row r="11" spans="1:17" x14ac:dyDescent="0.25">
      <c r="A11" s="87">
        <v>5</v>
      </c>
      <c r="B11" s="19" t="s">
        <v>22</v>
      </c>
      <c r="C11" s="60">
        <f t="shared" si="0"/>
        <v>0</v>
      </c>
      <c r="D11" s="60">
        <f t="shared" si="0"/>
        <v>0</v>
      </c>
      <c r="E11" s="60">
        <f t="shared" si="0"/>
        <v>15</v>
      </c>
      <c r="F11" s="60"/>
      <c r="G11" s="60"/>
      <c r="H11" s="161"/>
      <c r="I11" s="128">
        <f t="shared" si="1"/>
        <v>15</v>
      </c>
      <c r="J11" s="60"/>
      <c r="K11" s="60"/>
      <c r="L11" s="60"/>
      <c r="M11" s="60"/>
      <c r="N11" s="60"/>
      <c r="O11" s="161"/>
      <c r="P11" s="128">
        <f t="shared" si="2"/>
        <v>0</v>
      </c>
      <c r="Q11" s="131">
        <f t="shared" si="3"/>
        <v>15</v>
      </c>
    </row>
    <row r="12" spans="1:17" x14ac:dyDescent="0.25">
      <c r="A12" s="87">
        <v>6</v>
      </c>
      <c r="B12" s="19" t="s">
        <v>23</v>
      </c>
      <c r="C12" s="60">
        <f t="shared" si="0"/>
        <v>7</v>
      </c>
      <c r="D12" s="60">
        <f t="shared" si="0"/>
        <v>43</v>
      </c>
      <c r="E12" s="60">
        <f t="shared" si="0"/>
        <v>0</v>
      </c>
      <c r="F12" s="60"/>
      <c r="G12" s="60"/>
      <c r="H12" s="161"/>
      <c r="I12" s="128">
        <f t="shared" si="1"/>
        <v>50</v>
      </c>
      <c r="J12" s="60"/>
      <c r="K12" s="60"/>
      <c r="L12" s="60"/>
      <c r="M12" s="60"/>
      <c r="N12" s="60"/>
      <c r="O12" s="161"/>
      <c r="P12" s="128">
        <f t="shared" si="2"/>
        <v>0</v>
      </c>
      <c r="Q12" s="131">
        <f t="shared" si="3"/>
        <v>50</v>
      </c>
    </row>
    <row r="13" spans="1:17" x14ac:dyDescent="0.25">
      <c r="A13" s="87">
        <v>7</v>
      </c>
      <c r="B13" s="19" t="s">
        <v>24</v>
      </c>
      <c r="C13" s="60">
        <f>SUM(C29,C45)</f>
        <v>15</v>
      </c>
      <c r="D13" s="60">
        <f t="shared" ref="D13" si="4">SUM(D29,D45)</f>
        <v>14</v>
      </c>
      <c r="E13" s="60">
        <f>SUM(E29,E45)</f>
        <v>136</v>
      </c>
      <c r="F13" s="60"/>
      <c r="G13" s="60"/>
      <c r="H13" s="161"/>
      <c r="I13" s="128">
        <f t="shared" si="1"/>
        <v>165</v>
      </c>
      <c r="J13" s="60"/>
      <c r="K13" s="60"/>
      <c r="L13" s="60"/>
      <c r="M13" s="60"/>
      <c r="N13" s="60"/>
      <c r="O13" s="161"/>
      <c r="P13" s="128">
        <f t="shared" si="2"/>
        <v>0</v>
      </c>
      <c r="Q13" s="131">
        <f t="shared" si="3"/>
        <v>165</v>
      </c>
    </row>
    <row r="14" spans="1:17" ht="15.75" thickBot="1" x14ac:dyDescent="0.3">
      <c r="A14" s="88">
        <v>8</v>
      </c>
      <c r="B14" s="15" t="s">
        <v>25</v>
      </c>
      <c r="C14" s="140">
        <f>SUM(C30,C46)</f>
        <v>26</v>
      </c>
      <c r="D14" s="140">
        <f t="shared" ref="D14" si="5">SUM(D30,D46)</f>
        <v>125</v>
      </c>
      <c r="E14" s="140">
        <f t="shared" ref="E14" si="6">SUM(E30,E46)</f>
        <v>122</v>
      </c>
      <c r="F14" s="140"/>
      <c r="G14" s="140"/>
      <c r="H14" s="140"/>
      <c r="I14" s="129">
        <f t="shared" si="1"/>
        <v>273</v>
      </c>
      <c r="J14" s="140"/>
      <c r="K14" s="140"/>
      <c r="L14" s="140"/>
      <c r="M14" s="140"/>
      <c r="N14" s="140"/>
      <c r="O14" s="140"/>
      <c r="P14" s="129">
        <f>SUM(J14:O14)</f>
        <v>0</v>
      </c>
      <c r="Q14" s="132">
        <f t="shared" si="3"/>
        <v>273</v>
      </c>
    </row>
    <row r="15" spans="1:17" ht="16.5" thickTop="1" thickBot="1" x14ac:dyDescent="0.3">
      <c r="A15" s="514" t="s">
        <v>26</v>
      </c>
      <c r="B15" s="515"/>
      <c r="C15" s="115">
        <f t="shared" ref="C15:H15" si="7">SUM(C7:C14)</f>
        <v>67</v>
      </c>
      <c r="D15" s="115">
        <f t="shared" si="7"/>
        <v>221</v>
      </c>
      <c r="E15" s="115">
        <f t="shared" si="7"/>
        <v>522</v>
      </c>
      <c r="F15" s="115">
        <f t="shared" si="7"/>
        <v>0</v>
      </c>
      <c r="G15" s="115">
        <f t="shared" si="7"/>
        <v>0</v>
      </c>
      <c r="H15" s="124">
        <f t="shared" si="7"/>
        <v>0</v>
      </c>
      <c r="I15" s="126">
        <f>SUM(I7:I14)</f>
        <v>810</v>
      </c>
      <c r="J15" s="136">
        <f t="shared" ref="J15:O15" si="8">SUM(J7:J14)</f>
        <v>0</v>
      </c>
      <c r="K15" s="115">
        <f t="shared" si="8"/>
        <v>0</v>
      </c>
      <c r="L15" s="115">
        <f t="shared" si="8"/>
        <v>0</v>
      </c>
      <c r="M15" s="115">
        <f t="shared" si="8"/>
        <v>0</v>
      </c>
      <c r="N15" s="115">
        <f t="shared" si="8"/>
        <v>0</v>
      </c>
      <c r="O15" s="124">
        <f t="shared" si="8"/>
        <v>0</v>
      </c>
      <c r="P15" s="126">
        <f>SUM(P7:P14)</f>
        <v>0</v>
      </c>
      <c r="Q15" s="133">
        <f>SUM(Q7:Q14)</f>
        <v>810</v>
      </c>
    </row>
    <row r="17" spans="1:23" ht="15.75" x14ac:dyDescent="0.25">
      <c r="A17" s="516" t="s">
        <v>154</v>
      </c>
      <c r="B17" s="516"/>
      <c r="C17" s="516"/>
      <c r="D17" s="516"/>
      <c r="E17" s="516"/>
      <c r="F17" s="516"/>
      <c r="G17" s="516"/>
      <c r="H17" s="516"/>
      <c r="I17" s="516"/>
      <c r="J17" s="516"/>
      <c r="K17" s="516"/>
      <c r="L17" s="516"/>
      <c r="M17" s="516"/>
      <c r="N17" s="516"/>
      <c r="O17" s="516"/>
      <c r="P17" s="516"/>
      <c r="Q17" s="516"/>
    </row>
    <row r="18" spans="1:23" ht="15.75" x14ac:dyDescent="0.25">
      <c r="A18" s="516" t="s">
        <v>82</v>
      </c>
      <c r="B18" s="516"/>
      <c r="C18" s="516"/>
      <c r="D18" s="516"/>
      <c r="E18" s="516"/>
      <c r="F18" s="516"/>
      <c r="G18" s="516"/>
      <c r="H18" s="516"/>
      <c r="I18" s="516"/>
      <c r="J18" s="516"/>
      <c r="K18" s="516"/>
      <c r="L18" s="516"/>
      <c r="M18" s="516"/>
      <c r="N18" s="516"/>
      <c r="O18" s="516"/>
      <c r="P18" s="516"/>
      <c r="Q18" s="516"/>
    </row>
    <row r="19" spans="1:23" ht="15.75" thickBot="1" x14ac:dyDescent="0.3">
      <c r="Q19" s="77" t="s">
        <v>1</v>
      </c>
    </row>
    <row r="20" spans="1:23" x14ac:dyDescent="0.25">
      <c r="A20" s="511" t="s">
        <v>2</v>
      </c>
      <c r="B20" s="513" t="s">
        <v>3</v>
      </c>
      <c r="C20" s="517" t="s">
        <v>152</v>
      </c>
      <c r="D20" s="518"/>
      <c r="E20" s="518"/>
      <c r="F20" s="518"/>
      <c r="G20" s="518"/>
      <c r="H20" s="518"/>
      <c r="I20" s="519" t="s">
        <v>84</v>
      </c>
      <c r="J20" s="518">
        <v>2017</v>
      </c>
      <c r="K20" s="518"/>
      <c r="L20" s="518"/>
      <c r="M20" s="518"/>
      <c r="N20" s="518"/>
      <c r="O20" s="518"/>
      <c r="P20" s="519" t="s">
        <v>85</v>
      </c>
      <c r="Q20" s="521" t="s">
        <v>5</v>
      </c>
    </row>
    <row r="21" spans="1:23" x14ac:dyDescent="0.25">
      <c r="A21" s="512"/>
      <c r="B21" s="499"/>
      <c r="C21" s="462" t="s">
        <v>15</v>
      </c>
      <c r="D21" s="462" t="s">
        <v>16</v>
      </c>
      <c r="E21" s="462" t="s">
        <v>17</v>
      </c>
      <c r="F21" s="462" t="s">
        <v>6</v>
      </c>
      <c r="G21" s="462" t="s">
        <v>77</v>
      </c>
      <c r="H21" s="122" t="s">
        <v>78</v>
      </c>
      <c r="I21" s="520"/>
      <c r="J21" s="112" t="s">
        <v>79</v>
      </c>
      <c r="K21" s="462" t="s">
        <v>10</v>
      </c>
      <c r="L21" s="462" t="s">
        <v>11</v>
      </c>
      <c r="M21" s="462" t="s">
        <v>12</v>
      </c>
      <c r="N21" s="462" t="s">
        <v>80</v>
      </c>
      <c r="O21" s="122" t="s">
        <v>81</v>
      </c>
      <c r="P21" s="520"/>
      <c r="Q21" s="522"/>
    </row>
    <row r="22" spans="1:23" ht="15.75" thickBot="1" x14ac:dyDescent="0.3">
      <c r="A22" s="114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123">
        <v>8</v>
      </c>
      <c r="I22" s="125">
        <v>9</v>
      </c>
      <c r="J22" s="113">
        <v>10</v>
      </c>
      <c r="K22" s="5">
        <v>11</v>
      </c>
      <c r="L22" s="5">
        <v>12</v>
      </c>
      <c r="M22" s="5">
        <v>13</v>
      </c>
      <c r="N22" s="5">
        <v>14</v>
      </c>
      <c r="O22" s="123">
        <v>15</v>
      </c>
      <c r="P22" s="125">
        <v>16</v>
      </c>
      <c r="Q22" s="134">
        <v>17</v>
      </c>
    </row>
    <row r="23" spans="1:23" ht="15.75" thickTop="1" x14ac:dyDescent="0.25">
      <c r="A23" s="85">
        <v>1</v>
      </c>
      <c r="B23" s="7" t="s">
        <v>18</v>
      </c>
      <c r="C23" s="139">
        <f>'padi sawah'!L9</f>
        <v>0</v>
      </c>
      <c r="D23" s="139">
        <f>'padi sawah'!M9</f>
        <v>2</v>
      </c>
      <c r="E23" s="139">
        <f>'padi sawah'!N9</f>
        <v>45</v>
      </c>
      <c r="F23" s="139"/>
      <c r="G23" s="139"/>
      <c r="H23" s="139"/>
      <c r="I23" s="127">
        <f>SUM(C23:H23)</f>
        <v>47</v>
      </c>
      <c r="J23" s="139"/>
      <c r="K23" s="139"/>
      <c r="L23" s="139"/>
      <c r="M23" s="139"/>
      <c r="N23" s="139"/>
      <c r="O23" s="139"/>
      <c r="P23" s="127">
        <f>SUM(J23:O23)</f>
        <v>0</v>
      </c>
      <c r="Q23" s="130">
        <f>SUM(I23,P23)</f>
        <v>47</v>
      </c>
      <c r="S23" s="323"/>
      <c r="T23" s="106"/>
    </row>
    <row r="24" spans="1:23" x14ac:dyDescent="0.25">
      <c r="A24" s="86">
        <v>2</v>
      </c>
      <c r="B24" s="12" t="s">
        <v>19</v>
      </c>
      <c r="C24" s="60">
        <f>'padi sawah'!L10</f>
        <v>5</v>
      </c>
      <c r="D24" s="60">
        <f>'padi sawah'!M10</f>
        <v>27</v>
      </c>
      <c r="E24" s="60">
        <f>'padi sawah'!N10</f>
        <v>143</v>
      </c>
      <c r="F24" s="60"/>
      <c r="G24" s="60"/>
      <c r="H24" s="161"/>
      <c r="I24" s="128">
        <f t="shared" ref="I24:I30" si="9">SUM(C24:H24)</f>
        <v>175</v>
      </c>
      <c r="J24" s="60"/>
      <c r="K24" s="60"/>
      <c r="L24" s="60"/>
      <c r="M24" s="60"/>
      <c r="N24" s="60"/>
      <c r="O24" s="161"/>
      <c r="P24" s="128">
        <f t="shared" ref="P24:P29" si="10">SUM(J24:O24)</f>
        <v>0</v>
      </c>
      <c r="Q24" s="131">
        <f t="shared" ref="Q24:Q30" si="11">SUM(I24,P24)</f>
        <v>175</v>
      </c>
      <c r="S24" s="323"/>
      <c r="T24" s="106"/>
    </row>
    <row r="25" spans="1:23" x14ac:dyDescent="0.25">
      <c r="A25" s="86">
        <v>3</v>
      </c>
      <c r="B25" s="7" t="s">
        <v>20</v>
      </c>
      <c r="C25" s="60">
        <f>'padi sawah'!L11</f>
        <v>5</v>
      </c>
      <c r="D25" s="60">
        <f>'padi sawah'!M11</f>
        <v>5</v>
      </c>
      <c r="E25" s="60">
        <f>'padi sawah'!N11</f>
        <v>0</v>
      </c>
      <c r="F25" s="60"/>
      <c r="G25" s="60"/>
      <c r="H25" s="161"/>
      <c r="I25" s="128">
        <f t="shared" si="9"/>
        <v>10</v>
      </c>
      <c r="J25" s="60"/>
      <c r="K25" s="60"/>
      <c r="L25" s="60"/>
      <c r="M25" s="60"/>
      <c r="N25" s="60"/>
      <c r="O25" s="161"/>
      <c r="P25" s="128">
        <f t="shared" si="10"/>
        <v>0</v>
      </c>
      <c r="Q25" s="131">
        <f t="shared" si="11"/>
        <v>10</v>
      </c>
      <c r="S25" s="323"/>
      <c r="T25" s="106"/>
    </row>
    <row r="26" spans="1:23" x14ac:dyDescent="0.25">
      <c r="A26" s="87">
        <v>4</v>
      </c>
      <c r="B26" s="15" t="s">
        <v>21</v>
      </c>
      <c r="C26" s="60">
        <f>'padi sawah'!L12</f>
        <v>9</v>
      </c>
      <c r="D26" s="60">
        <f>'padi sawah'!M12</f>
        <v>1</v>
      </c>
      <c r="E26" s="60">
        <f>'padi sawah'!N12</f>
        <v>36</v>
      </c>
      <c r="F26" s="60"/>
      <c r="G26" s="60"/>
      <c r="H26" s="161"/>
      <c r="I26" s="128">
        <f t="shared" si="9"/>
        <v>46</v>
      </c>
      <c r="J26" s="60"/>
      <c r="K26" s="60"/>
      <c r="L26" s="60"/>
      <c r="M26" s="60"/>
      <c r="N26" s="60"/>
      <c r="O26" s="161"/>
      <c r="P26" s="128">
        <f t="shared" si="10"/>
        <v>0</v>
      </c>
      <c r="Q26" s="131">
        <f t="shared" si="11"/>
        <v>46</v>
      </c>
      <c r="S26" s="323"/>
      <c r="T26" s="106"/>
    </row>
    <row r="27" spans="1:23" x14ac:dyDescent="0.25">
      <c r="A27" s="87">
        <v>5</v>
      </c>
      <c r="B27" s="19" t="s">
        <v>22</v>
      </c>
      <c r="C27" s="60">
        <f>'padi sawah'!L13</f>
        <v>0</v>
      </c>
      <c r="D27" s="60">
        <f>'padi sawah'!M13</f>
        <v>0</v>
      </c>
      <c r="E27" s="60">
        <f>'padi sawah'!N13</f>
        <v>15</v>
      </c>
      <c r="F27" s="60"/>
      <c r="G27" s="60"/>
      <c r="H27" s="161"/>
      <c r="I27" s="128">
        <f t="shared" si="9"/>
        <v>15</v>
      </c>
      <c r="J27" s="60"/>
      <c r="K27" s="60"/>
      <c r="L27" s="60"/>
      <c r="M27" s="60"/>
      <c r="N27" s="60"/>
      <c r="O27" s="161"/>
      <c r="P27" s="128">
        <f t="shared" si="10"/>
        <v>0</v>
      </c>
      <c r="Q27" s="131">
        <f t="shared" si="11"/>
        <v>15</v>
      </c>
      <c r="S27" s="323"/>
      <c r="T27" s="106"/>
    </row>
    <row r="28" spans="1:23" x14ac:dyDescent="0.25">
      <c r="A28" s="87">
        <v>6</v>
      </c>
      <c r="B28" s="19" t="s">
        <v>23</v>
      </c>
      <c r="C28" s="60">
        <f>'padi sawah'!L14</f>
        <v>7</v>
      </c>
      <c r="D28" s="60">
        <f>'padi sawah'!M14</f>
        <v>43</v>
      </c>
      <c r="E28" s="60">
        <f>'padi sawah'!N14</f>
        <v>0</v>
      </c>
      <c r="F28" s="60"/>
      <c r="G28" s="60"/>
      <c r="H28" s="161"/>
      <c r="I28" s="128">
        <f t="shared" si="9"/>
        <v>50</v>
      </c>
      <c r="J28" s="60"/>
      <c r="K28" s="60"/>
      <c r="L28" s="60"/>
      <c r="M28" s="60"/>
      <c r="N28" s="60"/>
      <c r="O28" s="161"/>
      <c r="P28" s="128">
        <f t="shared" si="10"/>
        <v>0</v>
      </c>
      <c r="Q28" s="131">
        <f t="shared" si="11"/>
        <v>50</v>
      </c>
      <c r="S28" s="323"/>
      <c r="T28" s="106"/>
    </row>
    <row r="29" spans="1:23" x14ac:dyDescent="0.25">
      <c r="A29" s="87">
        <v>7</v>
      </c>
      <c r="B29" s="19" t="s">
        <v>24</v>
      </c>
      <c r="C29" s="60">
        <f>'padi sawah'!L15</f>
        <v>15</v>
      </c>
      <c r="D29" s="60">
        <f>'padi sawah'!M15</f>
        <v>14</v>
      </c>
      <c r="E29" s="60">
        <f>'padi sawah'!N15</f>
        <v>136</v>
      </c>
      <c r="F29" s="60"/>
      <c r="G29" s="60"/>
      <c r="H29" s="161"/>
      <c r="I29" s="128">
        <f t="shared" si="9"/>
        <v>165</v>
      </c>
      <c r="J29" s="60"/>
      <c r="K29" s="60"/>
      <c r="L29" s="60"/>
      <c r="M29" s="60"/>
      <c r="N29" s="60"/>
      <c r="O29" s="161"/>
      <c r="P29" s="128">
        <f t="shared" si="10"/>
        <v>0</v>
      </c>
      <c r="Q29" s="131">
        <f t="shared" si="11"/>
        <v>165</v>
      </c>
      <c r="S29" s="323"/>
      <c r="T29" s="106"/>
    </row>
    <row r="30" spans="1:23" ht="15.75" thickBot="1" x14ac:dyDescent="0.3">
      <c r="A30" s="88">
        <v>8</v>
      </c>
      <c r="B30" s="15" t="s">
        <v>25</v>
      </c>
      <c r="C30" s="140">
        <f>'padi sawah'!L16</f>
        <v>26</v>
      </c>
      <c r="D30" s="140">
        <f>'padi sawah'!M16</f>
        <v>125</v>
      </c>
      <c r="E30" s="140">
        <f>'padi sawah'!N16</f>
        <v>122</v>
      </c>
      <c r="F30" s="140"/>
      <c r="G30" s="140"/>
      <c r="H30" s="140"/>
      <c r="I30" s="129">
        <f t="shared" si="9"/>
        <v>273</v>
      </c>
      <c r="J30" s="140"/>
      <c r="K30" s="140"/>
      <c r="L30" s="140"/>
      <c r="M30" s="140"/>
      <c r="N30" s="140"/>
      <c r="O30" s="140"/>
      <c r="P30" s="129">
        <f>SUM(J30:O30)</f>
        <v>0</v>
      </c>
      <c r="Q30" s="132">
        <f t="shared" si="11"/>
        <v>273</v>
      </c>
      <c r="S30" s="323"/>
      <c r="T30" s="106"/>
    </row>
    <row r="31" spans="1:23" ht="16.5" thickTop="1" thickBot="1" x14ac:dyDescent="0.3">
      <c r="A31" s="514" t="s">
        <v>26</v>
      </c>
      <c r="B31" s="515"/>
      <c r="C31" s="115">
        <f t="shared" ref="C31:H31" si="12">SUM(C23:C30)</f>
        <v>67</v>
      </c>
      <c r="D31" s="115">
        <f t="shared" si="12"/>
        <v>217</v>
      </c>
      <c r="E31" s="115">
        <f t="shared" si="12"/>
        <v>497</v>
      </c>
      <c r="F31" s="115">
        <f t="shared" si="12"/>
        <v>0</v>
      </c>
      <c r="G31" s="115">
        <f t="shared" si="12"/>
        <v>0</v>
      </c>
      <c r="H31" s="124">
        <f t="shared" si="12"/>
        <v>0</v>
      </c>
      <c r="I31" s="126">
        <f>SUM(I23:I30)</f>
        <v>781</v>
      </c>
      <c r="J31" s="136">
        <f t="shared" ref="J31:O31" si="13">SUM(J23:J30)</f>
        <v>0</v>
      </c>
      <c r="K31" s="115">
        <f t="shared" si="13"/>
        <v>0</v>
      </c>
      <c r="L31" s="115">
        <f t="shared" si="13"/>
        <v>0</v>
      </c>
      <c r="M31" s="115">
        <f t="shared" si="13"/>
        <v>0</v>
      </c>
      <c r="N31" s="115">
        <f t="shared" si="13"/>
        <v>0</v>
      </c>
      <c r="O31" s="124">
        <f t="shared" si="13"/>
        <v>0</v>
      </c>
      <c r="P31" s="126">
        <f>SUM(P23:P30)</f>
        <v>0</v>
      </c>
      <c r="Q31" s="133">
        <f>SUM(Q23:Q30)</f>
        <v>781</v>
      </c>
      <c r="S31" s="323"/>
      <c r="T31" s="106"/>
      <c r="V31" s="106"/>
      <c r="W31" s="106">
        <f>SUM(F31:H31,J31:O31)</f>
        <v>0</v>
      </c>
    </row>
    <row r="32" spans="1:23" x14ac:dyDescent="0.25">
      <c r="V32" s="106"/>
    </row>
    <row r="33" spans="1:17" ht="15.75" x14ac:dyDescent="0.25">
      <c r="A33" s="516" t="s">
        <v>153</v>
      </c>
      <c r="B33" s="516"/>
      <c r="C33" s="516"/>
      <c r="D33" s="516"/>
      <c r="E33" s="516"/>
      <c r="F33" s="516"/>
      <c r="G33" s="516"/>
      <c r="H33" s="516"/>
      <c r="I33" s="516"/>
      <c r="J33" s="516"/>
      <c r="K33" s="516"/>
      <c r="L33" s="516"/>
      <c r="M33" s="516"/>
      <c r="N33" s="516"/>
      <c r="O33" s="516"/>
      <c r="P33" s="516"/>
      <c r="Q33" s="516"/>
    </row>
    <row r="34" spans="1:17" ht="15.75" x14ac:dyDescent="0.25">
      <c r="A34" s="516" t="s">
        <v>82</v>
      </c>
      <c r="B34" s="516"/>
      <c r="C34" s="516"/>
      <c r="D34" s="516"/>
      <c r="E34" s="516"/>
      <c r="F34" s="516"/>
      <c r="G34" s="516"/>
      <c r="H34" s="516"/>
      <c r="I34" s="516"/>
      <c r="J34" s="516"/>
      <c r="K34" s="516"/>
      <c r="L34" s="516"/>
      <c r="M34" s="516"/>
      <c r="N34" s="516"/>
      <c r="O34" s="516"/>
      <c r="P34" s="516"/>
      <c r="Q34" s="516"/>
    </row>
    <row r="35" spans="1:17" ht="15.75" thickBot="1" x14ac:dyDescent="0.3">
      <c r="Q35" s="77" t="s">
        <v>1</v>
      </c>
    </row>
    <row r="36" spans="1:17" x14ac:dyDescent="0.25">
      <c r="A36" s="511" t="s">
        <v>2</v>
      </c>
      <c r="B36" s="513" t="s">
        <v>3</v>
      </c>
      <c r="C36" s="517" t="s">
        <v>152</v>
      </c>
      <c r="D36" s="518"/>
      <c r="E36" s="518"/>
      <c r="F36" s="518"/>
      <c r="G36" s="518"/>
      <c r="H36" s="518"/>
      <c r="I36" s="519" t="s">
        <v>84</v>
      </c>
      <c r="J36" s="518">
        <v>2017</v>
      </c>
      <c r="K36" s="518"/>
      <c r="L36" s="518"/>
      <c r="M36" s="518"/>
      <c r="N36" s="518"/>
      <c r="O36" s="518"/>
      <c r="P36" s="519" t="s">
        <v>85</v>
      </c>
      <c r="Q36" s="521" t="s">
        <v>5</v>
      </c>
    </row>
    <row r="37" spans="1:17" x14ac:dyDescent="0.25">
      <c r="A37" s="512"/>
      <c r="B37" s="499"/>
      <c r="C37" s="464" t="s">
        <v>15</v>
      </c>
      <c r="D37" s="464" t="s">
        <v>16</v>
      </c>
      <c r="E37" s="464" t="s">
        <v>17</v>
      </c>
      <c r="F37" s="464" t="s">
        <v>6</v>
      </c>
      <c r="G37" s="464" t="s">
        <v>77</v>
      </c>
      <c r="H37" s="122" t="s">
        <v>78</v>
      </c>
      <c r="I37" s="520"/>
      <c r="J37" s="112" t="s">
        <v>79</v>
      </c>
      <c r="K37" s="464" t="s">
        <v>10</v>
      </c>
      <c r="L37" s="464" t="s">
        <v>11</v>
      </c>
      <c r="M37" s="464" t="s">
        <v>12</v>
      </c>
      <c r="N37" s="464" t="s">
        <v>80</v>
      </c>
      <c r="O37" s="122" t="s">
        <v>81</v>
      </c>
      <c r="P37" s="520"/>
      <c r="Q37" s="522"/>
    </row>
    <row r="38" spans="1:17" ht="15.75" thickBot="1" x14ac:dyDescent="0.3">
      <c r="A38" s="114">
        <v>1</v>
      </c>
      <c r="B38" s="5">
        <v>2</v>
      </c>
      <c r="C38" s="5">
        <v>3</v>
      </c>
      <c r="D38" s="5">
        <v>4</v>
      </c>
      <c r="E38" s="5">
        <v>5</v>
      </c>
      <c r="F38" s="5">
        <v>6</v>
      </c>
      <c r="G38" s="5">
        <v>7</v>
      </c>
      <c r="H38" s="123">
        <v>8</v>
      </c>
      <c r="I38" s="125">
        <v>9</v>
      </c>
      <c r="J38" s="113">
        <v>10</v>
      </c>
      <c r="K38" s="5">
        <v>11</v>
      </c>
      <c r="L38" s="5">
        <v>12</v>
      </c>
      <c r="M38" s="5">
        <v>13</v>
      </c>
      <c r="N38" s="5">
        <v>14</v>
      </c>
      <c r="O38" s="123">
        <v>15</v>
      </c>
      <c r="P38" s="125">
        <v>16</v>
      </c>
      <c r="Q38" s="134">
        <v>17</v>
      </c>
    </row>
    <row r="39" spans="1:17" ht="15.75" thickTop="1" x14ac:dyDescent="0.25">
      <c r="A39" s="85">
        <v>1</v>
      </c>
      <c r="B39" s="7" t="s">
        <v>18</v>
      </c>
      <c r="C39" s="139">
        <f>'padi ladang'!L9</f>
        <v>0</v>
      </c>
      <c r="D39" s="139">
        <f>'padi ladang'!M9</f>
        <v>0</v>
      </c>
      <c r="E39" s="139">
        <f>'padi ladang'!N9</f>
        <v>0</v>
      </c>
      <c r="F39" s="139"/>
      <c r="G39" s="139"/>
      <c r="H39" s="139"/>
      <c r="I39" s="127">
        <f>SUM(C39:H39)</f>
        <v>0</v>
      </c>
      <c r="J39" s="162"/>
      <c r="K39" s="162"/>
      <c r="L39" s="162"/>
      <c r="M39" s="162"/>
      <c r="N39" s="162"/>
      <c r="O39" s="162"/>
      <c r="P39" s="127">
        <f>SUM(J39:O39)</f>
        <v>0</v>
      </c>
      <c r="Q39" s="130">
        <f>SUM(I39,P39)</f>
        <v>0</v>
      </c>
    </row>
    <row r="40" spans="1:17" x14ac:dyDescent="0.25">
      <c r="A40" s="86">
        <v>2</v>
      </c>
      <c r="B40" s="12" t="s">
        <v>19</v>
      </c>
      <c r="C40" s="60">
        <f>'padi ladang'!L10</f>
        <v>0</v>
      </c>
      <c r="D40" s="60">
        <f>'padi ladang'!M10</f>
        <v>0</v>
      </c>
      <c r="E40" s="60">
        <f>'padi ladang'!N10</f>
        <v>0</v>
      </c>
      <c r="F40" s="60"/>
      <c r="G40" s="60"/>
      <c r="H40" s="60"/>
      <c r="I40" s="128">
        <f t="shared" ref="I40:I46" si="14">SUM(C40:H40)</f>
        <v>0</v>
      </c>
      <c r="J40" s="135"/>
      <c r="K40" s="135"/>
      <c r="L40" s="135"/>
      <c r="M40" s="135"/>
      <c r="N40" s="135"/>
      <c r="O40" s="164"/>
      <c r="P40" s="128">
        <f t="shared" ref="P40:P45" si="15">SUM(J40:O40)</f>
        <v>0</v>
      </c>
      <c r="Q40" s="131">
        <f t="shared" ref="Q40:Q46" si="16">SUM(I40,P40)</f>
        <v>0</v>
      </c>
    </row>
    <row r="41" spans="1:17" x14ac:dyDescent="0.25">
      <c r="A41" s="86">
        <v>3</v>
      </c>
      <c r="B41" s="7" t="s">
        <v>20</v>
      </c>
      <c r="C41" s="60">
        <f>'padi ladang'!L11</f>
        <v>0</v>
      </c>
      <c r="D41" s="60">
        <f>'padi ladang'!M11</f>
        <v>4</v>
      </c>
      <c r="E41" s="60">
        <f>'padi ladang'!N11</f>
        <v>25</v>
      </c>
      <c r="F41" s="60"/>
      <c r="G41" s="60"/>
      <c r="H41" s="60"/>
      <c r="I41" s="128">
        <f t="shared" si="14"/>
        <v>29</v>
      </c>
      <c r="J41" s="135"/>
      <c r="K41" s="135"/>
      <c r="L41" s="135"/>
      <c r="M41" s="135"/>
      <c r="N41" s="135"/>
      <c r="O41" s="164"/>
      <c r="P41" s="128">
        <f t="shared" si="15"/>
        <v>0</v>
      </c>
      <c r="Q41" s="131">
        <f t="shared" si="16"/>
        <v>29</v>
      </c>
    </row>
    <row r="42" spans="1:17" x14ac:dyDescent="0.25">
      <c r="A42" s="87">
        <v>4</v>
      </c>
      <c r="B42" s="15" t="s">
        <v>21</v>
      </c>
      <c r="C42" s="60">
        <f>'padi ladang'!L12</f>
        <v>0</v>
      </c>
      <c r="D42" s="60">
        <f>'padi ladang'!M12</f>
        <v>0</v>
      </c>
      <c r="E42" s="60">
        <f>'padi ladang'!N12</f>
        <v>0</v>
      </c>
      <c r="F42" s="60"/>
      <c r="G42" s="60"/>
      <c r="H42" s="60"/>
      <c r="I42" s="128">
        <f t="shared" si="14"/>
        <v>0</v>
      </c>
      <c r="J42" s="135"/>
      <c r="K42" s="135"/>
      <c r="L42" s="135"/>
      <c r="M42" s="135"/>
      <c r="N42" s="135"/>
      <c r="O42" s="164"/>
      <c r="P42" s="128">
        <f t="shared" si="15"/>
        <v>0</v>
      </c>
      <c r="Q42" s="131">
        <f t="shared" si="16"/>
        <v>0</v>
      </c>
    </row>
    <row r="43" spans="1:17" x14ac:dyDescent="0.25">
      <c r="A43" s="87">
        <v>5</v>
      </c>
      <c r="B43" s="19" t="s">
        <v>22</v>
      </c>
      <c r="C43" s="60">
        <f>'padi ladang'!L13</f>
        <v>0</v>
      </c>
      <c r="D43" s="60">
        <f>'padi ladang'!M13</f>
        <v>0</v>
      </c>
      <c r="E43" s="60">
        <f>'padi ladang'!N13</f>
        <v>0</v>
      </c>
      <c r="F43" s="60"/>
      <c r="G43" s="60"/>
      <c r="H43" s="60"/>
      <c r="I43" s="128">
        <f t="shared" si="14"/>
        <v>0</v>
      </c>
      <c r="J43" s="135"/>
      <c r="K43" s="135"/>
      <c r="L43" s="135"/>
      <c r="M43" s="135"/>
      <c r="N43" s="135"/>
      <c r="O43" s="164"/>
      <c r="P43" s="128">
        <f t="shared" si="15"/>
        <v>0</v>
      </c>
      <c r="Q43" s="131">
        <f t="shared" si="16"/>
        <v>0</v>
      </c>
    </row>
    <row r="44" spans="1:17" x14ac:dyDescent="0.25">
      <c r="A44" s="87">
        <v>6</v>
      </c>
      <c r="B44" s="19" t="s">
        <v>23</v>
      </c>
      <c r="C44" s="60">
        <f>'padi ladang'!L14</f>
        <v>0</v>
      </c>
      <c r="D44" s="60">
        <f>'padi ladang'!M14</f>
        <v>0</v>
      </c>
      <c r="E44" s="60">
        <f>'padi ladang'!N14</f>
        <v>0</v>
      </c>
      <c r="F44" s="60"/>
      <c r="G44" s="60"/>
      <c r="H44" s="60"/>
      <c r="I44" s="128">
        <f t="shared" si="14"/>
        <v>0</v>
      </c>
      <c r="J44" s="135"/>
      <c r="K44" s="135"/>
      <c r="L44" s="135"/>
      <c r="M44" s="135"/>
      <c r="N44" s="135"/>
      <c r="O44" s="164"/>
      <c r="P44" s="128">
        <f t="shared" si="15"/>
        <v>0</v>
      </c>
      <c r="Q44" s="131">
        <f t="shared" si="16"/>
        <v>0</v>
      </c>
    </row>
    <row r="45" spans="1:17" x14ac:dyDescent="0.25">
      <c r="A45" s="87">
        <v>7</v>
      </c>
      <c r="B45" s="19" t="s">
        <v>24</v>
      </c>
      <c r="C45" s="60">
        <f>'padi ladang'!L15</f>
        <v>0</v>
      </c>
      <c r="D45" s="60">
        <f>'padi ladang'!M15</f>
        <v>0</v>
      </c>
      <c r="E45" s="60">
        <f>'padi ladang'!N15</f>
        <v>0</v>
      </c>
      <c r="F45" s="60"/>
      <c r="G45" s="60"/>
      <c r="H45" s="60"/>
      <c r="I45" s="128">
        <f t="shared" si="14"/>
        <v>0</v>
      </c>
      <c r="J45" s="135"/>
      <c r="K45" s="135"/>
      <c r="L45" s="135"/>
      <c r="M45" s="135"/>
      <c r="N45" s="135"/>
      <c r="O45" s="164"/>
      <c r="P45" s="128">
        <f t="shared" si="15"/>
        <v>0</v>
      </c>
      <c r="Q45" s="131">
        <f t="shared" si="16"/>
        <v>0</v>
      </c>
    </row>
    <row r="46" spans="1:17" ht="15.75" thickBot="1" x14ac:dyDescent="0.3">
      <c r="A46" s="88">
        <v>8</v>
      </c>
      <c r="B46" s="15" t="s">
        <v>25</v>
      </c>
      <c r="C46" s="140">
        <f>'padi ladang'!L16</f>
        <v>0</v>
      </c>
      <c r="D46" s="140">
        <f>'padi ladang'!M16</f>
        <v>0</v>
      </c>
      <c r="E46" s="140">
        <f>'padi ladang'!N16</f>
        <v>0</v>
      </c>
      <c r="F46" s="145"/>
      <c r="G46" s="140"/>
      <c r="H46" s="140"/>
      <c r="I46" s="129">
        <f t="shared" si="14"/>
        <v>0</v>
      </c>
      <c r="J46" s="163"/>
      <c r="K46" s="163"/>
      <c r="L46" s="163"/>
      <c r="M46" s="163"/>
      <c r="N46" s="163"/>
      <c r="O46" s="163"/>
      <c r="P46" s="129">
        <f>SUM(J46:O46)</f>
        <v>0</v>
      </c>
      <c r="Q46" s="132">
        <f t="shared" si="16"/>
        <v>0</v>
      </c>
    </row>
    <row r="47" spans="1:17" ht="16.5" thickTop="1" thickBot="1" x14ac:dyDescent="0.3">
      <c r="A47" s="514" t="s">
        <v>26</v>
      </c>
      <c r="B47" s="515"/>
      <c r="C47" s="115">
        <f t="shared" ref="C47:H47" si="17">SUM(C39:C46)</f>
        <v>0</v>
      </c>
      <c r="D47" s="115">
        <f t="shared" si="17"/>
        <v>4</v>
      </c>
      <c r="E47" s="115">
        <f t="shared" si="17"/>
        <v>25</v>
      </c>
      <c r="F47" s="115">
        <f t="shared" si="17"/>
        <v>0</v>
      </c>
      <c r="G47" s="115">
        <f t="shared" si="17"/>
        <v>0</v>
      </c>
      <c r="H47" s="124">
        <f t="shared" si="17"/>
        <v>0</v>
      </c>
      <c r="I47" s="126">
        <f>SUM(I39:I46)</f>
        <v>29</v>
      </c>
      <c r="J47" s="136">
        <f t="shared" ref="J47:O47" si="18">SUM(J39:J46)</f>
        <v>0</v>
      </c>
      <c r="K47" s="115">
        <f t="shared" si="18"/>
        <v>0</v>
      </c>
      <c r="L47" s="115">
        <f t="shared" si="18"/>
        <v>0</v>
      </c>
      <c r="M47" s="115">
        <f t="shared" si="18"/>
        <v>0</v>
      </c>
      <c r="N47" s="115">
        <f t="shared" si="18"/>
        <v>0</v>
      </c>
      <c r="O47" s="124">
        <f t="shared" si="18"/>
        <v>0</v>
      </c>
      <c r="P47" s="126">
        <f>SUM(P39:P46)</f>
        <v>0</v>
      </c>
      <c r="Q47" s="133">
        <f>SUM(Q39:Q46)</f>
        <v>29</v>
      </c>
    </row>
    <row r="49" spans="1:17" ht="15.75" x14ac:dyDescent="0.25">
      <c r="A49" s="516" t="s">
        <v>97</v>
      </c>
      <c r="B49" s="516"/>
      <c r="C49" s="516"/>
      <c r="D49" s="516"/>
      <c r="E49" s="516"/>
      <c r="F49" s="516"/>
      <c r="G49" s="516"/>
      <c r="H49" s="516"/>
      <c r="I49" s="516"/>
      <c r="J49" s="516"/>
      <c r="K49" s="516"/>
      <c r="L49" s="516"/>
      <c r="M49" s="516"/>
      <c r="N49" s="516"/>
      <c r="O49" s="516"/>
      <c r="P49" s="516"/>
      <c r="Q49" s="516"/>
    </row>
    <row r="50" spans="1:17" ht="15.75" x14ac:dyDescent="0.25">
      <c r="A50" s="516" t="s">
        <v>82</v>
      </c>
      <c r="B50" s="516"/>
      <c r="C50" s="516"/>
      <c r="D50" s="516"/>
      <c r="E50" s="516"/>
      <c r="F50" s="516"/>
      <c r="G50" s="516"/>
      <c r="H50" s="516"/>
      <c r="I50" s="516"/>
      <c r="J50" s="516"/>
      <c r="K50" s="516"/>
      <c r="L50" s="516"/>
      <c r="M50" s="516"/>
      <c r="N50" s="516"/>
      <c r="O50" s="516"/>
      <c r="P50" s="516"/>
      <c r="Q50" s="516"/>
    </row>
    <row r="51" spans="1:17" ht="15.75" thickBot="1" x14ac:dyDescent="0.3">
      <c r="Q51" s="77" t="s">
        <v>1</v>
      </c>
    </row>
    <row r="52" spans="1:17" x14ac:dyDescent="0.25">
      <c r="A52" s="511" t="s">
        <v>2</v>
      </c>
      <c r="B52" s="513" t="s">
        <v>3</v>
      </c>
      <c r="C52" s="517" t="s">
        <v>152</v>
      </c>
      <c r="D52" s="518"/>
      <c r="E52" s="518"/>
      <c r="F52" s="518"/>
      <c r="G52" s="518"/>
      <c r="H52" s="518"/>
      <c r="I52" s="519" t="s">
        <v>84</v>
      </c>
      <c r="J52" s="518">
        <v>2017</v>
      </c>
      <c r="K52" s="518"/>
      <c r="L52" s="518"/>
      <c r="M52" s="518"/>
      <c r="N52" s="518"/>
      <c r="O52" s="518"/>
      <c r="P52" s="519" t="s">
        <v>85</v>
      </c>
      <c r="Q52" s="521" t="s">
        <v>5</v>
      </c>
    </row>
    <row r="53" spans="1:17" x14ac:dyDescent="0.25">
      <c r="A53" s="512"/>
      <c r="B53" s="499"/>
      <c r="C53" s="464" t="s">
        <v>15</v>
      </c>
      <c r="D53" s="464" t="s">
        <v>16</v>
      </c>
      <c r="E53" s="464" t="s">
        <v>17</v>
      </c>
      <c r="F53" s="464" t="s">
        <v>6</v>
      </c>
      <c r="G53" s="464" t="s">
        <v>77</v>
      </c>
      <c r="H53" s="122" t="s">
        <v>78</v>
      </c>
      <c r="I53" s="520"/>
      <c r="J53" s="112" t="s">
        <v>79</v>
      </c>
      <c r="K53" s="464" t="s">
        <v>10</v>
      </c>
      <c r="L53" s="464" t="s">
        <v>11</v>
      </c>
      <c r="M53" s="464" t="s">
        <v>12</v>
      </c>
      <c r="N53" s="464" t="s">
        <v>80</v>
      </c>
      <c r="O53" s="122" t="s">
        <v>81</v>
      </c>
      <c r="P53" s="520"/>
      <c r="Q53" s="522"/>
    </row>
    <row r="54" spans="1:17" ht="15.75" thickBot="1" x14ac:dyDescent="0.3">
      <c r="A54" s="114">
        <v>1</v>
      </c>
      <c r="B54" s="5">
        <v>2</v>
      </c>
      <c r="C54" s="5">
        <v>3</v>
      </c>
      <c r="D54" s="5">
        <v>4</v>
      </c>
      <c r="E54" s="5">
        <v>5</v>
      </c>
      <c r="F54" s="5">
        <v>6</v>
      </c>
      <c r="G54" s="5">
        <v>7</v>
      </c>
      <c r="H54" s="123">
        <v>8</v>
      </c>
      <c r="I54" s="125">
        <v>9</v>
      </c>
      <c r="J54" s="113">
        <v>10</v>
      </c>
      <c r="K54" s="5">
        <v>11</v>
      </c>
      <c r="L54" s="5">
        <v>12</v>
      </c>
      <c r="M54" s="5">
        <v>13</v>
      </c>
      <c r="N54" s="5">
        <v>14</v>
      </c>
      <c r="O54" s="123">
        <v>15</v>
      </c>
      <c r="P54" s="125">
        <v>16</v>
      </c>
      <c r="Q54" s="134">
        <v>17</v>
      </c>
    </row>
    <row r="55" spans="1:17" ht="15.75" thickTop="1" x14ac:dyDescent="0.25">
      <c r="A55" s="85">
        <v>1</v>
      </c>
      <c r="B55" s="7" t="s">
        <v>18</v>
      </c>
      <c r="C55" s="139">
        <f>jagung!L9</f>
        <v>1</v>
      </c>
      <c r="D55" s="139">
        <f>jagung!M9</f>
        <v>0</v>
      </c>
      <c r="E55" s="139">
        <f>jagung!N9</f>
        <v>0</v>
      </c>
      <c r="F55" s="139"/>
      <c r="G55" s="139"/>
      <c r="H55" s="139"/>
      <c r="I55" s="127">
        <f>SUM(C55:H55)</f>
        <v>1</v>
      </c>
      <c r="J55" s="162"/>
      <c r="K55" s="162"/>
      <c r="L55" s="162"/>
      <c r="M55" s="162"/>
      <c r="N55" s="162"/>
      <c r="O55" s="162"/>
      <c r="P55" s="127">
        <f>SUM(J55:O55)</f>
        <v>0</v>
      </c>
      <c r="Q55" s="130">
        <f>SUM(I55,P55)</f>
        <v>1</v>
      </c>
    </row>
    <row r="56" spans="1:17" x14ac:dyDescent="0.25">
      <c r="A56" s="86">
        <v>2</v>
      </c>
      <c r="B56" s="12" t="s">
        <v>19</v>
      </c>
      <c r="C56" s="60">
        <f>jagung!L10</f>
        <v>1</v>
      </c>
      <c r="D56" s="60">
        <f>jagung!M10</f>
        <v>0</v>
      </c>
      <c r="E56" s="60">
        <f>jagung!N10</f>
        <v>0</v>
      </c>
      <c r="F56" s="60"/>
      <c r="G56" s="60"/>
      <c r="H56" s="60"/>
      <c r="I56" s="128">
        <f t="shared" ref="I56:I62" si="19">SUM(C56:H56)</f>
        <v>1</v>
      </c>
      <c r="J56" s="135"/>
      <c r="K56" s="135"/>
      <c r="L56" s="135"/>
      <c r="M56" s="135"/>
      <c r="N56" s="135"/>
      <c r="O56" s="164"/>
      <c r="P56" s="128">
        <f t="shared" ref="P56:P61" si="20">SUM(J56:O56)</f>
        <v>0</v>
      </c>
      <c r="Q56" s="131">
        <f t="shared" ref="Q56:Q62" si="21">SUM(I56,P56)</f>
        <v>1</v>
      </c>
    </row>
    <row r="57" spans="1:17" x14ac:dyDescent="0.25">
      <c r="A57" s="86">
        <v>3</v>
      </c>
      <c r="B57" s="7" t="s">
        <v>20</v>
      </c>
      <c r="C57" s="60">
        <f>jagung!L11</f>
        <v>0</v>
      </c>
      <c r="D57" s="60">
        <f>jagung!M11</f>
        <v>35</v>
      </c>
      <c r="E57" s="60">
        <f>jagung!N11</f>
        <v>15</v>
      </c>
      <c r="F57" s="60"/>
      <c r="G57" s="60"/>
      <c r="H57" s="60"/>
      <c r="I57" s="128">
        <f t="shared" si="19"/>
        <v>50</v>
      </c>
      <c r="J57" s="135"/>
      <c r="K57" s="135"/>
      <c r="L57" s="135"/>
      <c r="M57" s="135"/>
      <c r="N57" s="135"/>
      <c r="O57" s="164"/>
      <c r="P57" s="128">
        <f t="shared" si="20"/>
        <v>0</v>
      </c>
      <c r="Q57" s="131">
        <f t="shared" si="21"/>
        <v>50</v>
      </c>
    </row>
    <row r="58" spans="1:17" x14ac:dyDescent="0.25">
      <c r="A58" s="87">
        <v>4</v>
      </c>
      <c r="B58" s="15" t="s">
        <v>21</v>
      </c>
      <c r="C58" s="60">
        <f>jagung!L12</f>
        <v>0</v>
      </c>
      <c r="D58" s="60">
        <f>jagung!M12</f>
        <v>0</v>
      </c>
      <c r="E58" s="60">
        <f>jagung!N12</f>
        <v>1</v>
      </c>
      <c r="F58" s="60"/>
      <c r="G58" s="60"/>
      <c r="H58" s="60"/>
      <c r="I58" s="128">
        <f t="shared" si="19"/>
        <v>1</v>
      </c>
      <c r="J58" s="135"/>
      <c r="K58" s="135"/>
      <c r="L58" s="135"/>
      <c r="M58" s="135"/>
      <c r="N58" s="135"/>
      <c r="O58" s="164"/>
      <c r="P58" s="128">
        <f t="shared" si="20"/>
        <v>0</v>
      </c>
      <c r="Q58" s="131">
        <f t="shared" si="21"/>
        <v>1</v>
      </c>
    </row>
    <row r="59" spans="1:17" x14ac:dyDescent="0.25">
      <c r="A59" s="87">
        <v>5</v>
      </c>
      <c r="B59" s="19" t="s">
        <v>22</v>
      </c>
      <c r="C59" s="60">
        <f>jagung!L13</f>
        <v>0</v>
      </c>
      <c r="D59" s="60">
        <f>jagung!M13</f>
        <v>0</v>
      </c>
      <c r="E59" s="60">
        <f>jagung!N13</f>
        <v>0</v>
      </c>
      <c r="F59" s="60"/>
      <c r="G59" s="60"/>
      <c r="H59" s="60"/>
      <c r="I59" s="128">
        <f t="shared" si="19"/>
        <v>0</v>
      </c>
      <c r="J59" s="135"/>
      <c r="K59" s="135"/>
      <c r="L59" s="135"/>
      <c r="M59" s="135"/>
      <c r="N59" s="135"/>
      <c r="O59" s="164"/>
      <c r="P59" s="128">
        <f t="shared" si="20"/>
        <v>0</v>
      </c>
      <c r="Q59" s="131">
        <f t="shared" si="21"/>
        <v>0</v>
      </c>
    </row>
    <row r="60" spans="1:17" x14ac:dyDescent="0.25">
      <c r="A60" s="87">
        <v>6</v>
      </c>
      <c r="B60" s="19" t="s">
        <v>23</v>
      </c>
      <c r="C60" s="60">
        <f>jagung!L14</f>
        <v>0</v>
      </c>
      <c r="D60" s="60">
        <f>jagung!M14</f>
        <v>0</v>
      </c>
      <c r="E60" s="60">
        <f>jagung!N14</f>
        <v>0</v>
      </c>
      <c r="F60" s="60"/>
      <c r="G60" s="60"/>
      <c r="H60" s="60"/>
      <c r="I60" s="128">
        <f t="shared" si="19"/>
        <v>0</v>
      </c>
      <c r="J60" s="135"/>
      <c r="K60" s="135"/>
      <c r="L60" s="135"/>
      <c r="M60" s="135"/>
      <c r="N60" s="135"/>
      <c r="O60" s="164"/>
      <c r="P60" s="128">
        <f t="shared" si="20"/>
        <v>0</v>
      </c>
      <c r="Q60" s="131">
        <f t="shared" si="21"/>
        <v>0</v>
      </c>
    </row>
    <row r="61" spans="1:17" x14ac:dyDescent="0.25">
      <c r="A61" s="87">
        <v>7</v>
      </c>
      <c r="B61" s="19" t="s">
        <v>24</v>
      </c>
      <c r="C61" s="60">
        <f>jagung!L15</f>
        <v>0</v>
      </c>
      <c r="D61" s="60">
        <f>jagung!M15</f>
        <v>0</v>
      </c>
      <c r="E61" s="60">
        <f>jagung!N15</f>
        <v>0</v>
      </c>
      <c r="F61" s="60"/>
      <c r="G61" s="60"/>
      <c r="H61" s="60"/>
      <c r="I61" s="128">
        <f t="shared" si="19"/>
        <v>0</v>
      </c>
      <c r="J61" s="342"/>
      <c r="K61" s="135"/>
      <c r="L61" s="135"/>
      <c r="M61" s="135"/>
      <c r="N61" s="135"/>
      <c r="O61" s="164"/>
      <c r="P61" s="128">
        <f t="shared" si="20"/>
        <v>0</v>
      </c>
      <c r="Q61" s="131">
        <f t="shared" si="21"/>
        <v>0</v>
      </c>
    </row>
    <row r="62" spans="1:17" ht="15.75" thickBot="1" x14ac:dyDescent="0.3">
      <c r="A62" s="88">
        <v>8</v>
      </c>
      <c r="B62" s="15" t="s">
        <v>25</v>
      </c>
      <c r="C62" s="140">
        <f>jagung!L16</f>
        <v>1</v>
      </c>
      <c r="D62" s="140">
        <f>jagung!M16</f>
        <v>1</v>
      </c>
      <c r="E62" s="140">
        <f>jagung!N16</f>
        <v>0</v>
      </c>
      <c r="F62" s="145"/>
      <c r="G62" s="140"/>
      <c r="H62" s="140"/>
      <c r="I62" s="129">
        <f t="shared" si="19"/>
        <v>2</v>
      </c>
      <c r="J62" s="163"/>
      <c r="K62" s="163"/>
      <c r="L62" s="163"/>
      <c r="M62" s="163"/>
      <c r="N62" s="163"/>
      <c r="O62" s="163"/>
      <c r="P62" s="129">
        <f>SUM(J62:O62)</f>
        <v>0</v>
      </c>
      <c r="Q62" s="132">
        <f t="shared" si="21"/>
        <v>2</v>
      </c>
    </row>
    <row r="63" spans="1:17" ht="16.5" thickTop="1" thickBot="1" x14ac:dyDescent="0.3">
      <c r="A63" s="514" t="s">
        <v>26</v>
      </c>
      <c r="B63" s="515"/>
      <c r="C63" s="115">
        <f t="shared" ref="C63:H63" si="22">SUM(C55:C62)</f>
        <v>3</v>
      </c>
      <c r="D63" s="115">
        <f t="shared" si="22"/>
        <v>36</v>
      </c>
      <c r="E63" s="115">
        <f t="shared" si="22"/>
        <v>16</v>
      </c>
      <c r="F63" s="115">
        <f t="shared" si="22"/>
        <v>0</v>
      </c>
      <c r="G63" s="115">
        <f t="shared" si="22"/>
        <v>0</v>
      </c>
      <c r="H63" s="124">
        <f t="shared" si="22"/>
        <v>0</v>
      </c>
      <c r="I63" s="126">
        <f>SUM(I55:I62)</f>
        <v>55</v>
      </c>
      <c r="J63" s="343">
        <f t="shared" ref="J63:O63" si="23">SUM(J55:J62)</f>
        <v>0</v>
      </c>
      <c r="K63" s="115">
        <f t="shared" si="23"/>
        <v>0</v>
      </c>
      <c r="L63" s="115">
        <f t="shared" si="23"/>
        <v>0</v>
      </c>
      <c r="M63" s="115">
        <f t="shared" si="23"/>
        <v>0</v>
      </c>
      <c r="N63" s="115">
        <f t="shared" si="23"/>
        <v>0</v>
      </c>
      <c r="O63" s="124">
        <f t="shared" si="23"/>
        <v>0</v>
      </c>
      <c r="P63" s="126">
        <f>SUM(P55:P62)</f>
        <v>0</v>
      </c>
      <c r="Q63" s="133">
        <f>SUM(Q55:Q62)</f>
        <v>55</v>
      </c>
    </row>
    <row r="65" spans="1:17" ht="15.75" x14ac:dyDescent="0.25">
      <c r="A65" s="516" t="s">
        <v>96</v>
      </c>
      <c r="B65" s="516"/>
      <c r="C65" s="516"/>
      <c r="D65" s="516"/>
      <c r="E65" s="516"/>
      <c r="F65" s="516"/>
      <c r="G65" s="516"/>
      <c r="H65" s="516"/>
      <c r="I65" s="516"/>
      <c r="J65" s="516"/>
      <c r="K65" s="516"/>
      <c r="L65" s="516"/>
      <c r="M65" s="516"/>
      <c r="N65" s="516"/>
      <c r="O65" s="516"/>
      <c r="P65" s="516"/>
      <c r="Q65" s="516"/>
    </row>
    <row r="66" spans="1:17" ht="15.75" x14ac:dyDescent="0.25">
      <c r="A66" s="516" t="s">
        <v>82</v>
      </c>
      <c r="B66" s="516"/>
      <c r="C66" s="516"/>
      <c r="D66" s="516"/>
      <c r="E66" s="516"/>
      <c r="F66" s="516"/>
      <c r="G66" s="516"/>
      <c r="H66" s="516"/>
      <c r="I66" s="516"/>
      <c r="J66" s="516"/>
      <c r="K66" s="516"/>
      <c r="L66" s="516"/>
      <c r="M66" s="516"/>
      <c r="N66" s="516"/>
      <c r="O66" s="516"/>
      <c r="P66" s="516"/>
      <c r="Q66" s="516"/>
    </row>
    <row r="67" spans="1:17" ht="15.75" thickBot="1" x14ac:dyDescent="0.3">
      <c r="Q67" s="77" t="s">
        <v>1</v>
      </c>
    </row>
    <row r="68" spans="1:17" x14ac:dyDescent="0.25">
      <c r="A68" s="511" t="s">
        <v>2</v>
      </c>
      <c r="B68" s="513" t="s">
        <v>3</v>
      </c>
      <c r="C68" s="517" t="s">
        <v>152</v>
      </c>
      <c r="D68" s="518"/>
      <c r="E68" s="518"/>
      <c r="F68" s="518"/>
      <c r="G68" s="518"/>
      <c r="H68" s="518"/>
      <c r="I68" s="519" t="s">
        <v>84</v>
      </c>
      <c r="J68" s="518">
        <v>2017</v>
      </c>
      <c r="K68" s="518"/>
      <c r="L68" s="518"/>
      <c r="M68" s="518"/>
      <c r="N68" s="518"/>
      <c r="O68" s="518"/>
      <c r="P68" s="519" t="s">
        <v>85</v>
      </c>
      <c r="Q68" s="521" t="s">
        <v>5</v>
      </c>
    </row>
    <row r="69" spans="1:17" x14ac:dyDescent="0.25">
      <c r="A69" s="512"/>
      <c r="B69" s="499"/>
      <c r="C69" s="464" t="s">
        <v>15</v>
      </c>
      <c r="D69" s="464" t="s">
        <v>16</v>
      </c>
      <c r="E69" s="464" t="s">
        <v>17</v>
      </c>
      <c r="F69" s="464" t="s">
        <v>6</v>
      </c>
      <c r="G69" s="464" t="s">
        <v>77</v>
      </c>
      <c r="H69" s="122" t="s">
        <v>78</v>
      </c>
      <c r="I69" s="520"/>
      <c r="J69" s="112" t="s">
        <v>79</v>
      </c>
      <c r="K69" s="464" t="s">
        <v>10</v>
      </c>
      <c r="L69" s="464" t="s">
        <v>11</v>
      </c>
      <c r="M69" s="464" t="s">
        <v>12</v>
      </c>
      <c r="N69" s="464" t="s">
        <v>80</v>
      </c>
      <c r="O69" s="122" t="s">
        <v>81</v>
      </c>
      <c r="P69" s="520"/>
      <c r="Q69" s="522"/>
    </row>
    <row r="70" spans="1:17" ht="15.75" thickBot="1" x14ac:dyDescent="0.3">
      <c r="A70" s="114">
        <v>1</v>
      </c>
      <c r="B70" s="5">
        <v>2</v>
      </c>
      <c r="C70" s="5">
        <v>3</v>
      </c>
      <c r="D70" s="5">
        <v>4</v>
      </c>
      <c r="E70" s="5">
        <v>5</v>
      </c>
      <c r="F70" s="5">
        <v>6</v>
      </c>
      <c r="G70" s="5">
        <v>7</v>
      </c>
      <c r="H70" s="123">
        <v>8</v>
      </c>
      <c r="I70" s="125">
        <v>9</v>
      </c>
      <c r="J70" s="113">
        <v>10</v>
      </c>
      <c r="K70" s="5">
        <v>11</v>
      </c>
      <c r="L70" s="5">
        <v>12</v>
      </c>
      <c r="M70" s="5">
        <v>13</v>
      </c>
      <c r="N70" s="5">
        <v>14</v>
      </c>
      <c r="O70" s="123">
        <v>15</v>
      </c>
      <c r="P70" s="125">
        <v>16</v>
      </c>
      <c r="Q70" s="134">
        <v>17</v>
      </c>
    </row>
    <row r="71" spans="1:17" ht="15.75" thickTop="1" x14ac:dyDescent="0.25">
      <c r="A71" s="85">
        <v>1</v>
      </c>
      <c r="B71" s="7" t="s">
        <v>18</v>
      </c>
      <c r="C71" s="139">
        <f>kedelai!L9</f>
        <v>0</v>
      </c>
      <c r="D71" s="139">
        <f>kedelai!M9</f>
        <v>0</v>
      </c>
      <c r="E71" s="139">
        <f>kedelai!N9</f>
        <v>0</v>
      </c>
      <c r="F71" s="139"/>
      <c r="G71" s="139"/>
      <c r="H71" s="139"/>
      <c r="I71" s="127">
        <f>SUM(C71:H71)</f>
        <v>0</v>
      </c>
      <c r="J71" s="162"/>
      <c r="K71" s="162"/>
      <c r="L71" s="162"/>
      <c r="M71" s="162"/>
      <c r="N71" s="162"/>
      <c r="O71" s="162"/>
      <c r="P71" s="127">
        <f>SUM(J71:O71)</f>
        <v>0</v>
      </c>
      <c r="Q71" s="130">
        <f>SUM(I71,P71)</f>
        <v>0</v>
      </c>
    </row>
    <row r="72" spans="1:17" x14ac:dyDescent="0.25">
      <c r="A72" s="86">
        <v>2</v>
      </c>
      <c r="B72" s="12" t="s">
        <v>19</v>
      </c>
      <c r="C72" s="60">
        <f>kedelai!L10</f>
        <v>0</v>
      </c>
      <c r="D72" s="60">
        <f>kedelai!M10</f>
        <v>0</v>
      </c>
      <c r="E72" s="60">
        <f>kedelai!N10</f>
        <v>0</v>
      </c>
      <c r="F72" s="60"/>
      <c r="G72" s="60"/>
      <c r="H72" s="60"/>
      <c r="I72" s="128">
        <f t="shared" ref="I72:I78" si="24">SUM(C72:H72)</f>
        <v>0</v>
      </c>
      <c r="J72" s="135"/>
      <c r="K72" s="135"/>
      <c r="L72" s="135"/>
      <c r="M72" s="135"/>
      <c r="N72" s="135"/>
      <c r="O72" s="164"/>
      <c r="P72" s="128">
        <f t="shared" ref="P72:P77" si="25">SUM(J72:O72)</f>
        <v>0</v>
      </c>
      <c r="Q72" s="131">
        <f t="shared" ref="Q72:Q78" si="26">SUM(I72,P72)</f>
        <v>0</v>
      </c>
    </row>
    <row r="73" spans="1:17" x14ac:dyDescent="0.25">
      <c r="A73" s="86">
        <v>3</v>
      </c>
      <c r="B73" s="7" t="s">
        <v>20</v>
      </c>
      <c r="C73" s="60">
        <f>kedelai!L11</f>
        <v>0</v>
      </c>
      <c r="D73" s="60">
        <f>kedelai!M11</f>
        <v>0</v>
      </c>
      <c r="E73" s="60">
        <f>kedelai!N11</f>
        <v>0</v>
      </c>
      <c r="F73" s="60"/>
      <c r="G73" s="60"/>
      <c r="H73" s="60"/>
      <c r="I73" s="128">
        <f t="shared" si="24"/>
        <v>0</v>
      </c>
      <c r="J73" s="135"/>
      <c r="K73" s="135"/>
      <c r="L73" s="135"/>
      <c r="M73" s="135"/>
      <c r="N73" s="135"/>
      <c r="O73" s="164"/>
      <c r="P73" s="128">
        <f t="shared" si="25"/>
        <v>0</v>
      </c>
      <c r="Q73" s="131">
        <f t="shared" si="26"/>
        <v>0</v>
      </c>
    </row>
    <row r="74" spans="1:17" x14ac:dyDescent="0.25">
      <c r="A74" s="87">
        <v>4</v>
      </c>
      <c r="B74" s="15" t="s">
        <v>21</v>
      </c>
      <c r="C74" s="60">
        <f>kedelai!L12</f>
        <v>0</v>
      </c>
      <c r="D74" s="60">
        <f>kedelai!M12</f>
        <v>0</v>
      </c>
      <c r="E74" s="60">
        <f>kedelai!N12</f>
        <v>0</v>
      </c>
      <c r="F74" s="60"/>
      <c r="G74" s="60"/>
      <c r="H74" s="60"/>
      <c r="I74" s="128">
        <f t="shared" si="24"/>
        <v>0</v>
      </c>
      <c r="J74" s="135"/>
      <c r="K74" s="135"/>
      <c r="L74" s="135"/>
      <c r="M74" s="135"/>
      <c r="N74" s="135"/>
      <c r="O74" s="164"/>
      <c r="P74" s="128">
        <f t="shared" si="25"/>
        <v>0</v>
      </c>
      <c r="Q74" s="131">
        <f t="shared" si="26"/>
        <v>0</v>
      </c>
    </row>
    <row r="75" spans="1:17" x14ac:dyDescent="0.25">
      <c r="A75" s="87">
        <v>5</v>
      </c>
      <c r="B75" s="19" t="s">
        <v>22</v>
      </c>
      <c r="C75" s="60">
        <f>kedelai!L13</f>
        <v>0</v>
      </c>
      <c r="D75" s="60">
        <f>kedelai!M13</f>
        <v>0</v>
      </c>
      <c r="E75" s="60">
        <f>kedelai!N13</f>
        <v>0</v>
      </c>
      <c r="F75" s="60"/>
      <c r="G75" s="60"/>
      <c r="H75" s="60"/>
      <c r="I75" s="128">
        <f t="shared" si="24"/>
        <v>0</v>
      </c>
      <c r="J75" s="135"/>
      <c r="K75" s="135"/>
      <c r="L75" s="135"/>
      <c r="M75" s="135"/>
      <c r="N75" s="135"/>
      <c r="O75" s="164"/>
      <c r="P75" s="128">
        <f t="shared" si="25"/>
        <v>0</v>
      </c>
      <c r="Q75" s="131">
        <f t="shared" si="26"/>
        <v>0</v>
      </c>
    </row>
    <row r="76" spans="1:17" x14ac:dyDescent="0.25">
      <c r="A76" s="87">
        <v>6</v>
      </c>
      <c r="B76" s="19" t="s">
        <v>23</v>
      </c>
      <c r="C76" s="60">
        <f>kedelai!L14</f>
        <v>0</v>
      </c>
      <c r="D76" s="60">
        <f>kedelai!M14</f>
        <v>0</v>
      </c>
      <c r="E76" s="60">
        <f>kedelai!N14</f>
        <v>0</v>
      </c>
      <c r="F76" s="60"/>
      <c r="G76" s="60"/>
      <c r="H76" s="60"/>
      <c r="I76" s="128">
        <f t="shared" si="24"/>
        <v>0</v>
      </c>
      <c r="J76" s="135"/>
      <c r="K76" s="135"/>
      <c r="L76" s="135"/>
      <c r="M76" s="135"/>
      <c r="N76" s="135"/>
      <c r="O76" s="164"/>
      <c r="P76" s="128">
        <f t="shared" si="25"/>
        <v>0</v>
      </c>
      <c r="Q76" s="131">
        <f t="shared" si="26"/>
        <v>0</v>
      </c>
    </row>
    <row r="77" spans="1:17" x14ac:dyDescent="0.25">
      <c r="A77" s="87">
        <v>7</v>
      </c>
      <c r="B77" s="19" t="s">
        <v>24</v>
      </c>
      <c r="C77" s="60">
        <f>kedelai!L15</f>
        <v>0</v>
      </c>
      <c r="D77" s="60">
        <f>kedelai!M15</f>
        <v>0</v>
      </c>
      <c r="E77" s="60">
        <f>kedelai!N15</f>
        <v>0</v>
      </c>
      <c r="F77" s="60"/>
      <c r="G77" s="60"/>
      <c r="H77" s="60"/>
      <c r="I77" s="128">
        <f t="shared" si="24"/>
        <v>0</v>
      </c>
      <c r="J77" s="135"/>
      <c r="K77" s="135"/>
      <c r="L77" s="135"/>
      <c r="M77" s="135"/>
      <c r="N77" s="135"/>
      <c r="O77" s="164"/>
      <c r="P77" s="128">
        <f t="shared" si="25"/>
        <v>0</v>
      </c>
      <c r="Q77" s="131">
        <f t="shared" si="26"/>
        <v>0</v>
      </c>
    </row>
    <row r="78" spans="1:17" ht="15.75" thickBot="1" x14ac:dyDescent="0.3">
      <c r="A78" s="88">
        <v>8</v>
      </c>
      <c r="B78" s="15" t="s">
        <v>25</v>
      </c>
      <c r="C78" s="140">
        <f>kedelai!L16</f>
        <v>0</v>
      </c>
      <c r="D78" s="140">
        <f>kedelai!M16</f>
        <v>0</v>
      </c>
      <c r="E78" s="140">
        <f>kedelai!N16</f>
        <v>0</v>
      </c>
      <c r="F78" s="145"/>
      <c r="G78" s="140"/>
      <c r="H78" s="140"/>
      <c r="I78" s="129">
        <f t="shared" si="24"/>
        <v>0</v>
      </c>
      <c r="J78" s="163"/>
      <c r="K78" s="163"/>
      <c r="L78" s="163"/>
      <c r="M78" s="163"/>
      <c r="N78" s="163"/>
      <c r="O78" s="163"/>
      <c r="P78" s="129">
        <f>SUM(J78:O78)</f>
        <v>0</v>
      </c>
      <c r="Q78" s="132">
        <f t="shared" si="26"/>
        <v>0</v>
      </c>
    </row>
    <row r="79" spans="1:17" ht="16.5" thickTop="1" thickBot="1" x14ac:dyDescent="0.3">
      <c r="A79" s="514" t="s">
        <v>26</v>
      </c>
      <c r="B79" s="515"/>
      <c r="C79" s="115">
        <f t="shared" ref="C79:H79" si="27">SUM(C71:C78)</f>
        <v>0</v>
      </c>
      <c r="D79" s="115">
        <f t="shared" si="27"/>
        <v>0</v>
      </c>
      <c r="E79" s="115">
        <f t="shared" si="27"/>
        <v>0</v>
      </c>
      <c r="F79" s="115">
        <f t="shared" si="27"/>
        <v>0</v>
      </c>
      <c r="G79" s="115">
        <f t="shared" si="27"/>
        <v>0</v>
      </c>
      <c r="H79" s="124">
        <f t="shared" si="27"/>
        <v>0</v>
      </c>
      <c r="I79" s="126">
        <f>SUM(I71:I78)</f>
        <v>0</v>
      </c>
      <c r="J79" s="136">
        <f t="shared" ref="J79:O79" si="28">SUM(J71:J78)</f>
        <v>0</v>
      </c>
      <c r="K79" s="115">
        <f t="shared" si="28"/>
        <v>0</v>
      </c>
      <c r="L79" s="115">
        <f t="shared" si="28"/>
        <v>0</v>
      </c>
      <c r="M79" s="115">
        <f t="shared" si="28"/>
        <v>0</v>
      </c>
      <c r="N79" s="115">
        <f t="shared" si="28"/>
        <v>0</v>
      </c>
      <c r="O79" s="124">
        <f t="shared" si="28"/>
        <v>0</v>
      </c>
      <c r="P79" s="126">
        <f>SUM(P71:P78)</f>
        <v>0</v>
      </c>
      <c r="Q79" s="133">
        <f>SUM(Q71:Q78)</f>
        <v>0</v>
      </c>
    </row>
    <row r="81" spans="1:17" ht="15.75" x14ac:dyDescent="0.25">
      <c r="A81" s="516" t="s">
        <v>98</v>
      </c>
      <c r="B81" s="516"/>
      <c r="C81" s="516"/>
      <c r="D81" s="516"/>
      <c r="E81" s="516"/>
      <c r="F81" s="516"/>
      <c r="G81" s="516"/>
      <c r="H81" s="516"/>
      <c r="I81" s="516"/>
      <c r="J81" s="516"/>
      <c r="K81" s="516"/>
      <c r="L81" s="516"/>
      <c r="M81" s="516"/>
      <c r="N81" s="516"/>
      <c r="O81" s="516"/>
      <c r="P81" s="516"/>
      <c r="Q81" s="516"/>
    </row>
    <row r="82" spans="1:17" ht="15.75" x14ac:dyDescent="0.25">
      <c r="A82" s="516" t="s">
        <v>82</v>
      </c>
      <c r="B82" s="516"/>
      <c r="C82" s="516"/>
      <c r="D82" s="516"/>
      <c r="E82" s="516"/>
      <c r="F82" s="516"/>
      <c r="G82" s="516"/>
      <c r="H82" s="516"/>
      <c r="I82" s="516"/>
      <c r="J82" s="516"/>
      <c r="K82" s="516"/>
      <c r="L82" s="516"/>
      <c r="M82" s="516"/>
      <c r="N82" s="516"/>
      <c r="O82" s="516"/>
      <c r="P82" s="516"/>
      <c r="Q82" s="516"/>
    </row>
    <row r="83" spans="1:17" ht="15.75" thickBot="1" x14ac:dyDescent="0.3">
      <c r="Q83" s="77" t="s">
        <v>1</v>
      </c>
    </row>
    <row r="84" spans="1:17" x14ac:dyDescent="0.25">
      <c r="A84" s="511" t="s">
        <v>2</v>
      </c>
      <c r="B84" s="513" t="s">
        <v>3</v>
      </c>
      <c r="C84" s="517" t="s">
        <v>152</v>
      </c>
      <c r="D84" s="518"/>
      <c r="E84" s="518"/>
      <c r="F84" s="518"/>
      <c r="G84" s="518"/>
      <c r="H84" s="518"/>
      <c r="I84" s="519" t="s">
        <v>84</v>
      </c>
      <c r="J84" s="518">
        <v>2017</v>
      </c>
      <c r="K84" s="518"/>
      <c r="L84" s="518"/>
      <c r="M84" s="518"/>
      <c r="N84" s="518"/>
      <c r="O84" s="518"/>
      <c r="P84" s="519" t="s">
        <v>85</v>
      </c>
      <c r="Q84" s="521" t="s">
        <v>5</v>
      </c>
    </row>
    <row r="85" spans="1:17" x14ac:dyDescent="0.25">
      <c r="A85" s="512"/>
      <c r="B85" s="499"/>
      <c r="C85" s="464" t="s">
        <v>15</v>
      </c>
      <c r="D85" s="464" t="s">
        <v>16</v>
      </c>
      <c r="E85" s="464" t="s">
        <v>17</v>
      </c>
      <c r="F85" s="464" t="s">
        <v>6</v>
      </c>
      <c r="G85" s="464" t="s">
        <v>77</v>
      </c>
      <c r="H85" s="122" t="s">
        <v>78</v>
      </c>
      <c r="I85" s="520"/>
      <c r="J85" s="112" t="s">
        <v>79</v>
      </c>
      <c r="K85" s="464" t="s">
        <v>10</v>
      </c>
      <c r="L85" s="464" t="s">
        <v>11</v>
      </c>
      <c r="M85" s="464" t="s">
        <v>12</v>
      </c>
      <c r="N85" s="464" t="s">
        <v>80</v>
      </c>
      <c r="O85" s="122" t="s">
        <v>81</v>
      </c>
      <c r="P85" s="520"/>
      <c r="Q85" s="522"/>
    </row>
    <row r="86" spans="1:17" ht="15.75" thickBot="1" x14ac:dyDescent="0.3">
      <c r="A86" s="114">
        <v>1</v>
      </c>
      <c r="B86" s="5">
        <v>2</v>
      </c>
      <c r="C86" s="5">
        <v>3</v>
      </c>
      <c r="D86" s="5">
        <v>4</v>
      </c>
      <c r="E86" s="5">
        <v>5</v>
      </c>
      <c r="F86" s="5">
        <v>6</v>
      </c>
      <c r="G86" s="5">
        <v>7</v>
      </c>
      <c r="H86" s="123">
        <v>8</v>
      </c>
      <c r="I86" s="125">
        <v>9</v>
      </c>
      <c r="J86" s="113">
        <v>10</v>
      </c>
      <c r="K86" s="5">
        <v>11</v>
      </c>
      <c r="L86" s="5">
        <v>12</v>
      </c>
      <c r="M86" s="5">
        <v>13</v>
      </c>
      <c r="N86" s="5">
        <v>14</v>
      </c>
      <c r="O86" s="123">
        <v>15</v>
      </c>
      <c r="P86" s="125">
        <v>16</v>
      </c>
      <c r="Q86" s="134">
        <v>17</v>
      </c>
    </row>
    <row r="87" spans="1:17" ht="15.75" thickTop="1" x14ac:dyDescent="0.25">
      <c r="A87" s="85">
        <v>1</v>
      </c>
      <c r="B87" s="7" t="s">
        <v>18</v>
      </c>
      <c r="C87" s="139">
        <f>'kc tanah'!L9</f>
        <v>77</v>
      </c>
      <c r="D87" s="139">
        <f>'kc tanah'!M9</f>
        <v>49</v>
      </c>
      <c r="E87" s="139">
        <f>'kc tanah'!N9</f>
        <v>35</v>
      </c>
      <c r="F87" s="139"/>
      <c r="G87" s="139"/>
      <c r="H87" s="139"/>
      <c r="I87" s="127">
        <f>SUM(C87:H87)</f>
        <v>161</v>
      </c>
      <c r="J87" s="162"/>
      <c r="K87" s="162"/>
      <c r="L87" s="162"/>
      <c r="M87" s="162"/>
      <c r="N87" s="162"/>
      <c r="O87" s="162"/>
      <c r="P87" s="127">
        <f>SUM(J87:O87)</f>
        <v>0</v>
      </c>
      <c r="Q87" s="130">
        <f>SUM(I87,P87)</f>
        <v>161</v>
      </c>
    </row>
    <row r="88" spans="1:17" x14ac:dyDescent="0.25">
      <c r="A88" s="86">
        <v>2</v>
      </c>
      <c r="B88" s="12" t="s">
        <v>19</v>
      </c>
      <c r="C88" s="60">
        <f>'kc tanah'!L10</f>
        <v>122</v>
      </c>
      <c r="D88" s="60">
        <f>'kc tanah'!M10</f>
        <v>64</v>
      </c>
      <c r="E88" s="60">
        <f>'kc tanah'!N10</f>
        <v>0</v>
      </c>
      <c r="F88" s="60"/>
      <c r="G88" s="60"/>
      <c r="H88" s="60"/>
      <c r="I88" s="128">
        <f t="shared" ref="I88:I94" si="29">SUM(C88:H88)</f>
        <v>186</v>
      </c>
      <c r="J88" s="135"/>
      <c r="K88" s="135"/>
      <c r="L88" s="135"/>
      <c r="M88" s="135"/>
      <c r="N88" s="135"/>
      <c r="O88" s="164"/>
      <c r="P88" s="128">
        <f t="shared" ref="P88:P93" si="30">SUM(J88:O88)</f>
        <v>0</v>
      </c>
      <c r="Q88" s="131">
        <f t="shared" ref="Q88:Q94" si="31">SUM(I88,P88)</f>
        <v>186</v>
      </c>
    </row>
    <row r="89" spans="1:17" x14ac:dyDescent="0.25">
      <c r="A89" s="86">
        <v>3</v>
      </c>
      <c r="B89" s="7" t="s">
        <v>20</v>
      </c>
      <c r="C89" s="60">
        <f>'kc tanah'!L11</f>
        <v>125</v>
      </c>
      <c r="D89" s="60">
        <f>'kc tanah'!M11</f>
        <v>180</v>
      </c>
      <c r="E89" s="60">
        <f>'kc tanah'!N11</f>
        <v>0</v>
      </c>
      <c r="F89" s="60"/>
      <c r="G89" s="60"/>
      <c r="H89" s="60"/>
      <c r="I89" s="128">
        <f t="shared" si="29"/>
        <v>305</v>
      </c>
      <c r="J89" s="135"/>
      <c r="K89" s="135"/>
      <c r="L89" s="135"/>
      <c r="M89" s="135"/>
      <c r="N89" s="135"/>
      <c r="O89" s="164"/>
      <c r="P89" s="128">
        <f t="shared" si="30"/>
        <v>0</v>
      </c>
      <c r="Q89" s="131">
        <f t="shared" si="31"/>
        <v>305</v>
      </c>
    </row>
    <row r="90" spans="1:17" x14ac:dyDescent="0.25">
      <c r="A90" s="87">
        <v>4</v>
      </c>
      <c r="B90" s="15" t="s">
        <v>21</v>
      </c>
      <c r="C90" s="60">
        <f>'kc tanah'!L12</f>
        <v>11</v>
      </c>
      <c r="D90" s="60">
        <f>'kc tanah'!M12</f>
        <v>8</v>
      </c>
      <c r="E90" s="60">
        <f>'kc tanah'!N12</f>
        <v>2</v>
      </c>
      <c r="F90" s="60"/>
      <c r="G90" s="60"/>
      <c r="H90" s="60"/>
      <c r="I90" s="128">
        <f t="shared" si="29"/>
        <v>21</v>
      </c>
      <c r="J90" s="135"/>
      <c r="K90" s="135"/>
      <c r="L90" s="135"/>
      <c r="M90" s="135"/>
      <c r="N90" s="135"/>
      <c r="O90" s="164"/>
      <c r="P90" s="128">
        <f t="shared" si="30"/>
        <v>0</v>
      </c>
      <c r="Q90" s="131">
        <f t="shared" si="31"/>
        <v>21</v>
      </c>
    </row>
    <row r="91" spans="1:17" x14ac:dyDescent="0.25">
      <c r="A91" s="87">
        <v>5</v>
      </c>
      <c r="B91" s="19" t="s">
        <v>22</v>
      </c>
      <c r="C91" s="60">
        <f>'kc tanah'!L13</f>
        <v>0</v>
      </c>
      <c r="D91" s="60">
        <f>'kc tanah'!M13</f>
        <v>230</v>
      </c>
      <c r="E91" s="60">
        <f>'kc tanah'!N13</f>
        <v>48</v>
      </c>
      <c r="F91" s="60"/>
      <c r="G91" s="60"/>
      <c r="H91" s="60"/>
      <c r="I91" s="128">
        <f t="shared" si="29"/>
        <v>278</v>
      </c>
      <c r="J91" s="135"/>
      <c r="K91" s="135"/>
      <c r="L91" s="135"/>
      <c r="M91" s="135"/>
      <c r="N91" s="135"/>
      <c r="O91" s="164"/>
      <c r="P91" s="128">
        <f t="shared" si="30"/>
        <v>0</v>
      </c>
      <c r="Q91" s="131">
        <f t="shared" si="31"/>
        <v>278</v>
      </c>
    </row>
    <row r="92" spans="1:17" x14ac:dyDescent="0.25">
      <c r="A92" s="87">
        <v>6</v>
      </c>
      <c r="B92" s="19" t="s">
        <v>23</v>
      </c>
      <c r="C92" s="60">
        <f>'kc tanah'!L14</f>
        <v>0</v>
      </c>
      <c r="D92" s="60">
        <f>'kc tanah'!M14</f>
        <v>15</v>
      </c>
      <c r="E92" s="60">
        <f>'kc tanah'!N14</f>
        <v>0</v>
      </c>
      <c r="F92" s="60"/>
      <c r="G92" s="60"/>
      <c r="H92" s="60"/>
      <c r="I92" s="128">
        <f t="shared" si="29"/>
        <v>15</v>
      </c>
      <c r="J92" s="135"/>
      <c r="K92" s="135"/>
      <c r="L92" s="135"/>
      <c r="M92" s="135"/>
      <c r="N92" s="135"/>
      <c r="O92" s="164"/>
      <c r="P92" s="128">
        <f t="shared" si="30"/>
        <v>0</v>
      </c>
      <c r="Q92" s="131">
        <f t="shared" si="31"/>
        <v>15</v>
      </c>
    </row>
    <row r="93" spans="1:17" x14ac:dyDescent="0.25">
      <c r="A93" s="87">
        <v>7</v>
      </c>
      <c r="B93" s="19" t="s">
        <v>24</v>
      </c>
      <c r="C93" s="60">
        <f>'kc tanah'!L15</f>
        <v>0</v>
      </c>
      <c r="D93" s="60">
        <f>'kc tanah'!M15</f>
        <v>0</v>
      </c>
      <c r="E93" s="60">
        <f>'kc tanah'!N15</f>
        <v>0</v>
      </c>
      <c r="F93" s="60"/>
      <c r="G93" s="60"/>
      <c r="H93" s="60"/>
      <c r="I93" s="128">
        <f t="shared" si="29"/>
        <v>0</v>
      </c>
      <c r="J93" s="135"/>
      <c r="K93" s="135"/>
      <c r="L93" s="135"/>
      <c r="M93" s="135"/>
      <c r="N93" s="135"/>
      <c r="O93" s="164"/>
      <c r="P93" s="128">
        <f t="shared" si="30"/>
        <v>0</v>
      </c>
      <c r="Q93" s="131">
        <f t="shared" si="31"/>
        <v>0</v>
      </c>
    </row>
    <row r="94" spans="1:17" ht="15.75" thickBot="1" x14ac:dyDescent="0.3">
      <c r="A94" s="88">
        <v>8</v>
      </c>
      <c r="B94" s="15" t="s">
        <v>25</v>
      </c>
      <c r="C94" s="140">
        <f>'kc tanah'!L16</f>
        <v>175</v>
      </c>
      <c r="D94" s="140">
        <f>'kc tanah'!M16</f>
        <v>0</v>
      </c>
      <c r="E94" s="140">
        <f>'kc tanah'!N16</f>
        <v>50</v>
      </c>
      <c r="F94" s="140"/>
      <c r="G94" s="140"/>
      <c r="H94" s="140"/>
      <c r="I94" s="129">
        <f t="shared" si="29"/>
        <v>225</v>
      </c>
      <c r="J94" s="163"/>
      <c r="K94" s="163"/>
      <c r="L94" s="163"/>
      <c r="M94" s="163"/>
      <c r="N94" s="163"/>
      <c r="O94" s="163"/>
      <c r="P94" s="129">
        <f>SUM(J94:O94)</f>
        <v>0</v>
      </c>
      <c r="Q94" s="132">
        <f t="shared" si="31"/>
        <v>225</v>
      </c>
    </row>
    <row r="95" spans="1:17" ht="16.5" thickTop="1" thickBot="1" x14ac:dyDescent="0.3">
      <c r="A95" s="514" t="s">
        <v>26</v>
      </c>
      <c r="B95" s="515"/>
      <c r="C95" s="115">
        <f t="shared" ref="C95:H95" si="32">SUM(C87:C94)</f>
        <v>510</v>
      </c>
      <c r="D95" s="115">
        <f t="shared" si="32"/>
        <v>546</v>
      </c>
      <c r="E95" s="115">
        <f t="shared" si="32"/>
        <v>135</v>
      </c>
      <c r="F95" s="115">
        <f t="shared" si="32"/>
        <v>0</v>
      </c>
      <c r="G95" s="115">
        <f t="shared" si="32"/>
        <v>0</v>
      </c>
      <c r="H95" s="124">
        <f t="shared" si="32"/>
        <v>0</v>
      </c>
      <c r="I95" s="126">
        <f>SUM(I87:I94)</f>
        <v>1191</v>
      </c>
      <c r="J95" s="136">
        <f t="shared" ref="J95:O95" si="33">SUM(J87:J94)</f>
        <v>0</v>
      </c>
      <c r="K95" s="115">
        <f t="shared" si="33"/>
        <v>0</v>
      </c>
      <c r="L95" s="115">
        <f t="shared" si="33"/>
        <v>0</v>
      </c>
      <c r="M95" s="115">
        <f t="shared" si="33"/>
        <v>0</v>
      </c>
      <c r="N95" s="115">
        <f t="shared" si="33"/>
        <v>0</v>
      </c>
      <c r="O95" s="124">
        <f t="shared" si="33"/>
        <v>0</v>
      </c>
      <c r="P95" s="126">
        <f>SUM(P87:P94)</f>
        <v>0</v>
      </c>
      <c r="Q95" s="133">
        <f>SUM(Q87:Q94)</f>
        <v>1191</v>
      </c>
    </row>
    <row r="97" spans="1:17" ht="15.75" x14ac:dyDescent="0.25">
      <c r="A97" s="516" t="s">
        <v>99</v>
      </c>
      <c r="B97" s="516"/>
      <c r="C97" s="516"/>
      <c r="D97" s="516"/>
      <c r="E97" s="516"/>
      <c r="F97" s="516"/>
      <c r="G97" s="516"/>
      <c r="H97" s="516"/>
      <c r="I97" s="516"/>
      <c r="J97" s="516"/>
      <c r="K97" s="516"/>
      <c r="L97" s="516"/>
      <c r="M97" s="516"/>
      <c r="N97" s="516"/>
      <c r="O97" s="516"/>
      <c r="P97" s="516"/>
      <c r="Q97" s="516"/>
    </row>
    <row r="98" spans="1:17" ht="15.75" x14ac:dyDescent="0.25">
      <c r="A98" s="516" t="s">
        <v>82</v>
      </c>
      <c r="B98" s="516"/>
      <c r="C98" s="516"/>
      <c r="D98" s="516"/>
      <c r="E98" s="516"/>
      <c r="F98" s="516"/>
      <c r="G98" s="516"/>
      <c r="H98" s="516"/>
      <c r="I98" s="516"/>
      <c r="J98" s="516"/>
      <c r="K98" s="516"/>
      <c r="L98" s="516"/>
      <c r="M98" s="516"/>
      <c r="N98" s="516"/>
      <c r="O98" s="516"/>
      <c r="P98" s="516"/>
      <c r="Q98" s="516"/>
    </row>
    <row r="99" spans="1:17" ht="15.75" thickBot="1" x14ac:dyDescent="0.3">
      <c r="Q99" s="77" t="s">
        <v>1</v>
      </c>
    </row>
    <row r="100" spans="1:17" x14ac:dyDescent="0.25">
      <c r="A100" s="511" t="s">
        <v>2</v>
      </c>
      <c r="B100" s="513" t="s">
        <v>3</v>
      </c>
      <c r="C100" s="517" t="s">
        <v>152</v>
      </c>
      <c r="D100" s="518"/>
      <c r="E100" s="518"/>
      <c r="F100" s="518"/>
      <c r="G100" s="518"/>
      <c r="H100" s="518"/>
      <c r="I100" s="519" t="s">
        <v>84</v>
      </c>
      <c r="J100" s="518">
        <v>2017</v>
      </c>
      <c r="K100" s="518"/>
      <c r="L100" s="518"/>
      <c r="M100" s="518"/>
      <c r="N100" s="518"/>
      <c r="O100" s="518"/>
      <c r="P100" s="519" t="s">
        <v>85</v>
      </c>
      <c r="Q100" s="521" t="s">
        <v>5</v>
      </c>
    </row>
    <row r="101" spans="1:17" x14ac:dyDescent="0.25">
      <c r="A101" s="512"/>
      <c r="B101" s="499"/>
      <c r="C101" s="464" t="s">
        <v>15</v>
      </c>
      <c r="D101" s="464" t="s">
        <v>16</v>
      </c>
      <c r="E101" s="464" t="s">
        <v>17</v>
      </c>
      <c r="F101" s="464" t="s">
        <v>6</v>
      </c>
      <c r="G101" s="464" t="s">
        <v>77</v>
      </c>
      <c r="H101" s="122" t="s">
        <v>78</v>
      </c>
      <c r="I101" s="520"/>
      <c r="J101" s="112" t="s">
        <v>79</v>
      </c>
      <c r="K101" s="464" t="s">
        <v>10</v>
      </c>
      <c r="L101" s="464" t="s">
        <v>11</v>
      </c>
      <c r="M101" s="464" t="s">
        <v>12</v>
      </c>
      <c r="N101" s="464" t="s">
        <v>80</v>
      </c>
      <c r="O101" s="122" t="s">
        <v>81</v>
      </c>
      <c r="P101" s="520"/>
      <c r="Q101" s="522"/>
    </row>
    <row r="102" spans="1:17" ht="15.75" thickBot="1" x14ac:dyDescent="0.3">
      <c r="A102" s="114">
        <v>1</v>
      </c>
      <c r="B102" s="5">
        <v>2</v>
      </c>
      <c r="C102" s="5">
        <v>3</v>
      </c>
      <c r="D102" s="5">
        <v>4</v>
      </c>
      <c r="E102" s="5">
        <v>5</v>
      </c>
      <c r="F102" s="5">
        <v>6</v>
      </c>
      <c r="G102" s="5">
        <v>7</v>
      </c>
      <c r="H102" s="123">
        <v>8</v>
      </c>
      <c r="I102" s="125">
        <v>9</v>
      </c>
      <c r="J102" s="113">
        <v>10</v>
      </c>
      <c r="K102" s="5">
        <v>11</v>
      </c>
      <c r="L102" s="5">
        <v>12</v>
      </c>
      <c r="M102" s="5">
        <v>13</v>
      </c>
      <c r="N102" s="5">
        <v>14</v>
      </c>
      <c r="O102" s="123">
        <v>15</v>
      </c>
      <c r="P102" s="125">
        <v>16</v>
      </c>
      <c r="Q102" s="134">
        <v>17</v>
      </c>
    </row>
    <row r="103" spans="1:17" ht="15.75" thickTop="1" x14ac:dyDescent="0.25">
      <c r="A103" s="85">
        <v>1</v>
      </c>
      <c r="B103" s="7" t="s">
        <v>18</v>
      </c>
      <c r="C103" s="139">
        <f>'ubi kayu'!L9</f>
        <v>1</v>
      </c>
      <c r="D103" s="139">
        <f>'ubi kayu'!M9</f>
        <v>5</v>
      </c>
      <c r="E103" s="139">
        <f>'ubi kayu'!N9</f>
        <v>0</v>
      </c>
      <c r="F103" s="139"/>
      <c r="G103" s="139"/>
      <c r="H103" s="139"/>
      <c r="I103" s="127">
        <f>SUM(C103:H103)</f>
        <v>6</v>
      </c>
      <c r="J103" s="162"/>
      <c r="K103" s="162"/>
      <c r="L103" s="162"/>
      <c r="M103" s="162"/>
      <c r="N103" s="162"/>
      <c r="O103" s="162"/>
      <c r="P103" s="127">
        <f>SUM(J103:O103)</f>
        <v>0</v>
      </c>
      <c r="Q103" s="130">
        <f>SUM(I103,P103)</f>
        <v>6</v>
      </c>
    </row>
    <row r="104" spans="1:17" x14ac:dyDescent="0.25">
      <c r="A104" s="86">
        <v>2</v>
      </c>
      <c r="B104" s="12" t="s">
        <v>19</v>
      </c>
      <c r="C104" s="60">
        <f>'ubi kayu'!L10</f>
        <v>0</v>
      </c>
      <c r="D104" s="60">
        <f>'ubi kayu'!M10</f>
        <v>0</v>
      </c>
      <c r="E104" s="60">
        <f>'ubi kayu'!N10</f>
        <v>1</v>
      </c>
      <c r="F104" s="60"/>
      <c r="G104" s="60"/>
      <c r="H104" s="60"/>
      <c r="I104" s="128">
        <f t="shared" ref="I104:I110" si="34">SUM(C104:H104)</f>
        <v>1</v>
      </c>
      <c r="J104" s="135"/>
      <c r="K104" s="135"/>
      <c r="L104" s="135"/>
      <c r="M104" s="135"/>
      <c r="N104" s="135"/>
      <c r="O104" s="164"/>
      <c r="P104" s="128">
        <f t="shared" ref="P104:P109" si="35">SUM(J104:O104)</f>
        <v>0</v>
      </c>
      <c r="Q104" s="131">
        <f t="shared" ref="Q104:Q110" si="36">SUM(I104,P104)</f>
        <v>1</v>
      </c>
    </row>
    <row r="105" spans="1:17" x14ac:dyDescent="0.25">
      <c r="A105" s="86">
        <v>3</v>
      </c>
      <c r="B105" s="7" t="s">
        <v>20</v>
      </c>
      <c r="C105" s="60">
        <f>'ubi kayu'!L11</f>
        <v>4</v>
      </c>
      <c r="D105" s="60">
        <f>'ubi kayu'!M11</f>
        <v>3</v>
      </c>
      <c r="E105" s="60">
        <f>'ubi kayu'!N11</f>
        <v>2</v>
      </c>
      <c r="F105" s="60"/>
      <c r="G105" s="60"/>
      <c r="H105" s="60"/>
      <c r="I105" s="128">
        <f t="shared" si="34"/>
        <v>9</v>
      </c>
      <c r="J105" s="135"/>
      <c r="K105" s="135"/>
      <c r="L105" s="135"/>
      <c r="M105" s="135"/>
      <c r="N105" s="135"/>
      <c r="O105" s="164"/>
      <c r="P105" s="128">
        <f t="shared" si="35"/>
        <v>0</v>
      </c>
      <c r="Q105" s="131">
        <f t="shared" si="36"/>
        <v>9</v>
      </c>
    </row>
    <row r="106" spans="1:17" x14ac:dyDescent="0.25">
      <c r="A106" s="87">
        <v>4</v>
      </c>
      <c r="B106" s="15" t="s">
        <v>21</v>
      </c>
      <c r="C106" s="60">
        <f>'ubi kayu'!L12</f>
        <v>0</v>
      </c>
      <c r="D106" s="60">
        <f>'ubi kayu'!M12</f>
        <v>2</v>
      </c>
      <c r="E106" s="60">
        <f>'ubi kayu'!N12</f>
        <v>1</v>
      </c>
      <c r="F106" s="60"/>
      <c r="G106" s="60"/>
      <c r="H106" s="60"/>
      <c r="I106" s="128">
        <f t="shared" si="34"/>
        <v>3</v>
      </c>
      <c r="J106" s="135"/>
      <c r="K106" s="135"/>
      <c r="L106" s="135"/>
      <c r="M106" s="135"/>
      <c r="N106" s="135"/>
      <c r="O106" s="164"/>
      <c r="P106" s="128">
        <f t="shared" si="35"/>
        <v>0</v>
      </c>
      <c r="Q106" s="131">
        <f t="shared" si="36"/>
        <v>3</v>
      </c>
    </row>
    <row r="107" spans="1:17" x14ac:dyDescent="0.25">
      <c r="A107" s="87">
        <v>5</v>
      </c>
      <c r="B107" s="19" t="s">
        <v>22</v>
      </c>
      <c r="C107" s="60">
        <f>'ubi kayu'!L13</f>
        <v>0</v>
      </c>
      <c r="D107" s="60">
        <f>'ubi kayu'!M13</f>
        <v>1</v>
      </c>
      <c r="E107" s="60">
        <f>'ubi kayu'!N13</f>
        <v>0</v>
      </c>
      <c r="F107" s="60"/>
      <c r="G107" s="60"/>
      <c r="H107" s="60"/>
      <c r="I107" s="128">
        <f t="shared" si="34"/>
        <v>1</v>
      </c>
      <c r="J107" s="135"/>
      <c r="K107" s="135"/>
      <c r="L107" s="135"/>
      <c r="M107" s="135"/>
      <c r="N107" s="135"/>
      <c r="O107" s="164"/>
      <c r="P107" s="128">
        <f t="shared" si="35"/>
        <v>0</v>
      </c>
      <c r="Q107" s="131">
        <f t="shared" si="36"/>
        <v>1</v>
      </c>
    </row>
    <row r="108" spans="1:17" x14ac:dyDescent="0.25">
      <c r="A108" s="87">
        <v>6</v>
      </c>
      <c r="B108" s="19" t="s">
        <v>23</v>
      </c>
      <c r="C108" s="60">
        <f>'ubi kayu'!L14</f>
        <v>0</v>
      </c>
      <c r="D108" s="60">
        <f>'ubi kayu'!M14</f>
        <v>0</v>
      </c>
      <c r="E108" s="60">
        <f>'ubi kayu'!N14</f>
        <v>3</v>
      </c>
      <c r="F108" s="60"/>
      <c r="G108" s="60"/>
      <c r="H108" s="60"/>
      <c r="I108" s="128">
        <f t="shared" si="34"/>
        <v>3</v>
      </c>
      <c r="J108" s="135"/>
      <c r="K108" s="135"/>
      <c r="L108" s="135"/>
      <c r="M108" s="135"/>
      <c r="N108" s="135"/>
      <c r="O108" s="164"/>
      <c r="P108" s="128">
        <f t="shared" si="35"/>
        <v>0</v>
      </c>
      <c r="Q108" s="131">
        <f t="shared" si="36"/>
        <v>3</v>
      </c>
    </row>
    <row r="109" spans="1:17" x14ac:dyDescent="0.25">
      <c r="A109" s="87">
        <v>7</v>
      </c>
      <c r="B109" s="19" t="s">
        <v>24</v>
      </c>
      <c r="C109" s="60">
        <f>'ubi kayu'!L15</f>
        <v>0</v>
      </c>
      <c r="D109" s="60">
        <f>'ubi kayu'!M15</f>
        <v>0</v>
      </c>
      <c r="E109" s="60">
        <f>'ubi kayu'!N15</f>
        <v>0</v>
      </c>
      <c r="F109" s="60"/>
      <c r="G109" s="60"/>
      <c r="H109" s="60"/>
      <c r="I109" s="128">
        <f t="shared" si="34"/>
        <v>0</v>
      </c>
      <c r="J109" s="135"/>
      <c r="K109" s="135"/>
      <c r="L109" s="135"/>
      <c r="M109" s="135"/>
      <c r="N109" s="135"/>
      <c r="O109" s="164"/>
      <c r="P109" s="128">
        <f t="shared" si="35"/>
        <v>0</v>
      </c>
      <c r="Q109" s="131">
        <f t="shared" si="36"/>
        <v>0</v>
      </c>
    </row>
    <row r="110" spans="1:17" ht="15.75" thickBot="1" x14ac:dyDescent="0.3">
      <c r="A110" s="88">
        <v>8</v>
      </c>
      <c r="B110" s="15" t="s">
        <v>25</v>
      </c>
      <c r="C110" s="140">
        <f>'ubi kayu'!L16</f>
        <v>5</v>
      </c>
      <c r="D110" s="140">
        <f>'ubi kayu'!M16</f>
        <v>0</v>
      </c>
      <c r="E110" s="140">
        <f>'ubi kayu'!N16</f>
        <v>0</v>
      </c>
      <c r="F110" s="145"/>
      <c r="G110" s="140"/>
      <c r="H110" s="140"/>
      <c r="I110" s="129">
        <f t="shared" si="34"/>
        <v>5</v>
      </c>
      <c r="J110" s="163"/>
      <c r="K110" s="163"/>
      <c r="L110" s="163"/>
      <c r="M110" s="163"/>
      <c r="N110" s="163"/>
      <c r="O110" s="163"/>
      <c r="P110" s="129">
        <f>SUM(J110:O110)</f>
        <v>0</v>
      </c>
      <c r="Q110" s="132">
        <f t="shared" si="36"/>
        <v>5</v>
      </c>
    </row>
    <row r="111" spans="1:17" ht="16.5" thickTop="1" thickBot="1" x14ac:dyDescent="0.3">
      <c r="A111" s="514" t="s">
        <v>26</v>
      </c>
      <c r="B111" s="515"/>
      <c r="C111" s="115">
        <f t="shared" ref="C111:H111" si="37">SUM(C103:C110)</f>
        <v>10</v>
      </c>
      <c r="D111" s="115">
        <f t="shared" si="37"/>
        <v>11</v>
      </c>
      <c r="E111" s="115">
        <f t="shared" si="37"/>
        <v>7</v>
      </c>
      <c r="F111" s="115">
        <f t="shared" si="37"/>
        <v>0</v>
      </c>
      <c r="G111" s="115">
        <f t="shared" si="37"/>
        <v>0</v>
      </c>
      <c r="H111" s="124">
        <f t="shared" si="37"/>
        <v>0</v>
      </c>
      <c r="I111" s="126">
        <f>SUM(I103:I110)</f>
        <v>28</v>
      </c>
      <c r="J111" s="136">
        <f t="shared" ref="J111:O111" si="38">SUM(J103:J110)</f>
        <v>0</v>
      </c>
      <c r="K111" s="115">
        <f t="shared" si="38"/>
        <v>0</v>
      </c>
      <c r="L111" s="115">
        <f t="shared" si="38"/>
        <v>0</v>
      </c>
      <c r="M111" s="115">
        <f t="shared" si="38"/>
        <v>0</v>
      </c>
      <c r="N111" s="115">
        <f t="shared" si="38"/>
        <v>0</v>
      </c>
      <c r="O111" s="124">
        <f t="shared" si="38"/>
        <v>0</v>
      </c>
      <c r="P111" s="126">
        <f>SUM(P103:P110)</f>
        <v>0</v>
      </c>
      <c r="Q111" s="133">
        <f>SUM(Q103:Q110)</f>
        <v>28</v>
      </c>
    </row>
    <row r="113" spans="1:17" ht="15.75" x14ac:dyDescent="0.25">
      <c r="A113" s="516" t="s">
        <v>100</v>
      </c>
      <c r="B113" s="516"/>
      <c r="C113" s="516"/>
      <c r="D113" s="516"/>
      <c r="E113" s="516"/>
      <c r="F113" s="516"/>
      <c r="G113" s="516"/>
      <c r="H113" s="516"/>
      <c r="I113" s="516"/>
      <c r="J113" s="516"/>
      <c r="K113" s="516"/>
      <c r="L113" s="516"/>
      <c r="M113" s="516"/>
      <c r="N113" s="516"/>
      <c r="O113" s="516"/>
      <c r="P113" s="516"/>
      <c r="Q113" s="516"/>
    </row>
    <row r="114" spans="1:17" ht="15.75" x14ac:dyDescent="0.25">
      <c r="A114" s="516" t="s">
        <v>82</v>
      </c>
      <c r="B114" s="516"/>
      <c r="C114" s="516"/>
      <c r="D114" s="516"/>
      <c r="E114" s="516"/>
      <c r="F114" s="516"/>
      <c r="G114" s="516"/>
      <c r="H114" s="516"/>
      <c r="I114" s="516"/>
      <c r="J114" s="516"/>
      <c r="K114" s="516"/>
      <c r="L114" s="516"/>
      <c r="M114" s="516"/>
      <c r="N114" s="516"/>
      <c r="O114" s="516"/>
      <c r="P114" s="516"/>
      <c r="Q114" s="516"/>
    </row>
    <row r="115" spans="1:17" ht="15.75" thickBot="1" x14ac:dyDescent="0.3">
      <c r="Q115" s="77" t="s">
        <v>1</v>
      </c>
    </row>
    <row r="116" spans="1:17" x14ac:dyDescent="0.25">
      <c r="A116" s="511" t="s">
        <v>2</v>
      </c>
      <c r="B116" s="513" t="s">
        <v>3</v>
      </c>
      <c r="C116" s="517" t="s">
        <v>152</v>
      </c>
      <c r="D116" s="518"/>
      <c r="E116" s="518"/>
      <c r="F116" s="518"/>
      <c r="G116" s="518"/>
      <c r="H116" s="518"/>
      <c r="I116" s="519" t="s">
        <v>84</v>
      </c>
      <c r="J116" s="518">
        <v>2017</v>
      </c>
      <c r="K116" s="518"/>
      <c r="L116" s="518"/>
      <c r="M116" s="518"/>
      <c r="N116" s="518"/>
      <c r="O116" s="518"/>
      <c r="P116" s="519" t="s">
        <v>85</v>
      </c>
      <c r="Q116" s="521" t="s">
        <v>5</v>
      </c>
    </row>
    <row r="117" spans="1:17" x14ac:dyDescent="0.25">
      <c r="A117" s="512"/>
      <c r="B117" s="499"/>
      <c r="C117" s="464" t="s">
        <v>15</v>
      </c>
      <c r="D117" s="464" t="s">
        <v>16</v>
      </c>
      <c r="E117" s="464" t="s">
        <v>17</v>
      </c>
      <c r="F117" s="464" t="s">
        <v>6</v>
      </c>
      <c r="G117" s="464" t="s">
        <v>77</v>
      </c>
      <c r="H117" s="122" t="s">
        <v>78</v>
      </c>
      <c r="I117" s="520"/>
      <c r="J117" s="112" t="s">
        <v>79</v>
      </c>
      <c r="K117" s="464" t="s">
        <v>10</v>
      </c>
      <c r="L117" s="464" t="s">
        <v>11</v>
      </c>
      <c r="M117" s="464" t="s">
        <v>12</v>
      </c>
      <c r="N117" s="464" t="s">
        <v>80</v>
      </c>
      <c r="O117" s="122" t="s">
        <v>81</v>
      </c>
      <c r="P117" s="520"/>
      <c r="Q117" s="522"/>
    </row>
    <row r="118" spans="1:17" ht="15.75" thickBot="1" x14ac:dyDescent="0.3">
      <c r="A118" s="114">
        <v>1</v>
      </c>
      <c r="B118" s="5">
        <v>2</v>
      </c>
      <c r="C118" s="5">
        <v>3</v>
      </c>
      <c r="D118" s="5">
        <v>4</v>
      </c>
      <c r="E118" s="5">
        <v>5</v>
      </c>
      <c r="F118" s="5">
        <v>6</v>
      </c>
      <c r="G118" s="5">
        <v>7</v>
      </c>
      <c r="H118" s="123">
        <v>8</v>
      </c>
      <c r="I118" s="125">
        <v>9</v>
      </c>
      <c r="J118" s="113">
        <v>10</v>
      </c>
      <c r="K118" s="5">
        <v>11</v>
      </c>
      <c r="L118" s="5">
        <v>12</v>
      </c>
      <c r="M118" s="5">
        <v>13</v>
      </c>
      <c r="N118" s="5">
        <v>14</v>
      </c>
      <c r="O118" s="123">
        <v>15</v>
      </c>
      <c r="P118" s="125">
        <v>16</v>
      </c>
      <c r="Q118" s="134">
        <v>17</v>
      </c>
    </row>
    <row r="119" spans="1:17" ht="15.75" thickTop="1" x14ac:dyDescent="0.25">
      <c r="A119" s="85">
        <v>1</v>
      </c>
      <c r="B119" s="7" t="s">
        <v>18</v>
      </c>
      <c r="C119" s="139">
        <f>'ubi jalar'!L9</f>
        <v>1</v>
      </c>
      <c r="D119" s="139">
        <f>'ubi jalar'!M9</f>
        <v>2</v>
      </c>
      <c r="E119" s="139">
        <f>'ubi jalar'!N9</f>
        <v>2</v>
      </c>
      <c r="F119" s="139"/>
      <c r="G119" s="139"/>
      <c r="H119" s="139"/>
      <c r="I119" s="127">
        <f>SUM(C119:H119)</f>
        <v>5</v>
      </c>
      <c r="J119" s="162"/>
      <c r="K119" s="162"/>
      <c r="L119" s="162"/>
      <c r="M119" s="162"/>
      <c r="N119" s="162"/>
      <c r="O119" s="162"/>
      <c r="P119" s="127">
        <f>SUM(J119:O119)</f>
        <v>0</v>
      </c>
      <c r="Q119" s="130">
        <f>SUM(I119,P119)</f>
        <v>5</v>
      </c>
    </row>
    <row r="120" spans="1:17" x14ac:dyDescent="0.25">
      <c r="A120" s="86">
        <v>2</v>
      </c>
      <c r="B120" s="12" t="s">
        <v>19</v>
      </c>
      <c r="C120" s="60">
        <f>'ubi jalar'!L10</f>
        <v>1</v>
      </c>
      <c r="D120" s="60">
        <f>'ubi jalar'!M10</f>
        <v>0</v>
      </c>
      <c r="E120" s="60">
        <f>'ubi jalar'!N10</f>
        <v>0</v>
      </c>
      <c r="F120" s="60"/>
      <c r="G120" s="60"/>
      <c r="H120" s="60"/>
      <c r="I120" s="128">
        <f t="shared" ref="I120:I126" si="39">SUM(C120:H120)</f>
        <v>1</v>
      </c>
      <c r="J120" s="135"/>
      <c r="K120" s="135"/>
      <c r="L120" s="135"/>
      <c r="M120" s="135"/>
      <c r="N120" s="135"/>
      <c r="O120" s="164"/>
      <c r="P120" s="128">
        <f t="shared" ref="P120:P125" si="40">SUM(J120:O120)</f>
        <v>0</v>
      </c>
      <c r="Q120" s="131">
        <f t="shared" ref="Q120:Q126" si="41">SUM(I120,P120)</f>
        <v>1</v>
      </c>
    </row>
    <row r="121" spans="1:17" x14ac:dyDescent="0.25">
      <c r="A121" s="86">
        <v>3</v>
      </c>
      <c r="B121" s="7" t="s">
        <v>20</v>
      </c>
      <c r="C121" s="60">
        <f>'ubi jalar'!L11</f>
        <v>0</v>
      </c>
      <c r="D121" s="60">
        <f>'ubi jalar'!M11</f>
        <v>0</v>
      </c>
      <c r="E121" s="60">
        <f>'ubi jalar'!N11</f>
        <v>0</v>
      </c>
      <c r="F121" s="60"/>
      <c r="G121" s="60"/>
      <c r="H121" s="60"/>
      <c r="I121" s="128">
        <f t="shared" si="39"/>
        <v>0</v>
      </c>
      <c r="J121" s="135"/>
      <c r="K121" s="135"/>
      <c r="L121" s="135"/>
      <c r="M121" s="135"/>
      <c r="N121" s="135"/>
      <c r="O121" s="164"/>
      <c r="P121" s="128">
        <f t="shared" si="40"/>
        <v>0</v>
      </c>
      <c r="Q121" s="131">
        <f t="shared" si="41"/>
        <v>0</v>
      </c>
    </row>
    <row r="122" spans="1:17" x14ac:dyDescent="0.25">
      <c r="A122" s="87">
        <v>4</v>
      </c>
      <c r="B122" s="15" t="s">
        <v>21</v>
      </c>
      <c r="C122" s="60">
        <f>'ubi jalar'!L12</f>
        <v>1</v>
      </c>
      <c r="D122" s="60">
        <f>'ubi jalar'!M12</f>
        <v>1</v>
      </c>
      <c r="E122" s="60">
        <f>'ubi jalar'!N12</f>
        <v>2</v>
      </c>
      <c r="F122" s="60"/>
      <c r="G122" s="60"/>
      <c r="H122" s="60"/>
      <c r="I122" s="128">
        <f t="shared" si="39"/>
        <v>4</v>
      </c>
      <c r="J122" s="135"/>
      <c r="K122" s="135"/>
      <c r="L122" s="135"/>
      <c r="M122" s="135"/>
      <c r="N122" s="135"/>
      <c r="O122" s="164"/>
      <c r="P122" s="128">
        <f t="shared" si="40"/>
        <v>0</v>
      </c>
      <c r="Q122" s="131">
        <f t="shared" si="41"/>
        <v>4</v>
      </c>
    </row>
    <row r="123" spans="1:17" x14ac:dyDescent="0.25">
      <c r="A123" s="87">
        <v>5</v>
      </c>
      <c r="B123" s="19" t="s">
        <v>22</v>
      </c>
      <c r="C123" s="60">
        <f>'ubi jalar'!L13</f>
        <v>0</v>
      </c>
      <c r="D123" s="60">
        <f>'ubi jalar'!M13</f>
        <v>0</v>
      </c>
      <c r="E123" s="60">
        <f>'ubi jalar'!N13</f>
        <v>0</v>
      </c>
      <c r="F123" s="60"/>
      <c r="G123" s="60"/>
      <c r="H123" s="60"/>
      <c r="I123" s="128">
        <f t="shared" si="39"/>
        <v>0</v>
      </c>
      <c r="J123" s="135"/>
      <c r="K123" s="135"/>
      <c r="L123" s="135"/>
      <c r="M123" s="135"/>
      <c r="N123" s="135"/>
      <c r="O123" s="164"/>
      <c r="P123" s="128">
        <f t="shared" si="40"/>
        <v>0</v>
      </c>
      <c r="Q123" s="131">
        <f t="shared" si="41"/>
        <v>0</v>
      </c>
    </row>
    <row r="124" spans="1:17" x14ac:dyDescent="0.25">
      <c r="A124" s="87">
        <v>6</v>
      </c>
      <c r="B124" s="19" t="s">
        <v>23</v>
      </c>
      <c r="C124" s="60">
        <f>'ubi jalar'!L14</f>
        <v>0</v>
      </c>
      <c r="D124" s="60">
        <f>'ubi jalar'!M14</f>
        <v>0</v>
      </c>
      <c r="E124" s="60">
        <f>'ubi jalar'!N14</f>
        <v>0</v>
      </c>
      <c r="F124" s="60"/>
      <c r="G124" s="60"/>
      <c r="H124" s="60"/>
      <c r="I124" s="128">
        <f t="shared" si="39"/>
        <v>0</v>
      </c>
      <c r="J124" s="135"/>
      <c r="K124" s="135"/>
      <c r="L124" s="135"/>
      <c r="M124" s="135"/>
      <c r="N124" s="135"/>
      <c r="O124" s="164"/>
      <c r="P124" s="128">
        <f t="shared" si="40"/>
        <v>0</v>
      </c>
      <c r="Q124" s="131">
        <f t="shared" si="41"/>
        <v>0</v>
      </c>
    </row>
    <row r="125" spans="1:17" x14ac:dyDescent="0.25">
      <c r="A125" s="87">
        <v>7</v>
      </c>
      <c r="B125" s="19" t="s">
        <v>24</v>
      </c>
      <c r="C125" s="60">
        <f>'ubi jalar'!L15</f>
        <v>0</v>
      </c>
      <c r="D125" s="60">
        <f>'ubi jalar'!M15</f>
        <v>0</v>
      </c>
      <c r="E125" s="60">
        <f>'ubi jalar'!N15</f>
        <v>0</v>
      </c>
      <c r="F125" s="60"/>
      <c r="G125" s="60"/>
      <c r="H125" s="60"/>
      <c r="I125" s="128">
        <f t="shared" si="39"/>
        <v>0</v>
      </c>
      <c r="J125" s="135"/>
      <c r="K125" s="135"/>
      <c r="L125" s="135"/>
      <c r="M125" s="135"/>
      <c r="N125" s="135"/>
      <c r="O125" s="164"/>
      <c r="P125" s="128">
        <f t="shared" si="40"/>
        <v>0</v>
      </c>
      <c r="Q125" s="131">
        <f t="shared" si="41"/>
        <v>0</v>
      </c>
    </row>
    <row r="126" spans="1:17" ht="15.75" thickBot="1" x14ac:dyDescent="0.3">
      <c r="A126" s="88">
        <v>8</v>
      </c>
      <c r="B126" s="15" t="s">
        <v>25</v>
      </c>
      <c r="C126" s="140">
        <f>'ubi jalar'!L16</f>
        <v>1</v>
      </c>
      <c r="D126" s="140">
        <f>'ubi jalar'!M16</f>
        <v>0</v>
      </c>
      <c r="E126" s="140">
        <f>'ubi jalar'!N16</f>
        <v>0</v>
      </c>
      <c r="F126" s="145"/>
      <c r="G126" s="140"/>
      <c r="H126" s="140"/>
      <c r="I126" s="129">
        <f t="shared" si="39"/>
        <v>1</v>
      </c>
      <c r="J126" s="163"/>
      <c r="K126" s="163"/>
      <c r="L126" s="163"/>
      <c r="M126" s="163"/>
      <c r="N126" s="163"/>
      <c r="O126" s="163"/>
      <c r="P126" s="129">
        <f>SUM(J126:O126)</f>
        <v>0</v>
      </c>
      <c r="Q126" s="132">
        <f t="shared" si="41"/>
        <v>1</v>
      </c>
    </row>
    <row r="127" spans="1:17" ht="16.5" thickTop="1" thickBot="1" x14ac:dyDescent="0.3">
      <c r="A127" s="514" t="s">
        <v>26</v>
      </c>
      <c r="B127" s="515"/>
      <c r="C127" s="115">
        <f t="shared" ref="C127:H127" si="42">SUM(C119:C126)</f>
        <v>4</v>
      </c>
      <c r="D127" s="115">
        <f t="shared" si="42"/>
        <v>3</v>
      </c>
      <c r="E127" s="115">
        <f t="shared" si="42"/>
        <v>4</v>
      </c>
      <c r="F127" s="115">
        <f t="shared" si="42"/>
        <v>0</v>
      </c>
      <c r="G127" s="115">
        <f t="shared" si="42"/>
        <v>0</v>
      </c>
      <c r="H127" s="124">
        <f t="shared" si="42"/>
        <v>0</v>
      </c>
      <c r="I127" s="126">
        <f>SUM(I119:I126)</f>
        <v>11</v>
      </c>
      <c r="J127" s="136">
        <f t="shared" ref="J127:O127" si="43">SUM(J119:J126)</f>
        <v>0</v>
      </c>
      <c r="K127" s="115">
        <f t="shared" si="43"/>
        <v>0</v>
      </c>
      <c r="L127" s="115">
        <f t="shared" si="43"/>
        <v>0</v>
      </c>
      <c r="M127" s="115">
        <f t="shared" si="43"/>
        <v>0</v>
      </c>
      <c r="N127" s="115">
        <f t="shared" si="43"/>
        <v>0</v>
      </c>
      <c r="O127" s="124">
        <f t="shared" si="43"/>
        <v>0</v>
      </c>
      <c r="P127" s="126">
        <f>SUM(P119:P126)</f>
        <v>0</v>
      </c>
      <c r="Q127" s="133">
        <f>SUM(Q119:Q126)</f>
        <v>11</v>
      </c>
    </row>
    <row r="129" spans="1:17" ht="15.75" x14ac:dyDescent="0.25">
      <c r="A129" s="516" t="s">
        <v>101</v>
      </c>
      <c r="B129" s="516"/>
      <c r="C129" s="516"/>
      <c r="D129" s="516"/>
      <c r="E129" s="516"/>
      <c r="F129" s="516"/>
      <c r="G129" s="516"/>
      <c r="H129" s="516"/>
      <c r="I129" s="516"/>
      <c r="J129" s="516"/>
      <c r="K129" s="516"/>
      <c r="L129" s="516"/>
      <c r="M129" s="516"/>
      <c r="N129" s="516"/>
      <c r="O129" s="516"/>
      <c r="P129" s="516"/>
      <c r="Q129" s="516"/>
    </row>
    <row r="130" spans="1:17" ht="15.75" x14ac:dyDescent="0.25">
      <c r="A130" s="516" t="s">
        <v>82</v>
      </c>
      <c r="B130" s="516"/>
      <c r="C130" s="516"/>
      <c r="D130" s="516"/>
      <c r="E130" s="516"/>
      <c r="F130" s="516"/>
      <c r="G130" s="516"/>
      <c r="H130" s="516"/>
      <c r="I130" s="516"/>
      <c r="J130" s="516"/>
      <c r="K130" s="516"/>
      <c r="L130" s="516"/>
      <c r="M130" s="516"/>
      <c r="N130" s="516"/>
      <c r="O130" s="516"/>
      <c r="P130" s="516"/>
      <c r="Q130" s="516"/>
    </row>
    <row r="131" spans="1:17" ht="15.75" thickBot="1" x14ac:dyDescent="0.3">
      <c r="Q131" s="77" t="s">
        <v>1</v>
      </c>
    </row>
    <row r="132" spans="1:17" x14ac:dyDescent="0.25">
      <c r="A132" s="511" t="s">
        <v>2</v>
      </c>
      <c r="B132" s="513" t="s">
        <v>3</v>
      </c>
      <c r="C132" s="517" t="s">
        <v>152</v>
      </c>
      <c r="D132" s="518"/>
      <c r="E132" s="518"/>
      <c r="F132" s="518"/>
      <c r="G132" s="518"/>
      <c r="H132" s="518"/>
      <c r="I132" s="519" t="s">
        <v>84</v>
      </c>
      <c r="J132" s="518">
        <v>2017</v>
      </c>
      <c r="K132" s="518"/>
      <c r="L132" s="518"/>
      <c r="M132" s="518"/>
      <c r="N132" s="518"/>
      <c r="O132" s="518"/>
      <c r="P132" s="519" t="s">
        <v>85</v>
      </c>
      <c r="Q132" s="521" t="s">
        <v>5</v>
      </c>
    </row>
    <row r="133" spans="1:17" x14ac:dyDescent="0.25">
      <c r="A133" s="512"/>
      <c r="B133" s="499"/>
      <c r="C133" s="464" t="s">
        <v>15</v>
      </c>
      <c r="D133" s="464" t="s">
        <v>16</v>
      </c>
      <c r="E133" s="464" t="s">
        <v>17</v>
      </c>
      <c r="F133" s="464" t="s">
        <v>6</v>
      </c>
      <c r="G133" s="464" t="s">
        <v>77</v>
      </c>
      <c r="H133" s="122" t="s">
        <v>78</v>
      </c>
      <c r="I133" s="520"/>
      <c r="J133" s="112" t="s">
        <v>79</v>
      </c>
      <c r="K133" s="464" t="s">
        <v>10</v>
      </c>
      <c r="L133" s="464" t="s">
        <v>11</v>
      </c>
      <c r="M133" s="464" t="s">
        <v>12</v>
      </c>
      <c r="N133" s="464" t="s">
        <v>80</v>
      </c>
      <c r="O133" s="122" t="s">
        <v>81</v>
      </c>
      <c r="P133" s="520"/>
      <c r="Q133" s="522"/>
    </row>
    <row r="134" spans="1:17" ht="15.75" thickBot="1" x14ac:dyDescent="0.3">
      <c r="A134" s="114">
        <v>1</v>
      </c>
      <c r="B134" s="5">
        <v>2</v>
      </c>
      <c r="C134" s="5">
        <v>3</v>
      </c>
      <c r="D134" s="5">
        <v>4</v>
      </c>
      <c r="E134" s="5">
        <v>5</v>
      </c>
      <c r="F134" s="5">
        <v>6</v>
      </c>
      <c r="G134" s="5">
        <v>7</v>
      </c>
      <c r="H134" s="123">
        <v>8</v>
      </c>
      <c r="I134" s="125">
        <v>9</v>
      </c>
      <c r="J134" s="113">
        <v>10</v>
      </c>
      <c r="K134" s="5">
        <v>11</v>
      </c>
      <c r="L134" s="5">
        <v>12</v>
      </c>
      <c r="M134" s="5">
        <v>13</v>
      </c>
      <c r="N134" s="5">
        <v>14</v>
      </c>
      <c r="O134" s="123">
        <v>15</v>
      </c>
      <c r="P134" s="125">
        <v>16</v>
      </c>
      <c r="Q134" s="134">
        <v>17</v>
      </c>
    </row>
    <row r="135" spans="1:17" ht="15.75" thickTop="1" x14ac:dyDescent="0.25">
      <c r="A135" s="85">
        <v>1</v>
      </c>
      <c r="B135" s="7" t="s">
        <v>18</v>
      </c>
      <c r="C135" s="139">
        <f>'kc ijo'!L9</f>
        <v>0</v>
      </c>
      <c r="D135" s="139">
        <f>'kc ijo'!M9</f>
        <v>0</v>
      </c>
      <c r="E135" s="139">
        <f>'kc ijo'!N9</f>
        <v>2</v>
      </c>
      <c r="F135" s="139"/>
      <c r="G135" s="139"/>
      <c r="H135" s="139"/>
      <c r="I135" s="127">
        <f>SUM(C135:H135)</f>
        <v>2</v>
      </c>
      <c r="J135" s="162"/>
      <c r="K135" s="162"/>
      <c r="L135" s="162"/>
      <c r="M135" s="162"/>
      <c r="N135" s="162"/>
      <c r="O135" s="162"/>
      <c r="P135" s="127">
        <f>SUM(J135:O135)</f>
        <v>0</v>
      </c>
      <c r="Q135" s="130">
        <f>SUM(I135,P135)</f>
        <v>2</v>
      </c>
    </row>
    <row r="136" spans="1:17" x14ac:dyDescent="0.25">
      <c r="A136" s="86">
        <v>2</v>
      </c>
      <c r="B136" s="12" t="s">
        <v>19</v>
      </c>
      <c r="C136" s="60">
        <f>'kc ijo'!L10</f>
        <v>0</v>
      </c>
      <c r="D136" s="60">
        <f>'kc ijo'!M10</f>
        <v>0</v>
      </c>
      <c r="E136" s="60">
        <f>'kc ijo'!N10</f>
        <v>0</v>
      </c>
      <c r="F136" s="60"/>
      <c r="G136" s="60"/>
      <c r="H136" s="60"/>
      <c r="I136" s="128">
        <f t="shared" ref="I136:I142" si="44">SUM(C136:H136)</f>
        <v>0</v>
      </c>
      <c r="J136" s="135"/>
      <c r="K136" s="135"/>
      <c r="L136" s="135"/>
      <c r="M136" s="135"/>
      <c r="N136" s="135"/>
      <c r="O136" s="164"/>
      <c r="P136" s="128">
        <f t="shared" ref="P136:P141" si="45">SUM(J136:O136)</f>
        <v>0</v>
      </c>
      <c r="Q136" s="131">
        <f t="shared" ref="Q136:Q142" si="46">SUM(I136,P136)</f>
        <v>0</v>
      </c>
    </row>
    <row r="137" spans="1:17" x14ac:dyDescent="0.25">
      <c r="A137" s="86">
        <v>3</v>
      </c>
      <c r="B137" s="7" t="s">
        <v>20</v>
      </c>
      <c r="C137" s="60">
        <f>'kc ijo'!L11</f>
        <v>0</v>
      </c>
      <c r="D137" s="60">
        <f>'kc ijo'!M11</f>
        <v>0</v>
      </c>
      <c r="E137" s="60">
        <f>'kc ijo'!N11</f>
        <v>0</v>
      </c>
      <c r="F137" s="60"/>
      <c r="G137" s="60"/>
      <c r="H137" s="60"/>
      <c r="I137" s="128">
        <f t="shared" si="44"/>
        <v>0</v>
      </c>
      <c r="J137" s="135"/>
      <c r="K137" s="135"/>
      <c r="L137" s="135"/>
      <c r="M137" s="135"/>
      <c r="N137" s="135"/>
      <c r="O137" s="164"/>
      <c r="P137" s="128">
        <f t="shared" si="45"/>
        <v>0</v>
      </c>
      <c r="Q137" s="131">
        <f t="shared" si="46"/>
        <v>0</v>
      </c>
    </row>
    <row r="138" spans="1:17" x14ac:dyDescent="0.25">
      <c r="A138" s="87">
        <v>4</v>
      </c>
      <c r="B138" s="15" t="s">
        <v>21</v>
      </c>
      <c r="C138" s="60">
        <f>'kc ijo'!L12</f>
        <v>1</v>
      </c>
      <c r="D138" s="60">
        <f>'kc ijo'!M12</f>
        <v>0</v>
      </c>
      <c r="E138" s="60">
        <f>'kc ijo'!N12</f>
        <v>2</v>
      </c>
      <c r="F138" s="60"/>
      <c r="G138" s="60"/>
      <c r="H138" s="60"/>
      <c r="I138" s="128">
        <f t="shared" si="44"/>
        <v>3</v>
      </c>
      <c r="J138" s="135"/>
      <c r="K138" s="135"/>
      <c r="L138" s="135"/>
      <c r="M138" s="135"/>
      <c r="N138" s="135"/>
      <c r="O138" s="164"/>
      <c r="P138" s="128">
        <f t="shared" si="45"/>
        <v>0</v>
      </c>
      <c r="Q138" s="131">
        <f t="shared" si="46"/>
        <v>3</v>
      </c>
    </row>
    <row r="139" spans="1:17" x14ac:dyDescent="0.25">
      <c r="A139" s="87">
        <v>5</v>
      </c>
      <c r="B139" s="19" t="s">
        <v>22</v>
      </c>
      <c r="C139" s="60">
        <f>'kc ijo'!L13</f>
        <v>0</v>
      </c>
      <c r="D139" s="60">
        <f>'kc ijo'!M13</f>
        <v>0</v>
      </c>
      <c r="E139" s="60">
        <f>'kc ijo'!N13</f>
        <v>0</v>
      </c>
      <c r="F139" s="60"/>
      <c r="G139" s="60"/>
      <c r="H139" s="60"/>
      <c r="I139" s="128">
        <f t="shared" si="44"/>
        <v>0</v>
      </c>
      <c r="J139" s="135"/>
      <c r="K139" s="135"/>
      <c r="L139" s="135"/>
      <c r="M139" s="135"/>
      <c r="N139" s="135"/>
      <c r="O139" s="164"/>
      <c r="P139" s="128">
        <f t="shared" si="45"/>
        <v>0</v>
      </c>
      <c r="Q139" s="131">
        <f t="shared" si="46"/>
        <v>0</v>
      </c>
    </row>
    <row r="140" spans="1:17" x14ac:dyDescent="0.25">
      <c r="A140" s="87">
        <v>6</v>
      </c>
      <c r="B140" s="19" t="s">
        <v>23</v>
      </c>
      <c r="C140" s="60">
        <f>'kc ijo'!L14</f>
        <v>0</v>
      </c>
      <c r="D140" s="60">
        <f>'kc ijo'!M14</f>
        <v>0</v>
      </c>
      <c r="E140" s="60">
        <f>'kc ijo'!N14</f>
        <v>0</v>
      </c>
      <c r="F140" s="60"/>
      <c r="G140" s="60"/>
      <c r="H140" s="60"/>
      <c r="I140" s="128">
        <f t="shared" si="44"/>
        <v>0</v>
      </c>
      <c r="J140" s="135"/>
      <c r="K140" s="135"/>
      <c r="L140" s="135"/>
      <c r="M140" s="135"/>
      <c r="N140" s="135"/>
      <c r="O140" s="164"/>
      <c r="P140" s="128">
        <f t="shared" si="45"/>
        <v>0</v>
      </c>
      <c r="Q140" s="131">
        <f t="shared" si="46"/>
        <v>0</v>
      </c>
    </row>
    <row r="141" spans="1:17" x14ac:dyDescent="0.25">
      <c r="A141" s="87">
        <v>7</v>
      </c>
      <c r="B141" s="19" t="s">
        <v>24</v>
      </c>
      <c r="C141" s="60">
        <f>'kc ijo'!L15</f>
        <v>0</v>
      </c>
      <c r="D141" s="60">
        <f>'kc ijo'!M15</f>
        <v>0</v>
      </c>
      <c r="E141" s="60">
        <f>'kc ijo'!N15</f>
        <v>0</v>
      </c>
      <c r="F141" s="60"/>
      <c r="G141" s="60"/>
      <c r="H141" s="60"/>
      <c r="I141" s="128">
        <f t="shared" si="44"/>
        <v>0</v>
      </c>
      <c r="J141" s="135"/>
      <c r="K141" s="135"/>
      <c r="L141" s="135"/>
      <c r="M141" s="135"/>
      <c r="N141" s="135"/>
      <c r="O141" s="164"/>
      <c r="P141" s="128">
        <f t="shared" si="45"/>
        <v>0</v>
      </c>
      <c r="Q141" s="131">
        <f t="shared" si="46"/>
        <v>0</v>
      </c>
    </row>
    <row r="142" spans="1:17" ht="15.75" thickBot="1" x14ac:dyDescent="0.3">
      <c r="A142" s="88">
        <v>8</v>
      </c>
      <c r="B142" s="15" t="s">
        <v>25</v>
      </c>
      <c r="C142" s="140">
        <f>'kc ijo'!L16</f>
        <v>0</v>
      </c>
      <c r="D142" s="140">
        <f>'kc ijo'!M16</f>
        <v>0</v>
      </c>
      <c r="E142" s="140">
        <f>'kc ijo'!N16</f>
        <v>0</v>
      </c>
      <c r="F142" s="145"/>
      <c r="G142" s="140"/>
      <c r="H142" s="140"/>
      <c r="I142" s="129">
        <f t="shared" si="44"/>
        <v>0</v>
      </c>
      <c r="J142" s="163"/>
      <c r="K142" s="163"/>
      <c r="L142" s="163"/>
      <c r="M142" s="163"/>
      <c r="N142" s="163"/>
      <c r="O142" s="163"/>
      <c r="P142" s="129">
        <f>SUM(J142:O142)</f>
        <v>0</v>
      </c>
      <c r="Q142" s="132">
        <f t="shared" si="46"/>
        <v>0</v>
      </c>
    </row>
    <row r="143" spans="1:17" ht="16.5" thickTop="1" thickBot="1" x14ac:dyDescent="0.3">
      <c r="A143" s="514" t="s">
        <v>26</v>
      </c>
      <c r="B143" s="515"/>
      <c r="C143" s="115">
        <f t="shared" ref="C143:H143" si="47">SUM(C135:C142)</f>
        <v>1</v>
      </c>
      <c r="D143" s="115">
        <f t="shared" si="47"/>
        <v>0</v>
      </c>
      <c r="E143" s="115">
        <f t="shared" si="47"/>
        <v>4</v>
      </c>
      <c r="F143" s="115">
        <f t="shared" si="47"/>
        <v>0</v>
      </c>
      <c r="G143" s="115">
        <f t="shared" si="47"/>
        <v>0</v>
      </c>
      <c r="H143" s="124">
        <f t="shared" si="47"/>
        <v>0</v>
      </c>
      <c r="I143" s="126">
        <f>SUM(I135:I142)</f>
        <v>5</v>
      </c>
      <c r="J143" s="136">
        <f t="shared" ref="J143:O143" si="48">SUM(J135:J142)</f>
        <v>0</v>
      </c>
      <c r="K143" s="115">
        <f t="shared" si="48"/>
        <v>0</v>
      </c>
      <c r="L143" s="115">
        <f t="shared" si="48"/>
        <v>0</v>
      </c>
      <c r="M143" s="115">
        <f t="shared" si="48"/>
        <v>0</v>
      </c>
      <c r="N143" s="115">
        <f t="shared" si="48"/>
        <v>0</v>
      </c>
      <c r="O143" s="124">
        <f t="shared" si="48"/>
        <v>0</v>
      </c>
      <c r="P143" s="126">
        <f>SUM(P135:P142)</f>
        <v>0</v>
      </c>
      <c r="Q143" s="133">
        <f>SUM(Q135:Q142)</f>
        <v>5</v>
      </c>
    </row>
    <row r="147" spans="1:17" ht="15.75" x14ac:dyDescent="0.25">
      <c r="A147" s="516" t="s">
        <v>123</v>
      </c>
      <c r="B147" s="516"/>
      <c r="C147" s="516"/>
      <c r="D147" s="516"/>
      <c r="E147" s="516"/>
      <c r="F147" s="516"/>
      <c r="G147" s="516"/>
      <c r="H147" s="516"/>
      <c r="I147" s="516"/>
      <c r="J147" s="516"/>
      <c r="K147" s="516"/>
      <c r="L147" s="516"/>
      <c r="M147" s="516"/>
      <c r="N147" s="516"/>
      <c r="O147" s="516"/>
      <c r="P147" s="516"/>
      <c r="Q147" s="516"/>
    </row>
    <row r="148" spans="1:17" ht="15.75" x14ac:dyDescent="0.25">
      <c r="A148" s="516" t="s">
        <v>82</v>
      </c>
      <c r="B148" s="516"/>
      <c r="C148" s="516"/>
      <c r="D148" s="516"/>
      <c r="E148" s="516"/>
      <c r="F148" s="516"/>
      <c r="G148" s="516"/>
      <c r="H148" s="516"/>
      <c r="I148" s="516"/>
      <c r="J148" s="516"/>
      <c r="K148" s="516"/>
      <c r="L148" s="516"/>
      <c r="M148" s="516"/>
      <c r="N148" s="516"/>
      <c r="O148" s="516"/>
      <c r="P148" s="516"/>
      <c r="Q148" s="516"/>
    </row>
    <row r="149" spans="1:17" ht="15.75" thickBot="1" x14ac:dyDescent="0.3">
      <c r="Q149" s="77" t="s">
        <v>1</v>
      </c>
    </row>
    <row r="150" spans="1:17" x14ac:dyDescent="0.25">
      <c r="A150" s="511" t="s">
        <v>2</v>
      </c>
      <c r="B150" s="513" t="s">
        <v>3</v>
      </c>
      <c r="C150" s="517" t="s">
        <v>114</v>
      </c>
      <c r="D150" s="518"/>
      <c r="E150" s="518"/>
      <c r="F150" s="518"/>
      <c r="G150" s="518"/>
      <c r="H150" s="518"/>
      <c r="I150" s="519" t="s">
        <v>84</v>
      </c>
      <c r="J150" s="518">
        <v>2016</v>
      </c>
      <c r="K150" s="518"/>
      <c r="L150" s="518"/>
      <c r="M150" s="518"/>
      <c r="N150" s="518"/>
      <c r="O150" s="518"/>
      <c r="P150" s="519" t="s">
        <v>85</v>
      </c>
      <c r="Q150" s="521" t="s">
        <v>5</v>
      </c>
    </row>
    <row r="151" spans="1:17" x14ac:dyDescent="0.25">
      <c r="A151" s="512"/>
      <c r="B151" s="499"/>
      <c r="C151" s="462" t="s">
        <v>15</v>
      </c>
      <c r="D151" s="462" t="s">
        <v>16</v>
      </c>
      <c r="E151" s="462" t="s">
        <v>17</v>
      </c>
      <c r="F151" s="462" t="s">
        <v>6</v>
      </c>
      <c r="G151" s="462" t="s">
        <v>77</v>
      </c>
      <c r="H151" s="122" t="s">
        <v>78</v>
      </c>
      <c r="I151" s="520"/>
      <c r="J151" s="112" t="s">
        <v>79</v>
      </c>
      <c r="K151" s="462" t="s">
        <v>10</v>
      </c>
      <c r="L151" s="462" t="s">
        <v>11</v>
      </c>
      <c r="M151" s="462" t="s">
        <v>12</v>
      </c>
      <c r="N151" s="462" t="s">
        <v>80</v>
      </c>
      <c r="O151" s="122" t="s">
        <v>81</v>
      </c>
      <c r="P151" s="520"/>
      <c r="Q151" s="522"/>
    </row>
    <row r="152" spans="1:17" ht="15.75" thickBot="1" x14ac:dyDescent="0.3">
      <c r="A152" s="114">
        <v>1</v>
      </c>
      <c r="B152" s="5">
        <v>2</v>
      </c>
      <c r="C152" s="5">
        <v>3</v>
      </c>
      <c r="D152" s="5">
        <v>4</v>
      </c>
      <c r="E152" s="5">
        <v>5</v>
      </c>
      <c r="F152" s="5">
        <v>6</v>
      </c>
      <c r="G152" s="5">
        <v>7</v>
      </c>
      <c r="H152" s="123">
        <v>8</v>
      </c>
      <c r="I152" s="125">
        <v>9</v>
      </c>
      <c r="J152" s="113">
        <v>10</v>
      </c>
      <c r="K152" s="5">
        <v>11</v>
      </c>
      <c r="L152" s="5">
        <v>12</v>
      </c>
      <c r="M152" s="5">
        <v>13</v>
      </c>
      <c r="N152" s="5">
        <v>14</v>
      </c>
      <c r="O152" s="123">
        <v>15</v>
      </c>
      <c r="P152" s="125">
        <v>16</v>
      </c>
      <c r="Q152" s="134">
        <v>17</v>
      </c>
    </row>
    <row r="153" spans="1:17" ht="15.75" thickTop="1" x14ac:dyDescent="0.25">
      <c r="A153" s="85">
        <v>1</v>
      </c>
      <c r="B153" s="7" t="s">
        <v>18</v>
      </c>
      <c r="C153" s="139">
        <v>0</v>
      </c>
      <c r="D153" s="139">
        <v>1</v>
      </c>
      <c r="E153" s="139">
        <v>0</v>
      </c>
      <c r="F153" s="139">
        <f>'padi sawah'!C42</f>
        <v>0</v>
      </c>
      <c r="G153" s="139">
        <f>'padi sawah'!D42</f>
        <v>0</v>
      </c>
      <c r="H153" s="139">
        <f>'padi sawah'!E42</f>
        <v>0</v>
      </c>
      <c r="I153" s="127">
        <f>SUM(C153:H153)</f>
        <v>1</v>
      </c>
      <c r="J153" s="162">
        <f>'padi sawah'!F42</f>
        <v>7</v>
      </c>
      <c r="K153" s="162">
        <f>'padi sawah'!G42</f>
        <v>248</v>
      </c>
      <c r="L153" s="162">
        <f>'padi sawah'!H42</f>
        <v>0</v>
      </c>
      <c r="M153" s="162">
        <f>'padi sawah'!I42</f>
        <v>1</v>
      </c>
      <c r="N153" s="162">
        <f>'padi sawah'!J42</f>
        <v>3</v>
      </c>
      <c r="O153" s="162">
        <f>'padi sawah'!K42</f>
        <v>62</v>
      </c>
      <c r="P153" s="127">
        <f>SUM(J153:O153)</f>
        <v>321</v>
      </c>
      <c r="Q153" s="130">
        <f>SUM(I153,P153)</f>
        <v>322</v>
      </c>
    </row>
    <row r="154" spans="1:17" x14ac:dyDescent="0.25">
      <c r="A154" s="86">
        <v>2</v>
      </c>
      <c r="B154" s="12" t="s">
        <v>19</v>
      </c>
      <c r="C154" s="60">
        <v>0</v>
      </c>
      <c r="D154" s="60">
        <v>0</v>
      </c>
      <c r="E154" s="60">
        <v>8</v>
      </c>
      <c r="F154" s="60">
        <f>'padi sawah'!C43</f>
        <v>0</v>
      </c>
      <c r="G154" s="60">
        <f>'padi sawah'!D43</f>
        <v>4</v>
      </c>
      <c r="H154" s="60">
        <f>'padi sawah'!E43</f>
        <v>14</v>
      </c>
      <c r="I154" s="128">
        <f t="shared" ref="I154:I160" si="49">SUM(C154:H154)</f>
        <v>26</v>
      </c>
      <c r="J154" s="135">
        <f>'padi sawah'!F43</f>
        <v>92</v>
      </c>
      <c r="K154" s="60">
        <f>'padi sawah'!G43</f>
        <v>101</v>
      </c>
      <c r="L154" s="135">
        <f>'padi sawah'!H43</f>
        <v>4</v>
      </c>
      <c r="M154" s="135">
        <f>'padi sawah'!I43</f>
        <v>13</v>
      </c>
      <c r="N154" s="135">
        <f>'padi sawah'!J43</f>
        <v>21</v>
      </c>
      <c r="O154" s="164">
        <f>'padi sawah'!K43</f>
        <v>27</v>
      </c>
      <c r="P154" s="128">
        <f t="shared" ref="P154:P159" si="50">SUM(J154:O154)</f>
        <v>258</v>
      </c>
      <c r="Q154" s="131">
        <f t="shared" ref="Q154:Q160" si="51">SUM(I154,P154)</f>
        <v>284</v>
      </c>
    </row>
    <row r="155" spans="1:17" x14ac:dyDescent="0.25">
      <c r="A155" s="86">
        <v>3</v>
      </c>
      <c r="B155" s="7" t="s">
        <v>20</v>
      </c>
      <c r="C155" s="60">
        <v>0</v>
      </c>
      <c r="D155" s="60">
        <v>0</v>
      </c>
      <c r="E155" s="60">
        <v>0</v>
      </c>
      <c r="F155" s="60">
        <f>'padi sawah'!C44</f>
        <v>0</v>
      </c>
      <c r="G155" s="60">
        <f>'padi sawah'!D44</f>
        <v>0</v>
      </c>
      <c r="H155" s="60">
        <f>'padi sawah'!E44</f>
        <v>0</v>
      </c>
      <c r="I155" s="128">
        <f t="shared" si="49"/>
        <v>0</v>
      </c>
      <c r="J155" s="135">
        <f>'padi sawah'!F44</f>
        <v>10</v>
      </c>
      <c r="K155" s="60">
        <f>'padi sawah'!G44</f>
        <v>15</v>
      </c>
      <c r="L155" s="135">
        <f>'padi sawah'!H44</f>
        <v>0</v>
      </c>
      <c r="M155" s="135">
        <f>'padi sawah'!I44</f>
        <v>5</v>
      </c>
      <c r="N155" s="135">
        <f>'padi sawah'!J44</f>
        <v>10</v>
      </c>
      <c r="O155" s="164">
        <f>'padi sawah'!K44</f>
        <v>0</v>
      </c>
      <c r="P155" s="128">
        <f t="shared" si="50"/>
        <v>40</v>
      </c>
      <c r="Q155" s="131">
        <f t="shared" si="51"/>
        <v>40</v>
      </c>
    </row>
    <row r="156" spans="1:17" x14ac:dyDescent="0.25">
      <c r="A156" s="87">
        <v>4</v>
      </c>
      <c r="B156" s="15" t="s">
        <v>21</v>
      </c>
      <c r="C156" s="60">
        <v>0</v>
      </c>
      <c r="D156" s="60">
        <v>2</v>
      </c>
      <c r="E156" s="60">
        <v>0</v>
      </c>
      <c r="F156" s="60">
        <f>'padi sawah'!C45</f>
        <v>1</v>
      </c>
      <c r="G156" s="60">
        <f>'padi sawah'!D45</f>
        <v>2</v>
      </c>
      <c r="H156" s="60">
        <f>'padi sawah'!E45</f>
        <v>16</v>
      </c>
      <c r="I156" s="128">
        <f t="shared" si="49"/>
        <v>21</v>
      </c>
      <c r="J156" s="135">
        <f>'padi sawah'!F45</f>
        <v>182</v>
      </c>
      <c r="K156" s="60">
        <f>'padi sawah'!G45</f>
        <v>0</v>
      </c>
      <c r="L156" s="135">
        <f>'padi sawah'!H45</f>
        <v>1</v>
      </c>
      <c r="M156" s="135">
        <f>'padi sawah'!I45</f>
        <v>0</v>
      </c>
      <c r="N156" s="135">
        <f>'padi sawah'!J45</f>
        <v>21</v>
      </c>
      <c r="O156" s="164">
        <f>'padi sawah'!K45</f>
        <v>11</v>
      </c>
      <c r="P156" s="128">
        <f t="shared" si="50"/>
        <v>215</v>
      </c>
      <c r="Q156" s="131">
        <f t="shared" si="51"/>
        <v>236</v>
      </c>
    </row>
    <row r="157" spans="1:17" x14ac:dyDescent="0.25">
      <c r="A157" s="87">
        <v>5</v>
      </c>
      <c r="B157" s="19" t="s">
        <v>22</v>
      </c>
      <c r="C157" s="60">
        <v>0</v>
      </c>
      <c r="D157" s="60">
        <v>0</v>
      </c>
      <c r="E157" s="60">
        <v>0</v>
      </c>
      <c r="F157" s="60">
        <f>'padi sawah'!C46</f>
        <v>0</v>
      </c>
      <c r="G157" s="60">
        <f>'padi sawah'!D46</f>
        <v>0</v>
      </c>
      <c r="H157" s="60">
        <f>'padi sawah'!E46</f>
        <v>0</v>
      </c>
      <c r="I157" s="128">
        <f t="shared" si="49"/>
        <v>0</v>
      </c>
      <c r="J157" s="135">
        <f>'padi sawah'!F46</f>
        <v>45</v>
      </c>
      <c r="K157" s="60">
        <f>'padi sawah'!G46</f>
        <v>119</v>
      </c>
      <c r="L157" s="135">
        <f>'padi sawah'!H46</f>
        <v>0</v>
      </c>
      <c r="M157" s="135">
        <f>'padi sawah'!I46</f>
        <v>0</v>
      </c>
      <c r="N157" s="135">
        <f>'padi sawah'!J46</f>
        <v>20</v>
      </c>
      <c r="O157" s="164">
        <f>'padi sawah'!K46</f>
        <v>0</v>
      </c>
      <c r="P157" s="128">
        <f t="shared" si="50"/>
        <v>184</v>
      </c>
      <c r="Q157" s="131">
        <f t="shared" si="51"/>
        <v>184</v>
      </c>
    </row>
    <row r="158" spans="1:17" x14ac:dyDescent="0.25">
      <c r="A158" s="87">
        <v>6</v>
      </c>
      <c r="B158" s="19" t="s">
        <v>23</v>
      </c>
      <c r="C158" s="60">
        <v>0</v>
      </c>
      <c r="D158" s="60">
        <v>7</v>
      </c>
      <c r="E158" s="60">
        <v>0</v>
      </c>
      <c r="F158" s="60">
        <f>'padi sawah'!C47</f>
        <v>5</v>
      </c>
      <c r="G158" s="60">
        <f>'padi sawah'!D47</f>
        <v>0</v>
      </c>
      <c r="H158" s="60">
        <f>'padi sawah'!E47</f>
        <v>0</v>
      </c>
      <c r="I158" s="128">
        <f t="shared" si="49"/>
        <v>12</v>
      </c>
      <c r="J158" s="135">
        <f>'padi sawah'!F47</f>
        <v>36</v>
      </c>
      <c r="K158" s="60">
        <f>'padi sawah'!G47</f>
        <v>18</v>
      </c>
      <c r="L158" s="135">
        <f>'padi sawah'!H47</f>
        <v>0</v>
      </c>
      <c r="M158" s="135">
        <f>'padi sawah'!I47</f>
        <v>0</v>
      </c>
      <c r="N158" s="135">
        <f>'padi sawah'!J47</f>
        <v>14</v>
      </c>
      <c r="O158" s="164">
        <f>'padi sawah'!K47</f>
        <v>21</v>
      </c>
      <c r="P158" s="128">
        <f t="shared" si="50"/>
        <v>89</v>
      </c>
      <c r="Q158" s="131">
        <f t="shared" si="51"/>
        <v>101</v>
      </c>
    </row>
    <row r="159" spans="1:17" x14ac:dyDescent="0.25">
      <c r="A159" s="87">
        <v>7</v>
      </c>
      <c r="B159" s="19" t="s">
        <v>24</v>
      </c>
      <c r="C159" s="60">
        <v>92</v>
      </c>
      <c r="D159" s="60">
        <v>0</v>
      </c>
      <c r="E159" s="60">
        <v>0</v>
      </c>
      <c r="F159" s="60">
        <f>'padi sawah'!C48</f>
        <v>1</v>
      </c>
      <c r="G159" s="60">
        <f>'padi sawah'!D48</f>
        <v>4</v>
      </c>
      <c r="H159" s="60">
        <f>'padi sawah'!E48</f>
        <v>245</v>
      </c>
      <c r="I159" s="128">
        <f t="shared" si="49"/>
        <v>342</v>
      </c>
      <c r="J159" s="135">
        <f>'padi sawah'!F48</f>
        <v>99</v>
      </c>
      <c r="K159" s="60">
        <f>'padi sawah'!G48</f>
        <v>1</v>
      </c>
      <c r="L159" s="135">
        <f>'padi sawah'!H48</f>
        <v>1</v>
      </c>
      <c r="M159" s="135">
        <f>'padi sawah'!I48</f>
        <v>0</v>
      </c>
      <c r="N159" s="135">
        <f>'padi sawah'!J48</f>
        <v>237</v>
      </c>
      <c r="O159" s="164">
        <f>'padi sawah'!K48</f>
        <v>27</v>
      </c>
      <c r="P159" s="128">
        <f t="shared" si="50"/>
        <v>365</v>
      </c>
      <c r="Q159" s="131">
        <f t="shared" si="51"/>
        <v>707</v>
      </c>
    </row>
    <row r="160" spans="1:17" ht="15.75" thickBot="1" x14ac:dyDescent="0.3">
      <c r="A160" s="88">
        <v>8</v>
      </c>
      <c r="B160" s="15" t="s">
        <v>25</v>
      </c>
      <c r="C160" s="140">
        <v>0</v>
      </c>
      <c r="D160" s="140">
        <v>0</v>
      </c>
      <c r="E160" s="140">
        <v>0</v>
      </c>
      <c r="F160" s="140">
        <f>'padi sawah'!C49</f>
        <v>25</v>
      </c>
      <c r="G160" s="140">
        <f>'padi sawah'!D49</f>
        <v>1</v>
      </c>
      <c r="H160" s="140">
        <f>'padi sawah'!E49</f>
        <v>42</v>
      </c>
      <c r="I160" s="129">
        <f t="shared" si="49"/>
        <v>68</v>
      </c>
      <c r="J160" s="329">
        <f>'padi sawah'!F49</f>
        <v>64</v>
      </c>
      <c r="K160" s="329">
        <f>'padi sawah'!G49</f>
        <v>145</v>
      </c>
      <c r="L160" s="329">
        <f>'padi sawah'!H49</f>
        <v>6</v>
      </c>
      <c r="M160" s="329">
        <f>'padi sawah'!I49</f>
        <v>26</v>
      </c>
      <c r="N160" s="329">
        <f>'padi sawah'!J49</f>
        <v>66</v>
      </c>
      <c r="O160" s="329">
        <f>'padi sawah'!K49</f>
        <v>101</v>
      </c>
      <c r="P160" s="129">
        <f>SUM(J160:O160)</f>
        <v>408</v>
      </c>
      <c r="Q160" s="132">
        <f t="shared" si="51"/>
        <v>476</v>
      </c>
    </row>
    <row r="161" spans="1:17" ht="16.5" thickTop="1" thickBot="1" x14ac:dyDescent="0.3">
      <c r="A161" s="514" t="s">
        <v>26</v>
      </c>
      <c r="B161" s="515"/>
      <c r="C161" s="115">
        <f t="shared" ref="C161:O161" si="52">SUM(C153:C160)</f>
        <v>92</v>
      </c>
      <c r="D161" s="115">
        <f t="shared" si="52"/>
        <v>10</v>
      </c>
      <c r="E161" s="115">
        <f t="shared" si="52"/>
        <v>8</v>
      </c>
      <c r="F161" s="115">
        <f t="shared" si="52"/>
        <v>32</v>
      </c>
      <c r="G161" s="115">
        <f t="shared" si="52"/>
        <v>11</v>
      </c>
      <c r="H161" s="124">
        <f t="shared" si="52"/>
        <v>317</v>
      </c>
      <c r="I161" s="126">
        <f t="shared" si="52"/>
        <v>470</v>
      </c>
      <c r="J161" s="136">
        <f t="shared" si="52"/>
        <v>535</v>
      </c>
      <c r="K161" s="115">
        <f t="shared" si="52"/>
        <v>647</v>
      </c>
      <c r="L161" s="115">
        <f t="shared" si="52"/>
        <v>12</v>
      </c>
      <c r="M161" s="115">
        <f t="shared" si="52"/>
        <v>45</v>
      </c>
      <c r="N161" s="115">
        <f t="shared" si="52"/>
        <v>392</v>
      </c>
      <c r="O161" s="124">
        <f t="shared" si="52"/>
        <v>249</v>
      </c>
      <c r="P161" s="126">
        <f>SUM(P153:P160)</f>
        <v>1880</v>
      </c>
      <c r="Q161" s="133">
        <f>SUM(Q153:Q160)</f>
        <v>2350</v>
      </c>
    </row>
    <row r="163" spans="1:17" ht="15.75" x14ac:dyDescent="0.25">
      <c r="A163" s="516" t="s">
        <v>124</v>
      </c>
      <c r="B163" s="516"/>
      <c r="C163" s="516"/>
      <c r="D163" s="516"/>
      <c r="E163" s="516"/>
      <c r="F163" s="516"/>
      <c r="G163" s="516"/>
      <c r="H163" s="516"/>
      <c r="I163" s="516"/>
      <c r="J163" s="516"/>
      <c r="K163" s="516"/>
      <c r="L163" s="516"/>
      <c r="M163" s="516"/>
      <c r="N163" s="516"/>
      <c r="O163" s="516"/>
      <c r="P163" s="516"/>
      <c r="Q163" s="516"/>
    </row>
    <row r="164" spans="1:17" ht="15.75" x14ac:dyDescent="0.25">
      <c r="A164" s="516" t="s">
        <v>82</v>
      </c>
      <c r="B164" s="516"/>
      <c r="C164" s="516"/>
      <c r="D164" s="516"/>
      <c r="E164" s="516"/>
      <c r="F164" s="516"/>
      <c r="G164" s="516"/>
      <c r="H164" s="516"/>
      <c r="I164" s="516"/>
      <c r="J164" s="516"/>
      <c r="K164" s="516"/>
      <c r="L164" s="516"/>
      <c r="M164" s="516"/>
      <c r="N164" s="516"/>
      <c r="O164" s="516"/>
      <c r="P164" s="516"/>
      <c r="Q164" s="516"/>
    </row>
    <row r="165" spans="1:17" ht="15.75" thickBot="1" x14ac:dyDescent="0.3">
      <c r="Q165" s="77" t="s">
        <v>1</v>
      </c>
    </row>
    <row r="166" spans="1:17" x14ac:dyDescent="0.25">
      <c r="A166" s="511" t="s">
        <v>2</v>
      </c>
      <c r="B166" s="513" t="s">
        <v>3</v>
      </c>
      <c r="C166" s="517" t="s">
        <v>114</v>
      </c>
      <c r="D166" s="518"/>
      <c r="E166" s="518"/>
      <c r="F166" s="518"/>
      <c r="G166" s="518"/>
      <c r="H166" s="518"/>
      <c r="I166" s="519" t="s">
        <v>84</v>
      </c>
      <c r="J166" s="518">
        <v>2016</v>
      </c>
      <c r="K166" s="518"/>
      <c r="L166" s="518"/>
      <c r="M166" s="518"/>
      <c r="N166" s="518"/>
      <c r="O166" s="518"/>
      <c r="P166" s="519" t="s">
        <v>85</v>
      </c>
      <c r="Q166" s="521" t="s">
        <v>5</v>
      </c>
    </row>
    <row r="167" spans="1:17" x14ac:dyDescent="0.25">
      <c r="A167" s="512"/>
      <c r="B167" s="499"/>
      <c r="C167" s="462" t="s">
        <v>15</v>
      </c>
      <c r="D167" s="462" t="s">
        <v>16</v>
      </c>
      <c r="E167" s="462" t="s">
        <v>17</v>
      </c>
      <c r="F167" s="462" t="s">
        <v>6</v>
      </c>
      <c r="G167" s="462" t="s">
        <v>77</v>
      </c>
      <c r="H167" s="122" t="s">
        <v>78</v>
      </c>
      <c r="I167" s="520"/>
      <c r="J167" s="112" t="s">
        <v>79</v>
      </c>
      <c r="K167" s="462" t="s">
        <v>10</v>
      </c>
      <c r="L167" s="462" t="s">
        <v>11</v>
      </c>
      <c r="M167" s="462" t="s">
        <v>12</v>
      </c>
      <c r="N167" s="462" t="s">
        <v>80</v>
      </c>
      <c r="O167" s="122" t="s">
        <v>81</v>
      </c>
      <c r="P167" s="520"/>
      <c r="Q167" s="522"/>
    </row>
    <row r="168" spans="1:17" ht="15.75" thickBot="1" x14ac:dyDescent="0.3">
      <c r="A168" s="114">
        <v>1</v>
      </c>
      <c r="B168" s="5">
        <v>2</v>
      </c>
      <c r="C168" s="5">
        <v>3</v>
      </c>
      <c r="D168" s="5">
        <v>4</v>
      </c>
      <c r="E168" s="5">
        <v>5</v>
      </c>
      <c r="F168" s="5">
        <v>6</v>
      </c>
      <c r="G168" s="5">
        <v>7</v>
      </c>
      <c r="H168" s="123">
        <v>8</v>
      </c>
      <c r="I168" s="125">
        <v>9</v>
      </c>
      <c r="J168" s="113">
        <v>10</v>
      </c>
      <c r="K168" s="5">
        <v>11</v>
      </c>
      <c r="L168" s="5">
        <v>12</v>
      </c>
      <c r="M168" s="5">
        <v>13</v>
      </c>
      <c r="N168" s="5">
        <v>14</v>
      </c>
      <c r="O168" s="123">
        <v>15</v>
      </c>
      <c r="P168" s="125">
        <v>16</v>
      </c>
      <c r="Q168" s="134">
        <v>17</v>
      </c>
    </row>
    <row r="169" spans="1:17" ht="15.75" thickTop="1" x14ac:dyDescent="0.25">
      <c r="A169" s="85">
        <v>1</v>
      </c>
      <c r="B169" s="7" t="s">
        <v>18</v>
      </c>
      <c r="C169" s="139">
        <v>0</v>
      </c>
      <c r="D169" s="139">
        <v>0</v>
      </c>
      <c r="E169" s="139">
        <v>0</v>
      </c>
      <c r="F169" s="139">
        <f>'padi ladang'!C42</f>
        <v>0</v>
      </c>
      <c r="G169" s="139">
        <f>'padi ladang'!D42</f>
        <v>0</v>
      </c>
      <c r="H169" s="139">
        <f>'padi ladang'!E42</f>
        <v>0</v>
      </c>
      <c r="I169" s="127">
        <f>SUM(C169:H169)</f>
        <v>0</v>
      </c>
      <c r="J169" s="162">
        <f>'padi ladang'!F42</f>
        <v>0</v>
      </c>
      <c r="K169" s="162">
        <f>'padi ladang'!G42</f>
        <v>0</v>
      </c>
      <c r="L169" s="162">
        <f>'padi ladang'!H42</f>
        <v>0</v>
      </c>
      <c r="M169" s="162">
        <f>'padi ladang'!I42</f>
        <v>0</v>
      </c>
      <c r="N169" s="162">
        <f>'padi ladang'!J42</f>
        <v>0</v>
      </c>
      <c r="O169" s="162">
        <f>'padi ladang'!K42</f>
        <v>0</v>
      </c>
      <c r="P169" s="127">
        <f>SUM(J169:O169)</f>
        <v>0</v>
      </c>
      <c r="Q169" s="130">
        <f>SUM(I169,P169)</f>
        <v>0</v>
      </c>
    </row>
    <row r="170" spans="1:17" x14ac:dyDescent="0.25">
      <c r="A170" s="86">
        <v>2</v>
      </c>
      <c r="B170" s="12" t="s">
        <v>19</v>
      </c>
      <c r="C170" s="60">
        <v>0</v>
      </c>
      <c r="D170" s="60">
        <v>0</v>
      </c>
      <c r="E170" s="60">
        <v>0</v>
      </c>
      <c r="F170" s="60">
        <f>'padi ladang'!C43</f>
        <v>0</v>
      </c>
      <c r="G170" s="60">
        <f>'padi ladang'!D43</f>
        <v>0</v>
      </c>
      <c r="H170" s="60">
        <f>'padi ladang'!E43</f>
        <v>0</v>
      </c>
      <c r="I170" s="128">
        <f t="shared" ref="I170:I176" si="53">SUM(C170:H170)</f>
        <v>0</v>
      </c>
      <c r="J170" s="135">
        <f>'padi ladang'!F43</f>
        <v>0</v>
      </c>
      <c r="K170" s="135">
        <f>'padi ladang'!G43</f>
        <v>0</v>
      </c>
      <c r="L170" s="135">
        <f>'padi ladang'!H43</f>
        <v>0</v>
      </c>
      <c r="M170" s="135">
        <f>'padi ladang'!I43</f>
        <v>0</v>
      </c>
      <c r="N170" s="135">
        <f>'padi ladang'!J43</f>
        <v>0</v>
      </c>
      <c r="O170" s="164">
        <f>'padi ladang'!K43</f>
        <v>0</v>
      </c>
      <c r="P170" s="128">
        <f t="shared" ref="P170:P175" si="54">SUM(J170:O170)</f>
        <v>0</v>
      </c>
      <c r="Q170" s="131">
        <f t="shared" ref="Q170:Q176" si="55">SUM(I170,P170)</f>
        <v>0</v>
      </c>
    </row>
    <row r="171" spans="1:17" x14ac:dyDescent="0.25">
      <c r="A171" s="86">
        <v>3</v>
      </c>
      <c r="B171" s="7" t="s">
        <v>20</v>
      </c>
      <c r="C171" s="60">
        <v>0</v>
      </c>
      <c r="D171" s="60">
        <v>0</v>
      </c>
      <c r="E171" s="60">
        <v>0</v>
      </c>
      <c r="F171" s="60">
        <f>'padi ladang'!C44</f>
        <v>0</v>
      </c>
      <c r="G171" s="60">
        <f>'padi ladang'!D44</f>
        <v>0</v>
      </c>
      <c r="H171" s="60">
        <f>'padi ladang'!E44</f>
        <v>0</v>
      </c>
      <c r="I171" s="128">
        <f t="shared" si="53"/>
        <v>0</v>
      </c>
      <c r="J171" s="135">
        <f>'padi ladang'!F44</f>
        <v>15</v>
      </c>
      <c r="K171" s="135">
        <f>'padi ladang'!G44</f>
        <v>0</v>
      </c>
      <c r="L171" s="135">
        <f>'padi ladang'!H44</f>
        <v>0</v>
      </c>
      <c r="M171" s="135">
        <f>'padi ladang'!I44</f>
        <v>0</v>
      </c>
      <c r="N171" s="135">
        <f>'padi ladang'!J44</f>
        <v>0</v>
      </c>
      <c r="O171" s="164">
        <f>'padi ladang'!K44</f>
        <v>0</v>
      </c>
      <c r="P171" s="128">
        <f t="shared" si="54"/>
        <v>15</v>
      </c>
      <c r="Q171" s="131">
        <f t="shared" si="55"/>
        <v>15</v>
      </c>
    </row>
    <row r="172" spans="1:17" x14ac:dyDescent="0.25">
      <c r="A172" s="87">
        <v>4</v>
      </c>
      <c r="B172" s="15" t="s">
        <v>21</v>
      </c>
      <c r="C172" s="60">
        <v>0</v>
      </c>
      <c r="D172" s="60">
        <v>0</v>
      </c>
      <c r="E172" s="60">
        <v>0</v>
      </c>
      <c r="F172" s="60">
        <f>'padi ladang'!C45</f>
        <v>0</v>
      </c>
      <c r="G172" s="60">
        <f>'padi ladang'!D45</f>
        <v>0</v>
      </c>
      <c r="H172" s="60">
        <f>'padi ladang'!E45</f>
        <v>0</v>
      </c>
      <c r="I172" s="128">
        <f t="shared" si="53"/>
        <v>0</v>
      </c>
      <c r="J172" s="135">
        <f>'padi ladang'!F45</f>
        <v>0</v>
      </c>
      <c r="K172" s="135">
        <f>'padi ladang'!G45</f>
        <v>0</v>
      </c>
      <c r="L172" s="135">
        <f>'padi ladang'!H45</f>
        <v>0</v>
      </c>
      <c r="M172" s="135">
        <f>'padi ladang'!I45</f>
        <v>0</v>
      </c>
      <c r="N172" s="135">
        <f>'padi ladang'!J45</f>
        <v>0</v>
      </c>
      <c r="O172" s="164">
        <f>'padi ladang'!K45</f>
        <v>0</v>
      </c>
      <c r="P172" s="128">
        <f t="shared" si="54"/>
        <v>0</v>
      </c>
      <c r="Q172" s="131">
        <f t="shared" si="55"/>
        <v>0</v>
      </c>
    </row>
    <row r="173" spans="1:17" x14ac:dyDescent="0.25">
      <c r="A173" s="87">
        <v>5</v>
      </c>
      <c r="B173" s="19" t="s">
        <v>22</v>
      </c>
      <c r="C173" s="60">
        <v>0</v>
      </c>
      <c r="D173" s="60">
        <v>0</v>
      </c>
      <c r="E173" s="60">
        <v>0</v>
      </c>
      <c r="F173" s="60">
        <f>'padi ladang'!C46</f>
        <v>0</v>
      </c>
      <c r="G173" s="60">
        <f>'padi ladang'!D46</f>
        <v>0</v>
      </c>
      <c r="H173" s="60">
        <f>'padi ladang'!E46</f>
        <v>0</v>
      </c>
      <c r="I173" s="128">
        <f t="shared" si="53"/>
        <v>0</v>
      </c>
      <c r="J173" s="135">
        <f>'padi ladang'!F46</f>
        <v>0</v>
      </c>
      <c r="K173" s="135">
        <f>'padi ladang'!G46</f>
        <v>0</v>
      </c>
      <c r="L173" s="135">
        <f>'padi ladang'!H46</f>
        <v>0</v>
      </c>
      <c r="M173" s="135">
        <f>'padi ladang'!I46</f>
        <v>0</v>
      </c>
      <c r="N173" s="135">
        <f>'padi ladang'!J46</f>
        <v>0</v>
      </c>
      <c r="O173" s="164">
        <f>'padi ladang'!K46</f>
        <v>0</v>
      </c>
      <c r="P173" s="128">
        <f t="shared" si="54"/>
        <v>0</v>
      </c>
      <c r="Q173" s="131">
        <f t="shared" si="55"/>
        <v>0</v>
      </c>
    </row>
    <row r="174" spans="1:17" x14ac:dyDescent="0.25">
      <c r="A174" s="87">
        <v>6</v>
      </c>
      <c r="B174" s="19" t="s">
        <v>23</v>
      </c>
      <c r="C174" s="60">
        <v>0</v>
      </c>
      <c r="D174" s="60">
        <v>0</v>
      </c>
      <c r="E174" s="60">
        <v>0</v>
      </c>
      <c r="F174" s="60">
        <f>'padi ladang'!C47</f>
        <v>0</v>
      </c>
      <c r="G174" s="60">
        <f>'padi ladang'!D47</f>
        <v>0</v>
      </c>
      <c r="H174" s="60">
        <f>'padi ladang'!E47</f>
        <v>0</v>
      </c>
      <c r="I174" s="128">
        <f t="shared" si="53"/>
        <v>0</v>
      </c>
      <c r="J174" s="135">
        <f>'padi ladang'!F47</f>
        <v>0</v>
      </c>
      <c r="K174" s="135">
        <f>'padi ladang'!G47</f>
        <v>0</v>
      </c>
      <c r="L174" s="135">
        <f>'padi ladang'!H47</f>
        <v>0</v>
      </c>
      <c r="M174" s="135">
        <f>'padi ladang'!I47</f>
        <v>0</v>
      </c>
      <c r="N174" s="135">
        <f>'padi ladang'!J47</f>
        <v>0</v>
      </c>
      <c r="O174" s="164">
        <f>'padi ladang'!K47</f>
        <v>0</v>
      </c>
      <c r="P174" s="128">
        <f t="shared" si="54"/>
        <v>0</v>
      </c>
      <c r="Q174" s="131">
        <f t="shared" si="55"/>
        <v>0</v>
      </c>
    </row>
    <row r="175" spans="1:17" x14ac:dyDescent="0.25">
      <c r="A175" s="87">
        <v>7</v>
      </c>
      <c r="B175" s="19" t="s">
        <v>24</v>
      </c>
      <c r="C175" s="60">
        <v>0</v>
      </c>
      <c r="D175" s="60">
        <v>0</v>
      </c>
      <c r="E175" s="60">
        <v>0</v>
      </c>
      <c r="F175" s="60">
        <f>'padi ladang'!C48</f>
        <v>0</v>
      </c>
      <c r="G175" s="60">
        <f>'padi ladang'!D48</f>
        <v>0</v>
      </c>
      <c r="H175" s="60">
        <f>'padi ladang'!E48</f>
        <v>0</v>
      </c>
      <c r="I175" s="128">
        <f t="shared" si="53"/>
        <v>0</v>
      </c>
      <c r="J175" s="135">
        <f>'padi ladang'!F48</f>
        <v>0</v>
      </c>
      <c r="K175" s="135">
        <f>'padi ladang'!G48</f>
        <v>0</v>
      </c>
      <c r="L175" s="135">
        <f>'padi ladang'!H48</f>
        <v>0</v>
      </c>
      <c r="M175" s="135">
        <f>'padi ladang'!I48</f>
        <v>0</v>
      </c>
      <c r="N175" s="135">
        <f>'padi ladang'!J48</f>
        <v>0</v>
      </c>
      <c r="O175" s="164">
        <f>'padi ladang'!K48</f>
        <v>0</v>
      </c>
      <c r="P175" s="128">
        <f t="shared" si="54"/>
        <v>0</v>
      </c>
      <c r="Q175" s="131">
        <f t="shared" si="55"/>
        <v>0</v>
      </c>
    </row>
    <row r="176" spans="1:17" ht="15.75" thickBot="1" x14ac:dyDescent="0.3">
      <c r="A176" s="88">
        <v>8</v>
      </c>
      <c r="B176" s="15" t="s">
        <v>25</v>
      </c>
      <c r="C176" s="140">
        <v>0</v>
      </c>
      <c r="D176" s="140">
        <v>0</v>
      </c>
      <c r="E176" s="140">
        <v>0</v>
      </c>
      <c r="F176" s="140">
        <f>'padi ladang'!C49</f>
        <v>0</v>
      </c>
      <c r="G176" s="140">
        <f>'padi ladang'!D49</f>
        <v>0</v>
      </c>
      <c r="H176" s="140">
        <f>'padi ladang'!E49</f>
        <v>0</v>
      </c>
      <c r="I176" s="129">
        <f t="shared" si="53"/>
        <v>0</v>
      </c>
      <c r="J176" s="329">
        <f>'padi ladang'!F49</f>
        <v>0</v>
      </c>
      <c r="K176" s="329">
        <f>'padi ladang'!G49</f>
        <v>0</v>
      </c>
      <c r="L176" s="329">
        <f>'padi ladang'!H49</f>
        <v>0</v>
      </c>
      <c r="M176" s="329">
        <f>'padi ladang'!I49</f>
        <v>0</v>
      </c>
      <c r="N176" s="329">
        <f>'padi ladang'!J49</f>
        <v>0</v>
      </c>
      <c r="O176" s="329">
        <f>'padi ladang'!K49</f>
        <v>0</v>
      </c>
      <c r="P176" s="129">
        <f>SUM(J176:O176)</f>
        <v>0</v>
      </c>
      <c r="Q176" s="132">
        <f t="shared" si="55"/>
        <v>0</v>
      </c>
    </row>
    <row r="177" spans="1:17" ht="16.5" thickTop="1" thickBot="1" x14ac:dyDescent="0.3">
      <c r="A177" s="514" t="s">
        <v>26</v>
      </c>
      <c r="B177" s="515"/>
      <c r="C177" s="115">
        <f t="shared" ref="C177:O177" si="56">SUM(C169:C176)</f>
        <v>0</v>
      </c>
      <c r="D177" s="115">
        <f t="shared" si="56"/>
        <v>0</v>
      </c>
      <c r="E177" s="115">
        <f t="shared" si="56"/>
        <v>0</v>
      </c>
      <c r="F177" s="115">
        <f t="shared" si="56"/>
        <v>0</v>
      </c>
      <c r="G177" s="115">
        <f t="shared" si="56"/>
        <v>0</v>
      </c>
      <c r="H177" s="124">
        <f t="shared" si="56"/>
        <v>0</v>
      </c>
      <c r="I177" s="126">
        <f t="shared" si="56"/>
        <v>0</v>
      </c>
      <c r="J177" s="136">
        <f t="shared" si="56"/>
        <v>15</v>
      </c>
      <c r="K177" s="115">
        <f t="shared" si="56"/>
        <v>0</v>
      </c>
      <c r="L177" s="115">
        <f t="shared" si="56"/>
        <v>0</v>
      </c>
      <c r="M177" s="115">
        <f t="shared" si="56"/>
        <v>0</v>
      </c>
      <c r="N177" s="115">
        <f t="shared" si="56"/>
        <v>0</v>
      </c>
      <c r="O177" s="124">
        <f t="shared" si="56"/>
        <v>0</v>
      </c>
      <c r="P177" s="126">
        <f>SUM(P169:P176)</f>
        <v>15</v>
      </c>
      <c r="Q177" s="133">
        <f>SUM(Q169:Q176)</f>
        <v>15</v>
      </c>
    </row>
    <row r="179" spans="1:17" ht="15.75" x14ac:dyDescent="0.25">
      <c r="A179" s="516" t="s">
        <v>125</v>
      </c>
      <c r="B179" s="516"/>
      <c r="C179" s="516"/>
      <c r="D179" s="516"/>
      <c r="E179" s="516"/>
      <c r="F179" s="516"/>
      <c r="G179" s="516"/>
      <c r="H179" s="516"/>
      <c r="I179" s="516"/>
      <c r="J179" s="516"/>
      <c r="K179" s="516"/>
      <c r="L179" s="516"/>
      <c r="M179" s="516"/>
      <c r="N179" s="516"/>
      <c r="O179" s="516"/>
      <c r="P179" s="516"/>
      <c r="Q179" s="516"/>
    </row>
    <row r="180" spans="1:17" ht="15.75" x14ac:dyDescent="0.25">
      <c r="A180" s="516" t="s">
        <v>82</v>
      </c>
      <c r="B180" s="516"/>
      <c r="C180" s="516"/>
      <c r="D180" s="516"/>
      <c r="E180" s="516"/>
      <c r="F180" s="516"/>
      <c r="G180" s="516"/>
      <c r="H180" s="516"/>
      <c r="I180" s="516"/>
      <c r="J180" s="516"/>
      <c r="K180" s="516"/>
      <c r="L180" s="516"/>
      <c r="M180" s="516"/>
      <c r="N180" s="516"/>
      <c r="O180" s="516"/>
      <c r="P180" s="516"/>
      <c r="Q180" s="516"/>
    </row>
    <row r="181" spans="1:17" ht="15.75" thickBot="1" x14ac:dyDescent="0.3">
      <c r="Q181" s="77" t="s">
        <v>1</v>
      </c>
    </row>
    <row r="182" spans="1:17" x14ac:dyDescent="0.25">
      <c r="A182" s="511" t="s">
        <v>2</v>
      </c>
      <c r="B182" s="513" t="s">
        <v>3</v>
      </c>
      <c r="C182" s="517" t="s">
        <v>114</v>
      </c>
      <c r="D182" s="518"/>
      <c r="E182" s="518"/>
      <c r="F182" s="518"/>
      <c r="G182" s="518"/>
      <c r="H182" s="518"/>
      <c r="I182" s="519" t="s">
        <v>84</v>
      </c>
      <c r="J182" s="518">
        <v>2016</v>
      </c>
      <c r="K182" s="518"/>
      <c r="L182" s="518"/>
      <c r="M182" s="518"/>
      <c r="N182" s="518"/>
      <c r="O182" s="518"/>
      <c r="P182" s="519" t="s">
        <v>85</v>
      </c>
      <c r="Q182" s="521" t="s">
        <v>5</v>
      </c>
    </row>
    <row r="183" spans="1:17" x14ac:dyDescent="0.25">
      <c r="A183" s="512"/>
      <c r="B183" s="499"/>
      <c r="C183" s="462" t="s">
        <v>15</v>
      </c>
      <c r="D183" s="462" t="s">
        <v>16</v>
      </c>
      <c r="E183" s="462" t="s">
        <v>17</v>
      </c>
      <c r="F183" s="462" t="s">
        <v>6</v>
      </c>
      <c r="G183" s="462" t="s">
        <v>77</v>
      </c>
      <c r="H183" s="122" t="s">
        <v>78</v>
      </c>
      <c r="I183" s="520"/>
      <c r="J183" s="112" t="s">
        <v>79</v>
      </c>
      <c r="K183" s="462" t="s">
        <v>10</v>
      </c>
      <c r="L183" s="462" t="s">
        <v>11</v>
      </c>
      <c r="M183" s="462" t="s">
        <v>12</v>
      </c>
      <c r="N183" s="462" t="s">
        <v>80</v>
      </c>
      <c r="O183" s="122" t="s">
        <v>81</v>
      </c>
      <c r="P183" s="520"/>
      <c r="Q183" s="522"/>
    </row>
    <row r="184" spans="1:17" ht="15.75" thickBot="1" x14ac:dyDescent="0.3">
      <c r="A184" s="114">
        <v>1</v>
      </c>
      <c r="B184" s="5">
        <v>2</v>
      </c>
      <c r="C184" s="5">
        <v>3</v>
      </c>
      <c r="D184" s="5">
        <v>4</v>
      </c>
      <c r="E184" s="5">
        <v>5</v>
      </c>
      <c r="F184" s="5">
        <v>6</v>
      </c>
      <c r="G184" s="5">
        <v>7</v>
      </c>
      <c r="H184" s="123">
        <v>8</v>
      </c>
      <c r="I184" s="125">
        <v>9</v>
      </c>
      <c r="J184" s="113">
        <v>10</v>
      </c>
      <c r="K184" s="5">
        <v>11</v>
      </c>
      <c r="L184" s="5">
        <v>12</v>
      </c>
      <c r="M184" s="5">
        <v>13</v>
      </c>
      <c r="N184" s="5">
        <v>14</v>
      </c>
      <c r="O184" s="123">
        <v>15</v>
      </c>
      <c r="P184" s="125">
        <v>16</v>
      </c>
      <c r="Q184" s="134">
        <v>17</v>
      </c>
    </row>
    <row r="185" spans="1:17" ht="15.75" thickTop="1" x14ac:dyDescent="0.25">
      <c r="A185" s="85">
        <v>1</v>
      </c>
      <c r="B185" s="7" t="s">
        <v>18</v>
      </c>
      <c r="C185" s="139">
        <v>0</v>
      </c>
      <c r="D185" s="139">
        <v>0</v>
      </c>
      <c r="E185" s="139">
        <v>0</v>
      </c>
      <c r="F185" s="139">
        <f>jagung!C42</f>
        <v>0</v>
      </c>
      <c r="G185" s="332" t="str">
        <f>jagung!D42</f>
        <v>2*</v>
      </c>
      <c r="H185" s="332" t="str">
        <f>jagung!E42</f>
        <v>5*</v>
      </c>
      <c r="I185" s="333" t="s">
        <v>128</v>
      </c>
      <c r="J185" s="162">
        <f>jagung!F42</f>
        <v>0</v>
      </c>
      <c r="K185" s="162">
        <f>jagung!G42</f>
        <v>0</v>
      </c>
      <c r="L185" s="162" t="str">
        <f>jagung!H42</f>
        <v>1*</v>
      </c>
      <c r="M185" s="162">
        <f>jagung!I42</f>
        <v>0</v>
      </c>
      <c r="N185" s="162">
        <f>jagung!J42</f>
        <v>0</v>
      </c>
      <c r="O185" s="162">
        <f>jagung!K42</f>
        <v>0</v>
      </c>
      <c r="P185" s="127">
        <f>SUM(J185:O185)</f>
        <v>0</v>
      </c>
      <c r="Q185" s="130">
        <f>SUM(I185,P185)</f>
        <v>0</v>
      </c>
    </row>
    <row r="186" spans="1:17" x14ac:dyDescent="0.25">
      <c r="A186" s="86">
        <v>2</v>
      </c>
      <c r="B186" s="12" t="s">
        <v>19</v>
      </c>
      <c r="C186" s="60">
        <v>0</v>
      </c>
      <c r="D186" s="60">
        <v>0</v>
      </c>
      <c r="E186" s="60">
        <v>0</v>
      </c>
      <c r="F186" s="60">
        <f>jagung!C43</f>
        <v>0</v>
      </c>
      <c r="G186" s="340">
        <f>jagung!D43</f>
        <v>0</v>
      </c>
      <c r="H186" s="340">
        <f>jagung!E43</f>
        <v>0</v>
      </c>
      <c r="I186" s="334">
        <f t="shared" ref="I186:I191" si="57">SUM(C186:H186)</f>
        <v>0</v>
      </c>
      <c r="J186" s="135">
        <f>jagung!F43</f>
        <v>0</v>
      </c>
      <c r="K186" s="135">
        <f>jagung!G43</f>
        <v>1</v>
      </c>
      <c r="L186" s="135">
        <f>jagung!H43</f>
        <v>0</v>
      </c>
      <c r="M186" s="135" t="str">
        <f>jagung!I43</f>
        <v>1*</v>
      </c>
      <c r="N186" s="135">
        <f>jagung!J43</f>
        <v>0</v>
      </c>
      <c r="O186" s="164">
        <f>jagung!K43</f>
        <v>0</v>
      </c>
      <c r="P186" s="128">
        <f t="shared" ref="P186:P191" si="58">SUM(J186:O186)</f>
        <v>1</v>
      </c>
      <c r="Q186" s="131">
        <f t="shared" ref="Q186:Q192" si="59">SUM(I186,P186)</f>
        <v>1</v>
      </c>
    </row>
    <row r="187" spans="1:17" x14ac:dyDescent="0.25">
      <c r="A187" s="86">
        <v>3</v>
      </c>
      <c r="B187" s="7" t="s">
        <v>20</v>
      </c>
      <c r="C187" s="60">
        <v>0</v>
      </c>
      <c r="D187" s="60">
        <v>0</v>
      </c>
      <c r="E187" s="60">
        <v>0</v>
      </c>
      <c r="F187" s="60">
        <f>jagung!C44</f>
        <v>0</v>
      </c>
      <c r="G187" s="340">
        <f>jagung!D44</f>
        <v>0</v>
      </c>
      <c r="H187" s="340">
        <f>jagung!E44</f>
        <v>0</v>
      </c>
      <c r="I187" s="334">
        <f t="shared" si="57"/>
        <v>0</v>
      </c>
      <c r="J187" s="135">
        <f>jagung!F44</f>
        <v>1</v>
      </c>
      <c r="K187" s="135">
        <f>jagung!G44</f>
        <v>0</v>
      </c>
      <c r="L187" s="135">
        <f>jagung!H44</f>
        <v>0</v>
      </c>
      <c r="M187" s="135">
        <f>jagung!I44</f>
        <v>0</v>
      </c>
      <c r="N187" s="135">
        <f>jagung!J44</f>
        <v>5</v>
      </c>
      <c r="O187" s="164">
        <f>jagung!K44</f>
        <v>6</v>
      </c>
      <c r="P187" s="128">
        <f t="shared" si="58"/>
        <v>12</v>
      </c>
      <c r="Q187" s="131">
        <f t="shared" si="59"/>
        <v>12</v>
      </c>
    </row>
    <row r="188" spans="1:17" x14ac:dyDescent="0.25">
      <c r="A188" s="87">
        <v>4</v>
      </c>
      <c r="B188" s="15" t="s">
        <v>21</v>
      </c>
      <c r="C188" s="60">
        <v>0</v>
      </c>
      <c r="D188" s="60">
        <v>0</v>
      </c>
      <c r="E188" s="60">
        <v>0</v>
      </c>
      <c r="F188" s="60">
        <f>jagung!C45</f>
        <v>0</v>
      </c>
      <c r="G188" s="340">
        <f>jagung!D45</f>
        <v>0</v>
      </c>
      <c r="H188" s="340">
        <f>jagung!E45</f>
        <v>0</v>
      </c>
      <c r="I188" s="334">
        <f t="shared" si="57"/>
        <v>0</v>
      </c>
      <c r="J188" s="135">
        <f>jagung!F45</f>
        <v>1</v>
      </c>
      <c r="K188" s="135">
        <f>jagung!G45</f>
        <v>0</v>
      </c>
      <c r="L188" s="135" t="str">
        <f>jagung!H45</f>
        <v>1*</v>
      </c>
      <c r="M188" s="135" t="str">
        <f>jagung!I45</f>
        <v>1*</v>
      </c>
      <c r="N188" s="135">
        <f>jagung!J45</f>
        <v>0</v>
      </c>
      <c r="O188" s="164">
        <f>jagung!K45</f>
        <v>0</v>
      </c>
      <c r="P188" s="128">
        <f t="shared" si="58"/>
        <v>1</v>
      </c>
      <c r="Q188" s="131">
        <f t="shared" si="59"/>
        <v>1</v>
      </c>
    </row>
    <row r="189" spans="1:17" x14ac:dyDescent="0.25">
      <c r="A189" s="87">
        <v>5</v>
      </c>
      <c r="B189" s="19" t="s">
        <v>22</v>
      </c>
      <c r="C189" s="60">
        <v>0</v>
      </c>
      <c r="D189" s="60">
        <v>0</v>
      </c>
      <c r="E189" s="60">
        <v>1</v>
      </c>
      <c r="F189" s="60">
        <f>jagung!C46</f>
        <v>0</v>
      </c>
      <c r="G189" s="340">
        <f>jagung!D46</f>
        <v>0</v>
      </c>
      <c r="H189" s="340">
        <f>jagung!E46</f>
        <v>0</v>
      </c>
      <c r="I189" s="334">
        <f t="shared" si="57"/>
        <v>1</v>
      </c>
      <c r="J189" s="135">
        <f>jagung!F46</f>
        <v>0</v>
      </c>
      <c r="K189" s="135">
        <f>jagung!G46</f>
        <v>1</v>
      </c>
      <c r="L189" s="135">
        <f>jagung!H46</f>
        <v>0</v>
      </c>
      <c r="M189" s="135">
        <f>jagung!I46</f>
        <v>0</v>
      </c>
      <c r="N189" s="135">
        <f>jagung!J46</f>
        <v>0</v>
      </c>
      <c r="O189" s="164">
        <f>jagung!K46</f>
        <v>3</v>
      </c>
      <c r="P189" s="128">
        <f t="shared" si="58"/>
        <v>4</v>
      </c>
      <c r="Q189" s="131">
        <f t="shared" si="59"/>
        <v>5</v>
      </c>
    </row>
    <row r="190" spans="1:17" x14ac:dyDescent="0.25">
      <c r="A190" s="87">
        <v>6</v>
      </c>
      <c r="B190" s="19" t="s">
        <v>23</v>
      </c>
      <c r="C190" s="60">
        <v>0</v>
      </c>
      <c r="D190" s="60">
        <v>0</v>
      </c>
      <c r="E190" s="60">
        <v>0</v>
      </c>
      <c r="F190" s="60">
        <f>jagung!C47</f>
        <v>0</v>
      </c>
      <c r="G190" s="340">
        <f>jagung!D47</f>
        <v>0</v>
      </c>
      <c r="H190" s="340">
        <f>jagung!E47</f>
        <v>0</v>
      </c>
      <c r="I190" s="334">
        <f t="shared" si="57"/>
        <v>0</v>
      </c>
      <c r="J190" s="135">
        <f>jagung!F47</f>
        <v>0</v>
      </c>
      <c r="K190" s="135">
        <f>jagung!G47</f>
        <v>0</v>
      </c>
      <c r="L190" s="135">
        <f>jagung!H47</f>
        <v>0</v>
      </c>
      <c r="M190" s="135" t="str">
        <f>jagung!I47</f>
        <v>1*</v>
      </c>
      <c r="N190" s="135">
        <f>jagung!J47</f>
        <v>0</v>
      </c>
      <c r="O190" s="164">
        <f>jagung!K47</f>
        <v>0</v>
      </c>
      <c r="P190" s="128">
        <f t="shared" si="58"/>
        <v>0</v>
      </c>
      <c r="Q190" s="131">
        <f t="shared" si="59"/>
        <v>0</v>
      </c>
    </row>
    <row r="191" spans="1:17" x14ac:dyDescent="0.25">
      <c r="A191" s="87">
        <v>7</v>
      </c>
      <c r="B191" s="19" t="s">
        <v>24</v>
      </c>
      <c r="C191" s="60">
        <v>0</v>
      </c>
      <c r="D191" s="60">
        <v>0</v>
      </c>
      <c r="E191" s="60">
        <v>0</v>
      </c>
      <c r="F191" s="60">
        <f>jagung!C48</f>
        <v>0</v>
      </c>
      <c r="G191" s="340">
        <f>jagung!D48</f>
        <v>0</v>
      </c>
      <c r="H191" s="340">
        <f>jagung!E48</f>
        <v>0</v>
      </c>
      <c r="I191" s="334">
        <f t="shared" si="57"/>
        <v>0</v>
      </c>
      <c r="J191" s="135">
        <f>jagung!F48</f>
        <v>0</v>
      </c>
      <c r="K191" s="135">
        <f>jagung!G48</f>
        <v>0</v>
      </c>
      <c r="L191" s="135">
        <f>jagung!H48</f>
        <v>0</v>
      </c>
      <c r="M191" s="135">
        <f>jagung!I48</f>
        <v>0.2</v>
      </c>
      <c r="N191" s="135">
        <f>jagung!J48</f>
        <v>0</v>
      </c>
      <c r="O191" s="164">
        <f>jagung!K48</f>
        <v>0</v>
      </c>
      <c r="P191" s="128">
        <f t="shared" si="58"/>
        <v>0.2</v>
      </c>
      <c r="Q191" s="131">
        <f t="shared" si="59"/>
        <v>0.2</v>
      </c>
    </row>
    <row r="192" spans="1:17" ht="15.75" thickBot="1" x14ac:dyDescent="0.3">
      <c r="A192" s="88">
        <v>8</v>
      </c>
      <c r="B192" s="15" t="s">
        <v>25</v>
      </c>
      <c r="C192" s="140">
        <v>0</v>
      </c>
      <c r="D192" s="140">
        <v>0</v>
      </c>
      <c r="E192" s="140">
        <v>0</v>
      </c>
      <c r="F192" s="140">
        <f>jagung!C49</f>
        <v>0</v>
      </c>
      <c r="G192" s="339">
        <f>jagung!D49</f>
        <v>0</v>
      </c>
      <c r="H192" s="339" t="str">
        <f>jagung!E49</f>
        <v>3*</v>
      </c>
      <c r="I192" s="335" t="s">
        <v>121</v>
      </c>
      <c r="J192" s="329">
        <f>jagung!F49</f>
        <v>0</v>
      </c>
      <c r="K192" s="329" t="str">
        <f>jagung!G49</f>
        <v>1*</v>
      </c>
      <c r="L192" s="329">
        <f>jagung!H49</f>
        <v>0</v>
      </c>
      <c r="M192" s="329">
        <f>jagung!I49</f>
        <v>0</v>
      </c>
      <c r="N192" s="329">
        <f>jagung!J49</f>
        <v>1</v>
      </c>
      <c r="O192" s="329">
        <f>jagung!K49</f>
        <v>0</v>
      </c>
      <c r="P192" s="129">
        <f>SUM(J192:O192)</f>
        <v>1</v>
      </c>
      <c r="Q192" s="132">
        <f t="shared" si="59"/>
        <v>1</v>
      </c>
    </row>
    <row r="193" spans="1:17" ht="16.5" thickTop="1" thickBot="1" x14ac:dyDescent="0.3">
      <c r="A193" s="514" t="s">
        <v>26</v>
      </c>
      <c r="B193" s="515"/>
      <c r="C193" s="115">
        <f>SUM(C185:C192)</f>
        <v>0</v>
      </c>
      <c r="D193" s="115">
        <f>SUM(D185:D192)</f>
        <v>0</v>
      </c>
      <c r="E193" s="115">
        <f>SUM(E185:E192)</f>
        <v>1</v>
      </c>
      <c r="F193" s="115">
        <f>SUM(F185:F192)</f>
        <v>0</v>
      </c>
      <c r="G193" s="336" t="s">
        <v>119</v>
      </c>
      <c r="H193" s="337" t="s">
        <v>127</v>
      </c>
      <c r="I193" s="338">
        <v>11</v>
      </c>
      <c r="J193" s="136">
        <f t="shared" ref="J193:O193" si="60">SUM(J185:J192)</f>
        <v>2</v>
      </c>
      <c r="K193" s="115">
        <f t="shared" si="60"/>
        <v>2</v>
      </c>
      <c r="L193" s="115">
        <f t="shared" si="60"/>
        <v>0</v>
      </c>
      <c r="M193" s="115">
        <f t="shared" si="60"/>
        <v>0.2</v>
      </c>
      <c r="N193" s="115">
        <f t="shared" si="60"/>
        <v>6</v>
      </c>
      <c r="O193" s="124">
        <f t="shared" si="60"/>
        <v>9</v>
      </c>
      <c r="P193" s="126">
        <f>SUM(P185:P192)</f>
        <v>19.2</v>
      </c>
      <c r="Q193" s="133">
        <f>SUM(Q185:Q192)</f>
        <v>20.2</v>
      </c>
    </row>
    <row r="194" spans="1:17" x14ac:dyDescent="0.25">
      <c r="A194" s="100" t="s">
        <v>75</v>
      </c>
      <c r="B194" s="97"/>
      <c r="C194" s="330"/>
      <c r="D194" s="330"/>
      <c r="E194" s="330"/>
      <c r="F194" s="330"/>
      <c r="G194" s="330"/>
      <c r="H194" s="330"/>
      <c r="I194" s="330"/>
      <c r="J194" s="331"/>
      <c r="K194" s="330"/>
      <c r="L194" s="330"/>
      <c r="M194" s="330"/>
      <c r="N194" s="330"/>
      <c r="O194" s="330"/>
      <c r="P194" s="330"/>
      <c r="Q194" s="330"/>
    </row>
    <row r="196" spans="1:17" ht="15.75" x14ac:dyDescent="0.25">
      <c r="A196" s="516" t="s">
        <v>126</v>
      </c>
      <c r="B196" s="516"/>
      <c r="C196" s="516"/>
      <c r="D196" s="516"/>
      <c r="E196" s="516"/>
      <c r="F196" s="516"/>
      <c r="G196" s="516"/>
      <c r="H196" s="516"/>
      <c r="I196" s="516"/>
      <c r="J196" s="516"/>
      <c r="K196" s="516"/>
      <c r="L196" s="516"/>
      <c r="M196" s="516"/>
      <c r="N196" s="516"/>
      <c r="O196" s="516"/>
      <c r="P196" s="516"/>
      <c r="Q196" s="516"/>
    </row>
    <row r="197" spans="1:17" ht="15.75" x14ac:dyDescent="0.25">
      <c r="A197" s="516" t="s">
        <v>82</v>
      </c>
      <c r="B197" s="516"/>
      <c r="C197" s="516"/>
      <c r="D197" s="516"/>
      <c r="E197" s="516"/>
      <c r="F197" s="516"/>
      <c r="G197" s="516"/>
      <c r="H197" s="516"/>
      <c r="I197" s="516"/>
      <c r="J197" s="516"/>
      <c r="K197" s="516"/>
      <c r="L197" s="516"/>
      <c r="M197" s="516"/>
      <c r="N197" s="516"/>
      <c r="O197" s="516"/>
      <c r="P197" s="516"/>
      <c r="Q197" s="516"/>
    </row>
    <row r="198" spans="1:17" ht="15.75" thickBot="1" x14ac:dyDescent="0.3">
      <c r="Q198" s="77" t="s">
        <v>1</v>
      </c>
    </row>
    <row r="199" spans="1:17" x14ac:dyDescent="0.25">
      <c r="A199" s="511" t="s">
        <v>2</v>
      </c>
      <c r="B199" s="513" t="s">
        <v>3</v>
      </c>
      <c r="C199" s="517" t="s">
        <v>114</v>
      </c>
      <c r="D199" s="518"/>
      <c r="E199" s="518"/>
      <c r="F199" s="518"/>
      <c r="G199" s="518"/>
      <c r="H199" s="518"/>
      <c r="I199" s="519" t="s">
        <v>84</v>
      </c>
      <c r="J199" s="518">
        <v>2016</v>
      </c>
      <c r="K199" s="518"/>
      <c r="L199" s="518"/>
      <c r="M199" s="518"/>
      <c r="N199" s="518"/>
      <c r="O199" s="518"/>
      <c r="P199" s="519" t="s">
        <v>85</v>
      </c>
      <c r="Q199" s="521" t="s">
        <v>5</v>
      </c>
    </row>
    <row r="200" spans="1:17" x14ac:dyDescent="0.25">
      <c r="A200" s="512"/>
      <c r="B200" s="499"/>
      <c r="C200" s="462" t="s">
        <v>15</v>
      </c>
      <c r="D200" s="462" t="s">
        <v>16</v>
      </c>
      <c r="E200" s="462" t="s">
        <v>17</v>
      </c>
      <c r="F200" s="462" t="s">
        <v>6</v>
      </c>
      <c r="G200" s="462" t="s">
        <v>77</v>
      </c>
      <c r="H200" s="122" t="s">
        <v>78</v>
      </c>
      <c r="I200" s="520"/>
      <c r="J200" s="112" t="s">
        <v>79</v>
      </c>
      <c r="K200" s="462" t="s">
        <v>10</v>
      </c>
      <c r="L200" s="462" t="s">
        <v>11</v>
      </c>
      <c r="M200" s="462" t="s">
        <v>12</v>
      </c>
      <c r="N200" s="462" t="s">
        <v>80</v>
      </c>
      <c r="O200" s="122" t="s">
        <v>81</v>
      </c>
      <c r="P200" s="520"/>
      <c r="Q200" s="522"/>
    </row>
    <row r="201" spans="1:17" ht="15.75" thickBot="1" x14ac:dyDescent="0.3">
      <c r="A201" s="114">
        <v>1</v>
      </c>
      <c r="B201" s="5">
        <v>2</v>
      </c>
      <c r="C201" s="5">
        <v>3</v>
      </c>
      <c r="D201" s="5">
        <v>4</v>
      </c>
      <c r="E201" s="5">
        <v>5</v>
      </c>
      <c r="F201" s="5">
        <v>6</v>
      </c>
      <c r="G201" s="5">
        <v>7</v>
      </c>
      <c r="H201" s="123">
        <v>8</v>
      </c>
      <c r="I201" s="125">
        <v>9</v>
      </c>
      <c r="J201" s="113">
        <v>10</v>
      </c>
      <c r="K201" s="5">
        <v>11</v>
      </c>
      <c r="L201" s="5">
        <v>12</v>
      </c>
      <c r="M201" s="5">
        <v>13</v>
      </c>
      <c r="N201" s="5">
        <v>14</v>
      </c>
      <c r="O201" s="123">
        <v>15</v>
      </c>
      <c r="P201" s="125">
        <v>16</v>
      </c>
      <c r="Q201" s="134">
        <v>17</v>
      </c>
    </row>
    <row r="202" spans="1:17" ht="15.75" thickTop="1" x14ac:dyDescent="0.25">
      <c r="A202" s="85">
        <v>1</v>
      </c>
      <c r="B202" s="7" t="s">
        <v>18</v>
      </c>
      <c r="C202" s="139">
        <v>0</v>
      </c>
      <c r="D202" s="139">
        <v>0</v>
      </c>
      <c r="E202" s="139">
        <v>0</v>
      </c>
      <c r="F202" s="139">
        <f>kedelai!C42</f>
        <v>0</v>
      </c>
      <c r="G202" s="139">
        <f>kedelai!D42</f>
        <v>0</v>
      </c>
      <c r="H202" s="139">
        <f>kedelai!E42</f>
        <v>0</v>
      </c>
      <c r="I202" s="127">
        <f>SUM(C202:H202)</f>
        <v>0</v>
      </c>
      <c r="J202" s="162">
        <f>kedelai!F42</f>
        <v>0</v>
      </c>
      <c r="K202" s="162">
        <f>kedelai!G42</f>
        <v>0</v>
      </c>
      <c r="L202" s="162">
        <f>kedelai!H42</f>
        <v>0</v>
      </c>
      <c r="M202" s="162">
        <f>kedelai!I42</f>
        <v>0</v>
      </c>
      <c r="N202" s="162">
        <f>kedelai!J42</f>
        <v>0</v>
      </c>
      <c r="O202" s="162">
        <f>kedelai!K42</f>
        <v>0</v>
      </c>
      <c r="P202" s="127">
        <f>SUM(J202:O202)</f>
        <v>0</v>
      </c>
      <c r="Q202" s="130">
        <f>SUM(I202,P202)</f>
        <v>0</v>
      </c>
    </row>
    <row r="203" spans="1:17" x14ac:dyDescent="0.25">
      <c r="A203" s="86">
        <v>2</v>
      </c>
      <c r="B203" s="12" t="s">
        <v>19</v>
      </c>
      <c r="C203" s="60">
        <v>0</v>
      </c>
      <c r="D203" s="60">
        <v>0</v>
      </c>
      <c r="E203" s="60">
        <v>0</v>
      </c>
      <c r="F203" s="60">
        <f>kedelai!C43</f>
        <v>1</v>
      </c>
      <c r="G203" s="60">
        <f>kedelai!D43</f>
        <v>2</v>
      </c>
      <c r="H203" s="60">
        <f>kedelai!E43</f>
        <v>19</v>
      </c>
      <c r="I203" s="128">
        <f t="shared" ref="I203:I209" si="61">SUM(C203:H203)</f>
        <v>22</v>
      </c>
      <c r="J203" s="135">
        <f>kedelai!F43</f>
        <v>3</v>
      </c>
      <c r="K203" s="135">
        <f>kedelai!G43</f>
        <v>6</v>
      </c>
      <c r="L203" s="135">
        <f>kedelai!H43</f>
        <v>0</v>
      </c>
      <c r="M203" s="135">
        <f>kedelai!I43</f>
        <v>0</v>
      </c>
      <c r="N203" s="135">
        <f>kedelai!J43</f>
        <v>0</v>
      </c>
      <c r="O203" s="164">
        <f>kedelai!K43</f>
        <v>0</v>
      </c>
      <c r="P203" s="128">
        <f t="shared" ref="P203:P208" si="62">SUM(J203:O203)</f>
        <v>9</v>
      </c>
      <c r="Q203" s="131">
        <f t="shared" ref="Q203:Q209" si="63">SUM(I203,P203)</f>
        <v>31</v>
      </c>
    </row>
    <row r="204" spans="1:17" x14ac:dyDescent="0.25">
      <c r="A204" s="86">
        <v>3</v>
      </c>
      <c r="B204" s="7" t="s">
        <v>20</v>
      </c>
      <c r="C204" s="60">
        <v>0</v>
      </c>
      <c r="D204" s="60">
        <v>0</v>
      </c>
      <c r="E204" s="60">
        <v>0</v>
      </c>
      <c r="F204" s="60">
        <f>kedelai!C44</f>
        <v>0</v>
      </c>
      <c r="G204" s="60">
        <f>kedelai!D44</f>
        <v>0</v>
      </c>
      <c r="H204" s="340" t="str">
        <f>kedelai!E44</f>
        <v>40*</v>
      </c>
      <c r="I204" s="334" t="s">
        <v>122</v>
      </c>
      <c r="J204" s="135">
        <f>kedelai!F44</f>
        <v>0</v>
      </c>
      <c r="K204" s="135">
        <f>kedelai!G44</f>
        <v>0</v>
      </c>
      <c r="L204" s="135">
        <f>kedelai!H44</f>
        <v>0</v>
      </c>
      <c r="M204" s="135">
        <f>kedelai!I44</f>
        <v>0</v>
      </c>
      <c r="N204" s="135">
        <f>kedelai!J44</f>
        <v>0</v>
      </c>
      <c r="O204" s="164">
        <f>kedelai!K44</f>
        <v>0</v>
      </c>
      <c r="P204" s="128">
        <f t="shared" si="62"/>
        <v>0</v>
      </c>
      <c r="Q204" s="131">
        <f t="shared" si="63"/>
        <v>0</v>
      </c>
    </row>
    <row r="205" spans="1:17" x14ac:dyDescent="0.25">
      <c r="A205" s="87">
        <v>4</v>
      </c>
      <c r="B205" s="15" t="s">
        <v>21</v>
      </c>
      <c r="C205" s="60">
        <v>0</v>
      </c>
      <c r="D205" s="60">
        <v>0</v>
      </c>
      <c r="E205" s="60">
        <v>0</v>
      </c>
      <c r="F205" s="60">
        <f>kedelai!C45</f>
        <v>0</v>
      </c>
      <c r="G205" s="60">
        <f>kedelai!D45</f>
        <v>0</v>
      </c>
      <c r="H205" s="60">
        <f>kedelai!E45</f>
        <v>0</v>
      </c>
      <c r="I205" s="128">
        <f t="shared" si="61"/>
        <v>0</v>
      </c>
      <c r="J205" s="135">
        <f>kedelai!F45</f>
        <v>0</v>
      </c>
      <c r="K205" s="135">
        <f>kedelai!G45</f>
        <v>0</v>
      </c>
      <c r="L205" s="135">
        <f>kedelai!H45</f>
        <v>0</v>
      </c>
      <c r="M205" s="135">
        <f>kedelai!I45</f>
        <v>0</v>
      </c>
      <c r="N205" s="135">
        <f>kedelai!J45</f>
        <v>0</v>
      </c>
      <c r="O205" s="164">
        <f>kedelai!K45</f>
        <v>0</v>
      </c>
      <c r="P205" s="128">
        <f t="shared" si="62"/>
        <v>0</v>
      </c>
      <c r="Q205" s="131">
        <f t="shared" si="63"/>
        <v>0</v>
      </c>
    </row>
    <row r="206" spans="1:17" x14ac:dyDescent="0.25">
      <c r="A206" s="87">
        <v>5</v>
      </c>
      <c r="B206" s="19" t="s">
        <v>22</v>
      </c>
      <c r="C206" s="60">
        <v>0</v>
      </c>
      <c r="D206" s="60">
        <v>0</v>
      </c>
      <c r="E206" s="60">
        <v>6</v>
      </c>
      <c r="F206" s="60">
        <f>kedelai!C46</f>
        <v>0</v>
      </c>
      <c r="G206" s="60">
        <f>kedelai!D46</f>
        <v>4</v>
      </c>
      <c r="H206" s="60">
        <f>kedelai!E46</f>
        <v>0</v>
      </c>
      <c r="I206" s="128">
        <f t="shared" si="61"/>
        <v>10</v>
      </c>
      <c r="J206" s="135">
        <f>kedelai!F46</f>
        <v>0</v>
      </c>
      <c r="K206" s="135">
        <f>kedelai!G46</f>
        <v>10</v>
      </c>
      <c r="L206" s="135">
        <f>kedelai!H46</f>
        <v>25</v>
      </c>
      <c r="M206" s="135">
        <f>kedelai!I46</f>
        <v>0</v>
      </c>
      <c r="N206" s="135">
        <f>kedelai!J46</f>
        <v>0</v>
      </c>
      <c r="O206" s="164">
        <f>kedelai!K46</f>
        <v>0</v>
      </c>
      <c r="P206" s="128">
        <f t="shared" si="62"/>
        <v>35</v>
      </c>
      <c r="Q206" s="131">
        <f t="shared" si="63"/>
        <v>45</v>
      </c>
    </row>
    <row r="207" spans="1:17" x14ac:dyDescent="0.25">
      <c r="A207" s="87">
        <v>6</v>
      </c>
      <c r="B207" s="19" t="s">
        <v>23</v>
      </c>
      <c r="C207" s="60">
        <v>0</v>
      </c>
      <c r="D207" s="60">
        <v>0</v>
      </c>
      <c r="E207" s="60">
        <v>0</v>
      </c>
      <c r="F207" s="60">
        <f>kedelai!C47</f>
        <v>0</v>
      </c>
      <c r="G207" s="60">
        <f>kedelai!D47</f>
        <v>0</v>
      </c>
      <c r="H207" s="60">
        <f>kedelai!E47</f>
        <v>0</v>
      </c>
      <c r="I207" s="128">
        <f t="shared" si="61"/>
        <v>0</v>
      </c>
      <c r="J207" s="135">
        <f>kedelai!F47</f>
        <v>0</v>
      </c>
      <c r="K207" s="135">
        <f>kedelai!G47</f>
        <v>0</v>
      </c>
      <c r="L207" s="135">
        <f>kedelai!H47</f>
        <v>0</v>
      </c>
      <c r="M207" s="135">
        <f>kedelai!I47</f>
        <v>0</v>
      </c>
      <c r="N207" s="135">
        <f>kedelai!J47</f>
        <v>0</v>
      </c>
      <c r="O207" s="164">
        <f>kedelai!K47</f>
        <v>0</v>
      </c>
      <c r="P207" s="128">
        <f t="shared" si="62"/>
        <v>0</v>
      </c>
      <c r="Q207" s="131">
        <f t="shared" si="63"/>
        <v>0</v>
      </c>
    </row>
    <row r="208" spans="1:17" x14ac:dyDescent="0.25">
      <c r="A208" s="87">
        <v>7</v>
      </c>
      <c r="B208" s="19" t="s">
        <v>24</v>
      </c>
      <c r="C208" s="60">
        <v>0</v>
      </c>
      <c r="D208" s="60">
        <v>0</v>
      </c>
      <c r="E208" s="60">
        <v>0</v>
      </c>
      <c r="F208" s="60">
        <f>kedelai!C48</f>
        <v>0</v>
      </c>
      <c r="G208" s="60">
        <f>kedelai!D48</f>
        <v>0</v>
      </c>
      <c r="H208" s="60">
        <f>kedelai!E48</f>
        <v>0</v>
      </c>
      <c r="I208" s="128">
        <f t="shared" si="61"/>
        <v>0</v>
      </c>
      <c r="J208" s="135">
        <f>kedelai!F48</f>
        <v>0</v>
      </c>
      <c r="K208" s="135">
        <f>kedelai!G48</f>
        <v>0</v>
      </c>
      <c r="L208" s="135">
        <f>kedelai!H48</f>
        <v>0</v>
      </c>
      <c r="M208" s="135">
        <f>kedelai!I48</f>
        <v>0</v>
      </c>
      <c r="N208" s="135">
        <f>kedelai!J48</f>
        <v>0</v>
      </c>
      <c r="O208" s="164">
        <f>kedelai!K48</f>
        <v>0</v>
      </c>
      <c r="P208" s="128">
        <f t="shared" si="62"/>
        <v>0</v>
      </c>
      <c r="Q208" s="131">
        <f t="shared" si="63"/>
        <v>0</v>
      </c>
    </row>
    <row r="209" spans="1:17" ht="15.75" thickBot="1" x14ac:dyDescent="0.3">
      <c r="A209" s="88">
        <v>8</v>
      </c>
      <c r="B209" s="15" t="s">
        <v>25</v>
      </c>
      <c r="C209" s="140">
        <v>0</v>
      </c>
      <c r="D209" s="140">
        <v>0</v>
      </c>
      <c r="E209" s="140">
        <v>0</v>
      </c>
      <c r="F209" s="140">
        <f>kedelai!C49</f>
        <v>0</v>
      </c>
      <c r="G209" s="140">
        <f>kedelai!D49</f>
        <v>0</v>
      </c>
      <c r="H209" s="140">
        <f>kedelai!E49</f>
        <v>0</v>
      </c>
      <c r="I209" s="129">
        <f t="shared" si="61"/>
        <v>0</v>
      </c>
      <c r="J209" s="329">
        <f>kedelai!F49</f>
        <v>0</v>
      </c>
      <c r="K209" s="329">
        <f>kedelai!G49</f>
        <v>0</v>
      </c>
      <c r="L209" s="329">
        <f>kedelai!H49</f>
        <v>28</v>
      </c>
      <c r="M209" s="329">
        <f>kedelai!I49</f>
        <v>0</v>
      </c>
      <c r="N209" s="329">
        <f>kedelai!J49</f>
        <v>0</v>
      </c>
      <c r="O209" s="329">
        <f>kedelai!K49</f>
        <v>0</v>
      </c>
      <c r="P209" s="129">
        <f>SUM(J209:O209)</f>
        <v>28</v>
      </c>
      <c r="Q209" s="132">
        <f t="shared" si="63"/>
        <v>28</v>
      </c>
    </row>
    <row r="210" spans="1:17" ht="16.5" thickTop="1" thickBot="1" x14ac:dyDescent="0.3">
      <c r="A210" s="514" t="s">
        <v>26</v>
      </c>
      <c r="B210" s="515"/>
      <c r="C210" s="115">
        <f>SUM(C202:C209)</f>
        <v>0</v>
      </c>
      <c r="D210" s="115">
        <f>SUM(D202:D209)</f>
        <v>0</v>
      </c>
      <c r="E210" s="115">
        <f>SUM(E202:E209)</f>
        <v>6</v>
      </c>
      <c r="F210" s="115">
        <f>SUM(F202:F209)</f>
        <v>1</v>
      </c>
      <c r="G210" s="115">
        <f>SUM(G202:G209)</f>
        <v>6</v>
      </c>
      <c r="H210" s="124">
        <v>59</v>
      </c>
      <c r="I210" s="126">
        <f>SUM(I202:I209)</f>
        <v>32</v>
      </c>
      <c r="J210" s="136">
        <f t="shared" ref="J210:O210" si="64">SUM(J202:J209)</f>
        <v>3</v>
      </c>
      <c r="K210" s="115">
        <f t="shared" si="64"/>
        <v>16</v>
      </c>
      <c r="L210" s="115">
        <f t="shared" si="64"/>
        <v>53</v>
      </c>
      <c r="M210" s="115">
        <f t="shared" si="64"/>
        <v>0</v>
      </c>
      <c r="N210" s="115">
        <f t="shared" si="64"/>
        <v>0</v>
      </c>
      <c r="O210" s="124">
        <f t="shared" si="64"/>
        <v>0</v>
      </c>
      <c r="P210" s="126">
        <f>SUM(P202:P209)</f>
        <v>72</v>
      </c>
      <c r="Q210" s="133">
        <f>SUM(Q202:Q209)</f>
        <v>104</v>
      </c>
    </row>
    <row r="211" spans="1:17" x14ac:dyDescent="0.25">
      <c r="A211" s="100" t="s">
        <v>75</v>
      </c>
    </row>
    <row r="213" spans="1:17" ht="15.75" x14ac:dyDescent="0.25">
      <c r="A213" s="516" t="s">
        <v>129</v>
      </c>
      <c r="B213" s="516"/>
      <c r="C213" s="516"/>
      <c r="D213" s="516"/>
      <c r="E213" s="516"/>
      <c r="F213" s="516"/>
      <c r="G213" s="516"/>
      <c r="H213" s="516"/>
      <c r="I213" s="516"/>
      <c r="J213" s="516"/>
      <c r="K213" s="516"/>
      <c r="L213" s="516"/>
      <c r="M213" s="516"/>
      <c r="N213" s="516"/>
      <c r="O213" s="516"/>
      <c r="P213" s="516"/>
      <c r="Q213" s="516"/>
    </row>
    <row r="214" spans="1:17" ht="15.75" x14ac:dyDescent="0.25">
      <c r="A214" s="516" t="s">
        <v>82</v>
      </c>
      <c r="B214" s="516"/>
      <c r="C214" s="516"/>
      <c r="D214" s="516"/>
      <c r="E214" s="516"/>
      <c r="F214" s="516"/>
      <c r="G214" s="516"/>
      <c r="H214" s="516"/>
      <c r="I214" s="516"/>
      <c r="J214" s="516"/>
      <c r="K214" s="516"/>
      <c r="L214" s="516"/>
      <c r="M214" s="516"/>
      <c r="N214" s="516"/>
      <c r="O214" s="516"/>
      <c r="P214" s="516"/>
      <c r="Q214" s="516"/>
    </row>
    <row r="215" spans="1:17" ht="15.75" thickBot="1" x14ac:dyDescent="0.3">
      <c r="Q215" s="77" t="s">
        <v>1</v>
      </c>
    </row>
    <row r="216" spans="1:17" x14ac:dyDescent="0.25">
      <c r="A216" s="511" t="s">
        <v>2</v>
      </c>
      <c r="B216" s="513" t="s">
        <v>3</v>
      </c>
      <c r="C216" s="517" t="s">
        <v>114</v>
      </c>
      <c r="D216" s="518"/>
      <c r="E216" s="518"/>
      <c r="F216" s="518"/>
      <c r="G216" s="518"/>
      <c r="H216" s="518"/>
      <c r="I216" s="519" t="s">
        <v>84</v>
      </c>
      <c r="J216" s="518">
        <v>2016</v>
      </c>
      <c r="K216" s="518"/>
      <c r="L216" s="518"/>
      <c r="M216" s="518"/>
      <c r="N216" s="518"/>
      <c r="O216" s="518"/>
      <c r="P216" s="519" t="s">
        <v>85</v>
      </c>
      <c r="Q216" s="521" t="s">
        <v>5</v>
      </c>
    </row>
    <row r="217" spans="1:17" x14ac:dyDescent="0.25">
      <c r="A217" s="512"/>
      <c r="B217" s="499"/>
      <c r="C217" s="462" t="s">
        <v>15</v>
      </c>
      <c r="D217" s="462" t="s">
        <v>16</v>
      </c>
      <c r="E217" s="462" t="s">
        <v>17</v>
      </c>
      <c r="F217" s="462" t="s">
        <v>6</v>
      </c>
      <c r="G217" s="462" t="s">
        <v>77</v>
      </c>
      <c r="H217" s="122" t="s">
        <v>78</v>
      </c>
      <c r="I217" s="520"/>
      <c r="J217" s="112" t="s">
        <v>79</v>
      </c>
      <c r="K217" s="462" t="s">
        <v>10</v>
      </c>
      <c r="L217" s="462" t="s">
        <v>11</v>
      </c>
      <c r="M217" s="462" t="s">
        <v>12</v>
      </c>
      <c r="N217" s="462" t="s">
        <v>80</v>
      </c>
      <c r="O217" s="122" t="s">
        <v>81</v>
      </c>
      <c r="P217" s="520"/>
      <c r="Q217" s="522"/>
    </row>
    <row r="218" spans="1:17" ht="15.75" thickBot="1" x14ac:dyDescent="0.3">
      <c r="A218" s="114">
        <v>1</v>
      </c>
      <c r="B218" s="5">
        <v>2</v>
      </c>
      <c r="C218" s="5">
        <v>3</v>
      </c>
      <c r="D218" s="5">
        <v>4</v>
      </c>
      <c r="E218" s="5">
        <v>5</v>
      </c>
      <c r="F218" s="5">
        <v>6</v>
      </c>
      <c r="G218" s="5">
        <v>7</v>
      </c>
      <c r="H218" s="123">
        <v>8</v>
      </c>
      <c r="I218" s="125">
        <v>9</v>
      </c>
      <c r="J218" s="113">
        <v>10</v>
      </c>
      <c r="K218" s="5">
        <v>11</v>
      </c>
      <c r="L218" s="5">
        <v>12</v>
      </c>
      <c r="M218" s="5">
        <v>13</v>
      </c>
      <c r="N218" s="5">
        <v>14</v>
      </c>
      <c r="O218" s="123">
        <v>15</v>
      </c>
      <c r="P218" s="125">
        <v>16</v>
      </c>
      <c r="Q218" s="134">
        <v>17</v>
      </c>
    </row>
    <row r="219" spans="1:17" ht="15.75" thickTop="1" x14ac:dyDescent="0.25">
      <c r="A219" s="85">
        <v>1</v>
      </c>
      <c r="B219" s="7" t="s">
        <v>18</v>
      </c>
      <c r="C219" s="139">
        <v>0</v>
      </c>
      <c r="D219" s="139">
        <v>0</v>
      </c>
      <c r="E219" s="139">
        <v>0</v>
      </c>
      <c r="F219" s="139">
        <v>31</v>
      </c>
      <c r="G219" s="139">
        <v>0</v>
      </c>
      <c r="H219" s="139">
        <v>0</v>
      </c>
      <c r="I219" s="127">
        <f t="shared" ref="I219:I226" si="65">SUM(C219:H219)</f>
        <v>31</v>
      </c>
      <c r="J219" s="162">
        <f>'kc tanah'!F9</f>
        <v>25</v>
      </c>
      <c r="K219" s="162">
        <f>'kc tanah'!G9</f>
        <v>105</v>
      </c>
      <c r="L219" s="162">
        <f>'kc tanah'!H9</f>
        <v>0</v>
      </c>
      <c r="M219" s="162">
        <f>'kc tanah'!I9</f>
        <v>0</v>
      </c>
      <c r="N219" s="162">
        <f>'kc tanah'!J9</f>
        <v>0</v>
      </c>
      <c r="O219" s="162">
        <f>'kc tanah'!K9</f>
        <v>0</v>
      </c>
      <c r="P219" s="127">
        <f>SUM(J219:O219)</f>
        <v>130</v>
      </c>
      <c r="Q219" s="130">
        <f>SUM(I219,P219)</f>
        <v>161</v>
      </c>
    </row>
    <row r="220" spans="1:17" x14ac:dyDescent="0.25">
      <c r="A220" s="86">
        <v>2</v>
      </c>
      <c r="B220" s="12" t="s">
        <v>19</v>
      </c>
      <c r="C220" s="60">
        <v>0</v>
      </c>
      <c r="D220" s="60">
        <v>0</v>
      </c>
      <c r="E220" s="60">
        <v>0</v>
      </c>
      <c r="F220" s="60">
        <v>125</v>
      </c>
      <c r="G220" s="60">
        <v>0</v>
      </c>
      <c r="H220" s="60">
        <v>0</v>
      </c>
      <c r="I220" s="128">
        <f t="shared" si="65"/>
        <v>125</v>
      </c>
      <c r="J220" s="341">
        <f>'kc tanah'!F10</f>
        <v>0</v>
      </c>
      <c r="K220" s="135">
        <f>'kc tanah'!G10</f>
        <v>0</v>
      </c>
      <c r="L220" s="135">
        <f>'kc tanah'!H10</f>
        <v>0</v>
      </c>
      <c r="M220" s="135">
        <f>'kc tanah'!I10</f>
        <v>0</v>
      </c>
      <c r="N220" s="135">
        <f>'kc tanah'!J10</f>
        <v>0</v>
      </c>
      <c r="O220" s="164">
        <f>'kc tanah'!K10</f>
        <v>0</v>
      </c>
      <c r="P220" s="128">
        <f t="shared" ref="P220:P225" si="66">SUM(J220:O220)</f>
        <v>0</v>
      </c>
      <c r="Q220" s="131">
        <f t="shared" ref="Q220:Q226" si="67">SUM(I220,P220)</f>
        <v>125</v>
      </c>
    </row>
    <row r="221" spans="1:17" x14ac:dyDescent="0.25">
      <c r="A221" s="86">
        <v>3</v>
      </c>
      <c r="B221" s="7" t="s">
        <v>20</v>
      </c>
      <c r="C221" s="60">
        <v>0</v>
      </c>
      <c r="D221" s="60">
        <v>0</v>
      </c>
      <c r="E221" s="60">
        <v>0</v>
      </c>
      <c r="F221" s="60">
        <v>20</v>
      </c>
      <c r="G221" s="60">
        <v>0</v>
      </c>
      <c r="H221" s="340">
        <v>0</v>
      </c>
      <c r="I221" s="128">
        <f t="shared" si="65"/>
        <v>20</v>
      </c>
      <c r="J221" s="341">
        <f>'kc tanah'!F11</f>
        <v>280</v>
      </c>
      <c r="K221" s="135">
        <f>'kc tanah'!G11</f>
        <v>0</v>
      </c>
      <c r="L221" s="135">
        <f>'kc tanah'!H11</f>
        <v>0</v>
      </c>
      <c r="M221" s="135">
        <f>'kc tanah'!I11</f>
        <v>0</v>
      </c>
      <c r="N221" s="135">
        <f>'kc tanah'!J11</f>
        <v>0</v>
      </c>
      <c r="O221" s="164">
        <f>'kc tanah'!K11</f>
        <v>0</v>
      </c>
      <c r="P221" s="128">
        <f t="shared" si="66"/>
        <v>280</v>
      </c>
      <c r="Q221" s="131">
        <f t="shared" si="67"/>
        <v>300</v>
      </c>
    </row>
    <row r="222" spans="1:17" x14ac:dyDescent="0.25">
      <c r="A222" s="87">
        <v>4</v>
      </c>
      <c r="B222" s="15" t="s">
        <v>21</v>
      </c>
      <c r="C222" s="60">
        <v>0</v>
      </c>
      <c r="D222" s="60">
        <v>0</v>
      </c>
      <c r="E222" s="60">
        <v>3</v>
      </c>
      <c r="F222" s="60">
        <v>22</v>
      </c>
      <c r="G222" s="60">
        <v>0</v>
      </c>
      <c r="H222" s="60">
        <v>18</v>
      </c>
      <c r="I222" s="128">
        <f t="shared" si="65"/>
        <v>43</v>
      </c>
      <c r="J222" s="341">
        <f>'kc tanah'!F12</f>
        <v>0</v>
      </c>
      <c r="K222" s="135">
        <f>'kc tanah'!G12</f>
        <v>15</v>
      </c>
      <c r="L222" s="135">
        <f>'kc tanah'!H12</f>
        <v>3</v>
      </c>
      <c r="M222" s="135">
        <f>'kc tanah'!I12</f>
        <v>17</v>
      </c>
      <c r="N222" s="135">
        <f>'kc tanah'!J12</f>
        <v>0</v>
      </c>
      <c r="O222" s="164">
        <f>'kc tanah'!K12</f>
        <v>0</v>
      </c>
      <c r="P222" s="128">
        <f t="shared" si="66"/>
        <v>35</v>
      </c>
      <c r="Q222" s="131">
        <f t="shared" si="67"/>
        <v>78</v>
      </c>
    </row>
    <row r="223" spans="1:17" x14ac:dyDescent="0.25">
      <c r="A223" s="87">
        <v>5</v>
      </c>
      <c r="B223" s="19" t="s">
        <v>22</v>
      </c>
      <c r="C223" s="60">
        <v>0</v>
      </c>
      <c r="D223" s="60">
        <v>0</v>
      </c>
      <c r="E223" s="60">
        <v>0</v>
      </c>
      <c r="F223" s="60">
        <v>96</v>
      </c>
      <c r="G223" s="60">
        <v>0</v>
      </c>
      <c r="H223" s="60">
        <v>0</v>
      </c>
      <c r="I223" s="128">
        <f t="shared" si="65"/>
        <v>96</v>
      </c>
      <c r="J223" s="341">
        <f>'kc tanah'!F13</f>
        <v>115</v>
      </c>
      <c r="K223" s="135">
        <f>'kc tanah'!G13</f>
        <v>0</v>
      </c>
      <c r="L223" s="135">
        <f>'kc tanah'!H13</f>
        <v>0</v>
      </c>
      <c r="M223" s="135">
        <f>'kc tanah'!I13</f>
        <v>0</v>
      </c>
      <c r="N223" s="135">
        <f>'kc tanah'!J13</f>
        <v>0</v>
      </c>
      <c r="O223" s="164">
        <f>'kc tanah'!K13</f>
        <v>0</v>
      </c>
      <c r="P223" s="128">
        <f t="shared" si="66"/>
        <v>115</v>
      </c>
      <c r="Q223" s="131">
        <f t="shared" si="67"/>
        <v>211</v>
      </c>
    </row>
    <row r="224" spans="1:17" x14ac:dyDescent="0.25">
      <c r="A224" s="87">
        <v>6</v>
      </c>
      <c r="B224" s="19" t="s">
        <v>23</v>
      </c>
      <c r="C224" s="60">
        <v>0</v>
      </c>
      <c r="D224" s="60">
        <v>0</v>
      </c>
      <c r="E224" s="60">
        <v>0</v>
      </c>
      <c r="F224" s="60">
        <v>15</v>
      </c>
      <c r="G224" s="60">
        <v>0</v>
      </c>
      <c r="H224" s="60">
        <v>20</v>
      </c>
      <c r="I224" s="128">
        <f t="shared" si="65"/>
        <v>35</v>
      </c>
      <c r="J224" s="341">
        <f>'kc tanah'!F14</f>
        <v>30</v>
      </c>
      <c r="K224" s="135">
        <f>'kc tanah'!G14</f>
        <v>0</v>
      </c>
      <c r="L224" s="135">
        <f>'kc tanah'!H14</f>
        <v>0</v>
      </c>
      <c r="M224" s="135">
        <f>'kc tanah'!I14</f>
        <v>15</v>
      </c>
      <c r="N224" s="135">
        <f>'kc tanah'!J14</f>
        <v>5</v>
      </c>
      <c r="O224" s="164">
        <f>'kc tanah'!K14</f>
        <v>0</v>
      </c>
      <c r="P224" s="128">
        <f t="shared" si="66"/>
        <v>50</v>
      </c>
      <c r="Q224" s="131">
        <f t="shared" si="67"/>
        <v>85</v>
      </c>
    </row>
    <row r="225" spans="1:17" x14ac:dyDescent="0.25">
      <c r="A225" s="87">
        <v>7</v>
      </c>
      <c r="B225" s="19" t="s">
        <v>24</v>
      </c>
      <c r="C225" s="60">
        <v>1</v>
      </c>
      <c r="D225" s="60">
        <v>0</v>
      </c>
      <c r="E225" s="60">
        <v>0</v>
      </c>
      <c r="F225" s="60">
        <v>1</v>
      </c>
      <c r="G225" s="60">
        <v>0</v>
      </c>
      <c r="H225" s="60">
        <v>1</v>
      </c>
      <c r="I225" s="128">
        <f t="shared" si="65"/>
        <v>3</v>
      </c>
      <c r="J225" s="341">
        <f>'kc tanah'!F15</f>
        <v>0</v>
      </c>
      <c r="K225" s="135">
        <f>'kc tanah'!G15</f>
        <v>0</v>
      </c>
      <c r="L225" s="135">
        <f>'kc tanah'!H15</f>
        <v>0</v>
      </c>
      <c r="M225" s="135">
        <f>'kc tanah'!I15</f>
        <v>0</v>
      </c>
      <c r="N225" s="135">
        <f>'kc tanah'!J15</f>
        <v>0</v>
      </c>
      <c r="O225" s="164">
        <f>'kc tanah'!K15</f>
        <v>0</v>
      </c>
      <c r="P225" s="128">
        <f t="shared" si="66"/>
        <v>0</v>
      </c>
      <c r="Q225" s="131">
        <f t="shared" si="67"/>
        <v>3</v>
      </c>
    </row>
    <row r="226" spans="1:17" ht="15.75" thickBot="1" x14ac:dyDescent="0.3">
      <c r="A226" s="88">
        <v>8</v>
      </c>
      <c r="B226" s="15" t="s">
        <v>25</v>
      </c>
      <c r="C226" s="140">
        <v>0</v>
      </c>
      <c r="D226" s="140">
        <v>75</v>
      </c>
      <c r="E226" s="140">
        <v>0</v>
      </c>
      <c r="F226" s="140">
        <v>0</v>
      </c>
      <c r="G226" s="140">
        <v>2</v>
      </c>
      <c r="H226" s="140">
        <v>75</v>
      </c>
      <c r="I226" s="129">
        <f t="shared" si="65"/>
        <v>152</v>
      </c>
      <c r="J226" s="329">
        <f>'kc tanah'!F16</f>
        <v>248</v>
      </c>
      <c r="K226" s="329">
        <f>'kc tanah'!G16</f>
        <v>0</v>
      </c>
      <c r="L226" s="329">
        <f>'kc tanah'!H16</f>
        <v>0</v>
      </c>
      <c r="M226" s="329">
        <f>'kc tanah'!I16</f>
        <v>225</v>
      </c>
      <c r="N226" s="329">
        <f>'kc tanah'!J16</f>
        <v>25</v>
      </c>
      <c r="O226" s="329">
        <f>'kc tanah'!K16</f>
        <v>35</v>
      </c>
      <c r="P226" s="129">
        <f>SUM(J226:O226)</f>
        <v>533</v>
      </c>
      <c r="Q226" s="132">
        <f t="shared" si="67"/>
        <v>685</v>
      </c>
    </row>
    <row r="227" spans="1:17" ht="16.5" thickTop="1" thickBot="1" x14ac:dyDescent="0.3">
      <c r="A227" s="514" t="s">
        <v>26</v>
      </c>
      <c r="B227" s="515"/>
      <c r="C227" s="115">
        <f t="shared" ref="C227:O227" si="68">SUM(C219:C226)</f>
        <v>1</v>
      </c>
      <c r="D227" s="115">
        <f t="shared" si="68"/>
        <v>75</v>
      </c>
      <c r="E227" s="115">
        <f t="shared" si="68"/>
        <v>3</v>
      </c>
      <c r="F227" s="115">
        <f t="shared" si="68"/>
        <v>310</v>
      </c>
      <c r="G227" s="115">
        <f t="shared" si="68"/>
        <v>2</v>
      </c>
      <c r="H227" s="124">
        <f t="shared" si="68"/>
        <v>114</v>
      </c>
      <c r="I227" s="126">
        <f t="shared" si="68"/>
        <v>505</v>
      </c>
      <c r="J227" s="136">
        <f t="shared" si="68"/>
        <v>698</v>
      </c>
      <c r="K227" s="115">
        <f t="shared" si="68"/>
        <v>120</v>
      </c>
      <c r="L227" s="115">
        <f t="shared" si="68"/>
        <v>3</v>
      </c>
      <c r="M227" s="115">
        <f t="shared" si="68"/>
        <v>257</v>
      </c>
      <c r="N227" s="115">
        <f t="shared" si="68"/>
        <v>30</v>
      </c>
      <c r="O227" s="124">
        <f t="shared" si="68"/>
        <v>35</v>
      </c>
      <c r="P227" s="126">
        <f>SUM(P219:P226)</f>
        <v>1143</v>
      </c>
      <c r="Q227" s="133">
        <f>SUM(Q219:Q226)</f>
        <v>1648</v>
      </c>
    </row>
    <row r="229" spans="1:17" ht="15.75" x14ac:dyDescent="0.25">
      <c r="A229" s="516" t="s">
        <v>130</v>
      </c>
      <c r="B229" s="516"/>
      <c r="C229" s="516"/>
      <c r="D229" s="516"/>
      <c r="E229" s="516"/>
      <c r="F229" s="516"/>
      <c r="G229" s="516"/>
      <c r="H229" s="516"/>
      <c r="I229" s="516"/>
      <c r="J229" s="516"/>
      <c r="K229" s="516"/>
      <c r="L229" s="516"/>
      <c r="M229" s="516"/>
      <c r="N229" s="516"/>
      <c r="O229" s="516"/>
      <c r="P229" s="516"/>
      <c r="Q229" s="516"/>
    </row>
    <row r="230" spans="1:17" ht="15.75" x14ac:dyDescent="0.25">
      <c r="A230" s="516" t="s">
        <v>82</v>
      </c>
      <c r="B230" s="516"/>
      <c r="C230" s="516"/>
      <c r="D230" s="516"/>
      <c r="E230" s="516"/>
      <c r="F230" s="516"/>
      <c r="G230" s="516"/>
      <c r="H230" s="516"/>
      <c r="I230" s="516"/>
      <c r="J230" s="516"/>
      <c r="K230" s="516"/>
      <c r="L230" s="516"/>
      <c r="M230" s="516"/>
      <c r="N230" s="516"/>
      <c r="O230" s="516"/>
      <c r="P230" s="516"/>
      <c r="Q230" s="516"/>
    </row>
    <row r="231" spans="1:17" ht="15.75" thickBot="1" x14ac:dyDescent="0.3">
      <c r="Q231" s="77" t="s">
        <v>1</v>
      </c>
    </row>
    <row r="232" spans="1:17" x14ac:dyDescent="0.25">
      <c r="A232" s="511" t="s">
        <v>2</v>
      </c>
      <c r="B232" s="513" t="s">
        <v>3</v>
      </c>
      <c r="C232" s="517" t="s">
        <v>114</v>
      </c>
      <c r="D232" s="518"/>
      <c r="E232" s="518"/>
      <c r="F232" s="518"/>
      <c r="G232" s="518"/>
      <c r="H232" s="518"/>
      <c r="I232" s="519" t="s">
        <v>84</v>
      </c>
      <c r="J232" s="518">
        <v>2016</v>
      </c>
      <c r="K232" s="518"/>
      <c r="L232" s="518"/>
      <c r="M232" s="518"/>
      <c r="N232" s="518"/>
      <c r="O232" s="518"/>
      <c r="P232" s="519" t="s">
        <v>85</v>
      </c>
      <c r="Q232" s="521" t="s">
        <v>5</v>
      </c>
    </row>
    <row r="233" spans="1:17" x14ac:dyDescent="0.25">
      <c r="A233" s="512"/>
      <c r="B233" s="499"/>
      <c r="C233" s="462" t="s">
        <v>15</v>
      </c>
      <c r="D233" s="462" t="s">
        <v>16</v>
      </c>
      <c r="E233" s="462" t="s">
        <v>17</v>
      </c>
      <c r="F233" s="462" t="s">
        <v>6</v>
      </c>
      <c r="G233" s="462" t="s">
        <v>77</v>
      </c>
      <c r="H233" s="122" t="s">
        <v>78</v>
      </c>
      <c r="I233" s="520"/>
      <c r="J233" s="112" t="s">
        <v>79</v>
      </c>
      <c r="K233" s="462" t="s">
        <v>10</v>
      </c>
      <c r="L233" s="462" t="s">
        <v>11</v>
      </c>
      <c r="M233" s="462" t="s">
        <v>12</v>
      </c>
      <c r="N233" s="462" t="s">
        <v>80</v>
      </c>
      <c r="O233" s="122" t="s">
        <v>81</v>
      </c>
      <c r="P233" s="520"/>
      <c r="Q233" s="522"/>
    </row>
    <row r="234" spans="1:17" ht="15.75" thickBot="1" x14ac:dyDescent="0.3">
      <c r="A234" s="114">
        <v>1</v>
      </c>
      <c r="B234" s="5">
        <v>2</v>
      </c>
      <c r="C234" s="5">
        <v>3</v>
      </c>
      <c r="D234" s="5">
        <v>4</v>
      </c>
      <c r="E234" s="5">
        <v>5</v>
      </c>
      <c r="F234" s="5">
        <v>6</v>
      </c>
      <c r="G234" s="5">
        <v>7</v>
      </c>
      <c r="H234" s="123">
        <v>8</v>
      </c>
      <c r="I234" s="125">
        <v>9</v>
      </c>
      <c r="J234" s="113">
        <v>10</v>
      </c>
      <c r="K234" s="5">
        <v>11</v>
      </c>
      <c r="L234" s="5">
        <v>12</v>
      </c>
      <c r="M234" s="5">
        <v>13</v>
      </c>
      <c r="N234" s="5">
        <v>14</v>
      </c>
      <c r="O234" s="123">
        <v>15</v>
      </c>
      <c r="P234" s="125">
        <v>16</v>
      </c>
      <c r="Q234" s="134">
        <v>17</v>
      </c>
    </row>
    <row r="235" spans="1:17" ht="15.75" thickTop="1" x14ac:dyDescent="0.25">
      <c r="A235" s="85">
        <v>1</v>
      </c>
      <c r="B235" s="7" t="s">
        <v>18</v>
      </c>
      <c r="C235" s="139">
        <v>0</v>
      </c>
      <c r="D235" s="139">
        <v>0</v>
      </c>
      <c r="E235" s="139">
        <v>0</v>
      </c>
      <c r="F235" s="139">
        <v>0</v>
      </c>
      <c r="G235" s="139">
        <v>0</v>
      </c>
      <c r="H235" s="139">
        <v>185</v>
      </c>
      <c r="I235" s="127">
        <f t="shared" ref="I235:I242" si="69">SUM(C235:H235)</f>
        <v>185</v>
      </c>
      <c r="J235" s="162">
        <f>'kc tanah'!F42</f>
        <v>31</v>
      </c>
      <c r="K235" s="162">
        <f>'kc tanah'!G42</f>
        <v>0</v>
      </c>
      <c r="L235" s="162">
        <f>'kc tanah'!H42</f>
        <v>25</v>
      </c>
      <c r="M235" s="162">
        <f>'kc tanah'!I42</f>
        <v>105</v>
      </c>
      <c r="N235" s="162">
        <f>'kc tanah'!J42</f>
        <v>0</v>
      </c>
      <c r="O235" s="162">
        <f>'kc tanah'!K42</f>
        <v>0</v>
      </c>
      <c r="P235" s="127">
        <f>SUM(J235:O235)</f>
        <v>161</v>
      </c>
      <c r="Q235" s="130">
        <f>SUM(I235,P235)</f>
        <v>346</v>
      </c>
    </row>
    <row r="236" spans="1:17" x14ac:dyDescent="0.25">
      <c r="A236" s="86">
        <v>2</v>
      </c>
      <c r="B236" s="12" t="s">
        <v>19</v>
      </c>
      <c r="C236" s="60">
        <v>0</v>
      </c>
      <c r="D236" s="60">
        <v>0</v>
      </c>
      <c r="E236" s="60">
        <v>0</v>
      </c>
      <c r="F236" s="60">
        <v>0</v>
      </c>
      <c r="G236" s="60">
        <v>0</v>
      </c>
      <c r="H236" s="60">
        <v>0</v>
      </c>
      <c r="I236" s="128">
        <f t="shared" si="69"/>
        <v>0</v>
      </c>
      <c r="J236" s="341">
        <f>'kc tanah'!F43</f>
        <v>0</v>
      </c>
      <c r="K236" s="135">
        <f>'kc tanah'!G43</f>
        <v>123</v>
      </c>
      <c r="L236" s="135">
        <f>'kc tanah'!H43</f>
        <v>63</v>
      </c>
      <c r="M236" s="135">
        <f>'kc tanah'!I43</f>
        <v>0</v>
      </c>
      <c r="N236" s="135">
        <f>'kc tanah'!J43</f>
        <v>0</v>
      </c>
      <c r="O236" s="164">
        <f>'kc tanah'!K43</f>
        <v>0</v>
      </c>
      <c r="P236" s="128">
        <f t="shared" ref="P236:P241" si="70">SUM(J236:O236)</f>
        <v>186</v>
      </c>
      <c r="Q236" s="131">
        <f t="shared" ref="Q236:Q242" si="71">SUM(I236,P236)</f>
        <v>186</v>
      </c>
    </row>
    <row r="237" spans="1:17" x14ac:dyDescent="0.25">
      <c r="A237" s="86">
        <v>3</v>
      </c>
      <c r="B237" s="7" t="s">
        <v>20</v>
      </c>
      <c r="C237" s="60">
        <v>0</v>
      </c>
      <c r="D237" s="60">
        <v>0</v>
      </c>
      <c r="E237" s="60">
        <v>0</v>
      </c>
      <c r="F237" s="60">
        <v>0</v>
      </c>
      <c r="G237" s="60">
        <v>0</v>
      </c>
      <c r="H237" s="340">
        <v>275</v>
      </c>
      <c r="I237" s="128">
        <f t="shared" si="69"/>
        <v>275</v>
      </c>
      <c r="J237" s="341">
        <f>'kc tanah'!F44</f>
        <v>20</v>
      </c>
      <c r="K237" s="135">
        <f>'kc tanah'!G44</f>
        <v>0</v>
      </c>
      <c r="L237" s="135">
        <f>'kc tanah'!H44</f>
        <v>0</v>
      </c>
      <c r="M237" s="135">
        <f>'kc tanah'!I44</f>
        <v>280</v>
      </c>
      <c r="N237" s="135">
        <f>'kc tanah'!J44</f>
        <v>0</v>
      </c>
      <c r="O237" s="164">
        <f>'kc tanah'!K44</f>
        <v>0</v>
      </c>
      <c r="P237" s="128">
        <f t="shared" si="70"/>
        <v>300</v>
      </c>
      <c r="Q237" s="131">
        <f t="shared" si="71"/>
        <v>575</v>
      </c>
    </row>
    <row r="238" spans="1:17" x14ac:dyDescent="0.25">
      <c r="A238" s="87">
        <v>4</v>
      </c>
      <c r="B238" s="15" t="s">
        <v>21</v>
      </c>
      <c r="C238" s="60">
        <v>0</v>
      </c>
      <c r="D238" s="60">
        <v>1</v>
      </c>
      <c r="E238" s="60">
        <v>1</v>
      </c>
      <c r="F238" s="60">
        <v>0</v>
      </c>
      <c r="G238" s="60">
        <v>5</v>
      </c>
      <c r="H238" s="60">
        <v>141</v>
      </c>
      <c r="I238" s="128">
        <f t="shared" si="69"/>
        <v>148</v>
      </c>
      <c r="J238" s="341">
        <f>'kc tanah'!F45</f>
        <v>5</v>
      </c>
      <c r="K238" s="135">
        <f>'kc tanah'!G45</f>
        <v>0</v>
      </c>
      <c r="L238" s="135">
        <f>'kc tanah'!H45</f>
        <v>18</v>
      </c>
      <c r="M238" s="135">
        <f>'kc tanah'!I45</f>
        <v>0</v>
      </c>
      <c r="N238" s="135">
        <f>'kc tanah'!J45</f>
        <v>15</v>
      </c>
      <c r="O238" s="164">
        <f>'kc tanah'!K45</f>
        <v>20</v>
      </c>
      <c r="P238" s="128">
        <f t="shared" si="70"/>
        <v>58</v>
      </c>
      <c r="Q238" s="131">
        <f t="shared" si="71"/>
        <v>206</v>
      </c>
    </row>
    <row r="239" spans="1:17" x14ac:dyDescent="0.25">
      <c r="A239" s="87">
        <v>5</v>
      </c>
      <c r="B239" s="19" t="s">
        <v>22</v>
      </c>
      <c r="C239" s="60">
        <v>0</v>
      </c>
      <c r="D239" s="60">
        <v>0</v>
      </c>
      <c r="E239" s="60">
        <v>2</v>
      </c>
      <c r="F239" s="60">
        <v>0</v>
      </c>
      <c r="G239" s="60">
        <v>0</v>
      </c>
      <c r="H239" s="60">
        <v>102</v>
      </c>
      <c r="I239" s="128">
        <f t="shared" si="69"/>
        <v>104</v>
      </c>
      <c r="J239" s="341">
        <f>'kc tanah'!F46</f>
        <v>96</v>
      </c>
      <c r="K239" s="135">
        <f>'kc tanah'!G46</f>
        <v>0</v>
      </c>
      <c r="L239" s="135">
        <f>'kc tanah'!H46</f>
        <v>0</v>
      </c>
      <c r="M239" s="135">
        <f>'kc tanah'!I46</f>
        <v>115</v>
      </c>
      <c r="N239" s="135">
        <f>'kc tanah'!J46</f>
        <v>0</v>
      </c>
      <c r="O239" s="164">
        <f>'kc tanah'!K46</f>
        <v>0</v>
      </c>
      <c r="P239" s="128">
        <f t="shared" si="70"/>
        <v>211</v>
      </c>
      <c r="Q239" s="131">
        <f t="shared" si="71"/>
        <v>315</v>
      </c>
    </row>
    <row r="240" spans="1:17" x14ac:dyDescent="0.25">
      <c r="A240" s="87">
        <v>6</v>
      </c>
      <c r="B240" s="19" t="s">
        <v>23</v>
      </c>
      <c r="C240" s="60">
        <v>4</v>
      </c>
      <c r="D240" s="60">
        <v>0</v>
      </c>
      <c r="E240" s="60">
        <v>0</v>
      </c>
      <c r="F240" s="60">
        <v>0</v>
      </c>
      <c r="G240" s="60">
        <v>15</v>
      </c>
      <c r="H240" s="60">
        <v>65</v>
      </c>
      <c r="I240" s="128">
        <f t="shared" si="69"/>
        <v>84</v>
      </c>
      <c r="J240" s="341">
        <f>'kc tanah'!F47</f>
        <v>0</v>
      </c>
      <c r="K240" s="135">
        <f>'kc tanah'!G47</f>
        <v>0</v>
      </c>
      <c r="L240" s="135">
        <f>'kc tanah'!H47</f>
        <v>50</v>
      </c>
      <c r="M240" s="135">
        <f>'kc tanah'!I47</f>
        <v>0</v>
      </c>
      <c r="N240" s="135">
        <f>'kc tanah'!J47</f>
        <v>0</v>
      </c>
      <c r="O240" s="164">
        <f>'kc tanah'!K47</f>
        <v>0</v>
      </c>
      <c r="P240" s="128">
        <f t="shared" si="70"/>
        <v>50</v>
      </c>
      <c r="Q240" s="131">
        <f t="shared" si="71"/>
        <v>134</v>
      </c>
    </row>
    <row r="241" spans="1:17" x14ac:dyDescent="0.25">
      <c r="A241" s="87">
        <v>7</v>
      </c>
      <c r="B241" s="19" t="s">
        <v>24</v>
      </c>
      <c r="C241" s="60">
        <v>0</v>
      </c>
      <c r="D241" s="60">
        <v>0</v>
      </c>
      <c r="E241" s="60">
        <v>0</v>
      </c>
      <c r="F241" s="60">
        <v>0</v>
      </c>
      <c r="G241" s="60">
        <v>0</v>
      </c>
      <c r="H241" s="60">
        <v>1</v>
      </c>
      <c r="I241" s="128">
        <f t="shared" si="69"/>
        <v>1</v>
      </c>
      <c r="J241" s="341">
        <f>'kc tanah'!F48</f>
        <v>0</v>
      </c>
      <c r="K241" s="135">
        <f>'kc tanah'!G48</f>
        <v>0</v>
      </c>
      <c r="L241" s="135">
        <f>'kc tanah'!H48</f>
        <v>1</v>
      </c>
      <c r="M241" s="135">
        <f>'kc tanah'!I48</f>
        <v>0</v>
      </c>
      <c r="N241" s="135">
        <f>'kc tanah'!J48</f>
        <v>0</v>
      </c>
      <c r="O241" s="164">
        <f>'kc tanah'!K48</f>
        <v>0</v>
      </c>
      <c r="P241" s="128">
        <f t="shared" si="70"/>
        <v>1</v>
      </c>
      <c r="Q241" s="131">
        <f t="shared" si="71"/>
        <v>2</v>
      </c>
    </row>
    <row r="242" spans="1:17" ht="15.75" thickBot="1" x14ac:dyDescent="0.3">
      <c r="A242" s="88">
        <v>8</v>
      </c>
      <c r="B242" s="15" t="s">
        <v>25</v>
      </c>
      <c r="C242" s="140">
        <v>0</v>
      </c>
      <c r="D242" s="140">
        <v>0</v>
      </c>
      <c r="E242" s="140">
        <v>0</v>
      </c>
      <c r="F242" s="140">
        <v>0</v>
      </c>
      <c r="G242" s="140">
        <v>0</v>
      </c>
      <c r="H242" s="140">
        <v>332</v>
      </c>
      <c r="I242" s="129">
        <f t="shared" si="69"/>
        <v>332</v>
      </c>
      <c r="J242" s="329">
        <f>'kc tanah'!F49</f>
        <v>0</v>
      </c>
      <c r="K242" s="329">
        <f>'kc tanah'!G49</f>
        <v>2</v>
      </c>
      <c r="L242" s="329">
        <f>'kc tanah'!H49</f>
        <v>0</v>
      </c>
      <c r="M242" s="329">
        <f>'kc tanah'!I49</f>
        <v>248</v>
      </c>
      <c r="N242" s="329">
        <f>'kc tanah'!J49</f>
        <v>0</v>
      </c>
      <c r="O242" s="329">
        <f>'kc tanah'!K49</f>
        <v>30</v>
      </c>
      <c r="P242" s="129">
        <f>SUM(J242:O242)</f>
        <v>280</v>
      </c>
      <c r="Q242" s="132">
        <f t="shared" si="71"/>
        <v>612</v>
      </c>
    </row>
    <row r="243" spans="1:17" ht="16.5" thickTop="1" thickBot="1" x14ac:dyDescent="0.3">
      <c r="A243" s="514" t="s">
        <v>26</v>
      </c>
      <c r="B243" s="515"/>
      <c r="C243" s="115">
        <f t="shared" ref="C243:O243" si="72">SUM(C235:C242)</f>
        <v>4</v>
      </c>
      <c r="D243" s="115">
        <f t="shared" si="72"/>
        <v>1</v>
      </c>
      <c r="E243" s="115">
        <f t="shared" si="72"/>
        <v>3</v>
      </c>
      <c r="F243" s="115">
        <f t="shared" si="72"/>
        <v>0</v>
      </c>
      <c r="G243" s="115">
        <f t="shared" si="72"/>
        <v>20</v>
      </c>
      <c r="H243" s="124">
        <f t="shared" si="72"/>
        <v>1101</v>
      </c>
      <c r="I243" s="126">
        <f t="shared" si="72"/>
        <v>1129</v>
      </c>
      <c r="J243" s="136">
        <f t="shared" si="72"/>
        <v>152</v>
      </c>
      <c r="K243" s="115">
        <f t="shared" si="72"/>
        <v>125</v>
      </c>
      <c r="L243" s="115">
        <f t="shared" si="72"/>
        <v>157</v>
      </c>
      <c r="M243" s="115">
        <f t="shared" si="72"/>
        <v>748</v>
      </c>
      <c r="N243" s="115">
        <f t="shared" si="72"/>
        <v>15</v>
      </c>
      <c r="O243" s="124">
        <f t="shared" si="72"/>
        <v>50</v>
      </c>
      <c r="P243" s="126">
        <f>SUM(P235:P242)</f>
        <v>1247</v>
      </c>
      <c r="Q243" s="133">
        <f>SUM(Q235:Q242)</f>
        <v>2376</v>
      </c>
    </row>
    <row r="245" spans="1:17" ht="15.75" x14ac:dyDescent="0.25">
      <c r="A245" s="516" t="s">
        <v>131</v>
      </c>
      <c r="B245" s="516"/>
      <c r="C245" s="516"/>
      <c r="D245" s="516"/>
      <c r="E245" s="516"/>
      <c r="F245" s="516"/>
      <c r="G245" s="516"/>
      <c r="H245" s="516"/>
      <c r="I245" s="516"/>
      <c r="J245" s="516"/>
      <c r="K245" s="516"/>
      <c r="L245" s="516"/>
      <c r="M245" s="516"/>
      <c r="N245" s="516"/>
      <c r="O245" s="516"/>
      <c r="P245" s="516"/>
      <c r="Q245" s="516"/>
    </row>
    <row r="246" spans="1:17" ht="15.75" x14ac:dyDescent="0.25">
      <c r="A246" s="516" t="s">
        <v>82</v>
      </c>
      <c r="B246" s="516"/>
      <c r="C246" s="516"/>
      <c r="D246" s="516"/>
      <c r="E246" s="516"/>
      <c r="F246" s="516"/>
      <c r="G246" s="516"/>
      <c r="H246" s="516"/>
      <c r="I246" s="516"/>
      <c r="J246" s="516"/>
      <c r="K246" s="516"/>
      <c r="L246" s="516"/>
      <c r="M246" s="516"/>
      <c r="N246" s="516"/>
      <c r="O246" s="516"/>
      <c r="P246" s="516"/>
      <c r="Q246" s="516"/>
    </row>
    <row r="247" spans="1:17" ht="15.75" thickBot="1" x14ac:dyDescent="0.3">
      <c r="Q247" s="77" t="s">
        <v>1</v>
      </c>
    </row>
    <row r="248" spans="1:17" x14ac:dyDescent="0.25">
      <c r="A248" s="511" t="s">
        <v>2</v>
      </c>
      <c r="B248" s="513" t="s">
        <v>3</v>
      </c>
      <c r="C248" s="517" t="s">
        <v>114</v>
      </c>
      <c r="D248" s="518"/>
      <c r="E248" s="518"/>
      <c r="F248" s="518"/>
      <c r="G248" s="518"/>
      <c r="H248" s="518"/>
      <c r="I248" s="519" t="s">
        <v>84</v>
      </c>
      <c r="J248" s="518">
        <v>2016</v>
      </c>
      <c r="K248" s="518"/>
      <c r="L248" s="518"/>
      <c r="M248" s="518"/>
      <c r="N248" s="518"/>
      <c r="O248" s="518"/>
      <c r="P248" s="519" t="s">
        <v>85</v>
      </c>
      <c r="Q248" s="521" t="s">
        <v>5</v>
      </c>
    </row>
    <row r="249" spans="1:17" x14ac:dyDescent="0.25">
      <c r="A249" s="512"/>
      <c r="B249" s="499"/>
      <c r="C249" s="462" t="s">
        <v>15</v>
      </c>
      <c r="D249" s="462" t="s">
        <v>16</v>
      </c>
      <c r="E249" s="462" t="s">
        <v>17</v>
      </c>
      <c r="F249" s="462" t="s">
        <v>6</v>
      </c>
      <c r="G249" s="462" t="s">
        <v>77</v>
      </c>
      <c r="H249" s="122" t="s">
        <v>78</v>
      </c>
      <c r="I249" s="520"/>
      <c r="J249" s="112" t="s">
        <v>79</v>
      </c>
      <c r="K249" s="462" t="s">
        <v>10</v>
      </c>
      <c r="L249" s="462" t="s">
        <v>11</v>
      </c>
      <c r="M249" s="462" t="s">
        <v>12</v>
      </c>
      <c r="N249" s="462" t="s">
        <v>80</v>
      </c>
      <c r="O249" s="122" t="s">
        <v>81</v>
      </c>
      <c r="P249" s="520"/>
      <c r="Q249" s="522"/>
    </row>
    <row r="250" spans="1:17" ht="15.75" thickBot="1" x14ac:dyDescent="0.3">
      <c r="A250" s="114">
        <v>1</v>
      </c>
      <c r="B250" s="5">
        <v>2</v>
      </c>
      <c r="C250" s="5">
        <v>3</v>
      </c>
      <c r="D250" s="5">
        <v>4</v>
      </c>
      <c r="E250" s="5">
        <v>5</v>
      </c>
      <c r="F250" s="5">
        <v>6</v>
      </c>
      <c r="G250" s="5">
        <v>7</v>
      </c>
      <c r="H250" s="123">
        <v>8</v>
      </c>
      <c r="I250" s="125">
        <v>9</v>
      </c>
      <c r="J250" s="113">
        <v>10</v>
      </c>
      <c r="K250" s="5">
        <v>11</v>
      </c>
      <c r="L250" s="5">
        <v>12</v>
      </c>
      <c r="M250" s="5">
        <v>13</v>
      </c>
      <c r="N250" s="5">
        <v>14</v>
      </c>
      <c r="O250" s="123">
        <v>15</v>
      </c>
      <c r="P250" s="125">
        <v>16</v>
      </c>
      <c r="Q250" s="134">
        <v>17</v>
      </c>
    </row>
    <row r="251" spans="1:17" ht="15.75" thickTop="1" x14ac:dyDescent="0.25">
      <c r="A251" s="85">
        <v>1</v>
      </c>
      <c r="B251" s="7" t="s">
        <v>18</v>
      </c>
      <c r="C251" s="139">
        <v>0</v>
      </c>
      <c r="D251" s="139">
        <v>0</v>
      </c>
      <c r="E251" s="139">
        <v>0</v>
      </c>
      <c r="F251" s="139">
        <v>0</v>
      </c>
      <c r="G251" s="139">
        <v>0</v>
      </c>
      <c r="H251" s="139">
        <v>3</v>
      </c>
      <c r="I251" s="127">
        <f t="shared" ref="I251:I258" si="73">SUM(C251:H251)</f>
        <v>3</v>
      </c>
      <c r="J251" s="162">
        <f>'ubi jalar'!F42</f>
        <v>4</v>
      </c>
      <c r="K251" s="162">
        <f>'ubi jalar'!G42</f>
        <v>0</v>
      </c>
      <c r="L251" s="162">
        <f>'ubi jalar'!H42</f>
        <v>0</v>
      </c>
      <c r="M251" s="162">
        <f>'ubi jalar'!I42</f>
        <v>0</v>
      </c>
      <c r="N251" s="162">
        <f>'ubi jalar'!J42</f>
        <v>2</v>
      </c>
      <c r="O251" s="162">
        <f>'ubi jalar'!K42</f>
        <v>0</v>
      </c>
      <c r="P251" s="127">
        <f>SUM(J251:O251)</f>
        <v>6</v>
      </c>
      <c r="Q251" s="130">
        <f>SUM(I251,P251)</f>
        <v>9</v>
      </c>
    </row>
    <row r="252" spans="1:17" x14ac:dyDescent="0.25">
      <c r="A252" s="86">
        <v>2</v>
      </c>
      <c r="B252" s="12" t="s">
        <v>19</v>
      </c>
      <c r="C252" s="60">
        <v>0</v>
      </c>
      <c r="D252" s="60">
        <v>0</v>
      </c>
      <c r="E252" s="60">
        <v>0</v>
      </c>
      <c r="F252" s="60">
        <v>0</v>
      </c>
      <c r="G252" s="60">
        <v>0</v>
      </c>
      <c r="H252" s="60">
        <v>0</v>
      </c>
      <c r="I252" s="128">
        <f t="shared" si="73"/>
        <v>0</v>
      </c>
      <c r="J252" s="341">
        <f>'ubi jalar'!F43</f>
        <v>0</v>
      </c>
      <c r="K252" s="135">
        <f>'ubi jalar'!G43</f>
        <v>3</v>
      </c>
      <c r="L252" s="135">
        <f>'ubi jalar'!H43</f>
        <v>0</v>
      </c>
      <c r="M252" s="135">
        <f>'ubi jalar'!I43</f>
        <v>0</v>
      </c>
      <c r="N252" s="135">
        <f>'ubi jalar'!J43</f>
        <v>0</v>
      </c>
      <c r="O252" s="164">
        <f>'ubi jalar'!K43</f>
        <v>0</v>
      </c>
      <c r="P252" s="128">
        <f t="shared" ref="P252:P257" si="74">SUM(J252:O252)</f>
        <v>3</v>
      </c>
      <c r="Q252" s="131">
        <f t="shared" ref="Q252:Q258" si="75">SUM(I252,P252)</f>
        <v>3</v>
      </c>
    </row>
    <row r="253" spans="1:17" x14ac:dyDescent="0.25">
      <c r="A253" s="86">
        <v>3</v>
      </c>
      <c r="B253" s="7" t="s">
        <v>20</v>
      </c>
      <c r="C253" s="60">
        <v>0</v>
      </c>
      <c r="D253" s="60">
        <v>0</v>
      </c>
      <c r="E253" s="60">
        <v>0</v>
      </c>
      <c r="F253" s="60">
        <v>0</v>
      </c>
      <c r="G253" s="60">
        <v>0</v>
      </c>
      <c r="H253" s="340">
        <v>0</v>
      </c>
      <c r="I253" s="128">
        <f t="shared" si="73"/>
        <v>0</v>
      </c>
      <c r="J253" s="341">
        <f>'ubi jalar'!F44</f>
        <v>0</v>
      </c>
      <c r="K253" s="135">
        <f>'ubi jalar'!G44</f>
        <v>0</v>
      </c>
      <c r="L253" s="135">
        <f>'ubi jalar'!H44</f>
        <v>0</v>
      </c>
      <c r="M253" s="135">
        <f>'ubi jalar'!I44</f>
        <v>0</v>
      </c>
      <c r="N253" s="135">
        <f>'ubi jalar'!J44</f>
        <v>0</v>
      </c>
      <c r="O253" s="164">
        <f>'ubi jalar'!K44</f>
        <v>0</v>
      </c>
      <c r="P253" s="128">
        <f t="shared" si="74"/>
        <v>0</v>
      </c>
      <c r="Q253" s="131">
        <f t="shared" si="75"/>
        <v>0</v>
      </c>
    </row>
    <row r="254" spans="1:17" x14ac:dyDescent="0.25">
      <c r="A254" s="87">
        <v>4</v>
      </c>
      <c r="B254" s="15" t="s">
        <v>21</v>
      </c>
      <c r="C254" s="60">
        <v>0</v>
      </c>
      <c r="D254" s="60">
        <v>0</v>
      </c>
      <c r="E254" s="60">
        <v>0</v>
      </c>
      <c r="F254" s="60">
        <v>0</v>
      </c>
      <c r="G254" s="60">
        <v>0</v>
      </c>
      <c r="H254" s="60">
        <v>1</v>
      </c>
      <c r="I254" s="128">
        <f t="shared" si="73"/>
        <v>1</v>
      </c>
      <c r="J254" s="341">
        <f>'ubi jalar'!F45</f>
        <v>1</v>
      </c>
      <c r="K254" s="135">
        <f>'ubi jalar'!G45</f>
        <v>0</v>
      </c>
      <c r="L254" s="135">
        <f>'ubi jalar'!H45</f>
        <v>0</v>
      </c>
      <c r="M254" s="135">
        <f>'ubi jalar'!I45</f>
        <v>0</v>
      </c>
      <c r="N254" s="135">
        <f>'ubi jalar'!J45</f>
        <v>0</v>
      </c>
      <c r="O254" s="164">
        <f>'ubi jalar'!K45</f>
        <v>0</v>
      </c>
      <c r="P254" s="128">
        <f t="shared" si="74"/>
        <v>1</v>
      </c>
      <c r="Q254" s="131">
        <f t="shared" si="75"/>
        <v>2</v>
      </c>
    </row>
    <row r="255" spans="1:17" x14ac:dyDescent="0.25">
      <c r="A255" s="87">
        <v>5</v>
      </c>
      <c r="B255" s="19" t="s">
        <v>22</v>
      </c>
      <c r="C255" s="60">
        <v>2</v>
      </c>
      <c r="D255" s="60">
        <v>0</v>
      </c>
      <c r="E255" s="60">
        <v>0</v>
      </c>
      <c r="F255" s="60">
        <v>0</v>
      </c>
      <c r="G255" s="60">
        <v>0</v>
      </c>
      <c r="H255" s="60">
        <v>1</v>
      </c>
      <c r="I255" s="128">
        <f t="shared" si="73"/>
        <v>3</v>
      </c>
      <c r="J255" s="341">
        <f>'ubi jalar'!F46</f>
        <v>0</v>
      </c>
      <c r="K255" s="135">
        <f>'ubi jalar'!G46</f>
        <v>0</v>
      </c>
      <c r="L255" s="135">
        <f>'ubi jalar'!H46</f>
        <v>0</v>
      </c>
      <c r="M255" s="135">
        <f>'ubi jalar'!I46</f>
        <v>1</v>
      </c>
      <c r="N255" s="135">
        <f>'ubi jalar'!J46</f>
        <v>0</v>
      </c>
      <c r="O255" s="164">
        <f>'ubi jalar'!K46</f>
        <v>0</v>
      </c>
      <c r="P255" s="128">
        <f t="shared" si="74"/>
        <v>1</v>
      </c>
      <c r="Q255" s="131">
        <f t="shared" si="75"/>
        <v>4</v>
      </c>
    </row>
    <row r="256" spans="1:17" x14ac:dyDescent="0.25">
      <c r="A256" s="87">
        <v>6</v>
      </c>
      <c r="B256" s="19" t="s">
        <v>23</v>
      </c>
      <c r="C256" s="60">
        <v>0</v>
      </c>
      <c r="D256" s="60">
        <v>0</v>
      </c>
      <c r="E256" s="60">
        <v>0</v>
      </c>
      <c r="F256" s="60">
        <v>0</v>
      </c>
      <c r="G256" s="60">
        <v>0</v>
      </c>
      <c r="H256" s="60">
        <v>0</v>
      </c>
      <c r="I256" s="128">
        <f t="shared" si="73"/>
        <v>0</v>
      </c>
      <c r="J256" s="341">
        <f>'ubi jalar'!F47</f>
        <v>0</v>
      </c>
      <c r="K256" s="135">
        <f>'ubi jalar'!G47</f>
        <v>0</v>
      </c>
      <c r="L256" s="135">
        <f>'ubi jalar'!H47</f>
        <v>0</v>
      </c>
      <c r="M256" s="135">
        <f>'ubi jalar'!I47</f>
        <v>0</v>
      </c>
      <c r="N256" s="135">
        <f>'ubi jalar'!J47</f>
        <v>0</v>
      </c>
      <c r="O256" s="164">
        <f>'ubi jalar'!K47</f>
        <v>0</v>
      </c>
      <c r="P256" s="128">
        <f t="shared" si="74"/>
        <v>0</v>
      </c>
      <c r="Q256" s="131">
        <f t="shared" si="75"/>
        <v>0</v>
      </c>
    </row>
    <row r="257" spans="1:17" x14ac:dyDescent="0.25">
      <c r="A257" s="87">
        <v>7</v>
      </c>
      <c r="B257" s="19" t="s">
        <v>24</v>
      </c>
      <c r="C257" s="60">
        <v>1</v>
      </c>
      <c r="D257" s="60">
        <v>1</v>
      </c>
      <c r="E257" s="60">
        <v>0</v>
      </c>
      <c r="F257" s="60">
        <v>0</v>
      </c>
      <c r="G257" s="60">
        <v>0</v>
      </c>
      <c r="H257" s="60">
        <v>0</v>
      </c>
      <c r="I257" s="128">
        <f t="shared" si="73"/>
        <v>2</v>
      </c>
      <c r="J257" s="341">
        <f>'ubi jalar'!F48</f>
        <v>0</v>
      </c>
      <c r="K257" s="135">
        <f>'ubi jalar'!G48</f>
        <v>0</v>
      </c>
      <c r="L257" s="135">
        <f>'ubi jalar'!H48</f>
        <v>0</v>
      </c>
      <c r="M257" s="135">
        <f>'ubi jalar'!I48</f>
        <v>0</v>
      </c>
      <c r="N257" s="135">
        <f>'ubi jalar'!J48</f>
        <v>0</v>
      </c>
      <c r="O257" s="164">
        <f>'ubi jalar'!K48</f>
        <v>0</v>
      </c>
      <c r="P257" s="128">
        <f t="shared" si="74"/>
        <v>0</v>
      </c>
      <c r="Q257" s="131">
        <f t="shared" si="75"/>
        <v>2</v>
      </c>
    </row>
    <row r="258" spans="1:17" ht="15.75" thickBot="1" x14ac:dyDescent="0.3">
      <c r="A258" s="88">
        <v>8</v>
      </c>
      <c r="B258" s="15" t="s">
        <v>25</v>
      </c>
      <c r="C258" s="140">
        <v>0</v>
      </c>
      <c r="D258" s="140">
        <v>0</v>
      </c>
      <c r="E258" s="140">
        <v>0</v>
      </c>
      <c r="F258" s="140">
        <v>1</v>
      </c>
      <c r="G258" s="140">
        <v>0</v>
      </c>
      <c r="H258" s="140">
        <v>1</v>
      </c>
      <c r="I258" s="129">
        <f t="shared" si="73"/>
        <v>2</v>
      </c>
      <c r="J258" s="329">
        <f>'ubi jalar'!F49</f>
        <v>0</v>
      </c>
      <c r="K258" s="329">
        <f>'ubi jalar'!G49</f>
        <v>0</v>
      </c>
      <c r="L258" s="329">
        <f>'ubi jalar'!H49</f>
        <v>0</v>
      </c>
      <c r="M258" s="329">
        <f>'ubi jalar'!I49</f>
        <v>0</v>
      </c>
      <c r="N258" s="329">
        <f>'ubi jalar'!J49</f>
        <v>0</v>
      </c>
      <c r="O258" s="329">
        <f>'ubi jalar'!K49</f>
        <v>2</v>
      </c>
      <c r="P258" s="129">
        <f>SUM(J258:O258)</f>
        <v>2</v>
      </c>
      <c r="Q258" s="132">
        <f t="shared" si="75"/>
        <v>4</v>
      </c>
    </row>
    <row r="259" spans="1:17" ht="16.5" thickTop="1" thickBot="1" x14ac:dyDescent="0.3">
      <c r="A259" s="514" t="s">
        <v>26</v>
      </c>
      <c r="B259" s="515"/>
      <c r="C259" s="115">
        <f t="shared" ref="C259:O259" si="76">SUM(C251:C258)</f>
        <v>3</v>
      </c>
      <c r="D259" s="115">
        <f t="shared" si="76"/>
        <v>1</v>
      </c>
      <c r="E259" s="115">
        <f t="shared" si="76"/>
        <v>0</v>
      </c>
      <c r="F259" s="115">
        <f t="shared" si="76"/>
        <v>1</v>
      </c>
      <c r="G259" s="115">
        <f t="shared" si="76"/>
        <v>0</v>
      </c>
      <c r="H259" s="124">
        <f t="shared" si="76"/>
        <v>6</v>
      </c>
      <c r="I259" s="126">
        <f t="shared" si="76"/>
        <v>11</v>
      </c>
      <c r="J259" s="136">
        <f t="shared" si="76"/>
        <v>5</v>
      </c>
      <c r="K259" s="115">
        <f t="shared" si="76"/>
        <v>3</v>
      </c>
      <c r="L259" s="115">
        <f t="shared" si="76"/>
        <v>0</v>
      </c>
      <c r="M259" s="115">
        <f t="shared" si="76"/>
        <v>1</v>
      </c>
      <c r="N259" s="115">
        <f t="shared" si="76"/>
        <v>2</v>
      </c>
      <c r="O259" s="124">
        <f t="shared" si="76"/>
        <v>2</v>
      </c>
      <c r="P259" s="126">
        <f>SUM(P251:P258)</f>
        <v>13</v>
      </c>
      <c r="Q259" s="133">
        <f>SUM(Q251:Q258)</f>
        <v>24</v>
      </c>
    </row>
    <row r="261" spans="1:17" ht="15.75" x14ac:dyDescent="0.25">
      <c r="A261" s="516" t="s">
        <v>132</v>
      </c>
      <c r="B261" s="516"/>
      <c r="C261" s="516"/>
      <c r="D261" s="516"/>
      <c r="E261" s="516"/>
      <c r="F261" s="516"/>
      <c r="G261" s="516"/>
      <c r="H261" s="516"/>
      <c r="I261" s="516"/>
      <c r="J261" s="516"/>
      <c r="K261" s="516"/>
      <c r="L261" s="516"/>
      <c r="M261" s="516"/>
      <c r="N261" s="516"/>
      <c r="O261" s="516"/>
      <c r="P261" s="516"/>
      <c r="Q261" s="516"/>
    </row>
    <row r="262" spans="1:17" ht="15.75" x14ac:dyDescent="0.25">
      <c r="A262" s="516" t="s">
        <v>82</v>
      </c>
      <c r="B262" s="516"/>
      <c r="C262" s="516"/>
      <c r="D262" s="516"/>
      <c r="E262" s="516"/>
      <c r="F262" s="516"/>
      <c r="G262" s="516"/>
      <c r="H262" s="516"/>
      <c r="I262" s="516"/>
      <c r="J262" s="516"/>
      <c r="K262" s="516"/>
      <c r="L262" s="516"/>
      <c r="M262" s="516"/>
      <c r="N262" s="516"/>
      <c r="O262" s="516"/>
      <c r="P262" s="516"/>
      <c r="Q262" s="516"/>
    </row>
    <row r="263" spans="1:17" ht="15.75" thickBot="1" x14ac:dyDescent="0.3">
      <c r="Q263" s="77" t="s">
        <v>1</v>
      </c>
    </row>
    <row r="264" spans="1:17" x14ac:dyDescent="0.25">
      <c r="A264" s="511" t="s">
        <v>2</v>
      </c>
      <c r="B264" s="513" t="s">
        <v>3</v>
      </c>
      <c r="C264" s="517" t="s">
        <v>114</v>
      </c>
      <c r="D264" s="518"/>
      <c r="E264" s="518"/>
      <c r="F264" s="518"/>
      <c r="G264" s="518"/>
      <c r="H264" s="518"/>
      <c r="I264" s="519" t="s">
        <v>84</v>
      </c>
      <c r="J264" s="518">
        <v>2016</v>
      </c>
      <c r="K264" s="518"/>
      <c r="L264" s="518"/>
      <c r="M264" s="518"/>
      <c r="N264" s="518"/>
      <c r="O264" s="518"/>
      <c r="P264" s="519" t="s">
        <v>85</v>
      </c>
      <c r="Q264" s="521" t="s">
        <v>5</v>
      </c>
    </row>
    <row r="265" spans="1:17" x14ac:dyDescent="0.25">
      <c r="A265" s="512"/>
      <c r="B265" s="499"/>
      <c r="C265" s="462" t="s">
        <v>15</v>
      </c>
      <c r="D265" s="462" t="s">
        <v>16</v>
      </c>
      <c r="E265" s="462" t="s">
        <v>17</v>
      </c>
      <c r="F265" s="462" t="s">
        <v>6</v>
      </c>
      <c r="G265" s="462" t="s">
        <v>77</v>
      </c>
      <c r="H265" s="122" t="s">
        <v>78</v>
      </c>
      <c r="I265" s="520"/>
      <c r="J265" s="112" t="s">
        <v>79</v>
      </c>
      <c r="K265" s="462" t="s">
        <v>10</v>
      </c>
      <c r="L265" s="462" t="s">
        <v>11</v>
      </c>
      <c r="M265" s="462" t="s">
        <v>12</v>
      </c>
      <c r="N265" s="462" t="s">
        <v>80</v>
      </c>
      <c r="O265" s="122" t="s">
        <v>81</v>
      </c>
      <c r="P265" s="520"/>
      <c r="Q265" s="522"/>
    </row>
    <row r="266" spans="1:17" ht="15.75" thickBot="1" x14ac:dyDescent="0.3">
      <c r="A266" s="114">
        <v>1</v>
      </c>
      <c r="B266" s="5">
        <v>2</v>
      </c>
      <c r="C266" s="5">
        <v>3</v>
      </c>
      <c r="D266" s="5">
        <v>4</v>
      </c>
      <c r="E266" s="5">
        <v>5</v>
      </c>
      <c r="F266" s="5">
        <v>6</v>
      </c>
      <c r="G266" s="5">
        <v>7</v>
      </c>
      <c r="H266" s="123">
        <v>8</v>
      </c>
      <c r="I266" s="125">
        <v>9</v>
      </c>
      <c r="J266" s="113">
        <v>10</v>
      </c>
      <c r="K266" s="5">
        <v>11</v>
      </c>
      <c r="L266" s="5">
        <v>12</v>
      </c>
      <c r="M266" s="5">
        <v>13</v>
      </c>
      <c r="N266" s="5">
        <v>14</v>
      </c>
      <c r="O266" s="123">
        <v>15</v>
      </c>
      <c r="P266" s="125">
        <v>16</v>
      </c>
      <c r="Q266" s="134">
        <v>17</v>
      </c>
    </row>
    <row r="267" spans="1:17" ht="15.75" thickTop="1" x14ac:dyDescent="0.25">
      <c r="A267" s="85">
        <v>1</v>
      </c>
      <c r="B267" s="7" t="s">
        <v>18</v>
      </c>
      <c r="C267" s="139">
        <v>0</v>
      </c>
      <c r="D267" s="139">
        <v>0</v>
      </c>
      <c r="E267" s="139">
        <v>0</v>
      </c>
      <c r="F267" s="139">
        <v>0</v>
      </c>
      <c r="G267" s="139">
        <v>0</v>
      </c>
      <c r="H267" s="139">
        <v>3</v>
      </c>
      <c r="I267" s="127">
        <f t="shared" ref="I267:I274" si="77">SUM(C267:H267)</f>
        <v>3</v>
      </c>
      <c r="J267" s="162">
        <f>'kc ijo'!F42</f>
        <v>0</v>
      </c>
      <c r="K267" s="162">
        <f>'kc ijo'!G42</f>
        <v>0</v>
      </c>
      <c r="L267" s="162">
        <f>'kc ijo'!H42</f>
        <v>0</v>
      </c>
      <c r="M267" s="162">
        <f>'kc ijo'!I42</f>
        <v>0</v>
      </c>
      <c r="N267" s="162">
        <f>'kc ijo'!J42</f>
        <v>0</v>
      </c>
      <c r="O267" s="162">
        <f>'kc ijo'!K42</f>
        <v>0</v>
      </c>
      <c r="P267" s="127">
        <f>SUM(J267:O267)</f>
        <v>0</v>
      </c>
      <c r="Q267" s="130">
        <f>SUM(I267,P267)</f>
        <v>3</v>
      </c>
    </row>
    <row r="268" spans="1:17" x14ac:dyDescent="0.25">
      <c r="A268" s="86">
        <v>2</v>
      </c>
      <c r="B268" s="12" t="s">
        <v>19</v>
      </c>
      <c r="C268" s="60">
        <v>0</v>
      </c>
      <c r="D268" s="60">
        <v>0</v>
      </c>
      <c r="E268" s="60">
        <v>0</v>
      </c>
      <c r="F268" s="60">
        <v>0</v>
      </c>
      <c r="G268" s="60">
        <v>0</v>
      </c>
      <c r="H268" s="60">
        <v>0</v>
      </c>
      <c r="I268" s="128">
        <f t="shared" si="77"/>
        <v>0</v>
      </c>
      <c r="J268" s="341">
        <f>'kc ijo'!F43</f>
        <v>0</v>
      </c>
      <c r="K268" s="135">
        <f>'kc ijo'!G43</f>
        <v>1</v>
      </c>
      <c r="L268" s="135">
        <f>'kc ijo'!H43</f>
        <v>0</v>
      </c>
      <c r="M268" s="135">
        <f>'kc ijo'!I43</f>
        <v>0</v>
      </c>
      <c r="N268" s="135">
        <f>'kc ijo'!J43</f>
        <v>0</v>
      </c>
      <c r="O268" s="164">
        <f>'kc ijo'!K43</f>
        <v>0</v>
      </c>
      <c r="P268" s="128">
        <f t="shared" ref="P268:P273" si="78">SUM(J268:O268)</f>
        <v>1</v>
      </c>
      <c r="Q268" s="131">
        <f t="shared" ref="Q268:Q274" si="79">SUM(I268,P268)</f>
        <v>1</v>
      </c>
    </row>
    <row r="269" spans="1:17" x14ac:dyDescent="0.25">
      <c r="A269" s="86">
        <v>3</v>
      </c>
      <c r="B269" s="7" t="s">
        <v>20</v>
      </c>
      <c r="C269" s="60">
        <v>0</v>
      </c>
      <c r="D269" s="60">
        <v>0</v>
      </c>
      <c r="E269" s="60">
        <v>0</v>
      </c>
      <c r="F269" s="60">
        <v>0</v>
      </c>
      <c r="G269" s="60">
        <v>0</v>
      </c>
      <c r="H269" s="340">
        <v>0</v>
      </c>
      <c r="I269" s="128">
        <f t="shared" si="77"/>
        <v>0</v>
      </c>
      <c r="J269" s="341">
        <f>'kc ijo'!F44</f>
        <v>0</v>
      </c>
      <c r="K269" s="135">
        <f>'kc ijo'!G44</f>
        <v>0</v>
      </c>
      <c r="L269" s="135">
        <f>'kc ijo'!H44</f>
        <v>0</v>
      </c>
      <c r="M269" s="135">
        <f>'kc ijo'!I44</f>
        <v>0</v>
      </c>
      <c r="N269" s="135">
        <f>'kc ijo'!J44</f>
        <v>3</v>
      </c>
      <c r="O269" s="164">
        <f>'kc ijo'!K44</f>
        <v>0</v>
      </c>
      <c r="P269" s="128">
        <f t="shared" si="78"/>
        <v>3</v>
      </c>
      <c r="Q269" s="131">
        <f t="shared" si="79"/>
        <v>3</v>
      </c>
    </row>
    <row r="270" spans="1:17" x14ac:dyDescent="0.25">
      <c r="A270" s="87">
        <v>4</v>
      </c>
      <c r="B270" s="15" t="s">
        <v>21</v>
      </c>
      <c r="C270" s="60">
        <v>0</v>
      </c>
      <c r="D270" s="60">
        <v>0</v>
      </c>
      <c r="E270" s="60">
        <v>0</v>
      </c>
      <c r="F270" s="60">
        <v>0</v>
      </c>
      <c r="G270" s="60">
        <v>0</v>
      </c>
      <c r="H270" s="60">
        <v>0</v>
      </c>
      <c r="I270" s="128">
        <f t="shared" si="77"/>
        <v>0</v>
      </c>
      <c r="J270" s="341">
        <f>'kc ijo'!F45</f>
        <v>0</v>
      </c>
      <c r="K270" s="135">
        <f>'kc ijo'!G45</f>
        <v>0</v>
      </c>
      <c r="L270" s="135">
        <f>'kc ijo'!H45</f>
        <v>0</v>
      </c>
      <c r="M270" s="135">
        <f>'kc ijo'!I45</f>
        <v>0</v>
      </c>
      <c r="N270" s="135">
        <f>'kc ijo'!J45</f>
        <v>11</v>
      </c>
      <c r="O270" s="164">
        <f>'kc ijo'!K45</f>
        <v>1</v>
      </c>
      <c r="P270" s="128">
        <f t="shared" si="78"/>
        <v>12</v>
      </c>
      <c r="Q270" s="131">
        <f t="shared" si="79"/>
        <v>12</v>
      </c>
    </row>
    <row r="271" spans="1:17" x14ac:dyDescent="0.25">
      <c r="A271" s="87">
        <v>5</v>
      </c>
      <c r="B271" s="19" t="s">
        <v>22</v>
      </c>
      <c r="C271" s="60">
        <v>0</v>
      </c>
      <c r="D271" s="60">
        <v>0</v>
      </c>
      <c r="E271" s="60">
        <v>0</v>
      </c>
      <c r="F271" s="60">
        <v>0</v>
      </c>
      <c r="G271" s="60">
        <v>0</v>
      </c>
      <c r="H271" s="60">
        <v>0</v>
      </c>
      <c r="I271" s="128">
        <f t="shared" si="77"/>
        <v>0</v>
      </c>
      <c r="J271" s="341">
        <f>'kc ijo'!F46</f>
        <v>0</v>
      </c>
      <c r="K271" s="135">
        <f>'kc ijo'!G46</f>
        <v>0</v>
      </c>
      <c r="L271" s="135">
        <f>'kc ijo'!H46</f>
        <v>0</v>
      </c>
      <c r="M271" s="135">
        <f>'kc ijo'!I46</f>
        <v>1</v>
      </c>
      <c r="N271" s="135">
        <f>'kc ijo'!J46</f>
        <v>0</v>
      </c>
      <c r="O271" s="164">
        <f>'kc ijo'!K46</f>
        <v>0</v>
      </c>
      <c r="P271" s="128">
        <f t="shared" si="78"/>
        <v>1</v>
      </c>
      <c r="Q271" s="131">
        <f t="shared" si="79"/>
        <v>1</v>
      </c>
    </row>
    <row r="272" spans="1:17" x14ac:dyDescent="0.25">
      <c r="A272" s="87">
        <v>6</v>
      </c>
      <c r="B272" s="19" t="s">
        <v>23</v>
      </c>
      <c r="C272" s="60">
        <v>0</v>
      </c>
      <c r="D272" s="60">
        <v>0</v>
      </c>
      <c r="E272" s="60">
        <v>0</v>
      </c>
      <c r="F272" s="60">
        <v>0</v>
      </c>
      <c r="G272" s="60">
        <v>0</v>
      </c>
      <c r="H272" s="60">
        <v>0</v>
      </c>
      <c r="I272" s="128">
        <f t="shared" si="77"/>
        <v>0</v>
      </c>
      <c r="J272" s="341">
        <f>'kc ijo'!F47</f>
        <v>0</v>
      </c>
      <c r="K272" s="135">
        <f>'kc ijo'!G47</f>
        <v>0</v>
      </c>
      <c r="L272" s="135">
        <f>'kc ijo'!H47</f>
        <v>0</v>
      </c>
      <c r="M272" s="135">
        <f>'kc ijo'!I47</f>
        <v>0</v>
      </c>
      <c r="N272" s="135">
        <f>'kc ijo'!J47</f>
        <v>0</v>
      </c>
      <c r="O272" s="164">
        <f>'kc ijo'!K47</f>
        <v>0</v>
      </c>
      <c r="P272" s="128">
        <f t="shared" si="78"/>
        <v>0</v>
      </c>
      <c r="Q272" s="131">
        <f t="shared" si="79"/>
        <v>0</v>
      </c>
    </row>
    <row r="273" spans="1:17" x14ac:dyDescent="0.25">
      <c r="A273" s="87">
        <v>7</v>
      </c>
      <c r="B273" s="19" t="s">
        <v>24</v>
      </c>
      <c r="C273" s="60">
        <v>0</v>
      </c>
      <c r="D273" s="60">
        <v>0</v>
      </c>
      <c r="E273" s="60">
        <v>0</v>
      </c>
      <c r="F273" s="60">
        <v>0</v>
      </c>
      <c r="G273" s="60">
        <v>0</v>
      </c>
      <c r="H273" s="60">
        <v>0</v>
      </c>
      <c r="I273" s="128">
        <f t="shared" si="77"/>
        <v>0</v>
      </c>
      <c r="J273" s="341">
        <f>'kc ijo'!F48</f>
        <v>0</v>
      </c>
      <c r="K273" s="135">
        <f>'kc ijo'!G48</f>
        <v>0</v>
      </c>
      <c r="L273" s="135">
        <f>'kc ijo'!H48</f>
        <v>0</v>
      </c>
      <c r="M273" s="135">
        <f>'kc ijo'!I48</f>
        <v>0</v>
      </c>
      <c r="N273" s="135">
        <f>'kc ijo'!J48</f>
        <v>0</v>
      </c>
      <c r="O273" s="164">
        <f>'kc ijo'!K48</f>
        <v>0</v>
      </c>
      <c r="P273" s="128">
        <f t="shared" si="78"/>
        <v>0</v>
      </c>
      <c r="Q273" s="131">
        <f t="shared" si="79"/>
        <v>0</v>
      </c>
    </row>
    <row r="274" spans="1:17" ht="15.75" thickBot="1" x14ac:dyDescent="0.3">
      <c r="A274" s="88">
        <v>8</v>
      </c>
      <c r="B274" s="15" t="s">
        <v>25</v>
      </c>
      <c r="C274" s="140">
        <v>0</v>
      </c>
      <c r="D274" s="140">
        <v>0</v>
      </c>
      <c r="E274" s="140">
        <v>0</v>
      </c>
      <c r="F274" s="140">
        <v>0</v>
      </c>
      <c r="G274" s="140">
        <v>0</v>
      </c>
      <c r="H274" s="140">
        <v>0</v>
      </c>
      <c r="I274" s="129">
        <f t="shared" si="77"/>
        <v>0</v>
      </c>
      <c r="J274" s="329">
        <f>'kc ijo'!F49</f>
        <v>0</v>
      </c>
      <c r="K274" s="329">
        <f>'kc ijo'!G49</f>
        <v>0</v>
      </c>
      <c r="L274" s="329">
        <f>'kc ijo'!H49</f>
        <v>0</v>
      </c>
      <c r="M274" s="329">
        <f>'kc ijo'!I49</f>
        <v>0</v>
      </c>
      <c r="N274" s="329">
        <f>'kc ijo'!J49</f>
        <v>0</v>
      </c>
      <c r="O274" s="329">
        <f>'kc ijo'!K49</f>
        <v>0</v>
      </c>
      <c r="P274" s="129">
        <f>SUM(J274:O274)</f>
        <v>0</v>
      </c>
      <c r="Q274" s="132">
        <f t="shared" si="79"/>
        <v>0</v>
      </c>
    </row>
    <row r="275" spans="1:17" ht="16.5" thickTop="1" thickBot="1" x14ac:dyDescent="0.3">
      <c r="A275" s="514" t="s">
        <v>26</v>
      </c>
      <c r="B275" s="515"/>
      <c r="C275" s="115">
        <f t="shared" ref="C275:O275" si="80">SUM(C267:C274)</f>
        <v>0</v>
      </c>
      <c r="D275" s="115">
        <f t="shared" si="80"/>
        <v>0</v>
      </c>
      <c r="E275" s="115">
        <f t="shared" si="80"/>
        <v>0</v>
      </c>
      <c r="F275" s="115">
        <f t="shared" si="80"/>
        <v>0</v>
      </c>
      <c r="G275" s="115">
        <f t="shared" si="80"/>
        <v>0</v>
      </c>
      <c r="H275" s="124">
        <f t="shared" si="80"/>
        <v>3</v>
      </c>
      <c r="I275" s="126">
        <f t="shared" si="80"/>
        <v>3</v>
      </c>
      <c r="J275" s="136">
        <f t="shared" si="80"/>
        <v>0</v>
      </c>
      <c r="K275" s="115">
        <f t="shared" si="80"/>
        <v>1</v>
      </c>
      <c r="L275" s="115">
        <f t="shared" si="80"/>
        <v>0</v>
      </c>
      <c r="M275" s="115">
        <f t="shared" si="80"/>
        <v>1</v>
      </c>
      <c r="N275" s="115">
        <f t="shared" si="80"/>
        <v>14</v>
      </c>
      <c r="O275" s="124">
        <f t="shared" si="80"/>
        <v>1</v>
      </c>
      <c r="P275" s="126">
        <f>SUM(P267:P274)</f>
        <v>17</v>
      </c>
      <c r="Q275" s="133">
        <f>SUM(Q267:Q274)</f>
        <v>20</v>
      </c>
    </row>
  </sheetData>
  <mergeCells count="170">
    <mergeCell ref="A15:B15"/>
    <mergeCell ref="A1:Q1"/>
    <mergeCell ref="A2:Q2"/>
    <mergeCell ref="A4:A5"/>
    <mergeCell ref="B4:B5"/>
    <mergeCell ref="C4:H4"/>
    <mergeCell ref="I4:I5"/>
    <mergeCell ref="J4:O4"/>
    <mergeCell ref="P4:P5"/>
    <mergeCell ref="Q4:Q5"/>
    <mergeCell ref="A17:Q17"/>
    <mergeCell ref="A18:Q18"/>
    <mergeCell ref="A20:A21"/>
    <mergeCell ref="B20:B21"/>
    <mergeCell ref="C20:H20"/>
    <mergeCell ref="I20:I21"/>
    <mergeCell ref="J20:O20"/>
    <mergeCell ref="P20:P21"/>
    <mergeCell ref="Q20:Q21"/>
    <mergeCell ref="A31:B31"/>
    <mergeCell ref="A33:Q33"/>
    <mergeCell ref="A34:Q34"/>
    <mergeCell ref="A36:A37"/>
    <mergeCell ref="B36:B37"/>
    <mergeCell ref="C36:H36"/>
    <mergeCell ref="I36:I37"/>
    <mergeCell ref="J36:O36"/>
    <mergeCell ref="P36:P37"/>
    <mergeCell ref="Q36:Q37"/>
    <mergeCell ref="A47:B47"/>
    <mergeCell ref="A49:Q49"/>
    <mergeCell ref="A50:Q50"/>
    <mergeCell ref="A52:A53"/>
    <mergeCell ref="B52:B53"/>
    <mergeCell ref="C52:H52"/>
    <mergeCell ref="I52:I53"/>
    <mergeCell ref="J52:O52"/>
    <mergeCell ref="P52:P53"/>
    <mergeCell ref="Q52:Q53"/>
    <mergeCell ref="A63:B63"/>
    <mergeCell ref="A65:Q65"/>
    <mergeCell ref="A66:Q66"/>
    <mergeCell ref="A68:A69"/>
    <mergeCell ref="B68:B69"/>
    <mergeCell ref="C68:H68"/>
    <mergeCell ref="I68:I69"/>
    <mergeCell ref="J68:O68"/>
    <mergeCell ref="P68:P69"/>
    <mergeCell ref="Q68:Q69"/>
    <mergeCell ref="A79:B79"/>
    <mergeCell ref="A81:Q81"/>
    <mergeCell ref="A82:Q82"/>
    <mergeCell ref="A84:A85"/>
    <mergeCell ref="B84:B85"/>
    <mergeCell ref="C84:H84"/>
    <mergeCell ref="I84:I85"/>
    <mergeCell ref="J84:O84"/>
    <mergeCell ref="P84:P85"/>
    <mergeCell ref="Q84:Q85"/>
    <mergeCell ref="A95:B95"/>
    <mergeCell ref="A97:Q97"/>
    <mergeCell ref="A98:Q98"/>
    <mergeCell ref="A100:A101"/>
    <mergeCell ref="B100:B101"/>
    <mergeCell ref="C100:H100"/>
    <mergeCell ref="I100:I101"/>
    <mergeCell ref="J100:O100"/>
    <mergeCell ref="P100:P101"/>
    <mergeCell ref="Q100:Q101"/>
    <mergeCell ref="A111:B111"/>
    <mergeCell ref="A113:Q113"/>
    <mergeCell ref="A114:Q114"/>
    <mergeCell ref="A116:A117"/>
    <mergeCell ref="B116:B117"/>
    <mergeCell ref="C116:H116"/>
    <mergeCell ref="I116:I117"/>
    <mergeCell ref="J116:O116"/>
    <mergeCell ref="P116:P117"/>
    <mergeCell ref="Q116:Q117"/>
    <mergeCell ref="A127:B127"/>
    <mergeCell ref="A129:Q129"/>
    <mergeCell ref="A130:Q130"/>
    <mergeCell ref="A132:A133"/>
    <mergeCell ref="B132:B133"/>
    <mergeCell ref="C132:H132"/>
    <mergeCell ref="I132:I133"/>
    <mergeCell ref="J132:O132"/>
    <mergeCell ref="P132:P133"/>
    <mergeCell ref="Q132:Q133"/>
    <mergeCell ref="A143:B143"/>
    <mergeCell ref="A147:Q147"/>
    <mergeCell ref="A148:Q148"/>
    <mergeCell ref="A150:A151"/>
    <mergeCell ref="B150:B151"/>
    <mergeCell ref="C150:H150"/>
    <mergeCell ref="I150:I151"/>
    <mergeCell ref="J150:O150"/>
    <mergeCell ref="P150:P151"/>
    <mergeCell ref="Q150:Q151"/>
    <mergeCell ref="A161:B161"/>
    <mergeCell ref="A163:Q163"/>
    <mergeCell ref="A164:Q164"/>
    <mergeCell ref="A166:A167"/>
    <mergeCell ref="B166:B167"/>
    <mergeCell ref="C166:H166"/>
    <mergeCell ref="I166:I167"/>
    <mergeCell ref="J166:O166"/>
    <mergeCell ref="P166:P167"/>
    <mergeCell ref="Q166:Q167"/>
    <mergeCell ref="A177:B177"/>
    <mergeCell ref="A179:Q179"/>
    <mergeCell ref="A180:Q180"/>
    <mergeCell ref="A182:A183"/>
    <mergeCell ref="B182:B183"/>
    <mergeCell ref="C182:H182"/>
    <mergeCell ref="I182:I183"/>
    <mergeCell ref="J182:O182"/>
    <mergeCell ref="P182:P183"/>
    <mergeCell ref="Q182:Q183"/>
    <mergeCell ref="A193:B193"/>
    <mergeCell ref="A196:Q196"/>
    <mergeCell ref="A197:Q197"/>
    <mergeCell ref="A199:A200"/>
    <mergeCell ref="B199:B200"/>
    <mergeCell ref="C199:H199"/>
    <mergeCell ref="I199:I200"/>
    <mergeCell ref="J199:O199"/>
    <mergeCell ref="P199:P200"/>
    <mergeCell ref="Q199:Q200"/>
    <mergeCell ref="A210:B210"/>
    <mergeCell ref="A213:Q213"/>
    <mergeCell ref="A214:Q214"/>
    <mergeCell ref="A216:A217"/>
    <mergeCell ref="B216:B217"/>
    <mergeCell ref="C216:H216"/>
    <mergeCell ref="I216:I217"/>
    <mergeCell ref="J216:O216"/>
    <mergeCell ref="P216:P217"/>
    <mergeCell ref="Q216:Q217"/>
    <mergeCell ref="A227:B227"/>
    <mergeCell ref="A229:Q229"/>
    <mergeCell ref="A230:Q230"/>
    <mergeCell ref="A232:A233"/>
    <mergeCell ref="B232:B233"/>
    <mergeCell ref="C232:H232"/>
    <mergeCell ref="I232:I233"/>
    <mergeCell ref="J232:O232"/>
    <mergeCell ref="P232:P233"/>
    <mergeCell ref="Q232:Q233"/>
    <mergeCell ref="A243:B243"/>
    <mergeCell ref="A245:Q245"/>
    <mergeCell ref="A246:Q246"/>
    <mergeCell ref="A248:A249"/>
    <mergeCell ref="B248:B249"/>
    <mergeCell ref="C248:H248"/>
    <mergeCell ref="I248:I249"/>
    <mergeCell ref="J248:O248"/>
    <mergeCell ref="P248:P249"/>
    <mergeCell ref="Q248:Q249"/>
    <mergeCell ref="A275:B275"/>
    <mergeCell ref="A259:B259"/>
    <mergeCell ref="A261:Q261"/>
    <mergeCell ref="A262:Q262"/>
    <mergeCell ref="A264:A265"/>
    <mergeCell ref="B264:B265"/>
    <mergeCell ref="C264:H264"/>
    <mergeCell ref="I264:I265"/>
    <mergeCell ref="J264:O264"/>
    <mergeCell ref="P264:P265"/>
    <mergeCell ref="Q264:Q265"/>
  </mergeCells>
  <pageMargins left="1.2204724409448819" right="0.59055118110236227" top="0.74803149606299213" bottom="0.74803149606299213" header="0.31496062992125984" footer="0.31496062992125984"/>
  <pageSetup paperSize="9" scale="90" orientation="landscape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96"/>
  <sheetViews>
    <sheetView zoomScale="90" zoomScaleNormal="90" workbookViewId="0">
      <selection activeCell="A2" sqref="A2:Q2"/>
    </sheetView>
  </sheetViews>
  <sheetFormatPr defaultRowHeight="15" x14ac:dyDescent="0.25"/>
  <cols>
    <col min="1" max="1" width="4.28515625" customWidth="1"/>
    <col min="2" max="2" width="14.140625" customWidth="1"/>
    <col min="3" max="8" width="7.85546875" customWidth="1"/>
    <col min="9" max="9" width="8.5703125" customWidth="1"/>
    <col min="10" max="15" width="7.85546875" customWidth="1"/>
    <col min="16" max="17" width="8.5703125" customWidth="1"/>
  </cols>
  <sheetData>
    <row r="2" spans="1:17" ht="15.75" x14ac:dyDescent="0.25">
      <c r="A2" s="516" t="s">
        <v>89</v>
      </c>
      <c r="B2" s="516"/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</row>
    <row r="3" spans="1:17" ht="15.75" x14ac:dyDescent="0.25">
      <c r="A3" s="516" t="s">
        <v>82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  <c r="N3" s="516"/>
      <c r="O3" s="516"/>
      <c r="P3" s="516"/>
      <c r="Q3" s="516"/>
    </row>
    <row r="4" spans="1:17" ht="15.75" thickBot="1" x14ac:dyDescent="0.3">
      <c r="Q4" s="77" t="s">
        <v>1</v>
      </c>
    </row>
    <row r="5" spans="1:17" x14ac:dyDescent="0.25">
      <c r="A5" s="511" t="s">
        <v>2</v>
      </c>
      <c r="B5" s="513" t="s">
        <v>3</v>
      </c>
      <c r="C5" s="517" t="s">
        <v>114</v>
      </c>
      <c r="D5" s="518"/>
      <c r="E5" s="518"/>
      <c r="F5" s="518"/>
      <c r="G5" s="518"/>
      <c r="H5" s="518"/>
      <c r="I5" s="519" t="s">
        <v>84</v>
      </c>
      <c r="J5" s="518">
        <v>2016</v>
      </c>
      <c r="K5" s="518"/>
      <c r="L5" s="518"/>
      <c r="M5" s="518"/>
      <c r="N5" s="518"/>
      <c r="O5" s="518"/>
      <c r="P5" s="519" t="s">
        <v>85</v>
      </c>
      <c r="Q5" s="521" t="s">
        <v>5</v>
      </c>
    </row>
    <row r="6" spans="1:17" x14ac:dyDescent="0.25">
      <c r="A6" s="512"/>
      <c r="B6" s="499"/>
      <c r="C6" s="324" t="s">
        <v>15</v>
      </c>
      <c r="D6" s="324" t="s">
        <v>16</v>
      </c>
      <c r="E6" s="324" t="s">
        <v>17</v>
      </c>
      <c r="F6" s="324" t="s">
        <v>6</v>
      </c>
      <c r="G6" s="324" t="s">
        <v>77</v>
      </c>
      <c r="H6" s="122" t="s">
        <v>78</v>
      </c>
      <c r="I6" s="520"/>
      <c r="J6" s="112" t="s">
        <v>79</v>
      </c>
      <c r="K6" s="324" t="s">
        <v>10</v>
      </c>
      <c r="L6" s="442" t="s">
        <v>11</v>
      </c>
      <c r="M6" s="459" t="s">
        <v>12</v>
      </c>
      <c r="N6" s="461" t="s">
        <v>80</v>
      </c>
      <c r="O6" s="122" t="s">
        <v>149</v>
      </c>
      <c r="P6" s="520"/>
      <c r="Q6" s="522"/>
    </row>
    <row r="7" spans="1:17" ht="15.75" thickBot="1" x14ac:dyDescent="0.3">
      <c r="A7" s="114">
        <v>1</v>
      </c>
      <c r="B7" s="5">
        <v>2</v>
      </c>
      <c r="C7" s="5">
        <v>3</v>
      </c>
      <c r="D7" s="5">
        <v>4</v>
      </c>
      <c r="E7" s="5">
        <v>5</v>
      </c>
      <c r="F7" s="5">
        <v>6</v>
      </c>
      <c r="G7" s="5">
        <v>7</v>
      </c>
      <c r="H7" s="123">
        <v>8</v>
      </c>
      <c r="I7" s="125">
        <v>9</v>
      </c>
      <c r="J7" s="113">
        <v>10</v>
      </c>
      <c r="K7" s="5">
        <v>11</v>
      </c>
      <c r="L7" s="5">
        <v>12</v>
      </c>
      <c r="M7" s="5">
        <v>13</v>
      </c>
      <c r="N7" s="5">
        <v>14</v>
      </c>
      <c r="O7" s="123">
        <v>15</v>
      </c>
      <c r="P7" s="125">
        <v>16</v>
      </c>
      <c r="Q7" s="134">
        <v>17</v>
      </c>
    </row>
    <row r="8" spans="1:17" ht="15.75" thickTop="1" x14ac:dyDescent="0.25">
      <c r="A8" s="85">
        <v>1</v>
      </c>
      <c r="B8" s="7" t="s">
        <v>18</v>
      </c>
      <c r="C8" s="139">
        <v>0</v>
      </c>
      <c r="D8" s="139">
        <v>0</v>
      </c>
      <c r="E8" s="139">
        <v>0</v>
      </c>
      <c r="F8" s="139">
        <f>'okt-mar'!F8</f>
        <v>7</v>
      </c>
      <c r="G8" s="139">
        <f>'okt-mar'!G8</f>
        <v>248</v>
      </c>
      <c r="H8" s="139">
        <f>'okt-mar'!H8</f>
        <v>0</v>
      </c>
      <c r="I8" s="127">
        <f>SUM(C8:H8)</f>
        <v>255</v>
      </c>
      <c r="J8" s="139">
        <f>'okt-mar'!J8</f>
        <v>0</v>
      </c>
      <c r="K8" s="139">
        <f>'okt-mar'!K8</f>
        <v>3</v>
      </c>
      <c r="L8" s="139">
        <f>'okt-mar'!L8</f>
        <v>37</v>
      </c>
      <c r="M8" s="139">
        <f>'okt-mar'!M8</f>
        <v>27</v>
      </c>
      <c r="N8" s="139">
        <f>'okt-mar'!N8</f>
        <v>8</v>
      </c>
      <c r="O8" s="139">
        <v>0</v>
      </c>
      <c r="P8" s="127">
        <f>SUM(J8:O8)</f>
        <v>75</v>
      </c>
      <c r="Q8" s="130">
        <f>SUM(I8,P8)</f>
        <v>330</v>
      </c>
    </row>
    <row r="9" spans="1:17" x14ac:dyDescent="0.25">
      <c r="A9" s="86">
        <v>2</v>
      </c>
      <c r="B9" s="12" t="s">
        <v>19</v>
      </c>
      <c r="C9" s="60">
        <v>4</v>
      </c>
      <c r="D9" s="60">
        <v>2</v>
      </c>
      <c r="E9" s="60">
        <v>29</v>
      </c>
      <c r="F9" s="60">
        <f>'okt-mar'!F9</f>
        <v>49</v>
      </c>
      <c r="G9" s="60">
        <f>'okt-mar'!G9</f>
        <v>128</v>
      </c>
      <c r="H9" s="161">
        <f>'okt-mar'!H9</f>
        <v>4</v>
      </c>
      <c r="I9" s="128">
        <f t="shared" ref="I9:I15" si="0">SUM(C9:H9)</f>
        <v>216</v>
      </c>
      <c r="J9" s="341">
        <f>'okt-mar'!J9</f>
        <v>5</v>
      </c>
      <c r="K9" s="60">
        <f>'okt-mar'!K9</f>
        <v>13</v>
      </c>
      <c r="L9" s="60">
        <f>'okt-mar'!L9</f>
        <v>38</v>
      </c>
      <c r="M9" s="60">
        <f>'okt-mar'!M9</f>
        <v>37</v>
      </c>
      <c r="N9" s="60">
        <f>'okt-mar'!N9</f>
        <v>31</v>
      </c>
      <c r="O9" s="161">
        <v>11</v>
      </c>
      <c r="P9" s="128">
        <f t="shared" ref="P9:P14" si="1">SUM(J9:O9)</f>
        <v>135</v>
      </c>
      <c r="Q9" s="131">
        <f t="shared" ref="Q9:Q15" si="2">SUM(I9,P9)</f>
        <v>351</v>
      </c>
    </row>
    <row r="10" spans="1:17" x14ac:dyDescent="0.25">
      <c r="A10" s="86">
        <v>3</v>
      </c>
      <c r="B10" s="7" t="s">
        <v>20</v>
      </c>
      <c r="C10" s="60">
        <v>0</v>
      </c>
      <c r="D10" s="60">
        <v>0</v>
      </c>
      <c r="E10" s="60">
        <v>0</v>
      </c>
      <c r="F10" s="60">
        <f>'okt-mar'!F10</f>
        <v>10</v>
      </c>
      <c r="G10" s="60">
        <f>'okt-mar'!G10</f>
        <v>15</v>
      </c>
      <c r="H10" s="161">
        <f>'okt-mar'!H10</f>
        <v>0</v>
      </c>
      <c r="I10" s="128">
        <f t="shared" si="0"/>
        <v>25</v>
      </c>
      <c r="J10" s="341">
        <f>'okt-mar'!J10</f>
        <v>0</v>
      </c>
      <c r="K10" s="60">
        <f>'okt-mar'!K10</f>
        <v>10</v>
      </c>
      <c r="L10" s="60">
        <f>'okt-mar'!L10</f>
        <v>5</v>
      </c>
      <c r="M10" s="60">
        <f>'okt-mar'!M10</f>
        <v>0</v>
      </c>
      <c r="N10" s="60">
        <f>'okt-mar'!N10</f>
        <v>0</v>
      </c>
      <c r="O10" s="161">
        <v>0</v>
      </c>
      <c r="P10" s="128">
        <f t="shared" si="1"/>
        <v>15</v>
      </c>
      <c r="Q10" s="131">
        <f t="shared" si="2"/>
        <v>40</v>
      </c>
    </row>
    <row r="11" spans="1:17" x14ac:dyDescent="0.25">
      <c r="A11" s="87">
        <v>4</v>
      </c>
      <c r="B11" s="15" t="s">
        <v>21</v>
      </c>
      <c r="C11" s="60">
        <v>1</v>
      </c>
      <c r="D11" s="60">
        <v>2</v>
      </c>
      <c r="E11" s="60">
        <v>16</v>
      </c>
      <c r="F11" s="60">
        <f>'okt-mar'!F11</f>
        <v>182</v>
      </c>
      <c r="G11" s="60">
        <f>'okt-mar'!G11</f>
        <v>1</v>
      </c>
      <c r="H11" s="161">
        <f>'okt-mar'!H11</f>
        <v>1</v>
      </c>
      <c r="I11" s="128">
        <f t="shared" si="0"/>
        <v>203</v>
      </c>
      <c r="J11" s="341">
        <f>'okt-mar'!J11</f>
        <v>0</v>
      </c>
      <c r="K11" s="60">
        <f>'okt-mar'!K11</f>
        <v>21</v>
      </c>
      <c r="L11" s="60">
        <f>'okt-mar'!L11</f>
        <v>11</v>
      </c>
      <c r="M11" s="60">
        <f>'okt-mar'!M11</f>
        <v>2</v>
      </c>
      <c r="N11" s="60">
        <f>'okt-mar'!N11</f>
        <v>1</v>
      </c>
      <c r="O11" s="161">
        <v>5</v>
      </c>
      <c r="P11" s="128">
        <f t="shared" si="1"/>
        <v>40</v>
      </c>
      <c r="Q11" s="131">
        <f t="shared" si="2"/>
        <v>243</v>
      </c>
    </row>
    <row r="12" spans="1:17" x14ac:dyDescent="0.25">
      <c r="A12" s="87">
        <v>5</v>
      </c>
      <c r="B12" s="19" t="s">
        <v>22</v>
      </c>
      <c r="C12" s="60">
        <v>0</v>
      </c>
      <c r="D12" s="60">
        <v>0</v>
      </c>
      <c r="E12" s="60">
        <v>0</v>
      </c>
      <c r="F12" s="60">
        <f>'okt-mar'!F12</f>
        <v>45</v>
      </c>
      <c r="G12" s="60">
        <f>'okt-mar'!G12</f>
        <v>119</v>
      </c>
      <c r="H12" s="161">
        <f>'okt-mar'!H12</f>
        <v>0</v>
      </c>
      <c r="I12" s="128">
        <f t="shared" si="0"/>
        <v>164</v>
      </c>
      <c r="J12" s="341">
        <f>'okt-mar'!J12</f>
        <v>0</v>
      </c>
      <c r="K12" s="60">
        <f>'okt-mar'!K12</f>
        <v>20</v>
      </c>
      <c r="L12" s="60">
        <f>'okt-mar'!L12</f>
        <v>0</v>
      </c>
      <c r="M12" s="60">
        <f>'okt-mar'!M12</f>
        <v>0</v>
      </c>
      <c r="N12" s="60">
        <f>'okt-mar'!N12</f>
        <v>0</v>
      </c>
      <c r="O12" s="161">
        <v>0</v>
      </c>
      <c r="P12" s="128">
        <f t="shared" si="1"/>
        <v>20</v>
      </c>
      <c r="Q12" s="131">
        <f t="shared" si="2"/>
        <v>184</v>
      </c>
    </row>
    <row r="13" spans="1:17" x14ac:dyDescent="0.25">
      <c r="A13" s="87">
        <v>6</v>
      </c>
      <c r="B13" s="19" t="s">
        <v>23</v>
      </c>
      <c r="C13" s="60">
        <v>0</v>
      </c>
      <c r="D13" s="60">
        <v>5</v>
      </c>
      <c r="E13" s="60">
        <v>7</v>
      </c>
      <c r="F13" s="60">
        <f>'okt-mar'!F13</f>
        <v>29</v>
      </c>
      <c r="G13" s="60">
        <f>'okt-mar'!G13</f>
        <v>18</v>
      </c>
      <c r="H13" s="161">
        <f>'okt-mar'!H13</f>
        <v>0</v>
      </c>
      <c r="I13" s="128">
        <f t="shared" si="0"/>
        <v>59</v>
      </c>
      <c r="J13" s="341">
        <f>'okt-mar'!J13</f>
        <v>0</v>
      </c>
      <c r="K13" s="60">
        <f>'okt-mar'!K13</f>
        <v>10</v>
      </c>
      <c r="L13" s="60">
        <f>'okt-mar'!L13</f>
        <v>25</v>
      </c>
      <c r="M13" s="60">
        <f>'okt-mar'!M13</f>
        <v>6</v>
      </c>
      <c r="N13" s="60">
        <f>'okt-mar'!N13</f>
        <v>0</v>
      </c>
      <c r="O13" s="161">
        <v>0</v>
      </c>
      <c r="P13" s="128">
        <f t="shared" si="1"/>
        <v>41</v>
      </c>
      <c r="Q13" s="131">
        <f t="shared" si="2"/>
        <v>100</v>
      </c>
    </row>
    <row r="14" spans="1:17" x14ac:dyDescent="0.25">
      <c r="A14" s="87">
        <v>7</v>
      </c>
      <c r="B14" s="19" t="s">
        <v>24</v>
      </c>
      <c r="C14" s="60">
        <v>0</v>
      </c>
      <c r="D14" s="60">
        <v>5</v>
      </c>
      <c r="E14" s="60">
        <v>179</v>
      </c>
      <c r="F14" s="60">
        <f>'okt-mar'!F14</f>
        <v>104</v>
      </c>
      <c r="G14" s="60">
        <f>'okt-mar'!G14</f>
        <v>59</v>
      </c>
      <c r="H14" s="161">
        <f>'okt-mar'!H14</f>
        <v>1</v>
      </c>
      <c r="I14" s="128">
        <f t="shared" si="0"/>
        <v>348</v>
      </c>
      <c r="J14" s="341">
        <f>'okt-mar'!J14</f>
        <v>1</v>
      </c>
      <c r="K14" s="60">
        <f>'okt-mar'!K14</f>
        <v>48</v>
      </c>
      <c r="L14" s="60">
        <f>'okt-mar'!L14</f>
        <v>189</v>
      </c>
      <c r="M14" s="60">
        <f>'okt-mar'!M14</f>
        <v>27</v>
      </c>
      <c r="N14" s="60">
        <f>'okt-mar'!N14</f>
        <v>3</v>
      </c>
      <c r="O14" s="161">
        <v>1</v>
      </c>
      <c r="P14" s="128">
        <f t="shared" si="1"/>
        <v>269</v>
      </c>
      <c r="Q14" s="131">
        <f t="shared" si="2"/>
        <v>617</v>
      </c>
    </row>
    <row r="15" spans="1:17" ht="15.75" thickBot="1" x14ac:dyDescent="0.3">
      <c r="A15" s="88">
        <v>8</v>
      </c>
      <c r="B15" s="15" t="s">
        <v>25</v>
      </c>
      <c r="C15" s="145">
        <v>1</v>
      </c>
      <c r="D15" s="140">
        <v>1</v>
      </c>
      <c r="E15" s="60">
        <v>42</v>
      </c>
      <c r="F15" s="140">
        <f>'okt-mar'!F15</f>
        <v>64</v>
      </c>
      <c r="G15" s="140">
        <f>'okt-mar'!G15</f>
        <v>145</v>
      </c>
      <c r="H15" s="140">
        <f>'okt-mar'!H15</f>
        <v>6</v>
      </c>
      <c r="I15" s="368">
        <f t="shared" si="0"/>
        <v>259</v>
      </c>
      <c r="J15" s="140">
        <f>'okt-mar'!J15</f>
        <v>26</v>
      </c>
      <c r="K15" s="140">
        <f>'okt-mar'!K15</f>
        <v>66</v>
      </c>
      <c r="L15" s="140">
        <f>'okt-mar'!L15</f>
        <v>101</v>
      </c>
      <c r="M15" s="140">
        <f>'okt-mar'!M15</f>
        <v>0</v>
      </c>
      <c r="N15" s="140">
        <f>'okt-mar'!N15</f>
        <v>48</v>
      </c>
      <c r="O15" s="140">
        <v>25</v>
      </c>
      <c r="P15" s="129">
        <f>SUM(J15:O15)</f>
        <v>266</v>
      </c>
      <c r="Q15" s="132">
        <f t="shared" si="2"/>
        <v>525</v>
      </c>
    </row>
    <row r="16" spans="1:17" ht="16.5" thickTop="1" thickBot="1" x14ac:dyDescent="0.3">
      <c r="A16" s="514" t="s">
        <v>26</v>
      </c>
      <c r="B16" s="515"/>
      <c r="C16" s="115">
        <f t="shared" ref="C16:H16" si="3">SUM(C8:C15)</f>
        <v>6</v>
      </c>
      <c r="D16" s="115">
        <f t="shared" si="3"/>
        <v>15</v>
      </c>
      <c r="E16" s="115">
        <f t="shared" si="3"/>
        <v>273</v>
      </c>
      <c r="F16" s="115">
        <f t="shared" si="3"/>
        <v>490</v>
      </c>
      <c r="G16" s="115">
        <f t="shared" si="3"/>
        <v>733</v>
      </c>
      <c r="H16" s="124">
        <f t="shared" si="3"/>
        <v>12</v>
      </c>
      <c r="I16" s="126">
        <f>SUM(I8:I15)</f>
        <v>1529</v>
      </c>
      <c r="J16" s="136">
        <f t="shared" ref="J16:O16" si="4">SUM(J8:J15)</f>
        <v>32</v>
      </c>
      <c r="K16" s="115">
        <f t="shared" si="4"/>
        <v>191</v>
      </c>
      <c r="L16" s="115">
        <f t="shared" si="4"/>
        <v>406</v>
      </c>
      <c r="M16" s="115">
        <f>SUM(M8:M15)</f>
        <v>99</v>
      </c>
      <c r="N16" s="115">
        <f t="shared" si="4"/>
        <v>91</v>
      </c>
      <c r="O16" s="124">
        <f t="shared" si="4"/>
        <v>42</v>
      </c>
      <c r="P16" s="126">
        <f>SUM(P8:P15)</f>
        <v>861</v>
      </c>
      <c r="Q16" s="133">
        <f>SUM(Q8:Q15)</f>
        <v>2390</v>
      </c>
    </row>
    <row r="17" spans="1:17" x14ac:dyDescent="0.25">
      <c r="A17" t="s">
        <v>150</v>
      </c>
    </row>
    <row r="18" spans="1:17" ht="15.75" x14ac:dyDescent="0.25">
      <c r="A18" s="516" t="s">
        <v>95</v>
      </c>
      <c r="B18" s="516"/>
      <c r="C18" s="516"/>
      <c r="D18" s="516"/>
      <c r="E18" s="516"/>
      <c r="F18" s="516"/>
      <c r="G18" s="516"/>
      <c r="H18" s="516"/>
      <c r="I18" s="516"/>
      <c r="J18" s="516"/>
      <c r="K18" s="516"/>
      <c r="L18" s="516"/>
      <c r="M18" s="516"/>
      <c r="N18" s="516"/>
      <c r="O18" s="516"/>
      <c r="P18" s="516"/>
      <c r="Q18" s="516"/>
    </row>
    <row r="19" spans="1:17" ht="15.75" x14ac:dyDescent="0.25">
      <c r="A19" s="516" t="s">
        <v>82</v>
      </c>
      <c r="B19" s="516"/>
      <c r="C19" s="516"/>
      <c r="D19" s="516"/>
      <c r="E19" s="516"/>
      <c r="F19" s="516"/>
      <c r="G19" s="516"/>
      <c r="H19" s="516"/>
      <c r="I19" s="516"/>
      <c r="J19" s="516"/>
      <c r="K19" s="516"/>
      <c r="L19" s="516"/>
      <c r="M19" s="516"/>
      <c r="N19" s="516"/>
      <c r="O19" s="516"/>
      <c r="P19" s="516"/>
      <c r="Q19" s="516"/>
    </row>
    <row r="20" spans="1:17" ht="15.75" thickBot="1" x14ac:dyDescent="0.3">
      <c r="Q20" s="77" t="s">
        <v>1</v>
      </c>
    </row>
    <row r="21" spans="1:17" x14ac:dyDescent="0.25">
      <c r="A21" s="511" t="s">
        <v>2</v>
      </c>
      <c r="B21" s="513" t="s">
        <v>3</v>
      </c>
      <c r="C21" s="517" t="s">
        <v>114</v>
      </c>
      <c r="D21" s="518"/>
      <c r="E21" s="518"/>
      <c r="F21" s="518"/>
      <c r="G21" s="518"/>
      <c r="H21" s="518"/>
      <c r="I21" s="519" t="s">
        <v>84</v>
      </c>
      <c r="J21" s="518">
        <v>2016</v>
      </c>
      <c r="K21" s="518"/>
      <c r="L21" s="518"/>
      <c r="M21" s="518"/>
      <c r="N21" s="518"/>
      <c r="O21" s="518"/>
      <c r="P21" s="519" t="s">
        <v>85</v>
      </c>
      <c r="Q21" s="521" t="s">
        <v>5</v>
      </c>
    </row>
    <row r="22" spans="1:17" x14ac:dyDescent="0.25">
      <c r="A22" s="512"/>
      <c r="B22" s="499"/>
      <c r="C22" s="324" t="s">
        <v>15</v>
      </c>
      <c r="D22" s="324" t="s">
        <v>16</v>
      </c>
      <c r="E22" s="324" t="s">
        <v>17</v>
      </c>
      <c r="F22" s="324" t="s">
        <v>6</v>
      </c>
      <c r="G22" s="324" t="s">
        <v>77</v>
      </c>
      <c r="H22" s="122" t="s">
        <v>78</v>
      </c>
      <c r="I22" s="520"/>
      <c r="J22" s="112" t="s">
        <v>79</v>
      </c>
      <c r="K22" s="324" t="s">
        <v>10</v>
      </c>
      <c r="L22" s="324" t="s">
        <v>11</v>
      </c>
      <c r="M22" s="324" t="s">
        <v>12</v>
      </c>
      <c r="N22" s="324" t="s">
        <v>80</v>
      </c>
      <c r="O22" s="122" t="s">
        <v>81</v>
      </c>
      <c r="P22" s="520"/>
      <c r="Q22" s="522"/>
    </row>
    <row r="23" spans="1:17" ht="15.75" thickBot="1" x14ac:dyDescent="0.3">
      <c r="A23" s="114">
        <v>1</v>
      </c>
      <c r="B23" s="5">
        <v>2</v>
      </c>
      <c r="C23" s="5">
        <v>3</v>
      </c>
      <c r="D23" s="5">
        <v>4</v>
      </c>
      <c r="E23" s="5">
        <v>5</v>
      </c>
      <c r="F23" s="5">
        <v>6</v>
      </c>
      <c r="G23" s="5">
        <v>7</v>
      </c>
      <c r="H23" s="123">
        <v>8</v>
      </c>
      <c r="I23" s="125">
        <v>9</v>
      </c>
      <c r="J23" s="113">
        <v>10</v>
      </c>
      <c r="K23" s="5">
        <v>11</v>
      </c>
      <c r="L23" s="5">
        <v>12</v>
      </c>
      <c r="M23" s="5">
        <v>13</v>
      </c>
      <c r="N23" s="5">
        <v>14</v>
      </c>
      <c r="O23" s="123">
        <v>15</v>
      </c>
      <c r="P23" s="125">
        <v>16</v>
      </c>
      <c r="Q23" s="134">
        <v>17</v>
      </c>
    </row>
    <row r="24" spans="1:17" ht="15.75" thickTop="1" x14ac:dyDescent="0.25">
      <c r="A24" s="85">
        <v>1</v>
      </c>
      <c r="B24" s="7" t="s">
        <v>18</v>
      </c>
      <c r="C24" s="139">
        <v>0</v>
      </c>
      <c r="D24" s="139">
        <v>0</v>
      </c>
      <c r="E24" s="139">
        <v>0</v>
      </c>
      <c r="F24" s="139">
        <f>'padi ladang'!C9</f>
        <v>0</v>
      </c>
      <c r="G24" s="139">
        <f>'padi ladang'!D9</f>
        <v>0</v>
      </c>
      <c r="H24" s="139">
        <f>'padi ladang'!E9</f>
        <v>0</v>
      </c>
      <c r="I24" s="127">
        <f>SUM(C24:H24)</f>
        <v>0</v>
      </c>
      <c r="J24" s="162">
        <f>'padi ladang'!F9</f>
        <v>0</v>
      </c>
      <c r="K24" s="162">
        <f>'padi ladang'!G9</f>
        <v>0</v>
      </c>
      <c r="L24" s="162">
        <f>'padi ladang'!H9</f>
        <v>0</v>
      </c>
      <c r="M24" s="162">
        <f>'padi ladang'!I9</f>
        <v>0</v>
      </c>
      <c r="N24" s="162">
        <f>'padi ladang'!J9</f>
        <v>0</v>
      </c>
      <c r="O24" s="162">
        <f>'padi ladang'!K9</f>
        <v>0</v>
      </c>
      <c r="P24" s="127">
        <f>SUM(J24:O24)</f>
        <v>0</v>
      </c>
      <c r="Q24" s="130">
        <f>SUM(I24,P24)</f>
        <v>0</v>
      </c>
    </row>
    <row r="25" spans="1:17" x14ac:dyDescent="0.25">
      <c r="A25" s="86">
        <v>2</v>
      </c>
      <c r="B25" s="12" t="s">
        <v>19</v>
      </c>
      <c r="C25" s="60">
        <v>0</v>
      </c>
      <c r="D25" s="60">
        <v>0</v>
      </c>
      <c r="E25" s="60">
        <v>0</v>
      </c>
      <c r="F25" s="60">
        <f>'padi ladang'!C10</f>
        <v>0</v>
      </c>
      <c r="G25" s="60">
        <f>'padi ladang'!D10</f>
        <v>0</v>
      </c>
      <c r="H25" s="60">
        <f>'padi ladang'!E10</f>
        <v>0</v>
      </c>
      <c r="I25" s="128">
        <f t="shared" ref="I25:I31" si="5">SUM(C25:H25)</f>
        <v>0</v>
      </c>
      <c r="J25" s="135">
        <f>'padi ladang'!F10</f>
        <v>0</v>
      </c>
      <c r="K25" s="135">
        <f>'padi ladang'!G10</f>
        <v>0</v>
      </c>
      <c r="L25" s="135">
        <f>'padi ladang'!H10</f>
        <v>0</v>
      </c>
      <c r="M25" s="135">
        <f>'padi ladang'!I10</f>
        <v>0</v>
      </c>
      <c r="N25" s="135">
        <f>'padi ladang'!J10</f>
        <v>0</v>
      </c>
      <c r="O25" s="164">
        <f>'padi ladang'!K10</f>
        <v>0</v>
      </c>
      <c r="P25" s="128">
        <f t="shared" ref="P25:P30" si="6">SUM(J25:O25)</f>
        <v>0</v>
      </c>
      <c r="Q25" s="131">
        <f t="shared" ref="Q25:Q31" si="7">SUM(I25,P25)</f>
        <v>0</v>
      </c>
    </row>
    <row r="26" spans="1:17" x14ac:dyDescent="0.25">
      <c r="A26" s="86">
        <v>3</v>
      </c>
      <c r="B26" s="7" t="s">
        <v>20</v>
      </c>
      <c r="C26" s="60">
        <v>0</v>
      </c>
      <c r="D26" s="60">
        <v>0</v>
      </c>
      <c r="E26" s="60">
        <v>5</v>
      </c>
      <c r="F26" s="60">
        <f>'padi ladang'!C11</f>
        <v>10</v>
      </c>
      <c r="G26" s="60">
        <f>'padi ladang'!D11</f>
        <v>0</v>
      </c>
      <c r="H26" s="60">
        <f>'padi ladang'!E11</f>
        <v>0</v>
      </c>
      <c r="I26" s="128">
        <f t="shared" si="5"/>
        <v>15</v>
      </c>
      <c r="J26" s="135">
        <f>'padi ladang'!F11</f>
        <v>0</v>
      </c>
      <c r="K26" s="135">
        <f>'padi ladang'!G11</f>
        <v>0</v>
      </c>
      <c r="L26" s="135">
        <f>'padi ladang'!H11</f>
        <v>0</v>
      </c>
      <c r="M26" s="135">
        <f>'padi ladang'!I11</f>
        <v>0</v>
      </c>
      <c r="N26" s="135">
        <f>'padi ladang'!J11</f>
        <v>0</v>
      </c>
      <c r="O26" s="164">
        <f>'padi ladang'!K11</f>
        <v>35</v>
      </c>
      <c r="P26" s="128">
        <f t="shared" si="6"/>
        <v>35</v>
      </c>
      <c r="Q26" s="131">
        <f t="shared" si="7"/>
        <v>50</v>
      </c>
    </row>
    <row r="27" spans="1:17" x14ac:dyDescent="0.25">
      <c r="A27" s="87">
        <v>4</v>
      </c>
      <c r="B27" s="15" t="s">
        <v>21</v>
      </c>
      <c r="C27" s="60">
        <v>0</v>
      </c>
      <c r="D27" s="60">
        <v>0</v>
      </c>
      <c r="E27" s="60">
        <v>0</v>
      </c>
      <c r="F27" s="60">
        <f>'padi ladang'!C12</f>
        <v>0</v>
      </c>
      <c r="G27" s="60">
        <f>'padi ladang'!D12</f>
        <v>0</v>
      </c>
      <c r="H27" s="60">
        <f>'padi ladang'!E12</f>
        <v>0</v>
      </c>
      <c r="I27" s="128">
        <f t="shared" si="5"/>
        <v>0</v>
      </c>
      <c r="J27" s="135">
        <f>'padi ladang'!F12</f>
        <v>0</v>
      </c>
      <c r="K27" s="135">
        <f>'padi ladang'!G12</f>
        <v>0</v>
      </c>
      <c r="L27" s="135">
        <f>'padi ladang'!H12</f>
        <v>0</v>
      </c>
      <c r="M27" s="135">
        <f>'padi ladang'!I12</f>
        <v>0</v>
      </c>
      <c r="N27" s="135">
        <f>'padi ladang'!J12</f>
        <v>0</v>
      </c>
      <c r="O27" s="164">
        <f>'padi ladang'!K12</f>
        <v>0</v>
      </c>
      <c r="P27" s="128">
        <f t="shared" si="6"/>
        <v>0</v>
      </c>
      <c r="Q27" s="131">
        <f t="shared" si="7"/>
        <v>0</v>
      </c>
    </row>
    <row r="28" spans="1:17" x14ac:dyDescent="0.25">
      <c r="A28" s="87">
        <v>5</v>
      </c>
      <c r="B28" s="19" t="s">
        <v>22</v>
      </c>
      <c r="C28" s="60">
        <v>0</v>
      </c>
      <c r="D28" s="60">
        <v>0</v>
      </c>
      <c r="E28" s="60">
        <v>0</v>
      </c>
      <c r="F28" s="60">
        <f>'padi ladang'!C13</f>
        <v>0</v>
      </c>
      <c r="G28" s="60">
        <f>'padi ladang'!D13</f>
        <v>0</v>
      </c>
      <c r="H28" s="60">
        <f>'padi ladang'!E13</f>
        <v>0</v>
      </c>
      <c r="I28" s="128">
        <f t="shared" si="5"/>
        <v>0</v>
      </c>
      <c r="J28" s="135">
        <f>'padi ladang'!F13</f>
        <v>0</v>
      </c>
      <c r="K28" s="135">
        <f>'padi ladang'!G13</f>
        <v>0</v>
      </c>
      <c r="L28" s="135">
        <f>'padi ladang'!H13</f>
        <v>0</v>
      </c>
      <c r="M28" s="135">
        <f>'padi ladang'!I13</f>
        <v>0</v>
      </c>
      <c r="N28" s="135">
        <f>'padi ladang'!J13</f>
        <v>0</v>
      </c>
      <c r="O28" s="164">
        <f>'padi ladang'!K13</f>
        <v>0</v>
      </c>
      <c r="P28" s="128">
        <f t="shared" si="6"/>
        <v>0</v>
      </c>
      <c r="Q28" s="131">
        <f t="shared" si="7"/>
        <v>0</v>
      </c>
    </row>
    <row r="29" spans="1:17" x14ac:dyDescent="0.25">
      <c r="A29" s="87">
        <v>6</v>
      </c>
      <c r="B29" s="19" t="s">
        <v>23</v>
      </c>
      <c r="C29" s="60">
        <v>0</v>
      </c>
      <c r="D29" s="60">
        <v>0</v>
      </c>
      <c r="E29" s="60">
        <v>0</v>
      </c>
      <c r="F29" s="60">
        <f>'padi ladang'!C14</f>
        <v>0</v>
      </c>
      <c r="G29" s="60">
        <f>'padi ladang'!D14</f>
        <v>0</v>
      </c>
      <c r="H29" s="60">
        <f>'padi ladang'!E14</f>
        <v>0</v>
      </c>
      <c r="I29" s="128">
        <f t="shared" si="5"/>
        <v>0</v>
      </c>
      <c r="J29" s="135">
        <f>'padi ladang'!F14</f>
        <v>0</v>
      </c>
      <c r="K29" s="135">
        <f>'padi ladang'!G14</f>
        <v>0</v>
      </c>
      <c r="L29" s="135">
        <f>'padi ladang'!H14</f>
        <v>0</v>
      </c>
      <c r="M29" s="135">
        <f>'padi ladang'!I14</f>
        <v>0</v>
      </c>
      <c r="N29" s="135">
        <f>'padi ladang'!J14</f>
        <v>0</v>
      </c>
      <c r="O29" s="164">
        <f>'padi ladang'!K14</f>
        <v>0</v>
      </c>
      <c r="P29" s="128">
        <f t="shared" si="6"/>
        <v>0</v>
      </c>
      <c r="Q29" s="131">
        <f t="shared" si="7"/>
        <v>0</v>
      </c>
    </row>
    <row r="30" spans="1:17" x14ac:dyDescent="0.25">
      <c r="A30" s="87">
        <v>7</v>
      </c>
      <c r="B30" s="19" t="s">
        <v>24</v>
      </c>
      <c r="C30" s="60">
        <v>0</v>
      </c>
      <c r="D30" s="60">
        <v>0</v>
      </c>
      <c r="E30" s="60">
        <v>0</v>
      </c>
      <c r="F30" s="60">
        <f>'padi ladang'!C15</f>
        <v>0</v>
      </c>
      <c r="G30" s="60">
        <f>'padi ladang'!D15</f>
        <v>0</v>
      </c>
      <c r="H30" s="60">
        <f>'padi ladang'!E15</f>
        <v>0</v>
      </c>
      <c r="I30" s="128">
        <f t="shared" si="5"/>
        <v>0</v>
      </c>
      <c r="J30" s="135">
        <f>'padi ladang'!F15</f>
        <v>0</v>
      </c>
      <c r="K30" s="135">
        <f>'padi ladang'!G15</f>
        <v>0</v>
      </c>
      <c r="L30" s="135">
        <f>'padi ladang'!H15</f>
        <v>0</v>
      </c>
      <c r="M30" s="135">
        <f>'padi ladang'!I15</f>
        <v>0</v>
      </c>
      <c r="N30" s="135">
        <f>'padi ladang'!J15</f>
        <v>0</v>
      </c>
      <c r="O30" s="164">
        <f>'padi ladang'!K15</f>
        <v>0</v>
      </c>
      <c r="P30" s="128">
        <f t="shared" si="6"/>
        <v>0</v>
      </c>
      <c r="Q30" s="131">
        <f t="shared" si="7"/>
        <v>0</v>
      </c>
    </row>
    <row r="31" spans="1:17" ht="15.75" thickBot="1" x14ac:dyDescent="0.3">
      <c r="A31" s="88">
        <v>8</v>
      </c>
      <c r="B31" s="15" t="s">
        <v>25</v>
      </c>
      <c r="C31" s="140">
        <v>0</v>
      </c>
      <c r="D31" s="140">
        <v>0</v>
      </c>
      <c r="E31" s="140">
        <v>0</v>
      </c>
      <c r="F31" s="145">
        <f>'padi ladang'!C16</f>
        <v>0</v>
      </c>
      <c r="G31" s="140">
        <f>'padi ladang'!D16</f>
        <v>0</v>
      </c>
      <c r="H31" s="140">
        <f>'padi ladang'!E16</f>
        <v>0</v>
      </c>
      <c r="I31" s="129">
        <f t="shared" si="5"/>
        <v>0</v>
      </c>
      <c r="J31" s="163">
        <f>'padi ladang'!F16</f>
        <v>0</v>
      </c>
      <c r="K31" s="163">
        <f>'padi ladang'!G16</f>
        <v>0</v>
      </c>
      <c r="L31" s="163">
        <f>'padi ladang'!H16</f>
        <v>0</v>
      </c>
      <c r="M31" s="163">
        <f>'padi ladang'!I16</f>
        <v>0</v>
      </c>
      <c r="N31" s="163">
        <f>'padi ladang'!J16</f>
        <v>0</v>
      </c>
      <c r="O31" s="163">
        <f>'padi ladang'!K16</f>
        <v>0</v>
      </c>
      <c r="P31" s="129">
        <f>SUM(J31:O31)</f>
        <v>0</v>
      </c>
      <c r="Q31" s="132">
        <f t="shared" si="7"/>
        <v>0</v>
      </c>
    </row>
    <row r="32" spans="1:17" ht="16.5" thickTop="1" thickBot="1" x14ac:dyDescent="0.3">
      <c r="A32" s="514" t="s">
        <v>26</v>
      </c>
      <c r="B32" s="515"/>
      <c r="C32" s="115">
        <f t="shared" ref="C32:H32" si="8">SUM(C24:C31)</f>
        <v>0</v>
      </c>
      <c r="D32" s="115">
        <f t="shared" si="8"/>
        <v>0</v>
      </c>
      <c r="E32" s="115">
        <f t="shared" si="8"/>
        <v>5</v>
      </c>
      <c r="F32" s="115">
        <f t="shared" si="8"/>
        <v>10</v>
      </c>
      <c r="G32" s="115">
        <f t="shared" si="8"/>
        <v>0</v>
      </c>
      <c r="H32" s="124">
        <f t="shared" si="8"/>
        <v>0</v>
      </c>
      <c r="I32" s="126">
        <f>SUM(I24:I31)</f>
        <v>15</v>
      </c>
      <c r="J32" s="136">
        <f t="shared" ref="J32:O32" si="9">SUM(J24:J31)</f>
        <v>0</v>
      </c>
      <c r="K32" s="115">
        <f t="shared" si="9"/>
        <v>0</v>
      </c>
      <c r="L32" s="115">
        <f t="shared" si="9"/>
        <v>0</v>
      </c>
      <c r="M32" s="115">
        <f t="shared" si="9"/>
        <v>0</v>
      </c>
      <c r="N32" s="115">
        <f t="shared" si="9"/>
        <v>0</v>
      </c>
      <c r="O32" s="124">
        <f t="shared" si="9"/>
        <v>35</v>
      </c>
      <c r="P32" s="126">
        <f>SUM(P24:P31)</f>
        <v>35</v>
      </c>
      <c r="Q32" s="133">
        <f>SUM(Q24:Q31)</f>
        <v>50</v>
      </c>
    </row>
    <row r="34" spans="1:17" ht="15.75" x14ac:dyDescent="0.25">
      <c r="A34" s="516" t="s">
        <v>97</v>
      </c>
      <c r="B34" s="516"/>
      <c r="C34" s="516"/>
      <c r="D34" s="516"/>
      <c r="E34" s="516"/>
      <c r="F34" s="516"/>
      <c r="G34" s="516"/>
      <c r="H34" s="516"/>
      <c r="I34" s="516"/>
      <c r="J34" s="516"/>
      <c r="K34" s="516"/>
      <c r="L34" s="516"/>
      <c r="M34" s="516"/>
      <c r="N34" s="516"/>
      <c r="O34" s="516"/>
      <c r="P34" s="516"/>
      <c r="Q34" s="516"/>
    </row>
    <row r="35" spans="1:17" ht="15.75" x14ac:dyDescent="0.25">
      <c r="A35" s="516" t="s">
        <v>82</v>
      </c>
      <c r="B35" s="516"/>
      <c r="C35" s="516"/>
      <c r="D35" s="516"/>
      <c r="E35" s="516"/>
      <c r="F35" s="516"/>
      <c r="G35" s="516"/>
      <c r="H35" s="516"/>
      <c r="I35" s="516"/>
      <c r="J35" s="516"/>
      <c r="K35" s="516"/>
      <c r="L35" s="516"/>
      <c r="M35" s="516"/>
      <c r="N35" s="516"/>
      <c r="O35" s="516"/>
      <c r="P35" s="516"/>
      <c r="Q35" s="516"/>
    </row>
    <row r="36" spans="1:17" ht="15.75" thickBot="1" x14ac:dyDescent="0.3">
      <c r="Q36" s="77" t="s">
        <v>1</v>
      </c>
    </row>
    <row r="37" spans="1:17" x14ac:dyDescent="0.25">
      <c r="A37" s="511" t="s">
        <v>2</v>
      </c>
      <c r="B37" s="513" t="s">
        <v>3</v>
      </c>
      <c r="C37" s="517" t="s">
        <v>114</v>
      </c>
      <c r="D37" s="518"/>
      <c r="E37" s="518"/>
      <c r="F37" s="518"/>
      <c r="G37" s="518"/>
      <c r="H37" s="518"/>
      <c r="I37" s="519" t="s">
        <v>84</v>
      </c>
      <c r="J37" s="518">
        <v>2016</v>
      </c>
      <c r="K37" s="518"/>
      <c r="L37" s="518"/>
      <c r="M37" s="518"/>
      <c r="N37" s="518"/>
      <c r="O37" s="518"/>
      <c r="P37" s="519" t="s">
        <v>85</v>
      </c>
      <c r="Q37" s="521" t="s">
        <v>5</v>
      </c>
    </row>
    <row r="38" spans="1:17" x14ac:dyDescent="0.25">
      <c r="A38" s="512"/>
      <c r="B38" s="499"/>
      <c r="C38" s="322" t="s">
        <v>15</v>
      </c>
      <c r="D38" s="322" t="s">
        <v>16</v>
      </c>
      <c r="E38" s="322" t="s">
        <v>17</v>
      </c>
      <c r="F38" s="322" t="s">
        <v>6</v>
      </c>
      <c r="G38" s="322" t="s">
        <v>77</v>
      </c>
      <c r="H38" s="122" t="s">
        <v>78</v>
      </c>
      <c r="I38" s="520"/>
      <c r="J38" s="112" t="s">
        <v>79</v>
      </c>
      <c r="K38" s="322" t="s">
        <v>10</v>
      </c>
      <c r="L38" s="322" t="s">
        <v>11</v>
      </c>
      <c r="M38" s="322" t="s">
        <v>12</v>
      </c>
      <c r="N38" s="322" t="s">
        <v>80</v>
      </c>
      <c r="O38" s="122" t="s">
        <v>81</v>
      </c>
      <c r="P38" s="520"/>
      <c r="Q38" s="522"/>
    </row>
    <row r="39" spans="1:17" ht="15.75" thickBot="1" x14ac:dyDescent="0.3">
      <c r="A39" s="114">
        <v>1</v>
      </c>
      <c r="B39" s="5">
        <v>2</v>
      </c>
      <c r="C39" s="5">
        <v>3</v>
      </c>
      <c r="D39" s="5">
        <v>4</v>
      </c>
      <c r="E39" s="5">
        <v>5</v>
      </c>
      <c r="F39" s="5">
        <v>6</v>
      </c>
      <c r="G39" s="5">
        <v>7</v>
      </c>
      <c r="H39" s="123">
        <v>8</v>
      </c>
      <c r="I39" s="125">
        <v>9</v>
      </c>
      <c r="J39" s="113">
        <v>10</v>
      </c>
      <c r="K39" s="5">
        <v>11</v>
      </c>
      <c r="L39" s="5">
        <v>12</v>
      </c>
      <c r="M39" s="5">
        <v>13</v>
      </c>
      <c r="N39" s="5">
        <v>14</v>
      </c>
      <c r="O39" s="123">
        <v>15</v>
      </c>
      <c r="P39" s="125">
        <v>16</v>
      </c>
      <c r="Q39" s="134">
        <v>17</v>
      </c>
    </row>
    <row r="40" spans="1:17" ht="15.75" thickTop="1" x14ac:dyDescent="0.25">
      <c r="A40" s="85">
        <v>1</v>
      </c>
      <c r="B40" s="7" t="s">
        <v>18</v>
      </c>
      <c r="C40" s="139">
        <v>0</v>
      </c>
      <c r="D40" s="139">
        <v>0</v>
      </c>
      <c r="E40" s="139">
        <v>0</v>
      </c>
      <c r="F40" s="139">
        <f>jagung!C9</f>
        <v>2</v>
      </c>
      <c r="G40" s="139">
        <f>jagung!D9</f>
        <v>5</v>
      </c>
      <c r="H40" s="139">
        <f>jagung!E9</f>
        <v>0</v>
      </c>
      <c r="I40" s="127">
        <f>SUM(C40:H40)</f>
        <v>7</v>
      </c>
      <c r="J40" s="162">
        <f>jagung!F9</f>
        <v>1</v>
      </c>
      <c r="K40" s="162">
        <f>jagung!G9</f>
        <v>0</v>
      </c>
      <c r="L40" s="162">
        <f>jagung!H9</f>
        <v>0</v>
      </c>
      <c r="M40" s="162">
        <f>jagung!I9</f>
        <v>0</v>
      </c>
      <c r="N40" s="162">
        <f>jagung!J9</f>
        <v>0</v>
      </c>
      <c r="O40" s="162">
        <f>jagung!K9</f>
        <v>1</v>
      </c>
      <c r="P40" s="127">
        <f>SUM(J40:O40)</f>
        <v>2</v>
      </c>
      <c r="Q40" s="130">
        <f>SUM(I40,P40)</f>
        <v>9</v>
      </c>
    </row>
    <row r="41" spans="1:17" x14ac:dyDescent="0.25">
      <c r="A41" s="86">
        <v>2</v>
      </c>
      <c r="B41" s="12" t="s">
        <v>19</v>
      </c>
      <c r="C41" s="60">
        <v>0</v>
      </c>
      <c r="D41" s="60">
        <v>0</v>
      </c>
      <c r="E41" s="60">
        <v>1</v>
      </c>
      <c r="F41" s="60">
        <f>jagung!C10</f>
        <v>0</v>
      </c>
      <c r="G41" s="60">
        <f>jagung!D10</f>
        <v>0</v>
      </c>
      <c r="H41" s="60">
        <f>jagung!E10</f>
        <v>0</v>
      </c>
      <c r="I41" s="128">
        <f t="shared" ref="I41:I47" si="10">SUM(C41:H41)</f>
        <v>1</v>
      </c>
      <c r="J41" s="135">
        <f>jagung!F10</f>
        <v>0</v>
      </c>
      <c r="K41" s="135">
        <f>jagung!G10</f>
        <v>1</v>
      </c>
      <c r="L41" s="135">
        <f>jagung!H10</f>
        <v>0</v>
      </c>
      <c r="M41" s="135">
        <f>jagung!I10</f>
        <v>1</v>
      </c>
      <c r="N41" s="135">
        <f>jagung!J10</f>
        <v>0</v>
      </c>
      <c r="O41" s="164">
        <f>jagung!K10</f>
        <v>0</v>
      </c>
      <c r="P41" s="128">
        <f t="shared" ref="P41:P46" si="11">SUM(J41:O41)</f>
        <v>2</v>
      </c>
      <c r="Q41" s="131">
        <f t="shared" ref="Q41:Q47" si="12">SUM(I41,P41)</f>
        <v>3</v>
      </c>
    </row>
    <row r="42" spans="1:17" x14ac:dyDescent="0.25">
      <c r="A42" s="86">
        <v>3</v>
      </c>
      <c r="B42" s="7" t="s">
        <v>20</v>
      </c>
      <c r="C42" s="60">
        <v>0</v>
      </c>
      <c r="D42" s="60">
        <v>2</v>
      </c>
      <c r="E42" s="60">
        <v>2</v>
      </c>
      <c r="F42" s="60">
        <f>jagung!C11</f>
        <v>1</v>
      </c>
      <c r="G42" s="60">
        <f>jagung!D11</f>
        <v>0</v>
      </c>
      <c r="H42" s="60">
        <f>jagung!E11</f>
        <v>0</v>
      </c>
      <c r="I42" s="128">
        <f t="shared" si="10"/>
        <v>5</v>
      </c>
      <c r="J42" s="135">
        <f>jagung!F11</f>
        <v>0</v>
      </c>
      <c r="K42" s="135">
        <f>jagung!G11</f>
        <v>3</v>
      </c>
      <c r="L42" s="135">
        <f>jagung!H11</f>
        <v>4</v>
      </c>
      <c r="M42" s="135">
        <f>jagung!I11</f>
        <v>0</v>
      </c>
      <c r="N42" s="135">
        <f>jagung!J11</f>
        <v>0</v>
      </c>
      <c r="O42" s="164">
        <f>jagung!K11</f>
        <v>1</v>
      </c>
      <c r="P42" s="128">
        <f t="shared" si="11"/>
        <v>8</v>
      </c>
      <c r="Q42" s="131">
        <f t="shared" si="12"/>
        <v>13</v>
      </c>
    </row>
    <row r="43" spans="1:17" x14ac:dyDescent="0.25">
      <c r="A43" s="87">
        <v>4</v>
      </c>
      <c r="B43" s="15" t="s">
        <v>21</v>
      </c>
      <c r="C43" s="60">
        <v>0</v>
      </c>
      <c r="D43" s="60">
        <v>0</v>
      </c>
      <c r="E43" s="60">
        <v>0</v>
      </c>
      <c r="F43" s="60">
        <f>jagung!C12</f>
        <v>1</v>
      </c>
      <c r="G43" s="60">
        <f>jagung!D12</f>
        <v>0</v>
      </c>
      <c r="H43" s="60">
        <f>jagung!E12</f>
        <v>0</v>
      </c>
      <c r="I43" s="128">
        <f t="shared" si="10"/>
        <v>1</v>
      </c>
      <c r="J43" s="135">
        <f>jagung!F12</f>
        <v>1</v>
      </c>
      <c r="K43" s="135">
        <f>jagung!G12</f>
        <v>1</v>
      </c>
      <c r="L43" s="135">
        <f>jagung!H12</f>
        <v>0</v>
      </c>
      <c r="M43" s="135">
        <f>jagung!I12</f>
        <v>1</v>
      </c>
      <c r="N43" s="135">
        <f>jagung!J12</f>
        <v>0</v>
      </c>
      <c r="O43" s="164">
        <f>jagung!K12</f>
        <v>1</v>
      </c>
      <c r="P43" s="128">
        <f t="shared" si="11"/>
        <v>4</v>
      </c>
      <c r="Q43" s="131">
        <f t="shared" si="12"/>
        <v>5</v>
      </c>
    </row>
    <row r="44" spans="1:17" x14ac:dyDescent="0.25">
      <c r="A44" s="87">
        <v>5</v>
      </c>
      <c r="B44" s="19" t="s">
        <v>22</v>
      </c>
      <c r="C44" s="60">
        <v>1</v>
      </c>
      <c r="D44" s="60">
        <v>0</v>
      </c>
      <c r="E44" s="60">
        <v>0</v>
      </c>
      <c r="F44" s="60">
        <f>jagung!C13</f>
        <v>0</v>
      </c>
      <c r="G44" s="60">
        <f>jagung!D13</f>
        <v>0</v>
      </c>
      <c r="H44" s="60">
        <f>jagung!E13</f>
        <v>1</v>
      </c>
      <c r="I44" s="128">
        <f t="shared" si="10"/>
        <v>2</v>
      </c>
      <c r="J44" s="135">
        <f>jagung!F13</f>
        <v>0</v>
      </c>
      <c r="K44" s="135">
        <f>jagung!G13</f>
        <v>0</v>
      </c>
      <c r="L44" s="135">
        <f>jagung!H13</f>
        <v>0</v>
      </c>
      <c r="M44" s="135">
        <f>jagung!I13</f>
        <v>3</v>
      </c>
      <c r="N44" s="135">
        <f>jagung!J13</f>
        <v>0</v>
      </c>
      <c r="O44" s="164">
        <f>jagung!K13</f>
        <v>1</v>
      </c>
      <c r="P44" s="128">
        <f t="shared" si="11"/>
        <v>4</v>
      </c>
      <c r="Q44" s="131">
        <f t="shared" si="12"/>
        <v>6</v>
      </c>
    </row>
    <row r="45" spans="1:17" x14ac:dyDescent="0.25">
      <c r="A45" s="87">
        <v>6</v>
      </c>
      <c r="B45" s="19" t="s">
        <v>23</v>
      </c>
      <c r="C45" s="60">
        <v>0</v>
      </c>
      <c r="D45" s="60">
        <v>0</v>
      </c>
      <c r="E45" s="60">
        <v>0</v>
      </c>
      <c r="F45" s="60">
        <f>jagung!C14</f>
        <v>0</v>
      </c>
      <c r="G45" s="60">
        <f>jagung!D14</f>
        <v>0</v>
      </c>
      <c r="H45" s="60">
        <f>jagung!E14</f>
        <v>0</v>
      </c>
      <c r="I45" s="128">
        <f t="shared" si="10"/>
        <v>0</v>
      </c>
      <c r="J45" s="135">
        <f>jagung!F14</f>
        <v>1</v>
      </c>
      <c r="K45" s="135">
        <f>jagung!G14</f>
        <v>0</v>
      </c>
      <c r="L45" s="135">
        <f>jagung!H14</f>
        <v>0</v>
      </c>
      <c r="M45" s="135">
        <f>jagung!I14</f>
        <v>0</v>
      </c>
      <c r="N45" s="135">
        <f>jagung!J14</f>
        <v>0</v>
      </c>
      <c r="O45" s="164">
        <f>jagung!K14</f>
        <v>2</v>
      </c>
      <c r="P45" s="128">
        <f t="shared" si="11"/>
        <v>3</v>
      </c>
      <c r="Q45" s="131">
        <f t="shared" si="12"/>
        <v>3</v>
      </c>
    </row>
    <row r="46" spans="1:17" x14ac:dyDescent="0.25">
      <c r="A46" s="87">
        <v>7</v>
      </c>
      <c r="B46" s="19" t="s">
        <v>24</v>
      </c>
      <c r="C46" s="60">
        <v>0</v>
      </c>
      <c r="D46" s="60">
        <v>0</v>
      </c>
      <c r="E46" s="60">
        <v>0</v>
      </c>
      <c r="F46" s="60">
        <f>jagung!C15</f>
        <v>0</v>
      </c>
      <c r="G46" s="60">
        <f>jagung!D15</f>
        <v>0</v>
      </c>
      <c r="H46" s="60">
        <f>jagung!E15</f>
        <v>0</v>
      </c>
      <c r="I46" s="128">
        <f t="shared" si="10"/>
        <v>0</v>
      </c>
      <c r="J46" s="342">
        <f>jagung!F15</f>
        <v>0.2</v>
      </c>
      <c r="K46" s="135">
        <f>jagung!G15</f>
        <v>0</v>
      </c>
      <c r="L46" s="135">
        <f>jagung!H15</f>
        <v>0</v>
      </c>
      <c r="M46" s="135">
        <f>jagung!I15</f>
        <v>0</v>
      </c>
      <c r="N46" s="135">
        <f>jagung!J15</f>
        <v>0.5</v>
      </c>
      <c r="O46" s="164">
        <f>jagung!K15</f>
        <v>0</v>
      </c>
      <c r="P46" s="348">
        <f t="shared" si="11"/>
        <v>0.7</v>
      </c>
      <c r="Q46" s="349">
        <f t="shared" si="12"/>
        <v>0.7</v>
      </c>
    </row>
    <row r="47" spans="1:17" ht="15.75" thickBot="1" x14ac:dyDescent="0.3">
      <c r="A47" s="88">
        <v>8</v>
      </c>
      <c r="B47" s="15" t="s">
        <v>25</v>
      </c>
      <c r="C47" s="140">
        <v>0</v>
      </c>
      <c r="D47" s="140">
        <v>0</v>
      </c>
      <c r="E47" s="140">
        <v>3</v>
      </c>
      <c r="F47" s="145">
        <f>jagung!C16</f>
        <v>0</v>
      </c>
      <c r="G47" s="140">
        <f>jagung!D16</f>
        <v>1</v>
      </c>
      <c r="H47" s="140">
        <f>jagung!E16</f>
        <v>0</v>
      </c>
      <c r="I47" s="129">
        <f t="shared" si="10"/>
        <v>4</v>
      </c>
      <c r="J47" s="163">
        <f>jagung!F16</f>
        <v>0</v>
      </c>
      <c r="K47" s="163">
        <f>jagung!G16</f>
        <v>1</v>
      </c>
      <c r="L47" s="163">
        <f>jagung!H16</f>
        <v>0</v>
      </c>
      <c r="M47" s="163">
        <f>jagung!I16</f>
        <v>0</v>
      </c>
      <c r="N47" s="163">
        <f>jagung!J16</f>
        <v>1</v>
      </c>
      <c r="O47" s="163">
        <f>jagung!K16</f>
        <v>0</v>
      </c>
      <c r="P47" s="129">
        <f>SUM(J47:O47)</f>
        <v>2</v>
      </c>
      <c r="Q47" s="132">
        <f t="shared" si="12"/>
        <v>6</v>
      </c>
    </row>
    <row r="48" spans="1:17" ht="16.5" thickTop="1" thickBot="1" x14ac:dyDescent="0.3">
      <c r="A48" s="514" t="s">
        <v>26</v>
      </c>
      <c r="B48" s="515"/>
      <c r="C48" s="115">
        <f t="shared" ref="C48:H48" si="13">SUM(C40:C47)</f>
        <v>1</v>
      </c>
      <c r="D48" s="115">
        <f t="shared" si="13"/>
        <v>2</v>
      </c>
      <c r="E48" s="115">
        <f t="shared" si="13"/>
        <v>6</v>
      </c>
      <c r="F48" s="115">
        <f t="shared" si="13"/>
        <v>4</v>
      </c>
      <c r="G48" s="115">
        <f t="shared" si="13"/>
        <v>6</v>
      </c>
      <c r="H48" s="124">
        <f t="shared" si="13"/>
        <v>1</v>
      </c>
      <c r="I48" s="126">
        <f>SUM(I40:I47)</f>
        <v>20</v>
      </c>
      <c r="J48" s="343">
        <f t="shared" ref="J48:O48" si="14">SUM(J40:J47)</f>
        <v>3.2</v>
      </c>
      <c r="K48" s="115">
        <f t="shared" si="14"/>
        <v>6</v>
      </c>
      <c r="L48" s="115">
        <f t="shared" si="14"/>
        <v>4</v>
      </c>
      <c r="M48" s="115">
        <f t="shared" si="14"/>
        <v>5</v>
      </c>
      <c r="N48" s="115">
        <f t="shared" si="14"/>
        <v>1.5</v>
      </c>
      <c r="O48" s="124">
        <f t="shared" si="14"/>
        <v>6</v>
      </c>
      <c r="P48" s="350">
        <f>SUM(P40:P47)</f>
        <v>25.7</v>
      </c>
      <c r="Q48" s="351">
        <f>SUM(Q40:Q47)</f>
        <v>45.7</v>
      </c>
    </row>
    <row r="50" spans="1:17" ht="15.75" x14ac:dyDescent="0.25">
      <c r="A50" s="516" t="s">
        <v>96</v>
      </c>
      <c r="B50" s="516"/>
      <c r="C50" s="516"/>
      <c r="D50" s="516"/>
      <c r="E50" s="516"/>
      <c r="F50" s="516"/>
      <c r="G50" s="516"/>
      <c r="H50" s="516"/>
      <c r="I50" s="516"/>
      <c r="J50" s="516"/>
      <c r="K50" s="516"/>
      <c r="L50" s="516"/>
      <c r="M50" s="516"/>
      <c r="N50" s="516"/>
      <c r="O50" s="516"/>
      <c r="P50" s="516"/>
      <c r="Q50" s="516"/>
    </row>
    <row r="51" spans="1:17" ht="15.75" x14ac:dyDescent="0.25">
      <c r="A51" s="516" t="s">
        <v>82</v>
      </c>
      <c r="B51" s="516"/>
      <c r="C51" s="516"/>
      <c r="D51" s="516"/>
      <c r="E51" s="516"/>
      <c r="F51" s="516"/>
      <c r="G51" s="516"/>
      <c r="H51" s="516"/>
      <c r="I51" s="516"/>
      <c r="J51" s="516"/>
      <c r="K51" s="516"/>
      <c r="L51" s="516"/>
      <c r="M51" s="516"/>
      <c r="N51" s="516"/>
      <c r="O51" s="516"/>
      <c r="P51" s="516"/>
      <c r="Q51" s="516"/>
    </row>
    <row r="52" spans="1:17" ht="15.75" thickBot="1" x14ac:dyDescent="0.3">
      <c r="Q52" s="77" t="s">
        <v>1</v>
      </c>
    </row>
    <row r="53" spans="1:17" x14ac:dyDescent="0.25">
      <c r="A53" s="511" t="s">
        <v>2</v>
      </c>
      <c r="B53" s="513" t="s">
        <v>3</v>
      </c>
      <c r="C53" s="517" t="s">
        <v>114</v>
      </c>
      <c r="D53" s="518"/>
      <c r="E53" s="518"/>
      <c r="F53" s="518"/>
      <c r="G53" s="518"/>
      <c r="H53" s="518"/>
      <c r="I53" s="519" t="s">
        <v>84</v>
      </c>
      <c r="J53" s="518">
        <v>2016</v>
      </c>
      <c r="K53" s="518"/>
      <c r="L53" s="518"/>
      <c r="M53" s="518"/>
      <c r="N53" s="518"/>
      <c r="O53" s="518"/>
      <c r="P53" s="519" t="s">
        <v>85</v>
      </c>
      <c r="Q53" s="521" t="s">
        <v>5</v>
      </c>
    </row>
    <row r="54" spans="1:17" x14ac:dyDescent="0.25">
      <c r="A54" s="512"/>
      <c r="B54" s="499"/>
      <c r="C54" s="322" t="s">
        <v>15</v>
      </c>
      <c r="D54" s="322" t="s">
        <v>16</v>
      </c>
      <c r="E54" s="322" t="s">
        <v>17</v>
      </c>
      <c r="F54" s="322" t="s">
        <v>6</v>
      </c>
      <c r="G54" s="322" t="s">
        <v>77</v>
      </c>
      <c r="H54" s="122" t="s">
        <v>78</v>
      </c>
      <c r="I54" s="520"/>
      <c r="J54" s="112" t="s">
        <v>79</v>
      </c>
      <c r="K54" s="322" t="s">
        <v>10</v>
      </c>
      <c r="L54" s="322" t="s">
        <v>11</v>
      </c>
      <c r="M54" s="322" t="s">
        <v>12</v>
      </c>
      <c r="N54" s="322" t="s">
        <v>80</v>
      </c>
      <c r="O54" s="122" t="s">
        <v>81</v>
      </c>
      <c r="P54" s="520"/>
      <c r="Q54" s="522"/>
    </row>
    <row r="55" spans="1:17" ht="15.75" thickBot="1" x14ac:dyDescent="0.3">
      <c r="A55" s="114">
        <v>1</v>
      </c>
      <c r="B55" s="5">
        <v>2</v>
      </c>
      <c r="C55" s="5">
        <v>3</v>
      </c>
      <c r="D55" s="5">
        <v>4</v>
      </c>
      <c r="E55" s="5">
        <v>5</v>
      </c>
      <c r="F55" s="5">
        <v>6</v>
      </c>
      <c r="G55" s="5">
        <v>7</v>
      </c>
      <c r="H55" s="123">
        <v>8</v>
      </c>
      <c r="I55" s="125">
        <v>9</v>
      </c>
      <c r="J55" s="113">
        <v>10</v>
      </c>
      <c r="K55" s="5">
        <v>11</v>
      </c>
      <c r="L55" s="5">
        <v>12</v>
      </c>
      <c r="M55" s="5">
        <v>13</v>
      </c>
      <c r="N55" s="5">
        <v>14</v>
      </c>
      <c r="O55" s="123">
        <v>15</v>
      </c>
      <c r="P55" s="125">
        <v>16</v>
      </c>
      <c r="Q55" s="134">
        <v>17</v>
      </c>
    </row>
    <row r="56" spans="1:17" ht="15.75" thickTop="1" x14ac:dyDescent="0.25">
      <c r="A56" s="85">
        <v>1</v>
      </c>
      <c r="B56" s="7" t="s">
        <v>18</v>
      </c>
      <c r="C56" s="139">
        <v>0</v>
      </c>
      <c r="D56" s="139">
        <v>0</v>
      </c>
      <c r="E56" s="139">
        <v>0</v>
      </c>
      <c r="F56" s="139">
        <f>kedelai!C9</f>
        <v>0</v>
      </c>
      <c r="G56" s="139">
        <f>kedelai!D9</f>
        <v>0</v>
      </c>
      <c r="H56" s="139">
        <f>kedelai!E9</f>
        <v>0</v>
      </c>
      <c r="I56" s="127">
        <f>SUM(C56:H56)</f>
        <v>0</v>
      </c>
      <c r="J56" s="162">
        <f>kedelai!F9</f>
        <v>0</v>
      </c>
      <c r="K56" s="162">
        <f>kedelai!G9</f>
        <v>0</v>
      </c>
      <c r="L56" s="162">
        <f>kedelai!H9</f>
        <v>0</v>
      </c>
      <c r="M56" s="162">
        <f>kedelai!I9</f>
        <v>0</v>
      </c>
      <c r="N56" s="162">
        <f>kedelai!J9</f>
        <v>0</v>
      </c>
      <c r="O56" s="162">
        <f>kedelai!K9</f>
        <v>0</v>
      </c>
      <c r="P56" s="127">
        <f>SUM(J56:O56)</f>
        <v>0</v>
      </c>
      <c r="Q56" s="130">
        <f>SUM(I56,P56)</f>
        <v>0</v>
      </c>
    </row>
    <row r="57" spans="1:17" x14ac:dyDescent="0.25">
      <c r="A57" s="86">
        <v>2</v>
      </c>
      <c r="B57" s="12" t="s">
        <v>19</v>
      </c>
      <c r="C57" s="60">
        <v>1</v>
      </c>
      <c r="D57" s="60">
        <v>5</v>
      </c>
      <c r="E57" s="60">
        <v>5</v>
      </c>
      <c r="F57" s="60">
        <f>kedelai!C10</f>
        <v>5</v>
      </c>
      <c r="G57" s="60">
        <f>kedelai!D10</f>
        <v>9</v>
      </c>
      <c r="H57" s="60">
        <f>kedelai!E10</f>
        <v>6</v>
      </c>
      <c r="I57" s="128">
        <f>SUM(C57:H57)</f>
        <v>31</v>
      </c>
      <c r="J57" s="135">
        <f>kedelai!F10</f>
        <v>0</v>
      </c>
      <c r="K57" s="135">
        <f>kedelai!G10</f>
        <v>0</v>
      </c>
      <c r="L57" s="135">
        <f>kedelai!H10</f>
        <v>0</v>
      </c>
      <c r="M57" s="135">
        <f>kedelai!I10</f>
        <v>0</v>
      </c>
      <c r="N57" s="135">
        <f>kedelai!J10</f>
        <v>0</v>
      </c>
      <c r="O57" s="164">
        <f>kedelai!K10</f>
        <v>0</v>
      </c>
      <c r="P57" s="128">
        <f t="shared" ref="P57:P62" si="15">SUM(J57:O57)</f>
        <v>0</v>
      </c>
      <c r="Q57" s="131">
        <f t="shared" ref="Q57:Q63" si="16">SUM(I57,P57)</f>
        <v>31</v>
      </c>
    </row>
    <row r="58" spans="1:17" x14ac:dyDescent="0.25">
      <c r="A58" s="86">
        <v>3</v>
      </c>
      <c r="B58" s="7" t="s">
        <v>20</v>
      </c>
      <c r="C58" s="60">
        <v>0</v>
      </c>
      <c r="D58" s="60">
        <v>0</v>
      </c>
      <c r="E58" s="60">
        <v>25</v>
      </c>
      <c r="F58" s="60">
        <f>kedelai!C11</f>
        <v>15</v>
      </c>
      <c r="G58" s="60">
        <f>kedelai!D11</f>
        <v>0</v>
      </c>
      <c r="H58" s="60">
        <f>kedelai!E11</f>
        <v>0</v>
      </c>
      <c r="I58" s="128">
        <f t="shared" ref="I58:I63" si="17">SUM(C58:H58)</f>
        <v>40</v>
      </c>
      <c r="J58" s="135">
        <f>kedelai!F11</f>
        <v>0</v>
      </c>
      <c r="K58" s="135">
        <f>kedelai!G11</f>
        <v>0</v>
      </c>
      <c r="L58" s="135">
        <f>kedelai!H11</f>
        <v>0</v>
      </c>
      <c r="M58" s="135">
        <f>kedelai!I11</f>
        <v>0</v>
      </c>
      <c r="N58" s="135">
        <f>kedelai!J11</f>
        <v>0</v>
      </c>
      <c r="O58" s="164">
        <f>kedelai!K11</f>
        <v>0</v>
      </c>
      <c r="P58" s="128">
        <f t="shared" si="15"/>
        <v>0</v>
      </c>
      <c r="Q58" s="131">
        <f t="shared" si="16"/>
        <v>40</v>
      </c>
    </row>
    <row r="59" spans="1:17" x14ac:dyDescent="0.25">
      <c r="A59" s="87">
        <v>4</v>
      </c>
      <c r="B59" s="15" t="s">
        <v>21</v>
      </c>
      <c r="C59" s="60">
        <v>0</v>
      </c>
      <c r="D59" s="60">
        <v>0</v>
      </c>
      <c r="E59" s="60">
        <v>0</v>
      </c>
      <c r="F59" s="60">
        <f>kedelai!C12</f>
        <v>0</v>
      </c>
      <c r="G59" s="60">
        <f>kedelai!D12</f>
        <v>0</v>
      </c>
      <c r="H59" s="60">
        <f>kedelai!E12</f>
        <v>0</v>
      </c>
      <c r="I59" s="128">
        <f t="shared" si="17"/>
        <v>0</v>
      </c>
      <c r="J59" s="135">
        <f>kedelai!F12</f>
        <v>0</v>
      </c>
      <c r="K59" s="135">
        <f>kedelai!G12</f>
        <v>0</v>
      </c>
      <c r="L59" s="135">
        <f>kedelai!H12</f>
        <v>0</v>
      </c>
      <c r="M59" s="135">
        <f>kedelai!I12</f>
        <v>0</v>
      </c>
      <c r="N59" s="135">
        <f>kedelai!J12</f>
        <v>0</v>
      </c>
      <c r="O59" s="164">
        <f>kedelai!K12</f>
        <v>0</v>
      </c>
      <c r="P59" s="128">
        <f t="shared" si="15"/>
        <v>0</v>
      </c>
      <c r="Q59" s="131">
        <f t="shared" si="16"/>
        <v>0</v>
      </c>
    </row>
    <row r="60" spans="1:17" x14ac:dyDescent="0.25">
      <c r="A60" s="87">
        <v>5</v>
      </c>
      <c r="B60" s="19" t="s">
        <v>22</v>
      </c>
      <c r="C60" s="60">
        <v>2</v>
      </c>
      <c r="D60" s="60">
        <v>2</v>
      </c>
      <c r="E60" s="60">
        <v>4</v>
      </c>
      <c r="F60" s="60">
        <f>kedelai!C13</f>
        <v>0</v>
      </c>
      <c r="G60" s="60">
        <f>kedelai!D13</f>
        <v>10</v>
      </c>
      <c r="H60" s="60">
        <f>kedelai!E13</f>
        <v>25</v>
      </c>
      <c r="I60" s="128">
        <f t="shared" si="17"/>
        <v>43</v>
      </c>
      <c r="J60" s="135">
        <f>kedelai!F13</f>
        <v>0</v>
      </c>
      <c r="K60" s="135">
        <f>kedelai!G13</f>
        <v>0</v>
      </c>
      <c r="L60" s="135">
        <f>kedelai!H13</f>
        <v>0</v>
      </c>
      <c r="M60" s="135">
        <f>kedelai!I13</f>
        <v>0</v>
      </c>
      <c r="N60" s="135">
        <f>kedelai!J13</f>
        <v>0</v>
      </c>
      <c r="O60" s="164">
        <f>kedelai!K13</f>
        <v>0</v>
      </c>
      <c r="P60" s="128">
        <f t="shared" si="15"/>
        <v>0</v>
      </c>
      <c r="Q60" s="131">
        <f t="shared" si="16"/>
        <v>43</v>
      </c>
    </row>
    <row r="61" spans="1:17" x14ac:dyDescent="0.25">
      <c r="A61" s="87">
        <v>6</v>
      </c>
      <c r="B61" s="19" t="s">
        <v>23</v>
      </c>
      <c r="C61" s="60">
        <v>0</v>
      </c>
      <c r="D61" s="60">
        <v>0</v>
      </c>
      <c r="E61" s="60">
        <v>0</v>
      </c>
      <c r="F61" s="60">
        <f>kedelai!C14</f>
        <v>0</v>
      </c>
      <c r="G61" s="60">
        <f>kedelai!D14</f>
        <v>0</v>
      </c>
      <c r="H61" s="60">
        <f>kedelai!E14</f>
        <v>0</v>
      </c>
      <c r="I61" s="128">
        <f t="shared" si="17"/>
        <v>0</v>
      </c>
      <c r="J61" s="135">
        <f>kedelai!F14</f>
        <v>0</v>
      </c>
      <c r="K61" s="135">
        <f>kedelai!G14</f>
        <v>0</v>
      </c>
      <c r="L61" s="135">
        <f>kedelai!H14</f>
        <v>0</v>
      </c>
      <c r="M61" s="135">
        <f>kedelai!I14</f>
        <v>0</v>
      </c>
      <c r="N61" s="135">
        <f>kedelai!J14</f>
        <v>0</v>
      </c>
      <c r="O61" s="164">
        <f>kedelai!K14</f>
        <v>0</v>
      </c>
      <c r="P61" s="128">
        <f t="shared" si="15"/>
        <v>0</v>
      </c>
      <c r="Q61" s="131">
        <f t="shared" si="16"/>
        <v>0</v>
      </c>
    </row>
    <row r="62" spans="1:17" x14ac:dyDescent="0.25">
      <c r="A62" s="87">
        <v>7</v>
      </c>
      <c r="B62" s="19" t="s">
        <v>24</v>
      </c>
      <c r="C62" s="60">
        <v>0</v>
      </c>
      <c r="D62" s="60">
        <v>0</v>
      </c>
      <c r="E62" s="60">
        <v>0</v>
      </c>
      <c r="F62" s="60">
        <f>kedelai!C15</f>
        <v>0</v>
      </c>
      <c r="G62" s="60">
        <f>kedelai!D15</f>
        <v>0</v>
      </c>
      <c r="H62" s="60">
        <f>kedelai!E15</f>
        <v>0</v>
      </c>
      <c r="I62" s="128">
        <f t="shared" si="17"/>
        <v>0</v>
      </c>
      <c r="J62" s="135">
        <f>kedelai!F15</f>
        <v>0</v>
      </c>
      <c r="K62" s="135">
        <f>kedelai!G15</f>
        <v>0</v>
      </c>
      <c r="L62" s="135">
        <f>kedelai!H15</f>
        <v>0</v>
      </c>
      <c r="M62" s="135">
        <f>kedelai!I15</f>
        <v>0</v>
      </c>
      <c r="N62" s="135">
        <f>kedelai!J15</f>
        <v>0</v>
      </c>
      <c r="O62" s="164">
        <f>kedelai!K15</f>
        <v>0</v>
      </c>
      <c r="P62" s="128">
        <f t="shared" si="15"/>
        <v>0</v>
      </c>
      <c r="Q62" s="131">
        <f t="shared" si="16"/>
        <v>0</v>
      </c>
    </row>
    <row r="63" spans="1:17" ht="15.75" thickBot="1" x14ac:dyDescent="0.3">
      <c r="A63" s="88">
        <v>8</v>
      </c>
      <c r="B63" s="15" t="s">
        <v>25</v>
      </c>
      <c r="C63" s="140">
        <v>0</v>
      </c>
      <c r="D63" s="140">
        <v>0</v>
      </c>
      <c r="E63" s="140">
        <v>2</v>
      </c>
      <c r="F63" s="145">
        <f>kedelai!C16</f>
        <v>0</v>
      </c>
      <c r="G63" s="140">
        <f>kedelai!D16</f>
        <v>0</v>
      </c>
      <c r="H63" s="140">
        <f>kedelai!E16</f>
        <v>28</v>
      </c>
      <c r="I63" s="129">
        <f t="shared" si="17"/>
        <v>30</v>
      </c>
      <c r="J63" s="163">
        <f>kedelai!F16</f>
        <v>0</v>
      </c>
      <c r="K63" s="163">
        <f>kedelai!G16</f>
        <v>0</v>
      </c>
      <c r="L63" s="163">
        <f>kedelai!H16</f>
        <v>0</v>
      </c>
      <c r="M63" s="163">
        <f>kedelai!I16</f>
        <v>0</v>
      </c>
      <c r="N63" s="163">
        <f>kedelai!J16</f>
        <v>0</v>
      </c>
      <c r="O63" s="163">
        <f>kedelai!K16</f>
        <v>0</v>
      </c>
      <c r="P63" s="129">
        <f>SUM(J63:O63)</f>
        <v>0</v>
      </c>
      <c r="Q63" s="132">
        <f t="shared" si="16"/>
        <v>30</v>
      </c>
    </row>
    <row r="64" spans="1:17" ht="16.5" thickTop="1" thickBot="1" x14ac:dyDescent="0.3">
      <c r="A64" s="514" t="s">
        <v>26</v>
      </c>
      <c r="B64" s="515"/>
      <c r="C64" s="115">
        <f t="shared" ref="C64:I64" si="18">SUM(C56:C63)</f>
        <v>3</v>
      </c>
      <c r="D64" s="115">
        <f t="shared" si="18"/>
        <v>7</v>
      </c>
      <c r="E64" s="115">
        <f t="shared" si="18"/>
        <v>36</v>
      </c>
      <c r="F64" s="115">
        <f t="shared" si="18"/>
        <v>20</v>
      </c>
      <c r="G64" s="115">
        <f t="shared" si="18"/>
        <v>19</v>
      </c>
      <c r="H64" s="124">
        <f t="shared" si="18"/>
        <v>59</v>
      </c>
      <c r="I64" s="126">
        <f t="shared" si="18"/>
        <v>144</v>
      </c>
      <c r="J64" s="136">
        <f t="shared" ref="J64:O64" si="19">SUM(J56:J63)</f>
        <v>0</v>
      </c>
      <c r="K64" s="115">
        <f t="shared" si="19"/>
        <v>0</v>
      </c>
      <c r="L64" s="115">
        <f t="shared" si="19"/>
        <v>0</v>
      </c>
      <c r="M64" s="115">
        <f t="shared" si="19"/>
        <v>0</v>
      </c>
      <c r="N64" s="115">
        <f t="shared" si="19"/>
        <v>0</v>
      </c>
      <c r="O64" s="124">
        <f t="shared" si="19"/>
        <v>0</v>
      </c>
      <c r="P64" s="126">
        <f>SUM(P56:P63)</f>
        <v>0</v>
      </c>
      <c r="Q64" s="133">
        <f>SUM(Q56:Q63)</f>
        <v>144</v>
      </c>
    </row>
    <row r="66" spans="1:17" ht="15.75" x14ac:dyDescent="0.25">
      <c r="A66" s="516" t="s">
        <v>98</v>
      </c>
      <c r="B66" s="516"/>
      <c r="C66" s="516"/>
      <c r="D66" s="516"/>
      <c r="E66" s="516"/>
      <c r="F66" s="516"/>
      <c r="G66" s="516"/>
      <c r="H66" s="516"/>
      <c r="I66" s="516"/>
      <c r="J66" s="516"/>
      <c r="K66" s="516"/>
      <c r="L66" s="516"/>
      <c r="M66" s="516"/>
      <c r="N66" s="516"/>
      <c r="O66" s="516"/>
      <c r="P66" s="516"/>
      <c r="Q66" s="516"/>
    </row>
    <row r="67" spans="1:17" ht="15.75" x14ac:dyDescent="0.25">
      <c r="A67" s="516" t="s">
        <v>82</v>
      </c>
      <c r="B67" s="516"/>
      <c r="C67" s="516"/>
      <c r="D67" s="516"/>
      <c r="E67" s="516"/>
      <c r="F67" s="516"/>
      <c r="G67" s="516"/>
      <c r="H67" s="516"/>
      <c r="I67" s="516"/>
      <c r="J67" s="516"/>
      <c r="K67" s="516"/>
      <c r="L67" s="516"/>
      <c r="M67" s="516"/>
      <c r="N67" s="516"/>
      <c r="O67" s="516"/>
      <c r="P67" s="516"/>
      <c r="Q67" s="516"/>
    </row>
    <row r="68" spans="1:17" ht="15.75" thickBot="1" x14ac:dyDescent="0.3">
      <c r="Q68" s="77" t="s">
        <v>1</v>
      </c>
    </row>
    <row r="69" spans="1:17" x14ac:dyDescent="0.25">
      <c r="A69" s="511" t="s">
        <v>2</v>
      </c>
      <c r="B69" s="513" t="s">
        <v>3</v>
      </c>
      <c r="C69" s="517" t="s">
        <v>114</v>
      </c>
      <c r="D69" s="518"/>
      <c r="E69" s="518"/>
      <c r="F69" s="518"/>
      <c r="G69" s="518"/>
      <c r="H69" s="518"/>
      <c r="I69" s="519" t="s">
        <v>84</v>
      </c>
      <c r="J69" s="518">
        <v>2016</v>
      </c>
      <c r="K69" s="518"/>
      <c r="L69" s="518"/>
      <c r="M69" s="518"/>
      <c r="N69" s="518"/>
      <c r="O69" s="518"/>
      <c r="P69" s="519" t="s">
        <v>85</v>
      </c>
      <c r="Q69" s="521" t="s">
        <v>5</v>
      </c>
    </row>
    <row r="70" spans="1:17" x14ac:dyDescent="0.25">
      <c r="A70" s="512"/>
      <c r="B70" s="499"/>
      <c r="C70" s="322" t="s">
        <v>15</v>
      </c>
      <c r="D70" s="322" t="s">
        <v>16</v>
      </c>
      <c r="E70" s="322" t="s">
        <v>17</v>
      </c>
      <c r="F70" s="322" t="s">
        <v>6</v>
      </c>
      <c r="G70" s="322" t="s">
        <v>77</v>
      </c>
      <c r="H70" s="122" t="s">
        <v>78</v>
      </c>
      <c r="I70" s="520"/>
      <c r="J70" s="112" t="s">
        <v>79</v>
      </c>
      <c r="K70" s="322" t="s">
        <v>10</v>
      </c>
      <c r="L70" s="322" t="s">
        <v>11</v>
      </c>
      <c r="M70" s="322" t="s">
        <v>12</v>
      </c>
      <c r="N70" s="322" t="s">
        <v>80</v>
      </c>
      <c r="O70" s="122" t="s">
        <v>81</v>
      </c>
      <c r="P70" s="520"/>
      <c r="Q70" s="522"/>
    </row>
    <row r="71" spans="1:17" ht="15.75" thickBot="1" x14ac:dyDescent="0.3">
      <c r="A71" s="114">
        <v>1</v>
      </c>
      <c r="B71" s="5">
        <v>2</v>
      </c>
      <c r="C71" s="5">
        <v>3</v>
      </c>
      <c r="D71" s="5">
        <v>4</v>
      </c>
      <c r="E71" s="5">
        <v>5</v>
      </c>
      <c r="F71" s="5">
        <v>6</v>
      </c>
      <c r="G71" s="5">
        <v>7</v>
      </c>
      <c r="H71" s="123">
        <v>8</v>
      </c>
      <c r="I71" s="125">
        <v>9</v>
      </c>
      <c r="J71" s="113">
        <v>10</v>
      </c>
      <c r="K71" s="5">
        <v>11</v>
      </c>
      <c r="L71" s="5">
        <v>12</v>
      </c>
      <c r="M71" s="5">
        <v>13</v>
      </c>
      <c r="N71" s="5">
        <v>14</v>
      </c>
      <c r="O71" s="123">
        <v>15</v>
      </c>
      <c r="P71" s="125">
        <v>16</v>
      </c>
      <c r="Q71" s="134">
        <v>17</v>
      </c>
    </row>
    <row r="72" spans="1:17" ht="15.75" thickTop="1" x14ac:dyDescent="0.25">
      <c r="A72" s="85">
        <v>1</v>
      </c>
      <c r="B72" s="7" t="s">
        <v>18</v>
      </c>
      <c r="C72" s="139">
        <v>0</v>
      </c>
      <c r="D72" s="139">
        <v>0</v>
      </c>
      <c r="E72" s="139">
        <v>185</v>
      </c>
      <c r="F72" s="139">
        <f>'kc tanah'!C9</f>
        <v>31</v>
      </c>
      <c r="G72" s="139">
        <f>'kc tanah'!D9</f>
        <v>0</v>
      </c>
      <c r="H72" s="139">
        <f>'kc tanah'!E9</f>
        <v>0</v>
      </c>
      <c r="I72" s="127">
        <f>SUM(C72:H72)</f>
        <v>216</v>
      </c>
      <c r="J72" s="162">
        <f>'kc tanah'!F9</f>
        <v>25</v>
      </c>
      <c r="K72" s="162">
        <f>'kc tanah'!G9</f>
        <v>105</v>
      </c>
      <c r="L72" s="162">
        <f>'kc tanah'!H9</f>
        <v>0</v>
      </c>
      <c r="M72" s="162">
        <f>'kc tanah'!I9</f>
        <v>0</v>
      </c>
      <c r="N72" s="162">
        <f>'kc tanah'!J9</f>
        <v>0</v>
      </c>
      <c r="O72" s="162">
        <f>'kc tanah'!K9</f>
        <v>0</v>
      </c>
      <c r="P72" s="127">
        <f>SUM(J72:O72)</f>
        <v>130</v>
      </c>
      <c r="Q72" s="130">
        <f>SUM(I72,P72)</f>
        <v>346</v>
      </c>
    </row>
    <row r="73" spans="1:17" x14ac:dyDescent="0.25">
      <c r="A73" s="86">
        <v>2</v>
      </c>
      <c r="B73" s="12" t="s">
        <v>19</v>
      </c>
      <c r="C73" s="60">
        <v>1</v>
      </c>
      <c r="D73" s="60">
        <v>3</v>
      </c>
      <c r="E73" s="60">
        <v>57</v>
      </c>
      <c r="F73" s="60">
        <f>'kc tanah'!C10</f>
        <v>125</v>
      </c>
      <c r="G73" s="60">
        <f>'kc tanah'!D10</f>
        <v>0</v>
      </c>
      <c r="H73" s="60">
        <f>'kc tanah'!E10</f>
        <v>0</v>
      </c>
      <c r="I73" s="128">
        <f t="shared" ref="I73:I79" si="20">SUM(C73:H73)</f>
        <v>186</v>
      </c>
      <c r="J73" s="135">
        <f>'kc tanah'!F10</f>
        <v>0</v>
      </c>
      <c r="K73" s="135">
        <f>'kc tanah'!G10</f>
        <v>0</v>
      </c>
      <c r="L73" s="135">
        <f>'kc tanah'!H10</f>
        <v>0</v>
      </c>
      <c r="M73" s="135">
        <f>'kc tanah'!I10</f>
        <v>0</v>
      </c>
      <c r="N73" s="135">
        <f>'kc tanah'!J10</f>
        <v>0</v>
      </c>
      <c r="O73" s="164">
        <f>'kc tanah'!K10</f>
        <v>0</v>
      </c>
      <c r="P73" s="128">
        <f t="shared" ref="P73:P78" si="21">SUM(J73:O73)</f>
        <v>0</v>
      </c>
      <c r="Q73" s="131">
        <f t="shared" ref="Q73:Q79" si="22">SUM(I73,P73)</f>
        <v>186</v>
      </c>
    </row>
    <row r="74" spans="1:17" x14ac:dyDescent="0.25">
      <c r="A74" s="86">
        <v>3</v>
      </c>
      <c r="B74" s="7" t="s">
        <v>20</v>
      </c>
      <c r="C74" s="60">
        <v>0</v>
      </c>
      <c r="D74" s="60">
        <v>0</v>
      </c>
      <c r="E74" s="60">
        <v>275</v>
      </c>
      <c r="F74" s="60">
        <f>'kc tanah'!C11</f>
        <v>20</v>
      </c>
      <c r="G74" s="60">
        <f>'kc tanah'!D11</f>
        <v>0</v>
      </c>
      <c r="H74" s="60">
        <f>'kc tanah'!E11</f>
        <v>0</v>
      </c>
      <c r="I74" s="128">
        <f t="shared" si="20"/>
        <v>295</v>
      </c>
      <c r="J74" s="135">
        <f>'kc tanah'!F11</f>
        <v>280</v>
      </c>
      <c r="K74" s="135">
        <f>'kc tanah'!G11</f>
        <v>0</v>
      </c>
      <c r="L74" s="135">
        <f>'kc tanah'!H11</f>
        <v>0</v>
      </c>
      <c r="M74" s="135">
        <f>'kc tanah'!I11</f>
        <v>0</v>
      </c>
      <c r="N74" s="135">
        <f>'kc tanah'!J11</f>
        <v>0</v>
      </c>
      <c r="O74" s="164">
        <f>'kc tanah'!K11</f>
        <v>0</v>
      </c>
      <c r="P74" s="128">
        <f t="shared" si="21"/>
        <v>280</v>
      </c>
      <c r="Q74" s="131">
        <f t="shared" si="22"/>
        <v>575</v>
      </c>
    </row>
    <row r="75" spans="1:17" x14ac:dyDescent="0.25">
      <c r="A75" s="87">
        <v>4</v>
      </c>
      <c r="B75" s="15" t="s">
        <v>21</v>
      </c>
      <c r="C75" s="60">
        <v>0</v>
      </c>
      <c r="D75" s="60">
        <v>5</v>
      </c>
      <c r="E75" s="60">
        <v>141</v>
      </c>
      <c r="F75" s="60">
        <f>'kc tanah'!C12</f>
        <v>22</v>
      </c>
      <c r="G75" s="60">
        <f>'kc tanah'!D12</f>
        <v>0</v>
      </c>
      <c r="H75" s="60">
        <f>'kc tanah'!E12</f>
        <v>18</v>
      </c>
      <c r="I75" s="128">
        <f t="shared" si="20"/>
        <v>186</v>
      </c>
      <c r="J75" s="135">
        <f>'kc tanah'!F12</f>
        <v>0</v>
      </c>
      <c r="K75" s="135">
        <f>'kc tanah'!G12</f>
        <v>15</v>
      </c>
      <c r="L75" s="135">
        <f>'kc tanah'!H12</f>
        <v>3</v>
      </c>
      <c r="M75" s="135">
        <f>'kc tanah'!I12</f>
        <v>17</v>
      </c>
      <c r="N75" s="135">
        <f>'kc tanah'!J12</f>
        <v>0</v>
      </c>
      <c r="O75" s="164">
        <f>'kc tanah'!K12</f>
        <v>0</v>
      </c>
      <c r="P75" s="128">
        <f t="shared" si="21"/>
        <v>35</v>
      </c>
      <c r="Q75" s="131">
        <f t="shared" si="22"/>
        <v>221</v>
      </c>
    </row>
    <row r="76" spans="1:17" x14ac:dyDescent="0.25">
      <c r="A76" s="87">
        <v>5</v>
      </c>
      <c r="B76" s="19" t="s">
        <v>22</v>
      </c>
      <c r="C76" s="60">
        <v>0</v>
      </c>
      <c r="D76" s="60">
        <v>0</v>
      </c>
      <c r="E76" s="60">
        <v>102</v>
      </c>
      <c r="F76" s="60">
        <f>'kc tanah'!C13</f>
        <v>96</v>
      </c>
      <c r="G76" s="60">
        <f>'kc tanah'!D13</f>
        <v>0</v>
      </c>
      <c r="H76" s="60">
        <f>'kc tanah'!E13</f>
        <v>0</v>
      </c>
      <c r="I76" s="128">
        <f t="shared" si="20"/>
        <v>198</v>
      </c>
      <c r="J76" s="135">
        <f>'kc tanah'!F13</f>
        <v>115</v>
      </c>
      <c r="K76" s="135">
        <f>'kc tanah'!G13</f>
        <v>0</v>
      </c>
      <c r="L76" s="135">
        <f>'kc tanah'!H13</f>
        <v>0</v>
      </c>
      <c r="M76" s="135">
        <f>'kc tanah'!I13</f>
        <v>0</v>
      </c>
      <c r="N76" s="135">
        <f>'kc tanah'!J13</f>
        <v>0</v>
      </c>
      <c r="O76" s="164">
        <f>'kc tanah'!K13</f>
        <v>0</v>
      </c>
      <c r="P76" s="128">
        <f t="shared" si="21"/>
        <v>115</v>
      </c>
      <c r="Q76" s="131">
        <f t="shared" si="22"/>
        <v>313</v>
      </c>
    </row>
    <row r="77" spans="1:17" x14ac:dyDescent="0.25">
      <c r="A77" s="87">
        <v>6</v>
      </c>
      <c r="B77" s="19" t="s">
        <v>23</v>
      </c>
      <c r="C77" s="60">
        <v>0</v>
      </c>
      <c r="D77" s="60">
        <v>15</v>
      </c>
      <c r="E77" s="60">
        <v>50</v>
      </c>
      <c r="F77" s="60">
        <f>'kc tanah'!C14</f>
        <v>15</v>
      </c>
      <c r="G77" s="60">
        <f>'kc tanah'!D14</f>
        <v>0</v>
      </c>
      <c r="H77" s="60">
        <f>'kc tanah'!E14</f>
        <v>20</v>
      </c>
      <c r="I77" s="128">
        <f t="shared" si="20"/>
        <v>100</v>
      </c>
      <c r="J77" s="135">
        <f>'kc tanah'!F14</f>
        <v>30</v>
      </c>
      <c r="K77" s="135">
        <f>'kc tanah'!G14</f>
        <v>0</v>
      </c>
      <c r="L77" s="135">
        <f>'kc tanah'!H14</f>
        <v>0</v>
      </c>
      <c r="M77" s="135">
        <f>'kc tanah'!I14</f>
        <v>15</v>
      </c>
      <c r="N77" s="135">
        <f>'kc tanah'!J14</f>
        <v>5</v>
      </c>
      <c r="O77" s="164">
        <f>'kc tanah'!K14</f>
        <v>0</v>
      </c>
      <c r="P77" s="128">
        <f t="shared" si="21"/>
        <v>50</v>
      </c>
      <c r="Q77" s="131">
        <f t="shared" si="22"/>
        <v>150</v>
      </c>
    </row>
    <row r="78" spans="1:17" x14ac:dyDescent="0.25">
      <c r="A78" s="87">
        <v>7</v>
      </c>
      <c r="B78" s="19" t="s">
        <v>24</v>
      </c>
      <c r="C78" s="60">
        <v>0</v>
      </c>
      <c r="D78" s="60">
        <v>0</v>
      </c>
      <c r="E78" s="60">
        <v>0</v>
      </c>
      <c r="F78" s="60">
        <f>'kc tanah'!C15</f>
        <v>1</v>
      </c>
      <c r="G78" s="60">
        <f>'kc tanah'!D15</f>
        <v>0</v>
      </c>
      <c r="H78" s="60">
        <f>'kc tanah'!E15</f>
        <v>1</v>
      </c>
      <c r="I78" s="128">
        <f t="shared" si="20"/>
        <v>2</v>
      </c>
      <c r="J78" s="135">
        <f>'kc tanah'!F15</f>
        <v>0</v>
      </c>
      <c r="K78" s="135">
        <f>'kc tanah'!G15</f>
        <v>0</v>
      </c>
      <c r="L78" s="135">
        <f>'kc tanah'!H15</f>
        <v>0</v>
      </c>
      <c r="M78" s="135">
        <f>'kc tanah'!I15</f>
        <v>0</v>
      </c>
      <c r="N78" s="135">
        <f>'kc tanah'!J15</f>
        <v>0</v>
      </c>
      <c r="O78" s="164">
        <f>'kc tanah'!K15</f>
        <v>0</v>
      </c>
      <c r="P78" s="128">
        <f t="shared" si="21"/>
        <v>0</v>
      </c>
      <c r="Q78" s="131">
        <f t="shared" si="22"/>
        <v>2</v>
      </c>
    </row>
    <row r="79" spans="1:17" ht="15.75" thickBot="1" x14ac:dyDescent="0.3">
      <c r="A79" s="88">
        <v>8</v>
      </c>
      <c r="B79" s="15" t="s">
        <v>25</v>
      </c>
      <c r="C79" s="140">
        <v>0</v>
      </c>
      <c r="D79" s="140">
        <v>0</v>
      </c>
      <c r="E79" s="140">
        <v>332</v>
      </c>
      <c r="F79" s="140">
        <f>'kc tanah'!C16</f>
        <v>0</v>
      </c>
      <c r="G79" s="140">
        <f>'kc tanah'!D16</f>
        <v>2</v>
      </c>
      <c r="H79" s="140">
        <f>'kc tanah'!E16</f>
        <v>75</v>
      </c>
      <c r="I79" s="129">
        <f t="shared" si="20"/>
        <v>409</v>
      </c>
      <c r="J79" s="163">
        <f>'kc tanah'!F16</f>
        <v>248</v>
      </c>
      <c r="K79" s="163">
        <f>'kc tanah'!G16</f>
        <v>0</v>
      </c>
      <c r="L79" s="163">
        <f>'kc tanah'!H16</f>
        <v>0</v>
      </c>
      <c r="M79" s="163">
        <f>'kc tanah'!I16</f>
        <v>225</v>
      </c>
      <c r="N79" s="163">
        <f>'kc tanah'!J16</f>
        <v>25</v>
      </c>
      <c r="O79" s="163">
        <f>'kc tanah'!K16</f>
        <v>35</v>
      </c>
      <c r="P79" s="129">
        <f>SUM(J79:O79)</f>
        <v>533</v>
      </c>
      <c r="Q79" s="132">
        <f t="shared" si="22"/>
        <v>942</v>
      </c>
    </row>
    <row r="80" spans="1:17" ht="16.5" thickTop="1" thickBot="1" x14ac:dyDescent="0.3">
      <c r="A80" s="514" t="s">
        <v>26</v>
      </c>
      <c r="B80" s="515"/>
      <c r="C80" s="115">
        <f t="shared" ref="C80:H80" si="23">SUM(C72:C79)</f>
        <v>1</v>
      </c>
      <c r="D80" s="115">
        <f t="shared" si="23"/>
        <v>23</v>
      </c>
      <c r="E80" s="115">
        <f t="shared" si="23"/>
        <v>1142</v>
      </c>
      <c r="F80" s="115">
        <f t="shared" si="23"/>
        <v>310</v>
      </c>
      <c r="G80" s="115">
        <f t="shared" si="23"/>
        <v>2</v>
      </c>
      <c r="H80" s="124">
        <f t="shared" si="23"/>
        <v>114</v>
      </c>
      <c r="I80" s="126">
        <f>SUM(I72:I79)</f>
        <v>1592</v>
      </c>
      <c r="J80" s="136">
        <f t="shared" ref="J80:O80" si="24">SUM(J72:J79)</f>
        <v>698</v>
      </c>
      <c r="K80" s="115">
        <f t="shared" si="24"/>
        <v>120</v>
      </c>
      <c r="L80" s="115">
        <f t="shared" si="24"/>
        <v>3</v>
      </c>
      <c r="M80" s="115">
        <f t="shared" si="24"/>
        <v>257</v>
      </c>
      <c r="N80" s="115">
        <f t="shared" si="24"/>
        <v>30</v>
      </c>
      <c r="O80" s="124">
        <f t="shared" si="24"/>
        <v>35</v>
      </c>
      <c r="P80" s="126">
        <f>SUM(P72:P79)</f>
        <v>1143</v>
      </c>
      <c r="Q80" s="133">
        <f>SUM(Q72:Q79)</f>
        <v>2735</v>
      </c>
    </row>
    <row r="82" spans="1:17" ht="15.75" x14ac:dyDescent="0.25">
      <c r="A82" s="516" t="s">
        <v>99</v>
      </c>
      <c r="B82" s="516"/>
      <c r="C82" s="516"/>
      <c r="D82" s="516"/>
      <c r="E82" s="516"/>
      <c r="F82" s="516"/>
      <c r="G82" s="516"/>
      <c r="H82" s="516"/>
      <c r="I82" s="516"/>
      <c r="J82" s="516"/>
      <c r="K82" s="516"/>
      <c r="L82" s="516"/>
      <c r="M82" s="516"/>
      <c r="N82" s="516"/>
      <c r="O82" s="516"/>
      <c r="P82" s="516"/>
      <c r="Q82" s="516"/>
    </row>
    <row r="83" spans="1:17" ht="15.75" x14ac:dyDescent="0.25">
      <c r="A83" s="516" t="s">
        <v>82</v>
      </c>
      <c r="B83" s="516"/>
      <c r="C83" s="516"/>
      <c r="D83" s="516"/>
      <c r="E83" s="516"/>
      <c r="F83" s="516"/>
      <c r="G83" s="516"/>
      <c r="H83" s="516"/>
      <c r="I83" s="516"/>
      <c r="J83" s="516"/>
      <c r="K83" s="516"/>
      <c r="L83" s="516"/>
      <c r="M83" s="516"/>
      <c r="N83" s="516"/>
      <c r="O83" s="516"/>
      <c r="P83" s="516"/>
      <c r="Q83" s="516"/>
    </row>
    <row r="84" spans="1:17" ht="15.75" thickBot="1" x14ac:dyDescent="0.3">
      <c r="Q84" s="77" t="s">
        <v>1</v>
      </c>
    </row>
    <row r="85" spans="1:17" x14ac:dyDescent="0.25">
      <c r="A85" s="511" t="s">
        <v>2</v>
      </c>
      <c r="B85" s="513" t="s">
        <v>3</v>
      </c>
      <c r="C85" s="517" t="s">
        <v>114</v>
      </c>
      <c r="D85" s="518"/>
      <c r="E85" s="518"/>
      <c r="F85" s="518"/>
      <c r="G85" s="518"/>
      <c r="H85" s="518"/>
      <c r="I85" s="519" t="s">
        <v>84</v>
      </c>
      <c r="J85" s="518">
        <v>2016</v>
      </c>
      <c r="K85" s="518"/>
      <c r="L85" s="518"/>
      <c r="M85" s="518"/>
      <c r="N85" s="518"/>
      <c r="O85" s="518"/>
      <c r="P85" s="519" t="s">
        <v>85</v>
      </c>
      <c r="Q85" s="521" t="s">
        <v>5</v>
      </c>
    </row>
    <row r="86" spans="1:17" x14ac:dyDescent="0.25">
      <c r="A86" s="512"/>
      <c r="B86" s="499"/>
      <c r="C86" s="322" t="s">
        <v>15</v>
      </c>
      <c r="D86" s="322" t="s">
        <v>16</v>
      </c>
      <c r="E86" s="322" t="s">
        <v>17</v>
      </c>
      <c r="F86" s="322" t="s">
        <v>6</v>
      </c>
      <c r="G86" s="322" t="s">
        <v>77</v>
      </c>
      <c r="H86" s="122" t="s">
        <v>78</v>
      </c>
      <c r="I86" s="520"/>
      <c r="J86" s="112" t="s">
        <v>79</v>
      </c>
      <c r="K86" s="322" t="s">
        <v>10</v>
      </c>
      <c r="L86" s="322" t="s">
        <v>11</v>
      </c>
      <c r="M86" s="322" t="s">
        <v>12</v>
      </c>
      <c r="N86" s="322" t="s">
        <v>80</v>
      </c>
      <c r="O86" s="122" t="s">
        <v>81</v>
      </c>
      <c r="P86" s="520"/>
      <c r="Q86" s="522"/>
    </row>
    <row r="87" spans="1:17" ht="15.75" thickBot="1" x14ac:dyDescent="0.3">
      <c r="A87" s="114">
        <v>1</v>
      </c>
      <c r="B87" s="5">
        <v>2</v>
      </c>
      <c r="C87" s="5">
        <v>3</v>
      </c>
      <c r="D87" s="5">
        <v>4</v>
      </c>
      <c r="E87" s="5">
        <v>5</v>
      </c>
      <c r="F87" s="5">
        <v>6</v>
      </c>
      <c r="G87" s="5">
        <v>7</v>
      </c>
      <c r="H87" s="123">
        <v>8</v>
      </c>
      <c r="I87" s="125">
        <v>9</v>
      </c>
      <c r="J87" s="113">
        <v>10</v>
      </c>
      <c r="K87" s="5">
        <v>11</v>
      </c>
      <c r="L87" s="5">
        <v>12</v>
      </c>
      <c r="M87" s="5">
        <v>13</v>
      </c>
      <c r="N87" s="5">
        <v>14</v>
      </c>
      <c r="O87" s="123">
        <v>15</v>
      </c>
      <c r="P87" s="125">
        <v>16</v>
      </c>
      <c r="Q87" s="134">
        <v>17</v>
      </c>
    </row>
    <row r="88" spans="1:17" ht="15.75" thickTop="1" x14ac:dyDescent="0.25">
      <c r="A88" s="85">
        <v>1</v>
      </c>
      <c r="B88" s="7" t="s">
        <v>18</v>
      </c>
      <c r="C88" s="139">
        <v>0</v>
      </c>
      <c r="D88" s="139">
        <v>0</v>
      </c>
      <c r="E88" s="139">
        <v>1</v>
      </c>
      <c r="F88" s="139">
        <f>'ubi kayu'!C9</f>
        <v>2</v>
      </c>
      <c r="G88" s="139">
        <f>'ubi kayu'!D9</f>
        <v>10</v>
      </c>
      <c r="H88" s="139">
        <f>'ubi kayu'!E9</f>
        <v>0</v>
      </c>
      <c r="I88" s="127">
        <f>SUM(C88:H88)</f>
        <v>13</v>
      </c>
      <c r="J88" s="162">
        <f>'ubi kayu'!F9</f>
        <v>0</v>
      </c>
      <c r="K88" s="162">
        <f>'ubi kayu'!G9</f>
        <v>0</v>
      </c>
      <c r="L88" s="162">
        <f>'ubi kayu'!H9</f>
        <v>0</v>
      </c>
      <c r="M88" s="162">
        <f>'ubi kayu'!I9</f>
        <v>0</v>
      </c>
      <c r="N88" s="162">
        <f>'ubi kayu'!J9</f>
        <v>0</v>
      </c>
      <c r="O88" s="162">
        <f>'ubi kayu'!K9</f>
        <v>0</v>
      </c>
      <c r="P88" s="127">
        <f>SUM(J88:O88)</f>
        <v>0</v>
      </c>
      <c r="Q88" s="130">
        <f>SUM(I88,P88)</f>
        <v>13</v>
      </c>
    </row>
    <row r="89" spans="1:17" x14ac:dyDescent="0.25">
      <c r="A89" s="86">
        <v>2</v>
      </c>
      <c r="B89" s="12" t="s">
        <v>19</v>
      </c>
      <c r="C89" s="60">
        <v>0</v>
      </c>
      <c r="D89" s="60">
        <v>0</v>
      </c>
      <c r="E89" s="60">
        <v>0</v>
      </c>
      <c r="F89" s="60">
        <f>'ubi kayu'!C10</f>
        <v>1</v>
      </c>
      <c r="G89" s="60">
        <f>'ubi kayu'!D10</f>
        <v>0</v>
      </c>
      <c r="H89" s="60">
        <f>'ubi kayu'!E10</f>
        <v>0</v>
      </c>
      <c r="I89" s="128">
        <f t="shared" ref="I89:I95" si="25">SUM(C89:H89)</f>
        <v>1</v>
      </c>
      <c r="J89" s="135">
        <f>'ubi kayu'!F10</f>
        <v>0</v>
      </c>
      <c r="K89" s="135">
        <f>'ubi kayu'!G10</f>
        <v>1</v>
      </c>
      <c r="L89" s="135">
        <f>'ubi kayu'!H10</f>
        <v>1</v>
      </c>
      <c r="M89" s="135">
        <f>'ubi kayu'!I10</f>
        <v>1</v>
      </c>
      <c r="N89" s="135">
        <f>'ubi kayu'!J10</f>
        <v>0</v>
      </c>
      <c r="O89" s="164">
        <f>'ubi kayu'!K10</f>
        <v>0</v>
      </c>
      <c r="P89" s="128">
        <f t="shared" ref="P89:P94" si="26">SUM(J89:O89)</f>
        <v>3</v>
      </c>
      <c r="Q89" s="131">
        <f t="shared" ref="Q89:Q95" si="27">SUM(I89,P89)</f>
        <v>4</v>
      </c>
    </row>
    <row r="90" spans="1:17" x14ac:dyDescent="0.25">
      <c r="A90" s="86">
        <v>3</v>
      </c>
      <c r="B90" s="7" t="s">
        <v>20</v>
      </c>
      <c r="C90" s="60">
        <v>0</v>
      </c>
      <c r="D90" s="60">
        <v>0</v>
      </c>
      <c r="E90" s="60">
        <v>3</v>
      </c>
      <c r="F90" s="60">
        <f>'ubi kayu'!C11</f>
        <v>0</v>
      </c>
      <c r="G90" s="60">
        <f>'ubi kayu'!D11</f>
        <v>0</v>
      </c>
      <c r="H90" s="60">
        <f>'ubi kayu'!E11</f>
        <v>0</v>
      </c>
      <c r="I90" s="128">
        <f t="shared" si="25"/>
        <v>3</v>
      </c>
      <c r="J90" s="135">
        <f>'ubi kayu'!F11</f>
        <v>0</v>
      </c>
      <c r="K90" s="135">
        <f>'ubi kayu'!G11</f>
        <v>0</v>
      </c>
      <c r="L90" s="135">
        <f>'ubi kayu'!H11</f>
        <v>0</v>
      </c>
      <c r="M90" s="135">
        <f>'ubi kayu'!I11</f>
        <v>0</v>
      </c>
      <c r="N90" s="135">
        <f>'ubi kayu'!J11</f>
        <v>0</v>
      </c>
      <c r="O90" s="164">
        <f>'ubi kayu'!K11</f>
        <v>0</v>
      </c>
      <c r="P90" s="128">
        <f t="shared" si="26"/>
        <v>0</v>
      </c>
      <c r="Q90" s="131">
        <f t="shared" si="27"/>
        <v>3</v>
      </c>
    </row>
    <row r="91" spans="1:17" x14ac:dyDescent="0.25">
      <c r="A91" s="87">
        <v>4</v>
      </c>
      <c r="B91" s="15" t="s">
        <v>21</v>
      </c>
      <c r="C91" s="60">
        <v>0</v>
      </c>
      <c r="D91" s="60">
        <v>0</v>
      </c>
      <c r="E91" s="60">
        <v>2</v>
      </c>
      <c r="F91" s="60">
        <f>'ubi kayu'!C12</f>
        <v>0</v>
      </c>
      <c r="G91" s="60">
        <f>'ubi kayu'!D12</f>
        <v>0</v>
      </c>
      <c r="H91" s="60">
        <f>'ubi kayu'!E12</f>
        <v>0</v>
      </c>
      <c r="I91" s="128">
        <f t="shared" si="25"/>
        <v>2</v>
      </c>
      <c r="J91" s="135">
        <f>'ubi kayu'!F12</f>
        <v>0</v>
      </c>
      <c r="K91" s="135">
        <f>'ubi kayu'!G12</f>
        <v>2</v>
      </c>
      <c r="L91" s="135">
        <f>'ubi kayu'!H12</f>
        <v>0</v>
      </c>
      <c r="M91" s="135">
        <f>'ubi kayu'!I12</f>
        <v>0</v>
      </c>
      <c r="N91" s="135">
        <f>'ubi kayu'!J12</f>
        <v>0</v>
      </c>
      <c r="O91" s="164">
        <f>'ubi kayu'!K12</f>
        <v>2</v>
      </c>
      <c r="P91" s="128">
        <f t="shared" si="26"/>
        <v>4</v>
      </c>
      <c r="Q91" s="131">
        <f t="shared" si="27"/>
        <v>6</v>
      </c>
    </row>
    <row r="92" spans="1:17" x14ac:dyDescent="0.25">
      <c r="A92" s="87">
        <v>5</v>
      </c>
      <c r="B92" s="19" t="s">
        <v>22</v>
      </c>
      <c r="C92" s="60">
        <v>0</v>
      </c>
      <c r="D92" s="60">
        <v>0</v>
      </c>
      <c r="E92" s="60">
        <v>1</v>
      </c>
      <c r="F92" s="60">
        <f>'ubi kayu'!C13</f>
        <v>0</v>
      </c>
      <c r="G92" s="60">
        <f>'ubi kayu'!D13</f>
        <v>0</v>
      </c>
      <c r="H92" s="60">
        <f>'ubi kayu'!E13</f>
        <v>0</v>
      </c>
      <c r="I92" s="128">
        <f t="shared" si="25"/>
        <v>1</v>
      </c>
      <c r="J92" s="135">
        <f>'ubi kayu'!F13</f>
        <v>0</v>
      </c>
      <c r="K92" s="135">
        <f>'ubi kayu'!G13</f>
        <v>0</v>
      </c>
      <c r="L92" s="135">
        <f>'ubi kayu'!H13</f>
        <v>0</v>
      </c>
      <c r="M92" s="135">
        <f>'ubi kayu'!I13</f>
        <v>0</v>
      </c>
      <c r="N92" s="135">
        <f>'ubi kayu'!J13</f>
        <v>0</v>
      </c>
      <c r="O92" s="164">
        <f>'ubi kayu'!K13</f>
        <v>0</v>
      </c>
      <c r="P92" s="128">
        <f t="shared" si="26"/>
        <v>0</v>
      </c>
      <c r="Q92" s="131">
        <f t="shared" si="27"/>
        <v>1</v>
      </c>
    </row>
    <row r="93" spans="1:17" x14ac:dyDescent="0.25">
      <c r="A93" s="87">
        <v>6</v>
      </c>
      <c r="B93" s="19" t="s">
        <v>23</v>
      </c>
      <c r="C93" s="60">
        <v>0</v>
      </c>
      <c r="D93" s="60">
        <v>0</v>
      </c>
      <c r="E93" s="60">
        <v>0</v>
      </c>
      <c r="F93" s="60">
        <f>'ubi kayu'!C14</f>
        <v>0</v>
      </c>
      <c r="G93" s="60">
        <f>'ubi kayu'!D14</f>
        <v>0</v>
      </c>
      <c r="H93" s="60">
        <f>'ubi kayu'!E14</f>
        <v>5</v>
      </c>
      <c r="I93" s="128">
        <f t="shared" si="25"/>
        <v>5</v>
      </c>
      <c r="J93" s="135">
        <f>'ubi kayu'!F14</f>
        <v>0</v>
      </c>
      <c r="K93" s="135">
        <f>'ubi kayu'!G14</f>
        <v>0</v>
      </c>
      <c r="L93" s="135">
        <f>'ubi kayu'!H14</f>
        <v>0</v>
      </c>
      <c r="M93" s="135">
        <f>'ubi kayu'!I14</f>
        <v>3</v>
      </c>
      <c r="N93" s="135">
        <f>'ubi kayu'!J14</f>
        <v>0</v>
      </c>
      <c r="O93" s="164">
        <f>'ubi kayu'!K14</f>
        <v>0</v>
      </c>
      <c r="P93" s="128">
        <f t="shared" si="26"/>
        <v>3</v>
      </c>
      <c r="Q93" s="131">
        <f t="shared" si="27"/>
        <v>8</v>
      </c>
    </row>
    <row r="94" spans="1:17" x14ac:dyDescent="0.25">
      <c r="A94" s="87">
        <v>7</v>
      </c>
      <c r="B94" s="19" t="s">
        <v>24</v>
      </c>
      <c r="C94" s="60">
        <v>0</v>
      </c>
      <c r="D94" s="60">
        <v>0</v>
      </c>
      <c r="E94" s="60">
        <v>0</v>
      </c>
      <c r="F94" s="60">
        <f>'ubi kayu'!C15</f>
        <v>0</v>
      </c>
      <c r="G94" s="60">
        <f>'ubi kayu'!D15</f>
        <v>0</v>
      </c>
      <c r="H94" s="60">
        <f>'ubi kayu'!E15</f>
        <v>0</v>
      </c>
      <c r="I94" s="128">
        <f t="shared" si="25"/>
        <v>0</v>
      </c>
      <c r="J94" s="135">
        <f>'ubi kayu'!F15</f>
        <v>0</v>
      </c>
      <c r="K94" s="135">
        <f>'ubi kayu'!G15</f>
        <v>0</v>
      </c>
      <c r="L94" s="135">
        <f>'ubi kayu'!H15</f>
        <v>0</v>
      </c>
      <c r="M94" s="135">
        <f>'ubi kayu'!I15</f>
        <v>0</v>
      </c>
      <c r="N94" s="135">
        <f>'ubi kayu'!J15</f>
        <v>0</v>
      </c>
      <c r="O94" s="164">
        <f>'ubi kayu'!K15</f>
        <v>0</v>
      </c>
      <c r="P94" s="128">
        <f t="shared" si="26"/>
        <v>0</v>
      </c>
      <c r="Q94" s="131">
        <f t="shared" si="27"/>
        <v>0</v>
      </c>
    </row>
    <row r="95" spans="1:17" ht="15.75" thickBot="1" x14ac:dyDescent="0.3">
      <c r="A95" s="88">
        <v>8</v>
      </c>
      <c r="B95" s="15" t="s">
        <v>25</v>
      </c>
      <c r="C95" s="140">
        <v>0</v>
      </c>
      <c r="D95" s="140">
        <v>0</v>
      </c>
      <c r="E95" s="140">
        <v>2</v>
      </c>
      <c r="F95" s="145">
        <f>'ubi kayu'!C16</f>
        <v>0</v>
      </c>
      <c r="G95" s="140">
        <f>'ubi kayu'!D16</f>
        <v>2</v>
      </c>
      <c r="H95" s="140">
        <f>'ubi kayu'!E16</f>
        <v>2</v>
      </c>
      <c r="I95" s="129">
        <f t="shared" si="25"/>
        <v>6</v>
      </c>
      <c r="J95" s="163">
        <f>'ubi kayu'!F16</f>
        <v>2</v>
      </c>
      <c r="K95" s="163">
        <f>'ubi kayu'!G16</f>
        <v>0</v>
      </c>
      <c r="L95" s="163">
        <f>'ubi kayu'!H16</f>
        <v>0</v>
      </c>
      <c r="M95" s="163">
        <f>'ubi kayu'!I16</f>
        <v>2</v>
      </c>
      <c r="N95" s="163">
        <f>'ubi kayu'!J16</f>
        <v>0</v>
      </c>
      <c r="O95" s="163">
        <f>'ubi kayu'!K16</f>
        <v>3</v>
      </c>
      <c r="P95" s="129">
        <f>SUM(J95:O95)</f>
        <v>7</v>
      </c>
      <c r="Q95" s="132">
        <f t="shared" si="27"/>
        <v>13</v>
      </c>
    </row>
    <row r="96" spans="1:17" ht="16.5" thickTop="1" thickBot="1" x14ac:dyDescent="0.3">
      <c r="A96" s="514" t="s">
        <v>26</v>
      </c>
      <c r="B96" s="515"/>
      <c r="C96" s="115">
        <f t="shared" ref="C96:H96" si="28">SUM(C88:C95)</f>
        <v>0</v>
      </c>
      <c r="D96" s="115">
        <f t="shared" si="28"/>
        <v>0</v>
      </c>
      <c r="E96" s="115">
        <f t="shared" si="28"/>
        <v>9</v>
      </c>
      <c r="F96" s="115">
        <f t="shared" si="28"/>
        <v>3</v>
      </c>
      <c r="G96" s="115">
        <f t="shared" si="28"/>
        <v>12</v>
      </c>
      <c r="H96" s="124">
        <f t="shared" si="28"/>
        <v>7</v>
      </c>
      <c r="I96" s="126">
        <f>SUM(I88:I95)</f>
        <v>31</v>
      </c>
      <c r="J96" s="136">
        <f t="shared" ref="J96:O96" si="29">SUM(J88:J95)</f>
        <v>2</v>
      </c>
      <c r="K96" s="115">
        <f t="shared" si="29"/>
        <v>3</v>
      </c>
      <c r="L96" s="115">
        <f t="shared" si="29"/>
        <v>1</v>
      </c>
      <c r="M96" s="115">
        <f t="shared" si="29"/>
        <v>6</v>
      </c>
      <c r="N96" s="115">
        <f t="shared" si="29"/>
        <v>0</v>
      </c>
      <c r="O96" s="124">
        <f t="shared" si="29"/>
        <v>5</v>
      </c>
      <c r="P96" s="126">
        <f>SUM(P88:P95)</f>
        <v>17</v>
      </c>
      <c r="Q96" s="133">
        <f>SUM(Q88:Q95)</f>
        <v>48</v>
      </c>
    </row>
    <row r="98" spans="1:17" ht="15.75" x14ac:dyDescent="0.25">
      <c r="A98" s="516" t="s">
        <v>100</v>
      </c>
      <c r="B98" s="516"/>
      <c r="C98" s="516"/>
      <c r="D98" s="516"/>
      <c r="E98" s="516"/>
      <c r="F98" s="516"/>
      <c r="G98" s="516"/>
      <c r="H98" s="516"/>
      <c r="I98" s="516"/>
      <c r="J98" s="516"/>
      <c r="K98" s="516"/>
      <c r="L98" s="516"/>
      <c r="M98" s="516"/>
      <c r="N98" s="516"/>
      <c r="O98" s="516"/>
      <c r="P98" s="516"/>
      <c r="Q98" s="516"/>
    </row>
    <row r="99" spans="1:17" ht="15.75" x14ac:dyDescent="0.25">
      <c r="A99" s="516" t="s">
        <v>82</v>
      </c>
      <c r="B99" s="516"/>
      <c r="C99" s="516"/>
      <c r="D99" s="516"/>
      <c r="E99" s="516"/>
      <c r="F99" s="516"/>
      <c r="G99" s="516"/>
      <c r="H99" s="516"/>
      <c r="I99" s="516"/>
      <c r="J99" s="516"/>
      <c r="K99" s="516"/>
      <c r="L99" s="516"/>
      <c r="M99" s="516"/>
      <c r="N99" s="516"/>
      <c r="O99" s="516"/>
      <c r="P99" s="516"/>
      <c r="Q99" s="516"/>
    </row>
    <row r="100" spans="1:17" ht="15.75" thickBot="1" x14ac:dyDescent="0.3">
      <c r="Q100" s="77" t="s">
        <v>1</v>
      </c>
    </row>
    <row r="101" spans="1:17" x14ac:dyDescent="0.25">
      <c r="A101" s="511" t="s">
        <v>2</v>
      </c>
      <c r="B101" s="513" t="s">
        <v>3</v>
      </c>
      <c r="C101" s="517" t="s">
        <v>114</v>
      </c>
      <c r="D101" s="518"/>
      <c r="E101" s="518"/>
      <c r="F101" s="518"/>
      <c r="G101" s="518"/>
      <c r="H101" s="518"/>
      <c r="I101" s="519" t="s">
        <v>84</v>
      </c>
      <c r="J101" s="518">
        <v>2016</v>
      </c>
      <c r="K101" s="518"/>
      <c r="L101" s="518"/>
      <c r="M101" s="518"/>
      <c r="N101" s="518"/>
      <c r="O101" s="518"/>
      <c r="P101" s="519" t="s">
        <v>85</v>
      </c>
      <c r="Q101" s="521" t="s">
        <v>5</v>
      </c>
    </row>
    <row r="102" spans="1:17" x14ac:dyDescent="0.25">
      <c r="A102" s="512"/>
      <c r="B102" s="499"/>
      <c r="C102" s="322" t="s">
        <v>15</v>
      </c>
      <c r="D102" s="322" t="s">
        <v>16</v>
      </c>
      <c r="E102" s="322" t="s">
        <v>17</v>
      </c>
      <c r="F102" s="322" t="s">
        <v>6</v>
      </c>
      <c r="G102" s="322" t="s">
        <v>77</v>
      </c>
      <c r="H102" s="122" t="s">
        <v>78</v>
      </c>
      <c r="I102" s="520"/>
      <c r="J102" s="112" t="s">
        <v>79</v>
      </c>
      <c r="K102" s="322" t="s">
        <v>10</v>
      </c>
      <c r="L102" s="322" t="s">
        <v>11</v>
      </c>
      <c r="M102" s="322" t="s">
        <v>12</v>
      </c>
      <c r="N102" s="322" t="s">
        <v>80</v>
      </c>
      <c r="O102" s="122" t="s">
        <v>81</v>
      </c>
      <c r="P102" s="520"/>
      <c r="Q102" s="522"/>
    </row>
    <row r="103" spans="1:17" ht="15.75" thickBot="1" x14ac:dyDescent="0.3">
      <c r="A103" s="114">
        <v>1</v>
      </c>
      <c r="B103" s="5">
        <v>2</v>
      </c>
      <c r="C103" s="5">
        <v>3</v>
      </c>
      <c r="D103" s="5">
        <v>4</v>
      </c>
      <c r="E103" s="5">
        <v>5</v>
      </c>
      <c r="F103" s="5">
        <v>6</v>
      </c>
      <c r="G103" s="5">
        <v>7</v>
      </c>
      <c r="H103" s="123">
        <v>8</v>
      </c>
      <c r="I103" s="125">
        <v>9</v>
      </c>
      <c r="J103" s="113">
        <v>10</v>
      </c>
      <c r="K103" s="5">
        <v>11</v>
      </c>
      <c r="L103" s="5">
        <v>12</v>
      </c>
      <c r="M103" s="5">
        <v>13</v>
      </c>
      <c r="N103" s="5">
        <v>14</v>
      </c>
      <c r="O103" s="123">
        <v>15</v>
      </c>
      <c r="P103" s="125">
        <v>16</v>
      </c>
      <c r="Q103" s="134">
        <v>17</v>
      </c>
    </row>
    <row r="104" spans="1:17" ht="15.75" thickTop="1" x14ac:dyDescent="0.25">
      <c r="A104" s="85">
        <v>1</v>
      </c>
      <c r="B104" s="7" t="s">
        <v>18</v>
      </c>
      <c r="C104" s="139">
        <v>0</v>
      </c>
      <c r="D104" s="139">
        <v>0</v>
      </c>
      <c r="E104" s="139">
        <v>0</v>
      </c>
      <c r="F104" s="139">
        <f>'ubi jalar'!C9</f>
        <v>1</v>
      </c>
      <c r="G104" s="139">
        <f>'ubi jalar'!D9</f>
        <v>4</v>
      </c>
      <c r="H104" s="139">
        <f>'ubi jalar'!E9</f>
        <v>0</v>
      </c>
      <c r="I104" s="127">
        <f>SUM(C104:H104)</f>
        <v>5</v>
      </c>
      <c r="J104" s="162">
        <f>'ubi jalar'!F9</f>
        <v>2</v>
      </c>
      <c r="K104" s="162">
        <f>'ubi jalar'!G9</f>
        <v>0</v>
      </c>
      <c r="L104" s="162">
        <f>'ubi jalar'!H9</f>
        <v>0</v>
      </c>
      <c r="M104" s="162">
        <f>'ubi jalar'!I9</f>
        <v>0</v>
      </c>
      <c r="N104" s="162">
        <f>'ubi jalar'!J9</f>
        <v>0</v>
      </c>
      <c r="O104" s="162">
        <f>'ubi jalar'!K9</f>
        <v>0</v>
      </c>
      <c r="P104" s="127">
        <f>SUM(J104:O104)</f>
        <v>2</v>
      </c>
      <c r="Q104" s="130">
        <f>SUM(I104,P104)</f>
        <v>7</v>
      </c>
    </row>
    <row r="105" spans="1:17" x14ac:dyDescent="0.25">
      <c r="A105" s="86">
        <v>2</v>
      </c>
      <c r="B105" s="12" t="s">
        <v>19</v>
      </c>
      <c r="C105" s="60">
        <v>1</v>
      </c>
      <c r="D105" s="60">
        <v>1</v>
      </c>
      <c r="E105" s="60">
        <v>0</v>
      </c>
      <c r="F105" s="60">
        <f>'ubi jalar'!C10</f>
        <v>2</v>
      </c>
      <c r="G105" s="60">
        <f>'ubi jalar'!D10</f>
        <v>0</v>
      </c>
      <c r="H105" s="60">
        <f>'ubi jalar'!E10</f>
        <v>0</v>
      </c>
      <c r="I105" s="128">
        <f t="shared" ref="I105:I111" si="30">SUM(C105:H105)</f>
        <v>4</v>
      </c>
      <c r="J105" s="135">
        <f>'ubi jalar'!F10</f>
        <v>0</v>
      </c>
      <c r="K105" s="135">
        <f>'ubi jalar'!G10</f>
        <v>0</v>
      </c>
      <c r="L105" s="135">
        <f>'ubi jalar'!H10</f>
        <v>1</v>
      </c>
      <c r="M105" s="135">
        <f>'ubi jalar'!I10</f>
        <v>1</v>
      </c>
      <c r="N105" s="135">
        <f>'ubi jalar'!J10</f>
        <v>0</v>
      </c>
      <c r="O105" s="164">
        <f>'ubi jalar'!K10</f>
        <v>1</v>
      </c>
      <c r="P105" s="128">
        <f t="shared" ref="P105:P110" si="31">SUM(J105:O105)</f>
        <v>3</v>
      </c>
      <c r="Q105" s="131">
        <f t="shared" ref="Q105:Q111" si="32">SUM(I105,P105)</f>
        <v>7</v>
      </c>
    </row>
    <row r="106" spans="1:17" x14ac:dyDescent="0.25">
      <c r="A106" s="86">
        <v>3</v>
      </c>
      <c r="B106" s="7" t="s">
        <v>20</v>
      </c>
      <c r="C106" s="60">
        <v>0</v>
      </c>
      <c r="D106" s="60">
        <v>0</v>
      </c>
      <c r="E106" s="60">
        <v>0</v>
      </c>
      <c r="F106" s="60">
        <f>'ubi jalar'!C11</f>
        <v>0</v>
      </c>
      <c r="G106" s="60">
        <f>'ubi jalar'!D11</f>
        <v>0</v>
      </c>
      <c r="H106" s="60">
        <f>'ubi jalar'!E11</f>
        <v>0</v>
      </c>
      <c r="I106" s="128">
        <f t="shared" si="30"/>
        <v>0</v>
      </c>
      <c r="J106" s="135">
        <f>'ubi jalar'!F11</f>
        <v>0</v>
      </c>
      <c r="K106" s="135">
        <f>'ubi jalar'!G11</f>
        <v>0</v>
      </c>
      <c r="L106" s="135">
        <f>'ubi jalar'!H11</f>
        <v>0</v>
      </c>
      <c r="M106" s="135">
        <f>'ubi jalar'!I11</f>
        <v>0</v>
      </c>
      <c r="N106" s="135">
        <f>'ubi jalar'!J11</f>
        <v>0</v>
      </c>
      <c r="O106" s="164">
        <f>'ubi jalar'!K11</f>
        <v>0</v>
      </c>
      <c r="P106" s="128">
        <f t="shared" si="31"/>
        <v>0</v>
      </c>
      <c r="Q106" s="131">
        <f t="shared" si="32"/>
        <v>0</v>
      </c>
    </row>
    <row r="107" spans="1:17" x14ac:dyDescent="0.25">
      <c r="A107" s="87">
        <v>4</v>
      </c>
      <c r="B107" s="15" t="s">
        <v>21</v>
      </c>
      <c r="C107" s="60">
        <v>1</v>
      </c>
      <c r="D107" s="60">
        <v>1</v>
      </c>
      <c r="E107" s="60">
        <v>0</v>
      </c>
      <c r="F107" s="60">
        <f>'ubi jalar'!C12</f>
        <v>0</v>
      </c>
      <c r="G107" s="60">
        <f>'ubi jalar'!D12</f>
        <v>0</v>
      </c>
      <c r="H107" s="60">
        <f>'ubi jalar'!E12</f>
        <v>0</v>
      </c>
      <c r="I107" s="128">
        <f t="shared" si="30"/>
        <v>2</v>
      </c>
      <c r="J107" s="135">
        <f>'ubi jalar'!F12</f>
        <v>1</v>
      </c>
      <c r="K107" s="135">
        <f>'ubi jalar'!G12</f>
        <v>1</v>
      </c>
      <c r="L107" s="135">
        <f>'ubi jalar'!H12</f>
        <v>0</v>
      </c>
      <c r="M107" s="135">
        <f>'ubi jalar'!I12</f>
        <v>0</v>
      </c>
      <c r="N107" s="135">
        <f>'ubi jalar'!J12</f>
        <v>0</v>
      </c>
      <c r="O107" s="164">
        <f>'ubi jalar'!K12</f>
        <v>1</v>
      </c>
      <c r="P107" s="128">
        <f t="shared" si="31"/>
        <v>3</v>
      </c>
      <c r="Q107" s="131">
        <f t="shared" si="32"/>
        <v>5</v>
      </c>
    </row>
    <row r="108" spans="1:17" x14ac:dyDescent="0.25">
      <c r="A108" s="87">
        <v>5</v>
      </c>
      <c r="B108" s="19" t="s">
        <v>22</v>
      </c>
      <c r="C108" s="60">
        <v>0</v>
      </c>
      <c r="D108" s="60">
        <v>0</v>
      </c>
      <c r="E108" s="60">
        <v>0</v>
      </c>
      <c r="F108" s="60">
        <f>'ubi jalar'!C13</f>
        <v>0</v>
      </c>
      <c r="G108" s="60">
        <f>'ubi jalar'!D13</f>
        <v>0</v>
      </c>
      <c r="H108" s="60">
        <f>'ubi jalar'!E13</f>
        <v>2</v>
      </c>
      <c r="I108" s="128">
        <f t="shared" si="30"/>
        <v>2</v>
      </c>
      <c r="J108" s="135">
        <f>'ubi jalar'!F13</f>
        <v>0</v>
      </c>
      <c r="K108" s="135">
        <f>'ubi jalar'!G13</f>
        <v>1</v>
      </c>
      <c r="L108" s="135">
        <f>'ubi jalar'!H13</f>
        <v>0</v>
      </c>
      <c r="M108" s="135">
        <f>'ubi jalar'!I13</f>
        <v>0</v>
      </c>
      <c r="N108" s="135">
        <f>'ubi jalar'!J13</f>
        <v>0</v>
      </c>
      <c r="O108" s="164">
        <f>'ubi jalar'!K13</f>
        <v>0</v>
      </c>
      <c r="P108" s="128">
        <f t="shared" si="31"/>
        <v>1</v>
      </c>
      <c r="Q108" s="131">
        <f t="shared" si="32"/>
        <v>3</v>
      </c>
    </row>
    <row r="109" spans="1:17" x14ac:dyDescent="0.25">
      <c r="A109" s="87">
        <v>6</v>
      </c>
      <c r="B109" s="19" t="s">
        <v>23</v>
      </c>
      <c r="C109" s="60">
        <v>0</v>
      </c>
      <c r="D109" s="60">
        <v>0</v>
      </c>
      <c r="E109" s="60">
        <v>0</v>
      </c>
      <c r="F109" s="60">
        <f>'ubi jalar'!C14</f>
        <v>0</v>
      </c>
      <c r="G109" s="60">
        <f>'ubi jalar'!D14</f>
        <v>0</v>
      </c>
      <c r="H109" s="60">
        <f>'ubi jalar'!E14</f>
        <v>0</v>
      </c>
      <c r="I109" s="128">
        <f t="shared" si="30"/>
        <v>0</v>
      </c>
      <c r="J109" s="135">
        <f>'ubi jalar'!F14</f>
        <v>0</v>
      </c>
      <c r="K109" s="135">
        <f>'ubi jalar'!G14</f>
        <v>0</v>
      </c>
      <c r="L109" s="135">
        <f>'ubi jalar'!H14</f>
        <v>0</v>
      </c>
      <c r="M109" s="135">
        <f>'ubi jalar'!I14</f>
        <v>0</v>
      </c>
      <c r="N109" s="135">
        <f>'ubi jalar'!J14</f>
        <v>0</v>
      </c>
      <c r="O109" s="164">
        <f>'ubi jalar'!K14</f>
        <v>0</v>
      </c>
      <c r="P109" s="128">
        <f t="shared" si="31"/>
        <v>0</v>
      </c>
      <c r="Q109" s="131">
        <f t="shared" si="32"/>
        <v>0</v>
      </c>
    </row>
    <row r="110" spans="1:17" x14ac:dyDescent="0.25">
      <c r="A110" s="87">
        <v>7</v>
      </c>
      <c r="B110" s="19" t="s">
        <v>24</v>
      </c>
      <c r="C110" s="60">
        <v>0</v>
      </c>
      <c r="D110" s="60">
        <v>0</v>
      </c>
      <c r="E110" s="60">
        <v>0</v>
      </c>
      <c r="F110" s="60">
        <f>'ubi jalar'!C15</f>
        <v>0</v>
      </c>
      <c r="G110" s="60">
        <f>'ubi jalar'!D15</f>
        <v>0</v>
      </c>
      <c r="H110" s="60">
        <f>'ubi jalar'!E15</f>
        <v>0</v>
      </c>
      <c r="I110" s="128">
        <f t="shared" si="30"/>
        <v>0</v>
      </c>
      <c r="J110" s="135">
        <f>'ubi jalar'!F15</f>
        <v>0</v>
      </c>
      <c r="K110" s="135">
        <f>'ubi jalar'!G15</f>
        <v>0</v>
      </c>
      <c r="L110" s="135">
        <f>'ubi jalar'!H15</f>
        <v>0</v>
      </c>
      <c r="M110" s="135">
        <f>'ubi jalar'!I15</f>
        <v>0</v>
      </c>
      <c r="N110" s="135">
        <f>'ubi jalar'!J15</f>
        <v>0</v>
      </c>
      <c r="O110" s="164">
        <f>'ubi jalar'!K15</f>
        <v>0</v>
      </c>
      <c r="P110" s="128">
        <f t="shared" si="31"/>
        <v>0</v>
      </c>
      <c r="Q110" s="131">
        <f t="shared" si="32"/>
        <v>0</v>
      </c>
    </row>
    <row r="111" spans="1:17" ht="15.75" thickBot="1" x14ac:dyDescent="0.3">
      <c r="A111" s="88">
        <v>8</v>
      </c>
      <c r="B111" s="15" t="s">
        <v>25</v>
      </c>
      <c r="C111" s="140">
        <v>0</v>
      </c>
      <c r="D111" s="140">
        <v>0</v>
      </c>
      <c r="E111" s="140">
        <v>1</v>
      </c>
      <c r="F111" s="145">
        <f>'ubi jalar'!C16</f>
        <v>0</v>
      </c>
      <c r="G111" s="140">
        <f>'ubi jalar'!D16</f>
        <v>0</v>
      </c>
      <c r="H111" s="140">
        <f>'ubi jalar'!E16</f>
        <v>1</v>
      </c>
      <c r="I111" s="129">
        <f t="shared" si="30"/>
        <v>2</v>
      </c>
      <c r="J111" s="163">
        <f>'ubi jalar'!F16</f>
        <v>0</v>
      </c>
      <c r="K111" s="163">
        <f>'ubi jalar'!G16</f>
        <v>0</v>
      </c>
      <c r="L111" s="163">
        <f>'ubi jalar'!H16</f>
        <v>0</v>
      </c>
      <c r="M111" s="163">
        <f>'ubi jalar'!I16</f>
        <v>0</v>
      </c>
      <c r="N111" s="163">
        <f>'ubi jalar'!J16</f>
        <v>1</v>
      </c>
      <c r="O111" s="163">
        <f>'ubi jalar'!K16</f>
        <v>1</v>
      </c>
      <c r="P111" s="129">
        <f>SUM(J111:O111)</f>
        <v>2</v>
      </c>
      <c r="Q111" s="132">
        <f t="shared" si="32"/>
        <v>4</v>
      </c>
    </row>
    <row r="112" spans="1:17" ht="16.5" thickTop="1" thickBot="1" x14ac:dyDescent="0.3">
      <c r="A112" s="514" t="s">
        <v>26</v>
      </c>
      <c r="B112" s="515"/>
      <c r="C112" s="115">
        <f t="shared" ref="C112:H112" si="33">SUM(C104:C111)</f>
        <v>2</v>
      </c>
      <c r="D112" s="115">
        <f t="shared" si="33"/>
        <v>2</v>
      </c>
      <c r="E112" s="115">
        <f t="shared" si="33"/>
        <v>1</v>
      </c>
      <c r="F112" s="115">
        <f t="shared" si="33"/>
        <v>3</v>
      </c>
      <c r="G112" s="115">
        <f t="shared" si="33"/>
        <v>4</v>
      </c>
      <c r="H112" s="124">
        <f t="shared" si="33"/>
        <v>3</v>
      </c>
      <c r="I112" s="126">
        <f>SUM(I104:I111)</f>
        <v>15</v>
      </c>
      <c r="J112" s="136">
        <f t="shared" ref="J112:O112" si="34">SUM(J104:J111)</f>
        <v>3</v>
      </c>
      <c r="K112" s="115">
        <f t="shared" si="34"/>
        <v>2</v>
      </c>
      <c r="L112" s="115">
        <f t="shared" si="34"/>
        <v>1</v>
      </c>
      <c r="M112" s="115">
        <f t="shared" si="34"/>
        <v>1</v>
      </c>
      <c r="N112" s="115">
        <f t="shared" si="34"/>
        <v>1</v>
      </c>
      <c r="O112" s="124">
        <f t="shared" si="34"/>
        <v>3</v>
      </c>
      <c r="P112" s="126">
        <f>SUM(P104:P111)</f>
        <v>11</v>
      </c>
      <c r="Q112" s="133">
        <f>SUM(Q104:Q111)</f>
        <v>26</v>
      </c>
    </row>
    <row r="114" spans="1:17" ht="15.75" x14ac:dyDescent="0.25">
      <c r="A114" s="516" t="s">
        <v>101</v>
      </c>
      <c r="B114" s="516"/>
      <c r="C114" s="516"/>
      <c r="D114" s="516"/>
      <c r="E114" s="516"/>
      <c r="F114" s="516"/>
      <c r="G114" s="516"/>
      <c r="H114" s="516"/>
      <c r="I114" s="516"/>
      <c r="J114" s="516"/>
      <c r="K114" s="516"/>
      <c r="L114" s="516"/>
      <c r="M114" s="516"/>
      <c r="N114" s="516"/>
      <c r="O114" s="516"/>
      <c r="P114" s="516"/>
      <c r="Q114" s="516"/>
    </row>
    <row r="115" spans="1:17" ht="15.75" x14ac:dyDescent="0.25">
      <c r="A115" s="516" t="s">
        <v>82</v>
      </c>
      <c r="B115" s="516"/>
      <c r="C115" s="516"/>
      <c r="D115" s="516"/>
      <c r="E115" s="516"/>
      <c r="F115" s="516"/>
      <c r="G115" s="516"/>
      <c r="H115" s="516"/>
      <c r="I115" s="516"/>
      <c r="J115" s="516"/>
      <c r="K115" s="516"/>
      <c r="L115" s="516"/>
      <c r="M115" s="516"/>
      <c r="N115" s="516"/>
      <c r="O115" s="516"/>
      <c r="P115" s="516"/>
      <c r="Q115" s="516"/>
    </row>
    <row r="116" spans="1:17" ht="15.75" thickBot="1" x14ac:dyDescent="0.3">
      <c r="Q116" s="77" t="s">
        <v>1</v>
      </c>
    </row>
    <row r="117" spans="1:17" x14ac:dyDescent="0.25">
      <c r="A117" s="511" t="s">
        <v>2</v>
      </c>
      <c r="B117" s="513" t="s">
        <v>3</v>
      </c>
      <c r="C117" s="517" t="s">
        <v>114</v>
      </c>
      <c r="D117" s="518"/>
      <c r="E117" s="518"/>
      <c r="F117" s="518"/>
      <c r="G117" s="518"/>
      <c r="H117" s="518"/>
      <c r="I117" s="519" t="s">
        <v>84</v>
      </c>
      <c r="J117" s="518">
        <v>2016</v>
      </c>
      <c r="K117" s="518"/>
      <c r="L117" s="518"/>
      <c r="M117" s="518"/>
      <c r="N117" s="518"/>
      <c r="O117" s="518"/>
      <c r="P117" s="519" t="s">
        <v>85</v>
      </c>
      <c r="Q117" s="521" t="s">
        <v>5</v>
      </c>
    </row>
    <row r="118" spans="1:17" x14ac:dyDescent="0.25">
      <c r="A118" s="512"/>
      <c r="B118" s="499"/>
      <c r="C118" s="322" t="s">
        <v>15</v>
      </c>
      <c r="D118" s="322" t="s">
        <v>16</v>
      </c>
      <c r="E118" s="322" t="s">
        <v>17</v>
      </c>
      <c r="F118" s="322" t="s">
        <v>6</v>
      </c>
      <c r="G118" s="322" t="s">
        <v>77</v>
      </c>
      <c r="H118" s="122" t="s">
        <v>78</v>
      </c>
      <c r="I118" s="520"/>
      <c r="J118" s="112" t="s">
        <v>79</v>
      </c>
      <c r="K118" s="322" t="s">
        <v>10</v>
      </c>
      <c r="L118" s="322" t="s">
        <v>11</v>
      </c>
      <c r="M118" s="322" t="s">
        <v>12</v>
      </c>
      <c r="N118" s="322" t="s">
        <v>80</v>
      </c>
      <c r="O118" s="122" t="s">
        <v>81</v>
      </c>
      <c r="P118" s="520"/>
      <c r="Q118" s="522"/>
    </row>
    <row r="119" spans="1:17" ht="15.75" thickBot="1" x14ac:dyDescent="0.3">
      <c r="A119" s="114">
        <v>1</v>
      </c>
      <c r="B119" s="5">
        <v>2</v>
      </c>
      <c r="C119" s="5">
        <v>3</v>
      </c>
      <c r="D119" s="5">
        <v>4</v>
      </c>
      <c r="E119" s="5">
        <v>5</v>
      </c>
      <c r="F119" s="5">
        <v>6</v>
      </c>
      <c r="G119" s="5">
        <v>7</v>
      </c>
      <c r="H119" s="123">
        <v>8</v>
      </c>
      <c r="I119" s="125">
        <v>9</v>
      </c>
      <c r="J119" s="113">
        <v>10</v>
      </c>
      <c r="K119" s="5">
        <v>11</v>
      </c>
      <c r="L119" s="5">
        <v>12</v>
      </c>
      <c r="M119" s="5">
        <v>13</v>
      </c>
      <c r="N119" s="5">
        <v>14</v>
      </c>
      <c r="O119" s="123">
        <v>15</v>
      </c>
      <c r="P119" s="125">
        <v>16</v>
      </c>
      <c r="Q119" s="134">
        <v>17</v>
      </c>
    </row>
    <row r="120" spans="1:17" ht="15.75" thickTop="1" x14ac:dyDescent="0.25">
      <c r="A120" s="85">
        <v>1</v>
      </c>
      <c r="B120" s="7" t="s">
        <v>18</v>
      </c>
      <c r="C120" s="139">
        <v>0</v>
      </c>
      <c r="D120" s="139">
        <v>0</v>
      </c>
      <c r="E120" s="139">
        <v>0</v>
      </c>
      <c r="F120" s="139">
        <f>'kc ijo'!C9</f>
        <v>1</v>
      </c>
      <c r="G120" s="139">
        <f>'kc ijo'!D9</f>
        <v>2</v>
      </c>
      <c r="H120" s="139">
        <f>'kc ijo'!E9</f>
        <v>0</v>
      </c>
      <c r="I120" s="127">
        <f>SUM(C120:H120)</f>
        <v>3</v>
      </c>
      <c r="J120" s="162">
        <f>'kc ijo'!F9</f>
        <v>0</v>
      </c>
      <c r="K120" s="162">
        <f>'kc ijo'!G9</f>
        <v>0</v>
      </c>
      <c r="L120" s="162">
        <f>'kc ijo'!H9</f>
        <v>0</v>
      </c>
      <c r="M120" s="162">
        <f>'kc ijo'!I9</f>
        <v>0</v>
      </c>
      <c r="N120" s="162">
        <f>'kc ijo'!J9</f>
        <v>0</v>
      </c>
      <c r="O120" s="162">
        <f>'kc ijo'!K9</f>
        <v>0</v>
      </c>
      <c r="P120" s="127">
        <f>SUM(J120:O120)</f>
        <v>0</v>
      </c>
      <c r="Q120" s="130">
        <f>SUM(I120,P120)</f>
        <v>3</v>
      </c>
    </row>
    <row r="121" spans="1:17" x14ac:dyDescent="0.25">
      <c r="A121" s="86">
        <v>2</v>
      </c>
      <c r="B121" s="12" t="s">
        <v>19</v>
      </c>
      <c r="C121" s="60">
        <v>0</v>
      </c>
      <c r="D121" s="60">
        <v>0</v>
      </c>
      <c r="E121" s="60">
        <v>0</v>
      </c>
      <c r="F121" s="60">
        <f>'kc ijo'!C10</f>
        <v>1</v>
      </c>
      <c r="G121" s="60">
        <f>'kc ijo'!D10</f>
        <v>0</v>
      </c>
      <c r="H121" s="60">
        <f>'kc ijo'!E10</f>
        <v>0</v>
      </c>
      <c r="I121" s="128">
        <f t="shared" ref="I121:I127" si="35">SUM(C121:H121)</f>
        <v>1</v>
      </c>
      <c r="J121" s="135">
        <f>'kc ijo'!F10</f>
        <v>0</v>
      </c>
      <c r="K121" s="135">
        <f>'kc ijo'!G10</f>
        <v>0</v>
      </c>
      <c r="L121" s="135">
        <f>'kc ijo'!H10</f>
        <v>1</v>
      </c>
      <c r="M121" s="135">
        <f>'kc ijo'!I10</f>
        <v>0</v>
      </c>
      <c r="N121" s="135">
        <f>'kc ijo'!J10</f>
        <v>0</v>
      </c>
      <c r="O121" s="164">
        <f>'kc ijo'!K10</f>
        <v>0</v>
      </c>
      <c r="P121" s="128">
        <f t="shared" ref="P121:P126" si="36">SUM(J121:O121)</f>
        <v>1</v>
      </c>
      <c r="Q121" s="131">
        <f t="shared" ref="Q121:Q127" si="37">SUM(I121,P121)</f>
        <v>2</v>
      </c>
    </row>
    <row r="122" spans="1:17" x14ac:dyDescent="0.25">
      <c r="A122" s="86">
        <v>3</v>
      </c>
      <c r="B122" s="7" t="s">
        <v>20</v>
      </c>
      <c r="C122" s="60">
        <v>0</v>
      </c>
      <c r="D122" s="60">
        <v>0</v>
      </c>
      <c r="E122" s="60">
        <v>0</v>
      </c>
      <c r="F122" s="60">
        <f>'kc ijo'!C11</f>
        <v>0</v>
      </c>
      <c r="G122" s="60">
        <f>'kc ijo'!D11</f>
        <v>0</v>
      </c>
      <c r="H122" s="60">
        <f>'kc ijo'!E11</f>
        <v>0</v>
      </c>
      <c r="I122" s="128">
        <f t="shared" si="35"/>
        <v>0</v>
      </c>
      <c r="J122" s="135">
        <f>'kc ijo'!F11</f>
        <v>0</v>
      </c>
      <c r="K122" s="135">
        <f>'kc ijo'!G11</f>
        <v>1</v>
      </c>
      <c r="L122" s="135">
        <f>'kc ijo'!H11</f>
        <v>2</v>
      </c>
      <c r="M122" s="135">
        <f>'kc ijo'!I11</f>
        <v>0</v>
      </c>
      <c r="N122" s="135">
        <f>'kc ijo'!J11</f>
        <v>0</v>
      </c>
      <c r="O122" s="164">
        <f>'kc ijo'!K11</f>
        <v>0</v>
      </c>
      <c r="P122" s="128">
        <f t="shared" si="36"/>
        <v>3</v>
      </c>
      <c r="Q122" s="131">
        <f t="shared" si="37"/>
        <v>3</v>
      </c>
    </row>
    <row r="123" spans="1:17" x14ac:dyDescent="0.25">
      <c r="A123" s="87">
        <v>4</v>
      </c>
      <c r="B123" s="15" t="s">
        <v>21</v>
      </c>
      <c r="C123" s="60">
        <v>0</v>
      </c>
      <c r="D123" s="60">
        <v>0</v>
      </c>
      <c r="E123" s="60">
        <v>0</v>
      </c>
      <c r="F123" s="60">
        <f>'kc ijo'!C12</f>
        <v>0</v>
      </c>
      <c r="G123" s="60">
        <f>'kc ijo'!D12</f>
        <v>0</v>
      </c>
      <c r="H123" s="60">
        <f>'kc ijo'!E12</f>
        <v>0</v>
      </c>
      <c r="I123" s="128">
        <f t="shared" si="35"/>
        <v>0</v>
      </c>
      <c r="J123" s="135">
        <f>'kc ijo'!F12</f>
        <v>0</v>
      </c>
      <c r="K123" s="135">
        <f>'kc ijo'!G12</f>
        <v>0</v>
      </c>
      <c r="L123" s="135">
        <f>'kc ijo'!H12</f>
        <v>11</v>
      </c>
      <c r="M123" s="135">
        <f>'kc ijo'!I12</f>
        <v>1</v>
      </c>
      <c r="N123" s="135">
        <f>'kc ijo'!J12</f>
        <v>0</v>
      </c>
      <c r="O123" s="164">
        <f>'kc ijo'!K12</f>
        <v>0</v>
      </c>
      <c r="P123" s="128">
        <f t="shared" si="36"/>
        <v>12</v>
      </c>
      <c r="Q123" s="131">
        <f t="shared" si="37"/>
        <v>12</v>
      </c>
    </row>
    <row r="124" spans="1:17" x14ac:dyDescent="0.25">
      <c r="A124" s="87">
        <v>5</v>
      </c>
      <c r="B124" s="19" t="s">
        <v>22</v>
      </c>
      <c r="C124" s="60">
        <v>0</v>
      </c>
      <c r="D124" s="60">
        <v>0</v>
      </c>
      <c r="E124" s="60">
        <v>0</v>
      </c>
      <c r="F124" s="60">
        <f>'kc ijo'!C13</f>
        <v>0</v>
      </c>
      <c r="G124" s="60">
        <f>'kc ijo'!D13</f>
        <v>0</v>
      </c>
      <c r="H124" s="60">
        <f>'kc ijo'!E13</f>
        <v>0</v>
      </c>
      <c r="I124" s="128">
        <f t="shared" si="35"/>
        <v>0</v>
      </c>
      <c r="J124" s="135">
        <f>'kc ijo'!F13</f>
        <v>0</v>
      </c>
      <c r="K124" s="135">
        <f>'kc ijo'!G13</f>
        <v>1</v>
      </c>
      <c r="L124" s="135">
        <f>'kc ijo'!H13</f>
        <v>0</v>
      </c>
      <c r="M124" s="135">
        <f>'kc ijo'!I13</f>
        <v>0</v>
      </c>
      <c r="N124" s="135">
        <f>'kc ijo'!J13</f>
        <v>0</v>
      </c>
      <c r="O124" s="164">
        <f>'kc ijo'!K13</f>
        <v>0</v>
      </c>
      <c r="P124" s="128">
        <f t="shared" si="36"/>
        <v>1</v>
      </c>
      <c r="Q124" s="131">
        <f t="shared" si="37"/>
        <v>1</v>
      </c>
    </row>
    <row r="125" spans="1:17" x14ac:dyDescent="0.25">
      <c r="A125" s="87">
        <v>6</v>
      </c>
      <c r="B125" s="19" t="s">
        <v>23</v>
      </c>
      <c r="C125" s="60">
        <v>0</v>
      </c>
      <c r="D125" s="60">
        <v>0</v>
      </c>
      <c r="E125" s="60">
        <v>0</v>
      </c>
      <c r="F125" s="60">
        <f>'kc ijo'!C14</f>
        <v>0</v>
      </c>
      <c r="G125" s="60">
        <f>'kc ijo'!D14</f>
        <v>0</v>
      </c>
      <c r="H125" s="60">
        <f>'kc ijo'!E14</f>
        <v>0</v>
      </c>
      <c r="I125" s="128">
        <f t="shared" si="35"/>
        <v>0</v>
      </c>
      <c r="J125" s="135">
        <f>'kc ijo'!F14</f>
        <v>0</v>
      </c>
      <c r="K125" s="135">
        <f>'kc ijo'!G14</f>
        <v>0</v>
      </c>
      <c r="L125" s="135">
        <f>'kc ijo'!H14</f>
        <v>0</v>
      </c>
      <c r="M125" s="135">
        <f>'kc ijo'!I14</f>
        <v>0</v>
      </c>
      <c r="N125" s="135">
        <f>'kc ijo'!J14</f>
        <v>0</v>
      </c>
      <c r="O125" s="164">
        <f>'kc ijo'!K14</f>
        <v>0</v>
      </c>
      <c r="P125" s="128">
        <f t="shared" si="36"/>
        <v>0</v>
      </c>
      <c r="Q125" s="131">
        <f t="shared" si="37"/>
        <v>0</v>
      </c>
    </row>
    <row r="126" spans="1:17" x14ac:dyDescent="0.25">
      <c r="A126" s="87">
        <v>7</v>
      </c>
      <c r="B126" s="19" t="s">
        <v>24</v>
      </c>
      <c r="C126" s="60">
        <v>0</v>
      </c>
      <c r="D126" s="60">
        <v>0</v>
      </c>
      <c r="E126" s="60">
        <v>0</v>
      </c>
      <c r="F126" s="60">
        <f>'kc ijo'!C15</f>
        <v>0</v>
      </c>
      <c r="G126" s="60">
        <f>'kc ijo'!D15</f>
        <v>0</v>
      </c>
      <c r="H126" s="60">
        <f>'kc ijo'!E15</f>
        <v>0</v>
      </c>
      <c r="I126" s="128">
        <f t="shared" si="35"/>
        <v>0</v>
      </c>
      <c r="J126" s="135">
        <f>'kc ijo'!F15</f>
        <v>0</v>
      </c>
      <c r="K126" s="135">
        <f>'kc ijo'!G15</f>
        <v>0</v>
      </c>
      <c r="L126" s="135">
        <f>'kc ijo'!H15</f>
        <v>0</v>
      </c>
      <c r="M126" s="135">
        <f>'kc ijo'!I15</f>
        <v>0</v>
      </c>
      <c r="N126" s="135">
        <f>'kc ijo'!J15</f>
        <v>0</v>
      </c>
      <c r="O126" s="164">
        <f>'kc ijo'!K15</f>
        <v>0</v>
      </c>
      <c r="P126" s="128">
        <f t="shared" si="36"/>
        <v>0</v>
      </c>
      <c r="Q126" s="131">
        <f t="shared" si="37"/>
        <v>0</v>
      </c>
    </row>
    <row r="127" spans="1:17" ht="15.75" thickBot="1" x14ac:dyDescent="0.3">
      <c r="A127" s="88">
        <v>8</v>
      </c>
      <c r="B127" s="15" t="s">
        <v>25</v>
      </c>
      <c r="C127" s="140">
        <v>0</v>
      </c>
      <c r="D127" s="140">
        <v>0</v>
      </c>
      <c r="E127" s="140">
        <v>0</v>
      </c>
      <c r="F127" s="145">
        <f>'kc ijo'!C16</f>
        <v>0</v>
      </c>
      <c r="G127" s="140">
        <f>'kc ijo'!D16</f>
        <v>0</v>
      </c>
      <c r="H127" s="140">
        <f>'kc ijo'!E16</f>
        <v>0</v>
      </c>
      <c r="I127" s="129">
        <f t="shared" si="35"/>
        <v>0</v>
      </c>
      <c r="J127" s="163">
        <f>'kc ijo'!F16</f>
        <v>0</v>
      </c>
      <c r="K127" s="163">
        <f>'kc ijo'!G16</f>
        <v>0</v>
      </c>
      <c r="L127" s="163">
        <f>'kc ijo'!H16</f>
        <v>0</v>
      </c>
      <c r="M127" s="163">
        <f>'kc ijo'!I16</f>
        <v>0</v>
      </c>
      <c r="N127" s="163">
        <f>'kc ijo'!J16</f>
        <v>1</v>
      </c>
      <c r="O127" s="163">
        <f>'kc ijo'!K16</f>
        <v>0</v>
      </c>
      <c r="P127" s="129">
        <f>SUM(J127:O127)</f>
        <v>1</v>
      </c>
      <c r="Q127" s="132">
        <f t="shared" si="37"/>
        <v>1</v>
      </c>
    </row>
    <row r="128" spans="1:17" ht="16.5" thickTop="1" thickBot="1" x14ac:dyDescent="0.3">
      <c r="A128" s="514" t="s">
        <v>26</v>
      </c>
      <c r="B128" s="515"/>
      <c r="C128" s="115">
        <f t="shared" ref="C128:H128" si="38">SUM(C120:C127)</f>
        <v>0</v>
      </c>
      <c r="D128" s="115">
        <f t="shared" si="38"/>
        <v>0</v>
      </c>
      <c r="E128" s="115">
        <f t="shared" si="38"/>
        <v>0</v>
      </c>
      <c r="F128" s="115">
        <f t="shared" si="38"/>
        <v>2</v>
      </c>
      <c r="G128" s="115">
        <f t="shared" si="38"/>
        <v>2</v>
      </c>
      <c r="H128" s="124">
        <f t="shared" si="38"/>
        <v>0</v>
      </c>
      <c r="I128" s="126">
        <f>SUM(I120:I127)</f>
        <v>4</v>
      </c>
      <c r="J128" s="136">
        <f t="shared" ref="J128:O128" si="39">SUM(J120:J127)</f>
        <v>0</v>
      </c>
      <c r="K128" s="115">
        <f t="shared" si="39"/>
        <v>2</v>
      </c>
      <c r="L128" s="115">
        <f t="shared" si="39"/>
        <v>14</v>
      </c>
      <c r="M128" s="115">
        <f t="shared" si="39"/>
        <v>1</v>
      </c>
      <c r="N128" s="115">
        <f t="shared" si="39"/>
        <v>1</v>
      </c>
      <c r="O128" s="124">
        <f t="shared" si="39"/>
        <v>0</v>
      </c>
      <c r="P128" s="126">
        <f>SUM(P120:P127)</f>
        <v>18</v>
      </c>
      <c r="Q128" s="133">
        <f>SUM(Q120:Q127)</f>
        <v>22</v>
      </c>
    </row>
    <row r="132" spans="1:17" ht="15.75" x14ac:dyDescent="0.25">
      <c r="A132" s="516" t="s">
        <v>123</v>
      </c>
      <c r="B132" s="516"/>
      <c r="C132" s="516"/>
      <c r="D132" s="516"/>
      <c r="E132" s="516"/>
      <c r="F132" s="516"/>
      <c r="G132" s="516"/>
      <c r="H132" s="516"/>
      <c r="I132" s="516"/>
      <c r="J132" s="516"/>
      <c r="K132" s="516"/>
      <c r="L132" s="516"/>
      <c r="M132" s="516"/>
      <c r="N132" s="516"/>
      <c r="O132" s="516"/>
      <c r="P132" s="516"/>
      <c r="Q132" s="516"/>
    </row>
    <row r="133" spans="1:17" ht="15.75" x14ac:dyDescent="0.25">
      <c r="A133" s="516" t="s">
        <v>82</v>
      </c>
      <c r="B133" s="516"/>
      <c r="C133" s="516"/>
      <c r="D133" s="516"/>
      <c r="E133" s="516"/>
      <c r="F133" s="516"/>
      <c r="G133" s="516"/>
      <c r="H133" s="516"/>
      <c r="I133" s="516"/>
      <c r="J133" s="516"/>
      <c r="K133" s="516"/>
      <c r="L133" s="516"/>
      <c r="M133" s="516"/>
      <c r="N133" s="516"/>
      <c r="O133" s="516"/>
      <c r="P133" s="516"/>
      <c r="Q133" s="516"/>
    </row>
    <row r="134" spans="1:17" ht="15.75" thickBot="1" x14ac:dyDescent="0.3">
      <c r="Q134" s="77" t="s">
        <v>1</v>
      </c>
    </row>
    <row r="135" spans="1:17" x14ac:dyDescent="0.25">
      <c r="A135" s="511" t="s">
        <v>2</v>
      </c>
      <c r="B135" s="513" t="s">
        <v>3</v>
      </c>
      <c r="C135" s="517" t="s">
        <v>114</v>
      </c>
      <c r="D135" s="518"/>
      <c r="E135" s="518"/>
      <c r="F135" s="518"/>
      <c r="G135" s="518"/>
      <c r="H135" s="518"/>
      <c r="I135" s="519" t="s">
        <v>84</v>
      </c>
      <c r="J135" s="518">
        <v>2016</v>
      </c>
      <c r="K135" s="518"/>
      <c r="L135" s="518"/>
      <c r="M135" s="518"/>
      <c r="N135" s="518"/>
      <c r="O135" s="518"/>
      <c r="P135" s="519" t="s">
        <v>85</v>
      </c>
      <c r="Q135" s="521" t="s">
        <v>5</v>
      </c>
    </row>
    <row r="136" spans="1:17" x14ac:dyDescent="0.25">
      <c r="A136" s="512"/>
      <c r="B136" s="499"/>
      <c r="C136" s="326" t="s">
        <v>15</v>
      </c>
      <c r="D136" s="326" t="s">
        <v>16</v>
      </c>
      <c r="E136" s="326" t="s">
        <v>17</v>
      </c>
      <c r="F136" s="326" t="s">
        <v>6</v>
      </c>
      <c r="G136" s="326" t="s">
        <v>77</v>
      </c>
      <c r="H136" s="122" t="s">
        <v>78</v>
      </c>
      <c r="I136" s="520"/>
      <c r="J136" s="112" t="s">
        <v>79</v>
      </c>
      <c r="K136" s="326" t="s">
        <v>10</v>
      </c>
      <c r="L136" s="326" t="s">
        <v>135</v>
      </c>
      <c r="M136" s="326" t="s">
        <v>12</v>
      </c>
      <c r="N136" s="326" t="s">
        <v>80</v>
      </c>
      <c r="O136" s="122" t="s">
        <v>81</v>
      </c>
      <c r="P136" s="520"/>
      <c r="Q136" s="522"/>
    </row>
    <row r="137" spans="1:17" ht="15.75" thickBot="1" x14ac:dyDescent="0.3">
      <c r="A137" s="114">
        <v>1</v>
      </c>
      <c r="B137" s="5">
        <v>2</v>
      </c>
      <c r="C137" s="5">
        <v>3</v>
      </c>
      <c r="D137" s="5">
        <v>4</v>
      </c>
      <c r="E137" s="5">
        <v>5</v>
      </c>
      <c r="F137" s="5">
        <v>6</v>
      </c>
      <c r="G137" s="5">
        <v>7</v>
      </c>
      <c r="H137" s="123">
        <v>8</v>
      </c>
      <c r="I137" s="125">
        <v>9</v>
      </c>
      <c r="J137" s="113">
        <v>10</v>
      </c>
      <c r="K137" s="5">
        <v>11</v>
      </c>
      <c r="L137" s="5">
        <v>12</v>
      </c>
      <c r="M137" s="5">
        <v>13</v>
      </c>
      <c r="N137" s="5">
        <v>14</v>
      </c>
      <c r="O137" s="123">
        <v>15</v>
      </c>
      <c r="P137" s="125">
        <v>16</v>
      </c>
      <c r="Q137" s="134">
        <v>17</v>
      </c>
    </row>
    <row r="138" spans="1:17" ht="15.75" thickTop="1" x14ac:dyDescent="0.25">
      <c r="A138" s="85">
        <v>1</v>
      </c>
      <c r="B138" s="7" t="s">
        <v>18</v>
      </c>
      <c r="C138" s="139">
        <v>0</v>
      </c>
      <c r="D138" s="139">
        <v>1</v>
      </c>
      <c r="E138" s="139">
        <v>0</v>
      </c>
      <c r="F138" s="139">
        <v>0</v>
      </c>
      <c r="G138" s="139">
        <v>0</v>
      </c>
      <c r="H138" s="139">
        <v>0</v>
      </c>
      <c r="I138" s="127">
        <v>1</v>
      </c>
      <c r="J138" s="162">
        <v>7</v>
      </c>
      <c r="K138" s="369">
        <v>248</v>
      </c>
      <c r="L138" s="162">
        <v>0</v>
      </c>
      <c r="M138" s="162">
        <v>0</v>
      </c>
      <c r="N138" s="162">
        <v>0</v>
      </c>
      <c r="O138" s="162">
        <v>0</v>
      </c>
      <c r="P138" s="127">
        <f>SUM(J138:O138)</f>
        <v>255</v>
      </c>
      <c r="Q138" s="130">
        <f>SUM(I138,P138)</f>
        <v>256</v>
      </c>
    </row>
    <row r="139" spans="1:17" x14ac:dyDescent="0.25">
      <c r="A139" s="86">
        <v>2</v>
      </c>
      <c r="B139" s="12" t="s">
        <v>19</v>
      </c>
      <c r="C139" s="60">
        <v>0</v>
      </c>
      <c r="D139" s="60">
        <v>0</v>
      </c>
      <c r="E139" s="60">
        <v>8</v>
      </c>
      <c r="F139" s="60">
        <v>0</v>
      </c>
      <c r="G139" s="60">
        <v>4</v>
      </c>
      <c r="H139" s="60">
        <v>14</v>
      </c>
      <c r="I139" s="128">
        <v>26</v>
      </c>
      <c r="J139" s="135">
        <v>92</v>
      </c>
      <c r="K139" s="345">
        <v>101</v>
      </c>
      <c r="L139" s="135">
        <v>4</v>
      </c>
      <c r="M139" s="135">
        <v>0</v>
      </c>
      <c r="N139" s="135">
        <v>0</v>
      </c>
      <c r="O139" s="164">
        <v>0</v>
      </c>
      <c r="P139" s="128">
        <f t="shared" ref="P139:P144" si="40">SUM(J139:O139)</f>
        <v>197</v>
      </c>
      <c r="Q139" s="131">
        <f t="shared" ref="Q139:Q145" si="41">SUM(I139,P139)</f>
        <v>223</v>
      </c>
    </row>
    <row r="140" spans="1:17" x14ac:dyDescent="0.25">
      <c r="A140" s="86">
        <v>3</v>
      </c>
      <c r="B140" s="7" t="s">
        <v>20</v>
      </c>
      <c r="C140" s="60">
        <v>0</v>
      </c>
      <c r="D140" s="60">
        <v>0</v>
      </c>
      <c r="E140" s="60">
        <v>0</v>
      </c>
      <c r="F140" s="60">
        <v>0</v>
      </c>
      <c r="G140" s="60">
        <v>0</v>
      </c>
      <c r="H140" s="60">
        <v>0</v>
      </c>
      <c r="I140" s="128">
        <v>0</v>
      </c>
      <c r="J140" s="135">
        <v>10</v>
      </c>
      <c r="K140" s="345">
        <v>15</v>
      </c>
      <c r="L140" s="135">
        <v>0</v>
      </c>
      <c r="M140" s="135">
        <v>0</v>
      </c>
      <c r="N140" s="135">
        <v>0</v>
      </c>
      <c r="O140" s="164">
        <v>0</v>
      </c>
      <c r="P140" s="128">
        <f t="shared" si="40"/>
        <v>25</v>
      </c>
      <c r="Q140" s="131">
        <f t="shared" si="41"/>
        <v>25</v>
      </c>
    </row>
    <row r="141" spans="1:17" x14ac:dyDescent="0.25">
      <c r="A141" s="87">
        <v>4</v>
      </c>
      <c r="B141" s="15" t="s">
        <v>21</v>
      </c>
      <c r="C141" s="60">
        <v>0</v>
      </c>
      <c r="D141" s="60">
        <v>2</v>
      </c>
      <c r="E141" s="60">
        <v>0</v>
      </c>
      <c r="F141" s="60">
        <v>1</v>
      </c>
      <c r="G141" s="60">
        <v>2</v>
      </c>
      <c r="H141" s="60">
        <v>16</v>
      </c>
      <c r="I141" s="128">
        <v>21</v>
      </c>
      <c r="J141" s="135">
        <v>182</v>
      </c>
      <c r="K141" s="345">
        <v>0</v>
      </c>
      <c r="L141" s="135">
        <v>0</v>
      </c>
      <c r="M141" s="135">
        <v>0</v>
      </c>
      <c r="N141" s="135">
        <v>0</v>
      </c>
      <c r="O141" s="164">
        <v>0</v>
      </c>
      <c r="P141" s="128">
        <f t="shared" si="40"/>
        <v>182</v>
      </c>
      <c r="Q141" s="131">
        <f t="shared" si="41"/>
        <v>203</v>
      </c>
    </row>
    <row r="142" spans="1:17" x14ac:dyDescent="0.25">
      <c r="A142" s="87">
        <v>5</v>
      </c>
      <c r="B142" s="19" t="s">
        <v>22</v>
      </c>
      <c r="C142" s="60">
        <v>0</v>
      </c>
      <c r="D142" s="60">
        <v>0</v>
      </c>
      <c r="E142" s="60">
        <v>0</v>
      </c>
      <c r="F142" s="60">
        <v>0</v>
      </c>
      <c r="G142" s="60">
        <v>0</v>
      </c>
      <c r="H142" s="60">
        <v>0</v>
      </c>
      <c r="I142" s="128">
        <v>0</v>
      </c>
      <c r="J142" s="135">
        <v>45</v>
      </c>
      <c r="K142" s="345">
        <v>119</v>
      </c>
      <c r="L142" s="135">
        <v>0</v>
      </c>
      <c r="M142" s="135">
        <v>0</v>
      </c>
      <c r="N142" s="135">
        <v>0</v>
      </c>
      <c r="O142" s="164">
        <v>0</v>
      </c>
      <c r="P142" s="128">
        <f t="shared" si="40"/>
        <v>164</v>
      </c>
      <c r="Q142" s="131">
        <f t="shared" si="41"/>
        <v>164</v>
      </c>
    </row>
    <row r="143" spans="1:17" x14ac:dyDescent="0.25">
      <c r="A143" s="87">
        <v>6</v>
      </c>
      <c r="B143" s="19" t="s">
        <v>23</v>
      </c>
      <c r="C143" s="60">
        <v>0</v>
      </c>
      <c r="D143" s="60">
        <v>7</v>
      </c>
      <c r="E143" s="60">
        <v>0</v>
      </c>
      <c r="F143" s="60">
        <v>5</v>
      </c>
      <c r="G143" s="60">
        <v>0</v>
      </c>
      <c r="H143" s="60">
        <v>0</v>
      </c>
      <c r="I143" s="128">
        <v>12</v>
      </c>
      <c r="J143" s="135">
        <v>36</v>
      </c>
      <c r="K143" s="345">
        <v>18</v>
      </c>
      <c r="L143" s="135">
        <v>0</v>
      </c>
      <c r="M143" s="135">
        <v>0</v>
      </c>
      <c r="N143" s="135">
        <v>0</v>
      </c>
      <c r="O143" s="164">
        <v>0</v>
      </c>
      <c r="P143" s="128">
        <f t="shared" si="40"/>
        <v>54</v>
      </c>
      <c r="Q143" s="131">
        <f t="shared" si="41"/>
        <v>66</v>
      </c>
    </row>
    <row r="144" spans="1:17" x14ac:dyDescent="0.25">
      <c r="A144" s="87">
        <v>7</v>
      </c>
      <c r="B144" s="19" t="s">
        <v>24</v>
      </c>
      <c r="C144" s="60">
        <v>92</v>
      </c>
      <c r="D144" s="60">
        <v>0</v>
      </c>
      <c r="E144" s="60">
        <v>0</v>
      </c>
      <c r="F144" s="60">
        <v>1</v>
      </c>
      <c r="G144" s="60">
        <v>4</v>
      </c>
      <c r="H144" s="60">
        <v>245</v>
      </c>
      <c r="I144" s="128">
        <v>342</v>
      </c>
      <c r="J144" s="135">
        <v>99</v>
      </c>
      <c r="K144" s="345">
        <v>1</v>
      </c>
      <c r="L144" s="135">
        <v>0</v>
      </c>
      <c r="M144" s="135">
        <v>0</v>
      </c>
      <c r="N144" s="135">
        <v>0</v>
      </c>
      <c r="O144" s="164">
        <v>0</v>
      </c>
      <c r="P144" s="128">
        <f t="shared" si="40"/>
        <v>100</v>
      </c>
      <c r="Q144" s="131">
        <f t="shared" si="41"/>
        <v>442</v>
      </c>
    </row>
    <row r="145" spans="1:17" ht="15.75" thickBot="1" x14ac:dyDescent="0.3">
      <c r="A145" s="88">
        <v>8</v>
      </c>
      <c r="B145" s="15" t="s">
        <v>25</v>
      </c>
      <c r="C145" s="140">
        <v>0</v>
      </c>
      <c r="D145" s="140">
        <v>0</v>
      </c>
      <c r="E145" s="140">
        <v>0</v>
      </c>
      <c r="F145" s="140">
        <v>25</v>
      </c>
      <c r="G145" s="140">
        <v>1</v>
      </c>
      <c r="H145" s="140">
        <v>42</v>
      </c>
      <c r="I145" s="129">
        <v>68</v>
      </c>
      <c r="J145" s="329">
        <v>64</v>
      </c>
      <c r="K145" s="370">
        <v>145</v>
      </c>
      <c r="L145" s="329">
        <v>0</v>
      </c>
      <c r="M145" s="329">
        <v>0</v>
      </c>
      <c r="N145" s="329">
        <v>0</v>
      </c>
      <c r="O145" s="329">
        <v>0</v>
      </c>
      <c r="P145" s="129">
        <f>SUM(J145:O145)</f>
        <v>209</v>
      </c>
      <c r="Q145" s="132">
        <f t="shared" si="41"/>
        <v>277</v>
      </c>
    </row>
    <row r="146" spans="1:17" ht="16.5" thickTop="1" thickBot="1" x14ac:dyDescent="0.3">
      <c r="A146" s="514" t="s">
        <v>26</v>
      </c>
      <c r="B146" s="515"/>
      <c r="C146" s="115">
        <f t="shared" ref="C146:I146" si="42">SUM(C138:C145)</f>
        <v>92</v>
      </c>
      <c r="D146" s="115">
        <f t="shared" si="42"/>
        <v>10</v>
      </c>
      <c r="E146" s="115">
        <f t="shared" si="42"/>
        <v>8</v>
      </c>
      <c r="F146" s="115">
        <f t="shared" si="42"/>
        <v>32</v>
      </c>
      <c r="G146" s="115">
        <f t="shared" si="42"/>
        <v>11</v>
      </c>
      <c r="H146" s="124">
        <f t="shared" si="42"/>
        <v>317</v>
      </c>
      <c r="I146" s="126">
        <f t="shared" si="42"/>
        <v>470</v>
      </c>
      <c r="J146" s="136">
        <f t="shared" ref="J146:O146" si="43">SUM(J138:J145)</f>
        <v>535</v>
      </c>
      <c r="K146" s="344">
        <f t="shared" si="43"/>
        <v>647</v>
      </c>
      <c r="L146" s="115">
        <f t="shared" si="43"/>
        <v>4</v>
      </c>
      <c r="M146" s="115">
        <f t="shared" si="43"/>
        <v>0</v>
      </c>
      <c r="N146" s="115">
        <f t="shared" si="43"/>
        <v>0</v>
      </c>
      <c r="O146" s="124">
        <f t="shared" si="43"/>
        <v>0</v>
      </c>
      <c r="P146" s="126">
        <f>SUM(P138:P145)</f>
        <v>1186</v>
      </c>
      <c r="Q146" s="133">
        <f>SUM(Q138:Q145)</f>
        <v>1656</v>
      </c>
    </row>
    <row r="147" spans="1:17" x14ac:dyDescent="0.25">
      <c r="A147" t="s">
        <v>133</v>
      </c>
    </row>
    <row r="149" spans="1:17" ht="15.75" x14ac:dyDescent="0.25">
      <c r="A149" s="516" t="s">
        <v>124</v>
      </c>
      <c r="B149" s="516"/>
      <c r="C149" s="516"/>
      <c r="D149" s="516"/>
      <c r="E149" s="516"/>
      <c r="F149" s="516"/>
      <c r="G149" s="516"/>
      <c r="H149" s="516"/>
      <c r="I149" s="516"/>
      <c r="J149" s="516"/>
      <c r="K149" s="516"/>
      <c r="L149" s="516"/>
      <c r="M149" s="516"/>
      <c r="N149" s="516"/>
      <c r="O149" s="516"/>
      <c r="P149" s="516"/>
      <c r="Q149" s="516"/>
    </row>
    <row r="150" spans="1:17" ht="15.75" x14ac:dyDescent="0.25">
      <c r="A150" s="516" t="s">
        <v>82</v>
      </c>
      <c r="B150" s="516"/>
      <c r="C150" s="516"/>
      <c r="D150" s="516"/>
      <c r="E150" s="516"/>
      <c r="F150" s="516"/>
      <c r="G150" s="516"/>
      <c r="H150" s="516"/>
      <c r="I150" s="516"/>
      <c r="J150" s="516"/>
      <c r="K150" s="516"/>
      <c r="L150" s="516"/>
      <c r="M150" s="516"/>
      <c r="N150" s="516"/>
      <c r="O150" s="516"/>
      <c r="P150" s="516"/>
      <c r="Q150" s="516"/>
    </row>
    <row r="151" spans="1:17" ht="15.75" thickBot="1" x14ac:dyDescent="0.3">
      <c r="Q151" s="77" t="s">
        <v>1</v>
      </c>
    </row>
    <row r="152" spans="1:17" x14ac:dyDescent="0.25">
      <c r="A152" s="511" t="s">
        <v>2</v>
      </c>
      <c r="B152" s="513" t="s">
        <v>3</v>
      </c>
      <c r="C152" s="517" t="s">
        <v>114</v>
      </c>
      <c r="D152" s="518"/>
      <c r="E152" s="518"/>
      <c r="F152" s="518"/>
      <c r="G152" s="518"/>
      <c r="H152" s="518"/>
      <c r="I152" s="519" t="s">
        <v>84</v>
      </c>
      <c r="J152" s="518">
        <v>2016</v>
      </c>
      <c r="K152" s="518"/>
      <c r="L152" s="518"/>
      <c r="M152" s="518"/>
      <c r="N152" s="518"/>
      <c r="O152" s="518"/>
      <c r="P152" s="519" t="s">
        <v>85</v>
      </c>
      <c r="Q152" s="521" t="s">
        <v>5</v>
      </c>
    </row>
    <row r="153" spans="1:17" x14ac:dyDescent="0.25">
      <c r="A153" s="512"/>
      <c r="B153" s="499"/>
      <c r="C153" s="326" t="s">
        <v>15</v>
      </c>
      <c r="D153" s="326" t="s">
        <v>16</v>
      </c>
      <c r="E153" s="326" t="s">
        <v>17</v>
      </c>
      <c r="F153" s="326" t="s">
        <v>6</v>
      </c>
      <c r="G153" s="326" t="s">
        <v>77</v>
      </c>
      <c r="H153" s="122" t="s">
        <v>78</v>
      </c>
      <c r="I153" s="520"/>
      <c r="J153" s="112" t="s">
        <v>79</v>
      </c>
      <c r="K153" s="326" t="s">
        <v>10</v>
      </c>
      <c r="L153" s="326" t="s">
        <v>11</v>
      </c>
      <c r="M153" s="326" t="s">
        <v>12</v>
      </c>
      <c r="N153" s="326" t="s">
        <v>80</v>
      </c>
      <c r="O153" s="122" t="s">
        <v>81</v>
      </c>
      <c r="P153" s="520"/>
      <c r="Q153" s="522"/>
    </row>
    <row r="154" spans="1:17" ht="15.75" thickBot="1" x14ac:dyDescent="0.3">
      <c r="A154" s="114">
        <v>1</v>
      </c>
      <c r="B154" s="5">
        <v>2</v>
      </c>
      <c r="C154" s="5">
        <v>3</v>
      </c>
      <c r="D154" s="5">
        <v>4</v>
      </c>
      <c r="E154" s="5">
        <v>5</v>
      </c>
      <c r="F154" s="5">
        <v>6</v>
      </c>
      <c r="G154" s="5">
        <v>7</v>
      </c>
      <c r="H154" s="123">
        <v>8</v>
      </c>
      <c r="I154" s="125">
        <v>9</v>
      </c>
      <c r="J154" s="113">
        <v>10</v>
      </c>
      <c r="K154" s="5">
        <v>11</v>
      </c>
      <c r="L154" s="5">
        <v>12</v>
      </c>
      <c r="M154" s="5">
        <v>13</v>
      </c>
      <c r="N154" s="5">
        <v>14</v>
      </c>
      <c r="O154" s="123">
        <v>15</v>
      </c>
      <c r="P154" s="125">
        <v>16</v>
      </c>
      <c r="Q154" s="134">
        <v>17</v>
      </c>
    </row>
    <row r="155" spans="1:17" ht="15.75" thickTop="1" x14ac:dyDescent="0.25">
      <c r="A155" s="85">
        <v>1</v>
      </c>
      <c r="B155" s="7" t="s">
        <v>18</v>
      </c>
      <c r="C155" s="139">
        <v>0</v>
      </c>
      <c r="D155" s="139">
        <v>0</v>
      </c>
      <c r="E155" s="139">
        <v>0</v>
      </c>
      <c r="F155" s="139">
        <v>0</v>
      </c>
      <c r="G155" s="139">
        <v>0</v>
      </c>
      <c r="H155" s="139">
        <v>0</v>
      </c>
      <c r="I155" s="127">
        <v>0</v>
      </c>
      <c r="J155" s="162">
        <v>0</v>
      </c>
      <c r="K155" s="162">
        <v>0</v>
      </c>
      <c r="L155" s="162">
        <v>0</v>
      </c>
      <c r="M155" s="162">
        <v>0</v>
      </c>
      <c r="N155" s="162">
        <v>0</v>
      </c>
      <c r="O155" s="162">
        <v>0</v>
      </c>
      <c r="P155" s="127">
        <f>SUM(J155:O155)</f>
        <v>0</v>
      </c>
      <c r="Q155" s="130">
        <f>SUM(I155,P155)</f>
        <v>0</v>
      </c>
    </row>
    <row r="156" spans="1:17" x14ac:dyDescent="0.25">
      <c r="A156" s="86">
        <v>2</v>
      </c>
      <c r="B156" s="12" t="s">
        <v>19</v>
      </c>
      <c r="C156" s="60">
        <v>0</v>
      </c>
      <c r="D156" s="60">
        <v>0</v>
      </c>
      <c r="E156" s="60">
        <v>0</v>
      </c>
      <c r="F156" s="60">
        <v>0</v>
      </c>
      <c r="G156" s="60">
        <v>0</v>
      </c>
      <c r="H156" s="60">
        <v>0</v>
      </c>
      <c r="I156" s="128">
        <v>0</v>
      </c>
      <c r="J156" s="135">
        <v>0</v>
      </c>
      <c r="K156" s="135">
        <v>0</v>
      </c>
      <c r="L156" s="135">
        <v>0</v>
      </c>
      <c r="M156" s="135">
        <v>0</v>
      </c>
      <c r="N156" s="135">
        <v>0</v>
      </c>
      <c r="O156" s="164">
        <v>0</v>
      </c>
      <c r="P156" s="128">
        <f t="shared" ref="P156:P161" si="44">SUM(J156:O156)</f>
        <v>0</v>
      </c>
      <c r="Q156" s="131">
        <f t="shared" ref="Q156:Q162" si="45">SUM(I156,P156)</f>
        <v>0</v>
      </c>
    </row>
    <row r="157" spans="1:17" x14ac:dyDescent="0.25">
      <c r="A157" s="86">
        <v>3</v>
      </c>
      <c r="B157" s="7" t="s">
        <v>20</v>
      </c>
      <c r="C157" s="60">
        <v>0</v>
      </c>
      <c r="D157" s="60">
        <v>0</v>
      </c>
      <c r="E157" s="60">
        <v>0</v>
      </c>
      <c r="F157" s="60">
        <v>0</v>
      </c>
      <c r="G157" s="60">
        <v>0</v>
      </c>
      <c r="H157" s="60">
        <v>0</v>
      </c>
      <c r="I157" s="128">
        <v>0</v>
      </c>
      <c r="J157" s="135">
        <v>15</v>
      </c>
      <c r="K157" s="135">
        <v>0</v>
      </c>
      <c r="L157" s="135">
        <v>0</v>
      </c>
      <c r="M157" s="135">
        <v>0</v>
      </c>
      <c r="N157" s="135">
        <v>0</v>
      </c>
      <c r="O157" s="164">
        <v>0</v>
      </c>
      <c r="P157" s="128">
        <f t="shared" si="44"/>
        <v>15</v>
      </c>
      <c r="Q157" s="131">
        <f t="shared" si="45"/>
        <v>15</v>
      </c>
    </row>
    <row r="158" spans="1:17" x14ac:dyDescent="0.25">
      <c r="A158" s="87">
        <v>4</v>
      </c>
      <c r="B158" s="15" t="s">
        <v>21</v>
      </c>
      <c r="C158" s="60">
        <v>0</v>
      </c>
      <c r="D158" s="60">
        <v>0</v>
      </c>
      <c r="E158" s="60">
        <v>0</v>
      </c>
      <c r="F158" s="60">
        <v>0</v>
      </c>
      <c r="G158" s="60">
        <v>0</v>
      </c>
      <c r="H158" s="60">
        <v>0</v>
      </c>
      <c r="I158" s="128">
        <v>0</v>
      </c>
      <c r="J158" s="135">
        <v>0</v>
      </c>
      <c r="K158" s="135">
        <v>0</v>
      </c>
      <c r="L158" s="135">
        <v>0</v>
      </c>
      <c r="M158" s="135">
        <v>0</v>
      </c>
      <c r="N158" s="135">
        <v>0</v>
      </c>
      <c r="O158" s="164">
        <v>0</v>
      </c>
      <c r="P158" s="128">
        <f t="shared" si="44"/>
        <v>0</v>
      </c>
      <c r="Q158" s="131">
        <f t="shared" si="45"/>
        <v>0</v>
      </c>
    </row>
    <row r="159" spans="1:17" x14ac:dyDescent="0.25">
      <c r="A159" s="87">
        <v>5</v>
      </c>
      <c r="B159" s="19" t="s">
        <v>22</v>
      </c>
      <c r="C159" s="60">
        <v>0</v>
      </c>
      <c r="D159" s="60">
        <v>0</v>
      </c>
      <c r="E159" s="60">
        <v>0</v>
      </c>
      <c r="F159" s="60">
        <v>0</v>
      </c>
      <c r="G159" s="60">
        <v>0</v>
      </c>
      <c r="H159" s="60">
        <v>0</v>
      </c>
      <c r="I159" s="128">
        <v>0</v>
      </c>
      <c r="J159" s="135">
        <v>0</v>
      </c>
      <c r="K159" s="135">
        <v>0</v>
      </c>
      <c r="L159" s="135">
        <v>0</v>
      </c>
      <c r="M159" s="135">
        <v>0</v>
      </c>
      <c r="N159" s="135">
        <v>0</v>
      </c>
      <c r="O159" s="164">
        <v>0</v>
      </c>
      <c r="P159" s="128">
        <f t="shared" si="44"/>
        <v>0</v>
      </c>
      <c r="Q159" s="131">
        <f t="shared" si="45"/>
        <v>0</v>
      </c>
    </row>
    <row r="160" spans="1:17" x14ac:dyDescent="0.25">
      <c r="A160" s="87">
        <v>6</v>
      </c>
      <c r="B160" s="19" t="s">
        <v>23</v>
      </c>
      <c r="C160" s="60">
        <v>0</v>
      </c>
      <c r="D160" s="60">
        <v>0</v>
      </c>
      <c r="E160" s="60">
        <v>0</v>
      </c>
      <c r="F160" s="60">
        <v>0</v>
      </c>
      <c r="G160" s="60">
        <v>0</v>
      </c>
      <c r="H160" s="60">
        <v>0</v>
      </c>
      <c r="I160" s="128">
        <v>0</v>
      </c>
      <c r="J160" s="135">
        <v>0</v>
      </c>
      <c r="K160" s="135">
        <v>0</v>
      </c>
      <c r="L160" s="135">
        <v>0</v>
      </c>
      <c r="M160" s="135">
        <v>0</v>
      </c>
      <c r="N160" s="135">
        <v>0</v>
      </c>
      <c r="O160" s="164">
        <v>0</v>
      </c>
      <c r="P160" s="128">
        <f t="shared" si="44"/>
        <v>0</v>
      </c>
      <c r="Q160" s="131">
        <f t="shared" si="45"/>
        <v>0</v>
      </c>
    </row>
    <row r="161" spans="1:17" x14ac:dyDescent="0.25">
      <c r="A161" s="87">
        <v>7</v>
      </c>
      <c r="B161" s="19" t="s">
        <v>24</v>
      </c>
      <c r="C161" s="60">
        <v>0</v>
      </c>
      <c r="D161" s="60">
        <v>0</v>
      </c>
      <c r="E161" s="60">
        <v>0</v>
      </c>
      <c r="F161" s="60">
        <v>0</v>
      </c>
      <c r="G161" s="60">
        <v>0</v>
      </c>
      <c r="H161" s="60">
        <v>0</v>
      </c>
      <c r="I161" s="128">
        <v>0</v>
      </c>
      <c r="J161" s="135">
        <v>0</v>
      </c>
      <c r="K161" s="135">
        <v>0</v>
      </c>
      <c r="L161" s="135">
        <v>0</v>
      </c>
      <c r="M161" s="135">
        <v>0</v>
      </c>
      <c r="N161" s="135">
        <v>0</v>
      </c>
      <c r="O161" s="164">
        <v>0</v>
      </c>
      <c r="P161" s="128">
        <f t="shared" si="44"/>
        <v>0</v>
      </c>
      <c r="Q161" s="131">
        <f t="shared" si="45"/>
        <v>0</v>
      </c>
    </row>
    <row r="162" spans="1:17" ht="15.75" thickBot="1" x14ac:dyDescent="0.3">
      <c r="A162" s="88">
        <v>8</v>
      </c>
      <c r="B162" s="15" t="s">
        <v>25</v>
      </c>
      <c r="C162" s="140">
        <v>0</v>
      </c>
      <c r="D162" s="140">
        <v>0</v>
      </c>
      <c r="E162" s="140">
        <v>0</v>
      </c>
      <c r="F162" s="140">
        <v>0</v>
      </c>
      <c r="G162" s="140">
        <v>0</v>
      </c>
      <c r="H162" s="140">
        <v>0</v>
      </c>
      <c r="I162" s="129">
        <v>0</v>
      </c>
      <c r="J162" s="329">
        <v>0</v>
      </c>
      <c r="K162" s="329">
        <v>0</v>
      </c>
      <c r="L162" s="329">
        <v>0</v>
      </c>
      <c r="M162" s="329">
        <v>0</v>
      </c>
      <c r="N162" s="329">
        <v>0</v>
      </c>
      <c r="O162" s="329">
        <v>0</v>
      </c>
      <c r="P162" s="129">
        <f>SUM(J162:O162)</f>
        <v>0</v>
      </c>
      <c r="Q162" s="132">
        <f t="shared" si="45"/>
        <v>0</v>
      </c>
    </row>
    <row r="163" spans="1:17" ht="16.5" thickTop="1" thickBot="1" x14ac:dyDescent="0.3">
      <c r="A163" s="514" t="s">
        <v>26</v>
      </c>
      <c r="B163" s="515"/>
      <c r="C163" s="115">
        <f t="shared" ref="C163:I163" si="46">SUM(C155:C162)</f>
        <v>0</v>
      </c>
      <c r="D163" s="115">
        <f t="shared" si="46"/>
        <v>0</v>
      </c>
      <c r="E163" s="115">
        <f t="shared" si="46"/>
        <v>0</v>
      </c>
      <c r="F163" s="115">
        <f t="shared" si="46"/>
        <v>0</v>
      </c>
      <c r="G163" s="115">
        <f t="shared" si="46"/>
        <v>0</v>
      </c>
      <c r="H163" s="124">
        <f t="shared" si="46"/>
        <v>0</v>
      </c>
      <c r="I163" s="126">
        <f t="shared" si="46"/>
        <v>0</v>
      </c>
      <c r="J163" s="136">
        <f t="shared" ref="J163:O163" si="47">SUM(J155:J162)</f>
        <v>15</v>
      </c>
      <c r="K163" s="115">
        <f t="shared" si="47"/>
        <v>0</v>
      </c>
      <c r="L163" s="115">
        <f t="shared" si="47"/>
        <v>0</v>
      </c>
      <c r="M163" s="115">
        <f t="shared" si="47"/>
        <v>0</v>
      </c>
      <c r="N163" s="115">
        <f t="shared" si="47"/>
        <v>0</v>
      </c>
      <c r="O163" s="124">
        <f t="shared" si="47"/>
        <v>0</v>
      </c>
      <c r="P163" s="126">
        <f>SUM(P155:P162)</f>
        <v>15</v>
      </c>
      <c r="Q163" s="133">
        <f>SUM(Q155:Q162)</f>
        <v>15</v>
      </c>
    </row>
    <row r="165" spans="1:17" ht="15.75" x14ac:dyDescent="0.25">
      <c r="A165" s="516" t="s">
        <v>125</v>
      </c>
      <c r="B165" s="516"/>
      <c r="C165" s="516"/>
      <c r="D165" s="516"/>
      <c r="E165" s="516"/>
      <c r="F165" s="516"/>
      <c r="G165" s="516"/>
      <c r="H165" s="516"/>
      <c r="I165" s="516"/>
      <c r="J165" s="516"/>
      <c r="K165" s="516"/>
      <c r="L165" s="516"/>
      <c r="M165" s="516"/>
      <c r="N165" s="516"/>
      <c r="O165" s="516"/>
      <c r="P165" s="516"/>
      <c r="Q165" s="516"/>
    </row>
    <row r="166" spans="1:17" ht="15.75" x14ac:dyDescent="0.25">
      <c r="A166" s="516" t="s">
        <v>82</v>
      </c>
      <c r="B166" s="516"/>
      <c r="C166" s="516"/>
      <c r="D166" s="516"/>
      <c r="E166" s="516"/>
      <c r="F166" s="516"/>
      <c r="G166" s="516"/>
      <c r="H166" s="516"/>
      <c r="I166" s="516"/>
      <c r="J166" s="516"/>
      <c r="K166" s="516"/>
      <c r="L166" s="516"/>
      <c r="M166" s="516"/>
      <c r="N166" s="516"/>
      <c r="O166" s="516"/>
      <c r="P166" s="516"/>
      <c r="Q166" s="516"/>
    </row>
    <row r="167" spans="1:17" ht="15.75" thickBot="1" x14ac:dyDescent="0.3">
      <c r="Q167" s="77" t="s">
        <v>1</v>
      </c>
    </row>
    <row r="168" spans="1:17" x14ac:dyDescent="0.25">
      <c r="A168" s="511" t="s">
        <v>2</v>
      </c>
      <c r="B168" s="513" t="s">
        <v>3</v>
      </c>
      <c r="C168" s="517" t="s">
        <v>114</v>
      </c>
      <c r="D168" s="518"/>
      <c r="E168" s="518"/>
      <c r="F168" s="518"/>
      <c r="G168" s="518"/>
      <c r="H168" s="518"/>
      <c r="I168" s="519" t="s">
        <v>84</v>
      </c>
      <c r="J168" s="518">
        <v>2016</v>
      </c>
      <c r="K168" s="518"/>
      <c r="L168" s="518"/>
      <c r="M168" s="518"/>
      <c r="N168" s="518"/>
      <c r="O168" s="518"/>
      <c r="P168" s="519" t="s">
        <v>85</v>
      </c>
      <c r="Q168" s="521" t="s">
        <v>5</v>
      </c>
    </row>
    <row r="169" spans="1:17" x14ac:dyDescent="0.25">
      <c r="A169" s="512"/>
      <c r="B169" s="499"/>
      <c r="C169" s="326" t="s">
        <v>15</v>
      </c>
      <c r="D169" s="326" t="s">
        <v>16</v>
      </c>
      <c r="E169" s="326" t="s">
        <v>17</v>
      </c>
      <c r="F169" s="326" t="s">
        <v>6</v>
      </c>
      <c r="G169" s="326" t="s">
        <v>77</v>
      </c>
      <c r="H169" s="122" t="s">
        <v>78</v>
      </c>
      <c r="I169" s="520"/>
      <c r="J169" s="112" t="s">
        <v>79</v>
      </c>
      <c r="K169" s="326" t="s">
        <v>10</v>
      </c>
      <c r="L169" s="326" t="s">
        <v>11</v>
      </c>
      <c r="M169" s="326" t="s">
        <v>12</v>
      </c>
      <c r="N169" s="326" t="s">
        <v>80</v>
      </c>
      <c r="O169" s="122" t="s">
        <v>81</v>
      </c>
      <c r="P169" s="520"/>
      <c r="Q169" s="522"/>
    </row>
    <row r="170" spans="1:17" ht="15.75" thickBot="1" x14ac:dyDescent="0.3">
      <c r="A170" s="114">
        <v>1</v>
      </c>
      <c r="B170" s="5">
        <v>2</v>
      </c>
      <c r="C170" s="5">
        <v>3</v>
      </c>
      <c r="D170" s="5">
        <v>4</v>
      </c>
      <c r="E170" s="5">
        <v>5</v>
      </c>
      <c r="F170" s="5">
        <v>6</v>
      </c>
      <c r="G170" s="5">
        <v>7</v>
      </c>
      <c r="H170" s="123">
        <v>8</v>
      </c>
      <c r="I170" s="125">
        <v>9</v>
      </c>
      <c r="J170" s="113">
        <v>10</v>
      </c>
      <c r="K170" s="5">
        <v>11</v>
      </c>
      <c r="L170" s="5">
        <v>12</v>
      </c>
      <c r="M170" s="5">
        <v>13</v>
      </c>
      <c r="N170" s="5">
        <v>14</v>
      </c>
      <c r="O170" s="123">
        <v>15</v>
      </c>
      <c r="P170" s="125">
        <v>16</v>
      </c>
      <c r="Q170" s="134">
        <v>17</v>
      </c>
    </row>
    <row r="171" spans="1:17" ht="15.75" thickTop="1" x14ac:dyDescent="0.25">
      <c r="A171" s="85">
        <v>1</v>
      </c>
      <c r="B171" s="7" t="s">
        <v>18</v>
      </c>
      <c r="C171" s="139">
        <v>0</v>
      </c>
      <c r="D171" s="139">
        <v>0</v>
      </c>
      <c r="E171" s="139">
        <v>0</v>
      </c>
      <c r="F171" s="139">
        <v>0</v>
      </c>
      <c r="G171" s="332" t="s">
        <v>119</v>
      </c>
      <c r="H171" s="332" t="s">
        <v>120</v>
      </c>
      <c r="I171" s="333" t="s">
        <v>128</v>
      </c>
      <c r="J171" s="162">
        <v>0</v>
      </c>
      <c r="K171" s="162">
        <v>0</v>
      </c>
      <c r="L171" s="162">
        <v>0</v>
      </c>
      <c r="M171" s="162">
        <v>0</v>
      </c>
      <c r="N171" s="162">
        <v>0</v>
      </c>
      <c r="O171" s="162">
        <v>0</v>
      </c>
      <c r="P171" s="333" t="s">
        <v>128</v>
      </c>
      <c r="Q171" s="346" t="s">
        <v>128</v>
      </c>
    </row>
    <row r="172" spans="1:17" x14ac:dyDescent="0.25">
      <c r="A172" s="86">
        <v>2</v>
      </c>
      <c r="B172" s="12" t="s">
        <v>19</v>
      </c>
      <c r="C172" s="60">
        <v>0</v>
      </c>
      <c r="D172" s="60">
        <v>0</v>
      </c>
      <c r="E172" s="60">
        <v>0</v>
      </c>
      <c r="F172" s="60">
        <v>0</v>
      </c>
      <c r="G172" s="340">
        <v>0</v>
      </c>
      <c r="H172" s="340">
        <v>0</v>
      </c>
      <c r="I172" s="334">
        <v>0</v>
      </c>
      <c r="J172" s="135">
        <v>0</v>
      </c>
      <c r="K172" s="135">
        <v>0</v>
      </c>
      <c r="L172" s="135">
        <v>0</v>
      </c>
      <c r="M172" s="135">
        <v>0</v>
      </c>
      <c r="N172" s="135">
        <v>0</v>
      </c>
      <c r="O172" s="164">
        <v>0</v>
      </c>
      <c r="P172" s="128">
        <f t="shared" ref="P172:P177" si="48">SUM(J172:O172)</f>
        <v>0</v>
      </c>
      <c r="Q172" s="131">
        <f t="shared" ref="Q172:Q177" si="49">SUM(I172,P172)</f>
        <v>0</v>
      </c>
    </row>
    <row r="173" spans="1:17" x14ac:dyDescent="0.25">
      <c r="A173" s="86">
        <v>3</v>
      </c>
      <c r="B173" s="7" t="s">
        <v>20</v>
      </c>
      <c r="C173" s="60">
        <v>0</v>
      </c>
      <c r="D173" s="60">
        <v>0</v>
      </c>
      <c r="E173" s="60">
        <v>0</v>
      </c>
      <c r="F173" s="60">
        <v>0</v>
      </c>
      <c r="G173" s="340">
        <v>0</v>
      </c>
      <c r="H173" s="340">
        <v>0</v>
      </c>
      <c r="I173" s="334">
        <v>0</v>
      </c>
      <c r="J173" s="135">
        <v>1</v>
      </c>
      <c r="K173" s="135">
        <v>0</v>
      </c>
      <c r="L173" s="135">
        <v>0</v>
      </c>
      <c r="M173" s="135">
        <v>0</v>
      </c>
      <c r="N173" s="135">
        <v>0</v>
      </c>
      <c r="O173" s="164">
        <v>0</v>
      </c>
      <c r="P173" s="128">
        <f t="shared" si="48"/>
        <v>1</v>
      </c>
      <c r="Q173" s="131">
        <f t="shared" si="49"/>
        <v>1</v>
      </c>
    </row>
    <row r="174" spans="1:17" x14ac:dyDescent="0.25">
      <c r="A174" s="87">
        <v>4</v>
      </c>
      <c r="B174" s="15" t="s">
        <v>21</v>
      </c>
      <c r="C174" s="60">
        <v>0</v>
      </c>
      <c r="D174" s="60">
        <v>0</v>
      </c>
      <c r="E174" s="60">
        <v>0</v>
      </c>
      <c r="F174" s="60">
        <v>0</v>
      </c>
      <c r="G174" s="340">
        <v>0</v>
      </c>
      <c r="H174" s="340">
        <v>0</v>
      </c>
      <c r="I174" s="334">
        <v>0</v>
      </c>
      <c r="J174" s="135">
        <v>1</v>
      </c>
      <c r="K174" s="135">
        <v>0</v>
      </c>
      <c r="L174" s="135">
        <v>0</v>
      </c>
      <c r="M174" s="135">
        <v>0</v>
      </c>
      <c r="N174" s="135">
        <v>0</v>
      </c>
      <c r="O174" s="164">
        <v>0</v>
      </c>
      <c r="P174" s="128">
        <f t="shared" si="48"/>
        <v>1</v>
      </c>
      <c r="Q174" s="131">
        <f t="shared" si="49"/>
        <v>1</v>
      </c>
    </row>
    <row r="175" spans="1:17" x14ac:dyDescent="0.25">
      <c r="A175" s="87">
        <v>5</v>
      </c>
      <c r="B175" s="19" t="s">
        <v>22</v>
      </c>
      <c r="C175" s="60">
        <v>0</v>
      </c>
      <c r="D175" s="60">
        <v>0</v>
      </c>
      <c r="E175" s="60">
        <v>1</v>
      </c>
      <c r="F175" s="60">
        <v>0</v>
      </c>
      <c r="G175" s="340">
        <v>0</v>
      </c>
      <c r="H175" s="340">
        <v>0</v>
      </c>
      <c r="I175" s="334">
        <v>1</v>
      </c>
      <c r="J175" s="135">
        <v>0</v>
      </c>
      <c r="K175" s="135">
        <v>0</v>
      </c>
      <c r="L175" s="135">
        <v>0</v>
      </c>
      <c r="M175" s="135">
        <v>0</v>
      </c>
      <c r="N175" s="135">
        <v>0</v>
      </c>
      <c r="O175" s="164">
        <v>0</v>
      </c>
      <c r="P175" s="128">
        <f t="shared" si="48"/>
        <v>0</v>
      </c>
      <c r="Q175" s="131">
        <f t="shared" si="49"/>
        <v>1</v>
      </c>
    </row>
    <row r="176" spans="1:17" x14ac:dyDescent="0.25">
      <c r="A176" s="87">
        <v>6</v>
      </c>
      <c r="B176" s="19" t="s">
        <v>23</v>
      </c>
      <c r="C176" s="60">
        <v>0</v>
      </c>
      <c r="D176" s="60">
        <v>0</v>
      </c>
      <c r="E176" s="60">
        <v>0</v>
      </c>
      <c r="F176" s="60">
        <v>0</v>
      </c>
      <c r="G176" s="340">
        <v>0</v>
      </c>
      <c r="H176" s="340">
        <v>0</v>
      </c>
      <c r="I176" s="334">
        <v>0</v>
      </c>
      <c r="J176" s="135">
        <v>0</v>
      </c>
      <c r="K176" s="135">
        <v>0</v>
      </c>
      <c r="L176" s="135">
        <v>0</v>
      </c>
      <c r="M176" s="135">
        <v>0</v>
      </c>
      <c r="N176" s="135">
        <v>0</v>
      </c>
      <c r="O176" s="164">
        <v>0</v>
      </c>
      <c r="P176" s="128">
        <f t="shared" si="48"/>
        <v>0</v>
      </c>
      <c r="Q176" s="131">
        <f t="shared" si="49"/>
        <v>0</v>
      </c>
    </row>
    <row r="177" spans="1:17" x14ac:dyDescent="0.25">
      <c r="A177" s="87">
        <v>7</v>
      </c>
      <c r="B177" s="19" t="s">
        <v>24</v>
      </c>
      <c r="C177" s="60">
        <v>0</v>
      </c>
      <c r="D177" s="60">
        <v>0</v>
      </c>
      <c r="E177" s="60">
        <v>0</v>
      </c>
      <c r="F177" s="60">
        <v>0</v>
      </c>
      <c r="G177" s="340">
        <v>0</v>
      </c>
      <c r="H177" s="340">
        <v>0</v>
      </c>
      <c r="I177" s="334">
        <v>0</v>
      </c>
      <c r="J177" s="135">
        <v>0</v>
      </c>
      <c r="K177" s="135">
        <v>0</v>
      </c>
      <c r="L177" s="135">
        <v>0</v>
      </c>
      <c r="M177" s="135">
        <v>0</v>
      </c>
      <c r="N177" s="135">
        <v>0</v>
      </c>
      <c r="O177" s="164">
        <v>0</v>
      </c>
      <c r="P177" s="128">
        <f t="shared" si="48"/>
        <v>0</v>
      </c>
      <c r="Q177" s="131">
        <f t="shared" si="49"/>
        <v>0</v>
      </c>
    </row>
    <row r="178" spans="1:17" ht="15.75" thickBot="1" x14ac:dyDescent="0.3">
      <c r="A178" s="88">
        <v>8</v>
      </c>
      <c r="B178" s="15" t="s">
        <v>25</v>
      </c>
      <c r="C178" s="140">
        <v>0</v>
      </c>
      <c r="D178" s="140">
        <v>0</v>
      </c>
      <c r="E178" s="140">
        <v>0</v>
      </c>
      <c r="F178" s="140">
        <v>0</v>
      </c>
      <c r="G178" s="339">
        <v>0</v>
      </c>
      <c r="H178" s="339" t="s">
        <v>121</v>
      </c>
      <c r="I178" s="335" t="s">
        <v>121</v>
      </c>
      <c r="J178" s="329">
        <v>0</v>
      </c>
      <c r="K178" s="329">
        <v>0</v>
      </c>
      <c r="L178" s="329">
        <v>0</v>
      </c>
      <c r="M178" s="329">
        <v>0</v>
      </c>
      <c r="N178" s="329">
        <v>0</v>
      </c>
      <c r="O178" s="329">
        <v>0</v>
      </c>
      <c r="P178" s="335" t="s">
        <v>121</v>
      </c>
      <c r="Q178" s="347" t="s">
        <v>121</v>
      </c>
    </row>
    <row r="179" spans="1:17" ht="16.5" thickTop="1" thickBot="1" x14ac:dyDescent="0.3">
      <c r="A179" s="514" t="s">
        <v>26</v>
      </c>
      <c r="B179" s="515"/>
      <c r="C179" s="115">
        <f>SUM(C171:C178)</f>
        <v>0</v>
      </c>
      <c r="D179" s="115">
        <f>SUM(D171:D178)</f>
        <v>0</v>
      </c>
      <c r="E179" s="115">
        <f>SUM(E171:E178)</f>
        <v>1</v>
      </c>
      <c r="F179" s="115">
        <f>SUM(F171:F178)</f>
        <v>0</v>
      </c>
      <c r="G179" s="336" t="s">
        <v>119</v>
      </c>
      <c r="H179" s="337" t="s">
        <v>127</v>
      </c>
      <c r="I179" s="338">
        <v>11</v>
      </c>
      <c r="J179" s="136">
        <f t="shared" ref="J179:O179" si="50">SUM(J171:J178)</f>
        <v>2</v>
      </c>
      <c r="K179" s="115">
        <f t="shared" si="50"/>
        <v>0</v>
      </c>
      <c r="L179" s="115">
        <f t="shared" si="50"/>
        <v>0</v>
      </c>
      <c r="M179" s="115">
        <f t="shared" si="50"/>
        <v>0</v>
      </c>
      <c r="N179" s="115">
        <f t="shared" si="50"/>
        <v>0</v>
      </c>
      <c r="O179" s="124">
        <f t="shared" si="50"/>
        <v>0</v>
      </c>
      <c r="P179" s="126">
        <v>12</v>
      </c>
      <c r="Q179" s="133">
        <v>13</v>
      </c>
    </row>
    <row r="180" spans="1:17" x14ac:dyDescent="0.25">
      <c r="A180" s="100" t="s">
        <v>75</v>
      </c>
      <c r="B180" s="97"/>
      <c r="C180" s="330"/>
      <c r="D180" s="330"/>
      <c r="E180" s="330"/>
      <c r="F180" s="330"/>
      <c r="G180" s="330"/>
      <c r="H180" s="330"/>
      <c r="I180" s="330"/>
      <c r="J180" s="331"/>
      <c r="K180" s="330"/>
      <c r="L180" s="330"/>
      <c r="M180" s="330"/>
      <c r="N180" s="330"/>
      <c r="O180" s="330"/>
      <c r="P180" s="330"/>
      <c r="Q180" s="330"/>
    </row>
    <row r="182" spans="1:17" ht="15.75" x14ac:dyDescent="0.25">
      <c r="A182" s="516" t="s">
        <v>126</v>
      </c>
      <c r="B182" s="516"/>
      <c r="C182" s="516"/>
      <c r="D182" s="516"/>
      <c r="E182" s="516"/>
      <c r="F182" s="516"/>
      <c r="G182" s="516"/>
      <c r="H182" s="516"/>
      <c r="I182" s="516"/>
      <c r="J182" s="516"/>
      <c r="K182" s="516"/>
      <c r="L182" s="516"/>
      <c r="M182" s="516"/>
      <c r="N182" s="516"/>
      <c r="O182" s="516"/>
      <c r="P182" s="516"/>
      <c r="Q182" s="516"/>
    </row>
    <row r="183" spans="1:17" ht="15.75" x14ac:dyDescent="0.25">
      <c r="A183" s="516" t="s">
        <v>82</v>
      </c>
      <c r="B183" s="516"/>
      <c r="C183" s="516"/>
      <c r="D183" s="516"/>
      <c r="E183" s="516"/>
      <c r="F183" s="516"/>
      <c r="G183" s="516"/>
      <c r="H183" s="516"/>
      <c r="I183" s="516"/>
      <c r="J183" s="516"/>
      <c r="K183" s="516"/>
      <c r="L183" s="516"/>
      <c r="M183" s="516"/>
      <c r="N183" s="516"/>
      <c r="O183" s="516"/>
      <c r="P183" s="516"/>
      <c r="Q183" s="516"/>
    </row>
    <row r="184" spans="1:17" ht="15.75" thickBot="1" x14ac:dyDescent="0.3">
      <c r="Q184" s="77" t="s">
        <v>1</v>
      </c>
    </row>
    <row r="185" spans="1:17" x14ac:dyDescent="0.25">
      <c r="A185" s="511" t="s">
        <v>2</v>
      </c>
      <c r="B185" s="513" t="s">
        <v>3</v>
      </c>
      <c r="C185" s="517" t="s">
        <v>114</v>
      </c>
      <c r="D185" s="518"/>
      <c r="E185" s="518"/>
      <c r="F185" s="518"/>
      <c r="G185" s="518"/>
      <c r="H185" s="518"/>
      <c r="I185" s="519" t="s">
        <v>84</v>
      </c>
      <c r="J185" s="518">
        <v>2016</v>
      </c>
      <c r="K185" s="518"/>
      <c r="L185" s="518"/>
      <c r="M185" s="518"/>
      <c r="N185" s="518"/>
      <c r="O185" s="518"/>
      <c r="P185" s="519" t="s">
        <v>85</v>
      </c>
      <c r="Q185" s="521" t="s">
        <v>5</v>
      </c>
    </row>
    <row r="186" spans="1:17" x14ac:dyDescent="0.25">
      <c r="A186" s="512"/>
      <c r="B186" s="499"/>
      <c r="C186" s="326" t="s">
        <v>15</v>
      </c>
      <c r="D186" s="326" t="s">
        <v>16</v>
      </c>
      <c r="E186" s="326" t="s">
        <v>17</v>
      </c>
      <c r="F186" s="326" t="s">
        <v>6</v>
      </c>
      <c r="G186" s="326" t="s">
        <v>77</v>
      </c>
      <c r="H186" s="122" t="s">
        <v>78</v>
      </c>
      <c r="I186" s="520"/>
      <c r="J186" s="112" t="s">
        <v>79</v>
      </c>
      <c r="K186" s="326" t="s">
        <v>10</v>
      </c>
      <c r="L186" s="326" t="s">
        <v>11</v>
      </c>
      <c r="M186" s="326" t="s">
        <v>12</v>
      </c>
      <c r="N186" s="326" t="s">
        <v>80</v>
      </c>
      <c r="O186" s="122" t="s">
        <v>81</v>
      </c>
      <c r="P186" s="520"/>
      <c r="Q186" s="522"/>
    </row>
    <row r="187" spans="1:17" ht="15.75" thickBot="1" x14ac:dyDescent="0.3">
      <c r="A187" s="114">
        <v>1</v>
      </c>
      <c r="B187" s="5">
        <v>2</v>
      </c>
      <c r="C187" s="5">
        <v>3</v>
      </c>
      <c r="D187" s="5">
        <v>4</v>
      </c>
      <c r="E187" s="5">
        <v>5</v>
      </c>
      <c r="F187" s="5">
        <v>6</v>
      </c>
      <c r="G187" s="5">
        <v>7</v>
      </c>
      <c r="H187" s="123">
        <v>8</v>
      </c>
      <c r="I187" s="125">
        <v>9</v>
      </c>
      <c r="J187" s="113">
        <v>10</v>
      </c>
      <c r="K187" s="5">
        <v>11</v>
      </c>
      <c r="L187" s="5">
        <v>12</v>
      </c>
      <c r="M187" s="5">
        <v>13</v>
      </c>
      <c r="N187" s="5">
        <v>14</v>
      </c>
      <c r="O187" s="123">
        <v>15</v>
      </c>
      <c r="P187" s="125">
        <v>16</v>
      </c>
      <c r="Q187" s="134">
        <v>17</v>
      </c>
    </row>
    <row r="188" spans="1:17" ht="15.75" thickTop="1" x14ac:dyDescent="0.25">
      <c r="A188" s="85">
        <v>1</v>
      </c>
      <c r="B188" s="7" t="s">
        <v>18</v>
      </c>
      <c r="C188" s="139">
        <v>0</v>
      </c>
      <c r="D188" s="139">
        <v>0</v>
      </c>
      <c r="E188" s="139">
        <v>0</v>
      </c>
      <c r="F188" s="139">
        <v>0</v>
      </c>
      <c r="G188" s="139">
        <v>0</v>
      </c>
      <c r="H188" s="139">
        <v>0</v>
      </c>
      <c r="I188" s="127">
        <v>0</v>
      </c>
      <c r="J188" s="162">
        <v>0</v>
      </c>
      <c r="K188" s="162">
        <v>0</v>
      </c>
      <c r="L188" s="162">
        <v>0</v>
      </c>
      <c r="M188" s="162">
        <v>0</v>
      </c>
      <c r="N188" s="162">
        <v>0</v>
      </c>
      <c r="O188" s="162">
        <v>0</v>
      </c>
      <c r="P188" s="127">
        <f>SUM(J188:O188)</f>
        <v>0</v>
      </c>
      <c r="Q188" s="130">
        <f>SUM(I188,P188)</f>
        <v>0</v>
      </c>
    </row>
    <row r="189" spans="1:17" x14ac:dyDescent="0.25">
      <c r="A189" s="86">
        <v>2</v>
      </c>
      <c r="B189" s="12" t="s">
        <v>19</v>
      </c>
      <c r="C189" s="60">
        <v>0</v>
      </c>
      <c r="D189" s="60">
        <v>0</v>
      </c>
      <c r="E189" s="60">
        <v>0</v>
      </c>
      <c r="F189" s="60">
        <v>1</v>
      </c>
      <c r="G189" s="60">
        <v>2</v>
      </c>
      <c r="H189" s="60">
        <v>19</v>
      </c>
      <c r="I189" s="128">
        <v>22</v>
      </c>
      <c r="J189" s="135">
        <v>3</v>
      </c>
      <c r="K189" s="135">
        <v>0</v>
      </c>
      <c r="L189" s="135">
        <v>0</v>
      </c>
      <c r="M189" s="135">
        <v>0</v>
      </c>
      <c r="N189" s="135">
        <v>0</v>
      </c>
      <c r="O189" s="164">
        <v>0</v>
      </c>
      <c r="P189" s="128">
        <f t="shared" ref="P189:P194" si="51">SUM(J189:O189)</f>
        <v>3</v>
      </c>
      <c r="Q189" s="131">
        <f t="shared" ref="Q189:Q195" si="52">SUM(I189,P189)</f>
        <v>25</v>
      </c>
    </row>
    <row r="190" spans="1:17" x14ac:dyDescent="0.25">
      <c r="A190" s="86">
        <v>3</v>
      </c>
      <c r="B190" s="7" t="s">
        <v>20</v>
      </c>
      <c r="C190" s="60">
        <v>0</v>
      </c>
      <c r="D190" s="60">
        <v>0</v>
      </c>
      <c r="E190" s="60">
        <v>0</v>
      </c>
      <c r="F190" s="60">
        <v>0</v>
      </c>
      <c r="G190" s="60">
        <v>0</v>
      </c>
      <c r="H190" s="340" t="s">
        <v>122</v>
      </c>
      <c r="I190" s="334" t="s">
        <v>122</v>
      </c>
      <c r="J190" s="135">
        <v>0</v>
      </c>
      <c r="K190" s="135">
        <v>0</v>
      </c>
      <c r="L190" s="135">
        <v>0</v>
      </c>
      <c r="M190" s="135">
        <v>0</v>
      </c>
      <c r="N190" s="135">
        <v>0</v>
      </c>
      <c r="O190" s="164">
        <v>0</v>
      </c>
      <c r="P190" s="128">
        <f t="shared" si="51"/>
        <v>0</v>
      </c>
      <c r="Q190" s="131">
        <f t="shared" si="52"/>
        <v>0</v>
      </c>
    </row>
    <row r="191" spans="1:17" x14ac:dyDescent="0.25">
      <c r="A191" s="87">
        <v>4</v>
      </c>
      <c r="B191" s="15" t="s">
        <v>21</v>
      </c>
      <c r="C191" s="60">
        <v>0</v>
      </c>
      <c r="D191" s="60">
        <v>0</v>
      </c>
      <c r="E191" s="60">
        <v>0</v>
      </c>
      <c r="F191" s="60">
        <v>0</v>
      </c>
      <c r="G191" s="60">
        <v>0</v>
      </c>
      <c r="H191" s="60">
        <v>0</v>
      </c>
      <c r="I191" s="128">
        <v>0</v>
      </c>
      <c r="J191" s="135">
        <v>0</v>
      </c>
      <c r="K191" s="135">
        <v>0</v>
      </c>
      <c r="L191" s="135">
        <v>0</v>
      </c>
      <c r="M191" s="135">
        <v>0</v>
      </c>
      <c r="N191" s="135">
        <v>0</v>
      </c>
      <c r="O191" s="164">
        <v>0</v>
      </c>
      <c r="P191" s="128">
        <f t="shared" si="51"/>
        <v>0</v>
      </c>
      <c r="Q191" s="131">
        <f t="shared" si="52"/>
        <v>0</v>
      </c>
    </row>
    <row r="192" spans="1:17" x14ac:dyDescent="0.25">
      <c r="A192" s="87">
        <v>5</v>
      </c>
      <c r="B192" s="19" t="s">
        <v>22</v>
      </c>
      <c r="C192" s="60">
        <v>0</v>
      </c>
      <c r="D192" s="60">
        <v>0</v>
      </c>
      <c r="E192" s="60">
        <v>6</v>
      </c>
      <c r="F192" s="60">
        <v>0</v>
      </c>
      <c r="G192" s="60">
        <v>4</v>
      </c>
      <c r="H192" s="60">
        <v>0</v>
      </c>
      <c r="I192" s="128">
        <v>10</v>
      </c>
      <c r="J192" s="135">
        <v>0</v>
      </c>
      <c r="K192" s="135">
        <v>0</v>
      </c>
      <c r="L192" s="135">
        <v>0</v>
      </c>
      <c r="M192" s="135">
        <v>0</v>
      </c>
      <c r="N192" s="135">
        <v>0</v>
      </c>
      <c r="O192" s="164">
        <v>0</v>
      </c>
      <c r="P192" s="128">
        <f t="shared" si="51"/>
        <v>0</v>
      </c>
      <c r="Q192" s="131">
        <f t="shared" si="52"/>
        <v>10</v>
      </c>
    </row>
    <row r="193" spans="1:17" x14ac:dyDescent="0.25">
      <c r="A193" s="87">
        <v>6</v>
      </c>
      <c r="B193" s="19" t="s">
        <v>23</v>
      </c>
      <c r="C193" s="60">
        <v>0</v>
      </c>
      <c r="D193" s="60">
        <v>0</v>
      </c>
      <c r="E193" s="60">
        <v>0</v>
      </c>
      <c r="F193" s="60">
        <v>0</v>
      </c>
      <c r="G193" s="60">
        <v>0</v>
      </c>
      <c r="H193" s="60">
        <v>0</v>
      </c>
      <c r="I193" s="128">
        <v>0</v>
      </c>
      <c r="J193" s="135">
        <v>0</v>
      </c>
      <c r="K193" s="135">
        <v>0</v>
      </c>
      <c r="L193" s="135">
        <v>0</v>
      </c>
      <c r="M193" s="135">
        <v>0</v>
      </c>
      <c r="N193" s="135">
        <v>0</v>
      </c>
      <c r="O193" s="164">
        <v>0</v>
      </c>
      <c r="P193" s="128">
        <f t="shared" si="51"/>
        <v>0</v>
      </c>
      <c r="Q193" s="131">
        <f t="shared" si="52"/>
        <v>0</v>
      </c>
    </row>
    <row r="194" spans="1:17" x14ac:dyDescent="0.25">
      <c r="A194" s="87">
        <v>7</v>
      </c>
      <c r="B194" s="19" t="s">
        <v>24</v>
      </c>
      <c r="C194" s="60">
        <v>0</v>
      </c>
      <c r="D194" s="60">
        <v>0</v>
      </c>
      <c r="E194" s="60">
        <v>0</v>
      </c>
      <c r="F194" s="60">
        <v>0</v>
      </c>
      <c r="G194" s="60">
        <v>0</v>
      </c>
      <c r="H194" s="60">
        <v>0</v>
      </c>
      <c r="I194" s="128">
        <v>0</v>
      </c>
      <c r="J194" s="135">
        <v>0</v>
      </c>
      <c r="K194" s="135">
        <v>0</v>
      </c>
      <c r="L194" s="135">
        <v>0</v>
      </c>
      <c r="M194" s="135">
        <v>0</v>
      </c>
      <c r="N194" s="135">
        <v>0</v>
      </c>
      <c r="O194" s="164">
        <v>0</v>
      </c>
      <c r="P194" s="128">
        <f t="shared" si="51"/>
        <v>0</v>
      </c>
      <c r="Q194" s="131">
        <f t="shared" si="52"/>
        <v>0</v>
      </c>
    </row>
    <row r="195" spans="1:17" ht="15.75" thickBot="1" x14ac:dyDescent="0.3">
      <c r="A195" s="88">
        <v>8</v>
      </c>
      <c r="B195" s="15" t="s">
        <v>25</v>
      </c>
      <c r="C195" s="140">
        <v>0</v>
      </c>
      <c r="D195" s="140">
        <v>0</v>
      </c>
      <c r="E195" s="140">
        <v>0</v>
      </c>
      <c r="F195" s="140">
        <v>0</v>
      </c>
      <c r="G195" s="140">
        <v>0</v>
      </c>
      <c r="H195" s="140">
        <v>0</v>
      </c>
      <c r="I195" s="129">
        <v>0</v>
      </c>
      <c r="J195" s="329">
        <v>0</v>
      </c>
      <c r="K195" s="329">
        <v>0</v>
      </c>
      <c r="L195" s="329">
        <v>0</v>
      </c>
      <c r="M195" s="329">
        <v>0</v>
      </c>
      <c r="N195" s="329">
        <v>0</v>
      </c>
      <c r="O195" s="329">
        <v>0</v>
      </c>
      <c r="P195" s="129">
        <f>SUM(J195:O195)</f>
        <v>0</v>
      </c>
      <c r="Q195" s="132">
        <f t="shared" si="52"/>
        <v>0</v>
      </c>
    </row>
    <row r="196" spans="1:17" ht="16.5" thickTop="1" thickBot="1" x14ac:dyDescent="0.3">
      <c r="A196" s="514" t="s">
        <v>26</v>
      </c>
      <c r="B196" s="515"/>
      <c r="C196" s="115">
        <f>SUM(C188:C195)</f>
        <v>0</v>
      </c>
      <c r="D196" s="115">
        <f>SUM(D188:D195)</f>
        <v>0</v>
      </c>
      <c r="E196" s="115">
        <f>SUM(E188:E195)</f>
        <v>6</v>
      </c>
      <c r="F196" s="115">
        <f>SUM(F188:F195)</f>
        <v>1</v>
      </c>
      <c r="G196" s="115">
        <f>SUM(G188:G195)</f>
        <v>6</v>
      </c>
      <c r="H196" s="124">
        <v>59</v>
      </c>
      <c r="I196" s="126">
        <v>72</v>
      </c>
      <c r="J196" s="136">
        <f t="shared" ref="J196:O196" si="53">SUM(J188:J195)</f>
        <v>3</v>
      </c>
      <c r="K196" s="115">
        <f t="shared" si="53"/>
        <v>0</v>
      </c>
      <c r="L196" s="115">
        <f t="shared" si="53"/>
        <v>0</v>
      </c>
      <c r="M196" s="115">
        <f t="shared" si="53"/>
        <v>0</v>
      </c>
      <c r="N196" s="115">
        <f t="shared" si="53"/>
        <v>0</v>
      </c>
      <c r="O196" s="124">
        <f t="shared" si="53"/>
        <v>0</v>
      </c>
      <c r="P196" s="126">
        <f>SUM(P188:P195)</f>
        <v>3</v>
      </c>
      <c r="Q196" s="133">
        <f>SUM(Q188:Q195)</f>
        <v>35</v>
      </c>
    </row>
    <row r="197" spans="1:17" x14ac:dyDescent="0.25">
      <c r="A197" s="100" t="s">
        <v>75</v>
      </c>
    </row>
    <row r="199" spans="1:17" ht="15.75" x14ac:dyDescent="0.25">
      <c r="A199" s="516" t="s">
        <v>129</v>
      </c>
      <c r="B199" s="516"/>
      <c r="C199" s="516"/>
      <c r="D199" s="516"/>
      <c r="E199" s="516"/>
      <c r="F199" s="516"/>
      <c r="G199" s="516"/>
      <c r="H199" s="516"/>
      <c r="I199" s="516"/>
      <c r="J199" s="516"/>
      <c r="K199" s="516"/>
      <c r="L199" s="516"/>
      <c r="M199" s="516"/>
      <c r="N199" s="516"/>
      <c r="O199" s="516"/>
      <c r="P199" s="516"/>
      <c r="Q199" s="516"/>
    </row>
    <row r="200" spans="1:17" ht="15.75" x14ac:dyDescent="0.25">
      <c r="A200" s="516" t="s">
        <v>82</v>
      </c>
      <c r="B200" s="516"/>
      <c r="C200" s="516"/>
      <c r="D200" s="516"/>
      <c r="E200" s="516"/>
      <c r="F200" s="516"/>
      <c r="G200" s="516"/>
      <c r="H200" s="516"/>
      <c r="I200" s="516"/>
      <c r="J200" s="516"/>
      <c r="K200" s="516"/>
      <c r="L200" s="516"/>
      <c r="M200" s="516"/>
      <c r="N200" s="516"/>
      <c r="O200" s="516"/>
      <c r="P200" s="516"/>
      <c r="Q200" s="516"/>
    </row>
    <row r="201" spans="1:17" ht="15.75" thickBot="1" x14ac:dyDescent="0.3">
      <c r="Q201" s="77" t="s">
        <v>1</v>
      </c>
    </row>
    <row r="202" spans="1:17" x14ac:dyDescent="0.25">
      <c r="A202" s="511" t="s">
        <v>2</v>
      </c>
      <c r="B202" s="513" t="s">
        <v>3</v>
      </c>
      <c r="C202" s="517" t="s">
        <v>114</v>
      </c>
      <c r="D202" s="518"/>
      <c r="E202" s="518"/>
      <c r="F202" s="518"/>
      <c r="G202" s="518"/>
      <c r="H202" s="518"/>
      <c r="I202" s="519" t="s">
        <v>84</v>
      </c>
      <c r="J202" s="518">
        <v>2016</v>
      </c>
      <c r="K202" s="518"/>
      <c r="L202" s="518"/>
      <c r="M202" s="518"/>
      <c r="N202" s="518"/>
      <c r="O202" s="518"/>
      <c r="P202" s="519" t="s">
        <v>85</v>
      </c>
      <c r="Q202" s="521" t="s">
        <v>5</v>
      </c>
    </row>
    <row r="203" spans="1:17" x14ac:dyDescent="0.25">
      <c r="A203" s="512"/>
      <c r="B203" s="499"/>
      <c r="C203" s="326" t="s">
        <v>15</v>
      </c>
      <c r="D203" s="326" t="s">
        <v>16</v>
      </c>
      <c r="E203" s="326" t="s">
        <v>17</v>
      </c>
      <c r="F203" s="326" t="s">
        <v>6</v>
      </c>
      <c r="G203" s="326" t="s">
        <v>77</v>
      </c>
      <c r="H203" s="122" t="s">
        <v>78</v>
      </c>
      <c r="I203" s="520"/>
      <c r="J203" s="112" t="s">
        <v>79</v>
      </c>
      <c r="K203" s="326" t="s">
        <v>10</v>
      </c>
      <c r="L203" s="326" t="s">
        <v>11</v>
      </c>
      <c r="M203" s="326" t="s">
        <v>12</v>
      </c>
      <c r="N203" s="326" t="s">
        <v>80</v>
      </c>
      <c r="O203" s="122" t="s">
        <v>81</v>
      </c>
      <c r="P203" s="520"/>
      <c r="Q203" s="522"/>
    </row>
    <row r="204" spans="1:17" ht="15.75" thickBot="1" x14ac:dyDescent="0.3">
      <c r="A204" s="114">
        <v>1</v>
      </c>
      <c r="B204" s="5">
        <v>2</v>
      </c>
      <c r="C204" s="5">
        <v>3</v>
      </c>
      <c r="D204" s="5">
        <v>4</v>
      </c>
      <c r="E204" s="5">
        <v>5</v>
      </c>
      <c r="F204" s="5">
        <v>6</v>
      </c>
      <c r="G204" s="5">
        <v>7</v>
      </c>
      <c r="H204" s="123">
        <v>8</v>
      </c>
      <c r="I204" s="125">
        <v>9</v>
      </c>
      <c r="J204" s="113">
        <v>10</v>
      </c>
      <c r="K204" s="5">
        <v>11</v>
      </c>
      <c r="L204" s="5">
        <v>12</v>
      </c>
      <c r="M204" s="5">
        <v>13</v>
      </c>
      <c r="N204" s="5">
        <v>14</v>
      </c>
      <c r="O204" s="123">
        <v>15</v>
      </c>
      <c r="P204" s="125">
        <v>16</v>
      </c>
      <c r="Q204" s="134">
        <v>17</v>
      </c>
    </row>
    <row r="205" spans="1:17" ht="15.75" thickTop="1" x14ac:dyDescent="0.25">
      <c r="A205" s="85">
        <v>1</v>
      </c>
      <c r="B205" s="7" t="s">
        <v>18</v>
      </c>
      <c r="C205" s="139">
        <v>0</v>
      </c>
      <c r="D205" s="139">
        <v>0</v>
      </c>
      <c r="E205" s="139">
        <v>0</v>
      </c>
      <c r="F205" s="139">
        <v>31</v>
      </c>
      <c r="G205" s="139">
        <v>0</v>
      </c>
      <c r="H205" s="139">
        <v>0</v>
      </c>
      <c r="I205" s="127">
        <v>31</v>
      </c>
      <c r="J205" s="162">
        <v>25</v>
      </c>
      <c r="K205" s="162">
        <v>0</v>
      </c>
      <c r="L205" s="162">
        <v>0</v>
      </c>
      <c r="M205" s="162">
        <v>0</v>
      </c>
      <c r="N205" s="162">
        <v>0</v>
      </c>
      <c r="O205" s="162">
        <v>0</v>
      </c>
      <c r="P205" s="127">
        <f>SUM(J205:O205)</f>
        <v>25</v>
      </c>
      <c r="Q205" s="130">
        <f>SUM(I205,P205)</f>
        <v>56</v>
      </c>
    </row>
    <row r="206" spans="1:17" x14ac:dyDescent="0.25">
      <c r="A206" s="86">
        <v>2</v>
      </c>
      <c r="B206" s="12" t="s">
        <v>19</v>
      </c>
      <c r="C206" s="60">
        <v>0</v>
      </c>
      <c r="D206" s="60">
        <v>0</v>
      </c>
      <c r="E206" s="60">
        <v>0</v>
      </c>
      <c r="F206" s="60">
        <v>125</v>
      </c>
      <c r="G206" s="60">
        <v>0</v>
      </c>
      <c r="H206" s="60">
        <v>0</v>
      </c>
      <c r="I206" s="128">
        <v>125</v>
      </c>
      <c r="J206" s="341">
        <v>0</v>
      </c>
      <c r="K206" s="135">
        <v>0</v>
      </c>
      <c r="L206" s="135">
        <v>0</v>
      </c>
      <c r="M206" s="135">
        <v>0</v>
      </c>
      <c r="N206" s="135">
        <v>0</v>
      </c>
      <c r="O206" s="164">
        <v>0</v>
      </c>
      <c r="P206" s="128">
        <f t="shared" ref="P206:P211" si="54">SUM(J206:O206)</f>
        <v>0</v>
      </c>
      <c r="Q206" s="131">
        <f t="shared" ref="Q206:Q212" si="55">SUM(I206,P206)</f>
        <v>125</v>
      </c>
    </row>
    <row r="207" spans="1:17" x14ac:dyDescent="0.25">
      <c r="A207" s="86">
        <v>3</v>
      </c>
      <c r="B207" s="7" t="s">
        <v>20</v>
      </c>
      <c r="C207" s="60">
        <v>0</v>
      </c>
      <c r="D207" s="60">
        <v>0</v>
      </c>
      <c r="E207" s="60">
        <v>0</v>
      </c>
      <c r="F207" s="60">
        <v>20</v>
      </c>
      <c r="G207" s="60">
        <v>0</v>
      </c>
      <c r="H207" s="340">
        <v>0</v>
      </c>
      <c r="I207" s="128">
        <v>20</v>
      </c>
      <c r="J207" s="341">
        <v>280</v>
      </c>
      <c r="K207" s="135">
        <v>0</v>
      </c>
      <c r="L207" s="135">
        <v>0</v>
      </c>
      <c r="M207" s="135">
        <v>0</v>
      </c>
      <c r="N207" s="135">
        <v>0</v>
      </c>
      <c r="O207" s="164">
        <v>0</v>
      </c>
      <c r="P207" s="128">
        <f t="shared" si="54"/>
        <v>280</v>
      </c>
      <c r="Q207" s="131">
        <f t="shared" si="55"/>
        <v>300</v>
      </c>
    </row>
    <row r="208" spans="1:17" x14ac:dyDescent="0.25">
      <c r="A208" s="87">
        <v>4</v>
      </c>
      <c r="B208" s="15" t="s">
        <v>21</v>
      </c>
      <c r="C208" s="60">
        <v>0</v>
      </c>
      <c r="D208" s="60">
        <v>0</v>
      </c>
      <c r="E208" s="60">
        <v>3</v>
      </c>
      <c r="F208" s="60">
        <v>22</v>
      </c>
      <c r="G208" s="60">
        <v>0</v>
      </c>
      <c r="H208" s="60">
        <v>18</v>
      </c>
      <c r="I208" s="128">
        <v>43</v>
      </c>
      <c r="J208" s="341">
        <v>0</v>
      </c>
      <c r="K208" s="135">
        <v>0</v>
      </c>
      <c r="L208" s="135">
        <v>0</v>
      </c>
      <c r="M208" s="135">
        <v>0</v>
      </c>
      <c r="N208" s="135">
        <v>0</v>
      </c>
      <c r="O208" s="164">
        <v>0</v>
      </c>
      <c r="P208" s="128">
        <f t="shared" si="54"/>
        <v>0</v>
      </c>
      <c r="Q208" s="131">
        <f t="shared" si="55"/>
        <v>43</v>
      </c>
    </row>
    <row r="209" spans="1:17" x14ac:dyDescent="0.25">
      <c r="A209" s="87">
        <v>5</v>
      </c>
      <c r="B209" s="19" t="s">
        <v>22</v>
      </c>
      <c r="C209" s="60">
        <v>0</v>
      </c>
      <c r="D209" s="60">
        <v>0</v>
      </c>
      <c r="E209" s="60">
        <v>0</v>
      </c>
      <c r="F209" s="60">
        <v>96</v>
      </c>
      <c r="G209" s="60">
        <v>0</v>
      </c>
      <c r="H209" s="60">
        <v>0</v>
      </c>
      <c r="I209" s="128">
        <v>96</v>
      </c>
      <c r="J209" s="341">
        <v>115</v>
      </c>
      <c r="K209" s="135">
        <v>0</v>
      </c>
      <c r="L209" s="135">
        <v>0</v>
      </c>
      <c r="M209" s="135">
        <v>0</v>
      </c>
      <c r="N209" s="135">
        <v>0</v>
      </c>
      <c r="O209" s="164">
        <v>0</v>
      </c>
      <c r="P209" s="128">
        <f t="shared" si="54"/>
        <v>115</v>
      </c>
      <c r="Q209" s="131">
        <f t="shared" si="55"/>
        <v>211</v>
      </c>
    </row>
    <row r="210" spans="1:17" x14ac:dyDescent="0.25">
      <c r="A210" s="87">
        <v>6</v>
      </c>
      <c r="B210" s="19" t="s">
        <v>23</v>
      </c>
      <c r="C210" s="60">
        <v>0</v>
      </c>
      <c r="D210" s="60">
        <v>0</v>
      </c>
      <c r="E210" s="60">
        <v>0</v>
      </c>
      <c r="F210" s="60">
        <v>15</v>
      </c>
      <c r="G210" s="60">
        <v>0</v>
      </c>
      <c r="H210" s="60">
        <v>20</v>
      </c>
      <c r="I210" s="128">
        <v>35</v>
      </c>
      <c r="J210" s="341">
        <v>30</v>
      </c>
      <c r="K210" s="135">
        <v>0</v>
      </c>
      <c r="L210" s="135">
        <v>0</v>
      </c>
      <c r="M210" s="135">
        <v>0</v>
      </c>
      <c r="N210" s="135">
        <v>0</v>
      </c>
      <c r="O210" s="164">
        <v>0</v>
      </c>
      <c r="P210" s="128">
        <f t="shared" si="54"/>
        <v>30</v>
      </c>
      <c r="Q210" s="131">
        <f t="shared" si="55"/>
        <v>65</v>
      </c>
    </row>
    <row r="211" spans="1:17" x14ac:dyDescent="0.25">
      <c r="A211" s="87">
        <v>7</v>
      </c>
      <c r="B211" s="19" t="s">
        <v>24</v>
      </c>
      <c r="C211" s="60">
        <v>1</v>
      </c>
      <c r="D211" s="60">
        <v>0</v>
      </c>
      <c r="E211" s="60">
        <v>0</v>
      </c>
      <c r="F211" s="60">
        <v>1</v>
      </c>
      <c r="G211" s="60">
        <v>0</v>
      </c>
      <c r="H211" s="60">
        <v>1</v>
      </c>
      <c r="I211" s="128">
        <v>3</v>
      </c>
      <c r="J211" s="341">
        <v>0</v>
      </c>
      <c r="K211" s="135">
        <v>0</v>
      </c>
      <c r="L211" s="135">
        <v>0</v>
      </c>
      <c r="M211" s="135">
        <v>0</v>
      </c>
      <c r="N211" s="135">
        <v>0</v>
      </c>
      <c r="O211" s="164">
        <v>0</v>
      </c>
      <c r="P211" s="128">
        <f t="shared" si="54"/>
        <v>0</v>
      </c>
      <c r="Q211" s="131">
        <f t="shared" si="55"/>
        <v>3</v>
      </c>
    </row>
    <row r="212" spans="1:17" ht="15.75" thickBot="1" x14ac:dyDescent="0.3">
      <c r="A212" s="88">
        <v>8</v>
      </c>
      <c r="B212" s="15" t="s">
        <v>25</v>
      </c>
      <c r="C212" s="140">
        <v>0</v>
      </c>
      <c r="D212" s="140">
        <v>75</v>
      </c>
      <c r="E212" s="140">
        <v>0</v>
      </c>
      <c r="F212" s="140">
        <v>0</v>
      </c>
      <c r="G212" s="140">
        <v>2</v>
      </c>
      <c r="H212" s="140">
        <v>75</v>
      </c>
      <c r="I212" s="129">
        <v>152</v>
      </c>
      <c r="J212" s="329">
        <v>248</v>
      </c>
      <c r="K212" s="329">
        <v>0</v>
      </c>
      <c r="L212" s="329">
        <v>0</v>
      </c>
      <c r="M212" s="329">
        <v>0</v>
      </c>
      <c r="N212" s="329">
        <v>0</v>
      </c>
      <c r="O212" s="329">
        <v>0</v>
      </c>
      <c r="P212" s="129">
        <f>SUM(J212:O212)</f>
        <v>248</v>
      </c>
      <c r="Q212" s="132">
        <f t="shared" si="55"/>
        <v>400</v>
      </c>
    </row>
    <row r="213" spans="1:17" ht="16.5" thickTop="1" thickBot="1" x14ac:dyDescent="0.3">
      <c r="A213" s="514" t="s">
        <v>26</v>
      </c>
      <c r="B213" s="515"/>
      <c r="C213" s="115">
        <f>SUM(C205:C212)</f>
        <v>1</v>
      </c>
      <c r="D213" s="115">
        <f>SUM(D205:D212)</f>
        <v>75</v>
      </c>
      <c r="E213" s="115">
        <f>SUM(E205:E212)</f>
        <v>3</v>
      </c>
      <c r="F213" s="115">
        <f>SUM(F205:F212)</f>
        <v>310</v>
      </c>
      <c r="G213" s="115">
        <f>SUM(G205:G212)</f>
        <v>2</v>
      </c>
      <c r="H213" s="124">
        <v>59</v>
      </c>
      <c r="I213" s="126">
        <f>SUM(I205:I212)</f>
        <v>505</v>
      </c>
      <c r="J213" s="136">
        <f t="shared" ref="J213:O213" si="56">SUM(J205:J212)</f>
        <v>698</v>
      </c>
      <c r="K213" s="115">
        <f t="shared" si="56"/>
        <v>0</v>
      </c>
      <c r="L213" s="115">
        <f t="shared" si="56"/>
        <v>0</v>
      </c>
      <c r="M213" s="115">
        <f t="shared" si="56"/>
        <v>0</v>
      </c>
      <c r="N213" s="115">
        <f t="shared" si="56"/>
        <v>0</v>
      </c>
      <c r="O213" s="124">
        <f t="shared" si="56"/>
        <v>0</v>
      </c>
      <c r="P213" s="126">
        <f>SUM(P205:P212)</f>
        <v>698</v>
      </c>
      <c r="Q213" s="133">
        <f>SUM(Q205:Q212)</f>
        <v>1203</v>
      </c>
    </row>
    <row r="215" spans="1:17" ht="15.75" x14ac:dyDescent="0.25">
      <c r="A215" s="516" t="s">
        <v>130</v>
      </c>
      <c r="B215" s="516"/>
      <c r="C215" s="516"/>
      <c r="D215" s="516"/>
      <c r="E215" s="516"/>
      <c r="F215" s="516"/>
      <c r="G215" s="516"/>
      <c r="H215" s="516"/>
      <c r="I215" s="516"/>
      <c r="J215" s="516"/>
      <c r="K215" s="516"/>
      <c r="L215" s="516"/>
      <c r="M215" s="516"/>
      <c r="N215" s="516"/>
      <c r="O215" s="516"/>
      <c r="P215" s="516"/>
      <c r="Q215" s="516"/>
    </row>
    <row r="216" spans="1:17" ht="15.75" x14ac:dyDescent="0.25">
      <c r="A216" s="516" t="s">
        <v>82</v>
      </c>
      <c r="B216" s="516"/>
      <c r="C216" s="516"/>
      <c r="D216" s="516"/>
      <c r="E216" s="516"/>
      <c r="F216" s="516"/>
      <c r="G216" s="516"/>
      <c r="H216" s="516"/>
      <c r="I216" s="516"/>
      <c r="J216" s="516"/>
      <c r="K216" s="516"/>
      <c r="L216" s="516"/>
      <c r="M216" s="516"/>
      <c r="N216" s="516"/>
      <c r="O216" s="516"/>
      <c r="P216" s="516"/>
      <c r="Q216" s="516"/>
    </row>
    <row r="217" spans="1:17" ht="15.75" thickBot="1" x14ac:dyDescent="0.3">
      <c r="Q217" s="77" t="s">
        <v>1</v>
      </c>
    </row>
    <row r="218" spans="1:17" x14ac:dyDescent="0.25">
      <c r="A218" s="511" t="s">
        <v>2</v>
      </c>
      <c r="B218" s="513" t="s">
        <v>3</v>
      </c>
      <c r="C218" s="517" t="s">
        <v>114</v>
      </c>
      <c r="D218" s="518"/>
      <c r="E218" s="518"/>
      <c r="F218" s="518"/>
      <c r="G218" s="518"/>
      <c r="H218" s="518"/>
      <c r="I218" s="519" t="s">
        <v>84</v>
      </c>
      <c r="J218" s="518">
        <v>2016</v>
      </c>
      <c r="K218" s="518"/>
      <c r="L218" s="518"/>
      <c r="M218" s="518"/>
      <c r="N218" s="518"/>
      <c r="O218" s="518"/>
      <c r="P218" s="519" t="s">
        <v>85</v>
      </c>
      <c r="Q218" s="521" t="s">
        <v>5</v>
      </c>
    </row>
    <row r="219" spans="1:17" x14ac:dyDescent="0.25">
      <c r="A219" s="512"/>
      <c r="B219" s="499"/>
      <c r="C219" s="326" t="s">
        <v>15</v>
      </c>
      <c r="D219" s="326" t="s">
        <v>16</v>
      </c>
      <c r="E219" s="326" t="s">
        <v>17</v>
      </c>
      <c r="F219" s="326" t="s">
        <v>6</v>
      </c>
      <c r="G219" s="326" t="s">
        <v>77</v>
      </c>
      <c r="H219" s="122" t="s">
        <v>78</v>
      </c>
      <c r="I219" s="520"/>
      <c r="J219" s="112" t="s">
        <v>79</v>
      </c>
      <c r="K219" s="326" t="s">
        <v>10</v>
      </c>
      <c r="L219" s="326" t="s">
        <v>11</v>
      </c>
      <c r="M219" s="326" t="s">
        <v>12</v>
      </c>
      <c r="N219" s="326" t="s">
        <v>80</v>
      </c>
      <c r="O219" s="122" t="s">
        <v>81</v>
      </c>
      <c r="P219" s="520"/>
      <c r="Q219" s="522"/>
    </row>
    <row r="220" spans="1:17" ht="15.75" thickBot="1" x14ac:dyDescent="0.3">
      <c r="A220" s="114">
        <v>1</v>
      </c>
      <c r="B220" s="5">
        <v>2</v>
      </c>
      <c r="C220" s="5">
        <v>3</v>
      </c>
      <c r="D220" s="5">
        <v>4</v>
      </c>
      <c r="E220" s="5">
        <v>5</v>
      </c>
      <c r="F220" s="5">
        <v>6</v>
      </c>
      <c r="G220" s="5">
        <v>7</v>
      </c>
      <c r="H220" s="123">
        <v>8</v>
      </c>
      <c r="I220" s="125">
        <v>9</v>
      </c>
      <c r="J220" s="113">
        <v>10</v>
      </c>
      <c r="K220" s="5">
        <v>11</v>
      </c>
      <c r="L220" s="5">
        <v>12</v>
      </c>
      <c r="M220" s="5">
        <v>13</v>
      </c>
      <c r="N220" s="5">
        <v>14</v>
      </c>
      <c r="O220" s="123">
        <v>15</v>
      </c>
      <c r="P220" s="125">
        <v>16</v>
      </c>
      <c r="Q220" s="134">
        <v>17</v>
      </c>
    </row>
    <row r="221" spans="1:17" ht="15.75" thickTop="1" x14ac:dyDescent="0.25">
      <c r="A221" s="85">
        <v>1</v>
      </c>
      <c r="B221" s="7" t="s">
        <v>18</v>
      </c>
      <c r="C221" s="139">
        <v>0</v>
      </c>
      <c r="D221" s="139">
        <v>0</v>
      </c>
      <c r="E221" s="139">
        <v>0</v>
      </c>
      <c r="F221" s="139">
        <v>0</v>
      </c>
      <c r="G221" s="139">
        <v>0</v>
      </c>
      <c r="H221" s="139">
        <v>185</v>
      </c>
      <c r="I221" s="127">
        <v>185</v>
      </c>
      <c r="J221" s="162">
        <v>31</v>
      </c>
      <c r="K221" s="162">
        <v>0</v>
      </c>
      <c r="L221" s="162">
        <v>0</v>
      </c>
      <c r="M221" s="162">
        <v>0</v>
      </c>
      <c r="N221" s="162">
        <v>0</v>
      </c>
      <c r="O221" s="162">
        <v>0</v>
      </c>
      <c r="P221" s="127">
        <f>SUM(J221:O221)</f>
        <v>31</v>
      </c>
      <c r="Q221" s="130">
        <f>SUM(I221,P221)</f>
        <v>216</v>
      </c>
    </row>
    <row r="222" spans="1:17" x14ac:dyDescent="0.25">
      <c r="A222" s="86">
        <v>2</v>
      </c>
      <c r="B222" s="12" t="s">
        <v>19</v>
      </c>
      <c r="C222" s="60">
        <v>0</v>
      </c>
      <c r="D222" s="60">
        <v>0</v>
      </c>
      <c r="E222" s="60">
        <v>0</v>
      </c>
      <c r="F222" s="60">
        <v>0</v>
      </c>
      <c r="G222" s="60">
        <v>0</v>
      </c>
      <c r="H222" s="60">
        <v>0</v>
      </c>
      <c r="I222" s="128">
        <v>0</v>
      </c>
      <c r="J222" s="341">
        <v>0</v>
      </c>
      <c r="K222" s="135">
        <v>0</v>
      </c>
      <c r="L222" s="135">
        <v>0</v>
      </c>
      <c r="M222" s="135">
        <v>0</v>
      </c>
      <c r="N222" s="135">
        <v>0</v>
      </c>
      <c r="O222" s="164">
        <v>0</v>
      </c>
      <c r="P222" s="128">
        <f t="shared" ref="P222:P227" si="57">SUM(J222:O222)</f>
        <v>0</v>
      </c>
      <c r="Q222" s="131">
        <f t="shared" ref="Q222:Q228" si="58">SUM(I222,P222)</f>
        <v>0</v>
      </c>
    </row>
    <row r="223" spans="1:17" x14ac:dyDescent="0.25">
      <c r="A223" s="86">
        <v>3</v>
      </c>
      <c r="B223" s="7" t="s">
        <v>20</v>
      </c>
      <c r="C223" s="60">
        <v>0</v>
      </c>
      <c r="D223" s="60">
        <v>0</v>
      </c>
      <c r="E223" s="60">
        <v>0</v>
      </c>
      <c r="F223" s="60">
        <v>0</v>
      </c>
      <c r="G223" s="60">
        <v>0</v>
      </c>
      <c r="H223" s="340">
        <v>275</v>
      </c>
      <c r="I223" s="128">
        <v>275</v>
      </c>
      <c r="J223" s="341">
        <v>20</v>
      </c>
      <c r="K223" s="135">
        <v>0</v>
      </c>
      <c r="L223" s="135">
        <v>0</v>
      </c>
      <c r="M223" s="135">
        <v>0</v>
      </c>
      <c r="N223" s="135">
        <v>0</v>
      </c>
      <c r="O223" s="164">
        <v>0</v>
      </c>
      <c r="P223" s="128">
        <f t="shared" si="57"/>
        <v>20</v>
      </c>
      <c r="Q223" s="131">
        <f t="shared" si="58"/>
        <v>295</v>
      </c>
    </row>
    <row r="224" spans="1:17" x14ac:dyDescent="0.25">
      <c r="A224" s="87">
        <v>4</v>
      </c>
      <c r="B224" s="15" t="s">
        <v>21</v>
      </c>
      <c r="C224" s="60">
        <v>0</v>
      </c>
      <c r="D224" s="60">
        <v>1</v>
      </c>
      <c r="E224" s="60">
        <v>1</v>
      </c>
      <c r="F224" s="60">
        <v>0</v>
      </c>
      <c r="G224" s="60">
        <v>5</v>
      </c>
      <c r="H224" s="60">
        <v>141</v>
      </c>
      <c r="I224" s="128">
        <v>148</v>
      </c>
      <c r="J224" s="341">
        <v>5</v>
      </c>
      <c r="K224" s="135">
        <v>0</v>
      </c>
      <c r="L224" s="135">
        <v>0</v>
      </c>
      <c r="M224" s="135">
        <v>0</v>
      </c>
      <c r="N224" s="135">
        <v>0</v>
      </c>
      <c r="O224" s="164">
        <v>0</v>
      </c>
      <c r="P224" s="128">
        <f t="shared" si="57"/>
        <v>5</v>
      </c>
      <c r="Q224" s="131">
        <f t="shared" si="58"/>
        <v>153</v>
      </c>
    </row>
    <row r="225" spans="1:17" x14ac:dyDescent="0.25">
      <c r="A225" s="87">
        <v>5</v>
      </c>
      <c r="B225" s="19" t="s">
        <v>22</v>
      </c>
      <c r="C225" s="60">
        <v>0</v>
      </c>
      <c r="D225" s="60">
        <v>0</v>
      </c>
      <c r="E225" s="60">
        <v>2</v>
      </c>
      <c r="F225" s="60">
        <v>0</v>
      </c>
      <c r="G225" s="60">
        <v>0</v>
      </c>
      <c r="H225" s="60">
        <v>102</v>
      </c>
      <c r="I225" s="128">
        <v>104</v>
      </c>
      <c r="J225" s="341">
        <v>96</v>
      </c>
      <c r="K225" s="135">
        <v>0</v>
      </c>
      <c r="L225" s="135">
        <v>0</v>
      </c>
      <c r="M225" s="135">
        <v>0</v>
      </c>
      <c r="N225" s="135">
        <v>0</v>
      </c>
      <c r="O225" s="164">
        <v>0</v>
      </c>
      <c r="P225" s="128">
        <f t="shared" si="57"/>
        <v>96</v>
      </c>
      <c r="Q225" s="131">
        <f t="shared" si="58"/>
        <v>200</v>
      </c>
    </row>
    <row r="226" spans="1:17" x14ac:dyDescent="0.25">
      <c r="A226" s="87">
        <v>6</v>
      </c>
      <c r="B226" s="19" t="s">
        <v>23</v>
      </c>
      <c r="C226" s="60">
        <v>4</v>
      </c>
      <c r="D226" s="60">
        <v>0</v>
      </c>
      <c r="E226" s="60">
        <v>0</v>
      </c>
      <c r="F226" s="60">
        <v>0</v>
      </c>
      <c r="G226" s="60">
        <v>15</v>
      </c>
      <c r="H226" s="60">
        <v>65</v>
      </c>
      <c r="I226" s="128">
        <v>84</v>
      </c>
      <c r="J226" s="341">
        <v>0</v>
      </c>
      <c r="K226" s="135">
        <v>0</v>
      </c>
      <c r="L226" s="135">
        <v>0</v>
      </c>
      <c r="M226" s="135">
        <v>0</v>
      </c>
      <c r="N226" s="135">
        <v>0</v>
      </c>
      <c r="O226" s="164">
        <v>0</v>
      </c>
      <c r="P226" s="128">
        <f t="shared" si="57"/>
        <v>0</v>
      </c>
      <c r="Q226" s="131">
        <f t="shared" si="58"/>
        <v>84</v>
      </c>
    </row>
    <row r="227" spans="1:17" x14ac:dyDescent="0.25">
      <c r="A227" s="87">
        <v>7</v>
      </c>
      <c r="B227" s="19" t="s">
        <v>24</v>
      </c>
      <c r="C227" s="60">
        <v>0</v>
      </c>
      <c r="D227" s="60">
        <v>0</v>
      </c>
      <c r="E227" s="60">
        <v>0</v>
      </c>
      <c r="F227" s="60">
        <v>0</v>
      </c>
      <c r="G227" s="60">
        <v>0</v>
      </c>
      <c r="H227" s="60">
        <v>1</v>
      </c>
      <c r="I227" s="128">
        <v>1</v>
      </c>
      <c r="J227" s="341">
        <v>0</v>
      </c>
      <c r="K227" s="135">
        <v>0</v>
      </c>
      <c r="L227" s="135">
        <v>0</v>
      </c>
      <c r="M227" s="135">
        <v>0</v>
      </c>
      <c r="N227" s="135">
        <v>0</v>
      </c>
      <c r="O227" s="164">
        <v>0</v>
      </c>
      <c r="P227" s="128">
        <f t="shared" si="57"/>
        <v>0</v>
      </c>
      <c r="Q227" s="131">
        <f t="shared" si="58"/>
        <v>1</v>
      </c>
    </row>
    <row r="228" spans="1:17" ht="15.75" thickBot="1" x14ac:dyDescent="0.3">
      <c r="A228" s="88">
        <v>8</v>
      </c>
      <c r="B228" s="15" t="s">
        <v>25</v>
      </c>
      <c r="C228" s="140">
        <v>0</v>
      </c>
      <c r="D228" s="140">
        <v>0</v>
      </c>
      <c r="E228" s="140">
        <v>0</v>
      </c>
      <c r="F228" s="140">
        <v>0</v>
      </c>
      <c r="G228" s="140">
        <v>0</v>
      </c>
      <c r="H228" s="140">
        <v>332</v>
      </c>
      <c r="I228" s="129">
        <v>332</v>
      </c>
      <c r="J228" s="329">
        <v>0</v>
      </c>
      <c r="K228" s="329">
        <v>0</v>
      </c>
      <c r="L228" s="329">
        <v>0</v>
      </c>
      <c r="M228" s="329">
        <v>0</v>
      </c>
      <c r="N228" s="329">
        <v>0</v>
      </c>
      <c r="O228" s="329">
        <v>0</v>
      </c>
      <c r="P228" s="129">
        <f>SUM(J228:O228)</f>
        <v>0</v>
      </c>
      <c r="Q228" s="132">
        <f t="shared" si="58"/>
        <v>332</v>
      </c>
    </row>
    <row r="229" spans="1:17" ht="16.5" thickTop="1" thickBot="1" x14ac:dyDescent="0.3">
      <c r="A229" s="514" t="s">
        <v>26</v>
      </c>
      <c r="B229" s="515"/>
      <c r="C229" s="115">
        <f t="shared" ref="C229:I229" si="59">SUM(C221:C228)</f>
        <v>4</v>
      </c>
      <c r="D229" s="115">
        <f t="shared" si="59"/>
        <v>1</v>
      </c>
      <c r="E229" s="115">
        <f t="shared" si="59"/>
        <v>3</v>
      </c>
      <c r="F229" s="115">
        <f t="shared" si="59"/>
        <v>0</v>
      </c>
      <c r="G229" s="115">
        <f t="shared" si="59"/>
        <v>20</v>
      </c>
      <c r="H229" s="124">
        <f t="shared" si="59"/>
        <v>1101</v>
      </c>
      <c r="I229" s="126">
        <f t="shared" si="59"/>
        <v>1129</v>
      </c>
      <c r="J229" s="136">
        <f t="shared" ref="J229:O229" si="60">SUM(J221:J228)</f>
        <v>152</v>
      </c>
      <c r="K229" s="115">
        <f t="shared" si="60"/>
        <v>0</v>
      </c>
      <c r="L229" s="115">
        <f t="shared" si="60"/>
        <v>0</v>
      </c>
      <c r="M229" s="115">
        <f t="shared" si="60"/>
        <v>0</v>
      </c>
      <c r="N229" s="115">
        <f t="shared" si="60"/>
        <v>0</v>
      </c>
      <c r="O229" s="124">
        <f t="shared" si="60"/>
        <v>0</v>
      </c>
      <c r="P229" s="126">
        <f>SUM(P221:P228)</f>
        <v>152</v>
      </c>
      <c r="Q229" s="133">
        <f>SUM(Q221:Q228)</f>
        <v>1281</v>
      </c>
    </row>
    <row r="231" spans="1:17" ht="15.75" x14ac:dyDescent="0.25">
      <c r="A231" s="516" t="s">
        <v>131</v>
      </c>
      <c r="B231" s="516"/>
      <c r="C231" s="516"/>
      <c r="D231" s="516"/>
      <c r="E231" s="516"/>
      <c r="F231" s="516"/>
      <c r="G231" s="516"/>
      <c r="H231" s="516"/>
      <c r="I231" s="516"/>
      <c r="J231" s="516"/>
      <c r="K231" s="516"/>
      <c r="L231" s="516"/>
      <c r="M231" s="516"/>
      <c r="N231" s="516"/>
      <c r="O231" s="516"/>
      <c r="P231" s="516"/>
      <c r="Q231" s="516"/>
    </row>
    <row r="232" spans="1:17" ht="15.75" x14ac:dyDescent="0.25">
      <c r="A232" s="516" t="s">
        <v>82</v>
      </c>
      <c r="B232" s="516"/>
      <c r="C232" s="516"/>
      <c r="D232" s="516"/>
      <c r="E232" s="516"/>
      <c r="F232" s="516"/>
      <c r="G232" s="516"/>
      <c r="H232" s="516"/>
      <c r="I232" s="516"/>
      <c r="J232" s="516"/>
      <c r="K232" s="516"/>
      <c r="L232" s="516"/>
      <c r="M232" s="516"/>
      <c r="N232" s="516"/>
      <c r="O232" s="516"/>
      <c r="P232" s="516"/>
      <c r="Q232" s="516"/>
    </row>
    <row r="233" spans="1:17" ht="15.75" thickBot="1" x14ac:dyDescent="0.3">
      <c r="Q233" s="77" t="s">
        <v>1</v>
      </c>
    </row>
    <row r="234" spans="1:17" x14ac:dyDescent="0.25">
      <c r="A234" s="511" t="s">
        <v>2</v>
      </c>
      <c r="B234" s="513" t="s">
        <v>3</v>
      </c>
      <c r="C234" s="517" t="s">
        <v>114</v>
      </c>
      <c r="D234" s="518"/>
      <c r="E234" s="518"/>
      <c r="F234" s="518"/>
      <c r="G234" s="518"/>
      <c r="H234" s="518"/>
      <c r="I234" s="519" t="s">
        <v>84</v>
      </c>
      <c r="J234" s="518">
        <v>2016</v>
      </c>
      <c r="K234" s="518"/>
      <c r="L234" s="518"/>
      <c r="M234" s="518"/>
      <c r="N234" s="518"/>
      <c r="O234" s="518"/>
      <c r="P234" s="519" t="s">
        <v>85</v>
      </c>
      <c r="Q234" s="521" t="s">
        <v>5</v>
      </c>
    </row>
    <row r="235" spans="1:17" x14ac:dyDescent="0.25">
      <c r="A235" s="512"/>
      <c r="B235" s="499"/>
      <c r="C235" s="326" t="s">
        <v>15</v>
      </c>
      <c r="D235" s="326" t="s">
        <v>16</v>
      </c>
      <c r="E235" s="326" t="s">
        <v>17</v>
      </c>
      <c r="F235" s="326" t="s">
        <v>6</v>
      </c>
      <c r="G235" s="326" t="s">
        <v>77</v>
      </c>
      <c r="H235" s="122" t="s">
        <v>78</v>
      </c>
      <c r="I235" s="520"/>
      <c r="J235" s="112" t="s">
        <v>79</v>
      </c>
      <c r="K235" s="326" t="s">
        <v>10</v>
      </c>
      <c r="L235" s="326" t="s">
        <v>11</v>
      </c>
      <c r="M235" s="326" t="s">
        <v>12</v>
      </c>
      <c r="N235" s="326" t="s">
        <v>80</v>
      </c>
      <c r="O235" s="122" t="s">
        <v>81</v>
      </c>
      <c r="P235" s="520"/>
      <c r="Q235" s="522"/>
    </row>
    <row r="236" spans="1:17" ht="15.75" thickBot="1" x14ac:dyDescent="0.3">
      <c r="A236" s="114">
        <v>1</v>
      </c>
      <c r="B236" s="5">
        <v>2</v>
      </c>
      <c r="C236" s="5">
        <v>3</v>
      </c>
      <c r="D236" s="5">
        <v>4</v>
      </c>
      <c r="E236" s="5">
        <v>5</v>
      </c>
      <c r="F236" s="5">
        <v>6</v>
      </c>
      <c r="G236" s="5">
        <v>7</v>
      </c>
      <c r="H236" s="123">
        <v>8</v>
      </c>
      <c r="I236" s="125">
        <v>9</v>
      </c>
      <c r="J236" s="113">
        <v>10</v>
      </c>
      <c r="K236" s="5">
        <v>11</v>
      </c>
      <c r="L236" s="5">
        <v>12</v>
      </c>
      <c r="M236" s="5">
        <v>13</v>
      </c>
      <c r="N236" s="5">
        <v>14</v>
      </c>
      <c r="O236" s="123">
        <v>15</v>
      </c>
      <c r="P236" s="125">
        <v>16</v>
      </c>
      <c r="Q236" s="134">
        <v>17</v>
      </c>
    </row>
    <row r="237" spans="1:17" ht="15.75" thickTop="1" x14ac:dyDescent="0.25">
      <c r="A237" s="85">
        <v>1</v>
      </c>
      <c r="B237" s="7" t="s">
        <v>18</v>
      </c>
      <c r="C237" s="139">
        <v>0</v>
      </c>
      <c r="D237" s="139">
        <v>0</v>
      </c>
      <c r="E237" s="139">
        <v>0</v>
      </c>
      <c r="F237" s="139">
        <v>0</v>
      </c>
      <c r="G237" s="139">
        <v>0</v>
      </c>
      <c r="H237" s="139">
        <v>3</v>
      </c>
      <c r="I237" s="127">
        <v>3</v>
      </c>
      <c r="J237" s="162">
        <v>4</v>
      </c>
      <c r="K237" s="162">
        <v>0</v>
      </c>
      <c r="L237" s="162">
        <v>0</v>
      </c>
      <c r="M237" s="162">
        <v>0</v>
      </c>
      <c r="N237" s="162">
        <v>0</v>
      </c>
      <c r="O237" s="162">
        <v>0</v>
      </c>
      <c r="P237" s="127">
        <f>SUM(J237:O237)</f>
        <v>4</v>
      </c>
      <c r="Q237" s="130">
        <f>SUM(I237,P237)</f>
        <v>7</v>
      </c>
    </row>
    <row r="238" spans="1:17" x14ac:dyDescent="0.25">
      <c r="A238" s="86">
        <v>2</v>
      </c>
      <c r="B238" s="12" t="s">
        <v>19</v>
      </c>
      <c r="C238" s="60">
        <v>0</v>
      </c>
      <c r="D238" s="60">
        <v>0</v>
      </c>
      <c r="E238" s="60">
        <v>0</v>
      </c>
      <c r="F238" s="60">
        <v>0</v>
      </c>
      <c r="G238" s="60">
        <v>0</v>
      </c>
      <c r="H238" s="60">
        <v>0</v>
      </c>
      <c r="I238" s="128">
        <v>0</v>
      </c>
      <c r="J238" s="341">
        <v>0</v>
      </c>
      <c r="K238" s="135">
        <v>0</v>
      </c>
      <c r="L238" s="135">
        <v>0</v>
      </c>
      <c r="M238" s="135">
        <v>0</v>
      </c>
      <c r="N238" s="135">
        <v>0</v>
      </c>
      <c r="O238" s="164">
        <v>0</v>
      </c>
      <c r="P238" s="128">
        <f t="shared" ref="P238:P243" si="61">SUM(J238:O238)</f>
        <v>0</v>
      </c>
      <c r="Q238" s="131">
        <f t="shared" ref="Q238:Q244" si="62">SUM(I238,P238)</f>
        <v>0</v>
      </c>
    </row>
    <row r="239" spans="1:17" x14ac:dyDescent="0.25">
      <c r="A239" s="86">
        <v>3</v>
      </c>
      <c r="B239" s="7" t="s">
        <v>20</v>
      </c>
      <c r="C239" s="60">
        <v>0</v>
      </c>
      <c r="D239" s="60">
        <v>0</v>
      </c>
      <c r="E239" s="60">
        <v>0</v>
      </c>
      <c r="F239" s="60">
        <v>0</v>
      </c>
      <c r="G239" s="60">
        <v>0</v>
      </c>
      <c r="H239" s="340">
        <v>0</v>
      </c>
      <c r="I239" s="128">
        <v>0</v>
      </c>
      <c r="J239" s="341">
        <v>0</v>
      </c>
      <c r="K239" s="135">
        <v>0</v>
      </c>
      <c r="L239" s="135">
        <v>0</v>
      </c>
      <c r="M239" s="135">
        <v>0</v>
      </c>
      <c r="N239" s="135">
        <v>0</v>
      </c>
      <c r="O239" s="164">
        <v>0</v>
      </c>
      <c r="P239" s="128">
        <f t="shared" si="61"/>
        <v>0</v>
      </c>
      <c r="Q239" s="131">
        <f t="shared" si="62"/>
        <v>0</v>
      </c>
    </row>
    <row r="240" spans="1:17" x14ac:dyDescent="0.25">
      <c r="A240" s="87">
        <v>4</v>
      </c>
      <c r="B240" s="15" t="s">
        <v>21</v>
      </c>
      <c r="C240" s="60">
        <v>0</v>
      </c>
      <c r="D240" s="60">
        <v>0</v>
      </c>
      <c r="E240" s="60">
        <v>0</v>
      </c>
      <c r="F240" s="60">
        <v>0</v>
      </c>
      <c r="G240" s="60">
        <v>0</v>
      </c>
      <c r="H240" s="60">
        <v>1</v>
      </c>
      <c r="I240" s="128">
        <v>1</v>
      </c>
      <c r="J240" s="341">
        <v>1</v>
      </c>
      <c r="K240" s="135">
        <v>0</v>
      </c>
      <c r="L240" s="135">
        <v>0</v>
      </c>
      <c r="M240" s="135">
        <v>0</v>
      </c>
      <c r="N240" s="135">
        <v>0</v>
      </c>
      <c r="O240" s="164">
        <v>0</v>
      </c>
      <c r="P240" s="128">
        <f t="shared" si="61"/>
        <v>1</v>
      </c>
      <c r="Q240" s="131">
        <f t="shared" si="62"/>
        <v>2</v>
      </c>
    </row>
    <row r="241" spans="1:17" x14ac:dyDescent="0.25">
      <c r="A241" s="87">
        <v>5</v>
      </c>
      <c r="B241" s="19" t="s">
        <v>22</v>
      </c>
      <c r="C241" s="60">
        <v>2</v>
      </c>
      <c r="D241" s="60">
        <v>0</v>
      </c>
      <c r="E241" s="60">
        <v>0</v>
      </c>
      <c r="F241" s="60">
        <v>0</v>
      </c>
      <c r="G241" s="60">
        <v>0</v>
      </c>
      <c r="H241" s="60">
        <v>1</v>
      </c>
      <c r="I241" s="128">
        <v>3</v>
      </c>
      <c r="J241" s="341">
        <v>0</v>
      </c>
      <c r="K241" s="135">
        <v>0</v>
      </c>
      <c r="L241" s="135">
        <v>0</v>
      </c>
      <c r="M241" s="135">
        <v>0</v>
      </c>
      <c r="N241" s="135">
        <v>0</v>
      </c>
      <c r="O241" s="164">
        <v>0</v>
      </c>
      <c r="P241" s="128">
        <f t="shared" si="61"/>
        <v>0</v>
      </c>
      <c r="Q241" s="131">
        <f t="shared" si="62"/>
        <v>3</v>
      </c>
    </row>
    <row r="242" spans="1:17" x14ac:dyDescent="0.25">
      <c r="A242" s="87">
        <v>6</v>
      </c>
      <c r="B242" s="19" t="s">
        <v>23</v>
      </c>
      <c r="C242" s="60">
        <v>0</v>
      </c>
      <c r="D242" s="60">
        <v>0</v>
      </c>
      <c r="E242" s="60">
        <v>0</v>
      </c>
      <c r="F242" s="60">
        <v>0</v>
      </c>
      <c r="G242" s="60">
        <v>0</v>
      </c>
      <c r="H242" s="60">
        <v>0</v>
      </c>
      <c r="I242" s="128">
        <v>0</v>
      </c>
      <c r="J242" s="341">
        <v>0</v>
      </c>
      <c r="K242" s="135">
        <v>0</v>
      </c>
      <c r="L242" s="135">
        <v>0</v>
      </c>
      <c r="M242" s="135">
        <v>0</v>
      </c>
      <c r="N242" s="135">
        <v>0</v>
      </c>
      <c r="O242" s="164">
        <v>0</v>
      </c>
      <c r="P242" s="128">
        <f t="shared" si="61"/>
        <v>0</v>
      </c>
      <c r="Q242" s="131">
        <f t="shared" si="62"/>
        <v>0</v>
      </c>
    </row>
    <row r="243" spans="1:17" x14ac:dyDescent="0.25">
      <c r="A243" s="87">
        <v>7</v>
      </c>
      <c r="B243" s="19" t="s">
        <v>24</v>
      </c>
      <c r="C243" s="60">
        <v>1</v>
      </c>
      <c r="D243" s="60">
        <v>1</v>
      </c>
      <c r="E243" s="60">
        <v>0</v>
      </c>
      <c r="F243" s="60">
        <v>0</v>
      </c>
      <c r="G243" s="60">
        <v>0</v>
      </c>
      <c r="H243" s="60">
        <v>0</v>
      </c>
      <c r="I243" s="128">
        <v>2</v>
      </c>
      <c r="J243" s="341">
        <v>0</v>
      </c>
      <c r="K243" s="135">
        <v>0</v>
      </c>
      <c r="L243" s="135">
        <v>0</v>
      </c>
      <c r="M243" s="135">
        <v>0</v>
      </c>
      <c r="N243" s="135">
        <v>0</v>
      </c>
      <c r="O243" s="164">
        <v>0</v>
      </c>
      <c r="P243" s="128">
        <f t="shared" si="61"/>
        <v>0</v>
      </c>
      <c r="Q243" s="131">
        <f t="shared" si="62"/>
        <v>2</v>
      </c>
    </row>
    <row r="244" spans="1:17" ht="15.75" thickBot="1" x14ac:dyDescent="0.3">
      <c r="A244" s="88">
        <v>8</v>
      </c>
      <c r="B244" s="15" t="s">
        <v>25</v>
      </c>
      <c r="C244" s="140">
        <v>0</v>
      </c>
      <c r="D244" s="140">
        <v>0</v>
      </c>
      <c r="E244" s="140">
        <v>0</v>
      </c>
      <c r="F244" s="140">
        <v>1</v>
      </c>
      <c r="G244" s="140">
        <v>0</v>
      </c>
      <c r="H244" s="140">
        <v>1</v>
      </c>
      <c r="I244" s="129">
        <v>2</v>
      </c>
      <c r="J244" s="329">
        <v>0</v>
      </c>
      <c r="K244" s="329">
        <v>0</v>
      </c>
      <c r="L244" s="329">
        <v>0</v>
      </c>
      <c r="M244" s="329">
        <v>0</v>
      </c>
      <c r="N244" s="329">
        <v>0</v>
      </c>
      <c r="O244" s="329">
        <v>0</v>
      </c>
      <c r="P244" s="129">
        <f>SUM(J244:O244)</f>
        <v>0</v>
      </c>
      <c r="Q244" s="132">
        <f t="shared" si="62"/>
        <v>2</v>
      </c>
    </row>
    <row r="245" spans="1:17" ht="16.5" thickTop="1" thickBot="1" x14ac:dyDescent="0.3">
      <c r="A245" s="514" t="s">
        <v>26</v>
      </c>
      <c r="B245" s="515"/>
      <c r="C245" s="115">
        <f t="shared" ref="C245:I245" si="63">SUM(C237:C244)</f>
        <v>3</v>
      </c>
      <c r="D245" s="115">
        <f t="shared" si="63"/>
        <v>1</v>
      </c>
      <c r="E245" s="115">
        <f t="shared" si="63"/>
        <v>0</v>
      </c>
      <c r="F245" s="115">
        <f t="shared" si="63"/>
        <v>1</v>
      </c>
      <c r="G245" s="115">
        <f t="shared" si="63"/>
        <v>0</v>
      </c>
      <c r="H245" s="124">
        <f t="shared" si="63"/>
        <v>6</v>
      </c>
      <c r="I245" s="126">
        <f t="shared" si="63"/>
        <v>11</v>
      </c>
      <c r="J245" s="136">
        <f t="shared" ref="J245:O245" si="64">SUM(J237:J244)</f>
        <v>5</v>
      </c>
      <c r="K245" s="115">
        <f t="shared" si="64"/>
        <v>0</v>
      </c>
      <c r="L245" s="115">
        <f t="shared" si="64"/>
        <v>0</v>
      </c>
      <c r="M245" s="115">
        <f t="shared" si="64"/>
        <v>0</v>
      </c>
      <c r="N245" s="115">
        <f t="shared" si="64"/>
        <v>0</v>
      </c>
      <c r="O245" s="124">
        <f t="shared" si="64"/>
        <v>0</v>
      </c>
      <c r="P245" s="126">
        <f>SUM(P237:P244)</f>
        <v>5</v>
      </c>
      <c r="Q245" s="133">
        <f>SUM(Q237:Q244)</f>
        <v>16</v>
      </c>
    </row>
    <row r="247" spans="1:17" ht="15.75" x14ac:dyDescent="0.25">
      <c r="A247" s="516" t="s">
        <v>132</v>
      </c>
      <c r="B247" s="516"/>
      <c r="C247" s="516"/>
      <c r="D247" s="516"/>
      <c r="E247" s="516"/>
      <c r="F247" s="516"/>
      <c r="G247" s="516"/>
      <c r="H247" s="516"/>
      <c r="I247" s="516"/>
      <c r="J247" s="516"/>
      <c r="K247" s="516"/>
      <c r="L247" s="516"/>
      <c r="M247" s="516"/>
      <c r="N247" s="516"/>
      <c r="O247" s="516"/>
      <c r="P247" s="516"/>
      <c r="Q247" s="516"/>
    </row>
    <row r="248" spans="1:17" ht="15.75" x14ac:dyDescent="0.25">
      <c r="A248" s="516" t="s">
        <v>82</v>
      </c>
      <c r="B248" s="516"/>
      <c r="C248" s="516"/>
      <c r="D248" s="516"/>
      <c r="E248" s="516"/>
      <c r="F248" s="516"/>
      <c r="G248" s="516"/>
      <c r="H248" s="516"/>
      <c r="I248" s="516"/>
      <c r="J248" s="516"/>
      <c r="K248" s="516"/>
      <c r="L248" s="516"/>
      <c r="M248" s="516"/>
      <c r="N248" s="516"/>
      <c r="O248" s="516"/>
      <c r="P248" s="516"/>
      <c r="Q248" s="516"/>
    </row>
    <row r="249" spans="1:17" ht="15.75" thickBot="1" x14ac:dyDescent="0.3">
      <c r="Q249" s="77" t="s">
        <v>1</v>
      </c>
    </row>
    <row r="250" spans="1:17" x14ac:dyDescent="0.25">
      <c r="A250" s="511" t="s">
        <v>2</v>
      </c>
      <c r="B250" s="513" t="s">
        <v>3</v>
      </c>
      <c r="C250" s="517" t="s">
        <v>114</v>
      </c>
      <c r="D250" s="518"/>
      <c r="E250" s="518"/>
      <c r="F250" s="518"/>
      <c r="G250" s="518"/>
      <c r="H250" s="518"/>
      <c r="I250" s="519" t="s">
        <v>84</v>
      </c>
      <c r="J250" s="518">
        <v>2016</v>
      </c>
      <c r="K250" s="518"/>
      <c r="L250" s="518"/>
      <c r="M250" s="518"/>
      <c r="N250" s="518"/>
      <c r="O250" s="518"/>
      <c r="P250" s="519" t="s">
        <v>85</v>
      </c>
      <c r="Q250" s="521" t="s">
        <v>5</v>
      </c>
    </row>
    <row r="251" spans="1:17" x14ac:dyDescent="0.25">
      <c r="A251" s="512"/>
      <c r="B251" s="499"/>
      <c r="C251" s="326" t="s">
        <v>15</v>
      </c>
      <c r="D251" s="326" t="s">
        <v>16</v>
      </c>
      <c r="E251" s="326" t="s">
        <v>17</v>
      </c>
      <c r="F251" s="326" t="s">
        <v>6</v>
      </c>
      <c r="G251" s="326" t="s">
        <v>77</v>
      </c>
      <c r="H251" s="122" t="s">
        <v>78</v>
      </c>
      <c r="I251" s="520"/>
      <c r="J251" s="112" t="s">
        <v>79</v>
      </c>
      <c r="K251" s="326" t="s">
        <v>10</v>
      </c>
      <c r="L251" s="326" t="s">
        <v>11</v>
      </c>
      <c r="M251" s="326" t="s">
        <v>12</v>
      </c>
      <c r="N251" s="326" t="s">
        <v>80</v>
      </c>
      <c r="O251" s="122" t="s">
        <v>81</v>
      </c>
      <c r="P251" s="520"/>
      <c r="Q251" s="522"/>
    </row>
    <row r="252" spans="1:17" ht="15.75" thickBot="1" x14ac:dyDescent="0.3">
      <c r="A252" s="114">
        <v>1</v>
      </c>
      <c r="B252" s="5">
        <v>2</v>
      </c>
      <c r="C252" s="5">
        <v>3</v>
      </c>
      <c r="D252" s="5">
        <v>4</v>
      </c>
      <c r="E252" s="5">
        <v>5</v>
      </c>
      <c r="F252" s="5">
        <v>6</v>
      </c>
      <c r="G252" s="5">
        <v>7</v>
      </c>
      <c r="H252" s="123">
        <v>8</v>
      </c>
      <c r="I252" s="125">
        <v>9</v>
      </c>
      <c r="J252" s="113">
        <v>10</v>
      </c>
      <c r="K252" s="5">
        <v>11</v>
      </c>
      <c r="L252" s="5">
        <v>12</v>
      </c>
      <c r="M252" s="5">
        <v>13</v>
      </c>
      <c r="N252" s="5">
        <v>14</v>
      </c>
      <c r="O252" s="123">
        <v>15</v>
      </c>
      <c r="P252" s="125">
        <v>16</v>
      </c>
      <c r="Q252" s="134">
        <v>17</v>
      </c>
    </row>
    <row r="253" spans="1:17" ht="15.75" thickTop="1" x14ac:dyDescent="0.25">
      <c r="A253" s="85">
        <v>1</v>
      </c>
      <c r="B253" s="7" t="s">
        <v>18</v>
      </c>
      <c r="C253" s="139">
        <v>0</v>
      </c>
      <c r="D253" s="139">
        <v>0</v>
      </c>
      <c r="E253" s="139">
        <v>0</v>
      </c>
      <c r="F253" s="139">
        <v>0</v>
      </c>
      <c r="G253" s="139">
        <v>0</v>
      </c>
      <c r="H253" s="139">
        <v>3</v>
      </c>
      <c r="I253" s="127">
        <v>3</v>
      </c>
      <c r="J253" s="162">
        <v>0</v>
      </c>
      <c r="K253" s="162">
        <v>0</v>
      </c>
      <c r="L253" s="162">
        <v>0</v>
      </c>
      <c r="M253" s="162">
        <v>0</v>
      </c>
      <c r="N253" s="162">
        <v>0</v>
      </c>
      <c r="O253" s="162">
        <v>0</v>
      </c>
      <c r="P253" s="127">
        <f>SUM(J253:O253)</f>
        <v>0</v>
      </c>
      <c r="Q253" s="130">
        <f>SUM(I253,P253)</f>
        <v>3</v>
      </c>
    </row>
    <row r="254" spans="1:17" x14ac:dyDescent="0.25">
      <c r="A254" s="86">
        <v>2</v>
      </c>
      <c r="B254" s="12" t="s">
        <v>19</v>
      </c>
      <c r="C254" s="60">
        <v>0</v>
      </c>
      <c r="D254" s="60">
        <v>0</v>
      </c>
      <c r="E254" s="60">
        <v>0</v>
      </c>
      <c r="F254" s="60">
        <v>0</v>
      </c>
      <c r="G254" s="60">
        <v>0</v>
      </c>
      <c r="H254" s="60">
        <v>0</v>
      </c>
      <c r="I254" s="128">
        <v>0</v>
      </c>
      <c r="J254" s="341">
        <v>0</v>
      </c>
      <c r="K254" s="135">
        <v>0</v>
      </c>
      <c r="L254" s="135">
        <v>0</v>
      </c>
      <c r="M254" s="135">
        <v>0</v>
      </c>
      <c r="N254" s="135">
        <v>0</v>
      </c>
      <c r="O254" s="164">
        <v>0</v>
      </c>
      <c r="P254" s="128">
        <f t="shared" ref="P254:P259" si="65">SUM(J254:O254)</f>
        <v>0</v>
      </c>
      <c r="Q254" s="131">
        <f t="shared" ref="Q254:Q260" si="66">SUM(I254,P254)</f>
        <v>0</v>
      </c>
    </row>
    <row r="255" spans="1:17" x14ac:dyDescent="0.25">
      <c r="A255" s="86">
        <v>3</v>
      </c>
      <c r="B255" s="7" t="s">
        <v>20</v>
      </c>
      <c r="C255" s="60">
        <v>0</v>
      </c>
      <c r="D255" s="60">
        <v>0</v>
      </c>
      <c r="E255" s="60">
        <v>0</v>
      </c>
      <c r="F255" s="60">
        <v>0</v>
      </c>
      <c r="G255" s="60">
        <v>0</v>
      </c>
      <c r="H255" s="340">
        <v>0</v>
      </c>
      <c r="I255" s="128">
        <v>0</v>
      </c>
      <c r="J255" s="341">
        <v>0</v>
      </c>
      <c r="K255" s="135">
        <v>0</v>
      </c>
      <c r="L255" s="135">
        <v>0</v>
      </c>
      <c r="M255" s="135">
        <v>0</v>
      </c>
      <c r="N255" s="135">
        <v>0</v>
      </c>
      <c r="O255" s="164">
        <v>0</v>
      </c>
      <c r="P255" s="128">
        <f t="shared" si="65"/>
        <v>0</v>
      </c>
      <c r="Q255" s="131">
        <f t="shared" si="66"/>
        <v>0</v>
      </c>
    </row>
    <row r="256" spans="1:17" x14ac:dyDescent="0.25">
      <c r="A256" s="87">
        <v>4</v>
      </c>
      <c r="B256" s="15" t="s">
        <v>21</v>
      </c>
      <c r="C256" s="60">
        <v>0</v>
      </c>
      <c r="D256" s="60">
        <v>0</v>
      </c>
      <c r="E256" s="60">
        <v>0</v>
      </c>
      <c r="F256" s="60">
        <v>0</v>
      </c>
      <c r="G256" s="60">
        <v>0</v>
      </c>
      <c r="H256" s="60">
        <v>0</v>
      </c>
      <c r="I256" s="128">
        <v>0</v>
      </c>
      <c r="J256" s="341">
        <v>0</v>
      </c>
      <c r="K256" s="135">
        <v>0</v>
      </c>
      <c r="L256" s="135">
        <v>0</v>
      </c>
      <c r="M256" s="135">
        <v>0</v>
      </c>
      <c r="N256" s="135">
        <v>0</v>
      </c>
      <c r="O256" s="164">
        <v>0</v>
      </c>
      <c r="P256" s="128">
        <f t="shared" si="65"/>
        <v>0</v>
      </c>
      <c r="Q256" s="131">
        <f t="shared" si="66"/>
        <v>0</v>
      </c>
    </row>
    <row r="257" spans="1:17" x14ac:dyDescent="0.25">
      <c r="A257" s="87">
        <v>5</v>
      </c>
      <c r="B257" s="19" t="s">
        <v>22</v>
      </c>
      <c r="C257" s="60">
        <v>0</v>
      </c>
      <c r="D257" s="60">
        <v>0</v>
      </c>
      <c r="E257" s="60">
        <v>0</v>
      </c>
      <c r="F257" s="60">
        <v>0</v>
      </c>
      <c r="G257" s="60">
        <v>0</v>
      </c>
      <c r="H257" s="60">
        <v>0</v>
      </c>
      <c r="I257" s="128">
        <v>0</v>
      </c>
      <c r="J257" s="341">
        <v>0</v>
      </c>
      <c r="K257" s="135">
        <v>0</v>
      </c>
      <c r="L257" s="135">
        <v>0</v>
      </c>
      <c r="M257" s="135">
        <v>0</v>
      </c>
      <c r="N257" s="135">
        <v>0</v>
      </c>
      <c r="O257" s="164">
        <v>0</v>
      </c>
      <c r="P257" s="128">
        <f t="shared" si="65"/>
        <v>0</v>
      </c>
      <c r="Q257" s="131">
        <f t="shared" si="66"/>
        <v>0</v>
      </c>
    </row>
    <row r="258" spans="1:17" x14ac:dyDescent="0.25">
      <c r="A258" s="87">
        <v>6</v>
      </c>
      <c r="B258" s="19" t="s">
        <v>23</v>
      </c>
      <c r="C258" s="60">
        <v>0</v>
      </c>
      <c r="D258" s="60">
        <v>0</v>
      </c>
      <c r="E258" s="60">
        <v>0</v>
      </c>
      <c r="F258" s="60">
        <v>0</v>
      </c>
      <c r="G258" s="60">
        <v>0</v>
      </c>
      <c r="H258" s="60">
        <v>0</v>
      </c>
      <c r="I258" s="128">
        <v>0</v>
      </c>
      <c r="J258" s="341">
        <v>0</v>
      </c>
      <c r="K258" s="135">
        <v>0</v>
      </c>
      <c r="L258" s="135">
        <v>0</v>
      </c>
      <c r="M258" s="135">
        <v>0</v>
      </c>
      <c r="N258" s="135">
        <v>0</v>
      </c>
      <c r="O258" s="164">
        <v>0</v>
      </c>
      <c r="P258" s="128">
        <f t="shared" si="65"/>
        <v>0</v>
      </c>
      <c r="Q258" s="131">
        <f t="shared" si="66"/>
        <v>0</v>
      </c>
    </row>
    <row r="259" spans="1:17" x14ac:dyDescent="0.25">
      <c r="A259" s="87">
        <v>7</v>
      </c>
      <c r="B259" s="19" t="s">
        <v>24</v>
      </c>
      <c r="C259" s="60">
        <v>0</v>
      </c>
      <c r="D259" s="60">
        <v>0</v>
      </c>
      <c r="E259" s="60">
        <v>0</v>
      </c>
      <c r="F259" s="60">
        <v>0</v>
      </c>
      <c r="G259" s="60">
        <v>0</v>
      </c>
      <c r="H259" s="60">
        <v>0</v>
      </c>
      <c r="I259" s="128">
        <v>0</v>
      </c>
      <c r="J259" s="341">
        <v>0</v>
      </c>
      <c r="K259" s="135">
        <v>0</v>
      </c>
      <c r="L259" s="135">
        <v>0</v>
      </c>
      <c r="M259" s="135">
        <v>0</v>
      </c>
      <c r="N259" s="135">
        <v>0</v>
      </c>
      <c r="O259" s="164">
        <v>0</v>
      </c>
      <c r="P259" s="128">
        <f t="shared" si="65"/>
        <v>0</v>
      </c>
      <c r="Q259" s="131">
        <f t="shared" si="66"/>
        <v>0</v>
      </c>
    </row>
    <row r="260" spans="1:17" ht="15.75" thickBot="1" x14ac:dyDescent="0.3">
      <c r="A260" s="88">
        <v>8</v>
      </c>
      <c r="B260" s="15" t="s">
        <v>25</v>
      </c>
      <c r="C260" s="140">
        <v>0</v>
      </c>
      <c r="D260" s="140">
        <v>0</v>
      </c>
      <c r="E260" s="140">
        <v>0</v>
      </c>
      <c r="F260" s="140">
        <v>0</v>
      </c>
      <c r="G260" s="140">
        <v>0</v>
      </c>
      <c r="H260" s="140">
        <v>0</v>
      </c>
      <c r="I260" s="129">
        <v>0</v>
      </c>
      <c r="J260" s="329">
        <v>0</v>
      </c>
      <c r="K260" s="329">
        <v>0</v>
      </c>
      <c r="L260" s="329">
        <v>0</v>
      </c>
      <c r="M260" s="329">
        <v>0</v>
      </c>
      <c r="N260" s="329">
        <v>0</v>
      </c>
      <c r="O260" s="329">
        <v>0</v>
      </c>
      <c r="P260" s="129">
        <f>SUM(J260:O260)</f>
        <v>0</v>
      </c>
      <c r="Q260" s="132">
        <f t="shared" si="66"/>
        <v>0</v>
      </c>
    </row>
    <row r="261" spans="1:17" ht="16.5" thickTop="1" thickBot="1" x14ac:dyDescent="0.3">
      <c r="A261" s="514" t="s">
        <v>26</v>
      </c>
      <c r="B261" s="515"/>
      <c r="C261" s="115">
        <f t="shared" ref="C261:I261" si="67">SUM(C253:C260)</f>
        <v>0</v>
      </c>
      <c r="D261" s="115">
        <f t="shared" si="67"/>
        <v>0</v>
      </c>
      <c r="E261" s="115">
        <f t="shared" si="67"/>
        <v>0</v>
      </c>
      <c r="F261" s="115">
        <f t="shared" si="67"/>
        <v>0</v>
      </c>
      <c r="G261" s="115">
        <f t="shared" si="67"/>
        <v>0</v>
      </c>
      <c r="H261" s="124">
        <f t="shared" si="67"/>
        <v>3</v>
      </c>
      <c r="I261" s="126">
        <f t="shared" si="67"/>
        <v>3</v>
      </c>
      <c r="J261" s="136">
        <f t="shared" ref="J261:O261" si="68">SUM(J253:J260)</f>
        <v>0</v>
      </c>
      <c r="K261" s="115">
        <f t="shared" si="68"/>
        <v>0</v>
      </c>
      <c r="L261" s="115">
        <f t="shared" si="68"/>
        <v>0</v>
      </c>
      <c r="M261" s="115">
        <f t="shared" si="68"/>
        <v>0</v>
      </c>
      <c r="N261" s="115">
        <f t="shared" si="68"/>
        <v>0</v>
      </c>
      <c r="O261" s="124">
        <f t="shared" si="68"/>
        <v>0</v>
      </c>
      <c r="P261" s="126">
        <f>SUM(P253:P260)</f>
        <v>0</v>
      </c>
      <c r="Q261" s="133">
        <f>SUM(Q253:Q260)</f>
        <v>3</v>
      </c>
    </row>
    <row r="264" spans="1:17" ht="15.75" x14ac:dyDescent="0.25">
      <c r="A264" s="516" t="s">
        <v>136</v>
      </c>
      <c r="B264" s="516"/>
      <c r="C264" s="516"/>
      <c r="D264" s="516"/>
      <c r="E264" s="516"/>
      <c r="F264" s="516"/>
      <c r="G264" s="516"/>
      <c r="H264" s="516"/>
      <c r="I264" s="516"/>
      <c r="J264" s="516"/>
      <c r="K264" s="516"/>
      <c r="L264" s="516"/>
      <c r="M264" s="516"/>
      <c r="N264" s="516"/>
      <c r="O264" s="516"/>
      <c r="P264" s="516"/>
      <c r="Q264" s="516"/>
    </row>
    <row r="265" spans="1:17" ht="15.75" x14ac:dyDescent="0.25">
      <c r="A265" s="516" t="s">
        <v>82</v>
      </c>
      <c r="B265" s="516"/>
      <c r="C265" s="516"/>
      <c r="D265" s="516"/>
      <c r="E265" s="516"/>
      <c r="F265" s="516"/>
      <c r="G265" s="516"/>
      <c r="H265" s="516"/>
      <c r="I265" s="516"/>
      <c r="J265" s="516"/>
      <c r="K265" s="516"/>
      <c r="L265" s="516"/>
      <c r="M265" s="516"/>
      <c r="N265" s="516"/>
      <c r="O265" s="516"/>
      <c r="P265" s="516"/>
      <c r="Q265" s="516"/>
    </row>
    <row r="266" spans="1:17" ht="15.75" thickBot="1" x14ac:dyDescent="0.3">
      <c r="Q266" s="77" t="s">
        <v>1</v>
      </c>
    </row>
    <row r="267" spans="1:17" x14ac:dyDescent="0.25">
      <c r="A267" s="511" t="s">
        <v>2</v>
      </c>
      <c r="B267" s="513" t="s">
        <v>3</v>
      </c>
      <c r="C267" s="517" t="s">
        <v>114</v>
      </c>
      <c r="D267" s="518"/>
      <c r="E267" s="518"/>
      <c r="F267" s="518"/>
      <c r="G267" s="518"/>
      <c r="H267" s="518"/>
      <c r="I267" s="519" t="s">
        <v>84</v>
      </c>
      <c r="J267" s="518">
        <v>2016</v>
      </c>
      <c r="K267" s="518"/>
      <c r="L267" s="518"/>
      <c r="M267" s="518"/>
      <c r="N267" s="518"/>
      <c r="O267" s="518"/>
      <c r="P267" s="519" t="s">
        <v>85</v>
      </c>
      <c r="Q267" s="521" t="s">
        <v>5</v>
      </c>
    </row>
    <row r="268" spans="1:17" x14ac:dyDescent="0.25">
      <c r="A268" s="512"/>
      <c r="B268" s="499"/>
      <c r="C268" s="352" t="s">
        <v>15</v>
      </c>
      <c r="D268" s="352" t="s">
        <v>16</v>
      </c>
      <c r="E268" s="352" t="s">
        <v>17</v>
      </c>
      <c r="F268" s="352" t="s">
        <v>6</v>
      </c>
      <c r="G268" s="352" t="s">
        <v>77</v>
      </c>
      <c r="H268" s="122" t="s">
        <v>78</v>
      </c>
      <c r="I268" s="520"/>
      <c r="J268" s="112" t="s">
        <v>79</v>
      </c>
      <c r="K268" s="352" t="s">
        <v>10</v>
      </c>
      <c r="L268" s="352" t="s">
        <v>135</v>
      </c>
      <c r="M268" s="352" t="s">
        <v>12</v>
      </c>
      <c r="N268" s="352" t="s">
        <v>80</v>
      </c>
      <c r="O268" s="122" t="s">
        <v>81</v>
      </c>
      <c r="P268" s="520"/>
      <c r="Q268" s="522"/>
    </row>
    <row r="269" spans="1:17" ht="15.75" thickBot="1" x14ac:dyDescent="0.3">
      <c r="A269" s="114">
        <v>1</v>
      </c>
      <c r="B269" s="5">
        <v>2</v>
      </c>
      <c r="C269" s="5">
        <v>3</v>
      </c>
      <c r="D269" s="5">
        <v>4</v>
      </c>
      <c r="E269" s="5">
        <v>5</v>
      </c>
      <c r="F269" s="5">
        <v>6</v>
      </c>
      <c r="G269" s="5">
        <v>7</v>
      </c>
      <c r="H269" s="123">
        <v>8</v>
      </c>
      <c r="I269" s="125">
        <v>9</v>
      </c>
      <c r="J269" s="113">
        <v>10</v>
      </c>
      <c r="K269" s="5">
        <v>11</v>
      </c>
      <c r="L269" s="5">
        <v>12</v>
      </c>
      <c r="M269" s="5">
        <v>13</v>
      </c>
      <c r="N269" s="5">
        <v>14</v>
      </c>
      <c r="O269" s="123">
        <v>15</v>
      </c>
      <c r="P269" s="125">
        <v>16</v>
      </c>
      <c r="Q269" s="134">
        <v>17</v>
      </c>
    </row>
    <row r="270" spans="1:17" ht="15.75" thickTop="1" x14ac:dyDescent="0.25">
      <c r="A270" s="85">
        <v>1</v>
      </c>
      <c r="B270" s="7" t="s">
        <v>18</v>
      </c>
      <c r="C270" s="59">
        <v>0</v>
      </c>
      <c r="D270" s="28">
        <v>4</v>
      </c>
      <c r="E270" s="28">
        <v>0</v>
      </c>
      <c r="F270" s="63">
        <v>0</v>
      </c>
      <c r="G270" s="63">
        <v>0</v>
      </c>
      <c r="H270" s="28">
        <v>0</v>
      </c>
      <c r="I270" s="127">
        <f>SUM(C270:H270)</f>
        <v>4</v>
      </c>
      <c r="J270" s="9">
        <v>35</v>
      </c>
      <c r="K270" s="28">
        <v>1237</v>
      </c>
      <c r="L270" s="162">
        <v>0</v>
      </c>
      <c r="M270" s="162">
        <v>0</v>
      </c>
      <c r="N270" s="162">
        <v>0</v>
      </c>
      <c r="O270" s="162">
        <v>0</v>
      </c>
      <c r="P270" s="127">
        <f>SUM(J270:O270)</f>
        <v>1272</v>
      </c>
      <c r="Q270" s="130">
        <f>SUM(I270,P270)</f>
        <v>1276</v>
      </c>
    </row>
    <row r="271" spans="1:17" x14ac:dyDescent="0.25">
      <c r="A271" s="86">
        <v>2</v>
      </c>
      <c r="B271" s="12" t="s">
        <v>19</v>
      </c>
      <c r="C271" s="61">
        <v>0</v>
      </c>
      <c r="D271" s="16">
        <v>0</v>
      </c>
      <c r="E271" s="16">
        <v>71</v>
      </c>
      <c r="F271" s="61">
        <v>0</v>
      </c>
      <c r="G271" s="16">
        <v>37</v>
      </c>
      <c r="H271" s="16">
        <v>91</v>
      </c>
      <c r="I271" s="128">
        <f t="shared" ref="I271:I277" si="69">SUM(C271:H271)</f>
        <v>199</v>
      </c>
      <c r="J271" s="16">
        <v>751</v>
      </c>
      <c r="K271" s="16">
        <v>606</v>
      </c>
      <c r="L271" s="135">
        <v>24</v>
      </c>
      <c r="M271" s="135">
        <v>0</v>
      </c>
      <c r="N271" s="135">
        <v>0</v>
      </c>
      <c r="O271" s="164">
        <v>0</v>
      </c>
      <c r="P271" s="128">
        <f t="shared" ref="P271:P276" si="70">SUM(J271:O271)</f>
        <v>1381</v>
      </c>
      <c r="Q271" s="131">
        <f t="shared" ref="Q271:Q277" si="71">SUM(I271,P271)</f>
        <v>1580</v>
      </c>
    </row>
    <row r="272" spans="1:17" x14ac:dyDescent="0.25">
      <c r="A272" s="86">
        <v>3</v>
      </c>
      <c r="B272" s="7" t="s">
        <v>20</v>
      </c>
      <c r="C272" s="61">
        <v>0</v>
      </c>
      <c r="D272" s="16">
        <v>0</v>
      </c>
      <c r="E272" s="16">
        <v>0</v>
      </c>
      <c r="F272" s="61">
        <v>0</v>
      </c>
      <c r="G272" s="16">
        <v>0</v>
      </c>
      <c r="H272" s="16">
        <v>0</v>
      </c>
      <c r="I272" s="128">
        <f t="shared" si="69"/>
        <v>0</v>
      </c>
      <c r="J272" s="16">
        <v>57</v>
      </c>
      <c r="K272" s="16">
        <v>86</v>
      </c>
      <c r="L272" s="135">
        <v>0</v>
      </c>
      <c r="M272" s="135">
        <v>0</v>
      </c>
      <c r="N272" s="135">
        <v>0</v>
      </c>
      <c r="O272" s="164">
        <v>0</v>
      </c>
      <c r="P272" s="128">
        <f t="shared" si="70"/>
        <v>143</v>
      </c>
      <c r="Q272" s="131">
        <f t="shared" si="71"/>
        <v>143</v>
      </c>
    </row>
    <row r="273" spans="1:17" x14ac:dyDescent="0.25">
      <c r="A273" s="87">
        <v>4</v>
      </c>
      <c r="B273" s="15" t="s">
        <v>21</v>
      </c>
      <c r="C273" s="61">
        <v>0</v>
      </c>
      <c r="D273" s="16">
        <v>10</v>
      </c>
      <c r="E273" s="16">
        <v>0</v>
      </c>
      <c r="F273" s="61">
        <v>5</v>
      </c>
      <c r="G273" s="16">
        <v>11</v>
      </c>
      <c r="H273" s="16">
        <v>94</v>
      </c>
      <c r="I273" s="128">
        <f t="shared" si="69"/>
        <v>120</v>
      </c>
      <c r="J273" s="17">
        <v>1029</v>
      </c>
      <c r="K273" s="17">
        <v>0</v>
      </c>
      <c r="L273" s="135">
        <v>0</v>
      </c>
      <c r="M273" s="135">
        <v>0</v>
      </c>
      <c r="N273" s="135">
        <v>0</v>
      </c>
      <c r="O273" s="164">
        <v>0</v>
      </c>
      <c r="P273" s="128">
        <f t="shared" si="70"/>
        <v>1029</v>
      </c>
      <c r="Q273" s="131">
        <f t="shared" si="71"/>
        <v>1149</v>
      </c>
    </row>
    <row r="274" spans="1:17" x14ac:dyDescent="0.25">
      <c r="A274" s="87">
        <v>5</v>
      </c>
      <c r="B274" s="19" t="s">
        <v>22</v>
      </c>
      <c r="C274" s="16">
        <v>0</v>
      </c>
      <c r="D274" s="16">
        <v>0</v>
      </c>
      <c r="E274" s="16">
        <v>0</v>
      </c>
      <c r="F274" s="61">
        <v>0</v>
      </c>
      <c r="G274" s="16">
        <v>0</v>
      </c>
      <c r="H274" s="16">
        <v>0</v>
      </c>
      <c r="I274" s="128">
        <f t="shared" si="69"/>
        <v>0</v>
      </c>
      <c r="J274" s="16">
        <v>262</v>
      </c>
      <c r="K274" s="16">
        <v>701</v>
      </c>
      <c r="L274" s="135">
        <v>0</v>
      </c>
      <c r="M274" s="135">
        <v>0</v>
      </c>
      <c r="N274" s="135">
        <v>0</v>
      </c>
      <c r="O274" s="164">
        <v>0</v>
      </c>
      <c r="P274" s="128">
        <f t="shared" si="70"/>
        <v>963</v>
      </c>
      <c r="Q274" s="131">
        <f t="shared" si="71"/>
        <v>963</v>
      </c>
    </row>
    <row r="275" spans="1:17" x14ac:dyDescent="0.25">
      <c r="A275" s="87">
        <v>6</v>
      </c>
      <c r="B275" s="19" t="s">
        <v>23</v>
      </c>
      <c r="C275" s="16">
        <v>0</v>
      </c>
      <c r="D275" s="16">
        <v>53</v>
      </c>
      <c r="E275" s="16">
        <v>0</v>
      </c>
      <c r="F275" s="61">
        <v>29</v>
      </c>
      <c r="G275" s="16">
        <v>0</v>
      </c>
      <c r="H275" s="16">
        <v>0</v>
      </c>
      <c r="I275" s="128">
        <f t="shared" si="69"/>
        <v>82</v>
      </c>
      <c r="J275" s="16">
        <v>278</v>
      </c>
      <c r="K275" s="16">
        <v>105</v>
      </c>
      <c r="L275" s="135">
        <v>0</v>
      </c>
      <c r="M275" s="135">
        <v>0</v>
      </c>
      <c r="N275" s="135">
        <v>0</v>
      </c>
      <c r="O275" s="164">
        <v>0</v>
      </c>
      <c r="P275" s="128">
        <f t="shared" si="70"/>
        <v>383</v>
      </c>
      <c r="Q275" s="131">
        <f t="shared" si="71"/>
        <v>465</v>
      </c>
    </row>
    <row r="276" spans="1:17" x14ac:dyDescent="0.25">
      <c r="A276" s="87">
        <v>7</v>
      </c>
      <c r="B276" s="19" t="s">
        <v>24</v>
      </c>
      <c r="C276" s="16">
        <v>490</v>
      </c>
      <c r="D276" s="16">
        <v>0</v>
      </c>
      <c r="E276" s="16">
        <v>0</v>
      </c>
      <c r="F276" s="61">
        <v>6</v>
      </c>
      <c r="G276" s="16">
        <v>23</v>
      </c>
      <c r="H276" s="16">
        <v>1559</v>
      </c>
      <c r="I276" s="128">
        <f t="shared" si="69"/>
        <v>2078</v>
      </c>
      <c r="J276" s="16">
        <v>553</v>
      </c>
      <c r="K276" s="16">
        <v>6</v>
      </c>
      <c r="L276" s="135">
        <v>0</v>
      </c>
      <c r="M276" s="135">
        <v>0</v>
      </c>
      <c r="N276" s="135">
        <v>0</v>
      </c>
      <c r="O276" s="164">
        <v>0</v>
      </c>
      <c r="P276" s="128">
        <f t="shared" si="70"/>
        <v>559</v>
      </c>
      <c r="Q276" s="131">
        <f t="shared" si="71"/>
        <v>2637</v>
      </c>
    </row>
    <row r="277" spans="1:17" ht="15.75" thickBot="1" x14ac:dyDescent="0.3">
      <c r="A277" s="88">
        <v>8</v>
      </c>
      <c r="B277" s="15" t="s">
        <v>25</v>
      </c>
      <c r="C277" s="17">
        <v>0</v>
      </c>
      <c r="D277" s="17">
        <v>0</v>
      </c>
      <c r="E277" s="17">
        <v>0</v>
      </c>
      <c r="F277" s="62">
        <v>112</v>
      </c>
      <c r="G277" s="17">
        <v>5</v>
      </c>
      <c r="H277" s="17">
        <v>318</v>
      </c>
      <c r="I277" s="368">
        <f t="shared" si="69"/>
        <v>435</v>
      </c>
      <c r="J277" s="17">
        <v>515</v>
      </c>
      <c r="K277" s="17">
        <v>948</v>
      </c>
      <c r="L277" s="329">
        <v>0</v>
      </c>
      <c r="M277" s="329">
        <v>0</v>
      </c>
      <c r="N277" s="329">
        <v>0</v>
      </c>
      <c r="O277" s="329">
        <v>0</v>
      </c>
      <c r="P277" s="129">
        <f>SUM(J277:O277)</f>
        <v>1463</v>
      </c>
      <c r="Q277" s="132">
        <f t="shared" si="71"/>
        <v>1898</v>
      </c>
    </row>
    <row r="278" spans="1:17" ht="16.5" thickTop="1" thickBot="1" x14ac:dyDescent="0.3">
      <c r="A278" s="514" t="s">
        <v>26</v>
      </c>
      <c r="B278" s="515"/>
      <c r="C278" s="115">
        <f t="shared" ref="C278:I278" si="72">SUM(C270:C277)</f>
        <v>490</v>
      </c>
      <c r="D278" s="115">
        <f t="shared" si="72"/>
        <v>67</v>
      </c>
      <c r="E278" s="115">
        <f t="shared" si="72"/>
        <v>71</v>
      </c>
      <c r="F278" s="115">
        <f t="shared" si="72"/>
        <v>152</v>
      </c>
      <c r="G278" s="115">
        <f t="shared" si="72"/>
        <v>76</v>
      </c>
      <c r="H278" s="124">
        <f t="shared" si="72"/>
        <v>2062</v>
      </c>
      <c r="I278" s="126">
        <f t="shared" si="72"/>
        <v>2918</v>
      </c>
      <c r="J278" s="136">
        <f t="shared" ref="J278:O278" si="73">SUM(J270:J277)</f>
        <v>3480</v>
      </c>
      <c r="K278" s="344">
        <f t="shared" si="73"/>
        <v>3689</v>
      </c>
      <c r="L278" s="115">
        <f t="shared" si="73"/>
        <v>24</v>
      </c>
      <c r="M278" s="115">
        <f t="shared" si="73"/>
        <v>0</v>
      </c>
      <c r="N278" s="115">
        <f t="shared" si="73"/>
        <v>0</v>
      </c>
      <c r="O278" s="124">
        <f t="shared" si="73"/>
        <v>0</v>
      </c>
      <c r="P278" s="126">
        <f>SUM(P270:P277)</f>
        <v>7193</v>
      </c>
      <c r="Q278" s="133">
        <f>SUM(Q270:Q277)</f>
        <v>10111</v>
      </c>
    </row>
    <row r="279" spans="1:17" x14ac:dyDescent="0.25">
      <c r="A279" t="s">
        <v>133</v>
      </c>
    </row>
    <row r="281" spans="1:17" ht="15.75" x14ac:dyDescent="0.25">
      <c r="A281" s="516" t="s">
        <v>137</v>
      </c>
      <c r="B281" s="516"/>
      <c r="C281" s="516"/>
      <c r="D281" s="516"/>
      <c r="E281" s="516"/>
      <c r="F281" s="516"/>
      <c r="G281" s="516"/>
      <c r="H281" s="516"/>
      <c r="I281" s="516"/>
      <c r="J281" s="516"/>
      <c r="K281" s="516"/>
      <c r="L281" s="516"/>
      <c r="M281" s="516"/>
      <c r="N281" s="516"/>
      <c r="O281" s="516"/>
      <c r="P281" s="516"/>
      <c r="Q281" s="516"/>
    </row>
    <row r="282" spans="1:17" ht="15.75" x14ac:dyDescent="0.25">
      <c r="A282" s="516" t="s">
        <v>82</v>
      </c>
      <c r="B282" s="516"/>
      <c r="C282" s="516"/>
      <c r="D282" s="516"/>
      <c r="E282" s="516"/>
      <c r="F282" s="516"/>
      <c r="G282" s="516"/>
      <c r="H282" s="516"/>
      <c r="I282" s="516"/>
      <c r="J282" s="516"/>
      <c r="K282" s="516"/>
      <c r="L282" s="516"/>
      <c r="M282" s="516"/>
      <c r="N282" s="516"/>
      <c r="O282" s="516"/>
      <c r="P282" s="516"/>
      <c r="Q282" s="516"/>
    </row>
    <row r="283" spans="1:17" ht="15.75" thickBot="1" x14ac:dyDescent="0.3">
      <c r="Q283" s="77" t="s">
        <v>1</v>
      </c>
    </row>
    <row r="284" spans="1:17" x14ac:dyDescent="0.25">
      <c r="A284" s="511" t="s">
        <v>2</v>
      </c>
      <c r="B284" s="513" t="s">
        <v>3</v>
      </c>
      <c r="C284" s="517" t="s">
        <v>114</v>
      </c>
      <c r="D284" s="518"/>
      <c r="E284" s="518"/>
      <c r="F284" s="518"/>
      <c r="G284" s="518"/>
      <c r="H284" s="518"/>
      <c r="I284" s="519" t="s">
        <v>84</v>
      </c>
      <c r="J284" s="518">
        <v>2016</v>
      </c>
      <c r="K284" s="518"/>
      <c r="L284" s="518"/>
      <c r="M284" s="518"/>
      <c r="N284" s="518"/>
      <c r="O284" s="518"/>
      <c r="P284" s="519" t="s">
        <v>85</v>
      </c>
      <c r="Q284" s="521" t="s">
        <v>5</v>
      </c>
    </row>
    <row r="285" spans="1:17" x14ac:dyDescent="0.25">
      <c r="A285" s="512"/>
      <c r="B285" s="499"/>
      <c r="C285" s="352" t="s">
        <v>15</v>
      </c>
      <c r="D285" s="352" t="s">
        <v>16</v>
      </c>
      <c r="E285" s="352" t="s">
        <v>17</v>
      </c>
      <c r="F285" s="352" t="s">
        <v>6</v>
      </c>
      <c r="G285" s="352" t="s">
        <v>77</v>
      </c>
      <c r="H285" s="122" t="s">
        <v>78</v>
      </c>
      <c r="I285" s="520"/>
      <c r="J285" s="112" t="s">
        <v>79</v>
      </c>
      <c r="K285" s="352" t="s">
        <v>10</v>
      </c>
      <c r="L285" s="352" t="s">
        <v>135</v>
      </c>
      <c r="M285" s="352" t="s">
        <v>12</v>
      </c>
      <c r="N285" s="352" t="s">
        <v>80</v>
      </c>
      <c r="O285" s="122" t="s">
        <v>81</v>
      </c>
      <c r="P285" s="520"/>
      <c r="Q285" s="522"/>
    </row>
    <row r="286" spans="1:17" ht="15.75" thickBot="1" x14ac:dyDescent="0.3">
      <c r="A286" s="114">
        <v>1</v>
      </c>
      <c r="B286" s="5">
        <v>2</v>
      </c>
      <c r="C286" s="5">
        <v>3</v>
      </c>
      <c r="D286" s="5">
        <v>4</v>
      </c>
      <c r="E286" s="5">
        <v>5</v>
      </c>
      <c r="F286" s="5">
        <v>6</v>
      </c>
      <c r="G286" s="5">
        <v>7</v>
      </c>
      <c r="H286" s="123">
        <v>8</v>
      </c>
      <c r="I286" s="125">
        <v>9</v>
      </c>
      <c r="J286" s="113">
        <v>10</v>
      </c>
      <c r="K286" s="5">
        <v>11</v>
      </c>
      <c r="L286" s="5">
        <v>12</v>
      </c>
      <c r="M286" s="5">
        <v>13</v>
      </c>
      <c r="N286" s="5">
        <v>14</v>
      </c>
      <c r="O286" s="123">
        <v>15</v>
      </c>
      <c r="P286" s="125">
        <v>16</v>
      </c>
      <c r="Q286" s="134">
        <v>17</v>
      </c>
    </row>
    <row r="287" spans="1:17" ht="15.75" thickTop="1" x14ac:dyDescent="0.25">
      <c r="A287" s="85">
        <v>1</v>
      </c>
      <c r="B287" s="7" t="s">
        <v>18</v>
      </c>
      <c r="C287" s="375">
        <v>0</v>
      </c>
      <c r="D287" s="375">
        <v>45.02</v>
      </c>
      <c r="E287" s="375">
        <v>0</v>
      </c>
      <c r="F287" s="375">
        <v>0</v>
      </c>
      <c r="G287" s="375">
        <v>0</v>
      </c>
      <c r="H287" s="375">
        <v>0</v>
      </c>
      <c r="I287" s="379">
        <f>I270/I138*10</f>
        <v>40</v>
      </c>
      <c r="J287" s="371">
        <v>49.88</v>
      </c>
      <c r="K287" s="371">
        <v>49.88</v>
      </c>
      <c r="L287" s="162">
        <v>0</v>
      </c>
      <c r="M287" s="162">
        <v>0</v>
      </c>
      <c r="N287" s="162">
        <v>0</v>
      </c>
      <c r="O287" s="162">
        <v>0</v>
      </c>
      <c r="P287" s="379">
        <f>P270/P138*10</f>
        <v>49.882352941176471</v>
      </c>
      <c r="Q287" s="379">
        <f>Q270/Q138*10</f>
        <v>49.84375</v>
      </c>
    </row>
    <row r="288" spans="1:17" x14ac:dyDescent="0.25">
      <c r="A288" s="86">
        <v>2</v>
      </c>
      <c r="B288" s="12" t="s">
        <v>19</v>
      </c>
      <c r="C288" s="373">
        <v>0</v>
      </c>
      <c r="D288" s="373">
        <v>0</v>
      </c>
      <c r="E288" s="373">
        <v>88.8</v>
      </c>
      <c r="F288" s="373">
        <v>0</v>
      </c>
      <c r="G288" s="373">
        <v>92.16</v>
      </c>
      <c r="H288" s="373">
        <v>76</v>
      </c>
      <c r="I288" s="382">
        <f t="shared" ref="I288:I295" si="74">I271/I139*10</f>
        <v>76.538461538461547</v>
      </c>
      <c r="J288" s="372">
        <v>81.7</v>
      </c>
      <c r="K288" s="373">
        <v>60</v>
      </c>
      <c r="L288" s="372">
        <v>60</v>
      </c>
      <c r="M288" s="135">
        <v>0</v>
      </c>
      <c r="N288" s="135">
        <v>0</v>
      </c>
      <c r="O288" s="164">
        <v>0</v>
      </c>
      <c r="P288" s="382">
        <f t="shared" ref="P288:Q295" si="75">P271/P139*10</f>
        <v>70.101522842639596</v>
      </c>
      <c r="Q288" s="382">
        <f t="shared" si="75"/>
        <v>70.852017937219728</v>
      </c>
    </row>
    <row r="289" spans="1:17" x14ac:dyDescent="0.25">
      <c r="A289" s="86">
        <v>3</v>
      </c>
      <c r="B289" s="7" t="s">
        <v>20</v>
      </c>
      <c r="C289" s="373">
        <v>0</v>
      </c>
      <c r="D289" s="373">
        <v>0</v>
      </c>
      <c r="E289" s="373">
        <v>0</v>
      </c>
      <c r="F289" s="373">
        <v>0</v>
      </c>
      <c r="G289" s="373">
        <v>0</v>
      </c>
      <c r="H289" s="373">
        <v>0</v>
      </c>
      <c r="I289" s="382">
        <v>0</v>
      </c>
      <c r="J289" s="372">
        <v>57.62</v>
      </c>
      <c r="K289" s="373">
        <v>57.35</v>
      </c>
      <c r="L289" s="372">
        <v>0</v>
      </c>
      <c r="M289" s="135">
        <v>0</v>
      </c>
      <c r="N289" s="135">
        <v>0</v>
      </c>
      <c r="O289" s="164">
        <v>0</v>
      </c>
      <c r="P289" s="382">
        <f t="shared" si="75"/>
        <v>57.199999999999996</v>
      </c>
      <c r="Q289" s="382">
        <f t="shared" si="75"/>
        <v>57.199999999999996</v>
      </c>
    </row>
    <row r="290" spans="1:17" x14ac:dyDescent="0.25">
      <c r="A290" s="87">
        <v>4</v>
      </c>
      <c r="B290" s="15" t="s">
        <v>21</v>
      </c>
      <c r="C290" s="373">
        <v>0</v>
      </c>
      <c r="D290" s="373">
        <v>52.44</v>
      </c>
      <c r="E290" s="373">
        <v>0</v>
      </c>
      <c r="F290" s="373">
        <v>52.33</v>
      </c>
      <c r="G290" s="373">
        <v>53.22</v>
      </c>
      <c r="H290" s="373">
        <v>58.65</v>
      </c>
      <c r="I290" s="382">
        <f t="shared" si="74"/>
        <v>57.142857142857146</v>
      </c>
      <c r="J290" s="372">
        <v>56.55</v>
      </c>
      <c r="K290" s="373">
        <v>0</v>
      </c>
      <c r="L290" s="372">
        <v>0</v>
      </c>
      <c r="M290" s="135">
        <v>0</v>
      </c>
      <c r="N290" s="135">
        <v>0</v>
      </c>
      <c r="O290" s="164">
        <v>0</v>
      </c>
      <c r="P290" s="382">
        <f t="shared" si="75"/>
        <v>56.53846153846154</v>
      </c>
      <c r="Q290" s="382">
        <f t="shared" si="75"/>
        <v>56.600985221674875</v>
      </c>
    </row>
    <row r="291" spans="1:17" x14ac:dyDescent="0.25">
      <c r="A291" s="87">
        <v>5</v>
      </c>
      <c r="B291" s="19" t="s">
        <v>22</v>
      </c>
      <c r="C291" s="373">
        <v>0</v>
      </c>
      <c r="D291" s="373">
        <v>0</v>
      </c>
      <c r="E291" s="373">
        <v>0</v>
      </c>
      <c r="F291" s="373">
        <v>0</v>
      </c>
      <c r="G291" s="373">
        <v>0</v>
      </c>
      <c r="H291" s="373">
        <v>0</v>
      </c>
      <c r="I291" s="382">
        <v>0</v>
      </c>
      <c r="J291" s="372">
        <v>58.15</v>
      </c>
      <c r="K291" s="373">
        <v>58.93</v>
      </c>
      <c r="L291" s="372">
        <v>0</v>
      </c>
      <c r="M291" s="135">
        <v>0</v>
      </c>
      <c r="N291" s="135">
        <v>0</v>
      </c>
      <c r="O291" s="164">
        <v>0</v>
      </c>
      <c r="P291" s="382">
        <f t="shared" si="75"/>
        <v>58.719512195121951</v>
      </c>
      <c r="Q291" s="382">
        <f t="shared" si="75"/>
        <v>58.719512195121951</v>
      </c>
    </row>
    <row r="292" spans="1:17" x14ac:dyDescent="0.25">
      <c r="A292" s="87">
        <v>6</v>
      </c>
      <c r="B292" s="19" t="s">
        <v>23</v>
      </c>
      <c r="C292" s="373">
        <v>0</v>
      </c>
      <c r="D292" s="373">
        <v>75</v>
      </c>
      <c r="E292" s="373">
        <v>0</v>
      </c>
      <c r="F292" s="373">
        <v>58.08</v>
      </c>
      <c r="G292" s="373">
        <v>0</v>
      </c>
      <c r="H292" s="373">
        <v>0</v>
      </c>
      <c r="I292" s="382">
        <f t="shared" si="74"/>
        <v>68.333333333333329</v>
      </c>
      <c r="J292" s="372">
        <v>77.400000000000006</v>
      </c>
      <c r="K292" s="373">
        <v>58.48</v>
      </c>
      <c r="L292" s="372">
        <v>0</v>
      </c>
      <c r="M292" s="135">
        <v>0</v>
      </c>
      <c r="N292" s="135">
        <v>0</v>
      </c>
      <c r="O292" s="164">
        <v>0</v>
      </c>
      <c r="P292" s="382">
        <f t="shared" si="75"/>
        <v>70.925925925925924</v>
      </c>
      <c r="Q292" s="382">
        <f t="shared" si="75"/>
        <v>70.454545454545453</v>
      </c>
    </row>
    <row r="293" spans="1:17" x14ac:dyDescent="0.25">
      <c r="A293" s="87">
        <v>7</v>
      </c>
      <c r="B293" s="19" t="s">
        <v>24</v>
      </c>
      <c r="C293" s="373">
        <v>53.32</v>
      </c>
      <c r="D293" s="373">
        <v>0</v>
      </c>
      <c r="E293" s="373">
        <v>0</v>
      </c>
      <c r="F293" s="373">
        <v>55.9</v>
      </c>
      <c r="G293" s="373">
        <v>57.62</v>
      </c>
      <c r="H293" s="373">
        <v>63.64</v>
      </c>
      <c r="I293" s="382">
        <f t="shared" si="74"/>
        <v>60.760233918128662</v>
      </c>
      <c r="J293" s="372">
        <v>55.9</v>
      </c>
      <c r="K293" s="373">
        <v>60</v>
      </c>
      <c r="L293" s="372">
        <v>0</v>
      </c>
      <c r="M293" s="135">
        <v>0</v>
      </c>
      <c r="N293" s="135">
        <v>0</v>
      </c>
      <c r="O293" s="164">
        <v>0</v>
      </c>
      <c r="P293" s="382">
        <f t="shared" si="75"/>
        <v>55.9</v>
      </c>
      <c r="Q293" s="382">
        <f t="shared" si="75"/>
        <v>59.660633484162901</v>
      </c>
    </row>
    <row r="294" spans="1:17" ht="15.75" thickBot="1" x14ac:dyDescent="0.3">
      <c r="A294" s="88">
        <v>8</v>
      </c>
      <c r="B294" s="15" t="s">
        <v>25</v>
      </c>
      <c r="C294" s="376">
        <v>0</v>
      </c>
      <c r="D294" s="376">
        <v>0</v>
      </c>
      <c r="E294" s="376">
        <v>0</v>
      </c>
      <c r="F294" s="376">
        <v>45.01</v>
      </c>
      <c r="G294" s="376">
        <v>50</v>
      </c>
      <c r="H294" s="376">
        <v>75.680000000000007</v>
      </c>
      <c r="I294" s="381">
        <f t="shared" si="74"/>
        <v>63.970588235294123</v>
      </c>
      <c r="J294" s="374">
        <v>80.510000000000005</v>
      </c>
      <c r="K294" s="374">
        <v>65.349999999999994</v>
      </c>
      <c r="L294" s="374">
        <v>0</v>
      </c>
      <c r="M294" s="329">
        <v>0</v>
      </c>
      <c r="N294" s="329">
        <v>0</v>
      </c>
      <c r="O294" s="329">
        <v>0</v>
      </c>
      <c r="P294" s="381">
        <f t="shared" si="75"/>
        <v>70</v>
      </c>
      <c r="Q294" s="381">
        <f t="shared" si="75"/>
        <v>68.519855595667863</v>
      </c>
    </row>
    <row r="295" spans="1:17" ht="16.5" thickTop="1" thickBot="1" x14ac:dyDescent="0.3">
      <c r="A295" s="514" t="s">
        <v>26</v>
      </c>
      <c r="B295" s="515"/>
      <c r="C295" s="377">
        <v>53.32</v>
      </c>
      <c r="D295" s="377">
        <v>67</v>
      </c>
      <c r="E295" s="377">
        <v>88.8</v>
      </c>
      <c r="F295" s="377">
        <v>47.5</v>
      </c>
      <c r="G295" s="377">
        <v>69.090909090909093</v>
      </c>
      <c r="H295" s="378">
        <v>65.047318611987379</v>
      </c>
      <c r="I295" s="380">
        <f t="shared" si="74"/>
        <v>62.085106382978729</v>
      </c>
      <c r="J295" s="383">
        <v>65.046728971962608</v>
      </c>
      <c r="K295" s="377">
        <v>57.017001545595051</v>
      </c>
      <c r="L295" s="377">
        <f>SUM(L287:L294)</f>
        <v>60</v>
      </c>
      <c r="M295" s="115">
        <f>SUM(M287:M294)</f>
        <v>0</v>
      </c>
      <c r="N295" s="115">
        <f>SUM(N287:N294)</f>
        <v>0</v>
      </c>
      <c r="O295" s="124">
        <f>SUM(O287:O294)</f>
        <v>0</v>
      </c>
      <c r="P295" s="380">
        <f t="shared" si="75"/>
        <v>60.649241146711638</v>
      </c>
      <c r="Q295" s="380">
        <f t="shared" si="75"/>
        <v>61.056763285024154</v>
      </c>
    </row>
    <row r="296" spans="1:17" x14ac:dyDescent="0.25">
      <c r="A296" t="s">
        <v>133</v>
      </c>
    </row>
  </sheetData>
  <mergeCells count="180">
    <mergeCell ref="A261:B261"/>
    <mergeCell ref="A245:B245"/>
    <mergeCell ref="A247:Q247"/>
    <mergeCell ref="A248:Q248"/>
    <mergeCell ref="A250:A251"/>
    <mergeCell ref="B250:B251"/>
    <mergeCell ref="C250:H250"/>
    <mergeCell ref="I250:I251"/>
    <mergeCell ref="J250:O250"/>
    <mergeCell ref="P250:P251"/>
    <mergeCell ref="Q250:Q251"/>
    <mergeCell ref="A229:B229"/>
    <mergeCell ref="A231:Q231"/>
    <mergeCell ref="A232:Q232"/>
    <mergeCell ref="A234:A235"/>
    <mergeCell ref="B234:B235"/>
    <mergeCell ref="C234:H234"/>
    <mergeCell ref="I234:I235"/>
    <mergeCell ref="J234:O234"/>
    <mergeCell ref="P234:P235"/>
    <mergeCell ref="Q234:Q235"/>
    <mergeCell ref="A213:B213"/>
    <mergeCell ref="A215:Q215"/>
    <mergeCell ref="A216:Q216"/>
    <mergeCell ref="A218:A219"/>
    <mergeCell ref="B218:B219"/>
    <mergeCell ref="C218:H218"/>
    <mergeCell ref="I218:I219"/>
    <mergeCell ref="J218:O218"/>
    <mergeCell ref="P218:P219"/>
    <mergeCell ref="Q218:Q219"/>
    <mergeCell ref="A196:B196"/>
    <mergeCell ref="A199:Q199"/>
    <mergeCell ref="A200:Q200"/>
    <mergeCell ref="A202:A203"/>
    <mergeCell ref="B202:B203"/>
    <mergeCell ref="C202:H202"/>
    <mergeCell ref="I202:I203"/>
    <mergeCell ref="J202:O202"/>
    <mergeCell ref="P202:P203"/>
    <mergeCell ref="Q202:Q203"/>
    <mergeCell ref="A179:B179"/>
    <mergeCell ref="A182:Q182"/>
    <mergeCell ref="A183:Q183"/>
    <mergeCell ref="A185:A186"/>
    <mergeCell ref="B185:B186"/>
    <mergeCell ref="C185:H185"/>
    <mergeCell ref="I185:I186"/>
    <mergeCell ref="J185:O185"/>
    <mergeCell ref="P185:P186"/>
    <mergeCell ref="Q185:Q186"/>
    <mergeCell ref="A163:B163"/>
    <mergeCell ref="A165:Q165"/>
    <mergeCell ref="A166:Q166"/>
    <mergeCell ref="A168:A169"/>
    <mergeCell ref="B168:B169"/>
    <mergeCell ref="C168:H168"/>
    <mergeCell ref="I168:I169"/>
    <mergeCell ref="J168:O168"/>
    <mergeCell ref="P168:P169"/>
    <mergeCell ref="Q168:Q169"/>
    <mergeCell ref="A146:B146"/>
    <mergeCell ref="A149:Q149"/>
    <mergeCell ref="A150:Q150"/>
    <mergeCell ref="A152:A153"/>
    <mergeCell ref="B152:B153"/>
    <mergeCell ref="C152:H152"/>
    <mergeCell ref="I152:I153"/>
    <mergeCell ref="J152:O152"/>
    <mergeCell ref="P152:P153"/>
    <mergeCell ref="Q152:Q153"/>
    <mergeCell ref="A132:Q132"/>
    <mergeCell ref="A133:Q133"/>
    <mergeCell ref="A135:A136"/>
    <mergeCell ref="B135:B136"/>
    <mergeCell ref="C135:H135"/>
    <mergeCell ref="I135:I136"/>
    <mergeCell ref="J135:O135"/>
    <mergeCell ref="P135:P136"/>
    <mergeCell ref="Q135:Q136"/>
    <mergeCell ref="A128:B128"/>
    <mergeCell ref="A112:B112"/>
    <mergeCell ref="A114:Q114"/>
    <mergeCell ref="A115:Q115"/>
    <mergeCell ref="A117:A118"/>
    <mergeCell ref="B117:B118"/>
    <mergeCell ref="C117:H117"/>
    <mergeCell ref="I117:I118"/>
    <mergeCell ref="J117:O117"/>
    <mergeCell ref="P117:P118"/>
    <mergeCell ref="Q117:Q118"/>
    <mergeCell ref="A96:B96"/>
    <mergeCell ref="A98:Q98"/>
    <mergeCell ref="A99:Q99"/>
    <mergeCell ref="A101:A102"/>
    <mergeCell ref="B101:B102"/>
    <mergeCell ref="C101:H101"/>
    <mergeCell ref="I101:I102"/>
    <mergeCell ref="J101:O101"/>
    <mergeCell ref="P101:P102"/>
    <mergeCell ref="Q101:Q102"/>
    <mergeCell ref="A80:B80"/>
    <mergeCell ref="A82:Q82"/>
    <mergeCell ref="A83:Q83"/>
    <mergeCell ref="A85:A86"/>
    <mergeCell ref="B85:B86"/>
    <mergeCell ref="C85:H85"/>
    <mergeCell ref="I85:I86"/>
    <mergeCell ref="J85:O85"/>
    <mergeCell ref="P85:P86"/>
    <mergeCell ref="Q85:Q86"/>
    <mergeCell ref="A64:B64"/>
    <mergeCell ref="A66:Q66"/>
    <mergeCell ref="A67:Q67"/>
    <mergeCell ref="A69:A70"/>
    <mergeCell ref="B69:B70"/>
    <mergeCell ref="C69:H69"/>
    <mergeCell ref="I69:I70"/>
    <mergeCell ref="J69:O69"/>
    <mergeCell ref="P69:P70"/>
    <mergeCell ref="Q69:Q70"/>
    <mergeCell ref="A48:B48"/>
    <mergeCell ref="A50:Q50"/>
    <mergeCell ref="A51:Q51"/>
    <mergeCell ref="A53:A54"/>
    <mergeCell ref="B53:B54"/>
    <mergeCell ref="C53:H53"/>
    <mergeCell ref="I53:I54"/>
    <mergeCell ref="J53:O53"/>
    <mergeCell ref="P53:P54"/>
    <mergeCell ref="Q53:Q54"/>
    <mergeCell ref="A32:B32"/>
    <mergeCell ref="A34:Q34"/>
    <mergeCell ref="A35:Q35"/>
    <mergeCell ref="A37:A38"/>
    <mergeCell ref="B37:B38"/>
    <mergeCell ref="C37:H37"/>
    <mergeCell ref="I37:I38"/>
    <mergeCell ref="J37:O37"/>
    <mergeCell ref="P37:P38"/>
    <mergeCell ref="Q37:Q38"/>
    <mergeCell ref="A16:B16"/>
    <mergeCell ref="A18:Q18"/>
    <mergeCell ref="A19:Q19"/>
    <mergeCell ref="A21:A22"/>
    <mergeCell ref="B21:B22"/>
    <mergeCell ref="C21:H21"/>
    <mergeCell ref="I21:I22"/>
    <mergeCell ref="J21:O21"/>
    <mergeCell ref="P21:P22"/>
    <mergeCell ref="Q21:Q22"/>
    <mergeCell ref="A2:Q2"/>
    <mergeCell ref="A3:Q3"/>
    <mergeCell ref="A5:A6"/>
    <mergeCell ref="B5:B6"/>
    <mergeCell ref="C5:H5"/>
    <mergeCell ref="I5:I6"/>
    <mergeCell ref="J5:O5"/>
    <mergeCell ref="P5:P6"/>
    <mergeCell ref="Q5:Q6"/>
    <mergeCell ref="A264:Q264"/>
    <mergeCell ref="A265:Q265"/>
    <mergeCell ref="A267:A268"/>
    <mergeCell ref="B267:B268"/>
    <mergeCell ref="C267:H267"/>
    <mergeCell ref="I267:I268"/>
    <mergeCell ref="J267:O267"/>
    <mergeCell ref="P267:P268"/>
    <mergeCell ref="Q267:Q268"/>
    <mergeCell ref="A295:B295"/>
    <mergeCell ref="A278:B278"/>
    <mergeCell ref="A281:Q281"/>
    <mergeCell ref="A282:Q282"/>
    <mergeCell ref="A284:A285"/>
    <mergeCell ref="B284:B285"/>
    <mergeCell ref="C284:H284"/>
    <mergeCell ref="I284:I285"/>
    <mergeCell ref="J284:O284"/>
    <mergeCell ref="P284:P285"/>
    <mergeCell ref="Q284:Q285"/>
  </mergeCells>
  <pageMargins left="1.2204724409448819" right="0.59055118110236227" top="0.74803149606299213" bottom="0.74803149606299213" header="0.31496062992125984" footer="0.31496062992125984"/>
  <pageSetup paperSize="9" scale="90" orientation="landscape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1"/>
  <sheetViews>
    <sheetView topLeftCell="A142" zoomScale="80" zoomScaleNormal="80" workbookViewId="0">
      <selection activeCell="AA26" sqref="AA26:AA33"/>
    </sheetView>
  </sheetViews>
  <sheetFormatPr defaultRowHeight="15" x14ac:dyDescent="0.25"/>
  <cols>
    <col min="1" max="1" width="3.7109375" customWidth="1"/>
    <col min="2" max="2" width="12" customWidth="1"/>
    <col min="3" max="3" width="6" customWidth="1"/>
    <col min="4" max="4" width="7.5703125" customWidth="1"/>
    <col min="5" max="5" width="6" customWidth="1"/>
    <col min="6" max="6" width="7.5703125" customWidth="1"/>
    <col min="7" max="7" width="6" customWidth="1"/>
    <col min="8" max="8" width="7.5703125" customWidth="1"/>
    <col min="9" max="9" width="6" customWidth="1"/>
    <col min="10" max="10" width="7.5703125" customWidth="1"/>
    <col min="11" max="11" width="6" customWidth="1"/>
    <col min="12" max="12" width="7.5703125" customWidth="1"/>
    <col min="13" max="13" width="6" customWidth="1"/>
    <col min="14" max="14" width="7.5703125" customWidth="1"/>
    <col min="15" max="15" width="7" customWidth="1"/>
    <col min="16" max="16" width="7.5703125" customWidth="1"/>
    <col min="17" max="17" width="5.7109375" customWidth="1"/>
    <col min="18" max="18" width="6.85546875" customWidth="1"/>
    <col min="19" max="19" width="5.7109375" customWidth="1"/>
    <col min="20" max="20" width="6.85546875" customWidth="1"/>
    <col min="21" max="21" width="5.7109375" customWidth="1"/>
    <col min="22" max="22" width="6.85546875" customWidth="1"/>
    <col min="23" max="23" width="5.7109375" customWidth="1"/>
    <col min="24" max="24" width="6.85546875" customWidth="1"/>
    <col min="25" max="25" width="5.7109375" customWidth="1"/>
    <col min="26" max="26" width="6.85546875" customWidth="1"/>
    <col min="27" max="27" width="5.7109375" customWidth="1"/>
    <col min="28" max="28" width="6.85546875" customWidth="1"/>
    <col min="29" max="29" width="6.42578125" customWidth="1"/>
    <col min="30" max="30" width="7.5703125" customWidth="1"/>
    <col min="31" max="31" width="7" customWidth="1"/>
    <col min="32" max="32" width="7.85546875" customWidth="1"/>
  </cols>
  <sheetData>
    <row r="1" spans="1:32" ht="15.75" x14ac:dyDescent="0.25">
      <c r="A1" s="516" t="s">
        <v>89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  <c r="S1" s="516"/>
      <c r="T1" s="516"/>
      <c r="U1" s="516"/>
      <c r="V1" s="516"/>
      <c r="W1" s="516"/>
      <c r="X1" s="516"/>
      <c r="Y1" s="516"/>
      <c r="Z1" s="516"/>
      <c r="AA1" s="516"/>
      <c r="AB1" s="516"/>
      <c r="AC1" s="516"/>
      <c r="AD1" s="516"/>
      <c r="AE1" s="516"/>
      <c r="AF1" s="516"/>
    </row>
    <row r="2" spans="1:32" ht="15.75" x14ac:dyDescent="0.25">
      <c r="A2" s="516" t="s">
        <v>82</v>
      </c>
      <c r="B2" s="516"/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  <c r="T2" s="516"/>
      <c r="U2" s="516"/>
      <c r="V2" s="516"/>
      <c r="W2" s="516"/>
      <c r="X2" s="516"/>
      <c r="Y2" s="516"/>
      <c r="Z2" s="516"/>
      <c r="AA2" s="516"/>
      <c r="AB2" s="516"/>
      <c r="AC2" s="516"/>
      <c r="AD2" s="516"/>
      <c r="AE2" s="516"/>
      <c r="AF2" s="516"/>
    </row>
    <row r="3" spans="1:32" ht="15.75" thickBot="1" x14ac:dyDescent="0.3">
      <c r="AF3" s="77" t="s">
        <v>1</v>
      </c>
    </row>
    <row r="4" spans="1:32" x14ac:dyDescent="0.25">
      <c r="A4" s="541" t="s">
        <v>2</v>
      </c>
      <c r="B4" s="543" t="s">
        <v>3</v>
      </c>
      <c r="C4" s="539" t="s">
        <v>114</v>
      </c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35" t="s">
        <v>84</v>
      </c>
      <c r="P4" s="536"/>
      <c r="Q4" s="547">
        <v>2016</v>
      </c>
      <c r="R4" s="551"/>
      <c r="S4" s="551"/>
      <c r="T4" s="551"/>
      <c r="U4" s="551"/>
      <c r="V4" s="551"/>
      <c r="W4" s="551"/>
      <c r="X4" s="551"/>
      <c r="Y4" s="551"/>
      <c r="Z4" s="551"/>
      <c r="AA4" s="551"/>
      <c r="AB4" s="539"/>
      <c r="AC4" s="547" t="s">
        <v>85</v>
      </c>
      <c r="AD4" s="548"/>
      <c r="AE4" s="535" t="s">
        <v>5</v>
      </c>
      <c r="AF4" s="524"/>
    </row>
    <row r="5" spans="1:32" x14ac:dyDescent="0.25">
      <c r="A5" s="542"/>
      <c r="B5" s="544"/>
      <c r="C5" s="527" t="s">
        <v>15</v>
      </c>
      <c r="D5" s="527"/>
      <c r="E5" s="527" t="s">
        <v>16</v>
      </c>
      <c r="F5" s="527"/>
      <c r="G5" s="527" t="s">
        <v>17</v>
      </c>
      <c r="H5" s="527"/>
      <c r="I5" s="527" t="s">
        <v>6</v>
      </c>
      <c r="J5" s="527"/>
      <c r="K5" s="527" t="s">
        <v>77</v>
      </c>
      <c r="L5" s="527"/>
      <c r="M5" s="527" t="s">
        <v>78</v>
      </c>
      <c r="N5" s="532"/>
      <c r="O5" s="537"/>
      <c r="P5" s="538"/>
      <c r="Q5" s="557" t="s">
        <v>79</v>
      </c>
      <c r="R5" s="534"/>
      <c r="S5" s="532" t="s">
        <v>10</v>
      </c>
      <c r="T5" s="534"/>
      <c r="U5" s="532" t="s">
        <v>11</v>
      </c>
      <c r="V5" s="534"/>
      <c r="W5" s="532" t="s">
        <v>144</v>
      </c>
      <c r="X5" s="534"/>
      <c r="Y5" s="532" t="s">
        <v>80</v>
      </c>
      <c r="Z5" s="534"/>
      <c r="AA5" s="532" t="s">
        <v>81</v>
      </c>
      <c r="AB5" s="533"/>
      <c r="AC5" s="549"/>
      <c r="AD5" s="550"/>
      <c r="AE5" s="537"/>
      <c r="AF5" s="526"/>
    </row>
    <row r="6" spans="1:32" x14ac:dyDescent="0.25">
      <c r="A6" s="542"/>
      <c r="B6" s="544"/>
      <c r="C6" s="224" t="s">
        <v>116</v>
      </c>
      <c r="D6" s="316" t="s">
        <v>117</v>
      </c>
      <c r="E6" s="225" t="s">
        <v>116</v>
      </c>
      <c r="F6" s="316" t="s">
        <v>117</v>
      </c>
      <c r="G6" s="225" t="s">
        <v>116</v>
      </c>
      <c r="H6" s="316" t="s">
        <v>117</v>
      </c>
      <c r="I6" s="225" t="s">
        <v>116</v>
      </c>
      <c r="J6" s="316" t="s">
        <v>117</v>
      </c>
      <c r="K6" s="225" t="s">
        <v>116</v>
      </c>
      <c r="L6" s="316" t="s">
        <v>117</v>
      </c>
      <c r="M6" s="225" t="s">
        <v>116</v>
      </c>
      <c r="N6" s="317" t="s">
        <v>117</v>
      </c>
      <c r="O6" s="226" t="s">
        <v>116</v>
      </c>
      <c r="P6" s="318" t="s">
        <v>117</v>
      </c>
      <c r="Q6" s="312" t="s">
        <v>116</v>
      </c>
      <c r="R6" s="314" t="s">
        <v>117</v>
      </c>
      <c r="S6" s="313" t="s">
        <v>116</v>
      </c>
      <c r="T6" s="314" t="s">
        <v>117</v>
      </c>
      <c r="U6" s="313" t="s">
        <v>116</v>
      </c>
      <c r="V6" s="314" t="s">
        <v>117</v>
      </c>
      <c r="W6" s="313" t="s">
        <v>116</v>
      </c>
      <c r="X6" s="314" t="s">
        <v>117</v>
      </c>
      <c r="Y6" s="313" t="s">
        <v>116</v>
      </c>
      <c r="Z6" s="314" t="s">
        <v>117</v>
      </c>
      <c r="AA6" s="313" t="s">
        <v>116</v>
      </c>
      <c r="AB6" s="315" t="s">
        <v>117</v>
      </c>
      <c r="AC6" s="227" t="s">
        <v>116</v>
      </c>
      <c r="AD6" s="321" t="s">
        <v>117</v>
      </c>
      <c r="AE6" s="226" t="s">
        <v>116</v>
      </c>
      <c r="AF6" s="320" t="s">
        <v>117</v>
      </c>
    </row>
    <row r="7" spans="1:32" ht="15.75" thickBot="1" x14ac:dyDescent="0.3">
      <c r="A7" s="228">
        <v>1</v>
      </c>
      <c r="B7" s="229">
        <v>2</v>
      </c>
      <c r="C7" s="229">
        <v>3</v>
      </c>
      <c r="D7" s="229">
        <v>4</v>
      </c>
      <c r="E7" s="229">
        <v>5</v>
      </c>
      <c r="F7" s="229">
        <v>6</v>
      </c>
      <c r="G7" s="229">
        <v>7</v>
      </c>
      <c r="H7" s="229">
        <v>8</v>
      </c>
      <c r="I7" s="229">
        <v>9</v>
      </c>
      <c r="J7" s="229">
        <v>10</v>
      </c>
      <c r="K7" s="229">
        <v>11</v>
      </c>
      <c r="L7" s="229">
        <v>12</v>
      </c>
      <c r="M7" s="230">
        <v>13</v>
      </c>
      <c r="N7" s="230">
        <v>14</v>
      </c>
      <c r="O7" s="231">
        <v>15</v>
      </c>
      <c r="P7" s="232">
        <v>16</v>
      </c>
      <c r="Q7" s="231">
        <v>17</v>
      </c>
      <c r="R7" s="229">
        <v>18</v>
      </c>
      <c r="S7" s="229">
        <v>19</v>
      </c>
      <c r="T7" s="229">
        <v>20</v>
      </c>
      <c r="U7" s="229">
        <v>21</v>
      </c>
      <c r="V7" s="229">
        <v>22</v>
      </c>
      <c r="W7" s="229">
        <v>23</v>
      </c>
      <c r="X7" s="229">
        <v>24</v>
      </c>
      <c r="Y7" s="229">
        <v>25</v>
      </c>
      <c r="Z7" s="229">
        <v>26</v>
      </c>
      <c r="AA7" s="229">
        <v>27</v>
      </c>
      <c r="AB7" s="230">
        <v>28</v>
      </c>
      <c r="AC7" s="231">
        <v>29</v>
      </c>
      <c r="AD7" s="232">
        <v>30</v>
      </c>
      <c r="AE7" s="231">
        <v>31</v>
      </c>
      <c r="AF7" s="233">
        <v>32</v>
      </c>
    </row>
    <row r="8" spans="1:32" ht="15.75" thickTop="1" x14ac:dyDescent="0.25">
      <c r="A8" s="234">
        <v>1</v>
      </c>
      <c r="B8" s="235" t="s">
        <v>18</v>
      </c>
      <c r="C8" s="236">
        <v>0</v>
      </c>
      <c r="D8" s="237">
        <f>'okt-mar'!C8</f>
        <v>0</v>
      </c>
      <c r="E8" s="237">
        <v>0</v>
      </c>
      <c r="F8" s="237">
        <f>'okt-mar'!D8</f>
        <v>0</v>
      </c>
      <c r="G8" s="237">
        <v>31</v>
      </c>
      <c r="H8" s="237">
        <f>'okt-mar'!E8</f>
        <v>0</v>
      </c>
      <c r="I8" s="237">
        <v>210</v>
      </c>
      <c r="J8" s="237">
        <f>'okt-mar'!F8</f>
        <v>7</v>
      </c>
      <c r="K8" s="237">
        <v>25</v>
      </c>
      <c r="L8" s="237">
        <f>'okt-mar'!G8</f>
        <v>248</v>
      </c>
      <c r="M8" s="237">
        <v>0</v>
      </c>
      <c r="N8" s="238">
        <f>'okt-mar'!H8</f>
        <v>0</v>
      </c>
      <c r="O8" s="239">
        <f t="shared" ref="O8:P15" si="0">SUM(C8,E8,G8,I8,K8,M8)</f>
        <v>266</v>
      </c>
      <c r="P8" s="240">
        <f t="shared" si="0"/>
        <v>255</v>
      </c>
      <c r="Q8" s="241">
        <v>0</v>
      </c>
      <c r="R8" s="237">
        <v>0</v>
      </c>
      <c r="S8" s="237">
        <v>10</v>
      </c>
      <c r="T8" s="237">
        <v>3</v>
      </c>
      <c r="U8" s="237">
        <v>75</v>
      </c>
      <c r="V8" s="237">
        <v>37</v>
      </c>
      <c r="W8" s="237">
        <v>0</v>
      </c>
      <c r="X8" s="237">
        <v>15</v>
      </c>
      <c r="Y8" s="237">
        <v>0</v>
      </c>
      <c r="Z8" s="237">
        <f>'padi sawah'!J9</f>
        <v>8</v>
      </c>
      <c r="AA8" s="237">
        <v>0</v>
      </c>
      <c r="AB8" s="238">
        <f>'padi sawah'!K9</f>
        <v>0</v>
      </c>
      <c r="AC8" s="239">
        <f t="shared" ref="AC8:AD15" si="1">SUM(Q8,S8,U8,W8,Y8,AA8)</f>
        <v>85</v>
      </c>
      <c r="AD8" s="240">
        <f>SUM(R8,T8,V8,X8,Z8,AB8)</f>
        <v>63</v>
      </c>
      <c r="AE8" s="242">
        <f t="shared" ref="AE8:AF15" si="2">SUM(O8,AC8)</f>
        <v>351</v>
      </c>
      <c r="AF8" s="243">
        <f t="shared" si="2"/>
        <v>318</v>
      </c>
    </row>
    <row r="9" spans="1:32" x14ac:dyDescent="0.25">
      <c r="A9" s="244">
        <v>2</v>
      </c>
      <c r="B9" s="245" t="s">
        <v>19</v>
      </c>
      <c r="C9" s="246">
        <v>10</v>
      </c>
      <c r="D9" s="247">
        <f>'okt-mar'!C9</f>
        <v>4</v>
      </c>
      <c r="E9" s="247">
        <v>10</v>
      </c>
      <c r="F9" s="247">
        <f>'okt-mar'!D9</f>
        <v>2</v>
      </c>
      <c r="G9" s="247">
        <v>105</v>
      </c>
      <c r="H9" s="247">
        <f>'okt-mar'!E9</f>
        <v>29</v>
      </c>
      <c r="I9" s="247">
        <v>78</v>
      </c>
      <c r="J9" s="247">
        <f>'okt-mar'!F9</f>
        <v>49</v>
      </c>
      <c r="K9" s="247">
        <v>0</v>
      </c>
      <c r="L9" s="247">
        <f>'okt-mar'!G9</f>
        <v>128</v>
      </c>
      <c r="M9" s="247">
        <v>95</v>
      </c>
      <c r="N9" s="250">
        <f>'okt-mar'!H9</f>
        <v>4</v>
      </c>
      <c r="O9" s="249">
        <f t="shared" si="0"/>
        <v>298</v>
      </c>
      <c r="P9" s="250">
        <f t="shared" si="0"/>
        <v>216</v>
      </c>
      <c r="Q9" s="251">
        <v>10</v>
      </c>
      <c r="R9" s="247">
        <v>5</v>
      </c>
      <c r="S9" s="247">
        <v>11</v>
      </c>
      <c r="T9" s="247">
        <v>13</v>
      </c>
      <c r="U9" s="247">
        <v>73</v>
      </c>
      <c r="V9" s="247">
        <v>38</v>
      </c>
      <c r="W9" s="247">
        <v>0</v>
      </c>
      <c r="X9" s="247">
        <v>13</v>
      </c>
      <c r="Y9" s="247">
        <v>15</v>
      </c>
      <c r="Z9" s="247">
        <f>'padi sawah'!J10</f>
        <v>31</v>
      </c>
      <c r="AA9" s="247">
        <v>0</v>
      </c>
      <c r="AB9" s="248">
        <f>'padi sawah'!K10</f>
        <v>11</v>
      </c>
      <c r="AC9" s="239">
        <f t="shared" si="1"/>
        <v>109</v>
      </c>
      <c r="AD9" s="240">
        <f t="shared" si="1"/>
        <v>111</v>
      </c>
      <c r="AE9" s="252">
        <f t="shared" si="2"/>
        <v>407</v>
      </c>
      <c r="AF9" s="253">
        <f t="shared" si="2"/>
        <v>327</v>
      </c>
    </row>
    <row r="10" spans="1:32" x14ac:dyDescent="0.25">
      <c r="A10" s="244">
        <v>3</v>
      </c>
      <c r="B10" s="235" t="s">
        <v>20</v>
      </c>
      <c r="C10" s="254">
        <v>0</v>
      </c>
      <c r="D10" s="247">
        <f>'okt-mar'!C10</f>
        <v>0</v>
      </c>
      <c r="E10" s="247">
        <v>0</v>
      </c>
      <c r="F10" s="247">
        <f>'okt-mar'!D10</f>
        <v>0</v>
      </c>
      <c r="G10" s="247">
        <v>10</v>
      </c>
      <c r="H10" s="247">
        <f>'okt-mar'!E10</f>
        <v>0</v>
      </c>
      <c r="I10" s="247">
        <v>14</v>
      </c>
      <c r="J10" s="247">
        <f>'okt-mar'!F10</f>
        <v>10</v>
      </c>
      <c r="K10" s="247">
        <v>0</v>
      </c>
      <c r="L10" s="247">
        <f>'okt-mar'!G10</f>
        <v>15</v>
      </c>
      <c r="M10" s="247">
        <v>0</v>
      </c>
      <c r="N10" s="250">
        <f>'okt-mar'!H10</f>
        <v>0</v>
      </c>
      <c r="O10" s="249">
        <f t="shared" si="0"/>
        <v>24</v>
      </c>
      <c r="P10" s="250">
        <f t="shared" si="0"/>
        <v>25</v>
      </c>
      <c r="Q10" s="251">
        <v>0</v>
      </c>
      <c r="R10" s="247">
        <v>0</v>
      </c>
      <c r="S10" s="247">
        <v>10</v>
      </c>
      <c r="T10" s="247">
        <v>10</v>
      </c>
      <c r="U10" s="247">
        <v>15</v>
      </c>
      <c r="V10" s="247">
        <v>5</v>
      </c>
      <c r="W10" s="247">
        <v>0</v>
      </c>
      <c r="X10" s="247">
        <v>0</v>
      </c>
      <c r="Y10" s="247">
        <v>0</v>
      </c>
      <c r="Z10" s="247">
        <f>'padi sawah'!J11</f>
        <v>0</v>
      </c>
      <c r="AA10" s="247">
        <v>25</v>
      </c>
      <c r="AB10" s="248">
        <f>'padi sawah'!K11</f>
        <v>5</v>
      </c>
      <c r="AC10" s="239">
        <f t="shared" si="1"/>
        <v>50</v>
      </c>
      <c r="AD10" s="240">
        <f t="shared" si="1"/>
        <v>20</v>
      </c>
      <c r="AE10" s="252">
        <f t="shared" si="2"/>
        <v>74</v>
      </c>
      <c r="AF10" s="253">
        <f t="shared" si="2"/>
        <v>45</v>
      </c>
    </row>
    <row r="11" spans="1:32" x14ac:dyDescent="0.25">
      <c r="A11" s="255">
        <v>4</v>
      </c>
      <c r="B11" s="256" t="s">
        <v>21</v>
      </c>
      <c r="C11" s="257">
        <v>0</v>
      </c>
      <c r="D11" s="247">
        <f>'okt-mar'!C11</f>
        <v>1</v>
      </c>
      <c r="E11" s="247">
        <v>0</v>
      </c>
      <c r="F11" s="247">
        <f>'okt-mar'!D11</f>
        <v>2</v>
      </c>
      <c r="G11" s="247">
        <v>68</v>
      </c>
      <c r="H11" s="247">
        <f>'okt-mar'!E11</f>
        <v>16</v>
      </c>
      <c r="I11" s="247">
        <v>144</v>
      </c>
      <c r="J11" s="247">
        <f>'okt-mar'!F11</f>
        <v>182</v>
      </c>
      <c r="K11" s="247">
        <v>0</v>
      </c>
      <c r="L11" s="247">
        <f>'okt-mar'!G11</f>
        <v>1</v>
      </c>
      <c r="M11" s="247">
        <v>0</v>
      </c>
      <c r="N11" s="250">
        <f>'okt-mar'!H11</f>
        <v>1</v>
      </c>
      <c r="O11" s="249">
        <f t="shared" si="0"/>
        <v>212</v>
      </c>
      <c r="P11" s="250">
        <f t="shared" si="0"/>
        <v>203</v>
      </c>
      <c r="Q11" s="251">
        <v>5</v>
      </c>
      <c r="R11" s="247">
        <v>0</v>
      </c>
      <c r="S11" s="247">
        <v>35</v>
      </c>
      <c r="T11" s="247">
        <v>21</v>
      </c>
      <c r="U11" s="247">
        <v>0</v>
      </c>
      <c r="V11" s="247">
        <v>11</v>
      </c>
      <c r="W11" s="247">
        <v>0</v>
      </c>
      <c r="X11" s="247">
        <v>4</v>
      </c>
      <c r="Y11" s="247">
        <v>0</v>
      </c>
      <c r="Z11" s="247">
        <f>'padi sawah'!J12</f>
        <v>1</v>
      </c>
      <c r="AA11" s="247">
        <v>0</v>
      </c>
      <c r="AB11" s="248">
        <f>'padi sawah'!K12</f>
        <v>5</v>
      </c>
      <c r="AC11" s="239">
        <f t="shared" si="1"/>
        <v>40</v>
      </c>
      <c r="AD11" s="240">
        <f t="shared" si="1"/>
        <v>42</v>
      </c>
      <c r="AE11" s="252">
        <f t="shared" si="2"/>
        <v>252</v>
      </c>
      <c r="AF11" s="253">
        <f t="shared" si="2"/>
        <v>245</v>
      </c>
    </row>
    <row r="12" spans="1:32" x14ac:dyDescent="0.25">
      <c r="A12" s="255">
        <v>5</v>
      </c>
      <c r="B12" s="258" t="s">
        <v>22</v>
      </c>
      <c r="C12" s="259">
        <v>0</v>
      </c>
      <c r="D12" s="247">
        <f>'okt-mar'!C12</f>
        <v>0</v>
      </c>
      <c r="E12" s="247">
        <v>0</v>
      </c>
      <c r="F12" s="247">
        <f>'okt-mar'!D12</f>
        <v>0</v>
      </c>
      <c r="G12" s="247">
        <v>50</v>
      </c>
      <c r="H12" s="247">
        <f>'okt-mar'!E12</f>
        <v>0</v>
      </c>
      <c r="I12" s="247">
        <v>124</v>
      </c>
      <c r="J12" s="247">
        <f>'okt-mar'!F12</f>
        <v>45</v>
      </c>
      <c r="K12" s="247">
        <v>0</v>
      </c>
      <c r="L12" s="247">
        <f>'okt-mar'!G12</f>
        <v>119</v>
      </c>
      <c r="M12" s="247">
        <v>0</v>
      </c>
      <c r="N12" s="250">
        <f>'okt-mar'!H12</f>
        <v>0</v>
      </c>
      <c r="O12" s="249">
        <f t="shared" si="0"/>
        <v>174</v>
      </c>
      <c r="P12" s="250">
        <f t="shared" si="0"/>
        <v>164</v>
      </c>
      <c r="Q12" s="251">
        <v>0</v>
      </c>
      <c r="R12" s="247">
        <v>0</v>
      </c>
      <c r="S12" s="247">
        <v>20</v>
      </c>
      <c r="T12" s="247">
        <v>20</v>
      </c>
      <c r="U12" s="247">
        <v>0</v>
      </c>
      <c r="V12" s="247">
        <v>0</v>
      </c>
      <c r="W12" s="247">
        <v>0</v>
      </c>
      <c r="X12" s="247">
        <v>0</v>
      </c>
      <c r="Y12" s="247">
        <v>10</v>
      </c>
      <c r="Z12" s="247">
        <f>'padi sawah'!J13</f>
        <v>0</v>
      </c>
      <c r="AA12" s="247">
        <v>0</v>
      </c>
      <c r="AB12" s="248">
        <f>'padi sawah'!K13</f>
        <v>10</v>
      </c>
      <c r="AC12" s="239">
        <f t="shared" si="1"/>
        <v>30</v>
      </c>
      <c r="AD12" s="240">
        <f t="shared" si="1"/>
        <v>30</v>
      </c>
      <c r="AE12" s="252">
        <f t="shared" si="2"/>
        <v>204</v>
      </c>
      <c r="AF12" s="253">
        <f t="shared" si="2"/>
        <v>194</v>
      </c>
    </row>
    <row r="13" spans="1:32" x14ac:dyDescent="0.25">
      <c r="A13" s="255">
        <v>6</v>
      </c>
      <c r="B13" s="258" t="s">
        <v>23</v>
      </c>
      <c r="C13" s="259">
        <v>0</v>
      </c>
      <c r="D13" s="247">
        <f>'okt-mar'!C13</f>
        <v>0</v>
      </c>
      <c r="E13" s="247">
        <v>10</v>
      </c>
      <c r="F13" s="247">
        <f>'okt-mar'!D13</f>
        <v>5</v>
      </c>
      <c r="G13" s="247">
        <v>25</v>
      </c>
      <c r="H13" s="247">
        <f>'okt-mar'!E13</f>
        <v>7</v>
      </c>
      <c r="I13" s="247">
        <v>19</v>
      </c>
      <c r="J13" s="247">
        <f>'okt-mar'!F13</f>
        <v>29</v>
      </c>
      <c r="K13" s="247">
        <v>0</v>
      </c>
      <c r="L13" s="247">
        <f>'okt-mar'!G13</f>
        <v>18</v>
      </c>
      <c r="M13" s="247">
        <v>4</v>
      </c>
      <c r="N13" s="250">
        <f>'okt-mar'!H13</f>
        <v>0</v>
      </c>
      <c r="O13" s="249">
        <f t="shared" si="0"/>
        <v>58</v>
      </c>
      <c r="P13" s="250">
        <f t="shared" si="0"/>
        <v>59</v>
      </c>
      <c r="Q13" s="251">
        <v>35</v>
      </c>
      <c r="R13" s="247">
        <v>0</v>
      </c>
      <c r="S13" s="247">
        <v>0</v>
      </c>
      <c r="T13" s="247">
        <v>10</v>
      </c>
      <c r="U13" s="247">
        <v>0</v>
      </c>
      <c r="V13" s="247">
        <v>25</v>
      </c>
      <c r="W13" s="247">
        <v>0</v>
      </c>
      <c r="X13" s="247">
        <v>0</v>
      </c>
      <c r="Y13" s="247">
        <v>0</v>
      </c>
      <c r="Z13" s="247">
        <f>'padi sawah'!J14</f>
        <v>0</v>
      </c>
      <c r="AA13" s="247">
        <v>0</v>
      </c>
      <c r="AB13" s="248">
        <f>'padi sawah'!K14</f>
        <v>0</v>
      </c>
      <c r="AC13" s="239">
        <f t="shared" si="1"/>
        <v>35</v>
      </c>
      <c r="AD13" s="240">
        <f t="shared" si="1"/>
        <v>35</v>
      </c>
      <c r="AE13" s="252">
        <f t="shared" si="2"/>
        <v>93</v>
      </c>
      <c r="AF13" s="253">
        <f t="shared" si="2"/>
        <v>94</v>
      </c>
    </row>
    <row r="14" spans="1:32" x14ac:dyDescent="0.25">
      <c r="A14" s="255">
        <v>7</v>
      </c>
      <c r="B14" s="258" t="s">
        <v>24</v>
      </c>
      <c r="C14" s="259">
        <v>0</v>
      </c>
      <c r="D14" s="247">
        <f>'okt-mar'!C14</f>
        <v>0</v>
      </c>
      <c r="E14" s="247">
        <v>0</v>
      </c>
      <c r="F14" s="247">
        <f>'okt-mar'!D14</f>
        <v>5</v>
      </c>
      <c r="G14" s="247">
        <v>122</v>
      </c>
      <c r="H14" s="247">
        <f>'okt-mar'!E14</f>
        <v>179</v>
      </c>
      <c r="I14" s="247">
        <v>245</v>
      </c>
      <c r="J14" s="247">
        <f>'okt-mar'!F14</f>
        <v>104</v>
      </c>
      <c r="K14" s="247">
        <v>0</v>
      </c>
      <c r="L14" s="247">
        <f>'okt-mar'!G14</f>
        <v>59</v>
      </c>
      <c r="M14" s="247">
        <v>0</v>
      </c>
      <c r="N14" s="250">
        <f>'okt-mar'!H14</f>
        <v>1</v>
      </c>
      <c r="O14" s="249">
        <f t="shared" si="0"/>
        <v>367</v>
      </c>
      <c r="P14" s="250">
        <f t="shared" si="0"/>
        <v>348</v>
      </c>
      <c r="Q14" s="251">
        <v>103</v>
      </c>
      <c r="R14" s="247">
        <v>1</v>
      </c>
      <c r="S14" s="247">
        <v>104</v>
      </c>
      <c r="T14" s="247">
        <v>48</v>
      </c>
      <c r="U14" s="247">
        <v>0</v>
      </c>
      <c r="V14" s="247">
        <v>189</v>
      </c>
      <c r="W14" s="247">
        <v>0</v>
      </c>
      <c r="X14" s="247">
        <v>12</v>
      </c>
      <c r="Y14" s="247">
        <v>0</v>
      </c>
      <c r="Z14" s="247">
        <f>'padi sawah'!J15</f>
        <v>3</v>
      </c>
      <c r="AA14" s="247">
        <v>0</v>
      </c>
      <c r="AB14" s="248">
        <f>'padi sawah'!K15</f>
        <v>1</v>
      </c>
      <c r="AC14" s="239">
        <f t="shared" si="1"/>
        <v>207</v>
      </c>
      <c r="AD14" s="240">
        <f t="shared" si="1"/>
        <v>254</v>
      </c>
      <c r="AE14" s="252">
        <f t="shared" si="2"/>
        <v>574</v>
      </c>
      <c r="AF14" s="253">
        <f t="shared" si="2"/>
        <v>602</v>
      </c>
    </row>
    <row r="15" spans="1:32" ht="15.75" thickBot="1" x14ac:dyDescent="0.3">
      <c r="A15" s="260">
        <v>8</v>
      </c>
      <c r="B15" s="256" t="s">
        <v>25</v>
      </c>
      <c r="C15" s="261">
        <v>0</v>
      </c>
      <c r="D15" s="263">
        <f>'okt-mar'!C15</f>
        <v>1</v>
      </c>
      <c r="E15" s="263">
        <v>25</v>
      </c>
      <c r="F15" s="263">
        <f>'okt-mar'!D15</f>
        <v>1</v>
      </c>
      <c r="G15" s="263">
        <v>126</v>
      </c>
      <c r="H15" s="263">
        <f>'okt-mar'!E15</f>
        <v>42</v>
      </c>
      <c r="I15" s="262">
        <v>125</v>
      </c>
      <c r="J15" s="263">
        <f>'okt-mar'!F15</f>
        <v>64</v>
      </c>
      <c r="K15" s="263">
        <v>0</v>
      </c>
      <c r="L15" s="263">
        <f>'okt-mar'!G15</f>
        <v>145</v>
      </c>
      <c r="M15" s="263">
        <v>20</v>
      </c>
      <c r="N15" s="264">
        <f>'okt-mar'!H15</f>
        <v>6</v>
      </c>
      <c r="O15" s="265">
        <f t="shared" si="0"/>
        <v>296</v>
      </c>
      <c r="P15" s="266">
        <f t="shared" si="0"/>
        <v>259</v>
      </c>
      <c r="Q15" s="267">
        <v>25</v>
      </c>
      <c r="R15" s="263">
        <v>26</v>
      </c>
      <c r="S15" s="263">
        <v>142</v>
      </c>
      <c r="T15" s="263">
        <v>66</v>
      </c>
      <c r="U15" s="263">
        <v>41</v>
      </c>
      <c r="V15" s="263">
        <v>101</v>
      </c>
      <c r="W15" s="263">
        <v>0</v>
      </c>
      <c r="X15" s="263">
        <v>0</v>
      </c>
      <c r="Y15" s="263">
        <v>0</v>
      </c>
      <c r="Z15" s="263">
        <f>'padi sawah'!J16</f>
        <v>48</v>
      </c>
      <c r="AA15" s="263">
        <v>5</v>
      </c>
      <c r="AB15" s="264">
        <f>'padi sawah'!K16</f>
        <v>27</v>
      </c>
      <c r="AC15" s="239">
        <f t="shared" si="1"/>
        <v>213</v>
      </c>
      <c r="AD15" s="240">
        <f t="shared" si="1"/>
        <v>268</v>
      </c>
      <c r="AE15" s="268">
        <f t="shared" si="2"/>
        <v>509</v>
      </c>
      <c r="AF15" s="269">
        <f t="shared" si="2"/>
        <v>527</v>
      </c>
    </row>
    <row r="16" spans="1:32" ht="16.5" thickTop="1" thickBot="1" x14ac:dyDescent="0.3">
      <c r="A16" s="545" t="s">
        <v>26</v>
      </c>
      <c r="B16" s="546"/>
      <c r="C16" s="270">
        <f t="shared" ref="C16:AB16" si="3">SUM(C8:C15)</f>
        <v>10</v>
      </c>
      <c r="D16" s="270">
        <f t="shared" si="3"/>
        <v>6</v>
      </c>
      <c r="E16" s="270">
        <f t="shared" si="3"/>
        <v>45</v>
      </c>
      <c r="F16" s="270">
        <f t="shared" si="3"/>
        <v>15</v>
      </c>
      <c r="G16" s="270">
        <f t="shared" si="3"/>
        <v>537</v>
      </c>
      <c r="H16" s="270">
        <f t="shared" si="3"/>
        <v>273</v>
      </c>
      <c r="I16" s="270">
        <f t="shared" si="3"/>
        <v>959</v>
      </c>
      <c r="J16" s="270">
        <f t="shared" si="3"/>
        <v>490</v>
      </c>
      <c r="K16" s="270">
        <f t="shared" si="3"/>
        <v>25</v>
      </c>
      <c r="L16" s="270">
        <f t="shared" si="3"/>
        <v>733</v>
      </c>
      <c r="M16" s="270">
        <f t="shared" si="3"/>
        <v>119</v>
      </c>
      <c r="N16" s="271">
        <f t="shared" si="3"/>
        <v>12</v>
      </c>
      <c r="O16" s="272">
        <f t="shared" si="3"/>
        <v>1695</v>
      </c>
      <c r="P16" s="273">
        <f t="shared" si="3"/>
        <v>1529</v>
      </c>
      <c r="Q16" s="274">
        <f t="shared" si="3"/>
        <v>178</v>
      </c>
      <c r="R16" s="275">
        <f t="shared" si="3"/>
        <v>32</v>
      </c>
      <c r="S16" s="275">
        <f t="shared" si="3"/>
        <v>332</v>
      </c>
      <c r="T16" s="275">
        <f t="shared" si="3"/>
        <v>191</v>
      </c>
      <c r="U16" s="275">
        <f t="shared" si="3"/>
        <v>204</v>
      </c>
      <c r="V16" s="275">
        <f t="shared" si="3"/>
        <v>406</v>
      </c>
      <c r="W16" s="275">
        <f t="shared" si="3"/>
        <v>0</v>
      </c>
      <c r="X16" s="275">
        <f t="shared" si="3"/>
        <v>44</v>
      </c>
      <c r="Y16" s="275">
        <f t="shared" si="3"/>
        <v>25</v>
      </c>
      <c r="Z16" s="275">
        <f t="shared" si="3"/>
        <v>91</v>
      </c>
      <c r="AA16" s="275">
        <f t="shared" si="3"/>
        <v>30</v>
      </c>
      <c r="AB16" s="276">
        <f t="shared" si="3"/>
        <v>59</v>
      </c>
      <c r="AC16" s="277">
        <f>SUM(AC8:AC15)</f>
        <v>769</v>
      </c>
      <c r="AD16" s="278">
        <f>SUM(AD8:AD15)</f>
        <v>823</v>
      </c>
      <c r="AE16" s="277">
        <f>SUM(O16,AC16)</f>
        <v>2464</v>
      </c>
      <c r="AF16" s="279">
        <f>SUM(AF8:AF15)</f>
        <v>2352</v>
      </c>
    </row>
    <row r="17" spans="1:32" x14ac:dyDescent="0.25">
      <c r="A17" t="s">
        <v>148</v>
      </c>
    </row>
    <row r="19" spans="1:32" ht="15.75" x14ac:dyDescent="0.25">
      <c r="A19" s="384" t="s">
        <v>89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R19" s="384"/>
      <c r="S19" s="384"/>
      <c r="T19" s="384"/>
      <c r="U19" s="384"/>
      <c r="V19" s="384"/>
      <c r="W19" s="384"/>
      <c r="X19" s="384"/>
      <c r="Y19" s="384"/>
      <c r="Z19" s="384"/>
      <c r="AA19" s="384"/>
      <c r="AB19" s="384"/>
      <c r="AC19" s="384"/>
      <c r="AD19" s="384"/>
      <c r="AE19" s="384"/>
      <c r="AF19" s="384"/>
    </row>
    <row r="20" spans="1:32" ht="15.75" x14ac:dyDescent="0.25">
      <c r="A20" s="384" t="s">
        <v>82</v>
      </c>
      <c r="B20" s="384"/>
      <c r="C20" s="384"/>
      <c r="D20" s="384"/>
      <c r="E20" s="384"/>
      <c r="F20" s="384"/>
      <c r="G20" s="384"/>
      <c r="H20" s="384"/>
      <c r="I20" s="384"/>
      <c r="J20" s="384"/>
      <c r="K20" s="384"/>
      <c r="L20" s="384"/>
      <c r="M20" s="384"/>
      <c r="N20" s="384"/>
      <c r="O20" s="384"/>
      <c r="P20" s="384"/>
      <c r="Q20" s="384"/>
      <c r="R20" s="384"/>
      <c r="S20" s="384"/>
      <c r="T20" s="384"/>
      <c r="U20" s="384"/>
      <c r="V20" s="384"/>
      <c r="W20" s="384"/>
      <c r="X20" s="384"/>
      <c r="Y20" s="384"/>
      <c r="Z20" s="384"/>
      <c r="AA20" s="384"/>
      <c r="AB20" s="384"/>
      <c r="AC20" s="384"/>
      <c r="AD20" s="384"/>
      <c r="AE20" s="384"/>
      <c r="AF20" s="384"/>
    </row>
    <row r="21" spans="1:32" ht="15.75" thickBot="1" x14ac:dyDescent="0.3">
      <c r="AF21" s="77" t="s">
        <v>1</v>
      </c>
    </row>
    <row r="22" spans="1:32" x14ac:dyDescent="0.25">
      <c r="A22" s="541" t="s">
        <v>2</v>
      </c>
      <c r="B22" s="543" t="s">
        <v>3</v>
      </c>
      <c r="C22" s="539" t="s">
        <v>114</v>
      </c>
      <c r="D22" s="540"/>
      <c r="E22" s="540"/>
      <c r="F22" s="540"/>
      <c r="G22" s="540"/>
      <c r="H22" s="540"/>
      <c r="I22" s="540"/>
      <c r="J22" s="540"/>
      <c r="K22" s="540"/>
      <c r="L22" s="540"/>
      <c r="M22" s="540"/>
      <c r="N22" s="540"/>
      <c r="O22" s="535" t="s">
        <v>84</v>
      </c>
      <c r="P22" s="536"/>
      <c r="Q22" s="547">
        <v>2016</v>
      </c>
      <c r="R22" s="551"/>
      <c r="S22" s="551"/>
      <c r="T22" s="551"/>
      <c r="U22" s="551"/>
      <c r="V22" s="551"/>
      <c r="W22" s="551"/>
      <c r="X22" s="551"/>
      <c r="Y22" s="551"/>
      <c r="Z22" s="551"/>
      <c r="AA22" s="551"/>
      <c r="AB22" s="539"/>
      <c r="AC22" s="547" t="s">
        <v>85</v>
      </c>
      <c r="AD22" s="548"/>
      <c r="AE22" s="535" t="s">
        <v>5</v>
      </c>
      <c r="AF22" s="524"/>
    </row>
    <row r="23" spans="1:32" x14ac:dyDescent="0.25">
      <c r="A23" s="542"/>
      <c r="B23" s="544"/>
      <c r="C23" s="527" t="s">
        <v>15</v>
      </c>
      <c r="D23" s="527"/>
      <c r="E23" s="527" t="s">
        <v>16</v>
      </c>
      <c r="F23" s="527"/>
      <c r="G23" s="527" t="s">
        <v>17</v>
      </c>
      <c r="H23" s="527"/>
      <c r="I23" s="527" t="s">
        <v>6</v>
      </c>
      <c r="J23" s="527"/>
      <c r="K23" s="527" t="s">
        <v>77</v>
      </c>
      <c r="L23" s="527"/>
      <c r="M23" s="527" t="s">
        <v>78</v>
      </c>
      <c r="N23" s="532"/>
      <c r="O23" s="537"/>
      <c r="P23" s="538"/>
      <c r="Q23" s="557" t="s">
        <v>79</v>
      </c>
      <c r="R23" s="534"/>
      <c r="S23" s="532" t="s">
        <v>10</v>
      </c>
      <c r="T23" s="534"/>
      <c r="U23" s="532" t="s">
        <v>138</v>
      </c>
      <c r="V23" s="534"/>
      <c r="W23" s="532" t="s">
        <v>12</v>
      </c>
      <c r="X23" s="534"/>
      <c r="Y23" s="532" t="s">
        <v>80</v>
      </c>
      <c r="Z23" s="534"/>
      <c r="AA23" s="532" t="s">
        <v>81</v>
      </c>
      <c r="AB23" s="533"/>
      <c r="AC23" s="549"/>
      <c r="AD23" s="550"/>
      <c r="AE23" s="537"/>
      <c r="AF23" s="526"/>
    </row>
    <row r="24" spans="1:32" x14ac:dyDescent="0.25">
      <c r="A24" s="542"/>
      <c r="B24" s="544"/>
      <c r="C24" s="224" t="s">
        <v>116</v>
      </c>
      <c r="D24" s="316" t="s">
        <v>117</v>
      </c>
      <c r="E24" s="225" t="s">
        <v>116</v>
      </c>
      <c r="F24" s="316" t="s">
        <v>117</v>
      </c>
      <c r="G24" s="225" t="s">
        <v>116</v>
      </c>
      <c r="H24" s="316" t="s">
        <v>117</v>
      </c>
      <c r="I24" s="225" t="s">
        <v>116</v>
      </c>
      <c r="J24" s="316" t="s">
        <v>117</v>
      </c>
      <c r="K24" s="225" t="s">
        <v>116</v>
      </c>
      <c r="L24" s="316" t="s">
        <v>117</v>
      </c>
      <c r="M24" s="225" t="s">
        <v>116</v>
      </c>
      <c r="N24" s="317" t="s">
        <v>117</v>
      </c>
      <c r="O24" s="226" t="s">
        <v>116</v>
      </c>
      <c r="P24" s="318" t="s">
        <v>117</v>
      </c>
      <c r="Q24" s="312" t="s">
        <v>116</v>
      </c>
      <c r="R24" s="314" t="s">
        <v>117</v>
      </c>
      <c r="S24" s="313" t="s">
        <v>116</v>
      </c>
      <c r="T24" s="314" t="s">
        <v>117</v>
      </c>
      <c r="U24" s="313" t="s">
        <v>116</v>
      </c>
      <c r="V24" s="314" t="s">
        <v>117</v>
      </c>
      <c r="W24" s="313" t="s">
        <v>116</v>
      </c>
      <c r="X24" s="314" t="s">
        <v>117</v>
      </c>
      <c r="Y24" s="313" t="s">
        <v>116</v>
      </c>
      <c r="Z24" s="314" t="s">
        <v>117</v>
      </c>
      <c r="AA24" s="313" t="s">
        <v>116</v>
      </c>
      <c r="AB24" s="315" t="s">
        <v>117</v>
      </c>
      <c r="AC24" s="359" t="s">
        <v>116</v>
      </c>
      <c r="AD24" s="321" t="s">
        <v>117</v>
      </c>
      <c r="AE24" s="226" t="s">
        <v>116</v>
      </c>
      <c r="AF24" s="320" t="s">
        <v>117</v>
      </c>
    </row>
    <row r="25" spans="1:32" ht="15.75" thickBot="1" x14ac:dyDescent="0.3">
      <c r="A25" s="228">
        <v>1</v>
      </c>
      <c r="B25" s="229">
        <v>2</v>
      </c>
      <c r="C25" s="229">
        <v>3</v>
      </c>
      <c r="D25" s="229">
        <v>4</v>
      </c>
      <c r="E25" s="229">
        <v>5</v>
      </c>
      <c r="F25" s="229">
        <v>6</v>
      </c>
      <c r="G25" s="229">
        <v>7</v>
      </c>
      <c r="H25" s="229">
        <v>8</v>
      </c>
      <c r="I25" s="229">
        <v>9</v>
      </c>
      <c r="J25" s="229">
        <v>10</v>
      </c>
      <c r="K25" s="229">
        <v>11</v>
      </c>
      <c r="L25" s="229">
        <v>12</v>
      </c>
      <c r="M25" s="230">
        <v>13</v>
      </c>
      <c r="N25" s="230">
        <v>14</v>
      </c>
      <c r="O25" s="231">
        <v>15</v>
      </c>
      <c r="P25" s="232">
        <v>16</v>
      </c>
      <c r="Q25" s="231">
        <v>17</v>
      </c>
      <c r="R25" s="229">
        <v>18</v>
      </c>
      <c r="S25" s="229">
        <v>19</v>
      </c>
      <c r="T25" s="229">
        <v>20</v>
      </c>
      <c r="U25" s="229">
        <v>21</v>
      </c>
      <c r="V25" s="229">
        <v>22</v>
      </c>
      <c r="W25" s="229">
        <v>23</v>
      </c>
      <c r="X25" s="229">
        <v>24</v>
      </c>
      <c r="Y25" s="229">
        <v>25</v>
      </c>
      <c r="Z25" s="229">
        <v>26</v>
      </c>
      <c r="AA25" s="229">
        <v>27</v>
      </c>
      <c r="AB25" s="230">
        <v>28</v>
      </c>
      <c r="AC25" s="231">
        <v>29</v>
      </c>
      <c r="AD25" s="232">
        <v>30</v>
      </c>
      <c r="AE25" s="231">
        <v>31</v>
      </c>
      <c r="AF25" s="233">
        <v>32</v>
      </c>
    </row>
    <row r="26" spans="1:32" ht="15.75" thickTop="1" x14ac:dyDescent="0.25">
      <c r="A26" s="234">
        <v>1</v>
      </c>
      <c r="B26" s="235" t="s">
        <v>18</v>
      </c>
      <c r="C26" s="236">
        <v>0</v>
      </c>
      <c r="D26" s="237">
        <v>0</v>
      </c>
      <c r="E26" s="237">
        <v>0</v>
      </c>
      <c r="F26" s="237">
        <v>0</v>
      </c>
      <c r="G26" s="237">
        <v>31</v>
      </c>
      <c r="H26" s="237">
        <v>0</v>
      </c>
      <c r="I26" s="237">
        <v>210</v>
      </c>
      <c r="J26" s="237">
        <v>7</v>
      </c>
      <c r="K26" s="237">
        <v>25</v>
      </c>
      <c r="L26" s="237">
        <v>237</v>
      </c>
      <c r="M26" s="237">
        <v>0</v>
      </c>
      <c r="N26" s="238">
        <v>0</v>
      </c>
      <c r="O26" s="239">
        <f t="shared" ref="O26:P33" si="4">SUM(C26,E26,G26,I26,K26,M26)</f>
        <v>266</v>
      </c>
      <c r="P26" s="240">
        <f t="shared" si="4"/>
        <v>244</v>
      </c>
      <c r="Q26" s="241">
        <v>0</v>
      </c>
      <c r="R26" s="237">
        <v>0</v>
      </c>
      <c r="S26" s="237">
        <v>10</v>
      </c>
      <c r="T26" s="237">
        <v>3</v>
      </c>
      <c r="U26" s="237">
        <v>75</v>
      </c>
      <c r="V26" s="237">
        <v>0</v>
      </c>
      <c r="W26" s="237">
        <v>0</v>
      </c>
      <c r="X26" s="237">
        <f>'padi sawah'!I27</f>
        <v>0</v>
      </c>
      <c r="Y26" s="237">
        <v>0</v>
      </c>
      <c r="Z26" s="237">
        <f>'padi sawah'!J27</f>
        <v>0</v>
      </c>
      <c r="AA26" s="237">
        <v>0</v>
      </c>
      <c r="AB26" s="238">
        <f>'padi sawah'!K27</f>
        <v>0</v>
      </c>
      <c r="AC26" s="239">
        <f t="shared" ref="AC26:AD33" si="5">SUM(Q26,S26,U26,W26,Y26,AA26)</f>
        <v>85</v>
      </c>
      <c r="AD26" s="240">
        <f>SUM(R26,T26,V26,X26,Z26,AB26)</f>
        <v>3</v>
      </c>
      <c r="AE26" s="242">
        <f t="shared" ref="AE26:AF33" si="6">SUM(O26,AC26)</f>
        <v>351</v>
      </c>
      <c r="AF26" s="243">
        <f t="shared" si="6"/>
        <v>247</v>
      </c>
    </row>
    <row r="27" spans="1:32" x14ac:dyDescent="0.25">
      <c r="A27" s="244">
        <v>2</v>
      </c>
      <c r="B27" s="245" t="s">
        <v>19</v>
      </c>
      <c r="C27" s="246">
        <v>10</v>
      </c>
      <c r="D27" s="247">
        <v>4</v>
      </c>
      <c r="E27" s="247">
        <v>10</v>
      </c>
      <c r="F27" s="247">
        <v>2</v>
      </c>
      <c r="G27" s="247">
        <v>105</v>
      </c>
      <c r="H27" s="247">
        <v>29</v>
      </c>
      <c r="I27" s="247">
        <v>78</v>
      </c>
      <c r="J27" s="247">
        <v>49</v>
      </c>
      <c r="K27" s="247">
        <v>0</v>
      </c>
      <c r="L27" s="247">
        <v>57</v>
      </c>
      <c r="M27" s="247">
        <v>95</v>
      </c>
      <c r="N27" s="250">
        <v>4</v>
      </c>
      <c r="O27" s="249">
        <f t="shared" si="4"/>
        <v>298</v>
      </c>
      <c r="P27" s="250">
        <f t="shared" si="4"/>
        <v>145</v>
      </c>
      <c r="Q27" s="251">
        <v>10</v>
      </c>
      <c r="R27" s="247">
        <v>5</v>
      </c>
      <c r="S27" s="247">
        <v>11</v>
      </c>
      <c r="T27" s="247">
        <v>13</v>
      </c>
      <c r="U27" s="247">
        <v>73</v>
      </c>
      <c r="V27" s="247">
        <v>26</v>
      </c>
      <c r="W27" s="247">
        <v>0</v>
      </c>
      <c r="X27" s="247">
        <f>'padi sawah'!I28</f>
        <v>0</v>
      </c>
      <c r="Y27" s="247">
        <v>15</v>
      </c>
      <c r="Z27" s="247">
        <f>'padi sawah'!J28</f>
        <v>0</v>
      </c>
      <c r="AA27" s="247">
        <v>0</v>
      </c>
      <c r="AB27" s="248">
        <f>'padi sawah'!K28</f>
        <v>0</v>
      </c>
      <c r="AC27" s="239">
        <f t="shared" si="5"/>
        <v>109</v>
      </c>
      <c r="AD27" s="240">
        <f t="shared" si="5"/>
        <v>44</v>
      </c>
      <c r="AE27" s="252">
        <f t="shared" si="6"/>
        <v>407</v>
      </c>
      <c r="AF27" s="253">
        <f t="shared" si="6"/>
        <v>189</v>
      </c>
    </row>
    <row r="28" spans="1:32" x14ac:dyDescent="0.25">
      <c r="A28" s="244">
        <v>3</v>
      </c>
      <c r="B28" s="235" t="s">
        <v>20</v>
      </c>
      <c r="C28" s="254">
        <v>0</v>
      </c>
      <c r="D28" s="247">
        <v>0</v>
      </c>
      <c r="E28" s="247">
        <v>0</v>
      </c>
      <c r="F28" s="247">
        <v>0</v>
      </c>
      <c r="G28" s="247">
        <v>10</v>
      </c>
      <c r="H28" s="247">
        <v>0</v>
      </c>
      <c r="I28" s="247">
        <v>14</v>
      </c>
      <c r="J28" s="247">
        <v>10</v>
      </c>
      <c r="K28" s="247">
        <v>0</v>
      </c>
      <c r="L28" s="247">
        <v>15</v>
      </c>
      <c r="M28" s="247">
        <v>0</v>
      </c>
      <c r="N28" s="250">
        <v>0</v>
      </c>
      <c r="O28" s="249">
        <f t="shared" si="4"/>
        <v>24</v>
      </c>
      <c r="P28" s="250">
        <f t="shared" si="4"/>
        <v>25</v>
      </c>
      <c r="Q28" s="251">
        <v>0</v>
      </c>
      <c r="R28" s="247">
        <v>0</v>
      </c>
      <c r="S28" s="247">
        <v>10</v>
      </c>
      <c r="T28" s="247">
        <v>10</v>
      </c>
      <c r="U28" s="247">
        <v>15</v>
      </c>
      <c r="V28" s="247">
        <v>0</v>
      </c>
      <c r="W28" s="247">
        <v>0</v>
      </c>
      <c r="X28" s="247">
        <f>'padi sawah'!I29</f>
        <v>0</v>
      </c>
      <c r="Y28" s="247">
        <v>0</v>
      </c>
      <c r="Z28" s="247">
        <f>'padi sawah'!J29</f>
        <v>0</v>
      </c>
      <c r="AA28" s="247">
        <v>25</v>
      </c>
      <c r="AB28" s="248">
        <f>'padi sawah'!K29</f>
        <v>0</v>
      </c>
      <c r="AC28" s="239">
        <f t="shared" si="5"/>
        <v>50</v>
      </c>
      <c r="AD28" s="240">
        <f t="shared" si="5"/>
        <v>10</v>
      </c>
      <c r="AE28" s="252">
        <f t="shared" si="6"/>
        <v>74</v>
      </c>
      <c r="AF28" s="253">
        <f t="shared" si="6"/>
        <v>35</v>
      </c>
    </row>
    <row r="29" spans="1:32" x14ac:dyDescent="0.25">
      <c r="A29" s="255">
        <v>4</v>
      </c>
      <c r="B29" s="256" t="s">
        <v>21</v>
      </c>
      <c r="C29" s="257">
        <v>0</v>
      </c>
      <c r="D29" s="247">
        <v>1</v>
      </c>
      <c r="E29" s="247">
        <v>0</v>
      </c>
      <c r="F29" s="247">
        <v>2</v>
      </c>
      <c r="G29" s="247">
        <v>68</v>
      </c>
      <c r="H29" s="247">
        <v>16</v>
      </c>
      <c r="I29" s="247">
        <v>144</v>
      </c>
      <c r="J29" s="247">
        <v>182</v>
      </c>
      <c r="K29" s="247">
        <v>0</v>
      </c>
      <c r="L29" s="247">
        <v>1</v>
      </c>
      <c r="M29" s="247">
        <v>0</v>
      </c>
      <c r="N29" s="250">
        <v>1</v>
      </c>
      <c r="O29" s="249">
        <f t="shared" si="4"/>
        <v>212</v>
      </c>
      <c r="P29" s="250">
        <f t="shared" si="4"/>
        <v>203</v>
      </c>
      <c r="Q29" s="251">
        <v>5</v>
      </c>
      <c r="R29" s="247">
        <v>0</v>
      </c>
      <c r="S29" s="247">
        <v>35</v>
      </c>
      <c r="T29" s="247">
        <v>21</v>
      </c>
      <c r="U29" s="247">
        <v>0</v>
      </c>
      <c r="V29" s="247">
        <v>0</v>
      </c>
      <c r="W29" s="247">
        <v>0</v>
      </c>
      <c r="X29" s="247">
        <f>'padi sawah'!I30</f>
        <v>0</v>
      </c>
      <c r="Y29" s="247">
        <v>0</v>
      </c>
      <c r="Z29" s="247">
        <f>'padi sawah'!J30</f>
        <v>0</v>
      </c>
      <c r="AA29" s="247">
        <v>0</v>
      </c>
      <c r="AB29" s="248">
        <f>'padi sawah'!K30</f>
        <v>0</v>
      </c>
      <c r="AC29" s="239">
        <f t="shared" si="5"/>
        <v>40</v>
      </c>
      <c r="AD29" s="240">
        <f t="shared" si="5"/>
        <v>21</v>
      </c>
      <c r="AE29" s="252">
        <f t="shared" si="6"/>
        <v>252</v>
      </c>
      <c r="AF29" s="253">
        <f t="shared" si="6"/>
        <v>224</v>
      </c>
    </row>
    <row r="30" spans="1:32" x14ac:dyDescent="0.25">
      <c r="A30" s="255">
        <v>5</v>
      </c>
      <c r="B30" s="258" t="s">
        <v>22</v>
      </c>
      <c r="C30" s="259">
        <v>0</v>
      </c>
      <c r="D30" s="247">
        <v>0</v>
      </c>
      <c r="E30" s="247">
        <v>0</v>
      </c>
      <c r="F30" s="247">
        <v>0</v>
      </c>
      <c r="G30" s="247">
        <v>50</v>
      </c>
      <c r="H30" s="247">
        <v>0</v>
      </c>
      <c r="I30" s="247">
        <v>124</v>
      </c>
      <c r="J30" s="247">
        <v>45</v>
      </c>
      <c r="K30" s="247">
        <v>0</v>
      </c>
      <c r="L30" s="247">
        <v>119</v>
      </c>
      <c r="M30" s="247">
        <v>0</v>
      </c>
      <c r="N30" s="250">
        <v>0</v>
      </c>
      <c r="O30" s="249">
        <f t="shared" si="4"/>
        <v>174</v>
      </c>
      <c r="P30" s="250">
        <f t="shared" si="4"/>
        <v>164</v>
      </c>
      <c r="Q30" s="251">
        <v>0</v>
      </c>
      <c r="R30" s="247">
        <v>0</v>
      </c>
      <c r="S30" s="247">
        <v>20</v>
      </c>
      <c r="T30" s="247">
        <v>20</v>
      </c>
      <c r="U30" s="247">
        <v>0</v>
      </c>
      <c r="V30" s="247">
        <v>0</v>
      </c>
      <c r="W30" s="247">
        <v>0</v>
      </c>
      <c r="X30" s="247">
        <f>'padi sawah'!I31</f>
        <v>0</v>
      </c>
      <c r="Y30" s="247">
        <v>10</v>
      </c>
      <c r="Z30" s="247">
        <f>'padi sawah'!J31</f>
        <v>0</v>
      </c>
      <c r="AA30" s="247">
        <v>0</v>
      </c>
      <c r="AB30" s="248">
        <f>'padi sawah'!K31</f>
        <v>0</v>
      </c>
      <c r="AC30" s="239">
        <f t="shared" si="5"/>
        <v>30</v>
      </c>
      <c r="AD30" s="240">
        <f t="shared" si="5"/>
        <v>20</v>
      </c>
      <c r="AE30" s="252">
        <f t="shared" si="6"/>
        <v>204</v>
      </c>
      <c r="AF30" s="253">
        <f t="shared" si="6"/>
        <v>184</v>
      </c>
    </row>
    <row r="31" spans="1:32" x14ac:dyDescent="0.25">
      <c r="A31" s="255">
        <v>6</v>
      </c>
      <c r="B31" s="258" t="s">
        <v>23</v>
      </c>
      <c r="C31" s="259">
        <v>0</v>
      </c>
      <c r="D31" s="247">
        <v>0</v>
      </c>
      <c r="E31" s="247">
        <v>10</v>
      </c>
      <c r="F31" s="247">
        <v>5</v>
      </c>
      <c r="G31" s="247">
        <v>25</v>
      </c>
      <c r="H31" s="247">
        <v>7</v>
      </c>
      <c r="I31" s="247">
        <v>19</v>
      </c>
      <c r="J31" s="247">
        <v>29</v>
      </c>
      <c r="K31" s="247">
        <v>0</v>
      </c>
      <c r="L31" s="247">
        <v>25</v>
      </c>
      <c r="M31" s="247">
        <v>4</v>
      </c>
      <c r="N31" s="250">
        <v>0</v>
      </c>
      <c r="O31" s="249">
        <f t="shared" si="4"/>
        <v>58</v>
      </c>
      <c r="P31" s="250">
        <f t="shared" si="4"/>
        <v>66</v>
      </c>
      <c r="Q31" s="251">
        <v>35</v>
      </c>
      <c r="R31" s="247">
        <v>0</v>
      </c>
      <c r="S31" s="247">
        <v>0</v>
      </c>
      <c r="T31" s="247">
        <v>10</v>
      </c>
      <c r="U31" s="247">
        <v>0</v>
      </c>
      <c r="V31" s="247">
        <v>25</v>
      </c>
      <c r="W31" s="247">
        <v>0</v>
      </c>
      <c r="X31" s="247">
        <f>'padi sawah'!I32</f>
        <v>0</v>
      </c>
      <c r="Y31" s="247">
        <v>0</v>
      </c>
      <c r="Z31" s="247">
        <f>'padi sawah'!J32</f>
        <v>0</v>
      </c>
      <c r="AA31" s="247">
        <v>0</v>
      </c>
      <c r="AB31" s="248">
        <f>'padi sawah'!K32</f>
        <v>0</v>
      </c>
      <c r="AC31" s="239">
        <f t="shared" si="5"/>
        <v>35</v>
      </c>
      <c r="AD31" s="240">
        <f t="shared" si="5"/>
        <v>35</v>
      </c>
      <c r="AE31" s="252">
        <f t="shared" si="6"/>
        <v>93</v>
      </c>
      <c r="AF31" s="253">
        <f t="shared" si="6"/>
        <v>101</v>
      </c>
    </row>
    <row r="32" spans="1:32" x14ac:dyDescent="0.25">
      <c r="A32" s="255">
        <v>7</v>
      </c>
      <c r="B32" s="258" t="s">
        <v>24</v>
      </c>
      <c r="C32" s="259">
        <v>0</v>
      </c>
      <c r="D32" s="247">
        <v>0</v>
      </c>
      <c r="E32" s="247">
        <v>0</v>
      </c>
      <c r="F32" s="247">
        <v>5</v>
      </c>
      <c r="G32" s="247">
        <v>122</v>
      </c>
      <c r="H32" s="247">
        <v>179</v>
      </c>
      <c r="I32" s="247">
        <v>245</v>
      </c>
      <c r="J32" s="247">
        <v>104</v>
      </c>
      <c r="K32" s="247">
        <v>0</v>
      </c>
      <c r="L32" s="247">
        <v>59</v>
      </c>
      <c r="M32" s="247">
        <v>0</v>
      </c>
      <c r="N32" s="250">
        <v>1</v>
      </c>
      <c r="O32" s="249">
        <f t="shared" si="4"/>
        <v>367</v>
      </c>
      <c r="P32" s="250">
        <f t="shared" si="4"/>
        <v>348</v>
      </c>
      <c r="Q32" s="251">
        <v>103</v>
      </c>
      <c r="R32" s="247">
        <v>1</v>
      </c>
      <c r="S32" s="247">
        <v>104</v>
      </c>
      <c r="T32" s="247">
        <v>48</v>
      </c>
      <c r="U32" s="247">
        <v>0</v>
      </c>
      <c r="V32" s="247">
        <v>171</v>
      </c>
      <c r="W32" s="247">
        <v>0</v>
      </c>
      <c r="X32" s="247">
        <f>'padi sawah'!I33</f>
        <v>0</v>
      </c>
      <c r="Y32" s="247">
        <v>0</v>
      </c>
      <c r="Z32" s="247">
        <f>'padi sawah'!J33</f>
        <v>0</v>
      </c>
      <c r="AA32" s="247">
        <v>0</v>
      </c>
      <c r="AB32" s="248">
        <f>'padi sawah'!K33</f>
        <v>0</v>
      </c>
      <c r="AC32" s="239">
        <f t="shared" si="5"/>
        <v>207</v>
      </c>
      <c r="AD32" s="240">
        <f t="shared" si="5"/>
        <v>220</v>
      </c>
      <c r="AE32" s="252">
        <f t="shared" si="6"/>
        <v>574</v>
      </c>
      <c r="AF32" s="253">
        <f t="shared" si="6"/>
        <v>568</v>
      </c>
    </row>
    <row r="33" spans="1:32" ht="15.75" thickBot="1" x14ac:dyDescent="0.3">
      <c r="A33" s="260">
        <v>8</v>
      </c>
      <c r="B33" s="256" t="s">
        <v>25</v>
      </c>
      <c r="C33" s="261">
        <v>0</v>
      </c>
      <c r="D33" s="263">
        <v>1</v>
      </c>
      <c r="E33" s="263">
        <v>25</v>
      </c>
      <c r="F33" s="263">
        <v>1</v>
      </c>
      <c r="G33" s="263">
        <v>126</v>
      </c>
      <c r="H33" s="263">
        <v>42</v>
      </c>
      <c r="I33" s="262">
        <v>125</v>
      </c>
      <c r="J33" s="263">
        <v>64</v>
      </c>
      <c r="K33" s="263">
        <v>0</v>
      </c>
      <c r="L33" s="263">
        <v>145</v>
      </c>
      <c r="M33" s="263">
        <v>20</v>
      </c>
      <c r="N33" s="264">
        <v>6</v>
      </c>
      <c r="O33" s="265">
        <f t="shared" si="4"/>
        <v>296</v>
      </c>
      <c r="P33" s="266">
        <f t="shared" si="4"/>
        <v>259</v>
      </c>
      <c r="Q33" s="267">
        <v>25</v>
      </c>
      <c r="R33" s="263">
        <v>26</v>
      </c>
      <c r="S33" s="263">
        <v>142</v>
      </c>
      <c r="T33" s="263">
        <v>66</v>
      </c>
      <c r="U33" s="263">
        <v>41</v>
      </c>
      <c r="V33" s="263">
        <v>6</v>
      </c>
      <c r="W33" s="263">
        <v>0</v>
      </c>
      <c r="X33" s="263">
        <f>'padi sawah'!I34</f>
        <v>0</v>
      </c>
      <c r="Y33" s="263">
        <v>0</v>
      </c>
      <c r="Z33" s="263">
        <f>'padi sawah'!J34</f>
        <v>0</v>
      </c>
      <c r="AA33" s="263">
        <v>5</v>
      </c>
      <c r="AB33" s="264">
        <f>'padi sawah'!K34</f>
        <v>0</v>
      </c>
      <c r="AC33" s="239">
        <f t="shared" si="5"/>
        <v>213</v>
      </c>
      <c r="AD33" s="240">
        <f t="shared" si="5"/>
        <v>98</v>
      </c>
      <c r="AE33" s="268">
        <f t="shared" si="6"/>
        <v>509</v>
      </c>
      <c r="AF33" s="269">
        <f t="shared" si="6"/>
        <v>357</v>
      </c>
    </row>
    <row r="34" spans="1:32" ht="16.5" thickTop="1" thickBot="1" x14ac:dyDescent="0.3">
      <c r="A34" s="545" t="s">
        <v>26</v>
      </c>
      <c r="B34" s="546"/>
      <c r="C34" s="270">
        <f t="shared" ref="C34:AD34" si="7">SUM(C26:C33)</f>
        <v>10</v>
      </c>
      <c r="D34" s="270">
        <f t="shared" si="7"/>
        <v>6</v>
      </c>
      <c r="E34" s="270">
        <f t="shared" si="7"/>
        <v>45</v>
      </c>
      <c r="F34" s="270">
        <f t="shared" si="7"/>
        <v>15</v>
      </c>
      <c r="G34" s="270">
        <f t="shared" si="7"/>
        <v>537</v>
      </c>
      <c r="H34" s="270">
        <f t="shared" si="7"/>
        <v>273</v>
      </c>
      <c r="I34" s="270">
        <f t="shared" si="7"/>
        <v>959</v>
      </c>
      <c r="J34" s="270">
        <f t="shared" si="7"/>
        <v>490</v>
      </c>
      <c r="K34" s="270">
        <f t="shared" si="7"/>
        <v>25</v>
      </c>
      <c r="L34" s="270">
        <f t="shared" si="7"/>
        <v>658</v>
      </c>
      <c r="M34" s="270">
        <f t="shared" si="7"/>
        <v>119</v>
      </c>
      <c r="N34" s="271">
        <f t="shared" si="7"/>
        <v>12</v>
      </c>
      <c r="O34" s="272">
        <f t="shared" si="7"/>
        <v>1695</v>
      </c>
      <c r="P34" s="273">
        <f t="shared" si="7"/>
        <v>1454</v>
      </c>
      <c r="Q34" s="274">
        <f t="shared" si="7"/>
        <v>178</v>
      </c>
      <c r="R34" s="275">
        <f t="shared" si="7"/>
        <v>32</v>
      </c>
      <c r="S34" s="275">
        <f t="shared" si="7"/>
        <v>332</v>
      </c>
      <c r="T34" s="275">
        <f t="shared" si="7"/>
        <v>191</v>
      </c>
      <c r="U34" s="275">
        <f t="shared" si="7"/>
        <v>204</v>
      </c>
      <c r="V34" s="275">
        <f t="shared" si="7"/>
        <v>228</v>
      </c>
      <c r="W34" s="275">
        <f t="shared" si="7"/>
        <v>0</v>
      </c>
      <c r="X34" s="275">
        <f t="shared" si="7"/>
        <v>0</v>
      </c>
      <c r="Y34" s="275">
        <f t="shared" si="7"/>
        <v>25</v>
      </c>
      <c r="Z34" s="275">
        <f t="shared" si="7"/>
        <v>0</v>
      </c>
      <c r="AA34" s="275">
        <f t="shared" si="7"/>
        <v>30</v>
      </c>
      <c r="AB34" s="276">
        <f t="shared" si="7"/>
        <v>0</v>
      </c>
      <c r="AC34" s="277">
        <f t="shared" si="7"/>
        <v>769</v>
      </c>
      <c r="AD34" s="278">
        <f t="shared" si="7"/>
        <v>451</v>
      </c>
      <c r="AE34" s="277">
        <f>SUM(O34,AC34)</f>
        <v>2464</v>
      </c>
      <c r="AF34" s="279">
        <f>SUM(AF26:AF33)</f>
        <v>1905</v>
      </c>
    </row>
    <row r="35" spans="1:32" x14ac:dyDescent="0.25">
      <c r="A35" t="s">
        <v>118</v>
      </c>
    </row>
    <row r="39" spans="1:32" ht="15.75" x14ac:dyDescent="0.25">
      <c r="A39" s="516" t="s">
        <v>95</v>
      </c>
      <c r="B39" s="516"/>
      <c r="C39" s="516"/>
      <c r="D39" s="516"/>
      <c r="E39" s="516"/>
      <c r="F39" s="516"/>
      <c r="G39" s="516"/>
      <c r="H39" s="516"/>
      <c r="I39" s="516"/>
      <c r="J39" s="516"/>
      <c r="K39" s="516"/>
      <c r="L39" s="516"/>
      <c r="M39" s="516"/>
      <c r="N39" s="516"/>
      <c r="O39" s="516"/>
      <c r="P39" s="516"/>
      <c r="Q39" s="516"/>
      <c r="R39" s="516"/>
      <c r="S39" s="516"/>
      <c r="T39" s="516"/>
      <c r="U39" s="516"/>
      <c r="V39" s="516"/>
      <c r="W39" s="516"/>
      <c r="X39" s="516"/>
      <c r="Y39" s="516"/>
      <c r="Z39" s="516"/>
      <c r="AA39" s="516"/>
      <c r="AB39" s="516"/>
      <c r="AC39" s="516"/>
      <c r="AD39" s="516"/>
      <c r="AE39" s="516"/>
      <c r="AF39" s="516"/>
    </row>
    <row r="40" spans="1:32" ht="15.75" x14ac:dyDescent="0.25">
      <c r="A40" s="516" t="s">
        <v>82</v>
      </c>
      <c r="B40" s="516"/>
      <c r="C40" s="516"/>
      <c r="D40" s="516"/>
      <c r="E40" s="516"/>
      <c r="F40" s="516"/>
      <c r="G40" s="516"/>
      <c r="H40" s="516"/>
      <c r="I40" s="516"/>
      <c r="J40" s="516"/>
      <c r="K40" s="516"/>
      <c r="L40" s="516"/>
      <c r="M40" s="516"/>
      <c r="N40" s="516"/>
      <c r="O40" s="516"/>
      <c r="P40" s="516"/>
      <c r="Q40" s="516"/>
      <c r="R40" s="516"/>
      <c r="S40" s="516"/>
      <c r="T40" s="516"/>
      <c r="U40" s="516"/>
      <c r="V40" s="516"/>
      <c r="W40" s="516"/>
      <c r="X40" s="516"/>
      <c r="Y40" s="516"/>
      <c r="Z40" s="516"/>
      <c r="AA40" s="516"/>
      <c r="AB40" s="516"/>
      <c r="AC40" s="516"/>
      <c r="AD40" s="516"/>
      <c r="AE40" s="516"/>
      <c r="AF40" s="516"/>
    </row>
    <row r="41" spans="1:32" ht="15.75" thickBot="1" x14ac:dyDescent="0.3">
      <c r="AF41" s="77" t="s">
        <v>1</v>
      </c>
    </row>
    <row r="42" spans="1:32" x14ac:dyDescent="0.25">
      <c r="A42" s="541" t="s">
        <v>2</v>
      </c>
      <c r="B42" s="543" t="s">
        <v>3</v>
      </c>
      <c r="C42" s="539" t="s">
        <v>114</v>
      </c>
      <c r="D42" s="540"/>
      <c r="E42" s="540"/>
      <c r="F42" s="540"/>
      <c r="G42" s="540"/>
      <c r="H42" s="540"/>
      <c r="I42" s="540"/>
      <c r="J42" s="540"/>
      <c r="K42" s="540"/>
      <c r="L42" s="540"/>
      <c r="M42" s="540"/>
      <c r="N42" s="540"/>
      <c r="O42" s="535" t="s">
        <v>84</v>
      </c>
      <c r="P42" s="536"/>
      <c r="Q42" s="552">
        <v>2016</v>
      </c>
      <c r="R42" s="551"/>
      <c r="S42" s="551"/>
      <c r="T42" s="551"/>
      <c r="U42" s="551"/>
      <c r="V42" s="551"/>
      <c r="W42" s="551"/>
      <c r="X42" s="551"/>
      <c r="Y42" s="551"/>
      <c r="Z42" s="551"/>
      <c r="AA42" s="551"/>
      <c r="AB42" s="539"/>
      <c r="AC42" s="553" t="s">
        <v>85</v>
      </c>
      <c r="AD42" s="554"/>
      <c r="AE42" s="528" t="s">
        <v>5</v>
      </c>
      <c r="AF42" s="529"/>
    </row>
    <row r="43" spans="1:32" x14ac:dyDescent="0.25">
      <c r="A43" s="542"/>
      <c r="B43" s="544"/>
      <c r="C43" s="527" t="s">
        <v>15</v>
      </c>
      <c r="D43" s="527"/>
      <c r="E43" s="527" t="s">
        <v>16</v>
      </c>
      <c r="F43" s="527"/>
      <c r="G43" s="527" t="s">
        <v>17</v>
      </c>
      <c r="H43" s="527"/>
      <c r="I43" s="527" t="s">
        <v>6</v>
      </c>
      <c r="J43" s="527"/>
      <c r="K43" s="527" t="s">
        <v>115</v>
      </c>
      <c r="L43" s="527"/>
      <c r="M43" s="527" t="s">
        <v>78</v>
      </c>
      <c r="N43" s="532"/>
      <c r="O43" s="537"/>
      <c r="P43" s="538"/>
      <c r="Q43" s="533" t="s">
        <v>79</v>
      </c>
      <c r="R43" s="534"/>
      <c r="S43" s="532" t="s">
        <v>10</v>
      </c>
      <c r="T43" s="534"/>
      <c r="U43" s="532" t="s">
        <v>11</v>
      </c>
      <c r="V43" s="534"/>
      <c r="W43" s="532" t="s">
        <v>12</v>
      </c>
      <c r="X43" s="534"/>
      <c r="Y43" s="532" t="s">
        <v>80</v>
      </c>
      <c r="Z43" s="534"/>
      <c r="AA43" s="532" t="s">
        <v>81</v>
      </c>
      <c r="AB43" s="533"/>
      <c r="AC43" s="555"/>
      <c r="AD43" s="556"/>
      <c r="AE43" s="530"/>
      <c r="AF43" s="531"/>
    </row>
    <row r="44" spans="1:32" x14ac:dyDescent="0.25">
      <c r="A44" s="542"/>
      <c r="B44" s="544"/>
      <c r="C44" s="224" t="s">
        <v>116</v>
      </c>
      <c r="D44" s="316" t="s">
        <v>117</v>
      </c>
      <c r="E44" s="225" t="s">
        <v>116</v>
      </c>
      <c r="F44" s="316" t="s">
        <v>117</v>
      </c>
      <c r="G44" s="225" t="s">
        <v>116</v>
      </c>
      <c r="H44" s="316" t="s">
        <v>117</v>
      </c>
      <c r="I44" s="225" t="s">
        <v>116</v>
      </c>
      <c r="J44" s="316" t="s">
        <v>117</v>
      </c>
      <c r="K44" s="225" t="s">
        <v>116</v>
      </c>
      <c r="L44" s="316" t="s">
        <v>117</v>
      </c>
      <c r="M44" s="225" t="s">
        <v>116</v>
      </c>
      <c r="N44" s="317" t="s">
        <v>117</v>
      </c>
      <c r="O44" s="226" t="s">
        <v>116</v>
      </c>
      <c r="P44" s="318" t="s">
        <v>117</v>
      </c>
      <c r="Q44" s="312" t="s">
        <v>116</v>
      </c>
      <c r="R44" s="314" t="s">
        <v>117</v>
      </c>
      <c r="S44" s="313" t="s">
        <v>116</v>
      </c>
      <c r="T44" s="314" t="s">
        <v>117</v>
      </c>
      <c r="U44" s="313" t="s">
        <v>116</v>
      </c>
      <c r="V44" s="314" t="s">
        <v>117</v>
      </c>
      <c r="W44" s="313" t="s">
        <v>116</v>
      </c>
      <c r="X44" s="314" t="s">
        <v>117</v>
      </c>
      <c r="Y44" s="313" t="s">
        <v>116</v>
      </c>
      <c r="Z44" s="314" t="s">
        <v>117</v>
      </c>
      <c r="AA44" s="313" t="s">
        <v>116</v>
      </c>
      <c r="AB44" s="315" t="s">
        <v>117</v>
      </c>
      <c r="AC44" s="227" t="s">
        <v>116</v>
      </c>
      <c r="AD44" s="319" t="s">
        <v>117</v>
      </c>
      <c r="AE44" s="226" t="s">
        <v>116</v>
      </c>
      <c r="AF44" s="320" t="s">
        <v>117</v>
      </c>
    </row>
    <row r="45" spans="1:32" ht="15.75" thickBot="1" x14ac:dyDescent="0.3">
      <c r="A45" s="228">
        <v>1</v>
      </c>
      <c r="B45" s="229">
        <v>2</v>
      </c>
      <c r="C45" s="229">
        <v>3</v>
      </c>
      <c r="D45" s="229">
        <v>4</v>
      </c>
      <c r="E45" s="229">
        <v>5</v>
      </c>
      <c r="F45" s="229">
        <v>6</v>
      </c>
      <c r="G45" s="229">
        <v>7</v>
      </c>
      <c r="H45" s="229">
        <v>8</v>
      </c>
      <c r="I45" s="229">
        <v>9</v>
      </c>
      <c r="J45" s="229">
        <v>10</v>
      </c>
      <c r="K45" s="229">
        <v>11</v>
      </c>
      <c r="L45" s="229">
        <v>12</v>
      </c>
      <c r="M45" s="230">
        <v>13</v>
      </c>
      <c r="N45" s="230">
        <v>14</v>
      </c>
      <c r="O45" s="231">
        <v>15</v>
      </c>
      <c r="P45" s="232">
        <v>16</v>
      </c>
      <c r="Q45" s="292">
        <v>17</v>
      </c>
      <c r="R45" s="229">
        <v>18</v>
      </c>
      <c r="S45" s="229">
        <v>19</v>
      </c>
      <c r="T45" s="229">
        <v>20</v>
      </c>
      <c r="U45" s="229">
        <v>21</v>
      </c>
      <c r="V45" s="229">
        <v>22</v>
      </c>
      <c r="W45" s="229">
        <v>23</v>
      </c>
      <c r="X45" s="229">
        <v>24</v>
      </c>
      <c r="Y45" s="229">
        <v>25</v>
      </c>
      <c r="Z45" s="229">
        <v>26</v>
      </c>
      <c r="AA45" s="229">
        <v>27</v>
      </c>
      <c r="AB45" s="230">
        <v>28</v>
      </c>
      <c r="AC45" s="218">
        <v>29</v>
      </c>
      <c r="AD45" s="219">
        <v>30</v>
      </c>
      <c r="AE45" s="113">
        <v>31</v>
      </c>
      <c r="AF45" s="220">
        <v>32</v>
      </c>
    </row>
    <row r="46" spans="1:32" ht="15.75" thickTop="1" x14ac:dyDescent="0.25">
      <c r="A46" s="234">
        <v>1</v>
      </c>
      <c r="B46" s="235" t="s">
        <v>18</v>
      </c>
      <c r="C46" s="236">
        <v>0</v>
      </c>
      <c r="D46" s="237">
        <v>0</v>
      </c>
      <c r="E46" s="236">
        <v>0</v>
      </c>
      <c r="F46" s="237">
        <v>0</v>
      </c>
      <c r="G46" s="237">
        <v>0</v>
      </c>
      <c r="H46" s="237">
        <v>0</v>
      </c>
      <c r="I46" s="237">
        <v>0</v>
      </c>
      <c r="J46" s="237">
        <f>'padi ladang'!C9</f>
        <v>0</v>
      </c>
      <c r="K46" s="236">
        <v>0</v>
      </c>
      <c r="L46" s="237">
        <f>'padi ladang'!D9</f>
        <v>0</v>
      </c>
      <c r="M46" s="236">
        <v>0</v>
      </c>
      <c r="N46" s="238">
        <f>'padi ladang'!E9</f>
        <v>0</v>
      </c>
      <c r="O46" s="299">
        <f>SUM(C46,E46,G46,I46,K46,M46)</f>
        <v>0</v>
      </c>
      <c r="P46" s="300">
        <f>SUM(D46,F46,H46,J46,L46,N46)</f>
        <v>0</v>
      </c>
      <c r="Q46" s="293">
        <v>0</v>
      </c>
      <c r="R46" s="281">
        <f>'padi ladang'!F9</f>
        <v>0</v>
      </c>
      <c r="S46" s="236">
        <v>0</v>
      </c>
      <c r="T46" s="281">
        <f>'padi ladang'!G9</f>
        <v>0</v>
      </c>
      <c r="U46" s="236">
        <v>0</v>
      </c>
      <c r="V46" s="281">
        <f>'padi ladang'!H9</f>
        <v>0</v>
      </c>
      <c r="W46" s="236">
        <v>0</v>
      </c>
      <c r="X46" s="281">
        <f>'padi ladang'!I9</f>
        <v>0</v>
      </c>
      <c r="Y46" s="236">
        <v>0</v>
      </c>
      <c r="Z46" s="281">
        <f>'padi ladang'!J9</f>
        <v>0</v>
      </c>
      <c r="AA46" s="236">
        <v>0</v>
      </c>
      <c r="AB46" s="280">
        <f>'padi ladang'!K9</f>
        <v>0</v>
      </c>
      <c r="AC46" s="299">
        <f>SUM(Q46,S46,U46,W46,Y46,AA46)</f>
        <v>0</v>
      </c>
      <c r="AD46" s="302">
        <f>SUM(R46,T46,V46,X46,Z46,AB46)</f>
        <v>0</v>
      </c>
      <c r="AE46" s="221">
        <f>SUM(O46,AC46)</f>
        <v>0</v>
      </c>
      <c r="AF46" s="130">
        <f>SUM(P46,AD46)</f>
        <v>0</v>
      </c>
    </row>
    <row r="47" spans="1:32" x14ac:dyDescent="0.25">
      <c r="A47" s="244">
        <v>2</v>
      </c>
      <c r="B47" s="245" t="s">
        <v>19</v>
      </c>
      <c r="C47" s="246">
        <v>0</v>
      </c>
      <c r="D47" s="247">
        <v>0</v>
      </c>
      <c r="E47" s="246">
        <v>0</v>
      </c>
      <c r="F47" s="247">
        <v>0</v>
      </c>
      <c r="G47" s="247">
        <v>0</v>
      </c>
      <c r="H47" s="247">
        <v>0</v>
      </c>
      <c r="I47" s="247">
        <v>0</v>
      </c>
      <c r="J47" s="247">
        <f>'padi ladang'!C10</f>
        <v>0</v>
      </c>
      <c r="K47" s="246">
        <v>0</v>
      </c>
      <c r="L47" s="247">
        <f>'padi ladang'!D10</f>
        <v>0</v>
      </c>
      <c r="M47" s="246">
        <v>0</v>
      </c>
      <c r="N47" s="248">
        <f>'padi ladang'!E10</f>
        <v>0</v>
      </c>
      <c r="O47" s="249">
        <f t="shared" ref="O47:O53" si="8">SUM(C47,E47,G47,I47,K47,M47)</f>
        <v>0</v>
      </c>
      <c r="P47" s="250">
        <f t="shared" ref="P47:P53" si="9">SUM(D47,F47,H47,J47,L47,N47)</f>
        <v>0</v>
      </c>
      <c r="Q47" s="294">
        <v>0</v>
      </c>
      <c r="R47" s="283">
        <f>'padi ladang'!F10</f>
        <v>0</v>
      </c>
      <c r="S47" s="246">
        <v>0</v>
      </c>
      <c r="T47" s="283">
        <f>'padi ladang'!G10</f>
        <v>0</v>
      </c>
      <c r="U47" s="246">
        <v>0</v>
      </c>
      <c r="V47" s="283">
        <f>'padi ladang'!H10</f>
        <v>0</v>
      </c>
      <c r="W47" s="246">
        <v>0</v>
      </c>
      <c r="X47" s="283">
        <f>'padi ladang'!I10</f>
        <v>0</v>
      </c>
      <c r="Y47" s="246">
        <v>0</v>
      </c>
      <c r="Z47" s="283">
        <f>'padi ladang'!J10</f>
        <v>0</v>
      </c>
      <c r="AA47" s="246">
        <v>0</v>
      </c>
      <c r="AB47" s="282">
        <f>'padi ladang'!K10</f>
        <v>0</v>
      </c>
      <c r="AC47" s="249">
        <f t="shared" ref="AC47:AC53" si="10">SUM(Q47,S47,U47,W47,Y47,AA47)</f>
        <v>0</v>
      </c>
      <c r="AD47" s="284">
        <f t="shared" ref="AD47:AD53" si="11">SUM(R47,T47,V47,X47,Z47,AB47)</f>
        <v>0</v>
      </c>
      <c r="AE47" s="222">
        <f t="shared" ref="AE47:AE53" si="12">SUM(O47,AC47)</f>
        <v>0</v>
      </c>
      <c r="AF47" s="131">
        <f t="shared" ref="AF47:AF53" si="13">SUM(P47,AD47)</f>
        <v>0</v>
      </c>
    </row>
    <row r="48" spans="1:32" x14ac:dyDescent="0.25">
      <c r="A48" s="244">
        <v>3</v>
      </c>
      <c r="B48" s="235" t="s">
        <v>20</v>
      </c>
      <c r="C48" s="254">
        <v>0</v>
      </c>
      <c r="D48" s="247">
        <v>0</v>
      </c>
      <c r="E48" s="254">
        <v>0</v>
      </c>
      <c r="F48" s="247">
        <v>0</v>
      </c>
      <c r="G48" s="247">
        <v>20</v>
      </c>
      <c r="H48" s="247">
        <v>5</v>
      </c>
      <c r="I48" s="247">
        <v>5</v>
      </c>
      <c r="J48" s="247">
        <f>'padi ladang'!C11</f>
        <v>10</v>
      </c>
      <c r="K48" s="254">
        <v>0</v>
      </c>
      <c r="L48" s="247">
        <f>'padi ladang'!D11</f>
        <v>0</v>
      </c>
      <c r="M48" s="254">
        <v>0</v>
      </c>
      <c r="N48" s="248">
        <f>'padi ladang'!E11</f>
        <v>0</v>
      </c>
      <c r="O48" s="249">
        <f t="shared" si="8"/>
        <v>25</v>
      </c>
      <c r="P48" s="250">
        <f t="shared" si="9"/>
        <v>15</v>
      </c>
      <c r="Q48" s="295">
        <v>0</v>
      </c>
      <c r="R48" s="283">
        <f>'padi ladang'!F11</f>
        <v>0</v>
      </c>
      <c r="S48" s="254">
        <v>0</v>
      </c>
      <c r="T48" s="283">
        <f>'padi ladang'!G11</f>
        <v>0</v>
      </c>
      <c r="U48" s="254">
        <v>0</v>
      </c>
      <c r="V48" s="283">
        <f>'padi ladang'!H11</f>
        <v>0</v>
      </c>
      <c r="W48" s="254">
        <v>0</v>
      </c>
      <c r="X48" s="283">
        <f>'padi ladang'!I11</f>
        <v>0</v>
      </c>
      <c r="Y48" s="254">
        <v>0</v>
      </c>
      <c r="Z48" s="283">
        <f>'padi ladang'!J11</f>
        <v>0</v>
      </c>
      <c r="AA48" s="254">
        <v>0</v>
      </c>
      <c r="AB48" s="282">
        <f>'padi ladang'!K11</f>
        <v>35</v>
      </c>
      <c r="AC48" s="249">
        <f t="shared" si="10"/>
        <v>0</v>
      </c>
      <c r="AD48" s="284">
        <f t="shared" si="11"/>
        <v>35</v>
      </c>
      <c r="AE48" s="222">
        <f t="shared" si="12"/>
        <v>25</v>
      </c>
      <c r="AF48" s="131">
        <f t="shared" si="13"/>
        <v>50</v>
      </c>
    </row>
    <row r="49" spans="1:32" x14ac:dyDescent="0.25">
      <c r="A49" s="255">
        <v>4</v>
      </c>
      <c r="B49" s="256" t="s">
        <v>21</v>
      </c>
      <c r="C49" s="257">
        <v>0</v>
      </c>
      <c r="D49" s="247">
        <v>0</v>
      </c>
      <c r="E49" s="257">
        <v>0</v>
      </c>
      <c r="F49" s="247">
        <v>0</v>
      </c>
      <c r="G49" s="247">
        <v>0</v>
      </c>
      <c r="H49" s="247">
        <v>0</v>
      </c>
      <c r="I49" s="247">
        <v>0</v>
      </c>
      <c r="J49" s="247">
        <f>'padi ladang'!C12</f>
        <v>0</v>
      </c>
      <c r="K49" s="257">
        <v>0</v>
      </c>
      <c r="L49" s="247">
        <f>'padi ladang'!D12</f>
        <v>0</v>
      </c>
      <c r="M49" s="257">
        <v>0</v>
      </c>
      <c r="N49" s="248">
        <f>'padi ladang'!E12</f>
        <v>0</v>
      </c>
      <c r="O49" s="249">
        <f t="shared" si="8"/>
        <v>0</v>
      </c>
      <c r="P49" s="250">
        <f t="shared" si="9"/>
        <v>0</v>
      </c>
      <c r="Q49" s="296">
        <v>0</v>
      </c>
      <c r="R49" s="283">
        <f>'padi ladang'!F12</f>
        <v>0</v>
      </c>
      <c r="S49" s="257">
        <v>0</v>
      </c>
      <c r="T49" s="283">
        <f>'padi ladang'!G12</f>
        <v>0</v>
      </c>
      <c r="U49" s="257">
        <v>0</v>
      </c>
      <c r="V49" s="283">
        <f>'padi ladang'!H12</f>
        <v>0</v>
      </c>
      <c r="W49" s="257">
        <v>0</v>
      </c>
      <c r="X49" s="283">
        <f>'padi ladang'!I12</f>
        <v>0</v>
      </c>
      <c r="Y49" s="257">
        <v>0</v>
      </c>
      <c r="Z49" s="283">
        <f>'padi ladang'!J12</f>
        <v>0</v>
      </c>
      <c r="AA49" s="257">
        <v>0</v>
      </c>
      <c r="AB49" s="282">
        <f>'padi ladang'!K12</f>
        <v>0</v>
      </c>
      <c r="AC49" s="249">
        <f t="shared" si="10"/>
        <v>0</v>
      </c>
      <c r="AD49" s="284">
        <f t="shared" si="11"/>
        <v>0</v>
      </c>
      <c r="AE49" s="222">
        <f t="shared" si="12"/>
        <v>0</v>
      </c>
      <c r="AF49" s="131">
        <f t="shared" si="13"/>
        <v>0</v>
      </c>
    </row>
    <row r="50" spans="1:32" x14ac:dyDescent="0.25">
      <c r="A50" s="255">
        <v>5</v>
      </c>
      <c r="B50" s="258" t="s">
        <v>22</v>
      </c>
      <c r="C50" s="259">
        <v>0</v>
      </c>
      <c r="D50" s="247">
        <v>0</v>
      </c>
      <c r="E50" s="259">
        <v>0</v>
      </c>
      <c r="F50" s="247">
        <v>0</v>
      </c>
      <c r="G50" s="247">
        <v>0</v>
      </c>
      <c r="H50" s="247">
        <v>0</v>
      </c>
      <c r="I50" s="247">
        <v>0</v>
      </c>
      <c r="J50" s="247">
        <f>'padi ladang'!C13</f>
        <v>0</v>
      </c>
      <c r="K50" s="259">
        <v>0</v>
      </c>
      <c r="L50" s="247">
        <f>'padi ladang'!D13</f>
        <v>0</v>
      </c>
      <c r="M50" s="259">
        <v>0</v>
      </c>
      <c r="N50" s="248">
        <f>'padi ladang'!E13</f>
        <v>0</v>
      </c>
      <c r="O50" s="249">
        <f t="shared" si="8"/>
        <v>0</v>
      </c>
      <c r="P50" s="250">
        <f t="shared" si="9"/>
        <v>0</v>
      </c>
      <c r="Q50" s="297">
        <v>0</v>
      </c>
      <c r="R50" s="283">
        <f>'padi ladang'!F13</f>
        <v>0</v>
      </c>
      <c r="S50" s="259">
        <v>0</v>
      </c>
      <c r="T50" s="283">
        <f>'padi ladang'!G13</f>
        <v>0</v>
      </c>
      <c r="U50" s="259">
        <v>0</v>
      </c>
      <c r="V50" s="283">
        <f>'padi ladang'!H13</f>
        <v>0</v>
      </c>
      <c r="W50" s="259">
        <v>0</v>
      </c>
      <c r="X50" s="283">
        <f>'padi ladang'!I13</f>
        <v>0</v>
      </c>
      <c r="Y50" s="259">
        <v>0</v>
      </c>
      <c r="Z50" s="283">
        <f>'padi ladang'!J13</f>
        <v>0</v>
      </c>
      <c r="AA50" s="259">
        <v>0</v>
      </c>
      <c r="AB50" s="282">
        <f>'padi ladang'!K13</f>
        <v>0</v>
      </c>
      <c r="AC50" s="249">
        <f t="shared" si="10"/>
        <v>0</v>
      </c>
      <c r="AD50" s="284">
        <f t="shared" si="11"/>
        <v>0</v>
      </c>
      <c r="AE50" s="222">
        <f t="shared" si="12"/>
        <v>0</v>
      </c>
      <c r="AF50" s="131">
        <f t="shared" si="13"/>
        <v>0</v>
      </c>
    </row>
    <row r="51" spans="1:32" x14ac:dyDescent="0.25">
      <c r="A51" s="255">
        <v>6</v>
      </c>
      <c r="B51" s="258" t="s">
        <v>23</v>
      </c>
      <c r="C51" s="259">
        <v>0</v>
      </c>
      <c r="D51" s="247">
        <v>0</v>
      </c>
      <c r="E51" s="259">
        <v>0</v>
      </c>
      <c r="F51" s="247">
        <v>0</v>
      </c>
      <c r="G51" s="247">
        <v>0</v>
      </c>
      <c r="H51" s="247">
        <v>0</v>
      </c>
      <c r="I51" s="247">
        <v>0</v>
      </c>
      <c r="J51" s="247">
        <f>'padi ladang'!C14</f>
        <v>0</v>
      </c>
      <c r="K51" s="259">
        <v>0</v>
      </c>
      <c r="L51" s="247">
        <f>'padi ladang'!D14</f>
        <v>0</v>
      </c>
      <c r="M51" s="259">
        <v>0</v>
      </c>
      <c r="N51" s="248">
        <f>'padi ladang'!E14</f>
        <v>0</v>
      </c>
      <c r="O51" s="249">
        <f t="shared" si="8"/>
        <v>0</v>
      </c>
      <c r="P51" s="250">
        <f t="shared" si="9"/>
        <v>0</v>
      </c>
      <c r="Q51" s="297">
        <v>0</v>
      </c>
      <c r="R51" s="283">
        <f>'padi ladang'!F14</f>
        <v>0</v>
      </c>
      <c r="S51" s="259">
        <v>0</v>
      </c>
      <c r="T51" s="283">
        <f>'padi ladang'!G14</f>
        <v>0</v>
      </c>
      <c r="U51" s="259">
        <v>0</v>
      </c>
      <c r="V51" s="283">
        <f>'padi ladang'!H14</f>
        <v>0</v>
      </c>
      <c r="W51" s="259">
        <v>0</v>
      </c>
      <c r="X51" s="283">
        <f>'padi ladang'!I14</f>
        <v>0</v>
      </c>
      <c r="Y51" s="259">
        <v>0</v>
      </c>
      <c r="Z51" s="283">
        <f>'padi ladang'!J14</f>
        <v>0</v>
      </c>
      <c r="AA51" s="259">
        <v>0</v>
      </c>
      <c r="AB51" s="282">
        <f>'padi ladang'!K14</f>
        <v>0</v>
      </c>
      <c r="AC51" s="249">
        <f t="shared" si="10"/>
        <v>0</v>
      </c>
      <c r="AD51" s="284">
        <f t="shared" si="11"/>
        <v>0</v>
      </c>
      <c r="AE51" s="222">
        <f t="shared" si="12"/>
        <v>0</v>
      </c>
      <c r="AF51" s="131">
        <f t="shared" si="13"/>
        <v>0</v>
      </c>
    </row>
    <row r="52" spans="1:32" x14ac:dyDescent="0.25">
      <c r="A52" s="255">
        <v>7</v>
      </c>
      <c r="B52" s="258" t="s">
        <v>24</v>
      </c>
      <c r="C52" s="259">
        <v>0</v>
      </c>
      <c r="D52" s="247">
        <v>0</v>
      </c>
      <c r="E52" s="259">
        <v>0</v>
      </c>
      <c r="F52" s="247">
        <v>0</v>
      </c>
      <c r="G52" s="247">
        <v>0</v>
      </c>
      <c r="H52" s="247">
        <v>0</v>
      </c>
      <c r="I52" s="247">
        <v>0</v>
      </c>
      <c r="J52" s="247">
        <f>'padi ladang'!C15</f>
        <v>0</v>
      </c>
      <c r="K52" s="259">
        <v>0</v>
      </c>
      <c r="L52" s="247">
        <f>'padi ladang'!D15</f>
        <v>0</v>
      </c>
      <c r="M52" s="259">
        <v>0</v>
      </c>
      <c r="N52" s="248">
        <f>'padi ladang'!E15</f>
        <v>0</v>
      </c>
      <c r="O52" s="249">
        <f t="shared" si="8"/>
        <v>0</v>
      </c>
      <c r="P52" s="250">
        <f t="shared" si="9"/>
        <v>0</v>
      </c>
      <c r="Q52" s="297">
        <v>0</v>
      </c>
      <c r="R52" s="283">
        <f>'padi ladang'!F15</f>
        <v>0</v>
      </c>
      <c r="S52" s="259">
        <v>0</v>
      </c>
      <c r="T52" s="283">
        <f>'padi ladang'!G15</f>
        <v>0</v>
      </c>
      <c r="U52" s="259">
        <v>0</v>
      </c>
      <c r="V52" s="283">
        <f>'padi ladang'!H15</f>
        <v>0</v>
      </c>
      <c r="W52" s="259">
        <v>0</v>
      </c>
      <c r="X52" s="283">
        <f>'padi ladang'!I15</f>
        <v>0</v>
      </c>
      <c r="Y52" s="259">
        <v>0</v>
      </c>
      <c r="Z52" s="283">
        <f>'padi ladang'!J15</f>
        <v>0</v>
      </c>
      <c r="AA52" s="259">
        <v>0</v>
      </c>
      <c r="AB52" s="282">
        <f>'padi ladang'!K15</f>
        <v>0</v>
      </c>
      <c r="AC52" s="249">
        <f t="shared" si="10"/>
        <v>0</v>
      </c>
      <c r="AD52" s="284">
        <f t="shared" si="11"/>
        <v>0</v>
      </c>
      <c r="AE52" s="222">
        <f t="shared" si="12"/>
        <v>0</v>
      </c>
      <c r="AF52" s="131">
        <f t="shared" si="13"/>
        <v>0</v>
      </c>
    </row>
    <row r="53" spans="1:32" ht="15.75" thickBot="1" x14ac:dyDescent="0.3">
      <c r="A53" s="260">
        <v>8</v>
      </c>
      <c r="B53" s="256" t="s">
        <v>25</v>
      </c>
      <c r="C53" s="261">
        <v>0</v>
      </c>
      <c r="D53" s="263">
        <v>0</v>
      </c>
      <c r="E53" s="261">
        <v>0</v>
      </c>
      <c r="F53" s="263">
        <v>0</v>
      </c>
      <c r="G53" s="263">
        <v>0</v>
      </c>
      <c r="H53" s="263">
        <v>0</v>
      </c>
      <c r="I53" s="263">
        <v>0</v>
      </c>
      <c r="J53" s="262">
        <f>'padi ladang'!C16</f>
        <v>0</v>
      </c>
      <c r="K53" s="261">
        <v>0</v>
      </c>
      <c r="L53" s="263">
        <f>'padi ladang'!D16</f>
        <v>0</v>
      </c>
      <c r="M53" s="261">
        <v>0</v>
      </c>
      <c r="N53" s="264">
        <f>'padi ladang'!E16</f>
        <v>0</v>
      </c>
      <c r="O53" s="265">
        <f t="shared" si="8"/>
        <v>0</v>
      </c>
      <c r="P53" s="266">
        <f t="shared" si="9"/>
        <v>0</v>
      </c>
      <c r="Q53" s="298">
        <v>0</v>
      </c>
      <c r="R53" s="285">
        <f>'padi ladang'!F16</f>
        <v>0</v>
      </c>
      <c r="S53" s="261">
        <v>0</v>
      </c>
      <c r="T53" s="285">
        <f>'padi ladang'!G16</f>
        <v>0</v>
      </c>
      <c r="U53" s="261">
        <v>0</v>
      </c>
      <c r="V53" s="285">
        <f>'padi ladang'!H16</f>
        <v>0</v>
      </c>
      <c r="W53" s="261">
        <v>0</v>
      </c>
      <c r="X53" s="285">
        <f>'padi ladang'!I16</f>
        <v>0</v>
      </c>
      <c r="Y53" s="261">
        <v>0</v>
      </c>
      <c r="Z53" s="285">
        <f>'padi ladang'!J16</f>
        <v>0</v>
      </c>
      <c r="AA53" s="261">
        <v>0</v>
      </c>
      <c r="AB53" s="289">
        <f>'padi ladang'!K16</f>
        <v>0</v>
      </c>
      <c r="AC53" s="265">
        <f t="shared" si="10"/>
        <v>0</v>
      </c>
      <c r="AD53" s="303">
        <f t="shared" si="11"/>
        <v>0</v>
      </c>
      <c r="AE53" s="223">
        <f t="shared" si="12"/>
        <v>0</v>
      </c>
      <c r="AF53" s="304">
        <f t="shared" si="13"/>
        <v>0</v>
      </c>
    </row>
    <row r="54" spans="1:32" ht="16.5" thickTop="1" thickBot="1" x14ac:dyDescent="0.3">
      <c r="A54" s="545" t="s">
        <v>26</v>
      </c>
      <c r="B54" s="546"/>
      <c r="C54" s="291">
        <f>SUM(C46:C53)</f>
        <v>0</v>
      </c>
      <c r="D54" s="291">
        <f t="shared" ref="D54:AE54" si="14">SUM(D46:D53)</f>
        <v>0</v>
      </c>
      <c r="E54" s="291">
        <f t="shared" si="14"/>
        <v>0</v>
      </c>
      <c r="F54" s="291">
        <f t="shared" si="14"/>
        <v>0</v>
      </c>
      <c r="G54" s="291">
        <f t="shared" si="14"/>
        <v>20</v>
      </c>
      <c r="H54" s="291">
        <f t="shared" si="14"/>
        <v>5</v>
      </c>
      <c r="I54" s="291">
        <f t="shared" si="14"/>
        <v>5</v>
      </c>
      <c r="J54" s="291">
        <f t="shared" si="14"/>
        <v>10</v>
      </c>
      <c r="K54" s="291">
        <f t="shared" si="14"/>
        <v>0</v>
      </c>
      <c r="L54" s="291">
        <f t="shared" si="14"/>
        <v>0</v>
      </c>
      <c r="M54" s="291">
        <f t="shared" si="14"/>
        <v>0</v>
      </c>
      <c r="N54" s="286">
        <f t="shared" si="14"/>
        <v>0</v>
      </c>
      <c r="O54" s="277">
        <f t="shared" si="14"/>
        <v>25</v>
      </c>
      <c r="P54" s="301">
        <f t="shared" si="14"/>
        <v>15</v>
      </c>
      <c r="Q54" s="291">
        <f t="shared" si="14"/>
        <v>0</v>
      </c>
      <c r="R54" s="291">
        <f t="shared" si="14"/>
        <v>0</v>
      </c>
      <c r="S54" s="291">
        <f t="shared" si="14"/>
        <v>0</v>
      </c>
      <c r="T54" s="291">
        <f t="shared" si="14"/>
        <v>0</v>
      </c>
      <c r="U54" s="291">
        <f t="shared" si="14"/>
        <v>0</v>
      </c>
      <c r="V54" s="291">
        <f t="shared" si="14"/>
        <v>0</v>
      </c>
      <c r="W54" s="291">
        <f t="shared" si="14"/>
        <v>0</v>
      </c>
      <c r="X54" s="291">
        <f t="shared" si="14"/>
        <v>0</v>
      </c>
      <c r="Y54" s="291">
        <f t="shared" si="14"/>
        <v>0</v>
      </c>
      <c r="Z54" s="291">
        <f t="shared" si="14"/>
        <v>0</v>
      </c>
      <c r="AA54" s="291">
        <f t="shared" si="14"/>
        <v>0</v>
      </c>
      <c r="AB54" s="286">
        <f t="shared" si="14"/>
        <v>35</v>
      </c>
      <c r="AC54" s="277">
        <f t="shared" si="14"/>
        <v>0</v>
      </c>
      <c r="AD54" s="278">
        <f t="shared" si="14"/>
        <v>35</v>
      </c>
      <c r="AE54" s="277">
        <f t="shared" si="14"/>
        <v>25</v>
      </c>
      <c r="AF54" s="133">
        <f>SUM(AF46:AF53)</f>
        <v>50</v>
      </c>
    </row>
    <row r="55" spans="1:32" x14ac:dyDescent="0.25">
      <c r="A55" t="s">
        <v>118</v>
      </c>
    </row>
    <row r="56" spans="1:32" ht="15.75" x14ac:dyDescent="0.25">
      <c r="A56" s="516" t="s">
        <v>97</v>
      </c>
      <c r="B56" s="516"/>
      <c r="C56" s="516"/>
      <c r="D56" s="516"/>
      <c r="E56" s="516"/>
      <c r="F56" s="516"/>
      <c r="G56" s="516"/>
      <c r="H56" s="516"/>
      <c r="I56" s="516"/>
      <c r="J56" s="516"/>
      <c r="K56" s="516"/>
      <c r="L56" s="516"/>
      <c r="M56" s="516"/>
      <c r="N56" s="516"/>
      <c r="O56" s="516"/>
      <c r="P56" s="516"/>
      <c r="Q56" s="516"/>
      <c r="R56" s="516"/>
      <c r="S56" s="516"/>
      <c r="T56" s="516"/>
      <c r="U56" s="516"/>
      <c r="V56" s="516"/>
      <c r="W56" s="516"/>
      <c r="X56" s="516"/>
      <c r="Y56" s="516"/>
      <c r="Z56" s="516"/>
      <c r="AA56" s="516"/>
      <c r="AB56" s="516"/>
      <c r="AC56" s="516"/>
      <c r="AD56" s="516"/>
      <c r="AE56" s="516"/>
      <c r="AF56" s="516"/>
    </row>
    <row r="57" spans="1:32" ht="15.75" x14ac:dyDescent="0.25">
      <c r="A57" s="516" t="s">
        <v>82</v>
      </c>
      <c r="B57" s="516"/>
      <c r="C57" s="516"/>
      <c r="D57" s="516"/>
      <c r="E57" s="516"/>
      <c r="F57" s="516"/>
      <c r="G57" s="516"/>
      <c r="H57" s="516"/>
      <c r="I57" s="516"/>
      <c r="J57" s="516"/>
      <c r="K57" s="516"/>
      <c r="L57" s="516"/>
      <c r="M57" s="516"/>
      <c r="N57" s="516"/>
      <c r="O57" s="516"/>
      <c r="P57" s="516"/>
      <c r="Q57" s="516"/>
      <c r="R57" s="516"/>
      <c r="S57" s="516"/>
      <c r="T57" s="516"/>
      <c r="U57" s="516"/>
      <c r="V57" s="516"/>
      <c r="W57" s="516"/>
      <c r="X57" s="516"/>
      <c r="Y57" s="516"/>
      <c r="Z57" s="516"/>
      <c r="AA57" s="516"/>
      <c r="AB57" s="516"/>
      <c r="AC57" s="516"/>
      <c r="AD57" s="516"/>
      <c r="AE57" s="516"/>
      <c r="AF57" s="516"/>
    </row>
    <row r="58" spans="1:32" ht="15.75" thickBot="1" x14ac:dyDescent="0.3">
      <c r="AF58" s="77" t="s">
        <v>1</v>
      </c>
    </row>
    <row r="59" spans="1:32" x14ac:dyDescent="0.25">
      <c r="A59" s="541" t="s">
        <v>2</v>
      </c>
      <c r="B59" s="543" t="s">
        <v>3</v>
      </c>
      <c r="C59" s="539" t="s">
        <v>114</v>
      </c>
      <c r="D59" s="540"/>
      <c r="E59" s="540"/>
      <c r="F59" s="540"/>
      <c r="G59" s="540"/>
      <c r="H59" s="540"/>
      <c r="I59" s="540"/>
      <c r="J59" s="540"/>
      <c r="K59" s="540"/>
      <c r="L59" s="540"/>
      <c r="M59" s="540"/>
      <c r="N59" s="540"/>
      <c r="O59" s="535" t="s">
        <v>84</v>
      </c>
      <c r="P59" s="536"/>
      <c r="Q59" s="552">
        <v>2016</v>
      </c>
      <c r="R59" s="551"/>
      <c r="S59" s="551"/>
      <c r="T59" s="551"/>
      <c r="U59" s="551"/>
      <c r="V59" s="551"/>
      <c r="W59" s="551"/>
      <c r="X59" s="551"/>
      <c r="Y59" s="551"/>
      <c r="Z59" s="551"/>
      <c r="AA59" s="551"/>
      <c r="AB59" s="539"/>
      <c r="AC59" s="547" t="s">
        <v>85</v>
      </c>
      <c r="AD59" s="548"/>
      <c r="AE59" s="523" t="s">
        <v>5</v>
      </c>
      <c r="AF59" s="524"/>
    </row>
    <row r="60" spans="1:32" x14ac:dyDescent="0.25">
      <c r="A60" s="542"/>
      <c r="B60" s="544"/>
      <c r="C60" s="527" t="s">
        <v>15</v>
      </c>
      <c r="D60" s="527"/>
      <c r="E60" s="527" t="s">
        <v>16</v>
      </c>
      <c r="F60" s="527"/>
      <c r="G60" s="527" t="s">
        <v>17</v>
      </c>
      <c r="H60" s="527"/>
      <c r="I60" s="527" t="s">
        <v>6</v>
      </c>
      <c r="J60" s="527"/>
      <c r="K60" s="527" t="s">
        <v>115</v>
      </c>
      <c r="L60" s="527"/>
      <c r="M60" s="527" t="s">
        <v>78</v>
      </c>
      <c r="N60" s="532"/>
      <c r="O60" s="537"/>
      <c r="P60" s="538"/>
      <c r="Q60" s="533" t="s">
        <v>79</v>
      </c>
      <c r="R60" s="534"/>
      <c r="S60" s="532" t="s">
        <v>10</v>
      </c>
      <c r="T60" s="534"/>
      <c r="U60" s="532" t="s">
        <v>11</v>
      </c>
      <c r="V60" s="534"/>
      <c r="W60" s="532" t="s">
        <v>12</v>
      </c>
      <c r="X60" s="534"/>
      <c r="Y60" s="532" t="s">
        <v>80</v>
      </c>
      <c r="Z60" s="534"/>
      <c r="AA60" s="532" t="s">
        <v>81</v>
      </c>
      <c r="AB60" s="533"/>
      <c r="AC60" s="549"/>
      <c r="AD60" s="550"/>
      <c r="AE60" s="525"/>
      <c r="AF60" s="526"/>
    </row>
    <row r="61" spans="1:32" x14ac:dyDescent="0.25">
      <c r="A61" s="542"/>
      <c r="B61" s="544"/>
      <c r="C61" s="224" t="s">
        <v>116</v>
      </c>
      <c r="D61" s="316" t="s">
        <v>117</v>
      </c>
      <c r="E61" s="225" t="s">
        <v>116</v>
      </c>
      <c r="F61" s="316" t="s">
        <v>117</v>
      </c>
      <c r="G61" s="225" t="s">
        <v>116</v>
      </c>
      <c r="H61" s="316" t="s">
        <v>117</v>
      </c>
      <c r="I61" s="225" t="s">
        <v>116</v>
      </c>
      <c r="J61" s="316" t="s">
        <v>117</v>
      </c>
      <c r="K61" s="225" t="s">
        <v>116</v>
      </c>
      <c r="L61" s="316" t="s">
        <v>117</v>
      </c>
      <c r="M61" s="225" t="s">
        <v>116</v>
      </c>
      <c r="N61" s="317" t="s">
        <v>117</v>
      </c>
      <c r="O61" s="226" t="s">
        <v>116</v>
      </c>
      <c r="P61" s="318" t="s">
        <v>117</v>
      </c>
      <c r="Q61" s="312" t="s">
        <v>116</v>
      </c>
      <c r="R61" s="314" t="s">
        <v>117</v>
      </c>
      <c r="S61" s="313" t="s">
        <v>116</v>
      </c>
      <c r="T61" s="314" t="s">
        <v>117</v>
      </c>
      <c r="U61" s="313" t="s">
        <v>116</v>
      </c>
      <c r="V61" s="314" t="s">
        <v>117</v>
      </c>
      <c r="W61" s="313" t="s">
        <v>116</v>
      </c>
      <c r="X61" s="314" t="s">
        <v>117</v>
      </c>
      <c r="Y61" s="313" t="s">
        <v>116</v>
      </c>
      <c r="Z61" s="314" t="s">
        <v>117</v>
      </c>
      <c r="AA61" s="313" t="s">
        <v>116</v>
      </c>
      <c r="AB61" s="315" t="s">
        <v>117</v>
      </c>
      <c r="AC61" s="227" t="s">
        <v>116</v>
      </c>
      <c r="AD61" s="319" t="s">
        <v>117</v>
      </c>
      <c r="AE61" s="226" t="s">
        <v>116</v>
      </c>
      <c r="AF61" s="320" t="s">
        <v>117</v>
      </c>
    </row>
    <row r="62" spans="1:32" ht="15.75" thickBot="1" x14ac:dyDescent="0.3">
      <c r="A62" s="228">
        <v>1</v>
      </c>
      <c r="B62" s="229">
        <v>2</v>
      </c>
      <c r="C62" s="229">
        <v>3</v>
      </c>
      <c r="D62" s="229">
        <v>4</v>
      </c>
      <c r="E62" s="229">
        <v>5</v>
      </c>
      <c r="F62" s="229">
        <v>6</v>
      </c>
      <c r="G62" s="229">
        <v>7</v>
      </c>
      <c r="H62" s="229">
        <v>8</v>
      </c>
      <c r="I62" s="229">
        <v>9</v>
      </c>
      <c r="J62" s="229">
        <v>10</v>
      </c>
      <c r="K62" s="229">
        <v>11</v>
      </c>
      <c r="L62" s="229">
        <v>12</v>
      </c>
      <c r="M62" s="230">
        <v>13</v>
      </c>
      <c r="N62" s="230">
        <v>14</v>
      </c>
      <c r="O62" s="231">
        <v>15</v>
      </c>
      <c r="P62" s="232">
        <v>16</v>
      </c>
      <c r="Q62" s="292">
        <v>17</v>
      </c>
      <c r="R62" s="229">
        <v>18</v>
      </c>
      <c r="S62" s="229">
        <v>19</v>
      </c>
      <c r="T62" s="229">
        <v>20</v>
      </c>
      <c r="U62" s="229">
        <v>21</v>
      </c>
      <c r="V62" s="229">
        <v>22</v>
      </c>
      <c r="W62" s="229">
        <v>23</v>
      </c>
      <c r="X62" s="229">
        <v>24</v>
      </c>
      <c r="Y62" s="229">
        <v>25</v>
      </c>
      <c r="Z62" s="229">
        <v>26</v>
      </c>
      <c r="AA62" s="229">
        <v>27</v>
      </c>
      <c r="AB62" s="230">
        <v>28</v>
      </c>
      <c r="AC62" s="231">
        <v>29</v>
      </c>
      <c r="AD62" s="308">
        <v>30</v>
      </c>
      <c r="AE62" s="292">
        <v>31</v>
      </c>
      <c r="AF62" s="309">
        <v>32</v>
      </c>
    </row>
    <row r="63" spans="1:32" ht="15.75" thickTop="1" x14ac:dyDescent="0.25">
      <c r="A63" s="234">
        <v>1</v>
      </c>
      <c r="B63" s="235" t="s">
        <v>18</v>
      </c>
      <c r="C63" s="236">
        <v>0</v>
      </c>
      <c r="D63" s="237">
        <v>0</v>
      </c>
      <c r="E63" s="236">
        <v>0</v>
      </c>
      <c r="F63" s="237">
        <v>0</v>
      </c>
      <c r="G63" s="236">
        <v>0</v>
      </c>
      <c r="H63" s="237">
        <v>0</v>
      </c>
      <c r="I63" s="237">
        <v>1</v>
      </c>
      <c r="J63" s="237">
        <f>jagung!C9</f>
        <v>2</v>
      </c>
      <c r="K63" s="237">
        <v>1</v>
      </c>
      <c r="L63" s="237">
        <f>jagung!D9</f>
        <v>5</v>
      </c>
      <c r="M63" s="237">
        <v>0</v>
      </c>
      <c r="N63" s="238">
        <f>jagung!E9</f>
        <v>0</v>
      </c>
      <c r="O63" s="299">
        <f>SUM(C63,E63,G63,I63,K63,M63)</f>
        <v>2</v>
      </c>
      <c r="P63" s="300">
        <f>SUM(D63,F63,H63,J63,L63,N63)</f>
        <v>7</v>
      </c>
      <c r="Q63" s="305">
        <v>0</v>
      </c>
      <c r="R63" s="281">
        <f>jagung!F9</f>
        <v>1</v>
      </c>
      <c r="S63" s="281">
        <v>0</v>
      </c>
      <c r="T63" s="281">
        <f>jagung!G9</f>
        <v>0</v>
      </c>
      <c r="U63" s="281">
        <v>0</v>
      </c>
      <c r="V63" s="281">
        <f>jagung!H9</f>
        <v>0</v>
      </c>
      <c r="W63" s="281">
        <v>0</v>
      </c>
      <c r="X63" s="281">
        <f>jagung!I9</f>
        <v>0</v>
      </c>
      <c r="Y63" s="281">
        <v>3</v>
      </c>
      <c r="Z63" s="281">
        <f>jagung!J9</f>
        <v>0</v>
      </c>
      <c r="AA63" s="281">
        <v>0</v>
      </c>
      <c r="AB63" s="280">
        <f>jagung!K9</f>
        <v>1</v>
      </c>
      <c r="AC63" s="299">
        <f>SUM(Q63,S63,U63,W63,Y63,AA63)</f>
        <v>3</v>
      </c>
      <c r="AD63" s="302">
        <f>SUM(R63,T63,V63,X63,Z63,AB63)</f>
        <v>2</v>
      </c>
      <c r="AE63" s="305">
        <f>SUM(O63,AC63)</f>
        <v>5</v>
      </c>
      <c r="AF63" s="287">
        <f>SUM(P63,AD63)</f>
        <v>9</v>
      </c>
    </row>
    <row r="64" spans="1:32" x14ac:dyDescent="0.25">
      <c r="A64" s="244">
        <v>2</v>
      </c>
      <c r="B64" s="245" t="s">
        <v>19</v>
      </c>
      <c r="C64" s="246">
        <v>0</v>
      </c>
      <c r="D64" s="247">
        <v>0</v>
      </c>
      <c r="E64" s="246">
        <v>0</v>
      </c>
      <c r="F64" s="247">
        <v>0</v>
      </c>
      <c r="G64" s="246">
        <v>0</v>
      </c>
      <c r="H64" s="247">
        <v>1</v>
      </c>
      <c r="I64" s="247">
        <v>0</v>
      </c>
      <c r="J64" s="247">
        <f>jagung!C10</f>
        <v>0</v>
      </c>
      <c r="K64" s="247">
        <v>0</v>
      </c>
      <c r="L64" s="247">
        <f>jagung!D10</f>
        <v>0</v>
      </c>
      <c r="M64" s="247">
        <v>0</v>
      </c>
      <c r="N64" s="248">
        <f>jagung!E10</f>
        <v>0</v>
      </c>
      <c r="O64" s="249">
        <f t="shared" ref="O64:O70" si="15">SUM(C64,E64,G64,I64,K64,M64)</f>
        <v>0</v>
      </c>
      <c r="P64" s="250">
        <f t="shared" ref="P64:P70" si="16">SUM(D64,F64,H64,J64,L64,N64)</f>
        <v>1</v>
      </c>
      <c r="Q64" s="306"/>
      <c r="R64" s="283">
        <f>jagung!F10</f>
        <v>0</v>
      </c>
      <c r="S64" s="283">
        <v>1</v>
      </c>
      <c r="T64" s="283">
        <f>jagung!G10</f>
        <v>1</v>
      </c>
      <c r="U64" s="283">
        <v>0</v>
      </c>
      <c r="V64" s="283">
        <f>jagung!H10</f>
        <v>0</v>
      </c>
      <c r="W64" s="283">
        <v>0</v>
      </c>
      <c r="X64" s="283">
        <f>jagung!I10</f>
        <v>1</v>
      </c>
      <c r="Y64" s="283">
        <v>2</v>
      </c>
      <c r="Z64" s="283">
        <f>jagung!J10</f>
        <v>0</v>
      </c>
      <c r="AA64" s="283">
        <v>0</v>
      </c>
      <c r="AB64" s="282">
        <f>jagung!K10</f>
        <v>0</v>
      </c>
      <c r="AC64" s="249">
        <f t="shared" ref="AC64:AC70" si="17">SUM(Q64,S64,U64,W64,Y64,AA64)</f>
        <v>3</v>
      </c>
      <c r="AD64" s="284">
        <f t="shared" ref="AD64:AD70" si="18">SUM(R64,T64,V64,X64,Z64,AB64)</f>
        <v>2</v>
      </c>
      <c r="AE64" s="306">
        <f t="shared" ref="AE64:AE70" si="19">SUM(O64,AC64)</f>
        <v>3</v>
      </c>
      <c r="AF64" s="288">
        <f t="shared" ref="AF64:AF70" si="20">SUM(P64,AD64)</f>
        <v>3</v>
      </c>
    </row>
    <row r="65" spans="1:32" x14ac:dyDescent="0.25">
      <c r="A65" s="244">
        <v>3</v>
      </c>
      <c r="B65" s="235" t="s">
        <v>20</v>
      </c>
      <c r="C65" s="254">
        <v>0</v>
      </c>
      <c r="D65" s="247">
        <v>0</v>
      </c>
      <c r="E65" s="254">
        <v>0</v>
      </c>
      <c r="F65" s="247">
        <v>2</v>
      </c>
      <c r="G65" s="254">
        <v>0</v>
      </c>
      <c r="H65" s="247">
        <v>2</v>
      </c>
      <c r="I65" s="247">
        <v>0</v>
      </c>
      <c r="J65" s="247">
        <f>jagung!C11</f>
        <v>1</v>
      </c>
      <c r="K65" s="247">
        <v>1</v>
      </c>
      <c r="L65" s="247">
        <f>jagung!D11</f>
        <v>0</v>
      </c>
      <c r="M65" s="247">
        <v>1</v>
      </c>
      <c r="N65" s="248">
        <f>jagung!E11</f>
        <v>0</v>
      </c>
      <c r="O65" s="249">
        <f t="shared" si="15"/>
        <v>2</v>
      </c>
      <c r="P65" s="250">
        <f t="shared" si="16"/>
        <v>5</v>
      </c>
      <c r="Q65" s="306">
        <v>0</v>
      </c>
      <c r="R65" s="283">
        <f>jagung!F11</f>
        <v>0</v>
      </c>
      <c r="S65" s="283">
        <v>2</v>
      </c>
      <c r="T65" s="283">
        <f>jagung!G11</f>
        <v>3</v>
      </c>
      <c r="U65" s="283">
        <v>2</v>
      </c>
      <c r="V65" s="283">
        <f>jagung!H11</f>
        <v>4</v>
      </c>
      <c r="W65" s="283">
        <v>2</v>
      </c>
      <c r="X65" s="283">
        <f>jagung!I11</f>
        <v>0</v>
      </c>
      <c r="Y65" s="283">
        <v>0</v>
      </c>
      <c r="Z65" s="283">
        <f>jagung!J11</f>
        <v>0</v>
      </c>
      <c r="AA65" s="283">
        <v>0</v>
      </c>
      <c r="AB65" s="282">
        <f>jagung!K11</f>
        <v>1</v>
      </c>
      <c r="AC65" s="249">
        <f t="shared" si="17"/>
        <v>6</v>
      </c>
      <c r="AD65" s="284">
        <f t="shared" si="18"/>
        <v>8</v>
      </c>
      <c r="AE65" s="306">
        <f t="shared" si="19"/>
        <v>8</v>
      </c>
      <c r="AF65" s="288">
        <f t="shared" si="20"/>
        <v>13</v>
      </c>
    </row>
    <row r="66" spans="1:32" x14ac:dyDescent="0.25">
      <c r="A66" s="255">
        <v>4</v>
      </c>
      <c r="B66" s="256" t="s">
        <v>21</v>
      </c>
      <c r="C66" s="257">
        <v>0</v>
      </c>
      <c r="D66" s="247">
        <v>0</v>
      </c>
      <c r="E66" s="257">
        <v>0</v>
      </c>
      <c r="F66" s="247">
        <v>0</v>
      </c>
      <c r="G66" s="257">
        <v>0</v>
      </c>
      <c r="H66" s="247">
        <v>0</v>
      </c>
      <c r="I66" s="247">
        <v>0</v>
      </c>
      <c r="J66" s="247">
        <f>jagung!C12</f>
        <v>1</v>
      </c>
      <c r="K66" s="247">
        <v>0</v>
      </c>
      <c r="L66" s="247">
        <f>jagung!D12</f>
        <v>0</v>
      </c>
      <c r="M66" s="247">
        <v>1</v>
      </c>
      <c r="N66" s="248">
        <f>jagung!E12</f>
        <v>0</v>
      </c>
      <c r="O66" s="249">
        <f t="shared" si="15"/>
        <v>1</v>
      </c>
      <c r="P66" s="250">
        <f t="shared" si="16"/>
        <v>1</v>
      </c>
      <c r="Q66" s="306">
        <v>0</v>
      </c>
      <c r="R66" s="283">
        <f>jagung!F12</f>
        <v>1</v>
      </c>
      <c r="S66" s="283">
        <v>1</v>
      </c>
      <c r="T66" s="283">
        <f>jagung!G12</f>
        <v>1</v>
      </c>
      <c r="U66" s="283">
        <v>0</v>
      </c>
      <c r="V66" s="283">
        <f>jagung!H12</f>
        <v>0</v>
      </c>
      <c r="W66" s="283">
        <v>2</v>
      </c>
      <c r="X66" s="283">
        <f>jagung!I12</f>
        <v>1</v>
      </c>
      <c r="Y66" s="283">
        <v>0</v>
      </c>
      <c r="Z66" s="283">
        <f>jagung!J12</f>
        <v>0</v>
      </c>
      <c r="AA66" s="283">
        <v>0</v>
      </c>
      <c r="AB66" s="282">
        <f>jagung!K12</f>
        <v>1</v>
      </c>
      <c r="AC66" s="249">
        <f t="shared" si="17"/>
        <v>3</v>
      </c>
      <c r="AD66" s="284">
        <f t="shared" si="18"/>
        <v>4</v>
      </c>
      <c r="AE66" s="306">
        <f t="shared" si="19"/>
        <v>4</v>
      </c>
      <c r="AF66" s="288">
        <f t="shared" si="20"/>
        <v>5</v>
      </c>
    </row>
    <row r="67" spans="1:32" x14ac:dyDescent="0.25">
      <c r="A67" s="255">
        <v>5</v>
      </c>
      <c r="B67" s="258" t="s">
        <v>22</v>
      </c>
      <c r="C67" s="259">
        <v>0</v>
      </c>
      <c r="D67" s="247">
        <v>1</v>
      </c>
      <c r="E67" s="259">
        <v>0</v>
      </c>
      <c r="F67" s="247">
        <v>0</v>
      </c>
      <c r="G67" s="259">
        <v>0</v>
      </c>
      <c r="H67" s="247">
        <v>0</v>
      </c>
      <c r="I67" s="247">
        <v>0</v>
      </c>
      <c r="J67" s="247">
        <f>jagung!C13</f>
        <v>0</v>
      </c>
      <c r="K67" s="247">
        <v>1</v>
      </c>
      <c r="L67" s="247">
        <f>jagung!D13</f>
        <v>0</v>
      </c>
      <c r="M67" s="247">
        <v>0</v>
      </c>
      <c r="N67" s="248">
        <f>jagung!E13</f>
        <v>1</v>
      </c>
      <c r="O67" s="249">
        <f t="shared" si="15"/>
        <v>1</v>
      </c>
      <c r="P67" s="250">
        <f t="shared" si="16"/>
        <v>2</v>
      </c>
      <c r="Q67" s="306">
        <v>0</v>
      </c>
      <c r="R67" s="283">
        <f>jagung!F13</f>
        <v>0</v>
      </c>
      <c r="S67" s="283">
        <v>1</v>
      </c>
      <c r="T67" s="283">
        <f>jagung!G13</f>
        <v>0</v>
      </c>
      <c r="U67" s="283">
        <v>1</v>
      </c>
      <c r="V67" s="283">
        <f>jagung!H13</f>
        <v>0</v>
      </c>
      <c r="W67" s="283">
        <v>0</v>
      </c>
      <c r="X67" s="283">
        <f>jagung!I13</f>
        <v>3</v>
      </c>
      <c r="Y67" s="283">
        <v>1</v>
      </c>
      <c r="Z67" s="283">
        <f>jagung!J13</f>
        <v>0</v>
      </c>
      <c r="AA67" s="283">
        <v>0</v>
      </c>
      <c r="AB67" s="282">
        <f>jagung!K13</f>
        <v>1</v>
      </c>
      <c r="AC67" s="249">
        <f t="shared" si="17"/>
        <v>3</v>
      </c>
      <c r="AD67" s="284">
        <f t="shared" si="18"/>
        <v>4</v>
      </c>
      <c r="AE67" s="306">
        <f t="shared" si="19"/>
        <v>4</v>
      </c>
      <c r="AF67" s="288">
        <f t="shared" si="20"/>
        <v>6</v>
      </c>
    </row>
    <row r="68" spans="1:32" x14ac:dyDescent="0.25">
      <c r="A68" s="255">
        <v>6</v>
      </c>
      <c r="B68" s="258" t="s">
        <v>23</v>
      </c>
      <c r="C68" s="259">
        <v>0</v>
      </c>
      <c r="D68" s="247">
        <v>0</v>
      </c>
      <c r="E68" s="259">
        <v>0</v>
      </c>
      <c r="F68" s="247">
        <v>0</v>
      </c>
      <c r="G68" s="259">
        <v>0</v>
      </c>
      <c r="H68" s="247">
        <v>0</v>
      </c>
      <c r="I68" s="247">
        <v>0</v>
      </c>
      <c r="J68" s="247">
        <f>jagung!C14</f>
        <v>0</v>
      </c>
      <c r="K68" s="247">
        <v>0</v>
      </c>
      <c r="L68" s="247">
        <f>jagung!D14</f>
        <v>0</v>
      </c>
      <c r="M68" s="247">
        <v>0</v>
      </c>
      <c r="N68" s="248">
        <f>jagung!E14</f>
        <v>0</v>
      </c>
      <c r="O68" s="249">
        <f t="shared" si="15"/>
        <v>0</v>
      </c>
      <c r="P68" s="250">
        <f t="shared" si="16"/>
        <v>0</v>
      </c>
      <c r="Q68" s="306">
        <v>0</v>
      </c>
      <c r="R68" s="283">
        <f>jagung!F14</f>
        <v>1</v>
      </c>
      <c r="S68" s="283">
        <v>1</v>
      </c>
      <c r="T68" s="283">
        <f>jagung!G14</f>
        <v>0</v>
      </c>
      <c r="U68" s="283">
        <v>0</v>
      </c>
      <c r="V68" s="283">
        <f>jagung!H14</f>
        <v>0</v>
      </c>
      <c r="W68" s="283">
        <v>0</v>
      </c>
      <c r="X68" s="283">
        <f>jagung!I14</f>
        <v>0</v>
      </c>
      <c r="Y68" s="283">
        <v>0</v>
      </c>
      <c r="Z68" s="283">
        <f>jagung!J14</f>
        <v>0</v>
      </c>
      <c r="AA68" s="283">
        <v>0</v>
      </c>
      <c r="AB68" s="282">
        <f>jagung!K14</f>
        <v>2</v>
      </c>
      <c r="AC68" s="249">
        <f t="shared" si="17"/>
        <v>1</v>
      </c>
      <c r="AD68" s="284">
        <f t="shared" si="18"/>
        <v>3</v>
      </c>
      <c r="AE68" s="306">
        <f t="shared" si="19"/>
        <v>1</v>
      </c>
      <c r="AF68" s="288">
        <f t="shared" si="20"/>
        <v>3</v>
      </c>
    </row>
    <row r="69" spans="1:32" x14ac:dyDescent="0.25">
      <c r="A69" s="255">
        <v>7</v>
      </c>
      <c r="B69" s="258" t="s">
        <v>24</v>
      </c>
      <c r="C69" s="259">
        <v>0</v>
      </c>
      <c r="D69" s="247">
        <v>0</v>
      </c>
      <c r="E69" s="259">
        <v>0</v>
      </c>
      <c r="F69" s="247">
        <v>0</v>
      </c>
      <c r="G69" s="259">
        <v>0</v>
      </c>
      <c r="H69" s="247">
        <v>0</v>
      </c>
      <c r="I69" s="247">
        <v>0</v>
      </c>
      <c r="J69" s="247">
        <f>jagung!C15</f>
        <v>0</v>
      </c>
      <c r="K69" s="247">
        <v>0</v>
      </c>
      <c r="L69" s="247">
        <f>jagung!D15</f>
        <v>0</v>
      </c>
      <c r="M69" s="247">
        <v>0</v>
      </c>
      <c r="N69" s="248">
        <f>jagung!E15</f>
        <v>0</v>
      </c>
      <c r="O69" s="249">
        <f t="shared" si="15"/>
        <v>0</v>
      </c>
      <c r="P69" s="250">
        <f t="shared" si="16"/>
        <v>0</v>
      </c>
      <c r="Q69" s="306">
        <v>0</v>
      </c>
      <c r="R69" s="283">
        <f>jagung!F15</f>
        <v>0.2</v>
      </c>
      <c r="S69" s="283">
        <v>1</v>
      </c>
      <c r="T69" s="283">
        <f>jagung!G15</f>
        <v>0</v>
      </c>
      <c r="U69" s="283">
        <v>0</v>
      </c>
      <c r="V69" s="283">
        <f>jagung!H15</f>
        <v>0</v>
      </c>
      <c r="W69" s="283">
        <v>0</v>
      </c>
      <c r="X69" s="283">
        <f>jagung!I15</f>
        <v>0</v>
      </c>
      <c r="Y69" s="283">
        <v>0</v>
      </c>
      <c r="Z69" s="283">
        <f>jagung!J15</f>
        <v>0.5</v>
      </c>
      <c r="AA69" s="283">
        <v>0</v>
      </c>
      <c r="AB69" s="282">
        <f>jagung!K15</f>
        <v>0</v>
      </c>
      <c r="AC69" s="249">
        <f t="shared" si="17"/>
        <v>1</v>
      </c>
      <c r="AD69" s="284">
        <f t="shared" si="18"/>
        <v>0.7</v>
      </c>
      <c r="AE69" s="306">
        <f t="shared" si="19"/>
        <v>1</v>
      </c>
      <c r="AF69" s="288">
        <f t="shared" si="20"/>
        <v>0.7</v>
      </c>
    </row>
    <row r="70" spans="1:32" ht="15.75" thickBot="1" x14ac:dyDescent="0.3">
      <c r="A70" s="260">
        <v>8</v>
      </c>
      <c r="B70" s="256" t="s">
        <v>25</v>
      </c>
      <c r="C70" s="261">
        <v>0</v>
      </c>
      <c r="D70" s="263">
        <v>0</v>
      </c>
      <c r="E70" s="261">
        <v>0</v>
      </c>
      <c r="F70" s="263">
        <v>0</v>
      </c>
      <c r="G70" s="261">
        <v>0</v>
      </c>
      <c r="H70" s="263">
        <v>3</v>
      </c>
      <c r="I70" s="263">
        <v>0</v>
      </c>
      <c r="J70" s="262">
        <f>jagung!C16</f>
        <v>0</v>
      </c>
      <c r="K70" s="263">
        <v>0</v>
      </c>
      <c r="L70" s="263">
        <f>jagung!D16</f>
        <v>1</v>
      </c>
      <c r="M70" s="263">
        <v>1</v>
      </c>
      <c r="N70" s="264">
        <f>jagung!E16</f>
        <v>0</v>
      </c>
      <c r="O70" s="265">
        <f t="shared" si="15"/>
        <v>1</v>
      </c>
      <c r="P70" s="266">
        <f t="shared" si="16"/>
        <v>4</v>
      </c>
      <c r="Q70" s="307">
        <v>1</v>
      </c>
      <c r="R70" s="285">
        <f>jagung!F16</f>
        <v>0</v>
      </c>
      <c r="S70" s="285">
        <v>0</v>
      </c>
      <c r="T70" s="285">
        <f>jagung!G16</f>
        <v>1</v>
      </c>
      <c r="U70" s="285">
        <v>2</v>
      </c>
      <c r="V70" s="285">
        <f>jagung!H16</f>
        <v>0</v>
      </c>
      <c r="W70" s="285">
        <v>0</v>
      </c>
      <c r="X70" s="285">
        <f>jagung!I16</f>
        <v>0</v>
      </c>
      <c r="Y70" s="285">
        <v>0</v>
      </c>
      <c r="Z70" s="285">
        <f>jagung!J16</f>
        <v>1</v>
      </c>
      <c r="AA70" s="285">
        <v>0</v>
      </c>
      <c r="AB70" s="289">
        <f>jagung!K16</f>
        <v>0</v>
      </c>
      <c r="AC70" s="265">
        <f t="shared" si="17"/>
        <v>3</v>
      </c>
      <c r="AD70" s="303">
        <f t="shared" si="18"/>
        <v>2</v>
      </c>
      <c r="AE70" s="310">
        <f t="shared" si="19"/>
        <v>4</v>
      </c>
      <c r="AF70" s="311">
        <f t="shared" si="20"/>
        <v>6</v>
      </c>
    </row>
    <row r="71" spans="1:32" ht="16.5" thickTop="1" thickBot="1" x14ac:dyDescent="0.3">
      <c r="A71" s="545" t="s">
        <v>26</v>
      </c>
      <c r="B71" s="546"/>
      <c r="C71" s="291">
        <f>SUM(C63:C70)</f>
        <v>0</v>
      </c>
      <c r="D71" s="291">
        <f t="shared" ref="D71:AF71" si="21">SUM(D63:D70)</f>
        <v>1</v>
      </c>
      <c r="E71" s="291">
        <f t="shared" si="21"/>
        <v>0</v>
      </c>
      <c r="F71" s="291">
        <f t="shared" si="21"/>
        <v>2</v>
      </c>
      <c r="G71" s="291">
        <f t="shared" si="21"/>
        <v>0</v>
      </c>
      <c r="H71" s="291">
        <f t="shared" si="21"/>
        <v>6</v>
      </c>
      <c r="I71" s="291">
        <f t="shared" si="21"/>
        <v>1</v>
      </c>
      <c r="J71" s="291">
        <f t="shared" si="21"/>
        <v>4</v>
      </c>
      <c r="K71" s="291">
        <f t="shared" si="21"/>
        <v>3</v>
      </c>
      <c r="L71" s="291">
        <f t="shared" si="21"/>
        <v>6</v>
      </c>
      <c r="M71" s="291">
        <f t="shared" si="21"/>
        <v>3</v>
      </c>
      <c r="N71" s="286">
        <f t="shared" si="21"/>
        <v>1</v>
      </c>
      <c r="O71" s="277">
        <f t="shared" si="21"/>
        <v>7</v>
      </c>
      <c r="P71" s="301">
        <f t="shared" si="21"/>
        <v>20</v>
      </c>
      <c r="Q71" s="291">
        <f t="shared" si="21"/>
        <v>1</v>
      </c>
      <c r="R71" s="291">
        <f t="shared" si="21"/>
        <v>3.2</v>
      </c>
      <c r="S71" s="291">
        <f t="shared" si="21"/>
        <v>7</v>
      </c>
      <c r="T71" s="291">
        <f t="shared" si="21"/>
        <v>6</v>
      </c>
      <c r="U71" s="291">
        <f t="shared" si="21"/>
        <v>5</v>
      </c>
      <c r="V71" s="291">
        <f t="shared" si="21"/>
        <v>4</v>
      </c>
      <c r="W71" s="291">
        <f t="shared" si="21"/>
        <v>4</v>
      </c>
      <c r="X71" s="291">
        <f t="shared" si="21"/>
        <v>5</v>
      </c>
      <c r="Y71" s="291">
        <f t="shared" si="21"/>
        <v>6</v>
      </c>
      <c r="Z71" s="291">
        <f t="shared" si="21"/>
        <v>1.5</v>
      </c>
      <c r="AA71" s="291">
        <f t="shared" si="21"/>
        <v>0</v>
      </c>
      <c r="AB71" s="286">
        <f t="shared" si="21"/>
        <v>6</v>
      </c>
      <c r="AC71" s="277">
        <f t="shared" si="21"/>
        <v>23</v>
      </c>
      <c r="AD71" s="278">
        <f t="shared" si="21"/>
        <v>25.7</v>
      </c>
      <c r="AE71" s="291">
        <f t="shared" si="21"/>
        <v>30</v>
      </c>
      <c r="AF71" s="290">
        <f t="shared" si="21"/>
        <v>45.7</v>
      </c>
    </row>
    <row r="72" spans="1:32" x14ac:dyDescent="0.25">
      <c r="A72" t="s">
        <v>118</v>
      </c>
    </row>
    <row r="73" spans="1:32" ht="15.75" x14ac:dyDescent="0.25">
      <c r="A73" s="516" t="s">
        <v>96</v>
      </c>
      <c r="B73" s="516"/>
      <c r="C73" s="516"/>
      <c r="D73" s="516"/>
      <c r="E73" s="516"/>
      <c r="F73" s="516"/>
      <c r="G73" s="516"/>
      <c r="H73" s="516"/>
      <c r="I73" s="516"/>
      <c r="J73" s="516"/>
      <c r="K73" s="516"/>
      <c r="L73" s="516"/>
      <c r="M73" s="516"/>
      <c r="N73" s="516"/>
      <c r="O73" s="516"/>
      <c r="P73" s="516"/>
      <c r="Q73" s="516"/>
      <c r="R73" s="516"/>
      <c r="S73" s="516"/>
      <c r="T73" s="516"/>
      <c r="U73" s="516"/>
      <c r="V73" s="516"/>
      <c r="W73" s="516"/>
      <c r="X73" s="516"/>
      <c r="Y73" s="516"/>
      <c r="Z73" s="516"/>
      <c r="AA73" s="516"/>
      <c r="AB73" s="516"/>
      <c r="AC73" s="516"/>
      <c r="AD73" s="516"/>
      <c r="AE73" s="516"/>
      <c r="AF73" s="516"/>
    </row>
    <row r="74" spans="1:32" ht="15.75" x14ac:dyDescent="0.25">
      <c r="A74" s="516" t="s">
        <v>82</v>
      </c>
      <c r="B74" s="516"/>
      <c r="C74" s="516"/>
      <c r="D74" s="516"/>
      <c r="E74" s="516"/>
      <c r="F74" s="516"/>
      <c r="G74" s="516"/>
      <c r="H74" s="516"/>
      <c r="I74" s="516"/>
      <c r="J74" s="516"/>
      <c r="K74" s="516"/>
      <c r="L74" s="516"/>
      <c r="M74" s="516"/>
      <c r="N74" s="516"/>
      <c r="O74" s="516"/>
      <c r="P74" s="516"/>
      <c r="Q74" s="516"/>
      <c r="R74" s="516"/>
      <c r="S74" s="516"/>
      <c r="T74" s="516"/>
      <c r="U74" s="516"/>
      <c r="V74" s="516"/>
      <c r="W74" s="516"/>
      <c r="X74" s="516"/>
      <c r="Y74" s="516"/>
      <c r="Z74" s="516"/>
      <c r="AA74" s="516"/>
      <c r="AB74" s="516"/>
      <c r="AC74" s="516"/>
      <c r="AD74" s="516"/>
      <c r="AE74" s="516"/>
      <c r="AF74" s="516"/>
    </row>
    <row r="75" spans="1:32" ht="15.75" thickBot="1" x14ac:dyDescent="0.3">
      <c r="AF75" s="77" t="s">
        <v>1</v>
      </c>
    </row>
    <row r="76" spans="1:32" x14ac:dyDescent="0.25">
      <c r="A76" s="511" t="s">
        <v>2</v>
      </c>
      <c r="B76" s="513" t="s">
        <v>3</v>
      </c>
      <c r="C76" s="201"/>
      <c r="D76" s="517" t="s">
        <v>114</v>
      </c>
      <c r="E76" s="518"/>
      <c r="F76" s="518"/>
      <c r="G76" s="518"/>
      <c r="H76" s="518"/>
      <c r="I76" s="518"/>
      <c r="J76" s="518"/>
      <c r="K76" s="518"/>
      <c r="L76" s="518"/>
      <c r="M76" s="518"/>
      <c r="N76" s="518"/>
      <c r="O76" s="210"/>
      <c r="P76" s="519" t="s">
        <v>84</v>
      </c>
      <c r="Q76" s="210"/>
      <c r="R76" s="518">
        <v>2016</v>
      </c>
      <c r="S76" s="518"/>
      <c r="T76" s="518"/>
      <c r="U76" s="518"/>
      <c r="V76" s="518"/>
      <c r="W76" s="518"/>
      <c r="X76" s="518"/>
      <c r="Y76" s="518"/>
      <c r="Z76" s="518"/>
      <c r="AA76" s="518"/>
      <c r="AB76" s="518"/>
      <c r="AC76" s="210"/>
      <c r="AD76" s="519" t="s">
        <v>85</v>
      </c>
      <c r="AE76" s="210"/>
      <c r="AF76" s="521" t="s">
        <v>5</v>
      </c>
    </row>
    <row r="77" spans="1:32" x14ac:dyDescent="0.25">
      <c r="A77" s="512"/>
      <c r="B77" s="499"/>
      <c r="C77" s="165"/>
      <c r="D77" s="166" t="s">
        <v>15</v>
      </c>
      <c r="E77" s="166"/>
      <c r="F77" s="166" t="s">
        <v>16</v>
      </c>
      <c r="G77" s="166"/>
      <c r="H77" s="166" t="s">
        <v>17</v>
      </c>
      <c r="I77" s="166"/>
      <c r="J77" s="166" t="s">
        <v>6</v>
      </c>
      <c r="K77" s="166"/>
      <c r="L77" s="166" t="s">
        <v>77</v>
      </c>
      <c r="M77" s="122"/>
      <c r="N77" s="122" t="s">
        <v>78</v>
      </c>
      <c r="O77" s="204"/>
      <c r="P77" s="520"/>
      <c r="Q77" s="97"/>
      <c r="R77" s="112" t="s">
        <v>79</v>
      </c>
      <c r="S77" s="112"/>
      <c r="T77" s="166" t="s">
        <v>10</v>
      </c>
      <c r="U77" s="166"/>
      <c r="V77" s="166" t="s">
        <v>11</v>
      </c>
      <c r="W77" s="166"/>
      <c r="X77" s="166" t="s">
        <v>12</v>
      </c>
      <c r="Y77" s="166"/>
      <c r="Z77" s="166" t="s">
        <v>80</v>
      </c>
      <c r="AA77" s="122"/>
      <c r="AB77" s="122" t="s">
        <v>81</v>
      </c>
      <c r="AC77" s="204"/>
      <c r="AD77" s="520"/>
      <c r="AE77" s="217"/>
      <c r="AF77" s="522"/>
    </row>
    <row r="78" spans="1:32" ht="15.75" thickBot="1" x14ac:dyDescent="0.3">
      <c r="A78" s="114">
        <v>1</v>
      </c>
      <c r="B78" s="5">
        <v>2</v>
      </c>
      <c r="C78" s="5"/>
      <c r="D78" s="5">
        <v>3</v>
      </c>
      <c r="E78" s="5"/>
      <c r="F78" s="5">
        <v>4</v>
      </c>
      <c r="G78" s="5"/>
      <c r="H78" s="5">
        <v>5</v>
      </c>
      <c r="I78" s="5"/>
      <c r="J78" s="5">
        <v>6</v>
      </c>
      <c r="K78" s="5"/>
      <c r="L78" s="5">
        <v>7</v>
      </c>
      <c r="M78" s="123"/>
      <c r="N78" s="123">
        <v>8</v>
      </c>
      <c r="O78" s="205"/>
      <c r="P78" s="125">
        <v>9</v>
      </c>
      <c r="Q78" s="205"/>
      <c r="R78" s="113">
        <v>10</v>
      </c>
      <c r="S78" s="113"/>
      <c r="T78" s="5">
        <v>11</v>
      </c>
      <c r="U78" s="5"/>
      <c r="V78" s="5">
        <v>12</v>
      </c>
      <c r="W78" s="5"/>
      <c r="X78" s="5">
        <v>13</v>
      </c>
      <c r="Y78" s="5"/>
      <c r="Z78" s="5">
        <v>14</v>
      </c>
      <c r="AA78" s="123"/>
      <c r="AB78" s="123">
        <v>15</v>
      </c>
      <c r="AC78" s="205"/>
      <c r="AD78" s="125">
        <v>16</v>
      </c>
      <c r="AE78" s="205"/>
      <c r="AF78" s="134">
        <v>17</v>
      </c>
    </row>
    <row r="79" spans="1:32" ht="15.75" thickTop="1" x14ac:dyDescent="0.25">
      <c r="A79" s="85">
        <v>1</v>
      </c>
      <c r="B79" s="7" t="s">
        <v>18</v>
      </c>
      <c r="C79" s="202"/>
      <c r="D79" s="139">
        <v>0</v>
      </c>
      <c r="E79" s="139"/>
      <c r="F79" s="139">
        <v>0</v>
      </c>
      <c r="G79" s="139"/>
      <c r="H79" s="139">
        <v>0</v>
      </c>
      <c r="I79" s="139"/>
      <c r="J79" s="139">
        <f>kedelai!C9</f>
        <v>0</v>
      </c>
      <c r="K79" s="139"/>
      <c r="L79" s="139">
        <f>kedelai!D9</f>
        <v>0</v>
      </c>
      <c r="M79" s="139"/>
      <c r="N79" s="139">
        <f>kedelai!E9</f>
        <v>0</v>
      </c>
      <c r="O79" s="206"/>
      <c r="P79" s="127">
        <f t="shared" ref="P79:P86" si="22">SUM(D79:N79)</f>
        <v>0</v>
      </c>
      <c r="Q79" s="211"/>
      <c r="R79" s="162">
        <f>kedelai!F9</f>
        <v>0</v>
      </c>
      <c r="S79" s="162"/>
      <c r="T79" s="162">
        <f>kedelai!G9</f>
        <v>0</v>
      </c>
      <c r="U79" s="162"/>
      <c r="V79" s="162">
        <f>kedelai!H9</f>
        <v>0</v>
      </c>
      <c r="W79" s="162"/>
      <c r="X79" s="162">
        <f>kedelai!I9</f>
        <v>0</v>
      </c>
      <c r="Y79" s="162"/>
      <c r="Z79" s="162">
        <f>kedelai!J9</f>
        <v>0</v>
      </c>
      <c r="AA79" s="162"/>
      <c r="AB79" s="162">
        <f>kedelai!K9</f>
        <v>0</v>
      </c>
      <c r="AC79" s="206"/>
      <c r="AD79" s="127">
        <f>SUM(R79:AB79)</f>
        <v>0</v>
      </c>
      <c r="AE79" s="211"/>
      <c r="AF79" s="130">
        <f>SUM(P79,AD79)</f>
        <v>0</v>
      </c>
    </row>
    <row r="80" spans="1:32" x14ac:dyDescent="0.25">
      <c r="A80" s="86">
        <v>2</v>
      </c>
      <c r="B80" s="12" t="s">
        <v>19</v>
      </c>
      <c r="C80" s="12"/>
      <c r="D80" s="60">
        <v>1</v>
      </c>
      <c r="E80" s="60"/>
      <c r="F80" s="60">
        <v>5</v>
      </c>
      <c r="G80" s="60"/>
      <c r="H80" s="60">
        <v>5</v>
      </c>
      <c r="I80" s="60"/>
      <c r="J80" s="60">
        <f>kedelai!C10</f>
        <v>5</v>
      </c>
      <c r="K80" s="60"/>
      <c r="L80" s="60">
        <f>kedelai!D10</f>
        <v>9</v>
      </c>
      <c r="M80" s="60"/>
      <c r="N80" s="60">
        <f>kedelai!E10</f>
        <v>6</v>
      </c>
      <c r="O80" s="207"/>
      <c r="P80" s="128">
        <f t="shared" si="22"/>
        <v>31</v>
      </c>
      <c r="Q80" s="212"/>
      <c r="R80" s="135">
        <f>kedelai!F10</f>
        <v>0</v>
      </c>
      <c r="S80" s="135"/>
      <c r="T80" s="135">
        <f>kedelai!G10</f>
        <v>0</v>
      </c>
      <c r="U80" s="135"/>
      <c r="V80" s="135">
        <f>kedelai!H10</f>
        <v>0</v>
      </c>
      <c r="W80" s="135"/>
      <c r="X80" s="135">
        <f>kedelai!I10</f>
        <v>0</v>
      </c>
      <c r="Y80" s="135"/>
      <c r="Z80" s="135">
        <f>kedelai!J10</f>
        <v>0</v>
      </c>
      <c r="AA80" s="207"/>
      <c r="AB80" s="164">
        <f>kedelai!K10</f>
        <v>0</v>
      </c>
      <c r="AC80" s="164"/>
      <c r="AD80" s="128">
        <f t="shared" ref="AD80:AD85" si="23">SUM(R80:AB80)</f>
        <v>0</v>
      </c>
      <c r="AE80" s="212"/>
      <c r="AF80" s="131">
        <f t="shared" ref="AF80:AF86" si="24">SUM(P80,AD80)</f>
        <v>31</v>
      </c>
    </row>
    <row r="81" spans="1:32" x14ac:dyDescent="0.25">
      <c r="A81" s="86">
        <v>3</v>
      </c>
      <c r="B81" s="7" t="s">
        <v>20</v>
      </c>
      <c r="C81" s="7"/>
      <c r="D81" s="60">
        <v>0</v>
      </c>
      <c r="E81" s="60"/>
      <c r="F81" s="60">
        <v>0</v>
      </c>
      <c r="G81" s="60"/>
      <c r="H81" s="60">
        <v>25</v>
      </c>
      <c r="I81" s="60"/>
      <c r="J81" s="60">
        <f>kedelai!C11</f>
        <v>15</v>
      </c>
      <c r="K81" s="60"/>
      <c r="L81" s="60">
        <f>kedelai!D11</f>
        <v>0</v>
      </c>
      <c r="M81" s="60"/>
      <c r="N81" s="60">
        <f>kedelai!E11</f>
        <v>0</v>
      </c>
      <c r="O81" s="207"/>
      <c r="P81" s="128">
        <f t="shared" si="22"/>
        <v>40</v>
      </c>
      <c r="Q81" s="212"/>
      <c r="R81" s="135">
        <f>kedelai!F11</f>
        <v>0</v>
      </c>
      <c r="S81" s="135"/>
      <c r="T81" s="135">
        <f>kedelai!G11</f>
        <v>0</v>
      </c>
      <c r="U81" s="135"/>
      <c r="V81" s="135">
        <f>kedelai!H11</f>
        <v>0</v>
      </c>
      <c r="W81" s="135"/>
      <c r="X81" s="135">
        <f>kedelai!I11</f>
        <v>0</v>
      </c>
      <c r="Y81" s="135"/>
      <c r="Z81" s="135">
        <f>kedelai!J11</f>
        <v>0</v>
      </c>
      <c r="AA81" s="207"/>
      <c r="AB81" s="164">
        <f>kedelai!K11</f>
        <v>0</v>
      </c>
      <c r="AC81" s="164"/>
      <c r="AD81" s="128">
        <f t="shared" si="23"/>
        <v>0</v>
      </c>
      <c r="AE81" s="212"/>
      <c r="AF81" s="131">
        <f t="shared" si="24"/>
        <v>40</v>
      </c>
    </row>
    <row r="82" spans="1:32" x14ac:dyDescent="0.25">
      <c r="A82" s="87">
        <v>4</v>
      </c>
      <c r="B82" s="15" t="s">
        <v>21</v>
      </c>
      <c r="C82" s="15"/>
      <c r="D82" s="60">
        <v>0</v>
      </c>
      <c r="E82" s="60"/>
      <c r="F82" s="60">
        <v>0</v>
      </c>
      <c r="G82" s="60"/>
      <c r="H82" s="60">
        <v>0</v>
      </c>
      <c r="I82" s="60"/>
      <c r="J82" s="60">
        <f>kedelai!C12</f>
        <v>0</v>
      </c>
      <c r="K82" s="60"/>
      <c r="L82" s="60">
        <f>kedelai!D12</f>
        <v>0</v>
      </c>
      <c r="M82" s="60"/>
      <c r="N82" s="60">
        <f>kedelai!E12</f>
        <v>0</v>
      </c>
      <c r="O82" s="207"/>
      <c r="P82" s="128">
        <f t="shared" si="22"/>
        <v>0</v>
      </c>
      <c r="Q82" s="212"/>
      <c r="R82" s="135">
        <f>kedelai!F12</f>
        <v>0</v>
      </c>
      <c r="S82" s="135"/>
      <c r="T82" s="135">
        <f>kedelai!G12</f>
        <v>0</v>
      </c>
      <c r="U82" s="135"/>
      <c r="V82" s="135">
        <f>kedelai!H12</f>
        <v>0</v>
      </c>
      <c r="W82" s="135"/>
      <c r="X82" s="135">
        <f>kedelai!I12</f>
        <v>0</v>
      </c>
      <c r="Y82" s="135"/>
      <c r="Z82" s="135">
        <f>kedelai!J12</f>
        <v>0</v>
      </c>
      <c r="AA82" s="207"/>
      <c r="AB82" s="164">
        <f>kedelai!K12</f>
        <v>0</v>
      </c>
      <c r="AC82" s="164"/>
      <c r="AD82" s="128">
        <f t="shared" si="23"/>
        <v>0</v>
      </c>
      <c r="AE82" s="212"/>
      <c r="AF82" s="131">
        <f t="shared" si="24"/>
        <v>0</v>
      </c>
    </row>
    <row r="83" spans="1:32" x14ac:dyDescent="0.25">
      <c r="A83" s="87">
        <v>5</v>
      </c>
      <c r="B83" s="19" t="s">
        <v>22</v>
      </c>
      <c r="C83" s="19"/>
      <c r="D83" s="60">
        <v>2</v>
      </c>
      <c r="E83" s="60"/>
      <c r="F83" s="60">
        <v>2</v>
      </c>
      <c r="G83" s="60"/>
      <c r="H83" s="60">
        <v>4</v>
      </c>
      <c r="I83" s="60"/>
      <c r="J83" s="60">
        <f>kedelai!C13</f>
        <v>0</v>
      </c>
      <c r="K83" s="60"/>
      <c r="L83" s="60">
        <f>kedelai!D13</f>
        <v>10</v>
      </c>
      <c r="M83" s="60"/>
      <c r="N83" s="60">
        <f>kedelai!E13</f>
        <v>25</v>
      </c>
      <c r="O83" s="207"/>
      <c r="P83" s="128">
        <f t="shared" si="22"/>
        <v>43</v>
      </c>
      <c r="Q83" s="212"/>
      <c r="R83" s="135">
        <f>kedelai!F13</f>
        <v>0</v>
      </c>
      <c r="S83" s="135"/>
      <c r="T83" s="135">
        <f>kedelai!G13</f>
        <v>0</v>
      </c>
      <c r="U83" s="135"/>
      <c r="V83" s="135">
        <f>kedelai!H13</f>
        <v>0</v>
      </c>
      <c r="W83" s="135"/>
      <c r="X83" s="135">
        <f>kedelai!I13</f>
        <v>0</v>
      </c>
      <c r="Y83" s="135"/>
      <c r="Z83" s="135">
        <f>kedelai!J13</f>
        <v>0</v>
      </c>
      <c r="AA83" s="207"/>
      <c r="AB83" s="164">
        <f>kedelai!K13</f>
        <v>0</v>
      </c>
      <c r="AC83" s="164"/>
      <c r="AD83" s="128">
        <f t="shared" si="23"/>
        <v>0</v>
      </c>
      <c r="AE83" s="212"/>
      <c r="AF83" s="131">
        <f t="shared" si="24"/>
        <v>43</v>
      </c>
    </row>
    <row r="84" spans="1:32" x14ac:dyDescent="0.25">
      <c r="A84" s="87">
        <v>6</v>
      </c>
      <c r="B84" s="19" t="s">
        <v>23</v>
      </c>
      <c r="C84" s="19"/>
      <c r="D84" s="60">
        <v>0</v>
      </c>
      <c r="E84" s="60"/>
      <c r="F84" s="60">
        <v>0</v>
      </c>
      <c r="G84" s="60"/>
      <c r="H84" s="60">
        <v>0</v>
      </c>
      <c r="I84" s="60"/>
      <c r="J84" s="60">
        <f>kedelai!C14</f>
        <v>0</v>
      </c>
      <c r="K84" s="60"/>
      <c r="L84" s="60">
        <f>kedelai!D14</f>
        <v>0</v>
      </c>
      <c r="M84" s="60"/>
      <c r="N84" s="60">
        <f>kedelai!E14</f>
        <v>0</v>
      </c>
      <c r="O84" s="207"/>
      <c r="P84" s="128">
        <f t="shared" si="22"/>
        <v>0</v>
      </c>
      <c r="Q84" s="212"/>
      <c r="R84" s="135">
        <f>kedelai!F14</f>
        <v>0</v>
      </c>
      <c r="S84" s="135"/>
      <c r="T84" s="135">
        <f>kedelai!G14</f>
        <v>0</v>
      </c>
      <c r="U84" s="135"/>
      <c r="V84" s="135">
        <f>kedelai!H14</f>
        <v>0</v>
      </c>
      <c r="W84" s="135"/>
      <c r="X84" s="135">
        <f>kedelai!I14</f>
        <v>0</v>
      </c>
      <c r="Y84" s="135"/>
      <c r="Z84" s="135">
        <f>kedelai!J14</f>
        <v>0</v>
      </c>
      <c r="AA84" s="207"/>
      <c r="AB84" s="164">
        <f>kedelai!K14</f>
        <v>0</v>
      </c>
      <c r="AC84" s="164"/>
      <c r="AD84" s="128">
        <f t="shared" si="23"/>
        <v>0</v>
      </c>
      <c r="AE84" s="212"/>
      <c r="AF84" s="131">
        <f t="shared" si="24"/>
        <v>0</v>
      </c>
    </row>
    <row r="85" spans="1:32" x14ac:dyDescent="0.25">
      <c r="A85" s="87">
        <v>7</v>
      </c>
      <c r="B85" s="19" t="s">
        <v>24</v>
      </c>
      <c r="C85" s="19"/>
      <c r="D85" s="60">
        <v>0</v>
      </c>
      <c r="E85" s="60"/>
      <c r="F85" s="60">
        <v>0</v>
      </c>
      <c r="G85" s="60"/>
      <c r="H85" s="60">
        <v>0</v>
      </c>
      <c r="I85" s="60"/>
      <c r="J85" s="60">
        <f>kedelai!C15</f>
        <v>0</v>
      </c>
      <c r="K85" s="60"/>
      <c r="L85" s="60">
        <f>kedelai!D15</f>
        <v>0</v>
      </c>
      <c r="M85" s="60"/>
      <c r="N85" s="60">
        <f>kedelai!E15</f>
        <v>0</v>
      </c>
      <c r="O85" s="207"/>
      <c r="P85" s="128">
        <f t="shared" si="22"/>
        <v>0</v>
      </c>
      <c r="Q85" s="212"/>
      <c r="R85" s="135">
        <f>kedelai!F15</f>
        <v>0</v>
      </c>
      <c r="S85" s="135"/>
      <c r="T85" s="135">
        <f>kedelai!G15</f>
        <v>0</v>
      </c>
      <c r="U85" s="135"/>
      <c r="V85" s="135">
        <f>kedelai!H15</f>
        <v>0</v>
      </c>
      <c r="W85" s="135"/>
      <c r="X85" s="135">
        <f>kedelai!I15</f>
        <v>0</v>
      </c>
      <c r="Y85" s="135"/>
      <c r="Z85" s="135">
        <f>kedelai!J15</f>
        <v>0</v>
      </c>
      <c r="AA85" s="207"/>
      <c r="AB85" s="164">
        <f>kedelai!K15</f>
        <v>0</v>
      </c>
      <c r="AC85" s="164"/>
      <c r="AD85" s="128">
        <f t="shared" si="23"/>
        <v>0</v>
      </c>
      <c r="AE85" s="212"/>
      <c r="AF85" s="131">
        <f t="shared" si="24"/>
        <v>0</v>
      </c>
    </row>
    <row r="86" spans="1:32" ht="15.75" thickBot="1" x14ac:dyDescent="0.3">
      <c r="A86" s="88">
        <v>8</v>
      </c>
      <c r="B86" s="15" t="s">
        <v>25</v>
      </c>
      <c r="C86" s="203"/>
      <c r="D86" s="140">
        <v>0</v>
      </c>
      <c r="E86" s="140"/>
      <c r="F86" s="140">
        <v>0</v>
      </c>
      <c r="G86" s="140"/>
      <c r="H86" s="140">
        <v>2</v>
      </c>
      <c r="I86" s="140"/>
      <c r="J86" s="145">
        <f>kedelai!C16</f>
        <v>0</v>
      </c>
      <c r="K86" s="140"/>
      <c r="L86" s="140">
        <f>kedelai!D16</f>
        <v>0</v>
      </c>
      <c r="M86" s="140"/>
      <c r="N86" s="140">
        <f>kedelai!E16</f>
        <v>28</v>
      </c>
      <c r="O86" s="208"/>
      <c r="P86" s="129">
        <f t="shared" si="22"/>
        <v>30</v>
      </c>
      <c r="Q86" s="214"/>
      <c r="R86" s="163">
        <f>kedelai!F16</f>
        <v>0</v>
      </c>
      <c r="S86" s="163"/>
      <c r="T86" s="163">
        <f>kedelai!G16</f>
        <v>0</v>
      </c>
      <c r="U86" s="163"/>
      <c r="V86" s="163">
        <f>kedelai!H16</f>
        <v>0</v>
      </c>
      <c r="W86" s="163"/>
      <c r="X86" s="163">
        <f>kedelai!I16</f>
        <v>0</v>
      </c>
      <c r="Y86" s="163"/>
      <c r="Z86" s="163">
        <f>kedelai!J16</f>
        <v>0</v>
      </c>
      <c r="AA86" s="163"/>
      <c r="AB86" s="163">
        <f>kedelai!K16</f>
        <v>0</v>
      </c>
      <c r="AC86" s="216"/>
      <c r="AD86" s="129">
        <f>SUM(R86:AB86)</f>
        <v>0</v>
      </c>
      <c r="AE86" s="214"/>
      <c r="AF86" s="132">
        <f t="shared" si="24"/>
        <v>30</v>
      </c>
    </row>
    <row r="87" spans="1:32" ht="16.5" thickTop="1" thickBot="1" x14ac:dyDescent="0.3">
      <c r="A87" s="514" t="s">
        <v>26</v>
      </c>
      <c r="B87" s="515"/>
      <c r="C87" s="167"/>
      <c r="D87" s="115">
        <f t="shared" ref="D87:N87" si="25">SUM(D79:D86)</f>
        <v>3</v>
      </c>
      <c r="E87" s="115"/>
      <c r="F87" s="115">
        <f t="shared" si="25"/>
        <v>7</v>
      </c>
      <c r="G87" s="115"/>
      <c r="H87" s="115">
        <f t="shared" si="25"/>
        <v>36</v>
      </c>
      <c r="I87" s="115"/>
      <c r="J87" s="115">
        <f t="shared" si="25"/>
        <v>20</v>
      </c>
      <c r="K87" s="115"/>
      <c r="L87" s="115">
        <f t="shared" si="25"/>
        <v>19</v>
      </c>
      <c r="M87" s="124"/>
      <c r="N87" s="124">
        <f t="shared" si="25"/>
        <v>59</v>
      </c>
      <c r="O87" s="209"/>
      <c r="P87" s="126">
        <f>SUM(P79:P86)</f>
        <v>144</v>
      </c>
      <c r="Q87" s="213"/>
      <c r="R87" s="136">
        <f t="shared" ref="R87:AB87" si="26">SUM(R79:R86)</f>
        <v>0</v>
      </c>
      <c r="S87" s="215"/>
      <c r="T87" s="115">
        <f t="shared" si="26"/>
        <v>0</v>
      </c>
      <c r="U87" s="115"/>
      <c r="V87" s="115">
        <f t="shared" si="26"/>
        <v>0</v>
      </c>
      <c r="W87" s="115"/>
      <c r="X87" s="115">
        <f t="shared" si="26"/>
        <v>0</v>
      </c>
      <c r="Y87" s="115"/>
      <c r="Z87" s="115">
        <f t="shared" si="26"/>
        <v>0</v>
      </c>
      <c r="AA87" s="124"/>
      <c r="AB87" s="124">
        <f t="shared" si="26"/>
        <v>0</v>
      </c>
      <c r="AC87" s="209"/>
      <c r="AD87" s="126">
        <f>SUM(AD79:AD86)</f>
        <v>0</v>
      </c>
      <c r="AE87" s="209"/>
      <c r="AF87" s="133">
        <f>SUM(AF79:AF86)</f>
        <v>144</v>
      </c>
    </row>
    <row r="89" spans="1:32" ht="15.75" x14ac:dyDescent="0.25">
      <c r="A89" s="516" t="s">
        <v>98</v>
      </c>
      <c r="B89" s="516"/>
      <c r="C89" s="516"/>
      <c r="D89" s="516"/>
      <c r="E89" s="516"/>
      <c r="F89" s="516"/>
      <c r="G89" s="516"/>
      <c r="H89" s="516"/>
      <c r="I89" s="516"/>
      <c r="J89" s="516"/>
      <c r="K89" s="516"/>
      <c r="L89" s="516"/>
      <c r="M89" s="516"/>
      <c r="N89" s="516"/>
      <c r="O89" s="516"/>
      <c r="P89" s="516"/>
      <c r="Q89" s="516"/>
      <c r="R89" s="516"/>
      <c r="S89" s="516"/>
      <c r="T89" s="516"/>
      <c r="U89" s="516"/>
      <c r="V89" s="516"/>
      <c r="W89" s="516"/>
      <c r="X89" s="516"/>
      <c r="Y89" s="516"/>
      <c r="Z89" s="516"/>
      <c r="AA89" s="516"/>
      <c r="AB89" s="516"/>
      <c r="AC89" s="516"/>
      <c r="AD89" s="516"/>
      <c r="AE89" s="516"/>
      <c r="AF89" s="516"/>
    </row>
    <row r="90" spans="1:32" ht="15.75" x14ac:dyDescent="0.25">
      <c r="A90" s="516" t="s">
        <v>82</v>
      </c>
      <c r="B90" s="516"/>
      <c r="C90" s="516"/>
      <c r="D90" s="516"/>
      <c r="E90" s="516"/>
      <c r="F90" s="516"/>
      <c r="G90" s="516"/>
      <c r="H90" s="516"/>
      <c r="I90" s="516"/>
      <c r="J90" s="516"/>
      <c r="K90" s="516"/>
      <c r="L90" s="516"/>
      <c r="M90" s="516"/>
      <c r="N90" s="516"/>
      <c r="O90" s="516"/>
      <c r="P90" s="516"/>
      <c r="Q90" s="516"/>
      <c r="R90" s="516"/>
      <c r="S90" s="516"/>
      <c r="T90" s="516"/>
      <c r="U90" s="516"/>
      <c r="V90" s="516"/>
      <c r="W90" s="516"/>
      <c r="X90" s="516"/>
      <c r="Y90" s="516"/>
      <c r="Z90" s="516"/>
      <c r="AA90" s="516"/>
      <c r="AB90" s="516"/>
      <c r="AC90" s="516"/>
      <c r="AD90" s="516"/>
      <c r="AE90" s="516"/>
      <c r="AF90" s="516"/>
    </row>
    <row r="91" spans="1:32" ht="15.75" thickBot="1" x14ac:dyDescent="0.3">
      <c r="AF91" s="77" t="s">
        <v>1</v>
      </c>
    </row>
    <row r="92" spans="1:32" x14ac:dyDescent="0.25">
      <c r="A92" s="511" t="s">
        <v>2</v>
      </c>
      <c r="B92" s="513" t="s">
        <v>3</v>
      </c>
      <c r="C92" s="201"/>
      <c r="D92" s="517" t="s">
        <v>114</v>
      </c>
      <c r="E92" s="518"/>
      <c r="F92" s="518"/>
      <c r="G92" s="518"/>
      <c r="H92" s="518"/>
      <c r="I92" s="518"/>
      <c r="J92" s="518"/>
      <c r="K92" s="518"/>
      <c r="L92" s="518"/>
      <c r="M92" s="518"/>
      <c r="N92" s="518"/>
      <c r="O92" s="210"/>
      <c r="P92" s="519" t="s">
        <v>84</v>
      </c>
      <c r="Q92" s="210"/>
      <c r="R92" s="518">
        <v>2016</v>
      </c>
      <c r="S92" s="518"/>
      <c r="T92" s="518"/>
      <c r="U92" s="518"/>
      <c r="V92" s="518"/>
      <c r="W92" s="518"/>
      <c r="X92" s="518"/>
      <c r="Y92" s="518"/>
      <c r="Z92" s="518"/>
      <c r="AA92" s="518"/>
      <c r="AB92" s="518"/>
      <c r="AC92" s="210"/>
      <c r="AD92" s="519" t="s">
        <v>85</v>
      </c>
      <c r="AE92" s="210"/>
      <c r="AF92" s="521" t="s">
        <v>5</v>
      </c>
    </row>
    <row r="93" spans="1:32" x14ac:dyDescent="0.25">
      <c r="A93" s="512"/>
      <c r="B93" s="499"/>
      <c r="C93" s="165"/>
      <c r="D93" s="166" t="s">
        <v>15</v>
      </c>
      <c r="E93" s="166"/>
      <c r="F93" s="166" t="s">
        <v>16</v>
      </c>
      <c r="G93" s="166"/>
      <c r="H93" s="166" t="s">
        <v>17</v>
      </c>
      <c r="I93" s="166"/>
      <c r="J93" s="166" t="s">
        <v>6</v>
      </c>
      <c r="K93" s="166"/>
      <c r="L93" s="166" t="s">
        <v>77</v>
      </c>
      <c r="M93" s="122"/>
      <c r="N93" s="122" t="s">
        <v>78</v>
      </c>
      <c r="O93" s="204"/>
      <c r="P93" s="520"/>
      <c r="Q93" s="97"/>
      <c r="R93" s="112" t="s">
        <v>79</v>
      </c>
      <c r="S93" s="112"/>
      <c r="T93" s="166" t="s">
        <v>10</v>
      </c>
      <c r="U93" s="166"/>
      <c r="V93" s="166" t="s">
        <v>11</v>
      </c>
      <c r="W93" s="166"/>
      <c r="X93" s="166" t="s">
        <v>12</v>
      </c>
      <c r="Y93" s="166"/>
      <c r="Z93" s="166" t="s">
        <v>80</v>
      </c>
      <c r="AA93" s="122"/>
      <c r="AB93" s="122" t="s">
        <v>81</v>
      </c>
      <c r="AC93" s="204"/>
      <c r="AD93" s="520"/>
      <c r="AE93" s="217"/>
      <c r="AF93" s="522"/>
    </row>
    <row r="94" spans="1:32" ht="15.75" thickBot="1" x14ac:dyDescent="0.3">
      <c r="A94" s="114">
        <v>1</v>
      </c>
      <c r="B94" s="5">
        <v>2</v>
      </c>
      <c r="C94" s="5"/>
      <c r="D94" s="5">
        <v>3</v>
      </c>
      <c r="E94" s="5"/>
      <c r="F94" s="5">
        <v>4</v>
      </c>
      <c r="G94" s="5"/>
      <c r="H94" s="5">
        <v>5</v>
      </c>
      <c r="I94" s="5"/>
      <c r="J94" s="5">
        <v>6</v>
      </c>
      <c r="K94" s="5"/>
      <c r="L94" s="5">
        <v>7</v>
      </c>
      <c r="M94" s="123"/>
      <c r="N94" s="123">
        <v>8</v>
      </c>
      <c r="O94" s="205"/>
      <c r="P94" s="125">
        <v>9</v>
      </c>
      <c r="Q94" s="205"/>
      <c r="R94" s="113">
        <v>10</v>
      </c>
      <c r="S94" s="113"/>
      <c r="T94" s="5">
        <v>11</v>
      </c>
      <c r="U94" s="5"/>
      <c r="V94" s="5">
        <v>12</v>
      </c>
      <c r="W94" s="5"/>
      <c r="X94" s="5">
        <v>13</v>
      </c>
      <c r="Y94" s="5"/>
      <c r="Z94" s="5">
        <v>14</v>
      </c>
      <c r="AA94" s="123"/>
      <c r="AB94" s="123">
        <v>15</v>
      </c>
      <c r="AC94" s="205"/>
      <c r="AD94" s="125">
        <v>16</v>
      </c>
      <c r="AE94" s="205"/>
      <c r="AF94" s="134">
        <v>17</v>
      </c>
    </row>
    <row r="95" spans="1:32" ht="15.75" thickTop="1" x14ac:dyDescent="0.25">
      <c r="A95" s="85">
        <v>1</v>
      </c>
      <c r="B95" s="7" t="s">
        <v>18</v>
      </c>
      <c r="C95" s="202"/>
      <c r="D95" s="139">
        <v>0</v>
      </c>
      <c r="E95" s="139"/>
      <c r="F95" s="139">
        <v>0</v>
      </c>
      <c r="G95" s="139"/>
      <c r="H95" s="139">
        <v>185</v>
      </c>
      <c r="I95" s="139"/>
      <c r="J95" s="139">
        <f>'kc tanah'!C9</f>
        <v>31</v>
      </c>
      <c r="K95" s="139"/>
      <c r="L95" s="139">
        <f>'kc tanah'!D9</f>
        <v>0</v>
      </c>
      <c r="M95" s="139"/>
      <c r="N95" s="139">
        <f>'kc tanah'!E9</f>
        <v>0</v>
      </c>
      <c r="O95" s="206"/>
      <c r="P95" s="127">
        <f t="shared" ref="P95:P102" si="27">SUM(D95:N95)</f>
        <v>216</v>
      </c>
      <c r="Q95" s="211"/>
      <c r="R95" s="162">
        <f>'kc tanah'!F9</f>
        <v>25</v>
      </c>
      <c r="S95" s="162"/>
      <c r="T95" s="162">
        <f>'kc tanah'!G9</f>
        <v>105</v>
      </c>
      <c r="U95" s="162"/>
      <c r="V95" s="162">
        <f>'kc tanah'!H9</f>
        <v>0</v>
      </c>
      <c r="W95" s="162"/>
      <c r="X95" s="162">
        <f>'kc tanah'!I9</f>
        <v>0</v>
      </c>
      <c r="Y95" s="162"/>
      <c r="Z95" s="162">
        <f>'kc tanah'!J9</f>
        <v>0</v>
      </c>
      <c r="AA95" s="162"/>
      <c r="AB95" s="162">
        <f>'kc tanah'!K9</f>
        <v>0</v>
      </c>
      <c r="AC95" s="206"/>
      <c r="AD95" s="127">
        <f>SUM(R95:AB95)</f>
        <v>130</v>
      </c>
      <c r="AE95" s="211"/>
      <c r="AF95" s="130">
        <f>SUM(P95,AD95)</f>
        <v>346</v>
      </c>
    </row>
    <row r="96" spans="1:32" x14ac:dyDescent="0.25">
      <c r="A96" s="86">
        <v>2</v>
      </c>
      <c r="B96" s="12" t="s">
        <v>19</v>
      </c>
      <c r="C96" s="12"/>
      <c r="D96" s="60">
        <v>1</v>
      </c>
      <c r="E96" s="60"/>
      <c r="F96" s="60">
        <v>3</v>
      </c>
      <c r="G96" s="60"/>
      <c r="H96" s="60">
        <v>57</v>
      </c>
      <c r="I96" s="60"/>
      <c r="J96" s="60">
        <f>'kc tanah'!C10</f>
        <v>125</v>
      </c>
      <c r="K96" s="60"/>
      <c r="L96" s="60">
        <f>'kc tanah'!D10</f>
        <v>0</v>
      </c>
      <c r="M96" s="60"/>
      <c r="N96" s="60">
        <f>'kc tanah'!E10</f>
        <v>0</v>
      </c>
      <c r="O96" s="207"/>
      <c r="P96" s="128">
        <f t="shared" si="27"/>
        <v>186</v>
      </c>
      <c r="Q96" s="212"/>
      <c r="R96" s="135">
        <f>'kc tanah'!F10</f>
        <v>0</v>
      </c>
      <c r="S96" s="135"/>
      <c r="T96" s="135">
        <f>'kc tanah'!G10</f>
        <v>0</v>
      </c>
      <c r="U96" s="135"/>
      <c r="V96" s="135">
        <f>'kc tanah'!H10</f>
        <v>0</v>
      </c>
      <c r="W96" s="135"/>
      <c r="X96" s="135">
        <f>'kc tanah'!I10</f>
        <v>0</v>
      </c>
      <c r="Y96" s="135"/>
      <c r="Z96" s="135">
        <f>'kc tanah'!J10</f>
        <v>0</v>
      </c>
      <c r="AA96" s="207"/>
      <c r="AB96" s="164">
        <f>'kc tanah'!K10</f>
        <v>0</v>
      </c>
      <c r="AC96" s="164"/>
      <c r="AD96" s="128">
        <f t="shared" ref="AD96:AD101" si="28">SUM(R96:AB96)</f>
        <v>0</v>
      </c>
      <c r="AE96" s="212"/>
      <c r="AF96" s="131">
        <f t="shared" ref="AF96:AF102" si="29">SUM(P96,AD96)</f>
        <v>186</v>
      </c>
    </row>
    <row r="97" spans="1:32" x14ac:dyDescent="0.25">
      <c r="A97" s="86">
        <v>3</v>
      </c>
      <c r="B97" s="7" t="s">
        <v>20</v>
      </c>
      <c r="C97" s="7"/>
      <c r="D97" s="60">
        <v>0</v>
      </c>
      <c r="E97" s="60"/>
      <c r="F97" s="60">
        <v>0</v>
      </c>
      <c r="G97" s="60"/>
      <c r="H97" s="60">
        <v>275</v>
      </c>
      <c r="I97" s="60"/>
      <c r="J97" s="60">
        <f>'kc tanah'!C11</f>
        <v>20</v>
      </c>
      <c r="K97" s="60"/>
      <c r="L97" s="60">
        <f>'kc tanah'!D11</f>
        <v>0</v>
      </c>
      <c r="M97" s="60"/>
      <c r="N97" s="60">
        <f>'kc tanah'!E11</f>
        <v>0</v>
      </c>
      <c r="O97" s="207"/>
      <c r="P97" s="128">
        <f t="shared" si="27"/>
        <v>295</v>
      </c>
      <c r="Q97" s="212"/>
      <c r="R97" s="135">
        <f>'kc tanah'!F11</f>
        <v>280</v>
      </c>
      <c r="S97" s="135"/>
      <c r="T97" s="135">
        <f>'kc tanah'!G11</f>
        <v>0</v>
      </c>
      <c r="U97" s="135"/>
      <c r="V97" s="135">
        <f>'kc tanah'!H11</f>
        <v>0</v>
      </c>
      <c r="W97" s="135"/>
      <c r="X97" s="135">
        <f>'kc tanah'!I11</f>
        <v>0</v>
      </c>
      <c r="Y97" s="135"/>
      <c r="Z97" s="135">
        <f>'kc tanah'!J11</f>
        <v>0</v>
      </c>
      <c r="AA97" s="207"/>
      <c r="AB97" s="164">
        <f>'kc tanah'!K11</f>
        <v>0</v>
      </c>
      <c r="AC97" s="164"/>
      <c r="AD97" s="128">
        <f t="shared" si="28"/>
        <v>280</v>
      </c>
      <c r="AE97" s="212"/>
      <c r="AF97" s="131">
        <f t="shared" si="29"/>
        <v>575</v>
      </c>
    </row>
    <row r="98" spans="1:32" x14ac:dyDescent="0.25">
      <c r="A98" s="87">
        <v>4</v>
      </c>
      <c r="B98" s="15" t="s">
        <v>21</v>
      </c>
      <c r="C98" s="15"/>
      <c r="D98" s="60">
        <v>0</v>
      </c>
      <c r="E98" s="60"/>
      <c r="F98" s="60">
        <v>5</v>
      </c>
      <c r="G98" s="60"/>
      <c r="H98" s="60">
        <v>141</v>
      </c>
      <c r="I98" s="60"/>
      <c r="J98" s="60">
        <f>'kc tanah'!C12</f>
        <v>22</v>
      </c>
      <c r="K98" s="60"/>
      <c r="L98" s="60">
        <f>'kc tanah'!D12</f>
        <v>0</v>
      </c>
      <c r="M98" s="60"/>
      <c r="N98" s="60">
        <f>'kc tanah'!E12</f>
        <v>18</v>
      </c>
      <c r="O98" s="207"/>
      <c r="P98" s="128">
        <f t="shared" si="27"/>
        <v>186</v>
      </c>
      <c r="Q98" s="212"/>
      <c r="R98" s="135">
        <f>'kc tanah'!F12</f>
        <v>0</v>
      </c>
      <c r="S98" s="135"/>
      <c r="T98" s="135">
        <f>'kc tanah'!G12</f>
        <v>15</v>
      </c>
      <c r="U98" s="135"/>
      <c r="V98" s="135">
        <f>'kc tanah'!H12</f>
        <v>3</v>
      </c>
      <c r="W98" s="135"/>
      <c r="X98" s="135">
        <f>'kc tanah'!I12</f>
        <v>17</v>
      </c>
      <c r="Y98" s="135"/>
      <c r="Z98" s="135">
        <f>'kc tanah'!J12</f>
        <v>0</v>
      </c>
      <c r="AA98" s="207"/>
      <c r="AB98" s="164">
        <f>'kc tanah'!K12</f>
        <v>0</v>
      </c>
      <c r="AC98" s="164"/>
      <c r="AD98" s="128">
        <f t="shared" si="28"/>
        <v>35</v>
      </c>
      <c r="AE98" s="212"/>
      <c r="AF98" s="131">
        <f t="shared" si="29"/>
        <v>221</v>
      </c>
    </row>
    <row r="99" spans="1:32" x14ac:dyDescent="0.25">
      <c r="A99" s="87">
        <v>5</v>
      </c>
      <c r="B99" s="19" t="s">
        <v>22</v>
      </c>
      <c r="C99" s="19"/>
      <c r="D99" s="60">
        <v>0</v>
      </c>
      <c r="E99" s="60"/>
      <c r="F99" s="60">
        <v>0</v>
      </c>
      <c r="G99" s="60"/>
      <c r="H99" s="60">
        <v>102</v>
      </c>
      <c r="I99" s="60"/>
      <c r="J99" s="60">
        <f>'kc tanah'!C13</f>
        <v>96</v>
      </c>
      <c r="K99" s="60"/>
      <c r="L99" s="60">
        <f>'kc tanah'!D13</f>
        <v>0</v>
      </c>
      <c r="M99" s="60"/>
      <c r="N99" s="60">
        <f>'kc tanah'!E13</f>
        <v>0</v>
      </c>
      <c r="O99" s="207"/>
      <c r="P99" s="128">
        <f t="shared" si="27"/>
        <v>198</v>
      </c>
      <c r="Q99" s="212"/>
      <c r="R99" s="135">
        <f>'kc tanah'!F13</f>
        <v>115</v>
      </c>
      <c r="S99" s="135"/>
      <c r="T99" s="135">
        <f>'kc tanah'!G13</f>
        <v>0</v>
      </c>
      <c r="U99" s="135"/>
      <c r="V99" s="135">
        <f>'kc tanah'!H13</f>
        <v>0</v>
      </c>
      <c r="W99" s="135"/>
      <c r="X99" s="135">
        <f>'kc tanah'!I13</f>
        <v>0</v>
      </c>
      <c r="Y99" s="135"/>
      <c r="Z99" s="135">
        <f>'kc tanah'!J13</f>
        <v>0</v>
      </c>
      <c r="AA99" s="207"/>
      <c r="AB99" s="164">
        <f>'kc tanah'!K13</f>
        <v>0</v>
      </c>
      <c r="AC99" s="164"/>
      <c r="AD99" s="128">
        <f t="shared" si="28"/>
        <v>115</v>
      </c>
      <c r="AE99" s="212"/>
      <c r="AF99" s="131">
        <f t="shared" si="29"/>
        <v>313</v>
      </c>
    </row>
    <row r="100" spans="1:32" x14ac:dyDescent="0.25">
      <c r="A100" s="87">
        <v>6</v>
      </c>
      <c r="B100" s="19" t="s">
        <v>23</v>
      </c>
      <c r="C100" s="19"/>
      <c r="D100" s="60">
        <v>0</v>
      </c>
      <c r="E100" s="60"/>
      <c r="F100" s="60">
        <v>15</v>
      </c>
      <c r="G100" s="60"/>
      <c r="H100" s="60">
        <v>50</v>
      </c>
      <c r="I100" s="60"/>
      <c r="J100" s="60">
        <f>'kc tanah'!C14</f>
        <v>15</v>
      </c>
      <c r="K100" s="60"/>
      <c r="L100" s="60">
        <f>'kc tanah'!D14</f>
        <v>0</v>
      </c>
      <c r="M100" s="60"/>
      <c r="N100" s="60">
        <f>'kc tanah'!E14</f>
        <v>20</v>
      </c>
      <c r="O100" s="207"/>
      <c r="P100" s="128">
        <f t="shared" si="27"/>
        <v>100</v>
      </c>
      <c r="Q100" s="212"/>
      <c r="R100" s="135">
        <f>'kc tanah'!F14</f>
        <v>30</v>
      </c>
      <c r="S100" s="135"/>
      <c r="T100" s="135">
        <f>'kc tanah'!G14</f>
        <v>0</v>
      </c>
      <c r="U100" s="135"/>
      <c r="V100" s="135">
        <f>'kc tanah'!H14</f>
        <v>0</v>
      </c>
      <c r="W100" s="135"/>
      <c r="X100" s="135">
        <f>'kc tanah'!I14</f>
        <v>15</v>
      </c>
      <c r="Y100" s="135"/>
      <c r="Z100" s="135">
        <f>'kc tanah'!J14</f>
        <v>5</v>
      </c>
      <c r="AA100" s="207"/>
      <c r="AB100" s="164">
        <f>'kc tanah'!K14</f>
        <v>0</v>
      </c>
      <c r="AC100" s="164"/>
      <c r="AD100" s="128">
        <f t="shared" si="28"/>
        <v>50</v>
      </c>
      <c r="AE100" s="212"/>
      <c r="AF100" s="131">
        <f t="shared" si="29"/>
        <v>150</v>
      </c>
    </row>
    <row r="101" spans="1:32" x14ac:dyDescent="0.25">
      <c r="A101" s="87">
        <v>7</v>
      </c>
      <c r="B101" s="19" t="s">
        <v>24</v>
      </c>
      <c r="C101" s="19"/>
      <c r="D101" s="60">
        <v>0</v>
      </c>
      <c r="E101" s="60"/>
      <c r="F101" s="60">
        <v>0</v>
      </c>
      <c r="G101" s="60"/>
      <c r="H101" s="60">
        <v>0</v>
      </c>
      <c r="I101" s="60"/>
      <c r="J101" s="60">
        <f>'kc tanah'!C15</f>
        <v>1</v>
      </c>
      <c r="K101" s="60"/>
      <c r="L101" s="60">
        <f>'kc tanah'!D15</f>
        <v>0</v>
      </c>
      <c r="M101" s="60"/>
      <c r="N101" s="60">
        <f>'kc tanah'!E15</f>
        <v>1</v>
      </c>
      <c r="O101" s="207"/>
      <c r="P101" s="128">
        <f t="shared" si="27"/>
        <v>2</v>
      </c>
      <c r="Q101" s="212"/>
      <c r="R101" s="135">
        <f>'kc tanah'!F15</f>
        <v>0</v>
      </c>
      <c r="S101" s="135"/>
      <c r="T101" s="135">
        <f>'kc tanah'!G15</f>
        <v>0</v>
      </c>
      <c r="U101" s="135"/>
      <c r="V101" s="135">
        <f>'kc tanah'!H15</f>
        <v>0</v>
      </c>
      <c r="W101" s="135"/>
      <c r="X101" s="135">
        <f>'kc tanah'!I15</f>
        <v>0</v>
      </c>
      <c r="Y101" s="135"/>
      <c r="Z101" s="135">
        <f>'kc tanah'!J15</f>
        <v>0</v>
      </c>
      <c r="AA101" s="207"/>
      <c r="AB101" s="164">
        <f>'kc tanah'!K15</f>
        <v>0</v>
      </c>
      <c r="AC101" s="164"/>
      <c r="AD101" s="128">
        <f t="shared" si="28"/>
        <v>0</v>
      </c>
      <c r="AE101" s="212"/>
      <c r="AF101" s="131">
        <f t="shared" si="29"/>
        <v>2</v>
      </c>
    </row>
    <row r="102" spans="1:32" ht="15.75" thickBot="1" x14ac:dyDescent="0.3">
      <c r="A102" s="88">
        <v>8</v>
      </c>
      <c r="B102" s="15" t="s">
        <v>25</v>
      </c>
      <c r="C102" s="203"/>
      <c r="D102" s="140">
        <v>0</v>
      </c>
      <c r="E102" s="140"/>
      <c r="F102" s="140">
        <v>0</v>
      </c>
      <c r="G102" s="140"/>
      <c r="H102" s="140">
        <v>332</v>
      </c>
      <c r="I102" s="140"/>
      <c r="J102" s="140">
        <f>'kc tanah'!C16</f>
        <v>0</v>
      </c>
      <c r="K102" s="140"/>
      <c r="L102" s="140">
        <f>'kc tanah'!D16</f>
        <v>2</v>
      </c>
      <c r="M102" s="140"/>
      <c r="N102" s="140">
        <f>'kc tanah'!E16</f>
        <v>75</v>
      </c>
      <c r="O102" s="208"/>
      <c r="P102" s="129">
        <f t="shared" si="27"/>
        <v>409</v>
      </c>
      <c r="Q102" s="214"/>
      <c r="R102" s="163">
        <f>'kc tanah'!F16</f>
        <v>248</v>
      </c>
      <c r="S102" s="163"/>
      <c r="T102" s="163">
        <f>'kc tanah'!G16</f>
        <v>0</v>
      </c>
      <c r="U102" s="163"/>
      <c r="V102" s="163">
        <f>'kc tanah'!H16</f>
        <v>0</v>
      </c>
      <c r="W102" s="163"/>
      <c r="X102" s="163">
        <f>'kc tanah'!I16</f>
        <v>225</v>
      </c>
      <c r="Y102" s="163"/>
      <c r="Z102" s="163">
        <f>'kc tanah'!J16</f>
        <v>25</v>
      </c>
      <c r="AA102" s="163"/>
      <c r="AB102" s="163">
        <f>'kc tanah'!K16</f>
        <v>35</v>
      </c>
      <c r="AC102" s="216"/>
      <c r="AD102" s="129">
        <f>SUM(R102:AB102)</f>
        <v>533</v>
      </c>
      <c r="AE102" s="214"/>
      <c r="AF102" s="132">
        <f t="shared" si="29"/>
        <v>942</v>
      </c>
    </row>
    <row r="103" spans="1:32" ht="16.5" thickTop="1" thickBot="1" x14ac:dyDescent="0.3">
      <c r="A103" s="514" t="s">
        <v>26</v>
      </c>
      <c r="B103" s="515"/>
      <c r="C103" s="167"/>
      <c r="D103" s="115">
        <f t="shared" ref="D103:N103" si="30">SUM(D95:D102)</f>
        <v>1</v>
      </c>
      <c r="E103" s="115"/>
      <c r="F103" s="115">
        <f t="shared" si="30"/>
        <v>23</v>
      </c>
      <c r="G103" s="115"/>
      <c r="H103" s="115">
        <f t="shared" si="30"/>
        <v>1142</v>
      </c>
      <c r="I103" s="115"/>
      <c r="J103" s="115">
        <f t="shared" si="30"/>
        <v>310</v>
      </c>
      <c r="K103" s="115"/>
      <c r="L103" s="115">
        <f t="shared" si="30"/>
        <v>2</v>
      </c>
      <c r="M103" s="124"/>
      <c r="N103" s="124">
        <f t="shared" si="30"/>
        <v>114</v>
      </c>
      <c r="O103" s="209"/>
      <c r="P103" s="126">
        <f>SUM(P95:P102)</f>
        <v>1592</v>
      </c>
      <c r="Q103" s="213"/>
      <c r="R103" s="136">
        <f t="shared" ref="R103:AB103" si="31">SUM(R95:R102)</f>
        <v>698</v>
      </c>
      <c r="S103" s="215"/>
      <c r="T103" s="115">
        <f t="shared" si="31"/>
        <v>120</v>
      </c>
      <c r="U103" s="115"/>
      <c r="V103" s="115">
        <f t="shared" si="31"/>
        <v>3</v>
      </c>
      <c r="W103" s="115"/>
      <c r="X103" s="115">
        <f t="shared" si="31"/>
        <v>257</v>
      </c>
      <c r="Y103" s="115"/>
      <c r="Z103" s="115">
        <f t="shared" si="31"/>
        <v>30</v>
      </c>
      <c r="AA103" s="124"/>
      <c r="AB103" s="124">
        <f t="shared" si="31"/>
        <v>35</v>
      </c>
      <c r="AC103" s="209"/>
      <c r="AD103" s="126">
        <f>SUM(AD95:AD102)</f>
        <v>1143</v>
      </c>
      <c r="AE103" s="209"/>
      <c r="AF103" s="133">
        <f>SUM(AF95:AF102)</f>
        <v>2735</v>
      </c>
    </row>
    <row r="105" spans="1:32" ht="15.75" x14ac:dyDescent="0.25">
      <c r="A105" s="516" t="s">
        <v>99</v>
      </c>
      <c r="B105" s="516"/>
      <c r="C105" s="516"/>
      <c r="D105" s="516"/>
      <c r="E105" s="516"/>
      <c r="F105" s="516"/>
      <c r="G105" s="516"/>
      <c r="H105" s="516"/>
      <c r="I105" s="516"/>
      <c r="J105" s="516"/>
      <c r="K105" s="516"/>
      <c r="L105" s="516"/>
      <c r="M105" s="516"/>
      <c r="N105" s="516"/>
      <c r="O105" s="516"/>
      <c r="P105" s="516"/>
      <c r="Q105" s="516"/>
      <c r="R105" s="516"/>
      <c r="S105" s="516"/>
      <c r="T105" s="516"/>
      <c r="U105" s="516"/>
      <c r="V105" s="516"/>
      <c r="W105" s="516"/>
      <c r="X105" s="516"/>
      <c r="Y105" s="516"/>
      <c r="Z105" s="516"/>
      <c r="AA105" s="516"/>
      <c r="AB105" s="516"/>
      <c r="AC105" s="516"/>
      <c r="AD105" s="516"/>
      <c r="AE105" s="516"/>
      <c r="AF105" s="516"/>
    </row>
    <row r="106" spans="1:32" ht="15.75" x14ac:dyDescent="0.25">
      <c r="A106" s="516" t="s">
        <v>82</v>
      </c>
      <c r="B106" s="516"/>
      <c r="C106" s="516"/>
      <c r="D106" s="516"/>
      <c r="E106" s="516"/>
      <c r="F106" s="516"/>
      <c r="G106" s="516"/>
      <c r="H106" s="516"/>
      <c r="I106" s="516"/>
      <c r="J106" s="516"/>
      <c r="K106" s="516"/>
      <c r="L106" s="516"/>
      <c r="M106" s="516"/>
      <c r="N106" s="516"/>
      <c r="O106" s="516"/>
      <c r="P106" s="516"/>
      <c r="Q106" s="516"/>
      <c r="R106" s="516"/>
      <c r="S106" s="516"/>
      <c r="T106" s="516"/>
      <c r="U106" s="516"/>
      <c r="V106" s="516"/>
      <c r="W106" s="516"/>
      <c r="X106" s="516"/>
      <c r="Y106" s="516"/>
      <c r="Z106" s="516"/>
      <c r="AA106" s="516"/>
      <c r="AB106" s="516"/>
      <c r="AC106" s="516"/>
      <c r="AD106" s="516"/>
      <c r="AE106" s="516"/>
      <c r="AF106" s="516"/>
    </row>
    <row r="107" spans="1:32" ht="15.75" thickBot="1" x14ac:dyDescent="0.3">
      <c r="AF107" s="77" t="s">
        <v>1</v>
      </c>
    </row>
    <row r="108" spans="1:32" x14ac:dyDescent="0.25">
      <c r="A108" s="511" t="s">
        <v>2</v>
      </c>
      <c r="B108" s="513" t="s">
        <v>3</v>
      </c>
      <c r="C108" s="201"/>
      <c r="D108" s="517" t="s">
        <v>114</v>
      </c>
      <c r="E108" s="518"/>
      <c r="F108" s="518"/>
      <c r="G108" s="518"/>
      <c r="H108" s="518"/>
      <c r="I108" s="518"/>
      <c r="J108" s="518"/>
      <c r="K108" s="518"/>
      <c r="L108" s="518"/>
      <c r="M108" s="518"/>
      <c r="N108" s="518"/>
      <c r="O108" s="210"/>
      <c r="P108" s="519" t="s">
        <v>84</v>
      </c>
      <c r="Q108" s="210"/>
      <c r="R108" s="518">
        <v>2016</v>
      </c>
      <c r="S108" s="518"/>
      <c r="T108" s="518"/>
      <c r="U108" s="518"/>
      <c r="V108" s="518"/>
      <c r="W108" s="518"/>
      <c r="X108" s="518"/>
      <c r="Y108" s="518"/>
      <c r="Z108" s="518"/>
      <c r="AA108" s="518"/>
      <c r="AB108" s="518"/>
      <c r="AC108" s="210"/>
      <c r="AD108" s="519" t="s">
        <v>85</v>
      </c>
      <c r="AE108" s="210"/>
      <c r="AF108" s="521" t="s">
        <v>5</v>
      </c>
    </row>
    <row r="109" spans="1:32" x14ac:dyDescent="0.25">
      <c r="A109" s="512"/>
      <c r="B109" s="499"/>
      <c r="C109" s="165"/>
      <c r="D109" s="166" t="s">
        <v>15</v>
      </c>
      <c r="E109" s="166"/>
      <c r="F109" s="166" t="s">
        <v>16</v>
      </c>
      <c r="G109" s="166"/>
      <c r="H109" s="166" t="s">
        <v>17</v>
      </c>
      <c r="I109" s="166"/>
      <c r="J109" s="166" t="s">
        <v>6</v>
      </c>
      <c r="K109" s="166"/>
      <c r="L109" s="166" t="s">
        <v>77</v>
      </c>
      <c r="M109" s="122"/>
      <c r="N109" s="122" t="s">
        <v>78</v>
      </c>
      <c r="O109" s="204"/>
      <c r="P109" s="520"/>
      <c r="Q109" s="97"/>
      <c r="R109" s="112" t="s">
        <v>79</v>
      </c>
      <c r="S109" s="112"/>
      <c r="T109" s="166" t="s">
        <v>10</v>
      </c>
      <c r="U109" s="166"/>
      <c r="V109" s="166" t="s">
        <v>11</v>
      </c>
      <c r="W109" s="166"/>
      <c r="X109" s="166" t="s">
        <v>12</v>
      </c>
      <c r="Y109" s="166"/>
      <c r="Z109" s="166" t="s">
        <v>80</v>
      </c>
      <c r="AA109" s="122"/>
      <c r="AB109" s="122" t="s">
        <v>81</v>
      </c>
      <c r="AC109" s="204"/>
      <c r="AD109" s="520"/>
      <c r="AE109" s="217"/>
      <c r="AF109" s="522"/>
    </row>
    <row r="110" spans="1:32" ht="15.75" thickBot="1" x14ac:dyDescent="0.3">
      <c r="A110" s="114">
        <v>1</v>
      </c>
      <c r="B110" s="5">
        <v>2</v>
      </c>
      <c r="C110" s="5"/>
      <c r="D110" s="5">
        <v>3</v>
      </c>
      <c r="E110" s="5"/>
      <c r="F110" s="5">
        <v>4</v>
      </c>
      <c r="G110" s="5"/>
      <c r="H110" s="5">
        <v>5</v>
      </c>
      <c r="I110" s="5"/>
      <c r="J110" s="5">
        <v>6</v>
      </c>
      <c r="K110" s="5"/>
      <c r="L110" s="5">
        <v>7</v>
      </c>
      <c r="M110" s="123"/>
      <c r="N110" s="123">
        <v>8</v>
      </c>
      <c r="O110" s="205"/>
      <c r="P110" s="125">
        <v>9</v>
      </c>
      <c r="Q110" s="205"/>
      <c r="R110" s="113">
        <v>10</v>
      </c>
      <c r="S110" s="113"/>
      <c r="T110" s="5">
        <v>11</v>
      </c>
      <c r="U110" s="5"/>
      <c r="V110" s="5">
        <v>12</v>
      </c>
      <c r="W110" s="5"/>
      <c r="X110" s="5">
        <v>13</v>
      </c>
      <c r="Y110" s="5"/>
      <c r="Z110" s="5">
        <v>14</v>
      </c>
      <c r="AA110" s="123"/>
      <c r="AB110" s="123">
        <v>15</v>
      </c>
      <c r="AC110" s="205"/>
      <c r="AD110" s="125">
        <v>16</v>
      </c>
      <c r="AE110" s="205"/>
      <c r="AF110" s="134">
        <v>17</v>
      </c>
    </row>
    <row r="111" spans="1:32" ht="15.75" thickTop="1" x14ac:dyDescent="0.25">
      <c r="A111" s="85">
        <v>1</v>
      </c>
      <c r="B111" s="7" t="s">
        <v>18</v>
      </c>
      <c r="C111" s="202"/>
      <c r="D111" s="139">
        <v>0</v>
      </c>
      <c r="E111" s="139"/>
      <c r="F111" s="139">
        <v>0</v>
      </c>
      <c r="G111" s="139"/>
      <c r="H111" s="139">
        <v>1</v>
      </c>
      <c r="I111" s="139"/>
      <c r="J111" s="139">
        <f>'ubi kayu'!C9</f>
        <v>2</v>
      </c>
      <c r="K111" s="139"/>
      <c r="L111" s="139">
        <f>'ubi kayu'!D9</f>
        <v>10</v>
      </c>
      <c r="M111" s="139"/>
      <c r="N111" s="139">
        <f>'ubi kayu'!E9</f>
        <v>0</v>
      </c>
      <c r="O111" s="206"/>
      <c r="P111" s="127">
        <f t="shared" ref="P111:P118" si="32">SUM(D111:N111)</f>
        <v>13</v>
      </c>
      <c r="Q111" s="211"/>
      <c r="R111" s="162">
        <f>'ubi kayu'!F9</f>
        <v>0</v>
      </c>
      <c r="S111" s="162"/>
      <c r="T111" s="162">
        <f>'ubi kayu'!G9</f>
        <v>0</v>
      </c>
      <c r="U111" s="162"/>
      <c r="V111" s="162">
        <f>'ubi kayu'!H9</f>
        <v>0</v>
      </c>
      <c r="W111" s="162"/>
      <c r="X111" s="162">
        <f>'ubi kayu'!I9</f>
        <v>0</v>
      </c>
      <c r="Y111" s="162"/>
      <c r="Z111" s="162">
        <f>'ubi kayu'!J9</f>
        <v>0</v>
      </c>
      <c r="AA111" s="162"/>
      <c r="AB111" s="162">
        <f>'ubi kayu'!K9</f>
        <v>0</v>
      </c>
      <c r="AC111" s="206"/>
      <c r="AD111" s="127">
        <f>SUM(R111:AB111)</f>
        <v>0</v>
      </c>
      <c r="AE111" s="211"/>
      <c r="AF111" s="130">
        <f>SUM(P111,AD111)</f>
        <v>13</v>
      </c>
    </row>
    <row r="112" spans="1:32" x14ac:dyDescent="0.25">
      <c r="A112" s="86">
        <v>2</v>
      </c>
      <c r="B112" s="12" t="s">
        <v>19</v>
      </c>
      <c r="C112" s="12"/>
      <c r="D112" s="60">
        <v>0</v>
      </c>
      <c r="E112" s="60"/>
      <c r="F112" s="60">
        <v>0</v>
      </c>
      <c r="G112" s="60"/>
      <c r="H112" s="60">
        <v>0</v>
      </c>
      <c r="I112" s="60"/>
      <c r="J112" s="60">
        <f>'ubi kayu'!C10</f>
        <v>1</v>
      </c>
      <c r="K112" s="60"/>
      <c r="L112" s="60">
        <f>'ubi kayu'!D10</f>
        <v>0</v>
      </c>
      <c r="M112" s="60"/>
      <c r="N112" s="60">
        <f>'ubi kayu'!E10</f>
        <v>0</v>
      </c>
      <c r="O112" s="207"/>
      <c r="P112" s="128">
        <f t="shared" si="32"/>
        <v>1</v>
      </c>
      <c r="Q112" s="212"/>
      <c r="R112" s="135">
        <f>'ubi kayu'!F10</f>
        <v>0</v>
      </c>
      <c r="S112" s="135"/>
      <c r="T112" s="135">
        <f>'ubi kayu'!G10</f>
        <v>1</v>
      </c>
      <c r="U112" s="135"/>
      <c r="V112" s="135">
        <f>'ubi kayu'!H10</f>
        <v>1</v>
      </c>
      <c r="W112" s="135"/>
      <c r="X112" s="135">
        <f>'ubi kayu'!I10</f>
        <v>1</v>
      </c>
      <c r="Y112" s="135"/>
      <c r="Z112" s="135">
        <f>'ubi kayu'!J10</f>
        <v>0</v>
      </c>
      <c r="AA112" s="207"/>
      <c r="AB112" s="164">
        <f>'ubi kayu'!K10</f>
        <v>0</v>
      </c>
      <c r="AC112" s="164"/>
      <c r="AD112" s="128">
        <f t="shared" ref="AD112:AD117" si="33">SUM(R112:AB112)</f>
        <v>3</v>
      </c>
      <c r="AE112" s="212"/>
      <c r="AF112" s="131">
        <f t="shared" ref="AF112:AF118" si="34">SUM(P112,AD112)</f>
        <v>4</v>
      </c>
    </row>
    <row r="113" spans="1:32" x14ac:dyDescent="0.25">
      <c r="A113" s="86">
        <v>3</v>
      </c>
      <c r="B113" s="7" t="s">
        <v>20</v>
      </c>
      <c r="C113" s="7"/>
      <c r="D113" s="60">
        <v>0</v>
      </c>
      <c r="E113" s="60"/>
      <c r="F113" s="60">
        <v>0</v>
      </c>
      <c r="G113" s="60"/>
      <c r="H113" s="60">
        <v>3</v>
      </c>
      <c r="I113" s="60"/>
      <c r="J113" s="60">
        <f>'ubi kayu'!C11</f>
        <v>0</v>
      </c>
      <c r="K113" s="60"/>
      <c r="L113" s="60">
        <f>'ubi kayu'!D11</f>
        <v>0</v>
      </c>
      <c r="M113" s="60"/>
      <c r="N113" s="60">
        <f>'ubi kayu'!E11</f>
        <v>0</v>
      </c>
      <c r="O113" s="207"/>
      <c r="P113" s="128">
        <f t="shared" si="32"/>
        <v>3</v>
      </c>
      <c r="Q113" s="212"/>
      <c r="R113" s="135">
        <f>'ubi kayu'!F11</f>
        <v>0</v>
      </c>
      <c r="S113" s="135"/>
      <c r="T113" s="135">
        <f>'ubi kayu'!G11</f>
        <v>0</v>
      </c>
      <c r="U113" s="135"/>
      <c r="V113" s="135">
        <f>'ubi kayu'!H11</f>
        <v>0</v>
      </c>
      <c r="W113" s="135"/>
      <c r="X113" s="135">
        <f>'ubi kayu'!I11</f>
        <v>0</v>
      </c>
      <c r="Y113" s="135"/>
      <c r="Z113" s="135">
        <f>'ubi kayu'!J11</f>
        <v>0</v>
      </c>
      <c r="AA113" s="207"/>
      <c r="AB113" s="164">
        <f>'ubi kayu'!K11</f>
        <v>0</v>
      </c>
      <c r="AC113" s="164"/>
      <c r="AD113" s="128">
        <f t="shared" si="33"/>
        <v>0</v>
      </c>
      <c r="AE113" s="212"/>
      <c r="AF113" s="131">
        <f t="shared" si="34"/>
        <v>3</v>
      </c>
    </row>
    <row r="114" spans="1:32" x14ac:dyDescent="0.25">
      <c r="A114" s="87">
        <v>4</v>
      </c>
      <c r="B114" s="15" t="s">
        <v>21</v>
      </c>
      <c r="C114" s="15"/>
      <c r="D114" s="60">
        <v>0</v>
      </c>
      <c r="E114" s="60"/>
      <c r="F114" s="60">
        <v>0</v>
      </c>
      <c r="G114" s="60"/>
      <c r="H114" s="60">
        <v>2</v>
      </c>
      <c r="I114" s="60"/>
      <c r="J114" s="60">
        <f>'ubi kayu'!C12</f>
        <v>0</v>
      </c>
      <c r="K114" s="60"/>
      <c r="L114" s="60">
        <f>'ubi kayu'!D12</f>
        <v>0</v>
      </c>
      <c r="M114" s="60"/>
      <c r="N114" s="60">
        <f>'ubi kayu'!E12</f>
        <v>0</v>
      </c>
      <c r="O114" s="207"/>
      <c r="P114" s="128">
        <f t="shared" si="32"/>
        <v>2</v>
      </c>
      <c r="Q114" s="212"/>
      <c r="R114" s="135">
        <f>'ubi kayu'!F12</f>
        <v>0</v>
      </c>
      <c r="S114" s="135"/>
      <c r="T114" s="135">
        <f>'ubi kayu'!G12</f>
        <v>2</v>
      </c>
      <c r="U114" s="135"/>
      <c r="V114" s="135">
        <f>'ubi kayu'!H12</f>
        <v>0</v>
      </c>
      <c r="W114" s="135"/>
      <c r="X114" s="135">
        <f>'ubi kayu'!I12</f>
        <v>0</v>
      </c>
      <c r="Y114" s="135"/>
      <c r="Z114" s="135">
        <f>'ubi kayu'!J12</f>
        <v>0</v>
      </c>
      <c r="AA114" s="207"/>
      <c r="AB114" s="164">
        <f>'ubi kayu'!K12</f>
        <v>2</v>
      </c>
      <c r="AC114" s="164"/>
      <c r="AD114" s="128">
        <f t="shared" si="33"/>
        <v>4</v>
      </c>
      <c r="AE114" s="212"/>
      <c r="AF114" s="131">
        <f t="shared" si="34"/>
        <v>6</v>
      </c>
    </row>
    <row r="115" spans="1:32" x14ac:dyDescent="0.25">
      <c r="A115" s="87">
        <v>5</v>
      </c>
      <c r="B115" s="19" t="s">
        <v>22</v>
      </c>
      <c r="C115" s="19"/>
      <c r="D115" s="60">
        <v>0</v>
      </c>
      <c r="E115" s="60"/>
      <c r="F115" s="60">
        <v>0</v>
      </c>
      <c r="G115" s="60"/>
      <c r="H115" s="60">
        <v>1</v>
      </c>
      <c r="I115" s="60"/>
      <c r="J115" s="60">
        <f>'ubi kayu'!C13</f>
        <v>0</v>
      </c>
      <c r="K115" s="60"/>
      <c r="L115" s="60">
        <f>'ubi kayu'!D13</f>
        <v>0</v>
      </c>
      <c r="M115" s="60"/>
      <c r="N115" s="60">
        <f>'ubi kayu'!E13</f>
        <v>0</v>
      </c>
      <c r="O115" s="207"/>
      <c r="P115" s="128">
        <f t="shared" si="32"/>
        <v>1</v>
      </c>
      <c r="Q115" s="212"/>
      <c r="R115" s="135">
        <f>'ubi kayu'!F13</f>
        <v>0</v>
      </c>
      <c r="S115" s="135"/>
      <c r="T115" s="135">
        <f>'ubi kayu'!G13</f>
        <v>0</v>
      </c>
      <c r="U115" s="135"/>
      <c r="V115" s="135">
        <f>'ubi kayu'!H13</f>
        <v>0</v>
      </c>
      <c r="W115" s="135"/>
      <c r="X115" s="135">
        <f>'ubi kayu'!I13</f>
        <v>0</v>
      </c>
      <c r="Y115" s="135"/>
      <c r="Z115" s="135">
        <f>'ubi kayu'!J13</f>
        <v>0</v>
      </c>
      <c r="AA115" s="207"/>
      <c r="AB115" s="164">
        <f>'ubi kayu'!K13</f>
        <v>0</v>
      </c>
      <c r="AC115" s="164"/>
      <c r="AD115" s="128">
        <f t="shared" si="33"/>
        <v>0</v>
      </c>
      <c r="AE115" s="212"/>
      <c r="AF115" s="131">
        <f t="shared" si="34"/>
        <v>1</v>
      </c>
    </row>
    <row r="116" spans="1:32" x14ac:dyDescent="0.25">
      <c r="A116" s="87">
        <v>6</v>
      </c>
      <c r="B116" s="19" t="s">
        <v>23</v>
      </c>
      <c r="C116" s="19"/>
      <c r="D116" s="60">
        <v>0</v>
      </c>
      <c r="E116" s="60"/>
      <c r="F116" s="60">
        <v>0</v>
      </c>
      <c r="G116" s="60"/>
      <c r="H116" s="60">
        <v>0</v>
      </c>
      <c r="I116" s="60"/>
      <c r="J116" s="60">
        <f>'ubi kayu'!C14</f>
        <v>0</v>
      </c>
      <c r="K116" s="60"/>
      <c r="L116" s="60">
        <f>'ubi kayu'!D14</f>
        <v>0</v>
      </c>
      <c r="M116" s="60"/>
      <c r="N116" s="60">
        <f>'ubi kayu'!E14</f>
        <v>5</v>
      </c>
      <c r="O116" s="207"/>
      <c r="P116" s="128">
        <f t="shared" si="32"/>
        <v>5</v>
      </c>
      <c r="Q116" s="212"/>
      <c r="R116" s="135">
        <f>'ubi kayu'!F14</f>
        <v>0</v>
      </c>
      <c r="S116" s="135"/>
      <c r="T116" s="135">
        <f>'ubi kayu'!G14</f>
        <v>0</v>
      </c>
      <c r="U116" s="135"/>
      <c r="V116" s="135">
        <f>'ubi kayu'!H14</f>
        <v>0</v>
      </c>
      <c r="W116" s="135"/>
      <c r="X116" s="135">
        <f>'ubi kayu'!I14</f>
        <v>3</v>
      </c>
      <c r="Y116" s="135"/>
      <c r="Z116" s="135">
        <f>'ubi kayu'!J14</f>
        <v>0</v>
      </c>
      <c r="AA116" s="207"/>
      <c r="AB116" s="164">
        <f>'ubi kayu'!K14</f>
        <v>0</v>
      </c>
      <c r="AC116" s="164"/>
      <c r="AD116" s="128">
        <f t="shared" si="33"/>
        <v>3</v>
      </c>
      <c r="AE116" s="212"/>
      <c r="AF116" s="131">
        <f t="shared" si="34"/>
        <v>8</v>
      </c>
    </row>
    <row r="117" spans="1:32" x14ac:dyDescent="0.25">
      <c r="A117" s="87">
        <v>7</v>
      </c>
      <c r="B117" s="19" t="s">
        <v>24</v>
      </c>
      <c r="C117" s="19"/>
      <c r="D117" s="60">
        <v>0</v>
      </c>
      <c r="E117" s="60"/>
      <c r="F117" s="60">
        <v>0</v>
      </c>
      <c r="G117" s="60"/>
      <c r="H117" s="60">
        <v>0</v>
      </c>
      <c r="I117" s="60"/>
      <c r="J117" s="60">
        <f>'ubi kayu'!C15</f>
        <v>0</v>
      </c>
      <c r="K117" s="60"/>
      <c r="L117" s="60">
        <f>'ubi kayu'!D15</f>
        <v>0</v>
      </c>
      <c r="M117" s="60"/>
      <c r="N117" s="60">
        <f>'ubi kayu'!E15</f>
        <v>0</v>
      </c>
      <c r="O117" s="207"/>
      <c r="P117" s="128">
        <f t="shared" si="32"/>
        <v>0</v>
      </c>
      <c r="Q117" s="212"/>
      <c r="R117" s="135">
        <f>'ubi kayu'!F15</f>
        <v>0</v>
      </c>
      <c r="S117" s="135"/>
      <c r="T117" s="135">
        <f>'ubi kayu'!G15</f>
        <v>0</v>
      </c>
      <c r="U117" s="135"/>
      <c r="V117" s="135">
        <f>'ubi kayu'!H15</f>
        <v>0</v>
      </c>
      <c r="W117" s="135"/>
      <c r="X117" s="135">
        <f>'ubi kayu'!I15</f>
        <v>0</v>
      </c>
      <c r="Y117" s="135"/>
      <c r="Z117" s="135">
        <f>'ubi kayu'!J15</f>
        <v>0</v>
      </c>
      <c r="AA117" s="207"/>
      <c r="AB117" s="164">
        <f>'ubi kayu'!K15</f>
        <v>0</v>
      </c>
      <c r="AC117" s="164"/>
      <c r="AD117" s="128">
        <f t="shared" si="33"/>
        <v>0</v>
      </c>
      <c r="AE117" s="212"/>
      <c r="AF117" s="131">
        <f t="shared" si="34"/>
        <v>0</v>
      </c>
    </row>
    <row r="118" spans="1:32" ht="15.75" thickBot="1" x14ac:dyDescent="0.3">
      <c r="A118" s="88">
        <v>8</v>
      </c>
      <c r="B118" s="15" t="s">
        <v>25</v>
      </c>
      <c r="C118" s="203"/>
      <c r="D118" s="140">
        <v>0</v>
      </c>
      <c r="E118" s="140"/>
      <c r="F118" s="140">
        <v>0</v>
      </c>
      <c r="G118" s="140"/>
      <c r="H118" s="140">
        <v>2</v>
      </c>
      <c r="I118" s="140"/>
      <c r="J118" s="145">
        <f>'ubi kayu'!C16</f>
        <v>0</v>
      </c>
      <c r="K118" s="140"/>
      <c r="L118" s="140">
        <f>'ubi kayu'!D16</f>
        <v>2</v>
      </c>
      <c r="M118" s="140"/>
      <c r="N118" s="140">
        <f>'ubi kayu'!E16</f>
        <v>2</v>
      </c>
      <c r="O118" s="208"/>
      <c r="P118" s="129">
        <f t="shared" si="32"/>
        <v>6</v>
      </c>
      <c r="Q118" s="214"/>
      <c r="R118" s="163">
        <f>'ubi kayu'!F16</f>
        <v>2</v>
      </c>
      <c r="S118" s="163"/>
      <c r="T118" s="163">
        <f>'ubi kayu'!G16</f>
        <v>0</v>
      </c>
      <c r="U118" s="163"/>
      <c r="V118" s="163">
        <f>'ubi kayu'!H16</f>
        <v>0</v>
      </c>
      <c r="W118" s="163"/>
      <c r="X118" s="163">
        <f>'ubi kayu'!I16</f>
        <v>2</v>
      </c>
      <c r="Y118" s="163"/>
      <c r="Z118" s="163">
        <f>'ubi kayu'!J16</f>
        <v>0</v>
      </c>
      <c r="AA118" s="163"/>
      <c r="AB118" s="163">
        <f>'ubi kayu'!K16</f>
        <v>3</v>
      </c>
      <c r="AC118" s="216"/>
      <c r="AD118" s="129">
        <f>SUM(R118:AB118)</f>
        <v>7</v>
      </c>
      <c r="AE118" s="214"/>
      <c r="AF118" s="132">
        <f t="shared" si="34"/>
        <v>13</v>
      </c>
    </row>
    <row r="119" spans="1:32" ht="16.5" thickTop="1" thickBot="1" x14ac:dyDescent="0.3">
      <c r="A119" s="514" t="s">
        <v>26</v>
      </c>
      <c r="B119" s="515"/>
      <c r="C119" s="167"/>
      <c r="D119" s="115">
        <f t="shared" ref="D119:N119" si="35">SUM(D111:D118)</f>
        <v>0</v>
      </c>
      <c r="E119" s="115"/>
      <c r="F119" s="115">
        <f t="shared" si="35"/>
        <v>0</v>
      </c>
      <c r="G119" s="115"/>
      <c r="H119" s="115">
        <f t="shared" si="35"/>
        <v>9</v>
      </c>
      <c r="I119" s="115"/>
      <c r="J119" s="115">
        <f t="shared" si="35"/>
        <v>3</v>
      </c>
      <c r="K119" s="115"/>
      <c r="L119" s="115">
        <f t="shared" si="35"/>
        <v>12</v>
      </c>
      <c r="M119" s="124"/>
      <c r="N119" s="124">
        <f t="shared" si="35"/>
        <v>7</v>
      </c>
      <c r="O119" s="209"/>
      <c r="P119" s="126">
        <f>SUM(P111:P118)</f>
        <v>31</v>
      </c>
      <c r="Q119" s="213"/>
      <c r="R119" s="136">
        <f t="shared" ref="R119:AB119" si="36">SUM(R111:R118)</f>
        <v>2</v>
      </c>
      <c r="S119" s="215"/>
      <c r="T119" s="115">
        <f t="shared" si="36"/>
        <v>3</v>
      </c>
      <c r="U119" s="115"/>
      <c r="V119" s="115">
        <f t="shared" si="36"/>
        <v>1</v>
      </c>
      <c r="W119" s="115"/>
      <c r="X119" s="115">
        <f t="shared" si="36"/>
        <v>6</v>
      </c>
      <c r="Y119" s="115"/>
      <c r="Z119" s="115">
        <f t="shared" si="36"/>
        <v>0</v>
      </c>
      <c r="AA119" s="124"/>
      <c r="AB119" s="124">
        <f t="shared" si="36"/>
        <v>5</v>
      </c>
      <c r="AC119" s="209"/>
      <c r="AD119" s="126">
        <f>SUM(AD111:AD118)</f>
        <v>17</v>
      </c>
      <c r="AE119" s="209"/>
      <c r="AF119" s="133">
        <f>SUM(AF111:AF118)</f>
        <v>48</v>
      </c>
    </row>
    <row r="121" spans="1:32" ht="15.75" x14ac:dyDescent="0.25">
      <c r="A121" s="516" t="s">
        <v>100</v>
      </c>
      <c r="B121" s="516"/>
      <c r="C121" s="516"/>
      <c r="D121" s="516"/>
      <c r="E121" s="516"/>
      <c r="F121" s="516"/>
      <c r="G121" s="516"/>
      <c r="H121" s="516"/>
      <c r="I121" s="516"/>
      <c r="J121" s="516"/>
      <c r="K121" s="516"/>
      <c r="L121" s="516"/>
      <c r="M121" s="516"/>
      <c r="N121" s="516"/>
      <c r="O121" s="516"/>
      <c r="P121" s="516"/>
      <c r="Q121" s="516"/>
      <c r="R121" s="516"/>
      <c r="S121" s="516"/>
      <c r="T121" s="516"/>
      <c r="U121" s="516"/>
      <c r="V121" s="516"/>
      <c r="W121" s="516"/>
      <c r="X121" s="516"/>
      <c r="Y121" s="516"/>
      <c r="Z121" s="516"/>
      <c r="AA121" s="516"/>
      <c r="AB121" s="516"/>
      <c r="AC121" s="516"/>
      <c r="AD121" s="516"/>
      <c r="AE121" s="516"/>
      <c r="AF121" s="516"/>
    </row>
    <row r="122" spans="1:32" ht="15.75" x14ac:dyDescent="0.25">
      <c r="A122" s="516" t="s">
        <v>82</v>
      </c>
      <c r="B122" s="516"/>
      <c r="C122" s="516"/>
      <c r="D122" s="516"/>
      <c r="E122" s="516"/>
      <c r="F122" s="516"/>
      <c r="G122" s="516"/>
      <c r="H122" s="516"/>
      <c r="I122" s="516"/>
      <c r="J122" s="516"/>
      <c r="K122" s="516"/>
      <c r="L122" s="516"/>
      <c r="M122" s="516"/>
      <c r="N122" s="516"/>
      <c r="O122" s="516"/>
      <c r="P122" s="516"/>
      <c r="Q122" s="516"/>
      <c r="R122" s="516"/>
      <c r="S122" s="516"/>
      <c r="T122" s="516"/>
      <c r="U122" s="516"/>
      <c r="V122" s="516"/>
      <c r="W122" s="516"/>
      <c r="X122" s="516"/>
      <c r="Y122" s="516"/>
      <c r="Z122" s="516"/>
      <c r="AA122" s="516"/>
      <c r="AB122" s="516"/>
      <c r="AC122" s="516"/>
      <c r="AD122" s="516"/>
      <c r="AE122" s="516"/>
      <c r="AF122" s="516"/>
    </row>
    <row r="123" spans="1:32" ht="15.75" thickBot="1" x14ac:dyDescent="0.3">
      <c r="AF123" s="77" t="s">
        <v>1</v>
      </c>
    </row>
    <row r="124" spans="1:32" x14ac:dyDescent="0.25">
      <c r="A124" s="511" t="s">
        <v>2</v>
      </c>
      <c r="B124" s="513" t="s">
        <v>3</v>
      </c>
      <c r="C124" s="201"/>
      <c r="D124" s="517" t="s">
        <v>114</v>
      </c>
      <c r="E124" s="518"/>
      <c r="F124" s="518"/>
      <c r="G124" s="518"/>
      <c r="H124" s="518"/>
      <c r="I124" s="518"/>
      <c r="J124" s="518"/>
      <c r="K124" s="518"/>
      <c r="L124" s="518"/>
      <c r="M124" s="518"/>
      <c r="N124" s="518"/>
      <c r="O124" s="210"/>
      <c r="P124" s="519" t="s">
        <v>84</v>
      </c>
      <c r="Q124" s="210"/>
      <c r="R124" s="518">
        <v>2016</v>
      </c>
      <c r="S124" s="518"/>
      <c r="T124" s="518"/>
      <c r="U124" s="518"/>
      <c r="V124" s="518"/>
      <c r="W124" s="518"/>
      <c r="X124" s="518"/>
      <c r="Y124" s="518"/>
      <c r="Z124" s="518"/>
      <c r="AA124" s="518"/>
      <c r="AB124" s="518"/>
      <c r="AC124" s="210"/>
      <c r="AD124" s="519" t="s">
        <v>85</v>
      </c>
      <c r="AE124" s="210"/>
      <c r="AF124" s="521" t="s">
        <v>5</v>
      </c>
    </row>
    <row r="125" spans="1:32" x14ac:dyDescent="0.25">
      <c r="A125" s="512"/>
      <c r="B125" s="499"/>
      <c r="C125" s="165"/>
      <c r="D125" s="166" t="s">
        <v>15</v>
      </c>
      <c r="E125" s="166"/>
      <c r="F125" s="166" t="s">
        <v>16</v>
      </c>
      <c r="G125" s="166"/>
      <c r="H125" s="166" t="s">
        <v>17</v>
      </c>
      <c r="I125" s="166"/>
      <c r="J125" s="166" t="s">
        <v>6</v>
      </c>
      <c r="K125" s="166"/>
      <c r="L125" s="166" t="s">
        <v>77</v>
      </c>
      <c r="M125" s="122"/>
      <c r="N125" s="122" t="s">
        <v>78</v>
      </c>
      <c r="O125" s="204"/>
      <c r="P125" s="520"/>
      <c r="Q125" s="97"/>
      <c r="R125" s="112" t="s">
        <v>79</v>
      </c>
      <c r="S125" s="112"/>
      <c r="T125" s="166" t="s">
        <v>10</v>
      </c>
      <c r="U125" s="166"/>
      <c r="V125" s="166" t="s">
        <v>11</v>
      </c>
      <c r="W125" s="166"/>
      <c r="X125" s="166" t="s">
        <v>12</v>
      </c>
      <c r="Y125" s="166"/>
      <c r="Z125" s="166" t="s">
        <v>80</v>
      </c>
      <c r="AA125" s="122"/>
      <c r="AB125" s="122" t="s">
        <v>81</v>
      </c>
      <c r="AC125" s="204"/>
      <c r="AD125" s="520"/>
      <c r="AE125" s="217"/>
      <c r="AF125" s="522"/>
    </row>
    <row r="126" spans="1:32" ht="15.75" thickBot="1" x14ac:dyDescent="0.3">
      <c r="A126" s="114">
        <v>1</v>
      </c>
      <c r="B126" s="5">
        <v>2</v>
      </c>
      <c r="C126" s="5"/>
      <c r="D126" s="5">
        <v>3</v>
      </c>
      <c r="E126" s="5"/>
      <c r="F126" s="5">
        <v>4</v>
      </c>
      <c r="G126" s="5"/>
      <c r="H126" s="5">
        <v>5</v>
      </c>
      <c r="I126" s="5"/>
      <c r="J126" s="5">
        <v>6</v>
      </c>
      <c r="K126" s="5"/>
      <c r="L126" s="5">
        <v>7</v>
      </c>
      <c r="M126" s="123"/>
      <c r="N126" s="123">
        <v>8</v>
      </c>
      <c r="O126" s="205"/>
      <c r="P126" s="125">
        <v>9</v>
      </c>
      <c r="Q126" s="205"/>
      <c r="R126" s="113">
        <v>10</v>
      </c>
      <c r="S126" s="113"/>
      <c r="T126" s="5">
        <v>11</v>
      </c>
      <c r="U126" s="5"/>
      <c r="V126" s="5">
        <v>12</v>
      </c>
      <c r="W126" s="5"/>
      <c r="X126" s="5">
        <v>13</v>
      </c>
      <c r="Y126" s="5"/>
      <c r="Z126" s="5">
        <v>14</v>
      </c>
      <c r="AA126" s="123"/>
      <c r="AB126" s="123">
        <v>15</v>
      </c>
      <c r="AC126" s="205"/>
      <c r="AD126" s="125">
        <v>16</v>
      </c>
      <c r="AE126" s="205"/>
      <c r="AF126" s="134">
        <v>17</v>
      </c>
    </row>
    <row r="127" spans="1:32" ht="15.75" thickTop="1" x14ac:dyDescent="0.25">
      <c r="A127" s="85">
        <v>1</v>
      </c>
      <c r="B127" s="7" t="s">
        <v>18</v>
      </c>
      <c r="C127" s="202"/>
      <c r="D127" s="139">
        <v>0</v>
      </c>
      <c r="E127" s="139"/>
      <c r="F127" s="139">
        <v>0</v>
      </c>
      <c r="G127" s="139"/>
      <c r="H127" s="139">
        <v>0</v>
      </c>
      <c r="I127" s="139"/>
      <c r="J127" s="139">
        <f>'ubi jalar'!C9</f>
        <v>1</v>
      </c>
      <c r="K127" s="139"/>
      <c r="L127" s="139">
        <f>'ubi jalar'!D9</f>
        <v>4</v>
      </c>
      <c r="M127" s="139"/>
      <c r="N127" s="139">
        <f>'ubi jalar'!E9</f>
        <v>0</v>
      </c>
      <c r="O127" s="206"/>
      <c r="P127" s="127">
        <f t="shared" ref="P127:P134" si="37">SUM(D127:N127)</f>
        <v>5</v>
      </c>
      <c r="Q127" s="211"/>
      <c r="R127" s="162">
        <f>'ubi jalar'!F9</f>
        <v>2</v>
      </c>
      <c r="S127" s="162"/>
      <c r="T127" s="162">
        <f>'ubi jalar'!G9</f>
        <v>0</v>
      </c>
      <c r="U127" s="162"/>
      <c r="V127" s="162">
        <f>'ubi jalar'!H9</f>
        <v>0</v>
      </c>
      <c r="W127" s="162"/>
      <c r="X127" s="162">
        <f>'ubi jalar'!I9</f>
        <v>0</v>
      </c>
      <c r="Y127" s="162"/>
      <c r="Z127" s="162">
        <f>'ubi jalar'!J9</f>
        <v>0</v>
      </c>
      <c r="AA127" s="162"/>
      <c r="AB127" s="162">
        <f>'ubi jalar'!K9</f>
        <v>0</v>
      </c>
      <c r="AC127" s="206"/>
      <c r="AD127" s="127">
        <f>SUM(R127:AB127)</f>
        <v>2</v>
      </c>
      <c r="AE127" s="211"/>
      <c r="AF127" s="130">
        <f>SUM(P127,AD127)</f>
        <v>7</v>
      </c>
    </row>
    <row r="128" spans="1:32" x14ac:dyDescent="0.25">
      <c r="A128" s="86">
        <v>2</v>
      </c>
      <c r="B128" s="12" t="s">
        <v>19</v>
      </c>
      <c r="C128" s="12"/>
      <c r="D128" s="60">
        <v>1</v>
      </c>
      <c r="E128" s="60"/>
      <c r="F128" s="60">
        <v>1</v>
      </c>
      <c r="G128" s="60"/>
      <c r="H128" s="60">
        <v>0</v>
      </c>
      <c r="I128" s="60"/>
      <c r="J128" s="60">
        <f>'ubi jalar'!C10</f>
        <v>2</v>
      </c>
      <c r="K128" s="60"/>
      <c r="L128" s="60">
        <f>'ubi jalar'!D10</f>
        <v>0</v>
      </c>
      <c r="M128" s="60"/>
      <c r="N128" s="60">
        <f>'ubi jalar'!E10</f>
        <v>0</v>
      </c>
      <c r="O128" s="207"/>
      <c r="P128" s="128">
        <f t="shared" si="37"/>
        <v>4</v>
      </c>
      <c r="Q128" s="212"/>
      <c r="R128" s="135">
        <f>'ubi jalar'!F10</f>
        <v>0</v>
      </c>
      <c r="S128" s="135"/>
      <c r="T128" s="135">
        <f>'ubi jalar'!G10</f>
        <v>0</v>
      </c>
      <c r="U128" s="135"/>
      <c r="V128" s="135">
        <f>'ubi jalar'!H10</f>
        <v>1</v>
      </c>
      <c r="W128" s="135"/>
      <c r="X128" s="135">
        <f>'ubi jalar'!I10</f>
        <v>1</v>
      </c>
      <c r="Y128" s="135"/>
      <c r="Z128" s="135">
        <f>'ubi jalar'!J10</f>
        <v>0</v>
      </c>
      <c r="AA128" s="207"/>
      <c r="AB128" s="164">
        <f>'ubi jalar'!K10</f>
        <v>1</v>
      </c>
      <c r="AC128" s="164"/>
      <c r="AD128" s="128">
        <f t="shared" ref="AD128:AD133" si="38">SUM(R128:AB128)</f>
        <v>3</v>
      </c>
      <c r="AE128" s="212"/>
      <c r="AF128" s="131">
        <f t="shared" ref="AF128:AF134" si="39">SUM(P128,AD128)</f>
        <v>7</v>
      </c>
    </row>
    <row r="129" spans="1:32" x14ac:dyDescent="0.25">
      <c r="A129" s="86">
        <v>3</v>
      </c>
      <c r="B129" s="7" t="s">
        <v>20</v>
      </c>
      <c r="C129" s="7"/>
      <c r="D129" s="60">
        <v>0</v>
      </c>
      <c r="E129" s="60"/>
      <c r="F129" s="60">
        <v>0</v>
      </c>
      <c r="G129" s="60"/>
      <c r="H129" s="60">
        <v>0</v>
      </c>
      <c r="I129" s="60"/>
      <c r="J129" s="60">
        <f>'ubi jalar'!C11</f>
        <v>0</v>
      </c>
      <c r="K129" s="60"/>
      <c r="L129" s="60">
        <f>'ubi jalar'!D11</f>
        <v>0</v>
      </c>
      <c r="M129" s="60"/>
      <c r="N129" s="60">
        <f>'ubi jalar'!E11</f>
        <v>0</v>
      </c>
      <c r="O129" s="207"/>
      <c r="P129" s="128">
        <f t="shared" si="37"/>
        <v>0</v>
      </c>
      <c r="Q129" s="212"/>
      <c r="R129" s="135">
        <f>'ubi jalar'!F11</f>
        <v>0</v>
      </c>
      <c r="S129" s="135"/>
      <c r="T129" s="135">
        <f>'ubi jalar'!G11</f>
        <v>0</v>
      </c>
      <c r="U129" s="135"/>
      <c r="V129" s="135">
        <f>'ubi jalar'!H11</f>
        <v>0</v>
      </c>
      <c r="W129" s="135"/>
      <c r="X129" s="135">
        <f>'ubi jalar'!I11</f>
        <v>0</v>
      </c>
      <c r="Y129" s="135"/>
      <c r="Z129" s="135">
        <f>'ubi jalar'!J11</f>
        <v>0</v>
      </c>
      <c r="AA129" s="207"/>
      <c r="AB129" s="164">
        <f>'ubi jalar'!K11</f>
        <v>0</v>
      </c>
      <c r="AC129" s="164"/>
      <c r="AD129" s="128">
        <f t="shared" si="38"/>
        <v>0</v>
      </c>
      <c r="AE129" s="212"/>
      <c r="AF129" s="131">
        <f t="shared" si="39"/>
        <v>0</v>
      </c>
    </row>
    <row r="130" spans="1:32" x14ac:dyDescent="0.25">
      <c r="A130" s="87">
        <v>4</v>
      </c>
      <c r="B130" s="15" t="s">
        <v>21</v>
      </c>
      <c r="C130" s="15"/>
      <c r="D130" s="60">
        <v>1</v>
      </c>
      <c r="E130" s="60"/>
      <c r="F130" s="60">
        <v>1</v>
      </c>
      <c r="G130" s="60"/>
      <c r="H130" s="60">
        <v>0</v>
      </c>
      <c r="I130" s="60"/>
      <c r="J130" s="60">
        <f>'ubi jalar'!C12</f>
        <v>0</v>
      </c>
      <c r="K130" s="60"/>
      <c r="L130" s="60">
        <f>'ubi jalar'!D12</f>
        <v>0</v>
      </c>
      <c r="M130" s="60"/>
      <c r="N130" s="60">
        <f>'ubi jalar'!E12</f>
        <v>0</v>
      </c>
      <c r="O130" s="207"/>
      <c r="P130" s="128">
        <f t="shared" si="37"/>
        <v>2</v>
      </c>
      <c r="Q130" s="212"/>
      <c r="R130" s="135">
        <f>'ubi jalar'!F12</f>
        <v>1</v>
      </c>
      <c r="S130" s="135"/>
      <c r="T130" s="135">
        <f>'ubi jalar'!G12</f>
        <v>1</v>
      </c>
      <c r="U130" s="135"/>
      <c r="V130" s="135">
        <f>'ubi jalar'!H12</f>
        <v>0</v>
      </c>
      <c r="W130" s="135"/>
      <c r="X130" s="135">
        <f>'ubi jalar'!I12</f>
        <v>0</v>
      </c>
      <c r="Y130" s="135"/>
      <c r="Z130" s="135">
        <f>'ubi jalar'!J12</f>
        <v>0</v>
      </c>
      <c r="AA130" s="207"/>
      <c r="AB130" s="164">
        <f>'ubi jalar'!K12</f>
        <v>1</v>
      </c>
      <c r="AC130" s="164"/>
      <c r="AD130" s="128">
        <f t="shared" si="38"/>
        <v>3</v>
      </c>
      <c r="AE130" s="212"/>
      <c r="AF130" s="131">
        <f t="shared" si="39"/>
        <v>5</v>
      </c>
    </row>
    <row r="131" spans="1:32" x14ac:dyDescent="0.25">
      <c r="A131" s="87">
        <v>5</v>
      </c>
      <c r="B131" s="19" t="s">
        <v>22</v>
      </c>
      <c r="C131" s="19"/>
      <c r="D131" s="60">
        <v>0</v>
      </c>
      <c r="E131" s="60"/>
      <c r="F131" s="60">
        <v>0</v>
      </c>
      <c r="G131" s="60"/>
      <c r="H131" s="60">
        <v>0</v>
      </c>
      <c r="I131" s="60"/>
      <c r="J131" s="60">
        <f>'ubi jalar'!C13</f>
        <v>0</v>
      </c>
      <c r="K131" s="60"/>
      <c r="L131" s="60">
        <f>'ubi jalar'!D13</f>
        <v>0</v>
      </c>
      <c r="M131" s="60"/>
      <c r="N131" s="60">
        <f>'ubi jalar'!E13</f>
        <v>2</v>
      </c>
      <c r="O131" s="207"/>
      <c r="P131" s="128">
        <f t="shared" si="37"/>
        <v>2</v>
      </c>
      <c r="Q131" s="212"/>
      <c r="R131" s="135">
        <f>'ubi jalar'!F13</f>
        <v>0</v>
      </c>
      <c r="S131" s="135"/>
      <c r="T131" s="135">
        <f>'ubi jalar'!G13</f>
        <v>1</v>
      </c>
      <c r="U131" s="135"/>
      <c r="V131" s="135">
        <f>'ubi jalar'!H13</f>
        <v>0</v>
      </c>
      <c r="W131" s="135"/>
      <c r="X131" s="135">
        <f>'ubi jalar'!I13</f>
        <v>0</v>
      </c>
      <c r="Y131" s="135"/>
      <c r="Z131" s="135">
        <f>'ubi jalar'!J13</f>
        <v>0</v>
      </c>
      <c r="AA131" s="207"/>
      <c r="AB131" s="164">
        <f>'ubi jalar'!K13</f>
        <v>0</v>
      </c>
      <c r="AC131" s="164"/>
      <c r="AD131" s="128">
        <f t="shared" si="38"/>
        <v>1</v>
      </c>
      <c r="AE131" s="212"/>
      <c r="AF131" s="131">
        <f t="shared" si="39"/>
        <v>3</v>
      </c>
    </row>
    <row r="132" spans="1:32" x14ac:dyDescent="0.25">
      <c r="A132" s="87">
        <v>6</v>
      </c>
      <c r="B132" s="19" t="s">
        <v>23</v>
      </c>
      <c r="C132" s="19"/>
      <c r="D132" s="60">
        <v>0</v>
      </c>
      <c r="E132" s="60"/>
      <c r="F132" s="60">
        <v>0</v>
      </c>
      <c r="G132" s="60"/>
      <c r="H132" s="60">
        <v>0</v>
      </c>
      <c r="I132" s="60"/>
      <c r="J132" s="60">
        <f>'ubi jalar'!C14</f>
        <v>0</v>
      </c>
      <c r="K132" s="60"/>
      <c r="L132" s="60">
        <f>'ubi jalar'!D14</f>
        <v>0</v>
      </c>
      <c r="M132" s="60"/>
      <c r="N132" s="60">
        <f>'ubi jalar'!E14</f>
        <v>0</v>
      </c>
      <c r="O132" s="207"/>
      <c r="P132" s="128">
        <f t="shared" si="37"/>
        <v>0</v>
      </c>
      <c r="Q132" s="212"/>
      <c r="R132" s="135">
        <f>'ubi jalar'!F14</f>
        <v>0</v>
      </c>
      <c r="S132" s="135"/>
      <c r="T132" s="135">
        <f>'ubi jalar'!G14</f>
        <v>0</v>
      </c>
      <c r="U132" s="135"/>
      <c r="V132" s="135">
        <f>'ubi jalar'!H14</f>
        <v>0</v>
      </c>
      <c r="W132" s="135"/>
      <c r="X132" s="135">
        <f>'ubi jalar'!I14</f>
        <v>0</v>
      </c>
      <c r="Y132" s="135"/>
      <c r="Z132" s="135">
        <f>'ubi jalar'!J14</f>
        <v>0</v>
      </c>
      <c r="AA132" s="207"/>
      <c r="AB132" s="164">
        <f>'ubi jalar'!K14</f>
        <v>0</v>
      </c>
      <c r="AC132" s="164"/>
      <c r="AD132" s="128">
        <f t="shared" si="38"/>
        <v>0</v>
      </c>
      <c r="AE132" s="212"/>
      <c r="AF132" s="131">
        <f t="shared" si="39"/>
        <v>0</v>
      </c>
    </row>
    <row r="133" spans="1:32" x14ac:dyDescent="0.25">
      <c r="A133" s="87">
        <v>7</v>
      </c>
      <c r="B133" s="19" t="s">
        <v>24</v>
      </c>
      <c r="C133" s="19"/>
      <c r="D133" s="60">
        <v>0</v>
      </c>
      <c r="E133" s="60"/>
      <c r="F133" s="60">
        <v>0</v>
      </c>
      <c r="G133" s="60"/>
      <c r="H133" s="60">
        <v>0</v>
      </c>
      <c r="I133" s="60"/>
      <c r="J133" s="60">
        <f>'ubi jalar'!C15</f>
        <v>0</v>
      </c>
      <c r="K133" s="60"/>
      <c r="L133" s="60">
        <f>'ubi jalar'!D15</f>
        <v>0</v>
      </c>
      <c r="M133" s="60"/>
      <c r="N133" s="60">
        <f>'ubi jalar'!E15</f>
        <v>0</v>
      </c>
      <c r="O133" s="207"/>
      <c r="P133" s="128">
        <f t="shared" si="37"/>
        <v>0</v>
      </c>
      <c r="Q133" s="212"/>
      <c r="R133" s="135">
        <f>'ubi jalar'!F15</f>
        <v>0</v>
      </c>
      <c r="S133" s="135"/>
      <c r="T133" s="135">
        <f>'ubi jalar'!G15</f>
        <v>0</v>
      </c>
      <c r="U133" s="135"/>
      <c r="V133" s="135">
        <f>'ubi jalar'!H15</f>
        <v>0</v>
      </c>
      <c r="W133" s="135"/>
      <c r="X133" s="135">
        <f>'ubi jalar'!I15</f>
        <v>0</v>
      </c>
      <c r="Y133" s="135"/>
      <c r="Z133" s="135">
        <f>'ubi jalar'!J15</f>
        <v>0</v>
      </c>
      <c r="AA133" s="207"/>
      <c r="AB133" s="164">
        <f>'ubi jalar'!K15</f>
        <v>0</v>
      </c>
      <c r="AC133" s="164"/>
      <c r="AD133" s="128">
        <f t="shared" si="38"/>
        <v>0</v>
      </c>
      <c r="AE133" s="212"/>
      <c r="AF133" s="131">
        <f t="shared" si="39"/>
        <v>0</v>
      </c>
    </row>
    <row r="134" spans="1:32" ht="15.75" thickBot="1" x14ac:dyDescent="0.3">
      <c r="A134" s="88">
        <v>8</v>
      </c>
      <c r="B134" s="15" t="s">
        <v>25</v>
      </c>
      <c r="C134" s="203"/>
      <c r="D134" s="140">
        <v>0</v>
      </c>
      <c r="E134" s="140"/>
      <c r="F134" s="140">
        <v>0</v>
      </c>
      <c r="G134" s="140"/>
      <c r="H134" s="140">
        <v>1</v>
      </c>
      <c r="I134" s="140"/>
      <c r="J134" s="145">
        <f>'ubi jalar'!C16</f>
        <v>0</v>
      </c>
      <c r="K134" s="140"/>
      <c r="L134" s="140">
        <f>'ubi jalar'!D16</f>
        <v>0</v>
      </c>
      <c r="M134" s="140"/>
      <c r="N134" s="140">
        <f>'ubi jalar'!E16</f>
        <v>1</v>
      </c>
      <c r="O134" s="208"/>
      <c r="P134" s="129">
        <f t="shared" si="37"/>
        <v>2</v>
      </c>
      <c r="Q134" s="214"/>
      <c r="R134" s="163">
        <f>'ubi jalar'!F16</f>
        <v>0</v>
      </c>
      <c r="S134" s="163"/>
      <c r="T134" s="163">
        <f>'ubi jalar'!G16</f>
        <v>0</v>
      </c>
      <c r="U134" s="163"/>
      <c r="V134" s="163">
        <f>'ubi jalar'!H16</f>
        <v>0</v>
      </c>
      <c r="W134" s="163"/>
      <c r="X134" s="163">
        <f>'ubi jalar'!I16</f>
        <v>0</v>
      </c>
      <c r="Y134" s="163"/>
      <c r="Z134" s="163">
        <f>'ubi jalar'!J16</f>
        <v>1</v>
      </c>
      <c r="AA134" s="163"/>
      <c r="AB134" s="163">
        <f>'ubi jalar'!K16</f>
        <v>1</v>
      </c>
      <c r="AC134" s="216"/>
      <c r="AD134" s="129">
        <f>SUM(R134:AB134)</f>
        <v>2</v>
      </c>
      <c r="AE134" s="214"/>
      <c r="AF134" s="132">
        <f t="shared" si="39"/>
        <v>4</v>
      </c>
    </row>
    <row r="135" spans="1:32" ht="16.5" thickTop="1" thickBot="1" x14ac:dyDescent="0.3">
      <c r="A135" s="514" t="s">
        <v>26</v>
      </c>
      <c r="B135" s="515"/>
      <c r="C135" s="167"/>
      <c r="D135" s="115">
        <f t="shared" ref="D135:N135" si="40">SUM(D127:D134)</f>
        <v>2</v>
      </c>
      <c r="E135" s="115"/>
      <c r="F135" s="115">
        <f t="shared" si="40"/>
        <v>2</v>
      </c>
      <c r="G135" s="115"/>
      <c r="H135" s="115">
        <f t="shared" si="40"/>
        <v>1</v>
      </c>
      <c r="I135" s="115"/>
      <c r="J135" s="115">
        <f t="shared" si="40"/>
        <v>3</v>
      </c>
      <c r="K135" s="115"/>
      <c r="L135" s="115">
        <f t="shared" si="40"/>
        <v>4</v>
      </c>
      <c r="M135" s="124"/>
      <c r="N135" s="124">
        <f t="shared" si="40"/>
        <v>3</v>
      </c>
      <c r="O135" s="209"/>
      <c r="P135" s="126">
        <f>SUM(P127:P134)</f>
        <v>15</v>
      </c>
      <c r="Q135" s="213"/>
      <c r="R135" s="136">
        <f t="shared" ref="R135:AB135" si="41">SUM(R127:R134)</f>
        <v>3</v>
      </c>
      <c r="S135" s="215"/>
      <c r="T135" s="115">
        <f t="shared" si="41"/>
        <v>2</v>
      </c>
      <c r="U135" s="115"/>
      <c r="V135" s="115">
        <f t="shared" si="41"/>
        <v>1</v>
      </c>
      <c r="W135" s="115"/>
      <c r="X135" s="115">
        <f t="shared" si="41"/>
        <v>1</v>
      </c>
      <c r="Y135" s="115"/>
      <c r="Z135" s="115">
        <f t="shared" si="41"/>
        <v>1</v>
      </c>
      <c r="AA135" s="124"/>
      <c r="AB135" s="124">
        <f t="shared" si="41"/>
        <v>3</v>
      </c>
      <c r="AC135" s="209"/>
      <c r="AD135" s="126">
        <f>SUM(AD127:AD134)</f>
        <v>11</v>
      </c>
      <c r="AE135" s="209"/>
      <c r="AF135" s="133">
        <f>SUM(AF127:AF134)</f>
        <v>26</v>
      </c>
    </row>
    <row r="137" spans="1:32" ht="15.75" x14ac:dyDescent="0.25">
      <c r="A137" s="516" t="s">
        <v>101</v>
      </c>
      <c r="B137" s="516"/>
      <c r="C137" s="516"/>
      <c r="D137" s="516"/>
      <c r="E137" s="516"/>
      <c r="F137" s="516"/>
      <c r="G137" s="516"/>
      <c r="H137" s="516"/>
      <c r="I137" s="516"/>
      <c r="J137" s="516"/>
      <c r="K137" s="516"/>
      <c r="L137" s="516"/>
      <c r="M137" s="516"/>
      <c r="N137" s="516"/>
      <c r="O137" s="516"/>
      <c r="P137" s="516"/>
      <c r="Q137" s="516"/>
      <c r="R137" s="516"/>
      <c r="S137" s="516"/>
      <c r="T137" s="516"/>
      <c r="U137" s="516"/>
      <c r="V137" s="516"/>
      <c r="W137" s="516"/>
      <c r="X137" s="516"/>
      <c r="Y137" s="516"/>
      <c r="Z137" s="516"/>
      <c r="AA137" s="516"/>
      <c r="AB137" s="516"/>
      <c r="AC137" s="516"/>
      <c r="AD137" s="516"/>
      <c r="AE137" s="516"/>
      <c r="AF137" s="516"/>
    </row>
    <row r="138" spans="1:32" ht="15.75" x14ac:dyDescent="0.25">
      <c r="A138" s="516" t="s">
        <v>82</v>
      </c>
      <c r="B138" s="516"/>
      <c r="C138" s="516"/>
      <c r="D138" s="516"/>
      <c r="E138" s="516"/>
      <c r="F138" s="516"/>
      <c r="G138" s="516"/>
      <c r="H138" s="516"/>
      <c r="I138" s="516"/>
      <c r="J138" s="516"/>
      <c r="K138" s="516"/>
      <c r="L138" s="516"/>
      <c r="M138" s="516"/>
      <c r="N138" s="516"/>
      <c r="O138" s="516"/>
      <c r="P138" s="516"/>
      <c r="Q138" s="516"/>
      <c r="R138" s="516"/>
      <c r="S138" s="516"/>
      <c r="T138" s="516"/>
      <c r="U138" s="516"/>
      <c r="V138" s="516"/>
      <c r="W138" s="516"/>
      <c r="X138" s="516"/>
      <c r="Y138" s="516"/>
      <c r="Z138" s="516"/>
      <c r="AA138" s="516"/>
      <c r="AB138" s="516"/>
      <c r="AC138" s="516"/>
      <c r="AD138" s="516"/>
      <c r="AE138" s="516"/>
      <c r="AF138" s="516"/>
    </row>
    <row r="139" spans="1:32" ht="15.75" thickBot="1" x14ac:dyDescent="0.3">
      <c r="AF139" s="77" t="s">
        <v>1</v>
      </c>
    </row>
    <row r="140" spans="1:32" x14ac:dyDescent="0.25">
      <c r="A140" s="511" t="s">
        <v>2</v>
      </c>
      <c r="B140" s="513" t="s">
        <v>3</v>
      </c>
      <c r="C140" s="201"/>
      <c r="D140" s="517" t="s">
        <v>114</v>
      </c>
      <c r="E140" s="518"/>
      <c r="F140" s="518"/>
      <c r="G140" s="518"/>
      <c r="H140" s="518"/>
      <c r="I140" s="518"/>
      <c r="J140" s="518"/>
      <c r="K140" s="518"/>
      <c r="L140" s="518"/>
      <c r="M140" s="518"/>
      <c r="N140" s="518"/>
      <c r="O140" s="210"/>
      <c r="P140" s="519" t="s">
        <v>84</v>
      </c>
      <c r="Q140" s="210"/>
      <c r="R140" s="518">
        <v>2016</v>
      </c>
      <c r="S140" s="518"/>
      <c r="T140" s="518"/>
      <c r="U140" s="518"/>
      <c r="V140" s="518"/>
      <c r="W140" s="518"/>
      <c r="X140" s="518"/>
      <c r="Y140" s="518"/>
      <c r="Z140" s="518"/>
      <c r="AA140" s="518"/>
      <c r="AB140" s="518"/>
      <c r="AC140" s="210"/>
      <c r="AD140" s="519" t="s">
        <v>85</v>
      </c>
      <c r="AE140" s="210"/>
      <c r="AF140" s="521" t="s">
        <v>5</v>
      </c>
    </row>
    <row r="141" spans="1:32" x14ac:dyDescent="0.25">
      <c r="A141" s="512"/>
      <c r="B141" s="499"/>
      <c r="C141" s="165"/>
      <c r="D141" s="166" t="s">
        <v>15</v>
      </c>
      <c r="E141" s="166"/>
      <c r="F141" s="166" t="s">
        <v>16</v>
      </c>
      <c r="G141" s="166"/>
      <c r="H141" s="166" t="s">
        <v>17</v>
      </c>
      <c r="I141" s="166"/>
      <c r="J141" s="166" t="s">
        <v>6</v>
      </c>
      <c r="K141" s="166"/>
      <c r="L141" s="166" t="s">
        <v>77</v>
      </c>
      <c r="M141" s="122"/>
      <c r="N141" s="122" t="s">
        <v>78</v>
      </c>
      <c r="O141" s="204"/>
      <c r="P141" s="520"/>
      <c r="Q141" s="97"/>
      <c r="R141" s="112" t="s">
        <v>79</v>
      </c>
      <c r="S141" s="112"/>
      <c r="T141" s="166" t="s">
        <v>10</v>
      </c>
      <c r="U141" s="166"/>
      <c r="V141" s="166" t="s">
        <v>11</v>
      </c>
      <c r="W141" s="166"/>
      <c r="X141" s="166" t="s">
        <v>12</v>
      </c>
      <c r="Y141" s="166"/>
      <c r="Z141" s="166" t="s">
        <v>80</v>
      </c>
      <c r="AA141" s="122"/>
      <c r="AB141" s="122" t="s">
        <v>81</v>
      </c>
      <c r="AC141" s="204"/>
      <c r="AD141" s="520"/>
      <c r="AE141" s="217"/>
      <c r="AF141" s="522"/>
    </row>
    <row r="142" spans="1:32" ht="15.75" thickBot="1" x14ac:dyDescent="0.3">
      <c r="A142" s="114">
        <v>1</v>
      </c>
      <c r="B142" s="5">
        <v>2</v>
      </c>
      <c r="C142" s="5"/>
      <c r="D142" s="5">
        <v>3</v>
      </c>
      <c r="E142" s="5"/>
      <c r="F142" s="5">
        <v>4</v>
      </c>
      <c r="G142" s="5"/>
      <c r="H142" s="5">
        <v>5</v>
      </c>
      <c r="I142" s="5"/>
      <c r="J142" s="5">
        <v>6</v>
      </c>
      <c r="K142" s="5"/>
      <c r="L142" s="5">
        <v>7</v>
      </c>
      <c r="M142" s="123"/>
      <c r="N142" s="123">
        <v>8</v>
      </c>
      <c r="O142" s="205"/>
      <c r="P142" s="125">
        <v>9</v>
      </c>
      <c r="Q142" s="205"/>
      <c r="R142" s="113">
        <v>10</v>
      </c>
      <c r="S142" s="113"/>
      <c r="T142" s="5">
        <v>11</v>
      </c>
      <c r="U142" s="5"/>
      <c r="V142" s="5">
        <v>12</v>
      </c>
      <c r="W142" s="5"/>
      <c r="X142" s="5">
        <v>13</v>
      </c>
      <c r="Y142" s="5"/>
      <c r="Z142" s="5">
        <v>14</v>
      </c>
      <c r="AA142" s="123"/>
      <c r="AB142" s="123">
        <v>15</v>
      </c>
      <c r="AC142" s="205"/>
      <c r="AD142" s="125">
        <v>16</v>
      </c>
      <c r="AE142" s="205"/>
      <c r="AF142" s="134">
        <v>17</v>
      </c>
    </row>
    <row r="143" spans="1:32" ht="15.75" thickTop="1" x14ac:dyDescent="0.25">
      <c r="A143" s="85">
        <v>1</v>
      </c>
      <c r="B143" s="7" t="s">
        <v>18</v>
      </c>
      <c r="C143" s="202"/>
      <c r="D143" s="139">
        <v>0</v>
      </c>
      <c r="E143" s="139"/>
      <c r="F143" s="139">
        <v>0</v>
      </c>
      <c r="G143" s="139"/>
      <c r="H143" s="139">
        <v>0</v>
      </c>
      <c r="I143" s="139"/>
      <c r="J143" s="139">
        <f>'kc ijo'!C9</f>
        <v>1</v>
      </c>
      <c r="K143" s="139"/>
      <c r="L143" s="139">
        <f>'kc ijo'!D9</f>
        <v>2</v>
      </c>
      <c r="M143" s="139"/>
      <c r="N143" s="139">
        <f>'kc ijo'!E9</f>
        <v>0</v>
      </c>
      <c r="O143" s="206"/>
      <c r="P143" s="127">
        <f t="shared" ref="P143:P150" si="42">SUM(D143:N143)</f>
        <v>3</v>
      </c>
      <c r="Q143" s="211"/>
      <c r="R143" s="162">
        <f>'kc ijo'!F9</f>
        <v>0</v>
      </c>
      <c r="S143" s="162"/>
      <c r="T143" s="162">
        <f>'kc ijo'!G9</f>
        <v>0</v>
      </c>
      <c r="U143" s="162"/>
      <c r="V143" s="162">
        <f>'kc ijo'!H9</f>
        <v>0</v>
      </c>
      <c r="W143" s="162"/>
      <c r="X143" s="162">
        <f>'kc ijo'!I9</f>
        <v>0</v>
      </c>
      <c r="Y143" s="162"/>
      <c r="Z143" s="162">
        <f>'kc ijo'!J9</f>
        <v>0</v>
      </c>
      <c r="AA143" s="162"/>
      <c r="AB143" s="162">
        <f>'kc ijo'!K9</f>
        <v>0</v>
      </c>
      <c r="AC143" s="206"/>
      <c r="AD143" s="127">
        <f>SUM(R143:AB143)</f>
        <v>0</v>
      </c>
      <c r="AE143" s="211"/>
      <c r="AF143" s="130">
        <f>SUM(P143,AD143)</f>
        <v>3</v>
      </c>
    </row>
    <row r="144" spans="1:32" x14ac:dyDescent="0.25">
      <c r="A144" s="86">
        <v>2</v>
      </c>
      <c r="B144" s="12" t="s">
        <v>19</v>
      </c>
      <c r="C144" s="12"/>
      <c r="D144" s="60">
        <v>0</v>
      </c>
      <c r="E144" s="60"/>
      <c r="F144" s="60">
        <v>0</v>
      </c>
      <c r="G144" s="60"/>
      <c r="H144" s="60">
        <v>0</v>
      </c>
      <c r="I144" s="60"/>
      <c r="J144" s="60">
        <f>'kc ijo'!C10</f>
        <v>1</v>
      </c>
      <c r="K144" s="60"/>
      <c r="L144" s="60">
        <f>'kc ijo'!D10</f>
        <v>0</v>
      </c>
      <c r="M144" s="60"/>
      <c r="N144" s="60">
        <f>'kc ijo'!E10</f>
        <v>0</v>
      </c>
      <c r="O144" s="207"/>
      <c r="P144" s="128">
        <f t="shared" si="42"/>
        <v>1</v>
      </c>
      <c r="Q144" s="212"/>
      <c r="R144" s="135">
        <f>'kc ijo'!F10</f>
        <v>0</v>
      </c>
      <c r="S144" s="135"/>
      <c r="T144" s="135">
        <f>'kc ijo'!G10</f>
        <v>0</v>
      </c>
      <c r="U144" s="135"/>
      <c r="V144" s="135">
        <f>'kc ijo'!H10</f>
        <v>1</v>
      </c>
      <c r="W144" s="135"/>
      <c r="X144" s="135">
        <f>'kc ijo'!I10</f>
        <v>0</v>
      </c>
      <c r="Y144" s="135"/>
      <c r="Z144" s="135">
        <f>'kc ijo'!J10</f>
        <v>0</v>
      </c>
      <c r="AA144" s="207"/>
      <c r="AB144" s="164">
        <f>'kc ijo'!K10</f>
        <v>0</v>
      </c>
      <c r="AC144" s="164"/>
      <c r="AD144" s="128">
        <f t="shared" ref="AD144:AD149" si="43">SUM(R144:AB144)</f>
        <v>1</v>
      </c>
      <c r="AE144" s="212"/>
      <c r="AF144" s="131">
        <f t="shared" ref="AF144:AF150" si="44">SUM(P144,AD144)</f>
        <v>2</v>
      </c>
    </row>
    <row r="145" spans="1:32" x14ac:dyDescent="0.25">
      <c r="A145" s="86">
        <v>3</v>
      </c>
      <c r="B145" s="7" t="s">
        <v>20</v>
      </c>
      <c r="C145" s="7"/>
      <c r="D145" s="60">
        <v>0</v>
      </c>
      <c r="E145" s="60"/>
      <c r="F145" s="60">
        <v>0</v>
      </c>
      <c r="G145" s="60"/>
      <c r="H145" s="60">
        <v>0</v>
      </c>
      <c r="I145" s="60"/>
      <c r="J145" s="60">
        <f>'kc ijo'!C11</f>
        <v>0</v>
      </c>
      <c r="K145" s="60"/>
      <c r="L145" s="60">
        <f>'kc ijo'!D11</f>
        <v>0</v>
      </c>
      <c r="M145" s="60"/>
      <c r="N145" s="60">
        <f>'kc ijo'!E11</f>
        <v>0</v>
      </c>
      <c r="O145" s="207"/>
      <c r="P145" s="128">
        <f t="shared" si="42"/>
        <v>0</v>
      </c>
      <c r="Q145" s="212"/>
      <c r="R145" s="135">
        <f>'kc ijo'!F11</f>
        <v>0</v>
      </c>
      <c r="S145" s="135"/>
      <c r="T145" s="135">
        <f>'kc ijo'!G11</f>
        <v>1</v>
      </c>
      <c r="U145" s="135"/>
      <c r="V145" s="135">
        <f>'kc ijo'!H11</f>
        <v>2</v>
      </c>
      <c r="W145" s="135"/>
      <c r="X145" s="135">
        <f>'kc ijo'!I11</f>
        <v>0</v>
      </c>
      <c r="Y145" s="135"/>
      <c r="Z145" s="135">
        <f>'kc ijo'!J11</f>
        <v>0</v>
      </c>
      <c r="AA145" s="207"/>
      <c r="AB145" s="164">
        <f>'kc ijo'!K11</f>
        <v>0</v>
      </c>
      <c r="AC145" s="164"/>
      <c r="AD145" s="128">
        <f t="shared" si="43"/>
        <v>3</v>
      </c>
      <c r="AE145" s="212"/>
      <c r="AF145" s="131">
        <f t="shared" si="44"/>
        <v>3</v>
      </c>
    </row>
    <row r="146" spans="1:32" x14ac:dyDescent="0.25">
      <c r="A146" s="87">
        <v>4</v>
      </c>
      <c r="B146" s="15" t="s">
        <v>21</v>
      </c>
      <c r="C146" s="15"/>
      <c r="D146" s="60">
        <v>0</v>
      </c>
      <c r="E146" s="60"/>
      <c r="F146" s="60">
        <v>0</v>
      </c>
      <c r="G146" s="60"/>
      <c r="H146" s="60">
        <v>0</v>
      </c>
      <c r="I146" s="60"/>
      <c r="J146" s="60">
        <f>'kc ijo'!C12</f>
        <v>0</v>
      </c>
      <c r="K146" s="60"/>
      <c r="L146" s="60">
        <f>'kc ijo'!D12</f>
        <v>0</v>
      </c>
      <c r="M146" s="60"/>
      <c r="N146" s="60">
        <f>'kc ijo'!E12</f>
        <v>0</v>
      </c>
      <c r="O146" s="207"/>
      <c r="P146" s="128">
        <f t="shared" si="42"/>
        <v>0</v>
      </c>
      <c r="Q146" s="212"/>
      <c r="R146" s="135">
        <f>'kc ijo'!F12</f>
        <v>0</v>
      </c>
      <c r="S146" s="135"/>
      <c r="T146" s="135">
        <f>'kc ijo'!G12</f>
        <v>0</v>
      </c>
      <c r="U146" s="135"/>
      <c r="V146" s="135">
        <f>'kc ijo'!H12</f>
        <v>11</v>
      </c>
      <c r="W146" s="135"/>
      <c r="X146" s="135">
        <f>'kc ijo'!I12</f>
        <v>1</v>
      </c>
      <c r="Y146" s="135"/>
      <c r="Z146" s="135">
        <f>'kc ijo'!J12</f>
        <v>0</v>
      </c>
      <c r="AA146" s="207"/>
      <c r="AB146" s="164">
        <f>'kc ijo'!K12</f>
        <v>0</v>
      </c>
      <c r="AC146" s="164"/>
      <c r="AD146" s="128">
        <f t="shared" si="43"/>
        <v>12</v>
      </c>
      <c r="AE146" s="212"/>
      <c r="AF146" s="131">
        <f t="shared" si="44"/>
        <v>12</v>
      </c>
    </row>
    <row r="147" spans="1:32" x14ac:dyDescent="0.25">
      <c r="A147" s="87">
        <v>5</v>
      </c>
      <c r="B147" s="19" t="s">
        <v>22</v>
      </c>
      <c r="C147" s="19"/>
      <c r="D147" s="60">
        <v>0</v>
      </c>
      <c r="E147" s="60"/>
      <c r="F147" s="60">
        <v>0</v>
      </c>
      <c r="G147" s="60"/>
      <c r="H147" s="60">
        <v>0</v>
      </c>
      <c r="I147" s="60"/>
      <c r="J147" s="60">
        <f>'kc ijo'!C13</f>
        <v>0</v>
      </c>
      <c r="K147" s="60"/>
      <c r="L147" s="60">
        <f>'kc ijo'!D13</f>
        <v>0</v>
      </c>
      <c r="M147" s="60"/>
      <c r="N147" s="60">
        <f>'kc ijo'!E13</f>
        <v>0</v>
      </c>
      <c r="O147" s="207"/>
      <c r="P147" s="128">
        <f t="shared" si="42"/>
        <v>0</v>
      </c>
      <c r="Q147" s="212"/>
      <c r="R147" s="135">
        <f>'kc ijo'!F13</f>
        <v>0</v>
      </c>
      <c r="S147" s="135"/>
      <c r="T147" s="135">
        <f>'kc ijo'!G13</f>
        <v>1</v>
      </c>
      <c r="U147" s="135"/>
      <c r="V147" s="135">
        <f>'kc ijo'!H13</f>
        <v>0</v>
      </c>
      <c r="W147" s="135"/>
      <c r="X147" s="135">
        <f>'kc ijo'!I13</f>
        <v>0</v>
      </c>
      <c r="Y147" s="135"/>
      <c r="Z147" s="135">
        <f>'kc ijo'!J13</f>
        <v>0</v>
      </c>
      <c r="AA147" s="207"/>
      <c r="AB147" s="164">
        <f>'kc ijo'!K13</f>
        <v>0</v>
      </c>
      <c r="AC147" s="164"/>
      <c r="AD147" s="128">
        <f t="shared" si="43"/>
        <v>1</v>
      </c>
      <c r="AE147" s="212"/>
      <c r="AF147" s="131">
        <f t="shared" si="44"/>
        <v>1</v>
      </c>
    </row>
    <row r="148" spans="1:32" x14ac:dyDescent="0.25">
      <c r="A148" s="87">
        <v>6</v>
      </c>
      <c r="B148" s="19" t="s">
        <v>23</v>
      </c>
      <c r="C148" s="19"/>
      <c r="D148" s="60">
        <v>0</v>
      </c>
      <c r="E148" s="60"/>
      <c r="F148" s="60">
        <v>0</v>
      </c>
      <c r="G148" s="60"/>
      <c r="H148" s="60">
        <v>0</v>
      </c>
      <c r="I148" s="60"/>
      <c r="J148" s="60">
        <f>'kc ijo'!C14</f>
        <v>0</v>
      </c>
      <c r="K148" s="60"/>
      <c r="L148" s="60">
        <f>'kc ijo'!D14</f>
        <v>0</v>
      </c>
      <c r="M148" s="60"/>
      <c r="N148" s="60">
        <f>'kc ijo'!E14</f>
        <v>0</v>
      </c>
      <c r="O148" s="207"/>
      <c r="P148" s="128">
        <f t="shared" si="42"/>
        <v>0</v>
      </c>
      <c r="Q148" s="212"/>
      <c r="R148" s="135">
        <f>'kc ijo'!F14</f>
        <v>0</v>
      </c>
      <c r="S148" s="135"/>
      <c r="T148" s="135">
        <f>'kc ijo'!G14</f>
        <v>0</v>
      </c>
      <c r="U148" s="135"/>
      <c r="V148" s="135">
        <f>'kc ijo'!H14</f>
        <v>0</v>
      </c>
      <c r="W148" s="135"/>
      <c r="X148" s="135">
        <f>'kc ijo'!I14</f>
        <v>0</v>
      </c>
      <c r="Y148" s="135"/>
      <c r="Z148" s="135">
        <f>'kc ijo'!J14</f>
        <v>0</v>
      </c>
      <c r="AA148" s="207"/>
      <c r="AB148" s="164">
        <f>'kc ijo'!K14</f>
        <v>0</v>
      </c>
      <c r="AC148" s="164"/>
      <c r="AD148" s="128">
        <f t="shared" si="43"/>
        <v>0</v>
      </c>
      <c r="AE148" s="212"/>
      <c r="AF148" s="131">
        <f t="shared" si="44"/>
        <v>0</v>
      </c>
    </row>
    <row r="149" spans="1:32" x14ac:dyDescent="0.25">
      <c r="A149" s="87">
        <v>7</v>
      </c>
      <c r="B149" s="19" t="s">
        <v>24</v>
      </c>
      <c r="C149" s="19"/>
      <c r="D149" s="60">
        <v>0</v>
      </c>
      <c r="E149" s="60"/>
      <c r="F149" s="60">
        <v>0</v>
      </c>
      <c r="G149" s="60"/>
      <c r="H149" s="60">
        <v>0</v>
      </c>
      <c r="I149" s="60"/>
      <c r="J149" s="60">
        <f>'kc ijo'!C15</f>
        <v>0</v>
      </c>
      <c r="K149" s="60"/>
      <c r="L149" s="60">
        <f>'kc ijo'!D15</f>
        <v>0</v>
      </c>
      <c r="M149" s="60"/>
      <c r="N149" s="60">
        <f>'kc ijo'!E15</f>
        <v>0</v>
      </c>
      <c r="O149" s="207"/>
      <c r="P149" s="128">
        <f t="shared" si="42"/>
        <v>0</v>
      </c>
      <c r="Q149" s="212"/>
      <c r="R149" s="135">
        <f>'kc ijo'!F15</f>
        <v>0</v>
      </c>
      <c r="S149" s="135"/>
      <c r="T149" s="135">
        <f>'kc ijo'!G15</f>
        <v>0</v>
      </c>
      <c r="U149" s="135"/>
      <c r="V149" s="135">
        <f>'kc ijo'!H15</f>
        <v>0</v>
      </c>
      <c r="W149" s="135"/>
      <c r="X149" s="135">
        <f>'kc ijo'!I15</f>
        <v>0</v>
      </c>
      <c r="Y149" s="135"/>
      <c r="Z149" s="135">
        <f>'kc ijo'!J15</f>
        <v>0</v>
      </c>
      <c r="AA149" s="207"/>
      <c r="AB149" s="164">
        <f>'kc ijo'!K15</f>
        <v>0</v>
      </c>
      <c r="AC149" s="164"/>
      <c r="AD149" s="128">
        <f t="shared" si="43"/>
        <v>0</v>
      </c>
      <c r="AE149" s="212"/>
      <c r="AF149" s="131">
        <f t="shared" si="44"/>
        <v>0</v>
      </c>
    </row>
    <row r="150" spans="1:32" ht="15.75" thickBot="1" x14ac:dyDescent="0.3">
      <c r="A150" s="88">
        <v>8</v>
      </c>
      <c r="B150" s="15" t="s">
        <v>25</v>
      </c>
      <c r="C150" s="203"/>
      <c r="D150" s="140">
        <v>0</v>
      </c>
      <c r="E150" s="140"/>
      <c r="F150" s="140">
        <v>0</v>
      </c>
      <c r="G150" s="140"/>
      <c r="H150" s="140">
        <v>0</v>
      </c>
      <c r="I150" s="140"/>
      <c r="J150" s="145">
        <f>'kc ijo'!C16</f>
        <v>0</v>
      </c>
      <c r="K150" s="140"/>
      <c r="L150" s="140">
        <f>'kc ijo'!D16</f>
        <v>0</v>
      </c>
      <c r="M150" s="140"/>
      <c r="N150" s="140">
        <f>'kc ijo'!E16</f>
        <v>0</v>
      </c>
      <c r="O150" s="208"/>
      <c r="P150" s="129">
        <f t="shared" si="42"/>
        <v>0</v>
      </c>
      <c r="Q150" s="214"/>
      <c r="R150" s="163">
        <f>'kc ijo'!F16</f>
        <v>0</v>
      </c>
      <c r="S150" s="163"/>
      <c r="T150" s="163">
        <f>'kc ijo'!G16</f>
        <v>0</v>
      </c>
      <c r="U150" s="163"/>
      <c r="V150" s="163">
        <f>'kc ijo'!H16</f>
        <v>0</v>
      </c>
      <c r="W150" s="163"/>
      <c r="X150" s="163">
        <f>'kc ijo'!I16</f>
        <v>0</v>
      </c>
      <c r="Y150" s="163"/>
      <c r="Z150" s="163">
        <f>'kc ijo'!J16</f>
        <v>1</v>
      </c>
      <c r="AA150" s="163"/>
      <c r="AB150" s="163">
        <f>'kc ijo'!K16</f>
        <v>0</v>
      </c>
      <c r="AC150" s="216"/>
      <c r="AD150" s="129">
        <f>SUM(R150:AB150)</f>
        <v>1</v>
      </c>
      <c r="AE150" s="214"/>
      <c r="AF150" s="132">
        <f t="shared" si="44"/>
        <v>1</v>
      </c>
    </row>
    <row r="151" spans="1:32" ht="16.5" thickTop="1" thickBot="1" x14ac:dyDescent="0.3">
      <c r="A151" s="514" t="s">
        <v>26</v>
      </c>
      <c r="B151" s="515"/>
      <c r="C151" s="167"/>
      <c r="D151" s="115">
        <f t="shared" ref="D151:N151" si="45">SUM(D143:D150)</f>
        <v>0</v>
      </c>
      <c r="E151" s="115"/>
      <c r="F151" s="115">
        <f t="shared" si="45"/>
        <v>0</v>
      </c>
      <c r="G151" s="115"/>
      <c r="H151" s="115">
        <f t="shared" si="45"/>
        <v>0</v>
      </c>
      <c r="I151" s="115"/>
      <c r="J151" s="115">
        <f t="shared" si="45"/>
        <v>2</v>
      </c>
      <c r="K151" s="115"/>
      <c r="L151" s="115">
        <f t="shared" si="45"/>
        <v>2</v>
      </c>
      <c r="M151" s="124"/>
      <c r="N151" s="124">
        <f t="shared" si="45"/>
        <v>0</v>
      </c>
      <c r="O151" s="209"/>
      <c r="P151" s="126">
        <f>SUM(P143:P150)</f>
        <v>4</v>
      </c>
      <c r="Q151" s="213"/>
      <c r="R151" s="136">
        <f t="shared" ref="R151:AB151" si="46">SUM(R143:R150)</f>
        <v>0</v>
      </c>
      <c r="S151" s="215"/>
      <c r="T151" s="115">
        <f t="shared" si="46"/>
        <v>2</v>
      </c>
      <c r="U151" s="115"/>
      <c r="V151" s="115">
        <f t="shared" si="46"/>
        <v>14</v>
      </c>
      <c r="W151" s="115"/>
      <c r="X151" s="115">
        <f t="shared" si="46"/>
        <v>1</v>
      </c>
      <c r="Y151" s="115"/>
      <c r="Z151" s="115">
        <f t="shared" si="46"/>
        <v>1</v>
      </c>
      <c r="AA151" s="124"/>
      <c r="AB151" s="124">
        <f t="shared" si="46"/>
        <v>0</v>
      </c>
      <c r="AC151" s="209"/>
      <c r="AD151" s="126">
        <f>SUM(AD143:AD150)</f>
        <v>18</v>
      </c>
      <c r="AE151" s="209"/>
      <c r="AF151" s="133">
        <f>SUM(AF143:AF150)</f>
        <v>22</v>
      </c>
    </row>
  </sheetData>
  <mergeCells count="136">
    <mergeCell ref="Q23:R23"/>
    <mergeCell ref="S23:T23"/>
    <mergeCell ref="U23:V23"/>
    <mergeCell ref="W23:X23"/>
    <mergeCell ref="Y23:Z23"/>
    <mergeCell ref="AA23:AB23"/>
    <mergeCell ref="A34:B34"/>
    <mergeCell ref="A1:AF1"/>
    <mergeCell ref="A2:AF2"/>
    <mergeCell ref="A4:A6"/>
    <mergeCell ref="B4:B6"/>
    <mergeCell ref="Q4:AB4"/>
    <mergeCell ref="AC4:AD5"/>
    <mergeCell ref="AE4:AF5"/>
    <mergeCell ref="AA5:AB5"/>
    <mergeCell ref="Y5:Z5"/>
    <mergeCell ref="W5:X5"/>
    <mergeCell ref="U5:V5"/>
    <mergeCell ref="S5:T5"/>
    <mergeCell ref="Q5:R5"/>
    <mergeCell ref="C4:N4"/>
    <mergeCell ref="O4:P5"/>
    <mergeCell ref="M5:N5"/>
    <mergeCell ref="K5:L5"/>
    <mergeCell ref="A54:B54"/>
    <mergeCell ref="A56:AF56"/>
    <mergeCell ref="A57:AF57"/>
    <mergeCell ref="A59:A61"/>
    <mergeCell ref="B59:B61"/>
    <mergeCell ref="A16:B16"/>
    <mergeCell ref="A39:AF39"/>
    <mergeCell ref="A40:AF40"/>
    <mergeCell ref="A42:A44"/>
    <mergeCell ref="B42:B44"/>
    <mergeCell ref="AC59:AD60"/>
    <mergeCell ref="Q22:AB22"/>
    <mergeCell ref="AC22:AD23"/>
    <mergeCell ref="AE22:AF23"/>
    <mergeCell ref="Q42:AB42"/>
    <mergeCell ref="AC42:AD43"/>
    <mergeCell ref="Q60:R60"/>
    <mergeCell ref="S60:T60"/>
    <mergeCell ref="U60:V60"/>
    <mergeCell ref="W60:X60"/>
    <mergeCell ref="Y60:Z60"/>
    <mergeCell ref="C59:N59"/>
    <mergeCell ref="O59:P60"/>
    <mergeCell ref="Q59:AB59"/>
    <mergeCell ref="A71:B71"/>
    <mergeCell ref="A73:AF73"/>
    <mergeCell ref="A74:AF74"/>
    <mergeCell ref="A76:A77"/>
    <mergeCell ref="B76:B77"/>
    <mergeCell ref="D76:N76"/>
    <mergeCell ref="P76:P77"/>
    <mergeCell ref="R76:AB76"/>
    <mergeCell ref="AD76:AD77"/>
    <mergeCell ref="AF76:AF77"/>
    <mergeCell ref="A87:B87"/>
    <mergeCell ref="A89:AF89"/>
    <mergeCell ref="A90:AF90"/>
    <mergeCell ref="A92:A93"/>
    <mergeCell ref="B92:B93"/>
    <mergeCell ref="D92:N92"/>
    <mergeCell ref="P92:P93"/>
    <mergeCell ref="R92:AB92"/>
    <mergeCell ref="AD92:AD93"/>
    <mergeCell ref="AF92:AF93"/>
    <mergeCell ref="D124:N124"/>
    <mergeCell ref="P124:P125"/>
    <mergeCell ref="R124:AB124"/>
    <mergeCell ref="AD124:AD125"/>
    <mergeCell ref="AF124:AF125"/>
    <mergeCell ref="A103:B103"/>
    <mergeCell ref="A105:AF105"/>
    <mergeCell ref="A106:AF106"/>
    <mergeCell ref="A108:A109"/>
    <mergeCell ref="B108:B109"/>
    <mergeCell ref="D108:N108"/>
    <mergeCell ref="P108:P109"/>
    <mergeCell ref="R108:AB108"/>
    <mergeCell ref="AD108:AD109"/>
    <mergeCell ref="AF108:AF109"/>
    <mergeCell ref="A119:B119"/>
    <mergeCell ref="A121:AF121"/>
    <mergeCell ref="A122:AF122"/>
    <mergeCell ref="A124:A125"/>
    <mergeCell ref="B124:B125"/>
    <mergeCell ref="I5:J5"/>
    <mergeCell ref="G5:H5"/>
    <mergeCell ref="E5:F5"/>
    <mergeCell ref="C5:D5"/>
    <mergeCell ref="C42:N42"/>
    <mergeCell ref="A22:A24"/>
    <mergeCell ref="B22:B24"/>
    <mergeCell ref="C22:N22"/>
    <mergeCell ref="O22:P23"/>
    <mergeCell ref="C23:D23"/>
    <mergeCell ref="E23:F23"/>
    <mergeCell ref="G23:H23"/>
    <mergeCell ref="I23:J23"/>
    <mergeCell ref="K23:L23"/>
    <mergeCell ref="M23:N23"/>
    <mergeCell ref="A151:B151"/>
    <mergeCell ref="A135:B135"/>
    <mergeCell ref="A137:AF137"/>
    <mergeCell ref="A138:AF138"/>
    <mergeCell ref="A140:A141"/>
    <mergeCell ref="B140:B141"/>
    <mergeCell ref="D140:N140"/>
    <mergeCell ref="P140:P141"/>
    <mergeCell ref="R140:AB140"/>
    <mergeCell ref="AD140:AD141"/>
    <mergeCell ref="AF140:AF141"/>
    <mergeCell ref="AE59:AF60"/>
    <mergeCell ref="C60:D60"/>
    <mergeCell ref="E60:F60"/>
    <mergeCell ref="G60:H60"/>
    <mergeCell ref="I60:J60"/>
    <mergeCell ref="K60:L60"/>
    <mergeCell ref="AE42:AF43"/>
    <mergeCell ref="C43:D43"/>
    <mergeCell ref="E43:F43"/>
    <mergeCell ref="G43:H43"/>
    <mergeCell ref="I43:J43"/>
    <mergeCell ref="K43:L43"/>
    <mergeCell ref="M43:N43"/>
    <mergeCell ref="AA60:AB60"/>
    <mergeCell ref="M60:N60"/>
    <mergeCell ref="Q43:R43"/>
    <mergeCell ref="S43:T43"/>
    <mergeCell ref="U43:V43"/>
    <mergeCell ref="W43:X43"/>
    <mergeCell ref="Y43:Z43"/>
    <mergeCell ref="AA43:AB43"/>
    <mergeCell ref="O42:P43"/>
  </mergeCells>
  <pageMargins left="0.36" right="0.98425196850393704" top="0.74803149606299213" bottom="0.74803149606299213" header="0.31496062992125984" footer="0.31496062992125984"/>
  <pageSetup paperSize="5" scale="70" orientation="landscape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3"/>
  <sheetViews>
    <sheetView topLeftCell="A34" zoomScale="80" zoomScaleNormal="80" workbookViewId="0">
      <selection activeCell="A41" sqref="A41:B53"/>
    </sheetView>
  </sheetViews>
  <sheetFormatPr defaultRowHeight="15" x14ac:dyDescent="0.25"/>
  <cols>
    <col min="1" max="1" width="4.85546875" customWidth="1"/>
    <col min="2" max="2" width="15.42578125" customWidth="1"/>
    <col min="3" max="3" width="7" customWidth="1"/>
    <col min="4" max="4" width="7.85546875" customWidth="1"/>
    <col min="5" max="5" width="7" customWidth="1"/>
    <col min="6" max="6" width="7.42578125" customWidth="1"/>
    <col min="7" max="7" width="7.85546875" customWidth="1"/>
    <col min="8" max="8" width="7.42578125" customWidth="1"/>
    <col min="9" max="9" width="7.85546875" customWidth="1"/>
    <col min="10" max="10" width="7.42578125" customWidth="1"/>
    <col min="11" max="11" width="7.85546875" customWidth="1"/>
    <col min="12" max="12" width="7.42578125" customWidth="1"/>
    <col min="13" max="13" width="7.85546875" customWidth="1"/>
    <col min="14" max="14" width="7.42578125" customWidth="1"/>
    <col min="15" max="15" width="7.85546875" customWidth="1"/>
    <col min="16" max="16" width="7.42578125" customWidth="1"/>
    <col min="17" max="17" width="7.85546875" customWidth="1"/>
    <col min="18" max="18" width="7.42578125" customWidth="1"/>
    <col min="19" max="20" width="7.85546875" customWidth="1"/>
    <col min="21" max="21" width="7.42578125" customWidth="1"/>
    <col min="22" max="23" width="7.85546875" customWidth="1"/>
    <col min="24" max="24" width="6.85546875" customWidth="1"/>
    <col min="25" max="25" width="5.7109375" customWidth="1"/>
    <col min="26" max="26" width="6.85546875" customWidth="1"/>
    <col min="27" max="27" width="5.7109375" customWidth="1"/>
    <col min="28" max="28" width="6.85546875" customWidth="1"/>
    <col min="29" max="29" width="5.7109375" customWidth="1"/>
    <col min="30" max="30" width="6.85546875" customWidth="1"/>
    <col min="31" max="31" width="5.7109375" customWidth="1"/>
    <col min="32" max="32" width="6.85546875" customWidth="1"/>
    <col min="33" max="33" width="6.42578125" customWidth="1"/>
    <col min="34" max="34" width="7.5703125" customWidth="1"/>
    <col min="35" max="35" width="7" customWidth="1"/>
    <col min="36" max="36" width="7.85546875" customWidth="1"/>
  </cols>
  <sheetData>
    <row r="1" spans="1:42" ht="15.75" x14ac:dyDescent="0.25">
      <c r="A1" s="384" t="s">
        <v>140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  <c r="AA1" s="384"/>
      <c r="AB1" s="384"/>
      <c r="AC1" s="384"/>
      <c r="AD1" s="384"/>
      <c r="AE1" s="384"/>
      <c r="AF1" s="384"/>
      <c r="AG1" s="384"/>
      <c r="AH1" s="384"/>
      <c r="AI1" s="384"/>
      <c r="AJ1" s="384"/>
    </row>
    <row r="2" spans="1:42" ht="15.75" x14ac:dyDescent="0.25">
      <c r="A2" s="384" t="s">
        <v>82</v>
      </c>
      <c r="B2" s="384"/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4"/>
      <c r="AI2" s="384"/>
      <c r="AJ2" s="384"/>
    </row>
    <row r="3" spans="1:42" ht="15.75" thickBot="1" x14ac:dyDescent="0.3">
      <c r="AJ3" s="77" t="s">
        <v>1</v>
      </c>
    </row>
    <row r="4" spans="1:42" x14ac:dyDescent="0.25">
      <c r="A4" s="541" t="s">
        <v>2</v>
      </c>
      <c r="B4" s="543" t="s">
        <v>3</v>
      </c>
      <c r="C4" s="539" t="s">
        <v>114</v>
      </c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35" t="s">
        <v>84</v>
      </c>
      <c r="P4" s="543"/>
      <c r="Q4" s="524"/>
      <c r="R4" s="395"/>
      <c r="Y4" s="402">
        <v>2016</v>
      </c>
      <c r="Z4" s="402"/>
      <c r="AA4" s="402"/>
      <c r="AB4" s="402"/>
      <c r="AC4" s="402"/>
      <c r="AD4" s="402"/>
      <c r="AE4" s="402"/>
      <c r="AF4" s="402"/>
      <c r="AG4" s="402"/>
      <c r="AH4" s="402"/>
      <c r="AI4" s="402"/>
      <c r="AJ4" s="402"/>
      <c r="AK4" s="402"/>
      <c r="AL4" s="403"/>
      <c r="AM4" s="392" t="s">
        <v>85</v>
      </c>
      <c r="AN4" s="406"/>
      <c r="AO4" s="392" t="s">
        <v>5</v>
      </c>
      <c r="AP4" s="425"/>
    </row>
    <row r="5" spans="1:42" x14ac:dyDescent="0.25">
      <c r="A5" s="542"/>
      <c r="B5" s="544"/>
      <c r="C5" s="527" t="s">
        <v>15</v>
      </c>
      <c r="D5" s="527"/>
      <c r="E5" s="527" t="s">
        <v>16</v>
      </c>
      <c r="F5" s="527"/>
      <c r="G5" s="527" t="s">
        <v>17</v>
      </c>
      <c r="H5" s="527"/>
      <c r="I5" s="527" t="s">
        <v>6</v>
      </c>
      <c r="J5" s="527"/>
      <c r="K5" s="527" t="s">
        <v>77</v>
      </c>
      <c r="L5" s="527"/>
      <c r="M5" s="527" t="s">
        <v>78</v>
      </c>
      <c r="N5" s="532"/>
      <c r="O5" s="537"/>
      <c r="P5" s="577"/>
      <c r="Q5" s="526"/>
      <c r="R5" s="395"/>
      <c r="Y5" s="441" t="s">
        <v>79</v>
      </c>
      <c r="Z5" s="441"/>
      <c r="AA5" s="405"/>
      <c r="AB5" s="404" t="s">
        <v>10</v>
      </c>
      <c r="AC5" s="441"/>
      <c r="AD5" s="405"/>
      <c r="AE5" s="404" t="s">
        <v>138</v>
      </c>
      <c r="AF5" s="405"/>
      <c r="AG5" s="404" t="s">
        <v>12</v>
      </c>
      <c r="AH5" s="405"/>
      <c r="AI5" s="404" t="s">
        <v>80</v>
      </c>
      <c r="AJ5" s="405"/>
      <c r="AK5" s="404" t="s">
        <v>81</v>
      </c>
      <c r="AL5" s="440"/>
      <c r="AM5" s="393"/>
      <c r="AN5" s="407"/>
      <c r="AO5" s="393"/>
      <c r="AP5" s="426"/>
    </row>
    <row r="6" spans="1:42" x14ac:dyDescent="0.25">
      <c r="A6" s="542"/>
      <c r="B6" s="544"/>
      <c r="C6" s="224" t="s">
        <v>116</v>
      </c>
      <c r="D6" s="400" t="s">
        <v>117</v>
      </c>
      <c r="E6" s="225" t="s">
        <v>116</v>
      </c>
      <c r="F6" s="400" t="s">
        <v>117</v>
      </c>
      <c r="G6" s="225" t="s">
        <v>116</v>
      </c>
      <c r="H6" s="400" t="s">
        <v>117</v>
      </c>
      <c r="I6" s="225" t="s">
        <v>116</v>
      </c>
      <c r="J6" s="400" t="s">
        <v>117</v>
      </c>
      <c r="K6" s="225" t="s">
        <v>116</v>
      </c>
      <c r="L6" s="400" t="s">
        <v>117</v>
      </c>
      <c r="M6" s="225" t="s">
        <v>116</v>
      </c>
      <c r="N6" s="391" t="s">
        <v>117</v>
      </c>
      <c r="O6" s="226" t="s">
        <v>116</v>
      </c>
      <c r="P6" s="401" t="s">
        <v>117</v>
      </c>
      <c r="Q6" s="396" t="s">
        <v>139</v>
      </c>
      <c r="R6" s="395"/>
      <c r="Y6" s="394" t="s">
        <v>116</v>
      </c>
      <c r="Z6" s="394"/>
      <c r="AA6" s="314" t="s">
        <v>117</v>
      </c>
      <c r="AB6" s="313" t="s">
        <v>116</v>
      </c>
      <c r="AC6" s="313"/>
      <c r="AD6" s="314" t="s">
        <v>117</v>
      </c>
      <c r="AE6" s="313" t="s">
        <v>116</v>
      </c>
      <c r="AF6" s="314" t="s">
        <v>117</v>
      </c>
      <c r="AG6" s="313" t="s">
        <v>116</v>
      </c>
      <c r="AH6" s="314" t="s">
        <v>117</v>
      </c>
      <c r="AI6" s="313" t="s">
        <v>116</v>
      </c>
      <c r="AJ6" s="314" t="s">
        <v>117</v>
      </c>
      <c r="AK6" s="313" t="s">
        <v>116</v>
      </c>
      <c r="AL6" s="315" t="s">
        <v>117</v>
      </c>
      <c r="AM6" s="359" t="s">
        <v>116</v>
      </c>
      <c r="AN6" s="321" t="s">
        <v>117</v>
      </c>
      <c r="AO6" s="226" t="s">
        <v>116</v>
      </c>
      <c r="AP6" s="320" t="s">
        <v>117</v>
      </c>
    </row>
    <row r="7" spans="1:42" ht="15.75" thickBot="1" x14ac:dyDescent="0.3">
      <c r="A7" s="228">
        <v>1</v>
      </c>
      <c r="B7" s="229">
        <v>2</v>
      </c>
      <c r="C7" s="229">
        <v>3</v>
      </c>
      <c r="D7" s="229">
        <v>4</v>
      </c>
      <c r="E7" s="229">
        <v>5</v>
      </c>
      <c r="F7" s="229">
        <v>6</v>
      </c>
      <c r="G7" s="229">
        <v>7</v>
      </c>
      <c r="H7" s="229">
        <v>8</v>
      </c>
      <c r="I7" s="229">
        <v>9</v>
      </c>
      <c r="J7" s="229">
        <v>10</v>
      </c>
      <c r="K7" s="229">
        <v>11</v>
      </c>
      <c r="L7" s="229">
        <v>12</v>
      </c>
      <c r="M7" s="230">
        <v>13</v>
      </c>
      <c r="N7" s="230">
        <v>14</v>
      </c>
      <c r="O7" s="231">
        <v>15</v>
      </c>
      <c r="P7" s="229">
        <v>16</v>
      </c>
      <c r="Q7" s="233">
        <v>17</v>
      </c>
      <c r="R7" s="395"/>
      <c r="Y7" s="292">
        <v>18</v>
      </c>
      <c r="Z7" s="387"/>
      <c r="AA7" s="232">
        <v>19</v>
      </c>
      <c r="AB7" s="230">
        <v>20</v>
      </c>
      <c r="AC7" s="387"/>
      <c r="AD7" s="231">
        <v>21</v>
      </c>
      <c r="AE7" s="232">
        <v>22</v>
      </c>
      <c r="AF7" s="230">
        <v>23</v>
      </c>
      <c r="AG7" s="231">
        <v>24</v>
      </c>
      <c r="AH7" s="232">
        <v>25</v>
      </c>
      <c r="AI7" s="230">
        <v>26</v>
      </c>
      <c r="AJ7" s="231">
        <v>27</v>
      </c>
      <c r="AK7" s="232">
        <v>28</v>
      </c>
      <c r="AL7" s="230">
        <v>29</v>
      </c>
      <c r="AM7" s="231">
        <v>30</v>
      </c>
      <c r="AN7" s="232">
        <v>31</v>
      </c>
      <c r="AO7" s="230">
        <v>32</v>
      </c>
      <c r="AP7" s="231">
        <v>33</v>
      </c>
    </row>
    <row r="8" spans="1:42" ht="15.75" thickTop="1" x14ac:dyDescent="0.25">
      <c r="A8" s="234">
        <v>1</v>
      </c>
      <c r="B8" s="235" t="s">
        <v>18</v>
      </c>
      <c r="C8" s="236">
        <v>0</v>
      </c>
      <c r="D8" s="237">
        <f>'okt-mar'!C8</f>
        <v>0</v>
      </c>
      <c r="E8" s="237">
        <v>0</v>
      </c>
      <c r="F8" s="237">
        <f>'okt-mar'!D8</f>
        <v>0</v>
      </c>
      <c r="G8" s="237">
        <v>31</v>
      </c>
      <c r="H8" s="237">
        <f>'okt-mar'!E8</f>
        <v>0</v>
      </c>
      <c r="I8" s="237">
        <v>210</v>
      </c>
      <c r="J8" s="237">
        <f>'okt-mar'!F8</f>
        <v>7</v>
      </c>
      <c r="K8" s="237">
        <v>25</v>
      </c>
      <c r="L8" s="237">
        <f>'okt-mar'!G8</f>
        <v>248</v>
      </c>
      <c r="M8" s="237">
        <v>0</v>
      </c>
      <c r="N8" s="238">
        <f>'okt-mar'!H8</f>
        <v>0</v>
      </c>
      <c r="O8" s="239">
        <f t="shared" ref="O8:P15" si="0">SUM(C8,E8,G8,I8,K8,M8)</f>
        <v>266</v>
      </c>
      <c r="P8" s="262">
        <f t="shared" si="0"/>
        <v>255</v>
      </c>
      <c r="Q8" s="397">
        <f>O8-P8</f>
        <v>11</v>
      </c>
      <c r="R8" s="395"/>
      <c r="Y8" s="241">
        <v>0</v>
      </c>
      <c r="Z8" s="241"/>
      <c r="AA8" s="237">
        <v>0</v>
      </c>
      <c r="AB8" s="237">
        <v>10</v>
      </c>
      <c r="AC8" s="237"/>
      <c r="AD8" s="237">
        <v>3</v>
      </c>
      <c r="AE8" s="237">
        <v>75</v>
      </c>
      <c r="AF8" s="237">
        <v>0</v>
      </c>
      <c r="AG8" s="237">
        <v>0</v>
      </c>
      <c r="AH8" s="237">
        <f>'padi sawah'!I9</f>
        <v>27</v>
      </c>
      <c r="AI8" s="237">
        <v>0</v>
      </c>
      <c r="AJ8" s="237">
        <f>'padi sawah'!J9</f>
        <v>8</v>
      </c>
      <c r="AK8" s="237">
        <v>0</v>
      </c>
      <c r="AL8" s="238">
        <f>'padi sawah'!K9</f>
        <v>0</v>
      </c>
      <c r="AM8" s="239">
        <f t="shared" ref="AM8:AM15" si="1">SUM(Y8,AB8,AE8,AG8,AI8,AK8)</f>
        <v>85</v>
      </c>
      <c r="AN8" s="240">
        <f t="shared" ref="AN8:AN15" si="2">SUM(AA8,AD8,AF8,AH8,AJ8,AL8)</f>
        <v>38</v>
      </c>
      <c r="AO8" s="242">
        <f t="shared" ref="AO8:AP15" si="3">SUM(O8,AM8)</f>
        <v>351</v>
      </c>
      <c r="AP8" s="243">
        <f t="shared" si="3"/>
        <v>293</v>
      </c>
    </row>
    <row r="9" spans="1:42" x14ac:dyDescent="0.25">
      <c r="A9" s="244">
        <v>2</v>
      </c>
      <c r="B9" s="245" t="s">
        <v>19</v>
      </c>
      <c r="C9" s="246">
        <v>10</v>
      </c>
      <c r="D9" s="247">
        <f>'okt-mar'!C9</f>
        <v>4</v>
      </c>
      <c r="E9" s="247">
        <v>10</v>
      </c>
      <c r="F9" s="247">
        <f>'okt-mar'!D9</f>
        <v>2</v>
      </c>
      <c r="G9" s="247">
        <v>105</v>
      </c>
      <c r="H9" s="247">
        <f>'okt-mar'!E9</f>
        <v>29</v>
      </c>
      <c r="I9" s="247">
        <v>78</v>
      </c>
      <c r="J9" s="247">
        <f>'okt-mar'!F9</f>
        <v>49</v>
      </c>
      <c r="K9" s="247">
        <v>0</v>
      </c>
      <c r="L9" s="247">
        <f>'okt-mar'!G9</f>
        <v>128</v>
      </c>
      <c r="M9" s="247">
        <v>95</v>
      </c>
      <c r="N9" s="250">
        <f>'okt-mar'!H9</f>
        <v>4</v>
      </c>
      <c r="O9" s="249">
        <f t="shared" si="0"/>
        <v>298</v>
      </c>
      <c r="P9" s="247">
        <f t="shared" si="0"/>
        <v>216</v>
      </c>
      <c r="Q9" s="398">
        <f t="shared" ref="Q9:Q15" si="4">O9-P9</f>
        <v>82</v>
      </c>
      <c r="R9" s="395"/>
      <c r="Y9" s="251">
        <v>10</v>
      </c>
      <c r="Z9" s="251"/>
      <c r="AA9" s="247">
        <v>5</v>
      </c>
      <c r="AB9" s="247">
        <v>11</v>
      </c>
      <c r="AC9" s="247"/>
      <c r="AD9" s="247">
        <v>13</v>
      </c>
      <c r="AE9" s="247">
        <v>73</v>
      </c>
      <c r="AF9" s="247">
        <v>26</v>
      </c>
      <c r="AG9" s="247">
        <v>0</v>
      </c>
      <c r="AH9" s="247">
        <f>'padi sawah'!I10</f>
        <v>37</v>
      </c>
      <c r="AI9" s="247">
        <v>15</v>
      </c>
      <c r="AJ9" s="247">
        <f>'padi sawah'!J10</f>
        <v>31</v>
      </c>
      <c r="AK9" s="247">
        <v>0</v>
      </c>
      <c r="AL9" s="248">
        <f>'padi sawah'!K10</f>
        <v>11</v>
      </c>
      <c r="AM9" s="239">
        <f t="shared" si="1"/>
        <v>109</v>
      </c>
      <c r="AN9" s="240">
        <f t="shared" si="2"/>
        <v>123</v>
      </c>
      <c r="AO9" s="252">
        <f t="shared" si="3"/>
        <v>407</v>
      </c>
      <c r="AP9" s="253">
        <f t="shared" si="3"/>
        <v>339</v>
      </c>
    </row>
    <row r="10" spans="1:42" x14ac:dyDescent="0.25">
      <c r="A10" s="244">
        <v>3</v>
      </c>
      <c r="B10" s="235" t="s">
        <v>20</v>
      </c>
      <c r="C10" s="254">
        <v>0</v>
      </c>
      <c r="D10" s="247">
        <f>'okt-mar'!C10</f>
        <v>0</v>
      </c>
      <c r="E10" s="247">
        <v>0</v>
      </c>
      <c r="F10" s="247">
        <f>'okt-mar'!D10</f>
        <v>0</v>
      </c>
      <c r="G10" s="247">
        <v>10</v>
      </c>
      <c r="H10" s="247">
        <f>'okt-mar'!E10</f>
        <v>0</v>
      </c>
      <c r="I10" s="247">
        <v>14</v>
      </c>
      <c r="J10" s="247">
        <f>'okt-mar'!F10</f>
        <v>10</v>
      </c>
      <c r="K10" s="247">
        <v>0</v>
      </c>
      <c r="L10" s="247">
        <f>'okt-mar'!G10</f>
        <v>15</v>
      </c>
      <c r="M10" s="247">
        <v>0</v>
      </c>
      <c r="N10" s="250">
        <f>'okt-mar'!H10</f>
        <v>0</v>
      </c>
      <c r="O10" s="249">
        <f t="shared" si="0"/>
        <v>24</v>
      </c>
      <c r="P10" s="247">
        <f t="shared" si="0"/>
        <v>25</v>
      </c>
      <c r="Q10" s="398">
        <f t="shared" si="4"/>
        <v>-1</v>
      </c>
      <c r="R10" s="395"/>
      <c r="Y10" s="251">
        <v>0</v>
      </c>
      <c r="Z10" s="251"/>
      <c r="AA10" s="247">
        <v>0</v>
      </c>
      <c r="AB10" s="247">
        <v>10</v>
      </c>
      <c r="AC10" s="247"/>
      <c r="AD10" s="247">
        <v>10</v>
      </c>
      <c r="AE10" s="247">
        <v>15</v>
      </c>
      <c r="AF10" s="247">
        <v>0</v>
      </c>
      <c r="AG10" s="247">
        <v>0</v>
      </c>
      <c r="AH10" s="247">
        <f>'padi sawah'!I11</f>
        <v>0</v>
      </c>
      <c r="AI10" s="247">
        <v>0</v>
      </c>
      <c r="AJ10" s="247">
        <f>'padi sawah'!J11</f>
        <v>0</v>
      </c>
      <c r="AK10" s="247">
        <v>25</v>
      </c>
      <c r="AL10" s="248">
        <f>'padi sawah'!K11</f>
        <v>5</v>
      </c>
      <c r="AM10" s="239">
        <f t="shared" si="1"/>
        <v>50</v>
      </c>
      <c r="AN10" s="240">
        <f t="shared" si="2"/>
        <v>15</v>
      </c>
      <c r="AO10" s="252">
        <f t="shared" si="3"/>
        <v>74</v>
      </c>
      <c r="AP10" s="253">
        <f t="shared" si="3"/>
        <v>40</v>
      </c>
    </row>
    <row r="11" spans="1:42" x14ac:dyDescent="0.25">
      <c r="A11" s="255">
        <v>4</v>
      </c>
      <c r="B11" s="256" t="s">
        <v>21</v>
      </c>
      <c r="C11" s="257">
        <v>0</v>
      </c>
      <c r="D11" s="247">
        <f>'okt-mar'!C11</f>
        <v>1</v>
      </c>
      <c r="E11" s="247">
        <v>0</v>
      </c>
      <c r="F11" s="247">
        <f>'okt-mar'!D11</f>
        <v>2</v>
      </c>
      <c r="G11" s="247">
        <v>68</v>
      </c>
      <c r="H11" s="247">
        <f>'okt-mar'!E11</f>
        <v>16</v>
      </c>
      <c r="I11" s="247">
        <v>144</v>
      </c>
      <c r="J11" s="247">
        <f>'okt-mar'!F11</f>
        <v>182</v>
      </c>
      <c r="K11" s="247">
        <v>0</v>
      </c>
      <c r="L11" s="247">
        <f>'okt-mar'!G11</f>
        <v>1</v>
      </c>
      <c r="M11" s="247">
        <v>0</v>
      </c>
      <c r="N11" s="250">
        <f>'okt-mar'!H11</f>
        <v>1</v>
      </c>
      <c r="O11" s="249">
        <f t="shared" si="0"/>
        <v>212</v>
      </c>
      <c r="P11" s="247">
        <f t="shared" si="0"/>
        <v>203</v>
      </c>
      <c r="Q11" s="398">
        <f t="shared" si="4"/>
        <v>9</v>
      </c>
      <c r="R11" s="395"/>
      <c r="Y11" s="251">
        <v>5</v>
      </c>
      <c r="Z11" s="251"/>
      <c r="AA11" s="247">
        <v>0</v>
      </c>
      <c r="AB11" s="247">
        <v>35</v>
      </c>
      <c r="AC11" s="247"/>
      <c r="AD11" s="247">
        <v>21</v>
      </c>
      <c r="AE11" s="247">
        <v>0</v>
      </c>
      <c r="AF11" s="247">
        <v>0</v>
      </c>
      <c r="AG11" s="247">
        <v>0</v>
      </c>
      <c r="AH11" s="247">
        <f>'padi sawah'!I12</f>
        <v>2</v>
      </c>
      <c r="AI11" s="247">
        <v>0</v>
      </c>
      <c r="AJ11" s="247">
        <f>'padi sawah'!J12</f>
        <v>1</v>
      </c>
      <c r="AK11" s="247">
        <v>0</v>
      </c>
      <c r="AL11" s="248">
        <f>'padi sawah'!K12</f>
        <v>5</v>
      </c>
      <c r="AM11" s="239">
        <f t="shared" si="1"/>
        <v>40</v>
      </c>
      <c r="AN11" s="240">
        <f t="shared" si="2"/>
        <v>29</v>
      </c>
      <c r="AO11" s="252">
        <f t="shared" si="3"/>
        <v>252</v>
      </c>
      <c r="AP11" s="253">
        <f t="shared" si="3"/>
        <v>232</v>
      </c>
    </row>
    <row r="12" spans="1:42" x14ac:dyDescent="0.25">
      <c r="A12" s="255">
        <v>5</v>
      </c>
      <c r="B12" s="258" t="s">
        <v>22</v>
      </c>
      <c r="C12" s="259">
        <v>0</v>
      </c>
      <c r="D12" s="247">
        <f>'okt-mar'!C12</f>
        <v>0</v>
      </c>
      <c r="E12" s="247">
        <v>0</v>
      </c>
      <c r="F12" s="247">
        <f>'okt-mar'!D12</f>
        <v>0</v>
      </c>
      <c r="G12" s="247">
        <v>50</v>
      </c>
      <c r="H12" s="247">
        <f>'okt-mar'!E12</f>
        <v>0</v>
      </c>
      <c r="I12" s="247">
        <v>124</v>
      </c>
      <c r="J12" s="247">
        <f>'okt-mar'!F12</f>
        <v>45</v>
      </c>
      <c r="K12" s="247">
        <v>0</v>
      </c>
      <c r="L12" s="247">
        <f>'okt-mar'!G12</f>
        <v>119</v>
      </c>
      <c r="M12" s="247">
        <v>0</v>
      </c>
      <c r="N12" s="250">
        <f>'okt-mar'!H12</f>
        <v>0</v>
      </c>
      <c r="O12" s="249">
        <f t="shared" si="0"/>
        <v>174</v>
      </c>
      <c r="P12" s="247">
        <f t="shared" si="0"/>
        <v>164</v>
      </c>
      <c r="Q12" s="398">
        <f t="shared" si="4"/>
        <v>10</v>
      </c>
      <c r="R12" s="395"/>
      <c r="Y12" s="251">
        <v>0</v>
      </c>
      <c r="Z12" s="251"/>
      <c r="AA12" s="247">
        <v>0</v>
      </c>
      <c r="AB12" s="247">
        <v>20</v>
      </c>
      <c r="AC12" s="247"/>
      <c r="AD12" s="247">
        <v>20</v>
      </c>
      <c r="AE12" s="247">
        <v>0</v>
      </c>
      <c r="AF12" s="247">
        <v>0</v>
      </c>
      <c r="AG12" s="247">
        <v>0</v>
      </c>
      <c r="AH12" s="247">
        <f>'padi sawah'!I13</f>
        <v>0</v>
      </c>
      <c r="AI12" s="247">
        <v>10</v>
      </c>
      <c r="AJ12" s="247">
        <f>'padi sawah'!J13</f>
        <v>0</v>
      </c>
      <c r="AK12" s="247">
        <v>0</v>
      </c>
      <c r="AL12" s="248">
        <f>'padi sawah'!K13</f>
        <v>10</v>
      </c>
      <c r="AM12" s="239">
        <f t="shared" si="1"/>
        <v>30</v>
      </c>
      <c r="AN12" s="240">
        <f t="shared" si="2"/>
        <v>30</v>
      </c>
      <c r="AO12" s="252">
        <f t="shared" si="3"/>
        <v>204</v>
      </c>
      <c r="AP12" s="253">
        <f t="shared" si="3"/>
        <v>194</v>
      </c>
    </row>
    <row r="13" spans="1:42" x14ac:dyDescent="0.25">
      <c r="A13" s="255">
        <v>6</v>
      </c>
      <c r="B13" s="258" t="s">
        <v>23</v>
      </c>
      <c r="C13" s="259">
        <v>0</v>
      </c>
      <c r="D13" s="247">
        <f>'okt-mar'!C13</f>
        <v>0</v>
      </c>
      <c r="E13" s="247">
        <v>10</v>
      </c>
      <c r="F13" s="247">
        <f>'okt-mar'!D13</f>
        <v>5</v>
      </c>
      <c r="G13" s="247">
        <v>25</v>
      </c>
      <c r="H13" s="247">
        <f>'okt-mar'!E13</f>
        <v>7</v>
      </c>
      <c r="I13" s="247">
        <v>19</v>
      </c>
      <c r="J13" s="247">
        <f>'okt-mar'!F13</f>
        <v>29</v>
      </c>
      <c r="K13" s="247">
        <v>0</v>
      </c>
      <c r="L13" s="247">
        <f>'okt-mar'!G13</f>
        <v>18</v>
      </c>
      <c r="M13" s="247">
        <v>4</v>
      </c>
      <c r="N13" s="250">
        <f>'okt-mar'!H13</f>
        <v>0</v>
      </c>
      <c r="O13" s="249">
        <f t="shared" si="0"/>
        <v>58</v>
      </c>
      <c r="P13" s="247">
        <f t="shared" si="0"/>
        <v>59</v>
      </c>
      <c r="Q13" s="398">
        <f t="shared" si="4"/>
        <v>-1</v>
      </c>
      <c r="R13" s="395"/>
      <c r="Y13" s="251">
        <v>35</v>
      </c>
      <c r="Z13" s="251"/>
      <c r="AA13" s="247">
        <v>0</v>
      </c>
      <c r="AB13" s="247">
        <v>0</v>
      </c>
      <c r="AC13" s="247"/>
      <c r="AD13" s="247">
        <v>10</v>
      </c>
      <c r="AE13" s="247">
        <v>0</v>
      </c>
      <c r="AF13" s="247">
        <v>25</v>
      </c>
      <c r="AG13" s="247">
        <v>0</v>
      </c>
      <c r="AH13" s="247">
        <f>'padi sawah'!I14</f>
        <v>6</v>
      </c>
      <c r="AI13" s="247">
        <v>0</v>
      </c>
      <c r="AJ13" s="247">
        <f>'padi sawah'!J14</f>
        <v>0</v>
      </c>
      <c r="AK13" s="247">
        <v>0</v>
      </c>
      <c r="AL13" s="248">
        <f>'padi sawah'!K14</f>
        <v>0</v>
      </c>
      <c r="AM13" s="239">
        <f t="shared" si="1"/>
        <v>35</v>
      </c>
      <c r="AN13" s="240">
        <f t="shared" si="2"/>
        <v>41</v>
      </c>
      <c r="AO13" s="252">
        <f t="shared" si="3"/>
        <v>93</v>
      </c>
      <c r="AP13" s="253">
        <f t="shared" si="3"/>
        <v>100</v>
      </c>
    </row>
    <row r="14" spans="1:42" x14ac:dyDescent="0.25">
      <c r="A14" s="255">
        <v>7</v>
      </c>
      <c r="B14" s="258" t="s">
        <v>24</v>
      </c>
      <c r="C14" s="259">
        <v>0</v>
      </c>
      <c r="D14" s="247">
        <f>'okt-mar'!C14</f>
        <v>0</v>
      </c>
      <c r="E14" s="247">
        <v>0</v>
      </c>
      <c r="F14" s="247">
        <f>'okt-mar'!D14</f>
        <v>5</v>
      </c>
      <c r="G14" s="247">
        <v>122</v>
      </c>
      <c r="H14" s="247">
        <f>'okt-mar'!E14</f>
        <v>179</v>
      </c>
      <c r="I14" s="247">
        <v>245</v>
      </c>
      <c r="J14" s="247">
        <f>'okt-mar'!F14</f>
        <v>104</v>
      </c>
      <c r="K14" s="247">
        <v>0</v>
      </c>
      <c r="L14" s="247">
        <f>'okt-mar'!G14</f>
        <v>59</v>
      </c>
      <c r="M14" s="247">
        <v>0</v>
      </c>
      <c r="N14" s="250">
        <f>'okt-mar'!H14</f>
        <v>1</v>
      </c>
      <c r="O14" s="249">
        <f t="shared" si="0"/>
        <v>367</v>
      </c>
      <c r="P14" s="247">
        <f t="shared" si="0"/>
        <v>348</v>
      </c>
      <c r="Q14" s="398">
        <f t="shared" si="4"/>
        <v>19</v>
      </c>
      <c r="R14" s="395"/>
      <c r="Y14" s="251">
        <v>103</v>
      </c>
      <c r="Z14" s="251"/>
      <c r="AA14" s="247">
        <v>1</v>
      </c>
      <c r="AB14" s="247">
        <v>104</v>
      </c>
      <c r="AC14" s="247"/>
      <c r="AD14" s="247">
        <v>48</v>
      </c>
      <c r="AE14" s="247">
        <v>0</v>
      </c>
      <c r="AF14" s="247">
        <v>171</v>
      </c>
      <c r="AG14" s="247">
        <v>0</v>
      </c>
      <c r="AH14" s="247">
        <f>'padi sawah'!I15</f>
        <v>27</v>
      </c>
      <c r="AI14" s="247">
        <v>0</v>
      </c>
      <c r="AJ14" s="247">
        <f>'padi sawah'!J15</f>
        <v>3</v>
      </c>
      <c r="AK14" s="247">
        <v>0</v>
      </c>
      <c r="AL14" s="248">
        <f>'padi sawah'!K15</f>
        <v>1</v>
      </c>
      <c r="AM14" s="239">
        <f t="shared" si="1"/>
        <v>207</v>
      </c>
      <c r="AN14" s="240">
        <f t="shared" si="2"/>
        <v>251</v>
      </c>
      <c r="AO14" s="252">
        <f t="shared" si="3"/>
        <v>574</v>
      </c>
      <c r="AP14" s="253">
        <f t="shared" si="3"/>
        <v>599</v>
      </c>
    </row>
    <row r="15" spans="1:42" ht="15.75" thickBot="1" x14ac:dyDescent="0.3">
      <c r="A15" s="260">
        <v>8</v>
      </c>
      <c r="B15" s="256" t="s">
        <v>25</v>
      </c>
      <c r="C15" s="261">
        <v>0</v>
      </c>
      <c r="D15" s="263">
        <f>'okt-mar'!C15</f>
        <v>1</v>
      </c>
      <c r="E15" s="263">
        <v>25</v>
      </c>
      <c r="F15" s="263">
        <f>'okt-mar'!D15</f>
        <v>1</v>
      </c>
      <c r="G15" s="263">
        <v>126</v>
      </c>
      <c r="H15" s="263">
        <f>'okt-mar'!E15</f>
        <v>42</v>
      </c>
      <c r="I15" s="262">
        <v>125</v>
      </c>
      <c r="J15" s="263">
        <f>'okt-mar'!F15</f>
        <v>64</v>
      </c>
      <c r="K15" s="263">
        <v>0</v>
      </c>
      <c r="L15" s="263">
        <f>'okt-mar'!G15</f>
        <v>145</v>
      </c>
      <c r="M15" s="263">
        <v>20</v>
      </c>
      <c r="N15" s="264">
        <f>'okt-mar'!H15</f>
        <v>6</v>
      </c>
      <c r="O15" s="265">
        <f t="shared" si="0"/>
        <v>296</v>
      </c>
      <c r="P15" s="263">
        <f t="shared" si="0"/>
        <v>259</v>
      </c>
      <c r="Q15" s="397">
        <f t="shared" si="4"/>
        <v>37</v>
      </c>
      <c r="R15" s="395"/>
      <c r="Y15" s="267">
        <v>25</v>
      </c>
      <c r="Z15" s="267"/>
      <c r="AA15" s="263">
        <v>26</v>
      </c>
      <c r="AB15" s="263">
        <v>142</v>
      </c>
      <c r="AC15" s="263"/>
      <c r="AD15" s="263">
        <v>66</v>
      </c>
      <c r="AE15" s="263">
        <v>41</v>
      </c>
      <c r="AF15" s="263">
        <v>6</v>
      </c>
      <c r="AG15" s="263">
        <v>0</v>
      </c>
      <c r="AH15" s="263">
        <f>'padi sawah'!I16</f>
        <v>0</v>
      </c>
      <c r="AI15" s="263">
        <v>0</v>
      </c>
      <c r="AJ15" s="263">
        <f>'padi sawah'!J16</f>
        <v>48</v>
      </c>
      <c r="AK15" s="263">
        <v>5</v>
      </c>
      <c r="AL15" s="264">
        <f>'padi sawah'!K16</f>
        <v>27</v>
      </c>
      <c r="AM15" s="239">
        <f t="shared" si="1"/>
        <v>213</v>
      </c>
      <c r="AN15" s="240">
        <f t="shared" si="2"/>
        <v>173</v>
      </c>
      <c r="AO15" s="268">
        <f t="shared" si="3"/>
        <v>509</v>
      </c>
      <c r="AP15" s="269">
        <f t="shared" si="3"/>
        <v>432</v>
      </c>
    </row>
    <row r="16" spans="1:42" ht="16.5" thickTop="1" thickBot="1" x14ac:dyDescent="0.3">
      <c r="A16" s="545" t="s">
        <v>26</v>
      </c>
      <c r="B16" s="546"/>
      <c r="C16" s="270">
        <f t="shared" ref="C16:Q16" si="5">SUM(C8:C15)</f>
        <v>10</v>
      </c>
      <c r="D16" s="270">
        <f t="shared" si="5"/>
        <v>6</v>
      </c>
      <c r="E16" s="270">
        <f t="shared" si="5"/>
        <v>45</v>
      </c>
      <c r="F16" s="270">
        <f t="shared" si="5"/>
        <v>15</v>
      </c>
      <c r="G16" s="270">
        <f t="shared" si="5"/>
        <v>537</v>
      </c>
      <c r="H16" s="270">
        <f t="shared" si="5"/>
        <v>273</v>
      </c>
      <c r="I16" s="270">
        <f t="shared" si="5"/>
        <v>959</v>
      </c>
      <c r="J16" s="270">
        <f t="shared" si="5"/>
        <v>490</v>
      </c>
      <c r="K16" s="270">
        <f t="shared" si="5"/>
        <v>25</v>
      </c>
      <c r="L16" s="270">
        <f t="shared" si="5"/>
        <v>733</v>
      </c>
      <c r="M16" s="270">
        <f t="shared" si="5"/>
        <v>119</v>
      </c>
      <c r="N16" s="271">
        <f t="shared" si="5"/>
        <v>12</v>
      </c>
      <c r="O16" s="272">
        <f t="shared" si="5"/>
        <v>1695</v>
      </c>
      <c r="P16" s="270">
        <f t="shared" si="5"/>
        <v>1529</v>
      </c>
      <c r="Q16" s="399">
        <f t="shared" si="5"/>
        <v>166</v>
      </c>
      <c r="R16" s="395"/>
      <c r="Y16" s="286">
        <f>SUM(Y8:Y15)</f>
        <v>178</v>
      </c>
      <c r="Z16" s="286"/>
      <c r="AA16" s="275">
        <f>SUM(AA8:AA15)</f>
        <v>32</v>
      </c>
      <c r="AB16" s="275">
        <f>SUM(AB8:AB15)</f>
        <v>332</v>
      </c>
      <c r="AC16" s="275"/>
      <c r="AD16" s="275">
        <f t="shared" ref="AD16:AN16" si="6">SUM(AD8:AD15)</f>
        <v>191</v>
      </c>
      <c r="AE16" s="275">
        <f t="shared" si="6"/>
        <v>204</v>
      </c>
      <c r="AF16" s="275">
        <f t="shared" si="6"/>
        <v>228</v>
      </c>
      <c r="AG16" s="275">
        <f t="shared" si="6"/>
        <v>0</v>
      </c>
      <c r="AH16" s="275">
        <f t="shared" si="6"/>
        <v>99</v>
      </c>
      <c r="AI16" s="275">
        <f t="shared" si="6"/>
        <v>25</v>
      </c>
      <c r="AJ16" s="275">
        <f t="shared" si="6"/>
        <v>91</v>
      </c>
      <c r="AK16" s="275">
        <f t="shared" si="6"/>
        <v>30</v>
      </c>
      <c r="AL16" s="276">
        <f t="shared" si="6"/>
        <v>59</v>
      </c>
      <c r="AM16" s="277">
        <f t="shared" si="6"/>
        <v>769</v>
      </c>
      <c r="AN16" s="278">
        <f t="shared" si="6"/>
        <v>700</v>
      </c>
      <c r="AO16" s="277">
        <f>SUM(O16,AM16)</f>
        <v>2464</v>
      </c>
      <c r="AP16" s="279">
        <f>SUM(AP8:AP15)</f>
        <v>2229</v>
      </c>
    </row>
    <row r="19" spans="1:37" ht="15.75" x14ac:dyDescent="0.25">
      <c r="A19" s="384" t="s">
        <v>89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R19" s="384"/>
      <c r="S19" s="384"/>
      <c r="T19" s="384"/>
      <c r="U19" s="384"/>
      <c r="V19" s="384"/>
      <c r="W19" s="384"/>
      <c r="X19" s="384"/>
      <c r="Y19" s="384"/>
      <c r="Z19" s="384"/>
      <c r="AA19" s="384"/>
      <c r="AB19" s="384"/>
      <c r="AC19" s="384"/>
      <c r="AD19" s="384"/>
      <c r="AE19" s="384"/>
      <c r="AF19" s="384"/>
      <c r="AG19" s="384"/>
      <c r="AH19" s="384"/>
      <c r="AI19" s="384"/>
      <c r="AJ19" s="384"/>
    </row>
    <row r="20" spans="1:37" ht="15.75" x14ac:dyDescent="0.25">
      <c r="A20" s="384" t="s">
        <v>82</v>
      </c>
      <c r="B20" s="384"/>
      <c r="C20" s="384"/>
      <c r="D20" s="384"/>
      <c r="E20" s="384"/>
      <c r="F20" s="384"/>
      <c r="G20" s="384"/>
      <c r="H20" s="384"/>
      <c r="I20" s="384"/>
      <c r="J20" s="384"/>
      <c r="K20" s="384"/>
      <c r="L20" s="384"/>
      <c r="M20" s="384"/>
      <c r="N20" s="384"/>
      <c r="O20" s="384"/>
      <c r="P20" s="384"/>
      <c r="Q20" s="384"/>
      <c r="R20" s="384"/>
      <c r="S20" s="384"/>
      <c r="T20" s="384"/>
      <c r="U20" s="384"/>
      <c r="V20" s="384"/>
      <c r="W20" s="384"/>
      <c r="X20" s="384"/>
      <c r="Y20" s="384"/>
      <c r="Z20" s="384"/>
      <c r="AA20" s="384"/>
      <c r="AB20" s="384"/>
      <c r="AC20" s="384"/>
      <c r="AD20" s="384"/>
      <c r="AE20" s="384"/>
      <c r="AF20" s="384"/>
      <c r="AG20" s="384"/>
      <c r="AH20" s="384"/>
      <c r="AI20" s="384"/>
      <c r="AJ20" s="384"/>
    </row>
    <row r="21" spans="1:37" ht="15.75" thickBot="1" x14ac:dyDescent="0.3">
      <c r="AJ21" s="77" t="s">
        <v>1</v>
      </c>
    </row>
    <row r="22" spans="1:37" x14ac:dyDescent="0.25">
      <c r="A22" s="541" t="s">
        <v>2</v>
      </c>
      <c r="B22" s="543" t="s">
        <v>3</v>
      </c>
      <c r="C22" s="535" t="s">
        <v>141</v>
      </c>
      <c r="D22" s="543"/>
      <c r="E22" s="524"/>
      <c r="F22" s="565" t="s">
        <v>142</v>
      </c>
      <c r="G22" s="540"/>
      <c r="H22" s="540"/>
      <c r="I22" s="540"/>
      <c r="J22" s="540"/>
      <c r="K22" s="540"/>
      <c r="L22" s="540"/>
      <c r="M22" s="540"/>
      <c r="N22" s="540"/>
      <c r="O22" s="540"/>
      <c r="P22" s="540"/>
      <c r="Q22" s="566"/>
      <c r="R22" s="567" t="s">
        <v>85</v>
      </c>
      <c r="S22" s="568"/>
      <c r="T22" s="569"/>
      <c r="U22" s="567" t="s">
        <v>5</v>
      </c>
      <c r="V22" s="568"/>
      <c r="W22" s="573"/>
      <c r="Y22" s="402"/>
      <c r="Z22" s="402"/>
      <c r="AA22" s="402"/>
      <c r="AB22" s="402"/>
      <c r="AC22" s="402"/>
      <c r="AD22" s="402"/>
      <c r="AE22" s="402"/>
      <c r="AF22" s="402"/>
      <c r="AG22" s="403"/>
      <c r="AH22" s="357" t="s">
        <v>85</v>
      </c>
      <c r="AI22" s="358"/>
      <c r="AJ22" s="361" t="s">
        <v>5</v>
      </c>
      <c r="AK22" s="362"/>
    </row>
    <row r="23" spans="1:37" x14ac:dyDescent="0.25">
      <c r="A23" s="542"/>
      <c r="B23" s="544"/>
      <c r="C23" s="537"/>
      <c r="D23" s="577"/>
      <c r="E23" s="526"/>
      <c r="F23" s="557" t="s">
        <v>79</v>
      </c>
      <c r="G23" s="534"/>
      <c r="H23" s="532" t="s">
        <v>10</v>
      </c>
      <c r="I23" s="534"/>
      <c r="J23" s="532" t="s">
        <v>11</v>
      </c>
      <c r="K23" s="534"/>
      <c r="L23" s="532" t="s">
        <v>145</v>
      </c>
      <c r="M23" s="534"/>
      <c r="N23" s="532" t="s">
        <v>80</v>
      </c>
      <c r="O23" s="534"/>
      <c r="P23" s="532" t="s">
        <v>81</v>
      </c>
      <c r="Q23" s="533"/>
      <c r="R23" s="570"/>
      <c r="S23" s="571"/>
      <c r="T23" s="572"/>
      <c r="U23" s="574"/>
      <c r="V23" s="575"/>
      <c r="W23" s="576"/>
      <c r="Y23" s="405"/>
      <c r="Z23" s="404" t="s">
        <v>138</v>
      </c>
      <c r="AA23" s="405"/>
      <c r="AB23" s="365" t="s">
        <v>12</v>
      </c>
      <c r="AC23" s="367"/>
      <c r="AD23" s="365" t="s">
        <v>80</v>
      </c>
      <c r="AE23" s="367"/>
      <c r="AF23" s="365" t="s">
        <v>81</v>
      </c>
      <c r="AG23" s="366"/>
      <c r="AH23" s="359"/>
      <c r="AI23" s="360"/>
      <c r="AJ23" s="363"/>
      <c r="AK23" s="364"/>
    </row>
    <row r="24" spans="1:37" x14ac:dyDescent="0.25">
      <c r="A24" s="542"/>
      <c r="B24" s="544"/>
      <c r="C24" s="226" t="s">
        <v>116</v>
      </c>
      <c r="D24" s="401" t="s">
        <v>117</v>
      </c>
      <c r="E24" s="396" t="s">
        <v>139</v>
      </c>
      <c r="F24" s="312" t="s">
        <v>116</v>
      </c>
      <c r="G24" s="314" t="s">
        <v>117</v>
      </c>
      <c r="H24" s="313" t="s">
        <v>116</v>
      </c>
      <c r="I24" s="314" t="s">
        <v>117</v>
      </c>
      <c r="J24" s="313" t="s">
        <v>116</v>
      </c>
      <c r="K24" s="314" t="s">
        <v>117</v>
      </c>
      <c r="L24" s="313" t="s">
        <v>116</v>
      </c>
      <c r="M24" s="314" t="s">
        <v>117</v>
      </c>
      <c r="N24" s="313" t="s">
        <v>116</v>
      </c>
      <c r="O24" s="314" t="s">
        <v>117</v>
      </c>
      <c r="P24" s="313" t="s">
        <v>116</v>
      </c>
      <c r="Q24" s="315" t="s">
        <v>117</v>
      </c>
      <c r="R24" s="359" t="s">
        <v>116</v>
      </c>
      <c r="S24" s="400" t="s">
        <v>117</v>
      </c>
      <c r="T24" s="391" t="s">
        <v>139</v>
      </c>
      <c r="U24" s="359" t="s">
        <v>116</v>
      </c>
      <c r="V24" s="400" t="s">
        <v>117</v>
      </c>
      <c r="W24" s="427" t="s">
        <v>139</v>
      </c>
      <c r="Y24" s="314" t="s">
        <v>117</v>
      </c>
      <c r="Z24" s="313" t="s">
        <v>116</v>
      </c>
      <c r="AA24" s="314" t="s">
        <v>117</v>
      </c>
      <c r="AB24" s="313" t="s">
        <v>116</v>
      </c>
      <c r="AC24" s="314" t="s">
        <v>117</v>
      </c>
      <c r="AD24" s="313" t="s">
        <v>116</v>
      </c>
      <c r="AE24" s="314" t="s">
        <v>117</v>
      </c>
      <c r="AF24" s="313" t="s">
        <v>116</v>
      </c>
      <c r="AG24" s="315" t="s">
        <v>117</v>
      </c>
      <c r="AH24" s="359" t="s">
        <v>116</v>
      </c>
      <c r="AI24" s="321" t="s">
        <v>117</v>
      </c>
      <c r="AJ24" s="226" t="s">
        <v>116</v>
      </c>
      <c r="AK24" s="320" t="s">
        <v>117</v>
      </c>
    </row>
    <row r="25" spans="1:37" ht="15.75" thickBot="1" x14ac:dyDescent="0.3">
      <c r="A25" s="228">
        <v>1</v>
      </c>
      <c r="B25" s="232">
        <v>2</v>
      </c>
      <c r="C25" s="292">
        <v>3</v>
      </c>
      <c r="D25" s="229">
        <v>4</v>
      </c>
      <c r="E25" s="232">
        <v>5</v>
      </c>
      <c r="F25" s="292">
        <v>6</v>
      </c>
      <c r="G25" s="229">
        <v>7</v>
      </c>
      <c r="H25" s="229">
        <v>8</v>
      </c>
      <c r="I25" s="229">
        <v>9</v>
      </c>
      <c r="J25" s="229">
        <v>10</v>
      </c>
      <c r="K25" s="229">
        <v>11</v>
      </c>
      <c r="L25" s="229">
        <v>12</v>
      </c>
      <c r="M25" s="230">
        <v>13</v>
      </c>
      <c r="N25" s="230">
        <v>14</v>
      </c>
      <c r="O25" s="229">
        <v>15</v>
      </c>
      <c r="P25" s="229">
        <v>16</v>
      </c>
      <c r="Q25" s="233">
        <v>17</v>
      </c>
      <c r="R25" s="231">
        <v>18</v>
      </c>
      <c r="S25" s="229">
        <v>19</v>
      </c>
      <c r="T25" s="308">
        <v>20</v>
      </c>
      <c r="U25" s="292">
        <v>21</v>
      </c>
      <c r="V25" s="229">
        <v>22</v>
      </c>
      <c r="W25" s="309">
        <v>23</v>
      </c>
      <c r="Y25" s="229">
        <v>20</v>
      </c>
      <c r="Z25" s="229">
        <v>21</v>
      </c>
      <c r="AA25" s="229">
        <v>22</v>
      </c>
      <c r="AB25" s="229">
        <v>23</v>
      </c>
      <c r="AC25" s="229">
        <v>24</v>
      </c>
      <c r="AD25" s="229">
        <v>25</v>
      </c>
      <c r="AE25" s="229">
        <v>26</v>
      </c>
      <c r="AF25" s="229">
        <v>27</v>
      </c>
      <c r="AG25" s="230">
        <v>28</v>
      </c>
      <c r="AH25" s="231">
        <v>29</v>
      </c>
      <c r="AI25" s="232">
        <v>30</v>
      </c>
      <c r="AJ25" s="231">
        <v>31</v>
      </c>
      <c r="AK25" s="233">
        <v>32</v>
      </c>
    </row>
    <row r="26" spans="1:37" ht="15.75" thickTop="1" x14ac:dyDescent="0.25">
      <c r="A26" s="234">
        <v>1</v>
      </c>
      <c r="B26" s="411" t="s">
        <v>18</v>
      </c>
      <c r="C26" s="417">
        <v>266</v>
      </c>
      <c r="D26" s="237">
        <v>244</v>
      </c>
      <c r="E26" s="300">
        <v>22</v>
      </c>
      <c r="F26" s="281">
        <v>0</v>
      </c>
      <c r="G26" s="237">
        <v>0</v>
      </c>
      <c r="H26" s="237">
        <v>10</v>
      </c>
      <c r="I26" s="237">
        <v>3</v>
      </c>
      <c r="J26" s="237">
        <v>75</v>
      </c>
      <c r="K26" s="237">
        <v>37</v>
      </c>
      <c r="L26" s="237">
        <v>0</v>
      </c>
      <c r="M26" s="237">
        <f>'target-realisasi'!X8</f>
        <v>15</v>
      </c>
      <c r="N26" s="238">
        <v>0</v>
      </c>
      <c r="O26" s="408">
        <v>0</v>
      </c>
      <c r="P26" s="408">
        <v>0</v>
      </c>
      <c r="Q26" s="300">
        <v>0</v>
      </c>
      <c r="R26" s="265">
        <f t="shared" ref="R26:S33" si="7">SUM(F26,H26,J26,L26,N26,P26)</f>
        <v>85</v>
      </c>
      <c r="S26" s="263">
        <f t="shared" si="7"/>
        <v>55</v>
      </c>
      <c r="T26" s="388">
        <f t="shared" ref="T26:T33" si="8">R26-S26</f>
        <v>30</v>
      </c>
      <c r="U26" s="423">
        <f t="shared" ref="U26:U33" si="9">C26-E26+R26</f>
        <v>329</v>
      </c>
      <c r="V26" s="428">
        <f t="shared" ref="V26:V33" si="10">D26+S26</f>
        <v>299</v>
      </c>
      <c r="W26" s="311">
        <f>U26-V26</f>
        <v>30</v>
      </c>
      <c r="X26">
        <v>329</v>
      </c>
      <c r="Y26" s="237">
        <v>3</v>
      </c>
      <c r="Z26" s="237">
        <v>75</v>
      </c>
      <c r="AA26" s="237">
        <v>0</v>
      </c>
      <c r="AB26" s="237">
        <v>0</v>
      </c>
      <c r="AC26" s="237">
        <f>'padi sawah'!I27</f>
        <v>0</v>
      </c>
      <c r="AD26" s="237">
        <v>0</v>
      </c>
      <c r="AE26" s="237">
        <f>'padi sawah'!J27</f>
        <v>0</v>
      </c>
      <c r="AF26" s="237">
        <v>0</v>
      </c>
      <c r="AG26" s="238">
        <f>'padi sawah'!K27</f>
        <v>0</v>
      </c>
      <c r="AH26" s="239">
        <f t="shared" ref="AH26:AH33" si="11">SUM(S26,V26,Z26,AB26,AD26,AF26)</f>
        <v>429</v>
      </c>
      <c r="AI26" s="240">
        <f t="shared" ref="AI26:AI33" si="12">SUM(U26,Y26,AA26,AC26,AE26,AG26)</f>
        <v>332</v>
      </c>
      <c r="AJ26" s="242">
        <f t="shared" ref="AJ26:AK33" si="13">SUM(O26,AH26)</f>
        <v>429</v>
      </c>
      <c r="AK26" s="243">
        <f t="shared" si="13"/>
        <v>332</v>
      </c>
    </row>
    <row r="27" spans="1:37" x14ac:dyDescent="0.25">
      <c r="A27" s="244">
        <v>2</v>
      </c>
      <c r="B27" s="412" t="s">
        <v>19</v>
      </c>
      <c r="C27" s="418">
        <v>298</v>
      </c>
      <c r="D27" s="247">
        <v>145</v>
      </c>
      <c r="E27" s="250">
        <v>153</v>
      </c>
      <c r="F27" s="283">
        <v>10</v>
      </c>
      <c r="G27" s="247">
        <v>5</v>
      </c>
      <c r="H27" s="247">
        <v>11</v>
      </c>
      <c r="I27" s="247">
        <v>13</v>
      </c>
      <c r="J27" s="247">
        <v>73</v>
      </c>
      <c r="K27" s="247">
        <v>38</v>
      </c>
      <c r="L27" s="247">
        <v>0</v>
      </c>
      <c r="M27" s="247">
        <f>'target-realisasi'!X9</f>
        <v>13</v>
      </c>
      <c r="N27" s="248">
        <v>15</v>
      </c>
      <c r="O27" s="247">
        <v>0</v>
      </c>
      <c r="P27" s="247">
        <v>0</v>
      </c>
      <c r="Q27" s="250">
        <v>0</v>
      </c>
      <c r="R27" s="249">
        <f t="shared" si="7"/>
        <v>109</v>
      </c>
      <c r="S27" s="247">
        <f t="shared" si="7"/>
        <v>69</v>
      </c>
      <c r="T27" s="282">
        <f t="shared" si="8"/>
        <v>40</v>
      </c>
      <c r="U27" s="432">
        <f t="shared" si="9"/>
        <v>254</v>
      </c>
      <c r="V27" s="433">
        <f t="shared" si="10"/>
        <v>214</v>
      </c>
      <c r="W27" s="288">
        <f t="shared" ref="W27:W33" si="14">U27-V27</f>
        <v>40</v>
      </c>
      <c r="X27">
        <v>254</v>
      </c>
      <c r="Y27" s="247">
        <v>13</v>
      </c>
      <c r="Z27" s="247">
        <v>73</v>
      </c>
      <c r="AA27" s="247">
        <v>26</v>
      </c>
      <c r="AB27" s="247">
        <v>0</v>
      </c>
      <c r="AC27" s="247">
        <f>'padi sawah'!I28</f>
        <v>0</v>
      </c>
      <c r="AD27" s="247">
        <v>15</v>
      </c>
      <c r="AE27" s="247">
        <f>'padi sawah'!J28</f>
        <v>0</v>
      </c>
      <c r="AF27" s="247">
        <v>0</v>
      </c>
      <c r="AG27" s="248">
        <f>'padi sawah'!K28</f>
        <v>0</v>
      </c>
      <c r="AH27" s="239">
        <f t="shared" si="11"/>
        <v>371</v>
      </c>
      <c r="AI27" s="240">
        <f t="shared" si="12"/>
        <v>293</v>
      </c>
      <c r="AJ27" s="252">
        <f t="shared" si="13"/>
        <v>371</v>
      </c>
      <c r="AK27" s="253">
        <f t="shared" si="13"/>
        <v>293</v>
      </c>
    </row>
    <row r="28" spans="1:37" x14ac:dyDescent="0.25">
      <c r="A28" s="244">
        <v>3</v>
      </c>
      <c r="B28" s="411" t="s">
        <v>20</v>
      </c>
      <c r="C28" s="419">
        <v>24</v>
      </c>
      <c r="D28" s="247">
        <v>25</v>
      </c>
      <c r="E28" s="250">
        <v>-1</v>
      </c>
      <c r="F28" s="283">
        <v>0</v>
      </c>
      <c r="G28" s="247">
        <v>0</v>
      </c>
      <c r="H28" s="247">
        <v>10</v>
      </c>
      <c r="I28" s="247">
        <v>10</v>
      </c>
      <c r="J28" s="247">
        <v>15</v>
      </c>
      <c r="K28" s="247">
        <v>5</v>
      </c>
      <c r="L28" s="247">
        <v>0</v>
      </c>
      <c r="M28" s="247">
        <f>'target-realisasi'!X10</f>
        <v>0</v>
      </c>
      <c r="N28" s="248">
        <v>0</v>
      </c>
      <c r="O28" s="247">
        <v>0</v>
      </c>
      <c r="P28" s="247">
        <v>25</v>
      </c>
      <c r="Q28" s="250">
        <v>0</v>
      </c>
      <c r="R28" s="249">
        <f t="shared" si="7"/>
        <v>50</v>
      </c>
      <c r="S28" s="247">
        <f t="shared" si="7"/>
        <v>15</v>
      </c>
      <c r="T28" s="282">
        <f t="shared" si="8"/>
        <v>35</v>
      </c>
      <c r="U28" s="432">
        <f t="shared" si="9"/>
        <v>75</v>
      </c>
      <c r="V28" s="433">
        <f t="shared" si="10"/>
        <v>40</v>
      </c>
      <c r="W28" s="288">
        <f t="shared" si="14"/>
        <v>35</v>
      </c>
      <c r="X28">
        <v>75</v>
      </c>
      <c r="Y28" s="247">
        <v>10</v>
      </c>
      <c r="Z28" s="247">
        <v>15</v>
      </c>
      <c r="AA28" s="247">
        <v>0</v>
      </c>
      <c r="AB28" s="247">
        <v>0</v>
      </c>
      <c r="AC28" s="247">
        <f>'padi sawah'!I29</f>
        <v>0</v>
      </c>
      <c r="AD28" s="247">
        <v>0</v>
      </c>
      <c r="AE28" s="247">
        <f>'padi sawah'!J29</f>
        <v>0</v>
      </c>
      <c r="AF28" s="247">
        <v>25</v>
      </c>
      <c r="AG28" s="248">
        <f>'padi sawah'!K29</f>
        <v>0</v>
      </c>
      <c r="AH28" s="239">
        <f t="shared" si="11"/>
        <v>95</v>
      </c>
      <c r="AI28" s="240">
        <f t="shared" si="12"/>
        <v>85</v>
      </c>
      <c r="AJ28" s="252">
        <f t="shared" si="13"/>
        <v>95</v>
      </c>
      <c r="AK28" s="253">
        <f t="shared" si="13"/>
        <v>110</v>
      </c>
    </row>
    <row r="29" spans="1:37" x14ac:dyDescent="0.25">
      <c r="A29" s="255">
        <v>4</v>
      </c>
      <c r="B29" s="413" t="s">
        <v>21</v>
      </c>
      <c r="C29" s="420">
        <v>212</v>
      </c>
      <c r="D29" s="247">
        <v>203</v>
      </c>
      <c r="E29" s="250">
        <v>9</v>
      </c>
      <c r="F29" s="283">
        <v>5</v>
      </c>
      <c r="G29" s="247">
        <v>0</v>
      </c>
      <c r="H29" s="247">
        <v>35</v>
      </c>
      <c r="I29" s="247">
        <v>21</v>
      </c>
      <c r="J29" s="247">
        <v>0</v>
      </c>
      <c r="K29" s="247">
        <v>11</v>
      </c>
      <c r="L29" s="247">
        <v>0</v>
      </c>
      <c r="M29" s="247">
        <f>'target-realisasi'!X11</f>
        <v>4</v>
      </c>
      <c r="N29" s="248">
        <v>0</v>
      </c>
      <c r="O29" s="247">
        <v>0</v>
      </c>
      <c r="P29" s="247">
        <v>0</v>
      </c>
      <c r="Q29" s="250">
        <v>0</v>
      </c>
      <c r="R29" s="249">
        <f t="shared" si="7"/>
        <v>40</v>
      </c>
      <c r="S29" s="247">
        <f t="shared" si="7"/>
        <v>36</v>
      </c>
      <c r="T29" s="282">
        <f t="shared" si="8"/>
        <v>4</v>
      </c>
      <c r="U29" s="432">
        <f t="shared" si="9"/>
        <v>243</v>
      </c>
      <c r="V29" s="433">
        <f t="shared" si="10"/>
        <v>239</v>
      </c>
      <c r="W29" s="288">
        <f t="shared" si="14"/>
        <v>4</v>
      </c>
      <c r="X29">
        <v>243</v>
      </c>
      <c r="Y29" s="247">
        <v>21</v>
      </c>
      <c r="Z29" s="247">
        <v>0</v>
      </c>
      <c r="AA29" s="247">
        <v>0</v>
      </c>
      <c r="AB29" s="247">
        <v>0</v>
      </c>
      <c r="AC29" s="247">
        <f>'padi sawah'!I30</f>
        <v>0</v>
      </c>
      <c r="AD29" s="247">
        <v>0</v>
      </c>
      <c r="AE29" s="247">
        <f>'padi sawah'!J30</f>
        <v>0</v>
      </c>
      <c r="AF29" s="247">
        <v>0</v>
      </c>
      <c r="AG29" s="248">
        <f>'padi sawah'!K30</f>
        <v>0</v>
      </c>
      <c r="AH29" s="239">
        <f t="shared" si="11"/>
        <v>275</v>
      </c>
      <c r="AI29" s="240">
        <f t="shared" si="12"/>
        <v>264</v>
      </c>
      <c r="AJ29" s="252">
        <f t="shared" si="13"/>
        <v>275</v>
      </c>
      <c r="AK29" s="253">
        <f t="shared" si="13"/>
        <v>264</v>
      </c>
    </row>
    <row r="30" spans="1:37" x14ac:dyDescent="0.25">
      <c r="A30" s="255">
        <v>5</v>
      </c>
      <c r="B30" s="414" t="s">
        <v>22</v>
      </c>
      <c r="C30" s="421">
        <v>174</v>
      </c>
      <c r="D30" s="247">
        <v>164</v>
      </c>
      <c r="E30" s="250">
        <v>10</v>
      </c>
      <c r="F30" s="283">
        <v>0</v>
      </c>
      <c r="G30" s="247">
        <v>0</v>
      </c>
      <c r="H30" s="247">
        <v>20</v>
      </c>
      <c r="I30" s="247">
        <v>20</v>
      </c>
      <c r="J30" s="247">
        <v>0</v>
      </c>
      <c r="K30" s="247">
        <v>0</v>
      </c>
      <c r="L30" s="247">
        <v>0</v>
      </c>
      <c r="M30" s="247">
        <f>'target-realisasi'!X12</f>
        <v>0</v>
      </c>
      <c r="N30" s="248">
        <v>10</v>
      </c>
      <c r="O30" s="247">
        <v>0</v>
      </c>
      <c r="P30" s="247">
        <v>0</v>
      </c>
      <c r="Q30" s="250">
        <v>0</v>
      </c>
      <c r="R30" s="249">
        <f t="shared" si="7"/>
        <v>30</v>
      </c>
      <c r="S30" s="247">
        <f t="shared" si="7"/>
        <v>20</v>
      </c>
      <c r="T30" s="282">
        <f t="shared" si="8"/>
        <v>10</v>
      </c>
      <c r="U30" s="432">
        <f t="shared" si="9"/>
        <v>194</v>
      </c>
      <c r="V30" s="433">
        <f t="shared" si="10"/>
        <v>184</v>
      </c>
      <c r="W30" s="288">
        <f t="shared" si="14"/>
        <v>10</v>
      </c>
      <c r="X30">
        <v>194</v>
      </c>
      <c r="Y30" s="247">
        <v>20</v>
      </c>
      <c r="Z30" s="247">
        <v>0</v>
      </c>
      <c r="AA30" s="247">
        <v>0</v>
      </c>
      <c r="AB30" s="247">
        <v>0</v>
      </c>
      <c r="AC30" s="247">
        <f>'padi sawah'!I31</f>
        <v>0</v>
      </c>
      <c r="AD30" s="247">
        <v>10</v>
      </c>
      <c r="AE30" s="247">
        <f>'padi sawah'!J31</f>
        <v>0</v>
      </c>
      <c r="AF30" s="247">
        <v>0</v>
      </c>
      <c r="AG30" s="248">
        <f>'padi sawah'!K31</f>
        <v>0</v>
      </c>
      <c r="AH30" s="239">
        <f t="shared" si="11"/>
        <v>214</v>
      </c>
      <c r="AI30" s="240">
        <f t="shared" si="12"/>
        <v>214</v>
      </c>
      <c r="AJ30" s="252">
        <f t="shared" si="13"/>
        <v>214</v>
      </c>
      <c r="AK30" s="253">
        <f t="shared" si="13"/>
        <v>214</v>
      </c>
    </row>
    <row r="31" spans="1:37" x14ac:dyDescent="0.25">
      <c r="A31" s="255">
        <v>6</v>
      </c>
      <c r="B31" s="414" t="s">
        <v>23</v>
      </c>
      <c r="C31" s="421">
        <v>58</v>
      </c>
      <c r="D31" s="247">
        <v>66</v>
      </c>
      <c r="E31" s="250">
        <v>-8</v>
      </c>
      <c r="F31" s="283">
        <v>35</v>
      </c>
      <c r="G31" s="247">
        <v>0</v>
      </c>
      <c r="H31" s="247">
        <v>0</v>
      </c>
      <c r="I31" s="247">
        <v>10</v>
      </c>
      <c r="J31" s="247">
        <v>0</v>
      </c>
      <c r="K31" s="247">
        <v>25</v>
      </c>
      <c r="L31" s="247">
        <v>0</v>
      </c>
      <c r="M31" s="247">
        <f>'target-realisasi'!X13</f>
        <v>0</v>
      </c>
      <c r="N31" s="248">
        <v>0</v>
      </c>
      <c r="O31" s="247">
        <v>0</v>
      </c>
      <c r="P31" s="247">
        <v>0</v>
      </c>
      <c r="Q31" s="250">
        <v>0</v>
      </c>
      <c r="R31" s="249">
        <f t="shared" si="7"/>
        <v>35</v>
      </c>
      <c r="S31" s="247">
        <f t="shared" si="7"/>
        <v>35</v>
      </c>
      <c r="T31" s="282">
        <f t="shared" si="8"/>
        <v>0</v>
      </c>
      <c r="U31" s="432">
        <f t="shared" si="9"/>
        <v>101</v>
      </c>
      <c r="V31" s="433">
        <f t="shared" si="10"/>
        <v>101</v>
      </c>
      <c r="W31" s="288">
        <f t="shared" si="14"/>
        <v>0</v>
      </c>
      <c r="X31">
        <v>101</v>
      </c>
      <c r="Y31" s="247">
        <v>10</v>
      </c>
      <c r="Z31" s="247">
        <v>0</v>
      </c>
      <c r="AA31" s="247">
        <v>25</v>
      </c>
      <c r="AB31" s="247">
        <v>0</v>
      </c>
      <c r="AC31" s="247">
        <f>'padi sawah'!I32</f>
        <v>0</v>
      </c>
      <c r="AD31" s="247">
        <v>0</v>
      </c>
      <c r="AE31" s="247">
        <f>'padi sawah'!J32</f>
        <v>0</v>
      </c>
      <c r="AF31" s="247">
        <v>0</v>
      </c>
      <c r="AG31" s="248">
        <f>'padi sawah'!K32</f>
        <v>0</v>
      </c>
      <c r="AH31" s="239">
        <f t="shared" si="11"/>
        <v>136</v>
      </c>
      <c r="AI31" s="240">
        <f t="shared" si="12"/>
        <v>136</v>
      </c>
      <c r="AJ31" s="252">
        <f t="shared" si="13"/>
        <v>136</v>
      </c>
      <c r="AK31" s="253">
        <f t="shared" si="13"/>
        <v>136</v>
      </c>
    </row>
    <row r="32" spans="1:37" x14ac:dyDescent="0.25">
      <c r="A32" s="255">
        <v>7</v>
      </c>
      <c r="B32" s="414" t="s">
        <v>24</v>
      </c>
      <c r="C32" s="421">
        <v>367</v>
      </c>
      <c r="D32" s="247">
        <v>348</v>
      </c>
      <c r="E32" s="250">
        <v>19</v>
      </c>
      <c r="F32" s="283">
        <v>103</v>
      </c>
      <c r="G32" s="247">
        <v>1</v>
      </c>
      <c r="H32" s="247">
        <v>104</v>
      </c>
      <c r="I32" s="247">
        <v>48</v>
      </c>
      <c r="J32" s="247">
        <v>0</v>
      </c>
      <c r="K32" s="247">
        <v>189</v>
      </c>
      <c r="L32" s="247">
        <v>0</v>
      </c>
      <c r="M32" s="247">
        <f>'target-realisasi'!X14</f>
        <v>12</v>
      </c>
      <c r="N32" s="248">
        <v>0</v>
      </c>
      <c r="O32" s="247">
        <v>0</v>
      </c>
      <c r="P32" s="247">
        <v>0</v>
      </c>
      <c r="Q32" s="250">
        <v>0</v>
      </c>
      <c r="R32" s="249">
        <f t="shared" si="7"/>
        <v>207</v>
      </c>
      <c r="S32" s="247">
        <f t="shared" si="7"/>
        <v>250</v>
      </c>
      <c r="T32" s="282">
        <f t="shared" si="8"/>
        <v>-43</v>
      </c>
      <c r="U32" s="432">
        <f t="shared" si="9"/>
        <v>555</v>
      </c>
      <c r="V32" s="433">
        <f t="shared" si="10"/>
        <v>598</v>
      </c>
      <c r="W32" s="288">
        <f t="shared" si="14"/>
        <v>-43</v>
      </c>
      <c r="X32">
        <v>555</v>
      </c>
      <c r="Y32" s="247">
        <v>48</v>
      </c>
      <c r="Z32" s="247">
        <v>0</v>
      </c>
      <c r="AA32" s="247">
        <v>171</v>
      </c>
      <c r="AB32" s="247">
        <v>0</v>
      </c>
      <c r="AC32" s="247">
        <f>'padi sawah'!I33</f>
        <v>0</v>
      </c>
      <c r="AD32" s="247">
        <v>0</v>
      </c>
      <c r="AE32" s="247">
        <f>'padi sawah'!J33</f>
        <v>0</v>
      </c>
      <c r="AF32" s="247">
        <v>0</v>
      </c>
      <c r="AG32" s="248">
        <f>'padi sawah'!K33</f>
        <v>0</v>
      </c>
      <c r="AH32" s="239">
        <f t="shared" si="11"/>
        <v>848</v>
      </c>
      <c r="AI32" s="240">
        <f t="shared" si="12"/>
        <v>774</v>
      </c>
      <c r="AJ32" s="252">
        <f t="shared" si="13"/>
        <v>848</v>
      </c>
      <c r="AK32" s="253">
        <f t="shared" si="13"/>
        <v>774</v>
      </c>
    </row>
    <row r="33" spans="1:37" ht="15.75" thickBot="1" x14ac:dyDescent="0.3">
      <c r="A33" s="260">
        <v>8</v>
      </c>
      <c r="B33" s="413" t="s">
        <v>25</v>
      </c>
      <c r="C33" s="422">
        <v>296</v>
      </c>
      <c r="D33" s="263">
        <v>259</v>
      </c>
      <c r="E33" s="266">
        <v>37</v>
      </c>
      <c r="F33" s="415">
        <v>25</v>
      </c>
      <c r="G33" s="263">
        <v>26</v>
      </c>
      <c r="H33" s="263">
        <v>142</v>
      </c>
      <c r="I33" s="262">
        <v>66</v>
      </c>
      <c r="J33" s="263">
        <v>41</v>
      </c>
      <c r="K33" s="263">
        <v>101</v>
      </c>
      <c r="L33" s="263">
        <v>0</v>
      </c>
      <c r="M33" s="263">
        <f>'target-realisasi'!X15</f>
        <v>0</v>
      </c>
      <c r="N33" s="264">
        <v>0</v>
      </c>
      <c r="O33" s="409">
        <v>0</v>
      </c>
      <c r="P33" s="409">
        <v>5</v>
      </c>
      <c r="Q33" s="410">
        <v>0</v>
      </c>
      <c r="R33" s="434">
        <f t="shared" si="7"/>
        <v>213</v>
      </c>
      <c r="S33" s="435">
        <f t="shared" si="7"/>
        <v>193</v>
      </c>
      <c r="T33" s="436">
        <f t="shared" si="8"/>
        <v>20</v>
      </c>
      <c r="U33" s="437">
        <f t="shared" si="9"/>
        <v>472</v>
      </c>
      <c r="V33" s="438">
        <f t="shared" si="10"/>
        <v>452</v>
      </c>
      <c r="W33" s="439">
        <f t="shared" si="14"/>
        <v>20</v>
      </c>
      <c r="X33">
        <v>472</v>
      </c>
      <c r="Y33" s="263">
        <v>66</v>
      </c>
      <c r="Z33" s="263">
        <v>41</v>
      </c>
      <c r="AA33" s="263">
        <v>6</v>
      </c>
      <c r="AB33" s="263">
        <v>0</v>
      </c>
      <c r="AC33" s="263">
        <f>'padi sawah'!I34</f>
        <v>0</v>
      </c>
      <c r="AD33" s="263">
        <v>0</v>
      </c>
      <c r="AE33" s="263">
        <f>'padi sawah'!J34</f>
        <v>0</v>
      </c>
      <c r="AF33" s="263">
        <v>5</v>
      </c>
      <c r="AG33" s="264">
        <f>'padi sawah'!K34</f>
        <v>0</v>
      </c>
      <c r="AH33" s="239">
        <f t="shared" si="11"/>
        <v>691</v>
      </c>
      <c r="AI33" s="240">
        <f t="shared" si="12"/>
        <v>544</v>
      </c>
      <c r="AJ33" s="268">
        <f t="shared" si="13"/>
        <v>691</v>
      </c>
      <c r="AK33" s="269">
        <f t="shared" si="13"/>
        <v>549</v>
      </c>
    </row>
    <row r="34" spans="1:37" ht="16.5" thickTop="1" thickBot="1" x14ac:dyDescent="0.3">
      <c r="A34" s="545" t="s">
        <v>26</v>
      </c>
      <c r="B34" s="558"/>
      <c r="C34" s="272">
        <f t="shared" ref="C34:P34" si="15">SUM(C26:C33)</f>
        <v>1695</v>
      </c>
      <c r="D34" s="270">
        <f t="shared" si="15"/>
        <v>1454</v>
      </c>
      <c r="E34" s="273">
        <f t="shared" si="15"/>
        <v>241</v>
      </c>
      <c r="F34" s="416">
        <f t="shared" si="15"/>
        <v>178</v>
      </c>
      <c r="G34" s="270">
        <f t="shared" si="15"/>
        <v>32</v>
      </c>
      <c r="H34" s="270">
        <f t="shared" si="15"/>
        <v>332</v>
      </c>
      <c r="I34" s="270">
        <f t="shared" si="15"/>
        <v>191</v>
      </c>
      <c r="J34" s="270">
        <f t="shared" si="15"/>
        <v>204</v>
      </c>
      <c r="K34" s="270">
        <f>SUM(K26:K33)</f>
        <v>406</v>
      </c>
      <c r="L34" s="270">
        <f t="shared" si="15"/>
        <v>0</v>
      </c>
      <c r="M34" s="270">
        <f t="shared" si="15"/>
        <v>44</v>
      </c>
      <c r="N34" s="271">
        <f t="shared" si="15"/>
        <v>25</v>
      </c>
      <c r="O34" s="270">
        <f t="shared" si="15"/>
        <v>0</v>
      </c>
      <c r="P34" s="270">
        <f t="shared" si="15"/>
        <v>30</v>
      </c>
      <c r="Q34" s="389"/>
      <c r="R34" s="429">
        <f t="shared" ref="R34:W34" si="16">SUM(R26:R33)</f>
        <v>769</v>
      </c>
      <c r="S34" s="430">
        <f t="shared" si="16"/>
        <v>673</v>
      </c>
      <c r="T34" s="431">
        <f t="shared" si="16"/>
        <v>96</v>
      </c>
      <c r="U34" s="429">
        <f t="shared" si="16"/>
        <v>2223</v>
      </c>
      <c r="V34" s="430">
        <f t="shared" si="16"/>
        <v>2127</v>
      </c>
      <c r="W34" s="424">
        <f t="shared" si="16"/>
        <v>96</v>
      </c>
      <c r="Y34" s="275">
        <f t="shared" ref="Y34:AI34" si="17">SUM(Y26:Y33)</f>
        <v>191</v>
      </c>
      <c r="Z34" s="275">
        <f t="shared" si="17"/>
        <v>204</v>
      </c>
      <c r="AA34" s="275">
        <f t="shared" si="17"/>
        <v>228</v>
      </c>
      <c r="AB34" s="275">
        <f t="shared" si="17"/>
        <v>0</v>
      </c>
      <c r="AC34" s="275">
        <f t="shared" si="17"/>
        <v>0</v>
      </c>
      <c r="AD34" s="275">
        <f t="shared" si="17"/>
        <v>25</v>
      </c>
      <c r="AE34" s="275">
        <f t="shared" si="17"/>
        <v>0</v>
      </c>
      <c r="AF34" s="275">
        <f t="shared" si="17"/>
        <v>30</v>
      </c>
      <c r="AG34" s="276">
        <f t="shared" si="17"/>
        <v>0</v>
      </c>
      <c r="AH34" s="277">
        <f t="shared" si="17"/>
        <v>3059</v>
      </c>
      <c r="AI34" s="278">
        <f t="shared" si="17"/>
        <v>2642</v>
      </c>
      <c r="AJ34" s="277">
        <f>SUM(O34,AH34)</f>
        <v>3059</v>
      </c>
      <c r="AK34" s="279">
        <f>SUM(AK26:AK33)</f>
        <v>2672</v>
      </c>
    </row>
    <row r="35" spans="1:37" x14ac:dyDescent="0.25">
      <c r="A35" s="443"/>
      <c r="B35" s="443"/>
      <c r="C35" s="447"/>
      <c r="D35" s="447"/>
      <c r="E35" s="447"/>
      <c r="F35" s="447"/>
      <c r="G35" s="447"/>
      <c r="H35" s="447"/>
      <c r="I35" s="447"/>
      <c r="J35" s="447"/>
      <c r="K35" s="447"/>
      <c r="L35" s="447"/>
      <c r="M35" s="447"/>
      <c r="N35" s="447"/>
      <c r="O35" s="447"/>
      <c r="P35" s="447"/>
      <c r="Q35" s="447"/>
      <c r="R35" s="448"/>
      <c r="S35" s="448"/>
      <c r="T35" s="448"/>
      <c r="U35" s="448"/>
      <c r="V35" s="448"/>
      <c r="W35" s="448"/>
      <c r="Y35" s="448"/>
      <c r="Z35" s="448"/>
      <c r="AA35" s="448"/>
      <c r="AB35" s="448"/>
      <c r="AC35" s="448"/>
      <c r="AD35" s="448"/>
      <c r="AE35" s="448"/>
      <c r="AF35" s="448"/>
      <c r="AG35" s="448"/>
      <c r="AH35" s="448"/>
      <c r="AI35" s="448"/>
      <c r="AJ35" s="448"/>
      <c r="AK35" s="448"/>
    </row>
    <row r="36" spans="1:37" x14ac:dyDescent="0.25">
      <c r="A36" s="450" t="s">
        <v>146</v>
      </c>
      <c r="C36" s="447"/>
      <c r="D36" s="447"/>
      <c r="E36" s="447"/>
      <c r="F36" s="447"/>
      <c r="G36" s="447"/>
      <c r="H36" s="447"/>
      <c r="I36" s="447"/>
      <c r="J36" s="447"/>
      <c r="K36" s="447"/>
      <c r="L36" s="447"/>
      <c r="M36" s="447"/>
      <c r="N36" s="447"/>
      <c r="O36" s="447"/>
      <c r="P36" s="447"/>
      <c r="Q36" s="447"/>
      <c r="R36" s="448"/>
      <c r="S36" s="448"/>
      <c r="T36" s="448"/>
      <c r="U36" s="448"/>
      <c r="V36" s="448"/>
      <c r="W36" s="448"/>
      <c r="Y36" s="448"/>
      <c r="Z36" s="448"/>
      <c r="AA36" s="448"/>
      <c r="AB36" s="448"/>
      <c r="AC36" s="448"/>
      <c r="AD36" s="448"/>
      <c r="AE36" s="448"/>
      <c r="AF36" s="448"/>
      <c r="AG36" s="448"/>
      <c r="AH36" s="448"/>
      <c r="AI36" s="448"/>
      <c r="AJ36" s="448"/>
      <c r="AK36" s="448"/>
    </row>
    <row r="37" spans="1:37" x14ac:dyDescent="0.25">
      <c r="A37" s="450"/>
      <c r="C37" s="447"/>
      <c r="D37" s="447"/>
      <c r="E37" s="447"/>
      <c r="F37" s="447"/>
      <c r="G37" s="447"/>
      <c r="H37" s="447"/>
      <c r="I37" s="447"/>
      <c r="J37" s="447"/>
      <c r="K37" s="447"/>
      <c r="L37" s="447"/>
      <c r="M37" s="447"/>
      <c r="N37" s="447"/>
      <c r="O37" s="447"/>
      <c r="P37" s="447"/>
      <c r="Q37" s="447"/>
      <c r="R37" s="448"/>
      <c r="S37" s="448"/>
      <c r="T37" s="448"/>
      <c r="U37" s="448"/>
      <c r="V37" s="448"/>
      <c r="W37" s="448"/>
      <c r="Y37" s="448"/>
      <c r="Z37" s="448"/>
      <c r="AA37" s="448"/>
      <c r="AB37" s="448"/>
      <c r="AC37" s="448"/>
      <c r="AD37" s="448"/>
      <c r="AE37" s="448"/>
      <c r="AF37" s="448"/>
      <c r="AG37" s="448"/>
      <c r="AH37" s="448"/>
      <c r="AI37" s="448"/>
      <c r="AJ37" s="448"/>
      <c r="AK37" s="448"/>
    </row>
    <row r="38" spans="1:37" ht="15.75" x14ac:dyDescent="0.25">
      <c r="A38" s="384" t="s">
        <v>147</v>
      </c>
      <c r="B38" s="384"/>
      <c r="C38" s="384"/>
      <c r="D38" s="384"/>
      <c r="E38" s="384"/>
      <c r="F38" s="384"/>
      <c r="G38" s="384"/>
      <c r="H38" s="384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4"/>
      <c r="U38" s="384"/>
      <c r="V38" s="384"/>
      <c r="W38" s="384"/>
      <c r="Y38" s="448"/>
      <c r="Z38" s="448"/>
      <c r="AA38" s="448"/>
      <c r="AB38" s="448"/>
      <c r="AC38" s="448"/>
      <c r="AD38" s="448"/>
      <c r="AE38" s="448"/>
      <c r="AF38" s="448"/>
      <c r="AG38" s="448"/>
      <c r="AH38" s="448"/>
      <c r="AI38" s="448"/>
      <c r="AJ38" s="448"/>
      <c r="AK38" s="448"/>
    </row>
    <row r="39" spans="1:37" ht="15.75" x14ac:dyDescent="0.25">
      <c r="A39" s="384" t="s">
        <v>82</v>
      </c>
      <c r="B39" s="384"/>
      <c r="C39" s="384"/>
      <c r="D39" s="384"/>
      <c r="E39" s="384"/>
      <c r="F39" s="384"/>
      <c r="G39" s="384"/>
      <c r="H39" s="384"/>
      <c r="I39" s="384"/>
      <c r="J39" s="384"/>
      <c r="K39" s="384"/>
      <c r="L39" s="384"/>
      <c r="M39" s="384"/>
      <c r="N39" s="384"/>
      <c r="O39" s="384"/>
      <c r="P39" s="384"/>
      <c r="Q39" s="384"/>
      <c r="R39" s="384"/>
      <c r="S39" s="384"/>
      <c r="T39" s="384"/>
      <c r="U39" s="384"/>
      <c r="V39" s="384"/>
      <c r="W39" s="384"/>
      <c r="Y39" s="448"/>
      <c r="Z39" s="448"/>
      <c r="AA39" s="448"/>
      <c r="AB39" s="448"/>
      <c r="AC39" s="448"/>
      <c r="AD39" s="448"/>
      <c r="AE39" s="448"/>
      <c r="AF39" s="448"/>
      <c r="AG39" s="448"/>
      <c r="AH39" s="448"/>
      <c r="AI39" s="448"/>
      <c r="AJ39" s="448"/>
      <c r="AK39" s="448"/>
    </row>
    <row r="40" spans="1:37" ht="15.75" thickBot="1" x14ac:dyDescent="0.3">
      <c r="Y40" s="448"/>
      <c r="Z40" s="448"/>
      <c r="AA40" s="448"/>
      <c r="AB40" s="448"/>
      <c r="AC40" s="448"/>
      <c r="AD40" s="448"/>
      <c r="AE40" s="448"/>
      <c r="AF40" s="448"/>
      <c r="AG40" s="448"/>
      <c r="AH40" s="448"/>
      <c r="AI40" s="448"/>
      <c r="AJ40" s="448"/>
      <c r="AK40" s="448"/>
    </row>
    <row r="41" spans="1:37" x14ac:dyDescent="0.25">
      <c r="A41" s="541" t="s">
        <v>2</v>
      </c>
      <c r="B41" s="543" t="s">
        <v>3</v>
      </c>
      <c r="C41" s="559" t="s">
        <v>141</v>
      </c>
      <c r="D41" s="560"/>
      <c r="E41" s="561"/>
      <c r="F41" s="565" t="s">
        <v>142</v>
      </c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66"/>
      <c r="R41" s="567" t="s">
        <v>85</v>
      </c>
      <c r="S41" s="568"/>
      <c r="T41" s="569"/>
      <c r="U41" s="567" t="s">
        <v>5</v>
      </c>
      <c r="V41" s="568"/>
      <c r="W41" s="573"/>
      <c r="Y41" s="448"/>
      <c r="Z41" s="448"/>
      <c r="AA41" s="448"/>
      <c r="AB41" s="448"/>
      <c r="AC41" s="448"/>
      <c r="AD41" s="448"/>
      <c r="AE41" s="448"/>
      <c r="AF41" s="448"/>
      <c r="AG41" s="448"/>
      <c r="AH41" s="448"/>
      <c r="AI41" s="448"/>
      <c r="AJ41" s="448"/>
      <c r="AK41" s="448"/>
    </row>
    <row r="42" spans="1:37" x14ac:dyDescent="0.25">
      <c r="A42" s="542"/>
      <c r="B42" s="544"/>
      <c r="C42" s="562"/>
      <c r="D42" s="563"/>
      <c r="E42" s="564"/>
      <c r="F42" s="557" t="s">
        <v>79</v>
      </c>
      <c r="G42" s="534"/>
      <c r="H42" s="532" t="s">
        <v>10</v>
      </c>
      <c r="I42" s="534"/>
      <c r="J42" s="532" t="s">
        <v>11</v>
      </c>
      <c r="K42" s="534"/>
      <c r="L42" s="532" t="s">
        <v>12</v>
      </c>
      <c r="M42" s="534"/>
      <c r="N42" s="532" t="s">
        <v>80</v>
      </c>
      <c r="O42" s="534"/>
      <c r="P42" s="532" t="s">
        <v>81</v>
      </c>
      <c r="Q42" s="533"/>
      <c r="R42" s="570"/>
      <c r="S42" s="571"/>
      <c r="T42" s="572"/>
      <c r="U42" s="574"/>
      <c r="V42" s="575"/>
      <c r="W42" s="576"/>
      <c r="Y42" s="448"/>
      <c r="Z42" s="448"/>
      <c r="AA42" s="448"/>
      <c r="AB42" s="448"/>
      <c r="AC42" s="448"/>
      <c r="AD42" s="448"/>
      <c r="AE42" s="448"/>
      <c r="AF42" s="448"/>
      <c r="AG42" s="448"/>
      <c r="AH42" s="448"/>
      <c r="AI42" s="448"/>
      <c r="AJ42" s="448"/>
      <c r="AK42" s="448"/>
    </row>
    <row r="43" spans="1:37" x14ac:dyDescent="0.25">
      <c r="A43" s="542"/>
      <c r="B43" s="544"/>
      <c r="C43" s="226" t="s">
        <v>116</v>
      </c>
      <c r="D43" s="401" t="s">
        <v>117</v>
      </c>
      <c r="E43" s="396" t="s">
        <v>139</v>
      </c>
      <c r="F43" s="444" t="s">
        <v>116</v>
      </c>
      <c r="G43" s="400" t="s">
        <v>117</v>
      </c>
      <c r="H43" s="225" t="s">
        <v>116</v>
      </c>
      <c r="I43" s="400" t="s">
        <v>117</v>
      </c>
      <c r="J43" s="225" t="s">
        <v>116</v>
      </c>
      <c r="K43" s="400" t="s">
        <v>117</v>
      </c>
      <c r="L43" s="225" t="s">
        <v>116</v>
      </c>
      <c r="M43" s="400" t="s">
        <v>117</v>
      </c>
      <c r="N43" s="225" t="s">
        <v>116</v>
      </c>
      <c r="O43" s="400" t="s">
        <v>117</v>
      </c>
      <c r="P43" s="225" t="s">
        <v>116</v>
      </c>
      <c r="Q43" s="458" t="s">
        <v>117</v>
      </c>
      <c r="R43" s="444" t="s">
        <v>116</v>
      </c>
      <c r="S43" s="400" t="s">
        <v>117</v>
      </c>
      <c r="T43" s="391" t="s">
        <v>139</v>
      </c>
      <c r="U43" s="444" t="s">
        <v>116</v>
      </c>
      <c r="V43" s="400" t="s">
        <v>117</v>
      </c>
      <c r="W43" s="427" t="s">
        <v>139</v>
      </c>
      <c r="Y43" s="448"/>
      <c r="Z43" s="448"/>
      <c r="AA43" s="448"/>
      <c r="AB43" s="448"/>
      <c r="AC43" s="448"/>
      <c r="AD43" s="448"/>
      <c r="AE43" s="448"/>
      <c r="AF43" s="448"/>
      <c r="AG43" s="448"/>
      <c r="AH43" s="448"/>
      <c r="AI43" s="448"/>
      <c r="AJ43" s="448"/>
      <c r="AK43" s="448"/>
    </row>
    <row r="44" spans="1:37" ht="15.75" thickBot="1" x14ac:dyDescent="0.3">
      <c r="A44" s="228">
        <v>1</v>
      </c>
      <c r="B44" s="232">
        <v>2</v>
      </c>
      <c r="C44" s="292">
        <v>3</v>
      </c>
      <c r="D44" s="229">
        <v>4</v>
      </c>
      <c r="E44" s="232">
        <v>5</v>
      </c>
      <c r="F44" s="292">
        <v>6</v>
      </c>
      <c r="G44" s="229">
        <v>7</v>
      </c>
      <c r="H44" s="229">
        <v>8</v>
      </c>
      <c r="I44" s="229">
        <v>9</v>
      </c>
      <c r="J44" s="229">
        <v>10</v>
      </c>
      <c r="K44" s="229">
        <v>11</v>
      </c>
      <c r="L44" s="229">
        <v>12</v>
      </c>
      <c r="M44" s="230">
        <v>13</v>
      </c>
      <c r="N44" s="230">
        <v>14</v>
      </c>
      <c r="O44" s="229">
        <v>15</v>
      </c>
      <c r="P44" s="229">
        <v>16</v>
      </c>
      <c r="Q44" s="233">
        <v>17</v>
      </c>
      <c r="R44" s="231">
        <v>18</v>
      </c>
      <c r="S44" s="229">
        <v>19</v>
      </c>
      <c r="T44" s="308">
        <v>20</v>
      </c>
      <c r="U44" s="292">
        <v>21</v>
      </c>
      <c r="V44" s="229">
        <v>22</v>
      </c>
      <c r="W44" s="309">
        <v>23</v>
      </c>
      <c r="Y44" s="448"/>
      <c r="Z44" s="448"/>
      <c r="AA44" s="448"/>
      <c r="AB44" s="448"/>
      <c r="AC44" s="448"/>
      <c r="AD44" s="448"/>
      <c r="AE44" s="448"/>
      <c r="AF44" s="448"/>
      <c r="AG44" s="448"/>
      <c r="AH44" s="448"/>
      <c r="AI44" s="448"/>
      <c r="AJ44" s="448"/>
      <c r="AK44" s="448"/>
    </row>
    <row r="45" spans="1:37" ht="15.75" thickTop="1" x14ac:dyDescent="0.25">
      <c r="A45" s="234">
        <v>1</v>
      </c>
      <c r="B45" s="411" t="s">
        <v>18</v>
      </c>
      <c r="C45" s="417">
        <v>266</v>
      </c>
      <c r="D45" s="237">
        <v>244</v>
      </c>
      <c r="E45" s="300">
        <v>22</v>
      </c>
      <c r="F45" s="281">
        <v>0</v>
      </c>
      <c r="G45" s="237">
        <v>0</v>
      </c>
      <c r="H45" s="237">
        <v>3</v>
      </c>
      <c r="I45" s="237">
        <v>3</v>
      </c>
      <c r="J45" s="237">
        <v>37</v>
      </c>
      <c r="K45" s="237">
        <v>37</v>
      </c>
      <c r="L45" s="454">
        <v>15</v>
      </c>
      <c r="M45" s="454">
        <v>27</v>
      </c>
      <c r="N45" s="455">
        <v>10</v>
      </c>
      <c r="O45" s="456">
        <v>8</v>
      </c>
      <c r="P45" s="456">
        <v>0</v>
      </c>
      <c r="Q45" s="457">
        <v>0</v>
      </c>
      <c r="R45" s="265">
        <f t="shared" ref="R45:R51" si="18">SUM(F45,H45,J45,L45,N45,P45)</f>
        <v>65</v>
      </c>
      <c r="S45" s="263">
        <f t="shared" ref="S45:S52" si="19">SUM(G45,I45,K45,M45,O45,Q45)</f>
        <v>75</v>
      </c>
      <c r="T45" s="388">
        <f t="shared" ref="T45:T52" si="20">R45-S45</f>
        <v>-10</v>
      </c>
      <c r="U45" s="423">
        <f t="shared" ref="U45:U52" si="21">C45-E45+R45</f>
        <v>309</v>
      </c>
      <c r="V45" s="428">
        <f t="shared" ref="V45:V52" si="22">D45+S45</f>
        <v>319</v>
      </c>
      <c r="W45" s="311">
        <f>U45-V45</f>
        <v>-10</v>
      </c>
      <c r="Y45" s="448">
        <f>(H45-I45)+(J45-K45)</f>
        <v>0</v>
      </c>
      <c r="Z45" s="448"/>
      <c r="AA45" s="448">
        <v>45</v>
      </c>
      <c r="AB45" s="448"/>
      <c r="AC45" s="448"/>
      <c r="AD45" s="448"/>
      <c r="AE45" s="448"/>
      <c r="AF45" s="448"/>
      <c r="AG45" s="448"/>
      <c r="AH45" s="448"/>
      <c r="AI45" s="448"/>
      <c r="AJ45" s="448"/>
      <c r="AK45" s="448"/>
    </row>
    <row r="46" spans="1:37" x14ac:dyDescent="0.25">
      <c r="A46" s="244">
        <v>2</v>
      </c>
      <c r="B46" s="412" t="s">
        <v>19</v>
      </c>
      <c r="C46" s="418">
        <v>298</v>
      </c>
      <c r="D46" s="247">
        <v>145</v>
      </c>
      <c r="E46" s="250">
        <v>153</v>
      </c>
      <c r="F46" s="247">
        <v>5</v>
      </c>
      <c r="G46" s="247">
        <v>5</v>
      </c>
      <c r="H46" s="247">
        <v>13</v>
      </c>
      <c r="I46" s="247">
        <v>13</v>
      </c>
      <c r="J46" s="247">
        <v>38</v>
      </c>
      <c r="K46" s="247">
        <v>38</v>
      </c>
      <c r="L46" s="451">
        <v>15</v>
      </c>
      <c r="M46" s="451">
        <v>37</v>
      </c>
      <c r="N46" s="452">
        <v>10</v>
      </c>
      <c r="O46" s="451">
        <v>31</v>
      </c>
      <c r="P46" s="451">
        <v>0</v>
      </c>
      <c r="Q46" s="453">
        <v>11</v>
      </c>
      <c r="R46" s="249">
        <f t="shared" si="18"/>
        <v>81</v>
      </c>
      <c r="S46" s="247">
        <f t="shared" si="19"/>
        <v>135</v>
      </c>
      <c r="T46" s="282">
        <f t="shared" si="20"/>
        <v>-54</v>
      </c>
      <c r="U46" s="432">
        <f t="shared" si="21"/>
        <v>226</v>
      </c>
      <c r="V46" s="433">
        <f t="shared" si="22"/>
        <v>280</v>
      </c>
      <c r="W46" s="288">
        <f t="shared" ref="W46:W52" si="23">U46-V46</f>
        <v>-54</v>
      </c>
      <c r="Y46" s="448">
        <f>(F46-G46)+(H46-I46)+(J46-K46)</f>
        <v>0</v>
      </c>
      <c r="Z46" s="448"/>
      <c r="AA46" s="448">
        <v>38</v>
      </c>
      <c r="AB46" s="448">
        <v>44</v>
      </c>
      <c r="AC46" s="448"/>
      <c r="AD46" s="448"/>
      <c r="AE46" s="448"/>
      <c r="AF46" s="448"/>
      <c r="AG46" s="448"/>
      <c r="AH46" s="448"/>
      <c r="AI46" s="448"/>
      <c r="AJ46" s="448"/>
      <c r="AK46" s="448"/>
    </row>
    <row r="47" spans="1:37" x14ac:dyDescent="0.25">
      <c r="A47" s="244">
        <v>3</v>
      </c>
      <c r="B47" s="411" t="s">
        <v>20</v>
      </c>
      <c r="C47" s="419">
        <v>24</v>
      </c>
      <c r="D47" s="247">
        <v>25</v>
      </c>
      <c r="E47" s="250">
        <v>-1</v>
      </c>
      <c r="F47" s="247">
        <v>0</v>
      </c>
      <c r="G47" s="247">
        <v>0</v>
      </c>
      <c r="H47" s="247">
        <v>10</v>
      </c>
      <c r="I47" s="247">
        <v>10</v>
      </c>
      <c r="J47" s="247">
        <v>5</v>
      </c>
      <c r="K47" s="247">
        <v>5</v>
      </c>
      <c r="L47" s="451">
        <v>0</v>
      </c>
      <c r="M47" s="451">
        <v>0</v>
      </c>
      <c r="N47" s="452">
        <v>0</v>
      </c>
      <c r="O47" s="451">
        <v>0</v>
      </c>
      <c r="P47" s="451">
        <v>0</v>
      </c>
      <c r="Q47" s="453">
        <v>5</v>
      </c>
      <c r="R47" s="249">
        <f t="shared" si="18"/>
        <v>15</v>
      </c>
      <c r="S47" s="247">
        <f t="shared" si="19"/>
        <v>20</v>
      </c>
      <c r="T47" s="282">
        <f t="shared" si="20"/>
        <v>-5</v>
      </c>
      <c r="U47" s="432">
        <f t="shared" si="21"/>
        <v>40</v>
      </c>
      <c r="V47" s="433">
        <f t="shared" si="22"/>
        <v>45</v>
      </c>
      <c r="W47" s="288">
        <f t="shared" si="23"/>
        <v>-5</v>
      </c>
      <c r="Y47" s="448">
        <f>(H47-I47)+(J47-K47)</f>
        <v>0</v>
      </c>
      <c r="Z47" s="448"/>
      <c r="AA47" s="448">
        <v>10</v>
      </c>
      <c r="AB47" s="448"/>
      <c r="AC47" s="448"/>
      <c r="AD47" s="448"/>
      <c r="AE47" s="448"/>
      <c r="AF47" s="448"/>
      <c r="AG47" s="448"/>
      <c r="AH47" s="448"/>
      <c r="AI47" s="448"/>
      <c r="AJ47" s="448"/>
      <c r="AK47" s="448"/>
    </row>
    <row r="48" spans="1:37" x14ac:dyDescent="0.25">
      <c r="A48" s="255">
        <v>4</v>
      </c>
      <c r="B48" s="413" t="s">
        <v>21</v>
      </c>
      <c r="C48" s="420">
        <v>212</v>
      </c>
      <c r="D48" s="247">
        <v>203</v>
      </c>
      <c r="E48" s="250">
        <v>9</v>
      </c>
      <c r="F48" s="247">
        <v>0</v>
      </c>
      <c r="G48" s="247">
        <v>0</v>
      </c>
      <c r="H48" s="247">
        <v>21</v>
      </c>
      <c r="I48" s="247">
        <v>21</v>
      </c>
      <c r="J48" s="247">
        <v>11</v>
      </c>
      <c r="K48" s="247">
        <v>11</v>
      </c>
      <c r="L48" s="451">
        <v>2</v>
      </c>
      <c r="M48" s="451">
        <v>2</v>
      </c>
      <c r="N48" s="452">
        <v>6</v>
      </c>
      <c r="O48" s="451">
        <v>1</v>
      </c>
      <c r="P48" s="451">
        <v>0</v>
      </c>
      <c r="Q48" s="453">
        <v>5</v>
      </c>
      <c r="R48" s="249">
        <f t="shared" si="18"/>
        <v>40</v>
      </c>
      <c r="S48" s="247">
        <f t="shared" si="19"/>
        <v>40</v>
      </c>
      <c r="T48" s="282">
        <f t="shared" si="20"/>
        <v>0</v>
      </c>
      <c r="U48" s="432">
        <f t="shared" si="21"/>
        <v>243</v>
      </c>
      <c r="V48" s="433">
        <f t="shared" si="22"/>
        <v>243</v>
      </c>
      <c r="W48" s="288">
        <f t="shared" si="23"/>
        <v>0</v>
      </c>
      <c r="Y48" s="448">
        <f>(F48-G48)+(H48-I48)+(J48-K48)</f>
        <v>0</v>
      </c>
      <c r="Z48" s="448"/>
      <c r="AA48" s="448">
        <v>8</v>
      </c>
      <c r="AB48" s="448"/>
      <c r="AC48" s="448"/>
      <c r="AD48" s="448"/>
      <c r="AE48" s="448"/>
      <c r="AF48" s="448"/>
      <c r="AG48" s="448"/>
      <c r="AH48" s="448"/>
      <c r="AI48" s="448"/>
      <c r="AJ48" s="448"/>
      <c r="AK48" s="448"/>
    </row>
    <row r="49" spans="1:37" x14ac:dyDescent="0.25">
      <c r="A49" s="255">
        <v>5</v>
      </c>
      <c r="B49" s="414" t="s">
        <v>22</v>
      </c>
      <c r="C49" s="421">
        <v>174</v>
      </c>
      <c r="D49" s="247">
        <v>164</v>
      </c>
      <c r="E49" s="250">
        <v>10</v>
      </c>
      <c r="F49" s="247">
        <v>0</v>
      </c>
      <c r="G49" s="247">
        <v>0</v>
      </c>
      <c r="H49" s="247">
        <v>20</v>
      </c>
      <c r="I49" s="247">
        <v>20</v>
      </c>
      <c r="J49" s="247">
        <v>0</v>
      </c>
      <c r="K49" s="247">
        <v>0</v>
      </c>
      <c r="L49" s="451">
        <v>0</v>
      </c>
      <c r="M49" s="451">
        <v>0</v>
      </c>
      <c r="N49" s="452">
        <v>10</v>
      </c>
      <c r="O49" s="451">
        <v>0</v>
      </c>
      <c r="P49" s="451">
        <v>0</v>
      </c>
      <c r="Q49" s="453">
        <v>10</v>
      </c>
      <c r="R49" s="249">
        <f t="shared" si="18"/>
        <v>30</v>
      </c>
      <c r="S49" s="247">
        <f t="shared" si="19"/>
        <v>30</v>
      </c>
      <c r="T49" s="282">
        <f t="shared" si="20"/>
        <v>0</v>
      </c>
      <c r="U49" s="432">
        <f t="shared" si="21"/>
        <v>194</v>
      </c>
      <c r="V49" s="433">
        <f t="shared" si="22"/>
        <v>194</v>
      </c>
      <c r="W49" s="288">
        <f t="shared" si="23"/>
        <v>0</v>
      </c>
      <c r="Y49" s="448">
        <f>(H49-I49)+(J49-K49)</f>
        <v>0</v>
      </c>
      <c r="Z49" s="448"/>
      <c r="AA49" s="448">
        <v>0</v>
      </c>
      <c r="AB49" s="448"/>
      <c r="AC49" s="448"/>
      <c r="AD49" s="448"/>
      <c r="AE49" s="448"/>
      <c r="AF49" s="448"/>
      <c r="AG49" s="448"/>
      <c r="AH49" s="448"/>
      <c r="AI49" s="448"/>
      <c r="AJ49" s="448"/>
      <c r="AK49" s="448"/>
    </row>
    <row r="50" spans="1:37" x14ac:dyDescent="0.25">
      <c r="A50" s="255">
        <v>6</v>
      </c>
      <c r="B50" s="414" t="s">
        <v>23</v>
      </c>
      <c r="C50" s="421">
        <v>58</v>
      </c>
      <c r="D50" s="247">
        <v>66</v>
      </c>
      <c r="E50" s="250">
        <v>-8</v>
      </c>
      <c r="F50" s="247">
        <v>0</v>
      </c>
      <c r="G50" s="247">
        <v>0</v>
      </c>
      <c r="H50" s="247">
        <v>10</v>
      </c>
      <c r="I50" s="247">
        <v>10</v>
      </c>
      <c r="J50" s="247">
        <v>25</v>
      </c>
      <c r="K50" s="247">
        <v>25</v>
      </c>
      <c r="L50" s="451">
        <v>5</v>
      </c>
      <c r="M50" s="451">
        <v>6</v>
      </c>
      <c r="N50" s="248">
        <v>0</v>
      </c>
      <c r="O50" s="451">
        <v>0</v>
      </c>
      <c r="P50" s="451">
        <v>0</v>
      </c>
      <c r="Q50" s="453">
        <v>0</v>
      </c>
      <c r="R50" s="249">
        <f t="shared" si="18"/>
        <v>40</v>
      </c>
      <c r="S50" s="247">
        <f t="shared" si="19"/>
        <v>41</v>
      </c>
      <c r="T50" s="282">
        <f t="shared" si="20"/>
        <v>-1</v>
      </c>
      <c r="U50" s="432">
        <f t="shared" si="21"/>
        <v>106</v>
      </c>
      <c r="V50" s="433">
        <f t="shared" si="22"/>
        <v>107</v>
      </c>
      <c r="W50" s="288">
        <f t="shared" si="23"/>
        <v>-1</v>
      </c>
      <c r="Y50" s="448">
        <f>(F50-G50)+(H50-I50)+(J50-K50)</f>
        <v>0</v>
      </c>
      <c r="Z50" s="448"/>
      <c r="AA50" s="448">
        <v>0</v>
      </c>
      <c r="AB50" s="448"/>
      <c r="AC50" s="448"/>
      <c r="AD50" s="448"/>
      <c r="AE50" s="448"/>
      <c r="AF50" s="448"/>
      <c r="AG50" s="448"/>
      <c r="AH50" s="448"/>
      <c r="AI50" s="448"/>
      <c r="AJ50" s="448"/>
      <c r="AK50" s="448"/>
    </row>
    <row r="51" spans="1:37" x14ac:dyDescent="0.25">
      <c r="A51" s="255">
        <v>7</v>
      </c>
      <c r="B51" s="414" t="s">
        <v>24</v>
      </c>
      <c r="C51" s="421">
        <v>367</v>
      </c>
      <c r="D51" s="247">
        <v>348</v>
      </c>
      <c r="E51" s="250">
        <v>19</v>
      </c>
      <c r="F51" s="247">
        <v>1</v>
      </c>
      <c r="G51" s="247">
        <v>1</v>
      </c>
      <c r="H51" s="247">
        <v>48</v>
      </c>
      <c r="I51" s="247">
        <v>48</v>
      </c>
      <c r="J51" s="247">
        <v>189</v>
      </c>
      <c r="K51" s="247">
        <v>189</v>
      </c>
      <c r="L51" s="247">
        <v>12</v>
      </c>
      <c r="M51" s="247">
        <v>27</v>
      </c>
      <c r="N51" s="248">
        <v>0</v>
      </c>
      <c r="O51" s="247">
        <v>3</v>
      </c>
      <c r="P51" s="247">
        <v>0</v>
      </c>
      <c r="Q51" s="250">
        <v>1</v>
      </c>
      <c r="R51" s="249">
        <f t="shared" si="18"/>
        <v>250</v>
      </c>
      <c r="S51" s="247">
        <f t="shared" si="19"/>
        <v>269</v>
      </c>
      <c r="T51" s="282">
        <f t="shared" si="20"/>
        <v>-19</v>
      </c>
      <c r="U51" s="432">
        <f t="shared" si="21"/>
        <v>598</v>
      </c>
      <c r="V51" s="433">
        <f t="shared" si="22"/>
        <v>617</v>
      </c>
      <c r="W51" s="288">
        <f t="shared" si="23"/>
        <v>-19</v>
      </c>
      <c r="Y51" s="448">
        <f>(F51-G51)+(H51-I51)+(J51-K51)</f>
        <v>0</v>
      </c>
      <c r="Z51" s="448"/>
      <c r="AA51" s="448">
        <v>-31</v>
      </c>
      <c r="AB51" s="448"/>
      <c r="AC51" s="448"/>
      <c r="AD51" s="448"/>
      <c r="AE51" s="448"/>
      <c r="AF51" s="448"/>
      <c r="AG51" s="448"/>
      <c r="AH51" s="448"/>
      <c r="AI51" s="448"/>
      <c r="AJ51" s="448"/>
      <c r="AK51" s="448"/>
    </row>
    <row r="52" spans="1:37" ht="15.75" thickBot="1" x14ac:dyDescent="0.3">
      <c r="A52" s="260">
        <v>8</v>
      </c>
      <c r="B52" s="413" t="s">
        <v>25</v>
      </c>
      <c r="C52" s="422">
        <v>296</v>
      </c>
      <c r="D52" s="263">
        <v>259</v>
      </c>
      <c r="E52" s="266">
        <v>37</v>
      </c>
      <c r="F52" s="263">
        <v>26</v>
      </c>
      <c r="G52" s="263">
        <v>26</v>
      </c>
      <c r="H52" s="262">
        <v>66</v>
      </c>
      <c r="I52" s="262">
        <v>66</v>
      </c>
      <c r="J52" s="263">
        <v>101</v>
      </c>
      <c r="K52" s="263">
        <v>101</v>
      </c>
      <c r="L52" s="263">
        <v>0</v>
      </c>
      <c r="M52" s="263">
        <v>0</v>
      </c>
      <c r="N52" s="264">
        <v>37</v>
      </c>
      <c r="O52" s="409">
        <v>48</v>
      </c>
      <c r="P52" s="409">
        <v>18</v>
      </c>
      <c r="Q52" s="410">
        <v>27</v>
      </c>
      <c r="R52" s="434">
        <f>SUM(F52,H52,J52,L52,N52,P52)</f>
        <v>248</v>
      </c>
      <c r="S52" s="435">
        <f t="shared" si="19"/>
        <v>268</v>
      </c>
      <c r="T52" s="436">
        <f t="shared" si="20"/>
        <v>-20</v>
      </c>
      <c r="U52" s="437">
        <f t="shared" si="21"/>
        <v>507</v>
      </c>
      <c r="V52" s="438">
        <f t="shared" si="22"/>
        <v>527</v>
      </c>
      <c r="W52" s="439">
        <f t="shared" si="23"/>
        <v>-20</v>
      </c>
      <c r="Y52" s="448">
        <f>(F52-G52)+(H52-I52)+(J52-K52)</f>
        <v>0</v>
      </c>
      <c r="Z52" s="448"/>
      <c r="AA52" s="448">
        <v>15</v>
      </c>
      <c r="AB52" s="448">
        <v>69</v>
      </c>
      <c r="AC52" s="448"/>
      <c r="AD52" s="448"/>
      <c r="AE52" s="448"/>
      <c r="AF52" s="448"/>
      <c r="AG52" s="448"/>
      <c r="AH52" s="448"/>
      <c r="AI52" s="448"/>
      <c r="AJ52" s="448"/>
      <c r="AK52" s="448"/>
    </row>
    <row r="53" spans="1:37" ht="16.5" thickTop="1" thickBot="1" x14ac:dyDescent="0.3">
      <c r="A53" s="545" t="s">
        <v>26</v>
      </c>
      <c r="B53" s="558"/>
      <c r="C53" s="272">
        <f t="shared" ref="C53:J53" si="24">SUM(C45:C52)</f>
        <v>1695</v>
      </c>
      <c r="D53" s="270">
        <f t="shared" si="24"/>
        <v>1454</v>
      </c>
      <c r="E53" s="273">
        <f t="shared" si="24"/>
        <v>241</v>
      </c>
      <c r="F53" s="416">
        <f t="shared" si="24"/>
        <v>32</v>
      </c>
      <c r="G53" s="270">
        <f t="shared" si="24"/>
        <v>32</v>
      </c>
      <c r="H53" s="270">
        <f t="shared" si="24"/>
        <v>191</v>
      </c>
      <c r="I53" s="270">
        <f t="shared" si="24"/>
        <v>191</v>
      </c>
      <c r="J53" s="270">
        <f t="shared" si="24"/>
        <v>406</v>
      </c>
      <c r="K53" s="270">
        <f t="shared" ref="K53:P53" si="25">SUM(K45:K52)</f>
        <v>406</v>
      </c>
      <c r="L53" s="270">
        <f t="shared" si="25"/>
        <v>49</v>
      </c>
      <c r="M53" s="270">
        <f t="shared" si="25"/>
        <v>99</v>
      </c>
      <c r="N53" s="271">
        <f t="shared" si="25"/>
        <v>73</v>
      </c>
      <c r="O53" s="270">
        <f t="shared" si="25"/>
        <v>91</v>
      </c>
      <c r="P53" s="270">
        <f t="shared" si="25"/>
        <v>18</v>
      </c>
      <c r="Q53" s="389"/>
      <c r="R53" s="429">
        <f t="shared" ref="R53:W53" si="26">SUM(R45:R52)</f>
        <v>769</v>
      </c>
      <c r="S53" s="430">
        <f t="shared" si="26"/>
        <v>878</v>
      </c>
      <c r="T53" s="431">
        <f t="shared" si="26"/>
        <v>-109</v>
      </c>
      <c r="U53" s="429">
        <f t="shared" si="26"/>
        <v>2223</v>
      </c>
      <c r="V53" s="430">
        <f t="shared" si="26"/>
        <v>2332</v>
      </c>
      <c r="W53" s="424">
        <f t="shared" si="26"/>
        <v>-109</v>
      </c>
      <c r="Y53" s="448"/>
      <c r="Z53" s="448"/>
      <c r="AA53" s="448"/>
      <c r="AB53" s="448"/>
      <c r="AC53" s="448"/>
      <c r="AD53" s="448"/>
      <c r="AE53" s="448"/>
      <c r="AF53" s="448"/>
      <c r="AG53" s="448"/>
      <c r="AH53" s="448"/>
      <c r="AI53" s="448"/>
      <c r="AJ53" s="448"/>
      <c r="AK53" s="448"/>
    </row>
    <row r="54" spans="1:37" x14ac:dyDescent="0.25">
      <c r="A54" s="445"/>
      <c r="B54" s="445"/>
      <c r="C54" s="447"/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7"/>
      <c r="O54" s="447"/>
      <c r="P54" s="447"/>
      <c r="Q54" s="447"/>
      <c r="R54" s="448"/>
      <c r="S54" s="448"/>
      <c r="T54" s="448"/>
      <c r="U54" s="448"/>
      <c r="V54" s="448"/>
      <c r="W54" s="448"/>
      <c r="Y54" s="448"/>
      <c r="Z54" s="448"/>
      <c r="AA54" s="448"/>
      <c r="AB54" s="448"/>
      <c r="AC54" s="448"/>
      <c r="AD54" s="448"/>
      <c r="AE54" s="448"/>
      <c r="AF54" s="448"/>
      <c r="AG54" s="448"/>
      <c r="AH54" s="448"/>
      <c r="AI54" s="448"/>
      <c r="AJ54" s="448"/>
      <c r="AK54" s="448"/>
    </row>
    <row r="55" spans="1:37" x14ac:dyDescent="0.25">
      <c r="A55" s="450"/>
      <c r="C55" s="447"/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8"/>
      <c r="S55" s="448"/>
      <c r="T55" s="448"/>
      <c r="U55" s="448"/>
      <c r="V55" s="448"/>
      <c r="W55" s="448"/>
      <c r="Y55" s="448"/>
      <c r="Z55" s="448"/>
      <c r="AA55" s="448"/>
      <c r="AB55" s="448"/>
      <c r="AC55" s="448"/>
      <c r="AD55" s="448"/>
      <c r="AE55" s="448"/>
      <c r="AF55" s="448"/>
      <c r="AG55" s="448"/>
      <c r="AH55" s="448"/>
      <c r="AI55" s="448"/>
      <c r="AJ55" s="448"/>
      <c r="AK55" s="448"/>
    </row>
    <row r="56" spans="1:37" x14ac:dyDescent="0.25">
      <c r="A56" s="450"/>
      <c r="C56" s="447"/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8"/>
      <c r="S56" s="448"/>
      <c r="T56" s="448"/>
      <c r="U56" s="448"/>
      <c r="V56" s="448"/>
      <c r="W56" s="448"/>
      <c r="Y56" s="448"/>
      <c r="Z56" s="448"/>
      <c r="AA56" s="448"/>
      <c r="AB56" s="448"/>
      <c r="AC56" s="448"/>
      <c r="AD56" s="448"/>
      <c r="AE56" s="448"/>
      <c r="AF56" s="448"/>
      <c r="AG56" s="448"/>
      <c r="AH56" s="448"/>
      <c r="AI56" s="448"/>
      <c r="AJ56" s="448"/>
      <c r="AK56" s="448"/>
    </row>
    <row r="57" spans="1:37" x14ac:dyDescent="0.25">
      <c r="A57" s="450"/>
      <c r="C57" s="447"/>
      <c r="D57" s="447"/>
      <c r="E57" s="447"/>
      <c r="F57" s="447"/>
      <c r="G57" s="447"/>
      <c r="H57" s="447"/>
      <c r="I57" s="447"/>
      <c r="J57" s="447"/>
      <c r="K57" s="447"/>
      <c r="L57" s="447"/>
      <c r="M57" s="447"/>
      <c r="N57" s="447"/>
      <c r="O57" s="447"/>
      <c r="P57" s="447"/>
      <c r="Q57" s="447"/>
      <c r="R57" s="448"/>
      <c r="S57" s="448"/>
      <c r="T57" s="448"/>
      <c r="U57" s="448"/>
      <c r="V57" s="448"/>
      <c r="W57" s="448"/>
      <c r="Y57" s="448"/>
      <c r="Z57" s="448"/>
      <c r="AA57" s="448"/>
      <c r="AB57" s="448"/>
      <c r="AC57" s="448"/>
      <c r="AD57" s="448"/>
      <c r="AE57" s="448"/>
      <c r="AF57" s="448"/>
      <c r="AG57" s="448"/>
      <c r="AH57" s="448"/>
      <c r="AI57" s="448"/>
      <c r="AJ57" s="448"/>
      <c r="AK57" s="448"/>
    </row>
    <row r="58" spans="1:37" x14ac:dyDescent="0.25">
      <c r="A58" s="450"/>
      <c r="C58" s="447"/>
      <c r="D58" s="447"/>
      <c r="E58" s="447"/>
      <c r="F58" s="447"/>
      <c r="G58" s="447"/>
      <c r="H58" s="447"/>
      <c r="I58" s="447"/>
      <c r="J58" s="447"/>
      <c r="K58" s="447"/>
      <c r="L58" s="447"/>
      <c r="M58" s="447"/>
      <c r="N58" s="447"/>
      <c r="O58" s="447"/>
      <c r="P58" s="447"/>
      <c r="Q58" s="447"/>
      <c r="R58" s="448"/>
      <c r="S58" s="448"/>
      <c r="T58" s="448"/>
      <c r="U58" s="448"/>
      <c r="V58" s="448"/>
      <c r="W58" s="448"/>
      <c r="Y58" s="448"/>
      <c r="Z58" s="448"/>
      <c r="AA58" s="448"/>
      <c r="AB58" s="448"/>
      <c r="AC58" s="448"/>
      <c r="AD58" s="448"/>
      <c r="AE58" s="448"/>
      <c r="AF58" s="448"/>
      <c r="AG58" s="448"/>
      <c r="AH58" s="448"/>
      <c r="AI58" s="448"/>
      <c r="AJ58" s="448"/>
      <c r="AK58" s="448"/>
    </row>
    <row r="59" spans="1:37" x14ac:dyDescent="0.25">
      <c r="A59" s="450"/>
      <c r="C59" s="447"/>
      <c r="D59" s="447"/>
      <c r="E59" s="447"/>
      <c r="F59" s="447"/>
      <c r="G59" s="447"/>
      <c r="H59" s="447"/>
      <c r="I59" s="447"/>
      <c r="J59" s="447"/>
      <c r="K59" s="447"/>
      <c r="L59" s="447"/>
      <c r="M59" s="447"/>
      <c r="N59" s="447"/>
      <c r="O59" s="447"/>
      <c r="P59" s="447"/>
      <c r="Q59" s="447"/>
      <c r="R59" s="448"/>
      <c r="S59" s="448"/>
      <c r="T59" s="448"/>
      <c r="U59" s="448"/>
      <c r="V59" s="448"/>
      <c r="W59" s="448"/>
      <c r="Y59" s="448"/>
      <c r="Z59" s="448"/>
      <c r="AA59" s="448"/>
      <c r="AB59" s="448"/>
      <c r="AC59" s="448"/>
      <c r="AD59" s="448"/>
      <c r="AE59" s="448"/>
      <c r="AF59" s="448"/>
      <c r="AG59" s="448"/>
      <c r="AH59" s="448"/>
      <c r="AI59" s="448"/>
      <c r="AJ59" s="448"/>
      <c r="AK59" s="448"/>
    </row>
    <row r="60" spans="1:37" x14ac:dyDescent="0.25">
      <c r="A60" s="450"/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447"/>
      <c r="N60" s="447"/>
      <c r="O60" s="447"/>
      <c r="P60" s="447"/>
      <c r="Q60" s="447"/>
      <c r="R60" s="448"/>
      <c r="S60" s="448"/>
      <c r="T60" s="448"/>
      <c r="U60" s="448"/>
      <c r="V60" s="448"/>
      <c r="W60" s="448"/>
      <c r="Y60" s="448"/>
      <c r="Z60" s="448"/>
      <c r="AA60" s="448"/>
      <c r="AB60" s="448"/>
      <c r="AC60" s="448"/>
      <c r="AD60" s="448"/>
      <c r="AE60" s="448"/>
      <c r="AF60" s="448"/>
      <c r="AG60" s="448"/>
      <c r="AH60" s="448"/>
      <c r="AI60" s="448"/>
      <c r="AJ60" s="448"/>
      <c r="AK60" s="448"/>
    </row>
    <row r="61" spans="1:37" x14ac:dyDescent="0.25">
      <c r="A61" s="450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O61" s="447"/>
      <c r="P61" s="447"/>
      <c r="Q61" s="447"/>
      <c r="R61" s="448"/>
      <c r="S61" s="448"/>
      <c r="T61" s="448"/>
      <c r="U61" s="448"/>
      <c r="V61" s="448"/>
      <c r="W61" s="448"/>
      <c r="Y61" s="448"/>
      <c r="Z61" s="448"/>
      <c r="AA61" s="448"/>
      <c r="AB61" s="448"/>
      <c r="AC61" s="448"/>
      <c r="AD61" s="448"/>
      <c r="AE61" s="448"/>
      <c r="AF61" s="448"/>
      <c r="AG61" s="448"/>
      <c r="AH61" s="448"/>
      <c r="AI61" s="448"/>
      <c r="AJ61" s="448"/>
      <c r="AK61" s="448"/>
    </row>
    <row r="62" spans="1:37" x14ac:dyDescent="0.25">
      <c r="A62" s="450"/>
      <c r="C62" s="447"/>
      <c r="D62" s="447"/>
      <c r="E62" s="447"/>
      <c r="F62" s="447"/>
      <c r="G62" s="447"/>
      <c r="H62" s="447"/>
      <c r="I62" s="447"/>
      <c r="J62" s="447"/>
      <c r="K62" s="447"/>
      <c r="L62" s="447"/>
      <c r="M62" s="447"/>
      <c r="N62" s="447"/>
      <c r="O62" s="447"/>
      <c r="P62" s="447"/>
      <c r="Q62" s="447"/>
      <c r="R62" s="448"/>
      <c r="S62" s="448"/>
      <c r="T62" s="448"/>
      <c r="U62" s="448"/>
      <c r="V62" s="448"/>
      <c r="W62" s="448"/>
      <c r="Y62" s="448"/>
      <c r="Z62" s="448"/>
      <c r="AA62" s="448"/>
      <c r="AB62" s="448"/>
      <c r="AC62" s="448"/>
      <c r="AD62" s="448"/>
      <c r="AE62" s="448"/>
      <c r="AF62" s="448"/>
      <c r="AG62" s="448"/>
      <c r="AH62" s="448"/>
      <c r="AI62" s="448"/>
      <c r="AJ62" s="448"/>
      <c r="AK62" s="448"/>
    </row>
    <row r="63" spans="1:37" x14ac:dyDescent="0.25">
      <c r="A63" s="450"/>
      <c r="C63" s="447"/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48"/>
      <c r="S63" s="448"/>
      <c r="T63" s="448"/>
      <c r="U63" s="448"/>
      <c r="V63" s="448"/>
      <c r="W63" s="448"/>
      <c r="Y63" s="448"/>
      <c r="Z63" s="448"/>
      <c r="AA63" s="448"/>
      <c r="AB63" s="448"/>
      <c r="AC63" s="448"/>
      <c r="AD63" s="448"/>
      <c r="AE63" s="448"/>
      <c r="AF63" s="448"/>
      <c r="AG63" s="448"/>
      <c r="AH63" s="448"/>
      <c r="AI63" s="448"/>
      <c r="AJ63" s="448"/>
      <c r="AK63" s="448"/>
    </row>
    <row r="64" spans="1:37" x14ac:dyDescent="0.25">
      <c r="A64" s="450"/>
      <c r="C64" s="447"/>
      <c r="D64" s="447"/>
      <c r="E64" s="447"/>
      <c r="F64" s="447"/>
      <c r="G64" s="447"/>
      <c r="H64" s="447"/>
      <c r="I64" s="447"/>
      <c r="J64" s="447"/>
      <c r="K64" s="447"/>
      <c r="L64" s="447"/>
      <c r="M64" s="447"/>
      <c r="N64" s="447"/>
      <c r="O64" s="447"/>
      <c r="P64" s="447"/>
      <c r="Q64" s="447"/>
      <c r="R64" s="448"/>
      <c r="S64" s="448"/>
      <c r="T64" s="448"/>
      <c r="U64" s="448"/>
      <c r="V64" s="448"/>
      <c r="W64" s="448"/>
      <c r="Y64" s="448"/>
      <c r="Z64" s="448"/>
      <c r="AA64" s="448"/>
      <c r="AB64" s="448"/>
      <c r="AC64" s="448"/>
      <c r="AD64" s="448"/>
      <c r="AE64" s="448"/>
      <c r="AF64" s="448"/>
      <c r="AG64" s="448"/>
      <c r="AH64" s="448"/>
      <c r="AI64" s="448"/>
      <c r="AJ64" s="448"/>
      <c r="AK64" s="448"/>
    </row>
    <row r="65" spans="1:37" x14ac:dyDescent="0.25">
      <c r="A65" s="450"/>
      <c r="C65" s="447"/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8"/>
      <c r="S65" s="448"/>
      <c r="T65" s="448"/>
      <c r="U65" s="448"/>
      <c r="V65" s="448"/>
      <c r="W65" s="448"/>
      <c r="Y65" s="448"/>
      <c r="Z65" s="448"/>
      <c r="AA65" s="448"/>
      <c r="AB65" s="448"/>
      <c r="AC65" s="448"/>
      <c r="AD65" s="448"/>
      <c r="AE65" s="448"/>
      <c r="AF65" s="448"/>
      <c r="AG65" s="448"/>
      <c r="AH65" s="448"/>
      <c r="AI65" s="448"/>
      <c r="AJ65" s="448"/>
      <c r="AK65" s="448"/>
    </row>
    <row r="66" spans="1:37" x14ac:dyDescent="0.25">
      <c r="A66" s="443"/>
      <c r="B66" s="449"/>
      <c r="C66" s="447"/>
      <c r="D66" s="447"/>
      <c r="E66" s="447"/>
      <c r="F66" s="447"/>
      <c r="G66" s="447"/>
      <c r="H66" s="447"/>
      <c r="I66" s="447"/>
      <c r="J66" s="447"/>
      <c r="K66" s="447"/>
      <c r="L66" s="447"/>
      <c r="M66" s="447"/>
      <c r="N66" s="447"/>
      <c r="O66" s="447"/>
      <c r="P66" s="447"/>
      <c r="Q66" s="447"/>
      <c r="R66" s="448"/>
      <c r="S66" s="448"/>
      <c r="T66" s="448"/>
      <c r="U66" s="448"/>
      <c r="V66" s="448"/>
      <c r="W66" s="448"/>
      <c r="Y66" s="448"/>
      <c r="Z66" s="448"/>
      <c r="AA66" s="448"/>
      <c r="AB66" s="448"/>
      <c r="AC66" s="448"/>
      <c r="AD66" s="448"/>
      <c r="AE66" s="448"/>
      <c r="AF66" s="448"/>
      <c r="AG66" s="448"/>
      <c r="AH66" s="448"/>
      <c r="AI66" s="448"/>
      <c r="AJ66" s="448"/>
      <c r="AK66" s="448"/>
    </row>
    <row r="67" spans="1:37" x14ac:dyDescent="0.25">
      <c r="A67" t="s">
        <v>143</v>
      </c>
      <c r="B67" s="446"/>
    </row>
    <row r="69" spans="1:37" x14ac:dyDescent="0.25">
      <c r="U69" s="41"/>
    </row>
    <row r="71" spans="1:37" ht="15.75" x14ac:dyDescent="0.25">
      <c r="A71" s="516" t="s">
        <v>95</v>
      </c>
      <c r="B71" s="516"/>
      <c r="C71" s="516"/>
      <c r="D71" s="516"/>
      <c r="E71" s="516"/>
      <c r="F71" s="516"/>
      <c r="G71" s="516"/>
      <c r="H71" s="516"/>
      <c r="I71" s="516"/>
      <c r="J71" s="516"/>
      <c r="K71" s="516"/>
      <c r="L71" s="516"/>
      <c r="M71" s="516"/>
      <c r="N71" s="516"/>
      <c r="O71" s="516"/>
      <c r="P71" s="516"/>
      <c r="Q71" s="516"/>
      <c r="R71" s="516"/>
      <c r="S71" s="516"/>
      <c r="T71" s="516"/>
      <c r="U71" s="516"/>
      <c r="V71" s="516"/>
      <c r="W71" s="516"/>
      <c r="X71" s="516"/>
      <c r="Y71" s="516"/>
      <c r="Z71" s="516"/>
      <c r="AA71" s="516"/>
      <c r="AB71" s="516"/>
      <c r="AC71" s="516"/>
      <c r="AD71" s="516"/>
      <c r="AE71" s="516"/>
      <c r="AF71" s="516"/>
      <c r="AG71" s="516"/>
      <c r="AH71" s="516"/>
      <c r="AI71" s="516"/>
      <c r="AJ71" s="516"/>
    </row>
    <row r="72" spans="1:37" ht="15.75" x14ac:dyDescent="0.25">
      <c r="A72" s="516" t="s">
        <v>82</v>
      </c>
      <c r="B72" s="516"/>
      <c r="C72" s="516"/>
      <c r="D72" s="516"/>
      <c r="E72" s="516"/>
      <c r="F72" s="516"/>
      <c r="G72" s="516"/>
      <c r="H72" s="516"/>
      <c r="I72" s="516"/>
      <c r="J72" s="516"/>
      <c r="K72" s="516"/>
      <c r="L72" s="516"/>
      <c r="M72" s="516"/>
      <c r="N72" s="516"/>
      <c r="O72" s="516"/>
      <c r="P72" s="516"/>
      <c r="Q72" s="516"/>
      <c r="R72" s="516"/>
      <c r="S72" s="516"/>
      <c r="T72" s="516"/>
      <c r="U72" s="516"/>
      <c r="V72" s="516"/>
      <c r="W72" s="516"/>
      <c r="X72" s="516"/>
      <c r="Y72" s="516"/>
      <c r="Z72" s="516"/>
      <c r="AA72" s="516"/>
      <c r="AB72" s="516"/>
      <c r="AC72" s="516"/>
      <c r="AD72" s="516"/>
      <c r="AE72" s="516"/>
      <c r="AF72" s="516"/>
      <c r="AG72" s="516"/>
      <c r="AH72" s="516"/>
      <c r="AI72" s="516"/>
      <c r="AJ72" s="516"/>
    </row>
    <row r="73" spans="1:37" ht="15.75" thickBot="1" x14ac:dyDescent="0.3">
      <c r="AJ73" s="77" t="s">
        <v>1</v>
      </c>
    </row>
    <row r="74" spans="1:37" x14ac:dyDescent="0.25">
      <c r="A74" s="541" t="s">
        <v>2</v>
      </c>
      <c r="B74" s="543" t="s">
        <v>3</v>
      </c>
      <c r="C74" s="539" t="s">
        <v>114</v>
      </c>
      <c r="D74" s="540"/>
      <c r="E74" s="540"/>
      <c r="F74" s="540"/>
      <c r="G74" s="540"/>
      <c r="H74" s="540"/>
      <c r="I74" s="540"/>
      <c r="J74" s="540"/>
      <c r="K74" s="540"/>
      <c r="L74" s="540"/>
      <c r="M74" s="540"/>
      <c r="N74" s="540"/>
      <c r="O74" s="535" t="s">
        <v>84</v>
      </c>
      <c r="P74" s="536"/>
      <c r="Q74" s="385"/>
      <c r="R74" s="385"/>
      <c r="S74" s="552">
        <v>2016</v>
      </c>
      <c r="T74" s="552"/>
      <c r="U74" s="551"/>
      <c r="V74" s="551"/>
      <c r="W74" s="551"/>
      <c r="X74" s="551"/>
      <c r="Y74" s="551"/>
      <c r="Z74" s="551"/>
      <c r="AA74" s="551"/>
      <c r="AB74" s="551"/>
      <c r="AC74" s="551"/>
      <c r="AD74" s="551"/>
      <c r="AE74" s="551"/>
      <c r="AF74" s="539"/>
      <c r="AG74" s="553" t="s">
        <v>85</v>
      </c>
      <c r="AH74" s="554"/>
      <c r="AI74" s="528" t="s">
        <v>5</v>
      </c>
      <c r="AJ74" s="529"/>
    </row>
    <row r="75" spans="1:37" x14ac:dyDescent="0.25">
      <c r="A75" s="542"/>
      <c r="B75" s="544"/>
      <c r="C75" s="527" t="s">
        <v>15</v>
      </c>
      <c r="D75" s="527"/>
      <c r="E75" s="527" t="s">
        <v>16</v>
      </c>
      <c r="F75" s="527"/>
      <c r="G75" s="527" t="s">
        <v>17</v>
      </c>
      <c r="H75" s="527"/>
      <c r="I75" s="527" t="s">
        <v>6</v>
      </c>
      <c r="J75" s="527"/>
      <c r="K75" s="527" t="s">
        <v>115</v>
      </c>
      <c r="L75" s="527"/>
      <c r="M75" s="527" t="s">
        <v>78</v>
      </c>
      <c r="N75" s="532"/>
      <c r="O75" s="537"/>
      <c r="P75" s="538"/>
      <c r="Q75" s="386"/>
      <c r="R75" s="386"/>
      <c r="S75" s="533" t="s">
        <v>79</v>
      </c>
      <c r="T75" s="533"/>
      <c r="U75" s="534"/>
      <c r="V75" s="532" t="s">
        <v>10</v>
      </c>
      <c r="W75" s="533"/>
      <c r="X75" s="534"/>
      <c r="Y75" s="532" t="s">
        <v>11</v>
      </c>
      <c r="Z75" s="534"/>
      <c r="AA75" s="532" t="s">
        <v>12</v>
      </c>
      <c r="AB75" s="534"/>
      <c r="AC75" s="532" t="s">
        <v>80</v>
      </c>
      <c r="AD75" s="534"/>
      <c r="AE75" s="532" t="s">
        <v>81</v>
      </c>
      <c r="AF75" s="533"/>
      <c r="AG75" s="555"/>
      <c r="AH75" s="556"/>
      <c r="AI75" s="530"/>
      <c r="AJ75" s="531"/>
    </row>
    <row r="76" spans="1:37" x14ac:dyDescent="0.25">
      <c r="A76" s="542"/>
      <c r="B76" s="544"/>
      <c r="C76" s="224" t="s">
        <v>116</v>
      </c>
      <c r="D76" s="316" t="s">
        <v>117</v>
      </c>
      <c r="E76" s="225" t="s">
        <v>116</v>
      </c>
      <c r="F76" s="316" t="s">
        <v>117</v>
      </c>
      <c r="G76" s="225" t="s">
        <v>116</v>
      </c>
      <c r="H76" s="316" t="s">
        <v>117</v>
      </c>
      <c r="I76" s="225" t="s">
        <v>116</v>
      </c>
      <c r="J76" s="316" t="s">
        <v>117</v>
      </c>
      <c r="K76" s="225" t="s">
        <v>116</v>
      </c>
      <c r="L76" s="316" t="s">
        <v>117</v>
      </c>
      <c r="M76" s="225" t="s">
        <v>116</v>
      </c>
      <c r="N76" s="317" t="s">
        <v>117</v>
      </c>
      <c r="O76" s="226" t="s">
        <v>116</v>
      </c>
      <c r="P76" s="318" t="s">
        <v>117</v>
      </c>
      <c r="Q76" s="317"/>
      <c r="R76" s="317"/>
      <c r="S76" s="312" t="s">
        <v>116</v>
      </c>
      <c r="T76" s="394"/>
      <c r="U76" s="314" t="s">
        <v>117</v>
      </c>
      <c r="V76" s="313" t="s">
        <v>116</v>
      </c>
      <c r="W76" s="313"/>
      <c r="X76" s="314" t="s">
        <v>117</v>
      </c>
      <c r="Y76" s="313" t="s">
        <v>116</v>
      </c>
      <c r="Z76" s="314" t="s">
        <v>117</v>
      </c>
      <c r="AA76" s="313" t="s">
        <v>116</v>
      </c>
      <c r="AB76" s="314" t="s">
        <v>117</v>
      </c>
      <c r="AC76" s="313" t="s">
        <v>116</v>
      </c>
      <c r="AD76" s="314" t="s">
        <v>117</v>
      </c>
      <c r="AE76" s="313" t="s">
        <v>116</v>
      </c>
      <c r="AF76" s="315" t="s">
        <v>117</v>
      </c>
      <c r="AG76" s="359" t="s">
        <v>116</v>
      </c>
      <c r="AH76" s="319" t="s">
        <v>117</v>
      </c>
      <c r="AI76" s="226" t="s">
        <v>116</v>
      </c>
      <c r="AJ76" s="320" t="s">
        <v>117</v>
      </c>
    </row>
    <row r="77" spans="1:37" ht="15.75" thickBot="1" x14ac:dyDescent="0.3">
      <c r="A77" s="228">
        <v>1</v>
      </c>
      <c r="B77" s="229">
        <v>2</v>
      </c>
      <c r="C77" s="229">
        <v>3</v>
      </c>
      <c r="D77" s="229">
        <v>4</v>
      </c>
      <c r="E77" s="229">
        <v>5</v>
      </c>
      <c r="F77" s="229">
        <v>6</v>
      </c>
      <c r="G77" s="229">
        <v>7</v>
      </c>
      <c r="H77" s="229">
        <v>8</v>
      </c>
      <c r="I77" s="229">
        <v>9</v>
      </c>
      <c r="J77" s="229">
        <v>10</v>
      </c>
      <c r="K77" s="229">
        <v>11</v>
      </c>
      <c r="L77" s="229">
        <v>12</v>
      </c>
      <c r="M77" s="230">
        <v>13</v>
      </c>
      <c r="N77" s="230">
        <v>14</v>
      </c>
      <c r="O77" s="231">
        <v>15</v>
      </c>
      <c r="P77" s="232">
        <v>16</v>
      </c>
      <c r="Q77" s="387"/>
      <c r="R77" s="387"/>
      <c r="S77" s="292">
        <v>17</v>
      </c>
      <c r="T77" s="292"/>
      <c r="U77" s="229">
        <v>18</v>
      </c>
      <c r="V77" s="229">
        <v>19</v>
      </c>
      <c r="W77" s="229"/>
      <c r="X77" s="229">
        <v>20</v>
      </c>
      <c r="Y77" s="229">
        <v>21</v>
      </c>
      <c r="Z77" s="229">
        <v>22</v>
      </c>
      <c r="AA77" s="229">
        <v>23</v>
      </c>
      <c r="AB77" s="229">
        <v>24</v>
      </c>
      <c r="AC77" s="229">
        <v>25</v>
      </c>
      <c r="AD77" s="229">
        <v>26</v>
      </c>
      <c r="AE77" s="229">
        <v>27</v>
      </c>
      <c r="AF77" s="230">
        <v>28</v>
      </c>
      <c r="AG77" s="218">
        <v>29</v>
      </c>
      <c r="AH77" s="219">
        <v>30</v>
      </c>
      <c r="AI77" s="113">
        <v>31</v>
      </c>
      <c r="AJ77" s="220">
        <v>32</v>
      </c>
    </row>
    <row r="78" spans="1:37" ht="15.75" thickTop="1" x14ac:dyDescent="0.25">
      <c r="A78" s="234">
        <v>1</v>
      </c>
      <c r="B78" s="235" t="s">
        <v>18</v>
      </c>
      <c r="C78" s="236">
        <v>0</v>
      </c>
      <c r="D78" s="237">
        <v>0</v>
      </c>
      <c r="E78" s="236">
        <v>0</v>
      </c>
      <c r="F78" s="237">
        <v>0</v>
      </c>
      <c r="G78" s="237">
        <v>0</v>
      </c>
      <c r="H78" s="237">
        <v>0</v>
      </c>
      <c r="I78" s="237">
        <v>0</v>
      </c>
      <c r="J78" s="237">
        <f>'padi ladang'!C9</f>
        <v>0</v>
      </c>
      <c r="K78" s="236">
        <v>0</v>
      </c>
      <c r="L78" s="237">
        <f>'padi ladang'!D9</f>
        <v>0</v>
      </c>
      <c r="M78" s="236">
        <v>0</v>
      </c>
      <c r="N78" s="238">
        <f>'padi ladang'!E9</f>
        <v>0</v>
      </c>
      <c r="O78" s="299">
        <f>SUM(C78,E78,G78,I78,K78,M78)</f>
        <v>0</v>
      </c>
      <c r="P78" s="300">
        <f>SUM(D78,F78,H78,J78,L78,N78)</f>
        <v>0</v>
      </c>
      <c r="Q78" s="388"/>
      <c r="R78" s="388"/>
      <c r="S78" s="293">
        <v>0</v>
      </c>
      <c r="T78" s="293"/>
      <c r="U78" s="281">
        <f>'padi ladang'!F9</f>
        <v>0</v>
      </c>
      <c r="V78" s="236">
        <v>0</v>
      </c>
      <c r="W78" s="293"/>
      <c r="X78" s="281">
        <f>'padi ladang'!G9</f>
        <v>0</v>
      </c>
      <c r="Y78" s="236">
        <v>0</v>
      </c>
      <c r="Z78" s="281">
        <f>'padi ladang'!H9</f>
        <v>0</v>
      </c>
      <c r="AA78" s="236">
        <v>0</v>
      </c>
      <c r="AB78" s="281">
        <f>'padi ladang'!I9</f>
        <v>0</v>
      </c>
      <c r="AC78" s="236">
        <v>0</v>
      </c>
      <c r="AD78" s="281">
        <f>'padi ladang'!J9</f>
        <v>0</v>
      </c>
      <c r="AE78" s="236">
        <v>0</v>
      </c>
      <c r="AF78" s="280">
        <f>'padi ladang'!K9</f>
        <v>0</v>
      </c>
      <c r="AG78" s="299">
        <f t="shared" ref="AG78:AG85" si="27">SUM(S78,V78,Y78,AA78,AC78,AE78)</f>
        <v>0</v>
      </c>
      <c r="AH78" s="302">
        <f>SUM(U78,X78,Z78,AB78,AD78,AF78)</f>
        <v>0</v>
      </c>
      <c r="AI78" s="221">
        <f t="shared" ref="AI78:AJ85" si="28">SUM(O78,AG78)</f>
        <v>0</v>
      </c>
      <c r="AJ78" s="130">
        <f t="shared" si="28"/>
        <v>0</v>
      </c>
    </row>
    <row r="79" spans="1:37" x14ac:dyDescent="0.25">
      <c r="A79" s="244">
        <v>2</v>
      </c>
      <c r="B79" s="245" t="s">
        <v>19</v>
      </c>
      <c r="C79" s="246">
        <v>0</v>
      </c>
      <c r="D79" s="247">
        <v>0</v>
      </c>
      <c r="E79" s="246">
        <v>0</v>
      </c>
      <c r="F79" s="247">
        <v>0</v>
      </c>
      <c r="G79" s="247">
        <v>0</v>
      </c>
      <c r="H79" s="247">
        <v>0</v>
      </c>
      <c r="I79" s="247">
        <v>0</v>
      </c>
      <c r="J79" s="247">
        <f>'padi ladang'!C10</f>
        <v>0</v>
      </c>
      <c r="K79" s="246">
        <v>0</v>
      </c>
      <c r="L79" s="247">
        <f>'padi ladang'!D10</f>
        <v>0</v>
      </c>
      <c r="M79" s="246">
        <v>0</v>
      </c>
      <c r="N79" s="248">
        <f>'padi ladang'!E10</f>
        <v>0</v>
      </c>
      <c r="O79" s="249">
        <f t="shared" ref="O79:P85" si="29">SUM(C79,E79,G79,I79,K79,M79)</f>
        <v>0</v>
      </c>
      <c r="P79" s="250">
        <f t="shared" si="29"/>
        <v>0</v>
      </c>
      <c r="Q79" s="390"/>
      <c r="R79" s="390"/>
      <c r="S79" s="294">
        <v>0</v>
      </c>
      <c r="T79" s="294"/>
      <c r="U79" s="283">
        <f>'padi ladang'!F10</f>
        <v>0</v>
      </c>
      <c r="V79" s="246">
        <v>0</v>
      </c>
      <c r="W79" s="294"/>
      <c r="X79" s="283">
        <f>'padi ladang'!G10</f>
        <v>0</v>
      </c>
      <c r="Y79" s="246">
        <v>0</v>
      </c>
      <c r="Z79" s="283">
        <f>'padi ladang'!H10</f>
        <v>0</v>
      </c>
      <c r="AA79" s="246">
        <v>0</v>
      </c>
      <c r="AB79" s="283">
        <f>'padi ladang'!I10</f>
        <v>0</v>
      </c>
      <c r="AC79" s="246">
        <v>0</v>
      </c>
      <c r="AD79" s="283">
        <f>'padi ladang'!J10</f>
        <v>0</v>
      </c>
      <c r="AE79" s="246">
        <v>0</v>
      </c>
      <c r="AF79" s="282">
        <f>'padi ladang'!K10</f>
        <v>0</v>
      </c>
      <c r="AG79" s="249">
        <f t="shared" si="27"/>
        <v>0</v>
      </c>
      <c r="AH79" s="284">
        <f t="shared" ref="AH79:AH85" si="30">SUM(U79,X79,Z79,AB79,AD79,AF79)</f>
        <v>0</v>
      </c>
      <c r="AI79" s="222">
        <f t="shared" si="28"/>
        <v>0</v>
      </c>
      <c r="AJ79" s="131">
        <f t="shared" si="28"/>
        <v>0</v>
      </c>
    </row>
    <row r="80" spans="1:37" x14ac:dyDescent="0.25">
      <c r="A80" s="244">
        <v>3</v>
      </c>
      <c r="B80" s="235" t="s">
        <v>20</v>
      </c>
      <c r="C80" s="254">
        <v>0</v>
      </c>
      <c r="D80" s="247">
        <v>0</v>
      </c>
      <c r="E80" s="254">
        <v>0</v>
      </c>
      <c r="F80" s="247">
        <v>0</v>
      </c>
      <c r="G80" s="247">
        <v>20</v>
      </c>
      <c r="H80" s="247">
        <v>5</v>
      </c>
      <c r="I80" s="247">
        <v>5</v>
      </c>
      <c r="J80" s="247">
        <f>'padi ladang'!C11</f>
        <v>10</v>
      </c>
      <c r="K80" s="254">
        <v>0</v>
      </c>
      <c r="L80" s="247">
        <f>'padi ladang'!D11</f>
        <v>0</v>
      </c>
      <c r="M80" s="254">
        <v>0</v>
      </c>
      <c r="N80" s="248">
        <f>'padi ladang'!E11</f>
        <v>0</v>
      </c>
      <c r="O80" s="249">
        <f t="shared" si="29"/>
        <v>25</v>
      </c>
      <c r="P80" s="250">
        <f t="shared" si="29"/>
        <v>15</v>
      </c>
      <c r="Q80" s="282"/>
      <c r="R80" s="282"/>
      <c r="S80" s="295">
        <v>0</v>
      </c>
      <c r="T80" s="295"/>
      <c r="U80" s="283">
        <f>'padi ladang'!F11</f>
        <v>0</v>
      </c>
      <c r="V80" s="254">
        <v>0</v>
      </c>
      <c r="W80" s="295"/>
      <c r="X80" s="283">
        <f>'padi ladang'!G11</f>
        <v>0</v>
      </c>
      <c r="Y80" s="254">
        <v>0</v>
      </c>
      <c r="Z80" s="283">
        <f>'padi ladang'!H11</f>
        <v>0</v>
      </c>
      <c r="AA80" s="254">
        <v>0</v>
      </c>
      <c r="AB80" s="283">
        <f>'padi ladang'!I11</f>
        <v>0</v>
      </c>
      <c r="AC80" s="254">
        <v>0</v>
      </c>
      <c r="AD80" s="283">
        <f>'padi ladang'!J11</f>
        <v>0</v>
      </c>
      <c r="AE80" s="254">
        <v>0</v>
      </c>
      <c r="AF80" s="282">
        <f>'padi ladang'!K11</f>
        <v>35</v>
      </c>
      <c r="AG80" s="249">
        <f t="shared" si="27"/>
        <v>0</v>
      </c>
      <c r="AH80" s="284">
        <f t="shared" si="30"/>
        <v>35</v>
      </c>
      <c r="AI80" s="222">
        <f t="shared" si="28"/>
        <v>25</v>
      </c>
      <c r="AJ80" s="131">
        <f t="shared" si="28"/>
        <v>50</v>
      </c>
    </row>
    <row r="81" spans="1:36" x14ac:dyDescent="0.25">
      <c r="A81" s="255">
        <v>4</v>
      </c>
      <c r="B81" s="256" t="s">
        <v>21</v>
      </c>
      <c r="C81" s="257">
        <v>0</v>
      </c>
      <c r="D81" s="247">
        <v>0</v>
      </c>
      <c r="E81" s="257">
        <v>0</v>
      </c>
      <c r="F81" s="247">
        <v>0</v>
      </c>
      <c r="G81" s="247">
        <v>0</v>
      </c>
      <c r="H81" s="247">
        <v>0</v>
      </c>
      <c r="I81" s="247">
        <v>0</v>
      </c>
      <c r="J81" s="247">
        <f>'padi ladang'!C12</f>
        <v>0</v>
      </c>
      <c r="K81" s="257">
        <v>0</v>
      </c>
      <c r="L81" s="247">
        <f>'padi ladang'!D12</f>
        <v>0</v>
      </c>
      <c r="M81" s="257">
        <v>0</v>
      </c>
      <c r="N81" s="248">
        <f>'padi ladang'!E12</f>
        <v>0</v>
      </c>
      <c r="O81" s="249">
        <f t="shared" si="29"/>
        <v>0</v>
      </c>
      <c r="P81" s="250">
        <f t="shared" si="29"/>
        <v>0</v>
      </c>
      <c r="Q81" s="390"/>
      <c r="R81" s="390"/>
      <c r="S81" s="296">
        <v>0</v>
      </c>
      <c r="T81" s="296"/>
      <c r="U81" s="283">
        <f>'padi ladang'!F12</f>
        <v>0</v>
      </c>
      <c r="V81" s="257">
        <v>0</v>
      </c>
      <c r="W81" s="296"/>
      <c r="X81" s="283">
        <f>'padi ladang'!G12</f>
        <v>0</v>
      </c>
      <c r="Y81" s="257">
        <v>0</v>
      </c>
      <c r="Z81" s="283">
        <f>'padi ladang'!H12</f>
        <v>0</v>
      </c>
      <c r="AA81" s="257">
        <v>0</v>
      </c>
      <c r="AB81" s="283">
        <f>'padi ladang'!I12</f>
        <v>0</v>
      </c>
      <c r="AC81" s="257">
        <v>0</v>
      </c>
      <c r="AD81" s="283">
        <f>'padi ladang'!J12</f>
        <v>0</v>
      </c>
      <c r="AE81" s="257">
        <v>0</v>
      </c>
      <c r="AF81" s="282">
        <f>'padi ladang'!K12</f>
        <v>0</v>
      </c>
      <c r="AG81" s="249">
        <f t="shared" si="27"/>
        <v>0</v>
      </c>
      <c r="AH81" s="284">
        <f t="shared" si="30"/>
        <v>0</v>
      </c>
      <c r="AI81" s="222">
        <f t="shared" si="28"/>
        <v>0</v>
      </c>
      <c r="AJ81" s="131">
        <f t="shared" si="28"/>
        <v>0</v>
      </c>
    </row>
    <row r="82" spans="1:36" x14ac:dyDescent="0.25">
      <c r="A82" s="255">
        <v>5</v>
      </c>
      <c r="B82" s="258" t="s">
        <v>22</v>
      </c>
      <c r="C82" s="259">
        <v>0</v>
      </c>
      <c r="D82" s="247">
        <v>0</v>
      </c>
      <c r="E82" s="259">
        <v>0</v>
      </c>
      <c r="F82" s="247">
        <v>0</v>
      </c>
      <c r="G82" s="247">
        <v>0</v>
      </c>
      <c r="H82" s="247">
        <v>0</v>
      </c>
      <c r="I82" s="247">
        <v>0</v>
      </c>
      <c r="J82" s="247">
        <f>'padi ladang'!C13</f>
        <v>0</v>
      </c>
      <c r="K82" s="259">
        <v>0</v>
      </c>
      <c r="L82" s="247">
        <f>'padi ladang'!D13</f>
        <v>0</v>
      </c>
      <c r="M82" s="259">
        <v>0</v>
      </c>
      <c r="N82" s="248">
        <f>'padi ladang'!E13</f>
        <v>0</v>
      </c>
      <c r="O82" s="249">
        <f t="shared" si="29"/>
        <v>0</v>
      </c>
      <c r="P82" s="250">
        <f t="shared" si="29"/>
        <v>0</v>
      </c>
      <c r="Q82" s="282"/>
      <c r="R82" s="282"/>
      <c r="S82" s="297">
        <v>0</v>
      </c>
      <c r="T82" s="297"/>
      <c r="U82" s="283">
        <f>'padi ladang'!F13</f>
        <v>0</v>
      </c>
      <c r="V82" s="259">
        <v>0</v>
      </c>
      <c r="W82" s="297"/>
      <c r="X82" s="283">
        <f>'padi ladang'!G13</f>
        <v>0</v>
      </c>
      <c r="Y82" s="259">
        <v>0</v>
      </c>
      <c r="Z82" s="283">
        <f>'padi ladang'!H13</f>
        <v>0</v>
      </c>
      <c r="AA82" s="259">
        <v>0</v>
      </c>
      <c r="AB82" s="283">
        <f>'padi ladang'!I13</f>
        <v>0</v>
      </c>
      <c r="AC82" s="259">
        <v>0</v>
      </c>
      <c r="AD82" s="283">
        <f>'padi ladang'!J13</f>
        <v>0</v>
      </c>
      <c r="AE82" s="259">
        <v>0</v>
      </c>
      <c r="AF82" s="282">
        <f>'padi ladang'!K13</f>
        <v>0</v>
      </c>
      <c r="AG82" s="249">
        <f t="shared" si="27"/>
        <v>0</v>
      </c>
      <c r="AH82" s="284">
        <f t="shared" si="30"/>
        <v>0</v>
      </c>
      <c r="AI82" s="222">
        <f t="shared" si="28"/>
        <v>0</v>
      </c>
      <c r="AJ82" s="131">
        <f t="shared" si="28"/>
        <v>0</v>
      </c>
    </row>
    <row r="83" spans="1:36" x14ac:dyDescent="0.25">
      <c r="A83" s="255">
        <v>6</v>
      </c>
      <c r="B83" s="258" t="s">
        <v>23</v>
      </c>
      <c r="C83" s="259">
        <v>0</v>
      </c>
      <c r="D83" s="247">
        <v>0</v>
      </c>
      <c r="E83" s="259">
        <v>0</v>
      </c>
      <c r="F83" s="247">
        <v>0</v>
      </c>
      <c r="G83" s="247">
        <v>0</v>
      </c>
      <c r="H83" s="247">
        <v>0</v>
      </c>
      <c r="I83" s="247">
        <v>0</v>
      </c>
      <c r="J83" s="247">
        <f>'padi ladang'!C14</f>
        <v>0</v>
      </c>
      <c r="K83" s="259">
        <v>0</v>
      </c>
      <c r="L83" s="247">
        <f>'padi ladang'!D14</f>
        <v>0</v>
      </c>
      <c r="M83" s="259">
        <v>0</v>
      </c>
      <c r="N83" s="248">
        <f>'padi ladang'!E14</f>
        <v>0</v>
      </c>
      <c r="O83" s="249">
        <f t="shared" si="29"/>
        <v>0</v>
      </c>
      <c r="P83" s="250">
        <f t="shared" si="29"/>
        <v>0</v>
      </c>
      <c r="Q83" s="282"/>
      <c r="R83" s="282"/>
      <c r="S83" s="297">
        <v>0</v>
      </c>
      <c r="T83" s="297"/>
      <c r="U83" s="283">
        <f>'padi ladang'!F14</f>
        <v>0</v>
      </c>
      <c r="V83" s="259">
        <v>0</v>
      </c>
      <c r="W83" s="297"/>
      <c r="X83" s="283">
        <f>'padi ladang'!G14</f>
        <v>0</v>
      </c>
      <c r="Y83" s="259">
        <v>0</v>
      </c>
      <c r="Z83" s="283">
        <f>'padi ladang'!H14</f>
        <v>0</v>
      </c>
      <c r="AA83" s="259">
        <v>0</v>
      </c>
      <c r="AB83" s="283">
        <f>'padi ladang'!I14</f>
        <v>0</v>
      </c>
      <c r="AC83" s="259">
        <v>0</v>
      </c>
      <c r="AD83" s="283">
        <f>'padi ladang'!J14</f>
        <v>0</v>
      </c>
      <c r="AE83" s="259">
        <v>0</v>
      </c>
      <c r="AF83" s="282">
        <f>'padi ladang'!K14</f>
        <v>0</v>
      </c>
      <c r="AG83" s="249">
        <f t="shared" si="27"/>
        <v>0</v>
      </c>
      <c r="AH83" s="284">
        <f t="shared" si="30"/>
        <v>0</v>
      </c>
      <c r="AI83" s="222">
        <f t="shared" si="28"/>
        <v>0</v>
      </c>
      <c r="AJ83" s="131">
        <f t="shared" si="28"/>
        <v>0</v>
      </c>
    </row>
    <row r="84" spans="1:36" x14ac:dyDescent="0.25">
      <c r="A84" s="255">
        <v>7</v>
      </c>
      <c r="B84" s="258" t="s">
        <v>24</v>
      </c>
      <c r="C84" s="259">
        <v>0</v>
      </c>
      <c r="D84" s="247">
        <v>0</v>
      </c>
      <c r="E84" s="259">
        <v>0</v>
      </c>
      <c r="F84" s="247">
        <v>0</v>
      </c>
      <c r="G84" s="247">
        <v>0</v>
      </c>
      <c r="H84" s="247">
        <v>0</v>
      </c>
      <c r="I84" s="247">
        <v>0</v>
      </c>
      <c r="J84" s="247">
        <f>'padi ladang'!C15</f>
        <v>0</v>
      </c>
      <c r="K84" s="259">
        <v>0</v>
      </c>
      <c r="L84" s="247">
        <f>'padi ladang'!D15</f>
        <v>0</v>
      </c>
      <c r="M84" s="259">
        <v>0</v>
      </c>
      <c r="N84" s="248">
        <f>'padi ladang'!E15</f>
        <v>0</v>
      </c>
      <c r="O84" s="249">
        <f t="shared" si="29"/>
        <v>0</v>
      </c>
      <c r="P84" s="250">
        <f t="shared" si="29"/>
        <v>0</v>
      </c>
      <c r="Q84" s="282"/>
      <c r="R84" s="282"/>
      <c r="S84" s="297">
        <v>0</v>
      </c>
      <c r="T84" s="297"/>
      <c r="U84" s="283">
        <f>'padi ladang'!F15</f>
        <v>0</v>
      </c>
      <c r="V84" s="259">
        <v>0</v>
      </c>
      <c r="W84" s="297"/>
      <c r="X84" s="283">
        <f>'padi ladang'!G15</f>
        <v>0</v>
      </c>
      <c r="Y84" s="259">
        <v>0</v>
      </c>
      <c r="Z84" s="283">
        <f>'padi ladang'!H15</f>
        <v>0</v>
      </c>
      <c r="AA84" s="259">
        <v>0</v>
      </c>
      <c r="AB84" s="283">
        <f>'padi ladang'!I15</f>
        <v>0</v>
      </c>
      <c r="AC84" s="259">
        <v>0</v>
      </c>
      <c r="AD84" s="283">
        <f>'padi ladang'!J15</f>
        <v>0</v>
      </c>
      <c r="AE84" s="259">
        <v>0</v>
      </c>
      <c r="AF84" s="282">
        <f>'padi ladang'!K15</f>
        <v>0</v>
      </c>
      <c r="AG84" s="249">
        <f t="shared" si="27"/>
        <v>0</v>
      </c>
      <c r="AH84" s="284">
        <f t="shared" si="30"/>
        <v>0</v>
      </c>
      <c r="AI84" s="222">
        <f t="shared" si="28"/>
        <v>0</v>
      </c>
      <c r="AJ84" s="131">
        <f t="shared" si="28"/>
        <v>0</v>
      </c>
    </row>
    <row r="85" spans="1:36" ht="15.75" thickBot="1" x14ac:dyDescent="0.3">
      <c r="A85" s="260">
        <v>8</v>
      </c>
      <c r="B85" s="256" t="s">
        <v>25</v>
      </c>
      <c r="C85" s="261">
        <v>0</v>
      </c>
      <c r="D85" s="263">
        <v>0</v>
      </c>
      <c r="E85" s="261">
        <v>0</v>
      </c>
      <c r="F85" s="263">
        <v>0</v>
      </c>
      <c r="G85" s="263">
        <v>0</v>
      </c>
      <c r="H85" s="263">
        <v>0</v>
      </c>
      <c r="I85" s="263">
        <v>0</v>
      </c>
      <c r="J85" s="262">
        <f>'padi ladang'!C16</f>
        <v>0</v>
      </c>
      <c r="K85" s="261">
        <v>0</v>
      </c>
      <c r="L85" s="263">
        <f>'padi ladang'!D16</f>
        <v>0</v>
      </c>
      <c r="M85" s="261">
        <v>0</v>
      </c>
      <c r="N85" s="264">
        <f>'padi ladang'!E16</f>
        <v>0</v>
      </c>
      <c r="O85" s="265">
        <f t="shared" si="29"/>
        <v>0</v>
      </c>
      <c r="P85" s="266">
        <f t="shared" si="29"/>
        <v>0</v>
      </c>
      <c r="Q85" s="388"/>
      <c r="R85" s="388"/>
      <c r="S85" s="298">
        <v>0</v>
      </c>
      <c r="T85" s="298"/>
      <c r="U85" s="285">
        <f>'padi ladang'!F16</f>
        <v>0</v>
      </c>
      <c r="V85" s="261">
        <v>0</v>
      </c>
      <c r="W85" s="298"/>
      <c r="X85" s="285">
        <f>'padi ladang'!G16</f>
        <v>0</v>
      </c>
      <c r="Y85" s="261">
        <v>0</v>
      </c>
      <c r="Z85" s="285">
        <f>'padi ladang'!H16</f>
        <v>0</v>
      </c>
      <c r="AA85" s="261">
        <v>0</v>
      </c>
      <c r="AB85" s="285">
        <f>'padi ladang'!I16</f>
        <v>0</v>
      </c>
      <c r="AC85" s="261">
        <v>0</v>
      </c>
      <c r="AD85" s="285">
        <f>'padi ladang'!J16</f>
        <v>0</v>
      </c>
      <c r="AE85" s="261">
        <v>0</v>
      </c>
      <c r="AF85" s="289">
        <f>'padi ladang'!K16</f>
        <v>0</v>
      </c>
      <c r="AG85" s="265">
        <f t="shared" si="27"/>
        <v>0</v>
      </c>
      <c r="AH85" s="303">
        <f t="shared" si="30"/>
        <v>0</v>
      </c>
      <c r="AI85" s="223">
        <f t="shared" si="28"/>
        <v>0</v>
      </c>
      <c r="AJ85" s="304">
        <f t="shared" si="28"/>
        <v>0</v>
      </c>
    </row>
    <row r="86" spans="1:36" ht="16.5" thickTop="1" thickBot="1" x14ac:dyDescent="0.3">
      <c r="A86" s="545" t="s">
        <v>26</v>
      </c>
      <c r="B86" s="546"/>
      <c r="C86" s="291">
        <f>SUM(C78:C85)</f>
        <v>0</v>
      </c>
      <c r="D86" s="291">
        <f t="shared" ref="D86:AI86" si="31">SUM(D78:D85)</f>
        <v>0</v>
      </c>
      <c r="E86" s="291">
        <f t="shared" si="31"/>
        <v>0</v>
      </c>
      <c r="F86" s="291">
        <f t="shared" si="31"/>
        <v>0</v>
      </c>
      <c r="G86" s="291">
        <f t="shared" si="31"/>
        <v>20</v>
      </c>
      <c r="H86" s="291">
        <f t="shared" si="31"/>
        <v>5</v>
      </c>
      <c r="I86" s="291">
        <f t="shared" si="31"/>
        <v>5</v>
      </c>
      <c r="J86" s="291">
        <f t="shared" si="31"/>
        <v>10</v>
      </c>
      <c r="K86" s="291">
        <f t="shared" si="31"/>
        <v>0</v>
      </c>
      <c r="L86" s="291">
        <f t="shared" si="31"/>
        <v>0</v>
      </c>
      <c r="M86" s="291">
        <f t="shared" si="31"/>
        <v>0</v>
      </c>
      <c r="N86" s="286">
        <f t="shared" si="31"/>
        <v>0</v>
      </c>
      <c r="O86" s="277">
        <f t="shared" si="31"/>
        <v>25</v>
      </c>
      <c r="P86" s="301">
        <f t="shared" si="31"/>
        <v>15</v>
      </c>
      <c r="Q86" s="286"/>
      <c r="R86" s="286"/>
      <c r="S86" s="291">
        <f t="shared" si="31"/>
        <v>0</v>
      </c>
      <c r="T86" s="291"/>
      <c r="U86" s="291">
        <f t="shared" si="31"/>
        <v>0</v>
      </c>
      <c r="V86" s="291">
        <f t="shared" si="31"/>
        <v>0</v>
      </c>
      <c r="W86" s="291"/>
      <c r="X86" s="291">
        <f t="shared" si="31"/>
        <v>0</v>
      </c>
      <c r="Y86" s="291">
        <f t="shared" si="31"/>
        <v>0</v>
      </c>
      <c r="Z86" s="291">
        <f t="shared" si="31"/>
        <v>0</v>
      </c>
      <c r="AA86" s="291">
        <f t="shared" si="31"/>
        <v>0</v>
      </c>
      <c r="AB86" s="291">
        <f t="shared" si="31"/>
        <v>0</v>
      </c>
      <c r="AC86" s="291">
        <f t="shared" si="31"/>
        <v>0</v>
      </c>
      <c r="AD86" s="291">
        <f t="shared" si="31"/>
        <v>0</v>
      </c>
      <c r="AE86" s="291">
        <f t="shared" si="31"/>
        <v>0</v>
      </c>
      <c r="AF86" s="286">
        <f t="shared" si="31"/>
        <v>35</v>
      </c>
      <c r="AG86" s="277">
        <f t="shared" si="31"/>
        <v>0</v>
      </c>
      <c r="AH86" s="278">
        <f t="shared" si="31"/>
        <v>35</v>
      </c>
      <c r="AI86" s="277">
        <f t="shared" si="31"/>
        <v>25</v>
      </c>
      <c r="AJ86" s="133">
        <f>SUM(AJ78:AJ85)</f>
        <v>50</v>
      </c>
    </row>
    <row r="87" spans="1:36" x14ac:dyDescent="0.25">
      <c r="A87" t="s">
        <v>118</v>
      </c>
    </row>
    <row r="88" spans="1:36" ht="15.75" x14ac:dyDescent="0.25">
      <c r="A88" s="516" t="s">
        <v>97</v>
      </c>
      <c r="B88" s="516"/>
      <c r="C88" s="516"/>
      <c r="D88" s="516"/>
      <c r="E88" s="516"/>
      <c r="F88" s="516"/>
      <c r="G88" s="516"/>
      <c r="H88" s="516"/>
      <c r="I88" s="516"/>
      <c r="J88" s="516"/>
      <c r="K88" s="516"/>
      <c r="L88" s="516"/>
      <c r="M88" s="516"/>
      <c r="N88" s="516"/>
      <c r="O88" s="516"/>
      <c r="P88" s="516"/>
      <c r="Q88" s="516"/>
      <c r="R88" s="516"/>
      <c r="S88" s="516"/>
      <c r="T88" s="516"/>
      <c r="U88" s="516"/>
      <c r="V88" s="516"/>
      <c r="W88" s="516"/>
      <c r="X88" s="516"/>
      <c r="Y88" s="516"/>
      <c r="Z88" s="516"/>
      <c r="AA88" s="516"/>
      <c r="AB88" s="516"/>
      <c r="AC88" s="516"/>
      <c r="AD88" s="516"/>
      <c r="AE88" s="516"/>
      <c r="AF88" s="516"/>
      <c r="AG88" s="516"/>
      <c r="AH88" s="516"/>
      <c r="AI88" s="516"/>
      <c r="AJ88" s="516"/>
    </row>
    <row r="89" spans="1:36" ht="15.75" x14ac:dyDescent="0.25">
      <c r="A89" s="516" t="s">
        <v>82</v>
      </c>
      <c r="B89" s="516"/>
      <c r="C89" s="516"/>
      <c r="D89" s="516"/>
      <c r="E89" s="516"/>
      <c r="F89" s="516"/>
      <c r="G89" s="516"/>
      <c r="H89" s="516"/>
      <c r="I89" s="516"/>
      <c r="J89" s="516"/>
      <c r="K89" s="516"/>
      <c r="L89" s="516"/>
      <c r="M89" s="516"/>
      <c r="N89" s="516"/>
      <c r="O89" s="516"/>
      <c r="P89" s="516"/>
      <c r="Q89" s="516"/>
      <c r="R89" s="516"/>
      <c r="S89" s="516"/>
      <c r="T89" s="516"/>
      <c r="U89" s="516"/>
      <c r="V89" s="516"/>
      <c r="W89" s="516"/>
      <c r="X89" s="516"/>
      <c r="Y89" s="516"/>
      <c r="Z89" s="516"/>
      <c r="AA89" s="516"/>
      <c r="AB89" s="516"/>
      <c r="AC89" s="516"/>
      <c r="AD89" s="516"/>
      <c r="AE89" s="516"/>
      <c r="AF89" s="516"/>
      <c r="AG89" s="516"/>
      <c r="AH89" s="516"/>
      <c r="AI89" s="516"/>
      <c r="AJ89" s="516"/>
    </row>
    <row r="90" spans="1:36" ht="15.75" thickBot="1" x14ac:dyDescent="0.3">
      <c r="AJ90" s="77" t="s">
        <v>1</v>
      </c>
    </row>
    <row r="91" spans="1:36" x14ac:dyDescent="0.25">
      <c r="A91" s="541" t="s">
        <v>2</v>
      </c>
      <c r="B91" s="543" t="s">
        <v>3</v>
      </c>
      <c r="C91" s="539" t="s">
        <v>114</v>
      </c>
      <c r="D91" s="540"/>
      <c r="E91" s="540"/>
      <c r="F91" s="540"/>
      <c r="G91" s="540"/>
      <c r="H91" s="540"/>
      <c r="I91" s="540"/>
      <c r="J91" s="540"/>
      <c r="K91" s="540"/>
      <c r="L91" s="540"/>
      <c r="M91" s="540"/>
      <c r="N91" s="540"/>
      <c r="O91" s="535" t="s">
        <v>84</v>
      </c>
      <c r="P91" s="536"/>
      <c r="Q91" s="385"/>
      <c r="R91" s="385"/>
      <c r="S91" s="552">
        <v>2016</v>
      </c>
      <c r="T91" s="552"/>
      <c r="U91" s="551"/>
      <c r="V91" s="551"/>
      <c r="W91" s="551"/>
      <c r="X91" s="551"/>
      <c r="Y91" s="551"/>
      <c r="Z91" s="551"/>
      <c r="AA91" s="551"/>
      <c r="AB91" s="551"/>
      <c r="AC91" s="551"/>
      <c r="AD91" s="551"/>
      <c r="AE91" s="551"/>
      <c r="AF91" s="539"/>
      <c r="AG91" s="547" t="s">
        <v>85</v>
      </c>
      <c r="AH91" s="548"/>
      <c r="AI91" s="523" t="s">
        <v>5</v>
      </c>
      <c r="AJ91" s="524"/>
    </row>
    <row r="92" spans="1:36" x14ac:dyDescent="0.25">
      <c r="A92" s="542"/>
      <c r="B92" s="544"/>
      <c r="C92" s="527" t="s">
        <v>15</v>
      </c>
      <c r="D92" s="527"/>
      <c r="E92" s="527" t="s">
        <v>16</v>
      </c>
      <c r="F92" s="527"/>
      <c r="G92" s="527" t="s">
        <v>17</v>
      </c>
      <c r="H92" s="527"/>
      <c r="I92" s="527" t="s">
        <v>6</v>
      </c>
      <c r="J92" s="527"/>
      <c r="K92" s="527" t="s">
        <v>115</v>
      </c>
      <c r="L92" s="527"/>
      <c r="M92" s="527" t="s">
        <v>78</v>
      </c>
      <c r="N92" s="532"/>
      <c r="O92" s="537"/>
      <c r="P92" s="538"/>
      <c r="Q92" s="386"/>
      <c r="R92" s="386"/>
      <c r="S92" s="533" t="s">
        <v>79</v>
      </c>
      <c r="T92" s="533"/>
      <c r="U92" s="534"/>
      <c r="V92" s="532" t="s">
        <v>10</v>
      </c>
      <c r="W92" s="533"/>
      <c r="X92" s="534"/>
      <c r="Y92" s="532" t="s">
        <v>11</v>
      </c>
      <c r="Z92" s="534"/>
      <c r="AA92" s="532" t="s">
        <v>12</v>
      </c>
      <c r="AB92" s="534"/>
      <c r="AC92" s="532" t="s">
        <v>80</v>
      </c>
      <c r="AD92" s="534"/>
      <c r="AE92" s="532" t="s">
        <v>81</v>
      </c>
      <c r="AF92" s="533"/>
      <c r="AG92" s="549"/>
      <c r="AH92" s="550"/>
      <c r="AI92" s="525"/>
      <c r="AJ92" s="526"/>
    </row>
    <row r="93" spans="1:36" x14ac:dyDescent="0.25">
      <c r="A93" s="542"/>
      <c r="B93" s="544"/>
      <c r="C93" s="224" t="s">
        <v>116</v>
      </c>
      <c r="D93" s="316" t="s">
        <v>117</v>
      </c>
      <c r="E93" s="225" t="s">
        <v>116</v>
      </c>
      <c r="F93" s="316" t="s">
        <v>117</v>
      </c>
      <c r="G93" s="225" t="s">
        <v>116</v>
      </c>
      <c r="H93" s="316" t="s">
        <v>117</v>
      </c>
      <c r="I93" s="225" t="s">
        <v>116</v>
      </c>
      <c r="J93" s="316" t="s">
        <v>117</v>
      </c>
      <c r="K93" s="225" t="s">
        <v>116</v>
      </c>
      <c r="L93" s="316" t="s">
        <v>117</v>
      </c>
      <c r="M93" s="225" t="s">
        <v>116</v>
      </c>
      <c r="N93" s="317" t="s">
        <v>117</v>
      </c>
      <c r="O93" s="226" t="s">
        <v>116</v>
      </c>
      <c r="P93" s="318" t="s">
        <v>117</v>
      </c>
      <c r="Q93" s="317"/>
      <c r="R93" s="317"/>
      <c r="S93" s="312" t="s">
        <v>116</v>
      </c>
      <c r="T93" s="394"/>
      <c r="U93" s="314" t="s">
        <v>117</v>
      </c>
      <c r="V93" s="313" t="s">
        <v>116</v>
      </c>
      <c r="W93" s="313"/>
      <c r="X93" s="314" t="s">
        <v>117</v>
      </c>
      <c r="Y93" s="313" t="s">
        <v>116</v>
      </c>
      <c r="Z93" s="314" t="s">
        <v>117</v>
      </c>
      <c r="AA93" s="313" t="s">
        <v>116</v>
      </c>
      <c r="AB93" s="314" t="s">
        <v>117</v>
      </c>
      <c r="AC93" s="313" t="s">
        <v>116</v>
      </c>
      <c r="AD93" s="314" t="s">
        <v>117</v>
      </c>
      <c r="AE93" s="313" t="s">
        <v>116</v>
      </c>
      <c r="AF93" s="315" t="s">
        <v>117</v>
      </c>
      <c r="AG93" s="359" t="s">
        <v>116</v>
      </c>
      <c r="AH93" s="319" t="s">
        <v>117</v>
      </c>
      <c r="AI93" s="226" t="s">
        <v>116</v>
      </c>
      <c r="AJ93" s="320" t="s">
        <v>117</v>
      </c>
    </row>
    <row r="94" spans="1:36" ht="15.75" thickBot="1" x14ac:dyDescent="0.3">
      <c r="A94" s="228">
        <v>1</v>
      </c>
      <c r="B94" s="229">
        <v>2</v>
      </c>
      <c r="C94" s="229">
        <v>3</v>
      </c>
      <c r="D94" s="229">
        <v>4</v>
      </c>
      <c r="E94" s="229">
        <v>5</v>
      </c>
      <c r="F94" s="229">
        <v>6</v>
      </c>
      <c r="G94" s="229">
        <v>7</v>
      </c>
      <c r="H94" s="229">
        <v>8</v>
      </c>
      <c r="I94" s="229">
        <v>9</v>
      </c>
      <c r="J94" s="229">
        <v>10</v>
      </c>
      <c r="K94" s="229">
        <v>11</v>
      </c>
      <c r="L94" s="229">
        <v>12</v>
      </c>
      <c r="M94" s="230">
        <v>13</v>
      </c>
      <c r="N94" s="230">
        <v>14</v>
      </c>
      <c r="O94" s="231">
        <v>15</v>
      </c>
      <c r="P94" s="232">
        <v>16</v>
      </c>
      <c r="Q94" s="387"/>
      <c r="R94" s="387"/>
      <c r="S94" s="292">
        <v>17</v>
      </c>
      <c r="T94" s="292"/>
      <c r="U94" s="229">
        <v>18</v>
      </c>
      <c r="V94" s="229">
        <v>19</v>
      </c>
      <c r="W94" s="229"/>
      <c r="X94" s="229">
        <v>20</v>
      </c>
      <c r="Y94" s="229">
        <v>21</v>
      </c>
      <c r="Z94" s="229">
        <v>22</v>
      </c>
      <c r="AA94" s="229">
        <v>23</v>
      </c>
      <c r="AB94" s="229">
        <v>24</v>
      </c>
      <c r="AC94" s="229">
        <v>25</v>
      </c>
      <c r="AD94" s="229">
        <v>26</v>
      </c>
      <c r="AE94" s="229">
        <v>27</v>
      </c>
      <c r="AF94" s="230">
        <v>28</v>
      </c>
      <c r="AG94" s="231">
        <v>29</v>
      </c>
      <c r="AH94" s="308">
        <v>30</v>
      </c>
      <c r="AI94" s="292">
        <v>31</v>
      </c>
      <c r="AJ94" s="309">
        <v>32</v>
      </c>
    </row>
    <row r="95" spans="1:36" ht="15.75" thickTop="1" x14ac:dyDescent="0.25">
      <c r="A95" s="234">
        <v>1</v>
      </c>
      <c r="B95" s="235" t="s">
        <v>18</v>
      </c>
      <c r="C95" s="236">
        <v>0</v>
      </c>
      <c r="D95" s="237">
        <v>0</v>
      </c>
      <c r="E95" s="236">
        <v>0</v>
      </c>
      <c r="F95" s="237">
        <v>0</v>
      </c>
      <c r="G95" s="236">
        <v>0</v>
      </c>
      <c r="H95" s="237">
        <v>0</v>
      </c>
      <c r="I95" s="237">
        <v>1</v>
      </c>
      <c r="J95" s="237">
        <f>jagung!C9</f>
        <v>2</v>
      </c>
      <c r="K95" s="237">
        <v>1</v>
      </c>
      <c r="L95" s="237">
        <f>jagung!D9</f>
        <v>5</v>
      </c>
      <c r="M95" s="237">
        <v>0</v>
      </c>
      <c r="N95" s="238">
        <f>jagung!E9</f>
        <v>0</v>
      </c>
      <c r="O95" s="299">
        <f>SUM(C95,E95,G95,I95,K95,M95)</f>
        <v>2</v>
      </c>
      <c r="P95" s="300">
        <f>SUM(D95,F95,H95,J95,L95,N95)</f>
        <v>7</v>
      </c>
      <c r="Q95" s="280"/>
      <c r="R95" s="280"/>
      <c r="S95" s="305">
        <v>0</v>
      </c>
      <c r="T95" s="305"/>
      <c r="U95" s="281">
        <f>jagung!F9</f>
        <v>1</v>
      </c>
      <c r="V95" s="281">
        <v>0</v>
      </c>
      <c r="W95" s="281"/>
      <c r="X95" s="281">
        <f>jagung!G9</f>
        <v>0</v>
      </c>
      <c r="Y95" s="281">
        <v>0</v>
      </c>
      <c r="Z95" s="281">
        <f>jagung!H9</f>
        <v>0</v>
      </c>
      <c r="AA95" s="281">
        <v>0</v>
      </c>
      <c r="AB95" s="281">
        <f>jagung!I9</f>
        <v>0</v>
      </c>
      <c r="AC95" s="281">
        <v>3</v>
      </c>
      <c r="AD95" s="281">
        <f>jagung!J9</f>
        <v>0</v>
      </c>
      <c r="AE95" s="281">
        <v>0</v>
      </c>
      <c r="AF95" s="280">
        <f>jagung!K9</f>
        <v>1</v>
      </c>
      <c r="AG95" s="299">
        <f t="shared" ref="AG95:AG102" si="32">SUM(S95,V95,Y95,AA95,AC95,AE95)</f>
        <v>3</v>
      </c>
      <c r="AH95" s="302">
        <f>SUM(U95,X95,Z95,AB95,AD95,AF95)</f>
        <v>2</v>
      </c>
      <c r="AI95" s="305">
        <f t="shared" ref="AI95:AJ102" si="33">SUM(O95,AG95)</f>
        <v>5</v>
      </c>
      <c r="AJ95" s="287">
        <f t="shared" si="33"/>
        <v>9</v>
      </c>
    </row>
    <row r="96" spans="1:36" x14ac:dyDescent="0.25">
      <c r="A96" s="244">
        <v>2</v>
      </c>
      <c r="B96" s="245" t="s">
        <v>19</v>
      </c>
      <c r="C96" s="246">
        <v>0</v>
      </c>
      <c r="D96" s="247">
        <v>0</v>
      </c>
      <c r="E96" s="246">
        <v>0</v>
      </c>
      <c r="F96" s="247">
        <v>0</v>
      </c>
      <c r="G96" s="246">
        <v>0</v>
      </c>
      <c r="H96" s="247">
        <v>1</v>
      </c>
      <c r="I96" s="247">
        <v>0</v>
      </c>
      <c r="J96" s="247">
        <f>jagung!C10</f>
        <v>0</v>
      </c>
      <c r="K96" s="247">
        <v>0</v>
      </c>
      <c r="L96" s="247">
        <f>jagung!D10</f>
        <v>0</v>
      </c>
      <c r="M96" s="247">
        <v>0</v>
      </c>
      <c r="N96" s="248">
        <f>jagung!E10</f>
        <v>0</v>
      </c>
      <c r="O96" s="249">
        <f t="shared" ref="O96:P102" si="34">SUM(C96,E96,G96,I96,K96,M96)</f>
        <v>0</v>
      </c>
      <c r="P96" s="250">
        <f t="shared" si="34"/>
        <v>1</v>
      </c>
      <c r="Q96" s="282"/>
      <c r="R96" s="282"/>
      <c r="S96" s="306"/>
      <c r="T96" s="306"/>
      <c r="U96" s="283">
        <f>jagung!F10</f>
        <v>0</v>
      </c>
      <c r="V96" s="283">
        <v>1</v>
      </c>
      <c r="W96" s="283"/>
      <c r="X96" s="283">
        <f>jagung!G10</f>
        <v>1</v>
      </c>
      <c r="Y96" s="283">
        <v>0</v>
      </c>
      <c r="Z96" s="283">
        <f>jagung!H10</f>
        <v>0</v>
      </c>
      <c r="AA96" s="283">
        <v>0</v>
      </c>
      <c r="AB96" s="283">
        <f>jagung!I10</f>
        <v>1</v>
      </c>
      <c r="AC96" s="283">
        <v>2</v>
      </c>
      <c r="AD96" s="283">
        <f>jagung!J10</f>
        <v>0</v>
      </c>
      <c r="AE96" s="283">
        <v>0</v>
      </c>
      <c r="AF96" s="282">
        <f>jagung!K10</f>
        <v>0</v>
      </c>
      <c r="AG96" s="249">
        <f t="shared" si="32"/>
        <v>3</v>
      </c>
      <c r="AH96" s="284">
        <f t="shared" ref="AH96:AH102" si="35">SUM(U96,X96,Z96,AB96,AD96,AF96)</f>
        <v>2</v>
      </c>
      <c r="AI96" s="306">
        <f t="shared" si="33"/>
        <v>3</v>
      </c>
      <c r="AJ96" s="288">
        <f t="shared" si="33"/>
        <v>3</v>
      </c>
    </row>
    <row r="97" spans="1:36" x14ac:dyDescent="0.25">
      <c r="A97" s="244">
        <v>3</v>
      </c>
      <c r="B97" s="235" t="s">
        <v>20</v>
      </c>
      <c r="C97" s="254">
        <v>0</v>
      </c>
      <c r="D97" s="247">
        <v>0</v>
      </c>
      <c r="E97" s="254">
        <v>0</v>
      </c>
      <c r="F97" s="247">
        <v>2</v>
      </c>
      <c r="G97" s="254">
        <v>0</v>
      </c>
      <c r="H97" s="247">
        <v>2</v>
      </c>
      <c r="I97" s="247">
        <v>0</v>
      </c>
      <c r="J97" s="247">
        <f>jagung!C11</f>
        <v>1</v>
      </c>
      <c r="K97" s="247">
        <v>1</v>
      </c>
      <c r="L97" s="247">
        <f>jagung!D11</f>
        <v>0</v>
      </c>
      <c r="M97" s="247">
        <v>1</v>
      </c>
      <c r="N97" s="248">
        <f>jagung!E11</f>
        <v>0</v>
      </c>
      <c r="O97" s="249">
        <f t="shared" si="34"/>
        <v>2</v>
      </c>
      <c r="P97" s="250">
        <f t="shared" si="34"/>
        <v>5</v>
      </c>
      <c r="Q97" s="282"/>
      <c r="R97" s="282"/>
      <c r="S97" s="306">
        <v>0</v>
      </c>
      <c r="T97" s="306"/>
      <c r="U97" s="283">
        <f>jagung!F11</f>
        <v>0</v>
      </c>
      <c r="V97" s="283">
        <v>2</v>
      </c>
      <c r="W97" s="283"/>
      <c r="X97" s="283">
        <f>jagung!G11</f>
        <v>3</v>
      </c>
      <c r="Y97" s="283">
        <v>2</v>
      </c>
      <c r="Z97" s="283">
        <f>jagung!H11</f>
        <v>4</v>
      </c>
      <c r="AA97" s="283">
        <v>2</v>
      </c>
      <c r="AB97" s="283">
        <f>jagung!I11</f>
        <v>0</v>
      </c>
      <c r="AC97" s="283">
        <v>0</v>
      </c>
      <c r="AD97" s="283">
        <f>jagung!J11</f>
        <v>0</v>
      </c>
      <c r="AE97" s="283">
        <v>0</v>
      </c>
      <c r="AF97" s="282">
        <f>jagung!K11</f>
        <v>1</v>
      </c>
      <c r="AG97" s="249">
        <f t="shared" si="32"/>
        <v>6</v>
      </c>
      <c r="AH97" s="284">
        <f t="shared" si="35"/>
        <v>8</v>
      </c>
      <c r="AI97" s="306">
        <f t="shared" si="33"/>
        <v>8</v>
      </c>
      <c r="AJ97" s="288">
        <f t="shared" si="33"/>
        <v>13</v>
      </c>
    </row>
    <row r="98" spans="1:36" x14ac:dyDescent="0.25">
      <c r="A98" s="255">
        <v>4</v>
      </c>
      <c r="B98" s="256" t="s">
        <v>21</v>
      </c>
      <c r="C98" s="257">
        <v>0</v>
      </c>
      <c r="D98" s="247">
        <v>0</v>
      </c>
      <c r="E98" s="257">
        <v>0</v>
      </c>
      <c r="F98" s="247">
        <v>0</v>
      </c>
      <c r="G98" s="257">
        <v>0</v>
      </c>
      <c r="H98" s="247">
        <v>0</v>
      </c>
      <c r="I98" s="247">
        <v>0</v>
      </c>
      <c r="J98" s="247">
        <f>jagung!C12</f>
        <v>1</v>
      </c>
      <c r="K98" s="247">
        <v>0</v>
      </c>
      <c r="L98" s="247">
        <f>jagung!D12</f>
        <v>0</v>
      </c>
      <c r="M98" s="247">
        <v>1</v>
      </c>
      <c r="N98" s="248">
        <f>jagung!E12</f>
        <v>0</v>
      </c>
      <c r="O98" s="249">
        <f t="shared" si="34"/>
        <v>1</v>
      </c>
      <c r="P98" s="250">
        <f t="shared" si="34"/>
        <v>1</v>
      </c>
      <c r="Q98" s="282"/>
      <c r="R98" s="282"/>
      <c r="S98" s="306">
        <v>0</v>
      </c>
      <c r="T98" s="306"/>
      <c r="U98" s="283">
        <f>jagung!F12</f>
        <v>1</v>
      </c>
      <c r="V98" s="283">
        <v>1</v>
      </c>
      <c r="W98" s="283"/>
      <c r="X98" s="283">
        <f>jagung!G12</f>
        <v>1</v>
      </c>
      <c r="Y98" s="283">
        <v>0</v>
      </c>
      <c r="Z98" s="283">
        <f>jagung!H12</f>
        <v>0</v>
      </c>
      <c r="AA98" s="283">
        <v>2</v>
      </c>
      <c r="AB98" s="283">
        <f>jagung!I12</f>
        <v>1</v>
      </c>
      <c r="AC98" s="283">
        <v>0</v>
      </c>
      <c r="AD98" s="283">
        <f>jagung!J12</f>
        <v>0</v>
      </c>
      <c r="AE98" s="283">
        <v>0</v>
      </c>
      <c r="AF98" s="282">
        <f>jagung!K12</f>
        <v>1</v>
      </c>
      <c r="AG98" s="249">
        <f t="shared" si="32"/>
        <v>3</v>
      </c>
      <c r="AH98" s="284">
        <f t="shared" si="35"/>
        <v>4</v>
      </c>
      <c r="AI98" s="306">
        <f t="shared" si="33"/>
        <v>4</v>
      </c>
      <c r="AJ98" s="288">
        <f t="shared" si="33"/>
        <v>5</v>
      </c>
    </row>
    <row r="99" spans="1:36" x14ac:dyDescent="0.25">
      <c r="A99" s="255">
        <v>5</v>
      </c>
      <c r="B99" s="258" t="s">
        <v>22</v>
      </c>
      <c r="C99" s="259">
        <v>0</v>
      </c>
      <c r="D99" s="247">
        <v>1</v>
      </c>
      <c r="E99" s="259">
        <v>0</v>
      </c>
      <c r="F99" s="247">
        <v>0</v>
      </c>
      <c r="G99" s="259">
        <v>0</v>
      </c>
      <c r="H99" s="247">
        <v>0</v>
      </c>
      <c r="I99" s="247">
        <v>0</v>
      </c>
      <c r="J99" s="247">
        <f>jagung!C13</f>
        <v>0</v>
      </c>
      <c r="K99" s="247">
        <v>1</v>
      </c>
      <c r="L99" s="247">
        <f>jagung!D13</f>
        <v>0</v>
      </c>
      <c r="M99" s="247">
        <v>0</v>
      </c>
      <c r="N99" s="248">
        <f>jagung!E13</f>
        <v>1</v>
      </c>
      <c r="O99" s="249">
        <f t="shared" si="34"/>
        <v>1</v>
      </c>
      <c r="P99" s="250">
        <f t="shared" si="34"/>
        <v>2</v>
      </c>
      <c r="Q99" s="282"/>
      <c r="R99" s="282"/>
      <c r="S99" s="306">
        <v>0</v>
      </c>
      <c r="T99" s="306"/>
      <c r="U99" s="283">
        <f>jagung!F13</f>
        <v>0</v>
      </c>
      <c r="V99" s="283">
        <v>1</v>
      </c>
      <c r="W99" s="283"/>
      <c r="X99" s="283">
        <f>jagung!G13</f>
        <v>0</v>
      </c>
      <c r="Y99" s="283">
        <v>1</v>
      </c>
      <c r="Z99" s="283">
        <f>jagung!H13</f>
        <v>0</v>
      </c>
      <c r="AA99" s="283">
        <v>0</v>
      </c>
      <c r="AB99" s="283">
        <f>jagung!I13</f>
        <v>3</v>
      </c>
      <c r="AC99" s="283">
        <v>1</v>
      </c>
      <c r="AD99" s="283">
        <f>jagung!J13</f>
        <v>0</v>
      </c>
      <c r="AE99" s="283">
        <v>0</v>
      </c>
      <c r="AF99" s="282">
        <f>jagung!K13</f>
        <v>1</v>
      </c>
      <c r="AG99" s="249">
        <f t="shared" si="32"/>
        <v>3</v>
      </c>
      <c r="AH99" s="284">
        <f t="shared" si="35"/>
        <v>4</v>
      </c>
      <c r="AI99" s="306">
        <f t="shared" si="33"/>
        <v>4</v>
      </c>
      <c r="AJ99" s="288">
        <f t="shared" si="33"/>
        <v>6</v>
      </c>
    </row>
    <row r="100" spans="1:36" x14ac:dyDescent="0.25">
      <c r="A100" s="255">
        <v>6</v>
      </c>
      <c r="B100" s="258" t="s">
        <v>23</v>
      </c>
      <c r="C100" s="259">
        <v>0</v>
      </c>
      <c r="D100" s="247">
        <v>0</v>
      </c>
      <c r="E100" s="259">
        <v>0</v>
      </c>
      <c r="F100" s="247">
        <v>0</v>
      </c>
      <c r="G100" s="259">
        <v>0</v>
      </c>
      <c r="H100" s="247">
        <v>0</v>
      </c>
      <c r="I100" s="247">
        <v>0</v>
      </c>
      <c r="J100" s="247">
        <f>jagung!C14</f>
        <v>0</v>
      </c>
      <c r="K100" s="247">
        <v>0</v>
      </c>
      <c r="L100" s="247">
        <f>jagung!D14</f>
        <v>0</v>
      </c>
      <c r="M100" s="247">
        <v>0</v>
      </c>
      <c r="N100" s="248">
        <f>jagung!E14</f>
        <v>0</v>
      </c>
      <c r="O100" s="249">
        <f t="shared" si="34"/>
        <v>0</v>
      </c>
      <c r="P100" s="250">
        <f t="shared" si="34"/>
        <v>0</v>
      </c>
      <c r="Q100" s="282"/>
      <c r="R100" s="282"/>
      <c r="S100" s="306">
        <v>0</v>
      </c>
      <c r="T100" s="306"/>
      <c r="U100" s="283">
        <f>jagung!F14</f>
        <v>1</v>
      </c>
      <c r="V100" s="283">
        <v>1</v>
      </c>
      <c r="W100" s="283"/>
      <c r="X100" s="283">
        <f>jagung!G14</f>
        <v>0</v>
      </c>
      <c r="Y100" s="283">
        <v>0</v>
      </c>
      <c r="Z100" s="283">
        <f>jagung!H14</f>
        <v>0</v>
      </c>
      <c r="AA100" s="283">
        <v>0</v>
      </c>
      <c r="AB100" s="283">
        <f>jagung!I14</f>
        <v>0</v>
      </c>
      <c r="AC100" s="283">
        <v>0</v>
      </c>
      <c r="AD100" s="283">
        <f>jagung!J14</f>
        <v>0</v>
      </c>
      <c r="AE100" s="283">
        <v>0</v>
      </c>
      <c r="AF100" s="282">
        <f>jagung!K14</f>
        <v>2</v>
      </c>
      <c r="AG100" s="249">
        <f t="shared" si="32"/>
        <v>1</v>
      </c>
      <c r="AH100" s="284">
        <f t="shared" si="35"/>
        <v>3</v>
      </c>
      <c r="AI100" s="306">
        <f t="shared" si="33"/>
        <v>1</v>
      </c>
      <c r="AJ100" s="288">
        <f t="shared" si="33"/>
        <v>3</v>
      </c>
    </row>
    <row r="101" spans="1:36" x14ac:dyDescent="0.25">
      <c r="A101" s="255">
        <v>7</v>
      </c>
      <c r="B101" s="258" t="s">
        <v>24</v>
      </c>
      <c r="C101" s="259">
        <v>0</v>
      </c>
      <c r="D101" s="247">
        <v>0</v>
      </c>
      <c r="E101" s="259">
        <v>0</v>
      </c>
      <c r="F101" s="247">
        <v>0</v>
      </c>
      <c r="G101" s="259">
        <v>0</v>
      </c>
      <c r="H101" s="247">
        <v>0</v>
      </c>
      <c r="I101" s="247">
        <v>0</v>
      </c>
      <c r="J101" s="247">
        <f>jagung!C15</f>
        <v>0</v>
      </c>
      <c r="K101" s="247">
        <v>0</v>
      </c>
      <c r="L101" s="247">
        <f>jagung!D15</f>
        <v>0</v>
      </c>
      <c r="M101" s="247">
        <v>0</v>
      </c>
      <c r="N101" s="248">
        <f>jagung!E15</f>
        <v>0</v>
      </c>
      <c r="O101" s="249">
        <f t="shared" si="34"/>
        <v>0</v>
      </c>
      <c r="P101" s="250">
        <f t="shared" si="34"/>
        <v>0</v>
      </c>
      <c r="Q101" s="282"/>
      <c r="R101" s="282"/>
      <c r="S101" s="306">
        <v>0</v>
      </c>
      <c r="T101" s="306"/>
      <c r="U101" s="283">
        <f>jagung!F15</f>
        <v>0.2</v>
      </c>
      <c r="V101" s="283">
        <v>1</v>
      </c>
      <c r="W101" s="283"/>
      <c r="X101" s="283">
        <f>jagung!G15</f>
        <v>0</v>
      </c>
      <c r="Y101" s="283">
        <v>0</v>
      </c>
      <c r="Z101" s="283">
        <f>jagung!H15</f>
        <v>0</v>
      </c>
      <c r="AA101" s="283">
        <v>0</v>
      </c>
      <c r="AB101" s="283">
        <f>jagung!I15</f>
        <v>0</v>
      </c>
      <c r="AC101" s="283">
        <v>0</v>
      </c>
      <c r="AD101" s="283">
        <f>jagung!J15</f>
        <v>0.5</v>
      </c>
      <c r="AE101" s="283">
        <v>0</v>
      </c>
      <c r="AF101" s="282">
        <f>jagung!K15</f>
        <v>0</v>
      </c>
      <c r="AG101" s="249">
        <f t="shared" si="32"/>
        <v>1</v>
      </c>
      <c r="AH101" s="284">
        <f t="shared" si="35"/>
        <v>0.7</v>
      </c>
      <c r="AI101" s="306">
        <f t="shared" si="33"/>
        <v>1</v>
      </c>
      <c r="AJ101" s="288">
        <f t="shared" si="33"/>
        <v>0.7</v>
      </c>
    </row>
    <row r="102" spans="1:36" ht="15.75" thickBot="1" x14ac:dyDescent="0.3">
      <c r="A102" s="260">
        <v>8</v>
      </c>
      <c r="B102" s="256" t="s">
        <v>25</v>
      </c>
      <c r="C102" s="261">
        <v>0</v>
      </c>
      <c r="D102" s="263">
        <v>0</v>
      </c>
      <c r="E102" s="261">
        <v>0</v>
      </c>
      <c r="F102" s="263">
        <v>0</v>
      </c>
      <c r="G102" s="261">
        <v>0</v>
      </c>
      <c r="H102" s="263">
        <v>3</v>
      </c>
      <c r="I102" s="263">
        <v>0</v>
      </c>
      <c r="J102" s="262">
        <f>jagung!C16</f>
        <v>0</v>
      </c>
      <c r="K102" s="263">
        <v>0</v>
      </c>
      <c r="L102" s="263">
        <f>jagung!D16</f>
        <v>1</v>
      </c>
      <c r="M102" s="263">
        <v>1</v>
      </c>
      <c r="N102" s="264">
        <f>jagung!E16</f>
        <v>0</v>
      </c>
      <c r="O102" s="265">
        <f t="shared" si="34"/>
        <v>1</v>
      </c>
      <c r="P102" s="266">
        <f t="shared" si="34"/>
        <v>4</v>
      </c>
      <c r="Q102" s="388"/>
      <c r="R102" s="388"/>
      <c r="S102" s="307">
        <v>1</v>
      </c>
      <c r="T102" s="307"/>
      <c r="U102" s="285">
        <f>jagung!F16</f>
        <v>0</v>
      </c>
      <c r="V102" s="285">
        <v>0</v>
      </c>
      <c r="W102" s="285"/>
      <c r="X102" s="285">
        <f>jagung!G16</f>
        <v>1</v>
      </c>
      <c r="Y102" s="285">
        <v>2</v>
      </c>
      <c r="Z102" s="285">
        <f>jagung!H16</f>
        <v>0</v>
      </c>
      <c r="AA102" s="285">
        <v>0</v>
      </c>
      <c r="AB102" s="285">
        <f>jagung!I16</f>
        <v>0</v>
      </c>
      <c r="AC102" s="285">
        <v>0</v>
      </c>
      <c r="AD102" s="285">
        <f>jagung!J16</f>
        <v>1</v>
      </c>
      <c r="AE102" s="285">
        <v>0</v>
      </c>
      <c r="AF102" s="289">
        <f>jagung!K16</f>
        <v>0</v>
      </c>
      <c r="AG102" s="265">
        <f t="shared" si="32"/>
        <v>3</v>
      </c>
      <c r="AH102" s="303">
        <f t="shared" si="35"/>
        <v>2</v>
      </c>
      <c r="AI102" s="310">
        <f t="shared" si="33"/>
        <v>4</v>
      </c>
      <c r="AJ102" s="311">
        <f t="shared" si="33"/>
        <v>6</v>
      </c>
    </row>
    <row r="103" spans="1:36" ht="16.5" thickTop="1" thickBot="1" x14ac:dyDescent="0.3">
      <c r="A103" s="545" t="s">
        <v>26</v>
      </c>
      <c r="B103" s="546"/>
      <c r="C103" s="291">
        <f>SUM(C95:C102)</f>
        <v>0</v>
      </c>
      <c r="D103" s="291">
        <f t="shared" ref="D103:AJ103" si="36">SUM(D95:D102)</f>
        <v>1</v>
      </c>
      <c r="E103" s="291">
        <f t="shared" si="36"/>
        <v>0</v>
      </c>
      <c r="F103" s="291">
        <f t="shared" si="36"/>
        <v>2</v>
      </c>
      <c r="G103" s="291">
        <f t="shared" si="36"/>
        <v>0</v>
      </c>
      <c r="H103" s="291">
        <f t="shared" si="36"/>
        <v>6</v>
      </c>
      <c r="I103" s="291">
        <f t="shared" si="36"/>
        <v>1</v>
      </c>
      <c r="J103" s="291">
        <f t="shared" si="36"/>
        <v>4</v>
      </c>
      <c r="K103" s="291">
        <f t="shared" si="36"/>
        <v>3</v>
      </c>
      <c r="L103" s="291">
        <f t="shared" si="36"/>
        <v>6</v>
      </c>
      <c r="M103" s="291">
        <f t="shared" si="36"/>
        <v>3</v>
      </c>
      <c r="N103" s="286">
        <f t="shared" si="36"/>
        <v>1</v>
      </c>
      <c r="O103" s="277">
        <f t="shared" si="36"/>
        <v>7</v>
      </c>
      <c r="P103" s="301">
        <f t="shared" si="36"/>
        <v>20</v>
      </c>
      <c r="Q103" s="286"/>
      <c r="R103" s="286"/>
      <c r="S103" s="291">
        <f t="shared" si="36"/>
        <v>1</v>
      </c>
      <c r="T103" s="291"/>
      <c r="U103" s="291">
        <f t="shared" si="36"/>
        <v>3.2</v>
      </c>
      <c r="V103" s="291">
        <f t="shared" si="36"/>
        <v>7</v>
      </c>
      <c r="W103" s="291"/>
      <c r="X103" s="291">
        <f t="shared" si="36"/>
        <v>6</v>
      </c>
      <c r="Y103" s="291">
        <f t="shared" si="36"/>
        <v>5</v>
      </c>
      <c r="Z103" s="291">
        <f t="shared" si="36"/>
        <v>4</v>
      </c>
      <c r="AA103" s="291">
        <f t="shared" si="36"/>
        <v>4</v>
      </c>
      <c r="AB103" s="291">
        <f t="shared" si="36"/>
        <v>5</v>
      </c>
      <c r="AC103" s="291">
        <f t="shared" si="36"/>
        <v>6</v>
      </c>
      <c r="AD103" s="291">
        <f t="shared" si="36"/>
        <v>1.5</v>
      </c>
      <c r="AE103" s="291">
        <f t="shared" si="36"/>
        <v>0</v>
      </c>
      <c r="AF103" s="286">
        <f t="shared" si="36"/>
        <v>6</v>
      </c>
      <c r="AG103" s="277">
        <f t="shared" si="36"/>
        <v>23</v>
      </c>
      <c r="AH103" s="278">
        <f t="shared" si="36"/>
        <v>25.7</v>
      </c>
      <c r="AI103" s="291">
        <f t="shared" si="36"/>
        <v>30</v>
      </c>
      <c r="AJ103" s="290">
        <f t="shared" si="36"/>
        <v>45.7</v>
      </c>
    </row>
    <row r="104" spans="1:36" x14ac:dyDescent="0.25">
      <c r="A104" t="s">
        <v>118</v>
      </c>
    </row>
    <row r="105" spans="1:36" ht="15.75" x14ac:dyDescent="0.25">
      <c r="A105" s="516" t="s">
        <v>96</v>
      </c>
      <c r="B105" s="516"/>
      <c r="C105" s="516"/>
      <c r="D105" s="516"/>
      <c r="E105" s="516"/>
      <c r="F105" s="516"/>
      <c r="G105" s="516"/>
      <c r="H105" s="516"/>
      <c r="I105" s="516"/>
      <c r="J105" s="516"/>
      <c r="K105" s="516"/>
      <c r="L105" s="516"/>
      <c r="M105" s="516"/>
      <c r="N105" s="516"/>
      <c r="O105" s="516"/>
      <c r="P105" s="516"/>
      <c r="Q105" s="516"/>
      <c r="R105" s="516"/>
      <c r="S105" s="516"/>
      <c r="T105" s="516"/>
      <c r="U105" s="516"/>
      <c r="V105" s="516"/>
      <c r="W105" s="516"/>
      <c r="X105" s="516"/>
      <c r="Y105" s="516"/>
      <c r="Z105" s="516"/>
      <c r="AA105" s="516"/>
      <c r="AB105" s="516"/>
      <c r="AC105" s="516"/>
      <c r="AD105" s="516"/>
      <c r="AE105" s="516"/>
      <c r="AF105" s="516"/>
      <c r="AG105" s="516"/>
      <c r="AH105" s="516"/>
      <c r="AI105" s="516"/>
      <c r="AJ105" s="516"/>
    </row>
    <row r="106" spans="1:36" ht="15.75" x14ac:dyDescent="0.25">
      <c r="A106" s="516" t="s">
        <v>82</v>
      </c>
      <c r="B106" s="516"/>
      <c r="C106" s="516"/>
      <c r="D106" s="516"/>
      <c r="E106" s="516"/>
      <c r="F106" s="516"/>
      <c r="G106" s="516"/>
      <c r="H106" s="516"/>
      <c r="I106" s="516"/>
      <c r="J106" s="516"/>
      <c r="K106" s="516"/>
      <c r="L106" s="516"/>
      <c r="M106" s="516"/>
      <c r="N106" s="516"/>
      <c r="O106" s="516"/>
      <c r="P106" s="516"/>
      <c r="Q106" s="516"/>
      <c r="R106" s="516"/>
      <c r="S106" s="516"/>
      <c r="T106" s="516"/>
      <c r="U106" s="516"/>
      <c r="V106" s="516"/>
      <c r="W106" s="516"/>
      <c r="X106" s="516"/>
      <c r="Y106" s="516"/>
      <c r="Z106" s="516"/>
      <c r="AA106" s="516"/>
      <c r="AB106" s="516"/>
      <c r="AC106" s="516"/>
      <c r="AD106" s="516"/>
      <c r="AE106" s="516"/>
      <c r="AF106" s="516"/>
      <c r="AG106" s="516"/>
      <c r="AH106" s="516"/>
      <c r="AI106" s="516"/>
      <c r="AJ106" s="516"/>
    </row>
    <row r="107" spans="1:36" ht="15.75" thickBot="1" x14ac:dyDescent="0.3">
      <c r="AJ107" s="77" t="s">
        <v>1</v>
      </c>
    </row>
    <row r="108" spans="1:36" x14ac:dyDescent="0.25">
      <c r="A108" s="511" t="s">
        <v>2</v>
      </c>
      <c r="B108" s="513" t="s">
        <v>3</v>
      </c>
      <c r="C108" s="201"/>
      <c r="D108" s="517" t="s">
        <v>114</v>
      </c>
      <c r="E108" s="518"/>
      <c r="F108" s="518"/>
      <c r="G108" s="518"/>
      <c r="H108" s="518"/>
      <c r="I108" s="518"/>
      <c r="J108" s="518"/>
      <c r="K108" s="518"/>
      <c r="L108" s="518"/>
      <c r="M108" s="518"/>
      <c r="N108" s="518"/>
      <c r="O108" s="210"/>
      <c r="P108" s="519" t="s">
        <v>84</v>
      </c>
      <c r="Q108" s="210"/>
      <c r="R108" s="210"/>
      <c r="S108" s="210"/>
      <c r="T108" s="210"/>
      <c r="U108" s="518">
        <v>2016</v>
      </c>
      <c r="V108" s="518"/>
      <c r="W108" s="518"/>
      <c r="X108" s="518"/>
      <c r="Y108" s="518"/>
      <c r="Z108" s="518"/>
      <c r="AA108" s="518"/>
      <c r="AB108" s="518"/>
      <c r="AC108" s="518"/>
      <c r="AD108" s="518"/>
      <c r="AE108" s="518"/>
      <c r="AF108" s="518"/>
      <c r="AG108" s="210"/>
      <c r="AH108" s="519" t="s">
        <v>85</v>
      </c>
      <c r="AI108" s="210"/>
      <c r="AJ108" s="521" t="s">
        <v>5</v>
      </c>
    </row>
    <row r="109" spans="1:36" x14ac:dyDescent="0.25">
      <c r="A109" s="512"/>
      <c r="B109" s="499"/>
      <c r="C109" s="354"/>
      <c r="D109" s="355" t="s">
        <v>15</v>
      </c>
      <c r="E109" s="355"/>
      <c r="F109" s="355" t="s">
        <v>16</v>
      </c>
      <c r="G109" s="355"/>
      <c r="H109" s="355" t="s">
        <v>17</v>
      </c>
      <c r="I109" s="355"/>
      <c r="J109" s="355" t="s">
        <v>6</v>
      </c>
      <c r="K109" s="355"/>
      <c r="L109" s="355" t="s">
        <v>77</v>
      </c>
      <c r="M109" s="122"/>
      <c r="N109" s="122" t="s">
        <v>78</v>
      </c>
      <c r="O109" s="204"/>
      <c r="P109" s="520"/>
      <c r="Q109" s="97"/>
      <c r="R109" s="97"/>
      <c r="S109" s="97"/>
      <c r="T109" s="97"/>
      <c r="U109" s="112" t="s">
        <v>79</v>
      </c>
      <c r="V109" s="112"/>
      <c r="W109" s="112"/>
      <c r="X109" s="355" t="s">
        <v>10</v>
      </c>
      <c r="Y109" s="355"/>
      <c r="Z109" s="355" t="s">
        <v>11</v>
      </c>
      <c r="AA109" s="355"/>
      <c r="AB109" s="355" t="s">
        <v>12</v>
      </c>
      <c r="AC109" s="355"/>
      <c r="AD109" s="355" t="s">
        <v>80</v>
      </c>
      <c r="AE109" s="122"/>
      <c r="AF109" s="122" t="s">
        <v>81</v>
      </c>
      <c r="AG109" s="204"/>
      <c r="AH109" s="520"/>
      <c r="AI109" s="217"/>
      <c r="AJ109" s="522"/>
    </row>
    <row r="110" spans="1:36" ht="15.75" thickBot="1" x14ac:dyDescent="0.3">
      <c r="A110" s="114">
        <v>1</v>
      </c>
      <c r="B110" s="5">
        <v>2</v>
      </c>
      <c r="C110" s="5"/>
      <c r="D110" s="5">
        <v>3</v>
      </c>
      <c r="E110" s="5"/>
      <c r="F110" s="5">
        <v>4</v>
      </c>
      <c r="G110" s="5"/>
      <c r="H110" s="5">
        <v>5</v>
      </c>
      <c r="I110" s="5"/>
      <c r="J110" s="5">
        <v>6</v>
      </c>
      <c r="K110" s="5"/>
      <c r="L110" s="5">
        <v>7</v>
      </c>
      <c r="M110" s="123"/>
      <c r="N110" s="123">
        <v>8</v>
      </c>
      <c r="O110" s="205"/>
      <c r="P110" s="125">
        <v>9</v>
      </c>
      <c r="Q110" s="205"/>
      <c r="R110" s="205"/>
      <c r="S110" s="205"/>
      <c r="T110" s="205"/>
      <c r="U110" s="113">
        <v>10</v>
      </c>
      <c r="V110" s="113"/>
      <c r="W110" s="113"/>
      <c r="X110" s="5">
        <v>11</v>
      </c>
      <c r="Y110" s="5"/>
      <c r="Z110" s="5">
        <v>12</v>
      </c>
      <c r="AA110" s="5"/>
      <c r="AB110" s="5">
        <v>13</v>
      </c>
      <c r="AC110" s="5"/>
      <c r="AD110" s="5">
        <v>14</v>
      </c>
      <c r="AE110" s="123"/>
      <c r="AF110" s="123">
        <v>15</v>
      </c>
      <c r="AG110" s="205"/>
      <c r="AH110" s="125">
        <v>16</v>
      </c>
      <c r="AI110" s="205"/>
      <c r="AJ110" s="134">
        <v>17</v>
      </c>
    </row>
    <row r="111" spans="1:36" ht="15.75" thickTop="1" x14ac:dyDescent="0.25">
      <c r="A111" s="85">
        <v>1</v>
      </c>
      <c r="B111" s="7" t="s">
        <v>18</v>
      </c>
      <c r="C111" s="202"/>
      <c r="D111" s="139">
        <v>0</v>
      </c>
      <c r="E111" s="139"/>
      <c r="F111" s="139">
        <v>0</v>
      </c>
      <c r="G111" s="139"/>
      <c r="H111" s="139">
        <v>0</v>
      </c>
      <c r="I111" s="139"/>
      <c r="J111" s="139">
        <f>kedelai!C9</f>
        <v>0</v>
      </c>
      <c r="K111" s="139"/>
      <c r="L111" s="139">
        <f>kedelai!D9</f>
        <v>0</v>
      </c>
      <c r="M111" s="139"/>
      <c r="N111" s="139">
        <f>kedelai!E9</f>
        <v>0</v>
      </c>
      <c r="O111" s="206"/>
      <c r="P111" s="127">
        <f t="shared" ref="P111:P118" si="37">SUM(D111:N111)</f>
        <v>0</v>
      </c>
      <c r="Q111" s="211"/>
      <c r="R111" s="211"/>
      <c r="S111" s="211"/>
      <c r="T111" s="211"/>
      <c r="U111" s="162">
        <f>kedelai!F9</f>
        <v>0</v>
      </c>
      <c r="V111" s="162"/>
      <c r="W111" s="162"/>
      <c r="X111" s="162">
        <f>kedelai!G9</f>
        <v>0</v>
      </c>
      <c r="Y111" s="162"/>
      <c r="Z111" s="162">
        <f>kedelai!H9</f>
        <v>0</v>
      </c>
      <c r="AA111" s="162"/>
      <c r="AB111" s="162">
        <f>kedelai!I9</f>
        <v>0</v>
      </c>
      <c r="AC111" s="162"/>
      <c r="AD111" s="162">
        <f>kedelai!J9</f>
        <v>0</v>
      </c>
      <c r="AE111" s="162"/>
      <c r="AF111" s="162">
        <f>kedelai!K9</f>
        <v>0</v>
      </c>
      <c r="AG111" s="206"/>
      <c r="AH111" s="127">
        <f>SUM(U111:AF111)</f>
        <v>0</v>
      </c>
      <c r="AI111" s="211"/>
      <c r="AJ111" s="130">
        <f t="shared" ref="AJ111:AJ118" si="38">SUM(P111,AH111)</f>
        <v>0</v>
      </c>
    </row>
    <row r="112" spans="1:36" x14ac:dyDescent="0.25">
      <c r="A112" s="86">
        <v>2</v>
      </c>
      <c r="B112" s="12" t="s">
        <v>19</v>
      </c>
      <c r="C112" s="12"/>
      <c r="D112" s="60">
        <v>1</v>
      </c>
      <c r="E112" s="60"/>
      <c r="F112" s="60">
        <v>5</v>
      </c>
      <c r="G112" s="60"/>
      <c r="H112" s="60">
        <v>5</v>
      </c>
      <c r="I112" s="60"/>
      <c r="J112" s="60">
        <f>kedelai!C10</f>
        <v>5</v>
      </c>
      <c r="K112" s="60"/>
      <c r="L112" s="60">
        <f>kedelai!D10</f>
        <v>9</v>
      </c>
      <c r="M112" s="60"/>
      <c r="N112" s="60">
        <f>kedelai!E10</f>
        <v>6</v>
      </c>
      <c r="O112" s="207"/>
      <c r="P112" s="128">
        <f t="shared" si="37"/>
        <v>31</v>
      </c>
      <c r="Q112" s="212"/>
      <c r="R112" s="212"/>
      <c r="S112" s="212"/>
      <c r="T112" s="212"/>
      <c r="U112" s="135">
        <f>kedelai!F10</f>
        <v>0</v>
      </c>
      <c r="V112" s="135"/>
      <c r="W112" s="135"/>
      <c r="X112" s="135">
        <f>kedelai!G10</f>
        <v>0</v>
      </c>
      <c r="Y112" s="135"/>
      <c r="Z112" s="135">
        <f>kedelai!H10</f>
        <v>0</v>
      </c>
      <c r="AA112" s="135"/>
      <c r="AB112" s="135">
        <f>kedelai!I10</f>
        <v>0</v>
      </c>
      <c r="AC112" s="135"/>
      <c r="AD112" s="135">
        <f>kedelai!J10</f>
        <v>0</v>
      </c>
      <c r="AE112" s="207"/>
      <c r="AF112" s="164">
        <f>kedelai!K10</f>
        <v>0</v>
      </c>
      <c r="AG112" s="164"/>
      <c r="AH112" s="128">
        <f t="shared" ref="AH112:AH117" si="39">SUM(U112:AF112)</f>
        <v>0</v>
      </c>
      <c r="AI112" s="212"/>
      <c r="AJ112" s="131">
        <f t="shared" si="38"/>
        <v>31</v>
      </c>
    </row>
    <row r="113" spans="1:36" x14ac:dyDescent="0.25">
      <c r="A113" s="86">
        <v>3</v>
      </c>
      <c r="B113" s="7" t="s">
        <v>20</v>
      </c>
      <c r="C113" s="7"/>
      <c r="D113" s="60">
        <v>0</v>
      </c>
      <c r="E113" s="60"/>
      <c r="F113" s="60">
        <v>0</v>
      </c>
      <c r="G113" s="60"/>
      <c r="H113" s="60">
        <v>25</v>
      </c>
      <c r="I113" s="60"/>
      <c r="J113" s="60">
        <f>kedelai!C11</f>
        <v>15</v>
      </c>
      <c r="K113" s="60"/>
      <c r="L113" s="60">
        <f>kedelai!D11</f>
        <v>0</v>
      </c>
      <c r="M113" s="60"/>
      <c r="N113" s="60">
        <f>kedelai!E11</f>
        <v>0</v>
      </c>
      <c r="O113" s="207"/>
      <c r="P113" s="128">
        <f t="shared" si="37"/>
        <v>40</v>
      </c>
      <c r="Q113" s="212"/>
      <c r="R113" s="212"/>
      <c r="S113" s="212"/>
      <c r="T113" s="212"/>
      <c r="U113" s="135">
        <f>kedelai!F11</f>
        <v>0</v>
      </c>
      <c r="V113" s="135"/>
      <c r="W113" s="135"/>
      <c r="X113" s="135">
        <f>kedelai!G11</f>
        <v>0</v>
      </c>
      <c r="Y113" s="135"/>
      <c r="Z113" s="135">
        <f>kedelai!H11</f>
        <v>0</v>
      </c>
      <c r="AA113" s="135"/>
      <c r="AB113" s="135">
        <f>kedelai!I11</f>
        <v>0</v>
      </c>
      <c r="AC113" s="135"/>
      <c r="AD113" s="135">
        <f>kedelai!J11</f>
        <v>0</v>
      </c>
      <c r="AE113" s="207"/>
      <c r="AF113" s="164">
        <f>kedelai!K11</f>
        <v>0</v>
      </c>
      <c r="AG113" s="164"/>
      <c r="AH113" s="128">
        <f t="shared" si="39"/>
        <v>0</v>
      </c>
      <c r="AI113" s="212"/>
      <c r="AJ113" s="131">
        <f t="shared" si="38"/>
        <v>40</v>
      </c>
    </row>
    <row r="114" spans="1:36" x14ac:dyDescent="0.25">
      <c r="A114" s="87">
        <v>4</v>
      </c>
      <c r="B114" s="15" t="s">
        <v>21</v>
      </c>
      <c r="C114" s="15"/>
      <c r="D114" s="60">
        <v>0</v>
      </c>
      <c r="E114" s="60"/>
      <c r="F114" s="60">
        <v>0</v>
      </c>
      <c r="G114" s="60"/>
      <c r="H114" s="60">
        <v>0</v>
      </c>
      <c r="I114" s="60"/>
      <c r="J114" s="60">
        <f>kedelai!C12</f>
        <v>0</v>
      </c>
      <c r="K114" s="60"/>
      <c r="L114" s="60">
        <f>kedelai!D12</f>
        <v>0</v>
      </c>
      <c r="M114" s="60"/>
      <c r="N114" s="60">
        <f>kedelai!E12</f>
        <v>0</v>
      </c>
      <c r="O114" s="207"/>
      <c r="P114" s="128">
        <f t="shared" si="37"/>
        <v>0</v>
      </c>
      <c r="Q114" s="212"/>
      <c r="R114" s="212"/>
      <c r="S114" s="212"/>
      <c r="T114" s="212"/>
      <c r="U114" s="135">
        <f>kedelai!F12</f>
        <v>0</v>
      </c>
      <c r="V114" s="135"/>
      <c r="W114" s="135"/>
      <c r="X114" s="135">
        <f>kedelai!G12</f>
        <v>0</v>
      </c>
      <c r="Y114" s="135"/>
      <c r="Z114" s="135">
        <f>kedelai!H12</f>
        <v>0</v>
      </c>
      <c r="AA114" s="135"/>
      <c r="AB114" s="135">
        <f>kedelai!I12</f>
        <v>0</v>
      </c>
      <c r="AC114" s="135"/>
      <c r="AD114" s="135">
        <f>kedelai!J12</f>
        <v>0</v>
      </c>
      <c r="AE114" s="207"/>
      <c r="AF114" s="164">
        <f>kedelai!K12</f>
        <v>0</v>
      </c>
      <c r="AG114" s="164"/>
      <c r="AH114" s="128">
        <f t="shared" si="39"/>
        <v>0</v>
      </c>
      <c r="AI114" s="212"/>
      <c r="AJ114" s="131">
        <f t="shared" si="38"/>
        <v>0</v>
      </c>
    </row>
    <row r="115" spans="1:36" x14ac:dyDescent="0.25">
      <c r="A115" s="87">
        <v>5</v>
      </c>
      <c r="B115" s="19" t="s">
        <v>22</v>
      </c>
      <c r="C115" s="19"/>
      <c r="D115" s="60">
        <v>2</v>
      </c>
      <c r="E115" s="60"/>
      <c r="F115" s="60">
        <v>2</v>
      </c>
      <c r="G115" s="60"/>
      <c r="H115" s="60">
        <v>4</v>
      </c>
      <c r="I115" s="60"/>
      <c r="J115" s="60">
        <f>kedelai!C13</f>
        <v>0</v>
      </c>
      <c r="K115" s="60"/>
      <c r="L115" s="60">
        <f>kedelai!D13</f>
        <v>10</v>
      </c>
      <c r="M115" s="60"/>
      <c r="N115" s="60">
        <f>kedelai!E13</f>
        <v>25</v>
      </c>
      <c r="O115" s="207"/>
      <c r="P115" s="128">
        <f t="shared" si="37"/>
        <v>43</v>
      </c>
      <c r="Q115" s="212"/>
      <c r="R115" s="212"/>
      <c r="S115" s="212"/>
      <c r="T115" s="212"/>
      <c r="U115" s="135">
        <f>kedelai!F13</f>
        <v>0</v>
      </c>
      <c r="V115" s="135"/>
      <c r="W115" s="135"/>
      <c r="X115" s="135">
        <f>kedelai!G13</f>
        <v>0</v>
      </c>
      <c r="Y115" s="135"/>
      <c r="Z115" s="135">
        <f>kedelai!H13</f>
        <v>0</v>
      </c>
      <c r="AA115" s="135"/>
      <c r="AB115" s="135">
        <f>kedelai!I13</f>
        <v>0</v>
      </c>
      <c r="AC115" s="135"/>
      <c r="AD115" s="135">
        <f>kedelai!J13</f>
        <v>0</v>
      </c>
      <c r="AE115" s="207"/>
      <c r="AF115" s="164">
        <f>kedelai!K13</f>
        <v>0</v>
      </c>
      <c r="AG115" s="164"/>
      <c r="AH115" s="128">
        <f t="shared" si="39"/>
        <v>0</v>
      </c>
      <c r="AI115" s="212"/>
      <c r="AJ115" s="131">
        <f t="shared" si="38"/>
        <v>43</v>
      </c>
    </row>
    <row r="116" spans="1:36" x14ac:dyDescent="0.25">
      <c r="A116" s="87">
        <v>6</v>
      </c>
      <c r="B116" s="19" t="s">
        <v>23</v>
      </c>
      <c r="C116" s="19"/>
      <c r="D116" s="60">
        <v>0</v>
      </c>
      <c r="E116" s="60"/>
      <c r="F116" s="60">
        <v>0</v>
      </c>
      <c r="G116" s="60"/>
      <c r="H116" s="60">
        <v>0</v>
      </c>
      <c r="I116" s="60"/>
      <c r="J116" s="60">
        <f>kedelai!C14</f>
        <v>0</v>
      </c>
      <c r="K116" s="60"/>
      <c r="L116" s="60">
        <f>kedelai!D14</f>
        <v>0</v>
      </c>
      <c r="M116" s="60"/>
      <c r="N116" s="60">
        <f>kedelai!E14</f>
        <v>0</v>
      </c>
      <c r="O116" s="207"/>
      <c r="P116" s="128">
        <f t="shared" si="37"/>
        <v>0</v>
      </c>
      <c r="Q116" s="212"/>
      <c r="R116" s="212"/>
      <c r="S116" s="212"/>
      <c r="T116" s="212"/>
      <c r="U116" s="135">
        <f>kedelai!F14</f>
        <v>0</v>
      </c>
      <c r="V116" s="135"/>
      <c r="W116" s="135"/>
      <c r="X116" s="135">
        <f>kedelai!G14</f>
        <v>0</v>
      </c>
      <c r="Y116" s="135"/>
      <c r="Z116" s="135">
        <f>kedelai!H14</f>
        <v>0</v>
      </c>
      <c r="AA116" s="135"/>
      <c r="AB116" s="135">
        <f>kedelai!I14</f>
        <v>0</v>
      </c>
      <c r="AC116" s="135"/>
      <c r="AD116" s="135">
        <f>kedelai!J14</f>
        <v>0</v>
      </c>
      <c r="AE116" s="207"/>
      <c r="AF116" s="164">
        <f>kedelai!K14</f>
        <v>0</v>
      </c>
      <c r="AG116" s="164"/>
      <c r="AH116" s="128">
        <f t="shared" si="39"/>
        <v>0</v>
      </c>
      <c r="AI116" s="212"/>
      <c r="AJ116" s="131">
        <f t="shared" si="38"/>
        <v>0</v>
      </c>
    </row>
    <row r="117" spans="1:36" x14ac:dyDescent="0.25">
      <c r="A117" s="87">
        <v>7</v>
      </c>
      <c r="B117" s="19" t="s">
        <v>24</v>
      </c>
      <c r="C117" s="19"/>
      <c r="D117" s="60">
        <v>0</v>
      </c>
      <c r="E117" s="60"/>
      <c r="F117" s="60">
        <v>0</v>
      </c>
      <c r="G117" s="60"/>
      <c r="H117" s="60">
        <v>0</v>
      </c>
      <c r="I117" s="60"/>
      <c r="J117" s="60">
        <f>kedelai!C15</f>
        <v>0</v>
      </c>
      <c r="K117" s="60"/>
      <c r="L117" s="60">
        <f>kedelai!D15</f>
        <v>0</v>
      </c>
      <c r="M117" s="60"/>
      <c r="N117" s="60">
        <f>kedelai!E15</f>
        <v>0</v>
      </c>
      <c r="O117" s="207"/>
      <c r="P117" s="128">
        <f t="shared" si="37"/>
        <v>0</v>
      </c>
      <c r="Q117" s="212"/>
      <c r="R117" s="212"/>
      <c r="S117" s="212"/>
      <c r="T117" s="212"/>
      <c r="U117" s="135">
        <f>kedelai!F15</f>
        <v>0</v>
      </c>
      <c r="V117" s="135"/>
      <c r="W117" s="135"/>
      <c r="X117" s="135">
        <f>kedelai!G15</f>
        <v>0</v>
      </c>
      <c r="Y117" s="135"/>
      <c r="Z117" s="135">
        <f>kedelai!H15</f>
        <v>0</v>
      </c>
      <c r="AA117" s="135"/>
      <c r="AB117" s="135">
        <f>kedelai!I15</f>
        <v>0</v>
      </c>
      <c r="AC117" s="135"/>
      <c r="AD117" s="135">
        <f>kedelai!J15</f>
        <v>0</v>
      </c>
      <c r="AE117" s="207"/>
      <c r="AF117" s="164">
        <f>kedelai!K15</f>
        <v>0</v>
      </c>
      <c r="AG117" s="164"/>
      <c r="AH117" s="128">
        <f t="shared" si="39"/>
        <v>0</v>
      </c>
      <c r="AI117" s="212"/>
      <c r="AJ117" s="131">
        <f t="shared" si="38"/>
        <v>0</v>
      </c>
    </row>
    <row r="118" spans="1:36" ht="15.75" thickBot="1" x14ac:dyDescent="0.3">
      <c r="A118" s="88">
        <v>8</v>
      </c>
      <c r="B118" s="15" t="s">
        <v>25</v>
      </c>
      <c r="C118" s="203"/>
      <c r="D118" s="140">
        <v>0</v>
      </c>
      <c r="E118" s="140"/>
      <c r="F118" s="140">
        <v>0</v>
      </c>
      <c r="G118" s="140"/>
      <c r="H118" s="140">
        <v>2</v>
      </c>
      <c r="I118" s="140"/>
      <c r="J118" s="145">
        <f>kedelai!C16</f>
        <v>0</v>
      </c>
      <c r="K118" s="140"/>
      <c r="L118" s="140">
        <f>kedelai!D16</f>
        <v>0</v>
      </c>
      <c r="M118" s="140"/>
      <c r="N118" s="140">
        <f>kedelai!E16</f>
        <v>28</v>
      </c>
      <c r="O118" s="208"/>
      <c r="P118" s="129">
        <f t="shared" si="37"/>
        <v>30</v>
      </c>
      <c r="Q118" s="214"/>
      <c r="R118" s="214"/>
      <c r="S118" s="214"/>
      <c r="T118" s="214"/>
      <c r="U118" s="163">
        <f>kedelai!F16</f>
        <v>0</v>
      </c>
      <c r="V118" s="163"/>
      <c r="W118" s="163"/>
      <c r="X118" s="163">
        <f>kedelai!G16</f>
        <v>0</v>
      </c>
      <c r="Y118" s="163"/>
      <c r="Z118" s="163">
        <f>kedelai!H16</f>
        <v>0</v>
      </c>
      <c r="AA118" s="163"/>
      <c r="AB118" s="163">
        <f>kedelai!I16</f>
        <v>0</v>
      </c>
      <c r="AC118" s="163"/>
      <c r="AD118" s="163">
        <f>kedelai!J16</f>
        <v>0</v>
      </c>
      <c r="AE118" s="163"/>
      <c r="AF118" s="163">
        <f>kedelai!K16</f>
        <v>0</v>
      </c>
      <c r="AG118" s="216"/>
      <c r="AH118" s="129">
        <f>SUM(U118:AF118)</f>
        <v>0</v>
      </c>
      <c r="AI118" s="214"/>
      <c r="AJ118" s="132">
        <f t="shared" si="38"/>
        <v>30</v>
      </c>
    </row>
    <row r="119" spans="1:36" ht="16.5" thickTop="1" thickBot="1" x14ac:dyDescent="0.3">
      <c r="A119" s="514" t="s">
        <v>26</v>
      </c>
      <c r="B119" s="515"/>
      <c r="C119" s="356"/>
      <c r="D119" s="115">
        <f t="shared" ref="D119:N119" si="40">SUM(D111:D118)</f>
        <v>3</v>
      </c>
      <c r="E119" s="115"/>
      <c r="F119" s="115">
        <f t="shared" si="40"/>
        <v>7</v>
      </c>
      <c r="G119" s="115"/>
      <c r="H119" s="115">
        <f t="shared" si="40"/>
        <v>36</v>
      </c>
      <c r="I119" s="115"/>
      <c r="J119" s="115">
        <f t="shared" si="40"/>
        <v>20</v>
      </c>
      <c r="K119" s="115"/>
      <c r="L119" s="115">
        <f t="shared" si="40"/>
        <v>19</v>
      </c>
      <c r="M119" s="124"/>
      <c r="N119" s="124">
        <f t="shared" si="40"/>
        <v>59</v>
      </c>
      <c r="O119" s="209"/>
      <c r="P119" s="126">
        <f>SUM(P111:P118)</f>
        <v>144</v>
      </c>
      <c r="Q119" s="213"/>
      <c r="R119" s="213"/>
      <c r="S119" s="213"/>
      <c r="T119" s="213"/>
      <c r="U119" s="136">
        <f t="shared" ref="U119:AF119" si="41">SUM(U111:U118)</f>
        <v>0</v>
      </c>
      <c r="V119" s="215"/>
      <c r="W119" s="215"/>
      <c r="X119" s="115">
        <f t="shared" si="41"/>
        <v>0</v>
      </c>
      <c r="Y119" s="115"/>
      <c r="Z119" s="115">
        <f t="shared" si="41"/>
        <v>0</v>
      </c>
      <c r="AA119" s="115"/>
      <c r="AB119" s="115">
        <f t="shared" si="41"/>
        <v>0</v>
      </c>
      <c r="AC119" s="115"/>
      <c r="AD119" s="115">
        <f t="shared" si="41"/>
        <v>0</v>
      </c>
      <c r="AE119" s="124"/>
      <c r="AF119" s="124">
        <f t="shared" si="41"/>
        <v>0</v>
      </c>
      <c r="AG119" s="209"/>
      <c r="AH119" s="126">
        <f>SUM(AH111:AH118)</f>
        <v>0</v>
      </c>
      <c r="AI119" s="209"/>
      <c r="AJ119" s="133">
        <f>SUM(AJ111:AJ118)</f>
        <v>144</v>
      </c>
    </row>
    <row r="121" spans="1:36" ht="15.75" x14ac:dyDescent="0.25">
      <c r="A121" s="516" t="s">
        <v>98</v>
      </c>
      <c r="B121" s="516"/>
      <c r="C121" s="516"/>
      <c r="D121" s="516"/>
      <c r="E121" s="516"/>
      <c r="F121" s="516"/>
      <c r="G121" s="516"/>
      <c r="H121" s="516"/>
      <c r="I121" s="516"/>
      <c r="J121" s="516"/>
      <c r="K121" s="516"/>
      <c r="L121" s="516"/>
      <c r="M121" s="516"/>
      <c r="N121" s="516"/>
      <c r="O121" s="516"/>
      <c r="P121" s="516"/>
      <c r="Q121" s="516"/>
      <c r="R121" s="516"/>
      <c r="S121" s="516"/>
      <c r="T121" s="516"/>
      <c r="U121" s="516"/>
      <c r="V121" s="516"/>
      <c r="W121" s="516"/>
      <c r="X121" s="516"/>
      <c r="Y121" s="516"/>
      <c r="Z121" s="516"/>
      <c r="AA121" s="516"/>
      <c r="AB121" s="516"/>
      <c r="AC121" s="516"/>
      <c r="AD121" s="516"/>
      <c r="AE121" s="516"/>
      <c r="AF121" s="516"/>
      <c r="AG121" s="516"/>
      <c r="AH121" s="516"/>
      <c r="AI121" s="516"/>
      <c r="AJ121" s="516"/>
    </row>
    <row r="122" spans="1:36" ht="15.75" x14ac:dyDescent="0.25">
      <c r="A122" s="516" t="s">
        <v>82</v>
      </c>
      <c r="B122" s="516"/>
      <c r="C122" s="516"/>
      <c r="D122" s="516"/>
      <c r="E122" s="516"/>
      <c r="F122" s="516"/>
      <c r="G122" s="516"/>
      <c r="H122" s="516"/>
      <c r="I122" s="516"/>
      <c r="J122" s="516"/>
      <c r="K122" s="516"/>
      <c r="L122" s="516"/>
      <c r="M122" s="516"/>
      <c r="N122" s="516"/>
      <c r="O122" s="516"/>
      <c r="P122" s="516"/>
      <c r="Q122" s="516"/>
      <c r="R122" s="516"/>
      <c r="S122" s="516"/>
      <c r="T122" s="516"/>
      <c r="U122" s="516"/>
      <c r="V122" s="516"/>
      <c r="W122" s="516"/>
      <c r="X122" s="516"/>
      <c r="Y122" s="516"/>
      <c r="Z122" s="516"/>
      <c r="AA122" s="516"/>
      <c r="AB122" s="516"/>
      <c r="AC122" s="516"/>
      <c r="AD122" s="516"/>
      <c r="AE122" s="516"/>
      <c r="AF122" s="516"/>
      <c r="AG122" s="516"/>
      <c r="AH122" s="516"/>
      <c r="AI122" s="516"/>
      <c r="AJ122" s="516"/>
    </row>
    <row r="123" spans="1:36" ht="15.75" thickBot="1" x14ac:dyDescent="0.3">
      <c r="AJ123" s="77" t="s">
        <v>1</v>
      </c>
    </row>
    <row r="124" spans="1:36" x14ac:dyDescent="0.25">
      <c r="A124" s="511" t="s">
        <v>2</v>
      </c>
      <c r="B124" s="513" t="s">
        <v>3</v>
      </c>
      <c r="C124" s="201"/>
      <c r="D124" s="517" t="s">
        <v>114</v>
      </c>
      <c r="E124" s="518"/>
      <c r="F124" s="518"/>
      <c r="G124" s="518"/>
      <c r="H124" s="518"/>
      <c r="I124" s="518"/>
      <c r="J124" s="518"/>
      <c r="K124" s="518"/>
      <c r="L124" s="518"/>
      <c r="M124" s="518"/>
      <c r="N124" s="518"/>
      <c r="O124" s="210"/>
      <c r="P124" s="519" t="s">
        <v>84</v>
      </c>
      <c r="Q124" s="210"/>
      <c r="R124" s="210"/>
      <c r="S124" s="210"/>
      <c r="T124" s="210"/>
      <c r="U124" s="518">
        <v>2016</v>
      </c>
      <c r="V124" s="518"/>
      <c r="W124" s="518"/>
      <c r="X124" s="518"/>
      <c r="Y124" s="518"/>
      <c r="Z124" s="518"/>
      <c r="AA124" s="518"/>
      <c r="AB124" s="518"/>
      <c r="AC124" s="518"/>
      <c r="AD124" s="518"/>
      <c r="AE124" s="518"/>
      <c r="AF124" s="518"/>
      <c r="AG124" s="210"/>
      <c r="AH124" s="519" t="s">
        <v>85</v>
      </c>
      <c r="AI124" s="210"/>
      <c r="AJ124" s="521" t="s">
        <v>5</v>
      </c>
    </row>
    <row r="125" spans="1:36" x14ac:dyDescent="0.25">
      <c r="A125" s="512"/>
      <c r="B125" s="499"/>
      <c r="C125" s="354"/>
      <c r="D125" s="355" t="s">
        <v>15</v>
      </c>
      <c r="E125" s="355"/>
      <c r="F125" s="355" t="s">
        <v>16</v>
      </c>
      <c r="G125" s="355"/>
      <c r="H125" s="355" t="s">
        <v>17</v>
      </c>
      <c r="I125" s="355"/>
      <c r="J125" s="355" t="s">
        <v>6</v>
      </c>
      <c r="K125" s="355"/>
      <c r="L125" s="355" t="s">
        <v>77</v>
      </c>
      <c r="M125" s="122"/>
      <c r="N125" s="122" t="s">
        <v>78</v>
      </c>
      <c r="O125" s="204"/>
      <c r="P125" s="520"/>
      <c r="Q125" s="97"/>
      <c r="R125" s="97"/>
      <c r="S125" s="97"/>
      <c r="T125" s="97"/>
      <c r="U125" s="112" t="s">
        <v>79</v>
      </c>
      <c r="V125" s="112"/>
      <c r="W125" s="112"/>
      <c r="X125" s="355" t="s">
        <v>10</v>
      </c>
      <c r="Y125" s="355"/>
      <c r="Z125" s="355" t="s">
        <v>11</v>
      </c>
      <c r="AA125" s="355"/>
      <c r="AB125" s="355" t="s">
        <v>12</v>
      </c>
      <c r="AC125" s="355"/>
      <c r="AD125" s="355" t="s">
        <v>80</v>
      </c>
      <c r="AE125" s="122"/>
      <c r="AF125" s="122" t="s">
        <v>81</v>
      </c>
      <c r="AG125" s="204"/>
      <c r="AH125" s="520"/>
      <c r="AI125" s="217"/>
      <c r="AJ125" s="522"/>
    </row>
    <row r="126" spans="1:36" ht="15.75" thickBot="1" x14ac:dyDescent="0.3">
      <c r="A126" s="114">
        <v>1</v>
      </c>
      <c r="B126" s="5">
        <v>2</v>
      </c>
      <c r="C126" s="5"/>
      <c r="D126" s="5">
        <v>3</v>
      </c>
      <c r="E126" s="5"/>
      <c r="F126" s="5">
        <v>4</v>
      </c>
      <c r="G126" s="5"/>
      <c r="H126" s="5">
        <v>5</v>
      </c>
      <c r="I126" s="5"/>
      <c r="J126" s="5">
        <v>6</v>
      </c>
      <c r="K126" s="5"/>
      <c r="L126" s="5">
        <v>7</v>
      </c>
      <c r="M126" s="123"/>
      <c r="N126" s="123">
        <v>8</v>
      </c>
      <c r="O126" s="205"/>
      <c r="P126" s="125">
        <v>9</v>
      </c>
      <c r="Q126" s="205"/>
      <c r="R126" s="205"/>
      <c r="S126" s="205"/>
      <c r="T126" s="205"/>
      <c r="U126" s="113">
        <v>10</v>
      </c>
      <c r="V126" s="113"/>
      <c r="W126" s="113"/>
      <c r="X126" s="5">
        <v>11</v>
      </c>
      <c r="Y126" s="5"/>
      <c r="Z126" s="5">
        <v>12</v>
      </c>
      <c r="AA126" s="5"/>
      <c r="AB126" s="5">
        <v>13</v>
      </c>
      <c r="AC126" s="5"/>
      <c r="AD126" s="5">
        <v>14</v>
      </c>
      <c r="AE126" s="123"/>
      <c r="AF126" s="123">
        <v>15</v>
      </c>
      <c r="AG126" s="205"/>
      <c r="AH126" s="125">
        <v>16</v>
      </c>
      <c r="AI126" s="205"/>
      <c r="AJ126" s="134">
        <v>17</v>
      </c>
    </row>
    <row r="127" spans="1:36" ht="15.75" thickTop="1" x14ac:dyDescent="0.25">
      <c r="A127" s="85">
        <v>1</v>
      </c>
      <c r="B127" s="7" t="s">
        <v>18</v>
      </c>
      <c r="C127" s="202"/>
      <c r="D127" s="139">
        <v>0</v>
      </c>
      <c r="E127" s="139"/>
      <c r="F127" s="139">
        <v>0</v>
      </c>
      <c r="G127" s="139"/>
      <c r="H127" s="139">
        <v>185</v>
      </c>
      <c r="I127" s="139"/>
      <c r="J127" s="139">
        <f>'kc tanah'!C9</f>
        <v>31</v>
      </c>
      <c r="K127" s="139"/>
      <c r="L127" s="139">
        <f>'kc tanah'!D9</f>
        <v>0</v>
      </c>
      <c r="M127" s="139"/>
      <c r="N127" s="139">
        <f>'kc tanah'!E9</f>
        <v>0</v>
      </c>
      <c r="O127" s="206"/>
      <c r="P127" s="127">
        <f t="shared" ref="P127:P134" si="42">SUM(D127:N127)</f>
        <v>216</v>
      </c>
      <c r="Q127" s="211"/>
      <c r="R127" s="211"/>
      <c r="S127" s="211"/>
      <c r="T127" s="211"/>
      <c r="U127" s="162">
        <f>'kc tanah'!F9</f>
        <v>25</v>
      </c>
      <c r="V127" s="162"/>
      <c r="W127" s="162"/>
      <c r="X127" s="162">
        <f>'kc tanah'!G9</f>
        <v>105</v>
      </c>
      <c r="Y127" s="162"/>
      <c r="Z127" s="162">
        <f>'kc tanah'!H9</f>
        <v>0</v>
      </c>
      <c r="AA127" s="162"/>
      <c r="AB127" s="162">
        <f>'kc tanah'!I9</f>
        <v>0</v>
      </c>
      <c r="AC127" s="162"/>
      <c r="AD127" s="162">
        <f>'kc tanah'!J9</f>
        <v>0</v>
      </c>
      <c r="AE127" s="162"/>
      <c r="AF127" s="162">
        <f>'kc tanah'!K9</f>
        <v>0</v>
      </c>
      <c r="AG127" s="206"/>
      <c r="AH127" s="127">
        <f>SUM(U127:AF127)</f>
        <v>130</v>
      </c>
      <c r="AI127" s="211"/>
      <c r="AJ127" s="130">
        <f t="shared" ref="AJ127:AJ134" si="43">SUM(P127,AH127)</f>
        <v>346</v>
      </c>
    </row>
    <row r="128" spans="1:36" x14ac:dyDescent="0.25">
      <c r="A128" s="86">
        <v>2</v>
      </c>
      <c r="B128" s="12" t="s">
        <v>19</v>
      </c>
      <c r="C128" s="12"/>
      <c r="D128" s="60">
        <v>1</v>
      </c>
      <c r="E128" s="60"/>
      <c r="F128" s="60">
        <v>3</v>
      </c>
      <c r="G128" s="60"/>
      <c r="H128" s="60">
        <v>57</v>
      </c>
      <c r="I128" s="60"/>
      <c r="J128" s="60">
        <f>'kc tanah'!C10</f>
        <v>125</v>
      </c>
      <c r="K128" s="60"/>
      <c r="L128" s="60">
        <f>'kc tanah'!D10</f>
        <v>0</v>
      </c>
      <c r="M128" s="60"/>
      <c r="N128" s="60">
        <f>'kc tanah'!E10</f>
        <v>0</v>
      </c>
      <c r="O128" s="207"/>
      <c r="P128" s="128">
        <f t="shared" si="42"/>
        <v>186</v>
      </c>
      <c r="Q128" s="212"/>
      <c r="R128" s="212"/>
      <c r="S128" s="212"/>
      <c r="T128" s="212"/>
      <c r="U128" s="135">
        <f>'kc tanah'!F10</f>
        <v>0</v>
      </c>
      <c r="V128" s="135"/>
      <c r="W128" s="135"/>
      <c r="X128" s="135">
        <f>'kc tanah'!G10</f>
        <v>0</v>
      </c>
      <c r="Y128" s="135"/>
      <c r="Z128" s="135">
        <f>'kc tanah'!H10</f>
        <v>0</v>
      </c>
      <c r="AA128" s="135"/>
      <c r="AB128" s="135">
        <f>'kc tanah'!I10</f>
        <v>0</v>
      </c>
      <c r="AC128" s="135"/>
      <c r="AD128" s="135">
        <f>'kc tanah'!J10</f>
        <v>0</v>
      </c>
      <c r="AE128" s="207"/>
      <c r="AF128" s="164">
        <f>'kc tanah'!K10</f>
        <v>0</v>
      </c>
      <c r="AG128" s="164"/>
      <c r="AH128" s="128">
        <f t="shared" ref="AH128:AH133" si="44">SUM(U128:AF128)</f>
        <v>0</v>
      </c>
      <c r="AI128" s="212"/>
      <c r="AJ128" s="131">
        <f t="shared" si="43"/>
        <v>186</v>
      </c>
    </row>
    <row r="129" spans="1:36" x14ac:dyDescent="0.25">
      <c r="A129" s="86">
        <v>3</v>
      </c>
      <c r="B129" s="7" t="s">
        <v>20</v>
      </c>
      <c r="C129" s="7"/>
      <c r="D129" s="60">
        <v>0</v>
      </c>
      <c r="E129" s="60"/>
      <c r="F129" s="60">
        <v>0</v>
      </c>
      <c r="G129" s="60"/>
      <c r="H129" s="60">
        <v>275</v>
      </c>
      <c r="I129" s="60"/>
      <c r="J129" s="60">
        <f>'kc tanah'!C11</f>
        <v>20</v>
      </c>
      <c r="K129" s="60"/>
      <c r="L129" s="60">
        <f>'kc tanah'!D11</f>
        <v>0</v>
      </c>
      <c r="M129" s="60"/>
      <c r="N129" s="60">
        <f>'kc tanah'!E11</f>
        <v>0</v>
      </c>
      <c r="O129" s="207"/>
      <c r="P129" s="128">
        <f t="shared" si="42"/>
        <v>295</v>
      </c>
      <c r="Q129" s="212"/>
      <c r="R129" s="212"/>
      <c r="S129" s="212"/>
      <c r="T129" s="212"/>
      <c r="U129" s="135">
        <f>'kc tanah'!F11</f>
        <v>280</v>
      </c>
      <c r="V129" s="135"/>
      <c r="W129" s="135"/>
      <c r="X129" s="135">
        <f>'kc tanah'!G11</f>
        <v>0</v>
      </c>
      <c r="Y129" s="135"/>
      <c r="Z129" s="135">
        <f>'kc tanah'!H11</f>
        <v>0</v>
      </c>
      <c r="AA129" s="135"/>
      <c r="AB129" s="135">
        <f>'kc tanah'!I11</f>
        <v>0</v>
      </c>
      <c r="AC129" s="135"/>
      <c r="AD129" s="135">
        <f>'kc tanah'!J11</f>
        <v>0</v>
      </c>
      <c r="AE129" s="207"/>
      <c r="AF129" s="164">
        <f>'kc tanah'!K11</f>
        <v>0</v>
      </c>
      <c r="AG129" s="164"/>
      <c r="AH129" s="128">
        <f t="shared" si="44"/>
        <v>280</v>
      </c>
      <c r="AI129" s="212"/>
      <c r="AJ129" s="131">
        <f t="shared" si="43"/>
        <v>575</v>
      </c>
    </row>
    <row r="130" spans="1:36" x14ac:dyDescent="0.25">
      <c r="A130" s="87">
        <v>4</v>
      </c>
      <c r="B130" s="15" t="s">
        <v>21</v>
      </c>
      <c r="C130" s="15"/>
      <c r="D130" s="60">
        <v>0</v>
      </c>
      <c r="E130" s="60"/>
      <c r="F130" s="60">
        <v>5</v>
      </c>
      <c r="G130" s="60"/>
      <c r="H130" s="60">
        <v>141</v>
      </c>
      <c r="I130" s="60"/>
      <c r="J130" s="60">
        <f>'kc tanah'!C12</f>
        <v>22</v>
      </c>
      <c r="K130" s="60"/>
      <c r="L130" s="60">
        <f>'kc tanah'!D12</f>
        <v>0</v>
      </c>
      <c r="M130" s="60"/>
      <c r="N130" s="60">
        <f>'kc tanah'!E12</f>
        <v>18</v>
      </c>
      <c r="O130" s="207"/>
      <c r="P130" s="128">
        <f t="shared" si="42"/>
        <v>186</v>
      </c>
      <c r="Q130" s="212"/>
      <c r="R130" s="212"/>
      <c r="S130" s="212"/>
      <c r="T130" s="212"/>
      <c r="U130" s="135">
        <f>'kc tanah'!F12</f>
        <v>0</v>
      </c>
      <c r="V130" s="135"/>
      <c r="W130" s="135"/>
      <c r="X130" s="135">
        <f>'kc tanah'!G12</f>
        <v>15</v>
      </c>
      <c r="Y130" s="135"/>
      <c r="Z130" s="135">
        <f>'kc tanah'!H12</f>
        <v>3</v>
      </c>
      <c r="AA130" s="135"/>
      <c r="AB130" s="135">
        <f>'kc tanah'!I12</f>
        <v>17</v>
      </c>
      <c r="AC130" s="135"/>
      <c r="AD130" s="135">
        <f>'kc tanah'!J12</f>
        <v>0</v>
      </c>
      <c r="AE130" s="207"/>
      <c r="AF130" s="164">
        <f>'kc tanah'!K12</f>
        <v>0</v>
      </c>
      <c r="AG130" s="164"/>
      <c r="AH130" s="128">
        <f t="shared" si="44"/>
        <v>35</v>
      </c>
      <c r="AI130" s="212"/>
      <c r="AJ130" s="131">
        <f t="shared" si="43"/>
        <v>221</v>
      </c>
    </row>
    <row r="131" spans="1:36" x14ac:dyDescent="0.25">
      <c r="A131" s="87">
        <v>5</v>
      </c>
      <c r="B131" s="19" t="s">
        <v>22</v>
      </c>
      <c r="C131" s="19"/>
      <c r="D131" s="60">
        <v>0</v>
      </c>
      <c r="E131" s="60"/>
      <c r="F131" s="60">
        <v>0</v>
      </c>
      <c r="G131" s="60"/>
      <c r="H131" s="60">
        <v>102</v>
      </c>
      <c r="I131" s="60"/>
      <c r="J131" s="60">
        <f>'kc tanah'!C13</f>
        <v>96</v>
      </c>
      <c r="K131" s="60"/>
      <c r="L131" s="60">
        <f>'kc tanah'!D13</f>
        <v>0</v>
      </c>
      <c r="M131" s="60"/>
      <c r="N131" s="60">
        <f>'kc tanah'!E13</f>
        <v>0</v>
      </c>
      <c r="O131" s="207"/>
      <c r="P131" s="128">
        <f t="shared" si="42"/>
        <v>198</v>
      </c>
      <c r="Q131" s="212"/>
      <c r="R131" s="212"/>
      <c r="S131" s="212"/>
      <c r="T131" s="212"/>
      <c r="U131" s="135">
        <f>'kc tanah'!F13</f>
        <v>115</v>
      </c>
      <c r="V131" s="135"/>
      <c r="W131" s="135"/>
      <c r="X131" s="135">
        <f>'kc tanah'!G13</f>
        <v>0</v>
      </c>
      <c r="Y131" s="135"/>
      <c r="Z131" s="135">
        <f>'kc tanah'!H13</f>
        <v>0</v>
      </c>
      <c r="AA131" s="135"/>
      <c r="AB131" s="135">
        <f>'kc tanah'!I13</f>
        <v>0</v>
      </c>
      <c r="AC131" s="135"/>
      <c r="AD131" s="135">
        <f>'kc tanah'!J13</f>
        <v>0</v>
      </c>
      <c r="AE131" s="207"/>
      <c r="AF131" s="164">
        <f>'kc tanah'!K13</f>
        <v>0</v>
      </c>
      <c r="AG131" s="164"/>
      <c r="AH131" s="128">
        <f t="shared" si="44"/>
        <v>115</v>
      </c>
      <c r="AI131" s="212"/>
      <c r="AJ131" s="131">
        <f t="shared" si="43"/>
        <v>313</v>
      </c>
    </row>
    <row r="132" spans="1:36" x14ac:dyDescent="0.25">
      <c r="A132" s="87">
        <v>6</v>
      </c>
      <c r="B132" s="19" t="s">
        <v>23</v>
      </c>
      <c r="C132" s="19"/>
      <c r="D132" s="60">
        <v>0</v>
      </c>
      <c r="E132" s="60"/>
      <c r="F132" s="60">
        <v>15</v>
      </c>
      <c r="G132" s="60"/>
      <c r="H132" s="60">
        <v>50</v>
      </c>
      <c r="I132" s="60"/>
      <c r="J132" s="60">
        <f>'kc tanah'!C14</f>
        <v>15</v>
      </c>
      <c r="K132" s="60"/>
      <c r="L132" s="60">
        <f>'kc tanah'!D14</f>
        <v>0</v>
      </c>
      <c r="M132" s="60"/>
      <c r="N132" s="60">
        <f>'kc tanah'!E14</f>
        <v>20</v>
      </c>
      <c r="O132" s="207"/>
      <c r="P132" s="128">
        <f t="shared" si="42"/>
        <v>100</v>
      </c>
      <c r="Q132" s="212"/>
      <c r="R132" s="212"/>
      <c r="S132" s="212"/>
      <c r="T132" s="212"/>
      <c r="U132" s="135">
        <f>'kc tanah'!F14</f>
        <v>30</v>
      </c>
      <c r="V132" s="135"/>
      <c r="W132" s="135"/>
      <c r="X132" s="135">
        <f>'kc tanah'!G14</f>
        <v>0</v>
      </c>
      <c r="Y132" s="135"/>
      <c r="Z132" s="135">
        <f>'kc tanah'!H14</f>
        <v>0</v>
      </c>
      <c r="AA132" s="135"/>
      <c r="AB132" s="135">
        <f>'kc tanah'!I14</f>
        <v>15</v>
      </c>
      <c r="AC132" s="135"/>
      <c r="AD132" s="135">
        <f>'kc tanah'!J14</f>
        <v>5</v>
      </c>
      <c r="AE132" s="207"/>
      <c r="AF132" s="164">
        <f>'kc tanah'!K14</f>
        <v>0</v>
      </c>
      <c r="AG132" s="164"/>
      <c r="AH132" s="128">
        <f t="shared" si="44"/>
        <v>50</v>
      </c>
      <c r="AI132" s="212"/>
      <c r="AJ132" s="131">
        <f t="shared" si="43"/>
        <v>150</v>
      </c>
    </row>
    <row r="133" spans="1:36" x14ac:dyDescent="0.25">
      <c r="A133" s="87">
        <v>7</v>
      </c>
      <c r="B133" s="19" t="s">
        <v>24</v>
      </c>
      <c r="C133" s="19"/>
      <c r="D133" s="60">
        <v>0</v>
      </c>
      <c r="E133" s="60"/>
      <c r="F133" s="60">
        <v>0</v>
      </c>
      <c r="G133" s="60"/>
      <c r="H133" s="60">
        <v>0</v>
      </c>
      <c r="I133" s="60"/>
      <c r="J133" s="60">
        <f>'kc tanah'!C15</f>
        <v>1</v>
      </c>
      <c r="K133" s="60"/>
      <c r="L133" s="60">
        <f>'kc tanah'!D15</f>
        <v>0</v>
      </c>
      <c r="M133" s="60"/>
      <c r="N133" s="60">
        <f>'kc tanah'!E15</f>
        <v>1</v>
      </c>
      <c r="O133" s="207"/>
      <c r="P133" s="128">
        <f t="shared" si="42"/>
        <v>2</v>
      </c>
      <c r="Q133" s="212"/>
      <c r="R133" s="212"/>
      <c r="S133" s="212"/>
      <c r="T133" s="212"/>
      <c r="U133" s="135">
        <f>'kc tanah'!F15</f>
        <v>0</v>
      </c>
      <c r="V133" s="135"/>
      <c r="W133" s="135"/>
      <c r="X133" s="135">
        <f>'kc tanah'!G15</f>
        <v>0</v>
      </c>
      <c r="Y133" s="135"/>
      <c r="Z133" s="135">
        <f>'kc tanah'!H15</f>
        <v>0</v>
      </c>
      <c r="AA133" s="135"/>
      <c r="AB133" s="135">
        <f>'kc tanah'!I15</f>
        <v>0</v>
      </c>
      <c r="AC133" s="135"/>
      <c r="AD133" s="135">
        <f>'kc tanah'!J15</f>
        <v>0</v>
      </c>
      <c r="AE133" s="207"/>
      <c r="AF133" s="164">
        <f>'kc tanah'!K15</f>
        <v>0</v>
      </c>
      <c r="AG133" s="164"/>
      <c r="AH133" s="128">
        <f t="shared" si="44"/>
        <v>0</v>
      </c>
      <c r="AI133" s="212"/>
      <c r="AJ133" s="131">
        <f t="shared" si="43"/>
        <v>2</v>
      </c>
    </row>
    <row r="134" spans="1:36" ht="15.75" thickBot="1" x14ac:dyDescent="0.3">
      <c r="A134" s="88">
        <v>8</v>
      </c>
      <c r="B134" s="15" t="s">
        <v>25</v>
      </c>
      <c r="C134" s="203"/>
      <c r="D134" s="140">
        <v>0</v>
      </c>
      <c r="E134" s="140"/>
      <c r="F134" s="140">
        <v>0</v>
      </c>
      <c r="G134" s="140"/>
      <c r="H134" s="140">
        <v>332</v>
      </c>
      <c r="I134" s="140"/>
      <c r="J134" s="140">
        <f>'kc tanah'!C16</f>
        <v>0</v>
      </c>
      <c r="K134" s="140"/>
      <c r="L134" s="140">
        <f>'kc tanah'!D16</f>
        <v>2</v>
      </c>
      <c r="M134" s="140"/>
      <c r="N134" s="140">
        <f>'kc tanah'!E16</f>
        <v>75</v>
      </c>
      <c r="O134" s="208"/>
      <c r="P134" s="129">
        <f t="shared" si="42"/>
        <v>409</v>
      </c>
      <c r="Q134" s="214"/>
      <c r="R134" s="214"/>
      <c r="S134" s="214"/>
      <c r="T134" s="214"/>
      <c r="U134" s="163">
        <f>'kc tanah'!F16</f>
        <v>248</v>
      </c>
      <c r="V134" s="163"/>
      <c r="W134" s="163"/>
      <c r="X134" s="163">
        <f>'kc tanah'!G16</f>
        <v>0</v>
      </c>
      <c r="Y134" s="163"/>
      <c r="Z134" s="163">
        <f>'kc tanah'!H16</f>
        <v>0</v>
      </c>
      <c r="AA134" s="163"/>
      <c r="AB134" s="163">
        <f>'kc tanah'!I16</f>
        <v>225</v>
      </c>
      <c r="AC134" s="163"/>
      <c r="AD134" s="163">
        <f>'kc tanah'!J16</f>
        <v>25</v>
      </c>
      <c r="AE134" s="163"/>
      <c r="AF134" s="163">
        <f>'kc tanah'!K16</f>
        <v>35</v>
      </c>
      <c r="AG134" s="216"/>
      <c r="AH134" s="129">
        <f>SUM(U134:AF134)</f>
        <v>533</v>
      </c>
      <c r="AI134" s="214"/>
      <c r="AJ134" s="132">
        <f t="shared" si="43"/>
        <v>942</v>
      </c>
    </row>
    <row r="135" spans="1:36" ht="16.5" thickTop="1" thickBot="1" x14ac:dyDescent="0.3">
      <c r="A135" s="514" t="s">
        <v>26</v>
      </c>
      <c r="B135" s="515"/>
      <c r="C135" s="356"/>
      <c r="D135" s="115">
        <f t="shared" ref="D135:N135" si="45">SUM(D127:D134)</f>
        <v>1</v>
      </c>
      <c r="E135" s="115"/>
      <c r="F135" s="115">
        <f t="shared" si="45"/>
        <v>23</v>
      </c>
      <c r="G135" s="115"/>
      <c r="H135" s="115">
        <f t="shared" si="45"/>
        <v>1142</v>
      </c>
      <c r="I135" s="115"/>
      <c r="J135" s="115">
        <f t="shared" si="45"/>
        <v>310</v>
      </c>
      <c r="K135" s="115"/>
      <c r="L135" s="115">
        <f t="shared" si="45"/>
        <v>2</v>
      </c>
      <c r="M135" s="124"/>
      <c r="N135" s="124">
        <f t="shared" si="45"/>
        <v>114</v>
      </c>
      <c r="O135" s="209"/>
      <c r="P135" s="126">
        <f>SUM(P127:P134)</f>
        <v>1592</v>
      </c>
      <c r="Q135" s="213"/>
      <c r="R135" s="213"/>
      <c r="S135" s="213"/>
      <c r="T135" s="213"/>
      <c r="U135" s="136">
        <f t="shared" ref="U135:AF135" si="46">SUM(U127:U134)</f>
        <v>698</v>
      </c>
      <c r="V135" s="215"/>
      <c r="W135" s="215"/>
      <c r="X135" s="115">
        <f t="shared" si="46"/>
        <v>120</v>
      </c>
      <c r="Y135" s="115"/>
      <c r="Z135" s="115">
        <f t="shared" si="46"/>
        <v>3</v>
      </c>
      <c r="AA135" s="115"/>
      <c r="AB135" s="115">
        <f t="shared" si="46"/>
        <v>257</v>
      </c>
      <c r="AC135" s="115"/>
      <c r="AD135" s="115">
        <f t="shared" si="46"/>
        <v>30</v>
      </c>
      <c r="AE135" s="124"/>
      <c r="AF135" s="124">
        <f t="shared" si="46"/>
        <v>35</v>
      </c>
      <c r="AG135" s="209"/>
      <c r="AH135" s="126">
        <f>SUM(AH127:AH134)</f>
        <v>1143</v>
      </c>
      <c r="AI135" s="209"/>
      <c r="AJ135" s="133">
        <f>SUM(AJ127:AJ134)</f>
        <v>2735</v>
      </c>
    </row>
    <row r="137" spans="1:36" ht="15.75" x14ac:dyDescent="0.25">
      <c r="A137" s="516" t="s">
        <v>99</v>
      </c>
      <c r="B137" s="516"/>
      <c r="C137" s="516"/>
      <c r="D137" s="516"/>
      <c r="E137" s="516"/>
      <c r="F137" s="516"/>
      <c r="G137" s="516"/>
      <c r="H137" s="516"/>
      <c r="I137" s="516"/>
      <c r="J137" s="516"/>
      <c r="K137" s="516"/>
      <c r="L137" s="516"/>
      <c r="M137" s="516"/>
      <c r="N137" s="516"/>
      <c r="O137" s="516"/>
      <c r="P137" s="516"/>
      <c r="Q137" s="516"/>
      <c r="R137" s="516"/>
      <c r="S137" s="516"/>
      <c r="T137" s="516"/>
      <c r="U137" s="516"/>
      <c r="V137" s="516"/>
      <c r="W137" s="516"/>
      <c r="X137" s="516"/>
      <c r="Y137" s="516"/>
      <c r="Z137" s="516"/>
      <c r="AA137" s="516"/>
      <c r="AB137" s="516"/>
      <c r="AC137" s="516"/>
      <c r="AD137" s="516"/>
      <c r="AE137" s="516"/>
      <c r="AF137" s="516"/>
      <c r="AG137" s="516"/>
      <c r="AH137" s="516"/>
      <c r="AI137" s="516"/>
      <c r="AJ137" s="516"/>
    </row>
    <row r="138" spans="1:36" ht="15.75" x14ac:dyDescent="0.25">
      <c r="A138" s="516" t="s">
        <v>82</v>
      </c>
      <c r="B138" s="516"/>
      <c r="C138" s="516"/>
      <c r="D138" s="516"/>
      <c r="E138" s="516"/>
      <c r="F138" s="516"/>
      <c r="G138" s="516"/>
      <c r="H138" s="516"/>
      <c r="I138" s="516"/>
      <c r="J138" s="516"/>
      <c r="K138" s="516"/>
      <c r="L138" s="516"/>
      <c r="M138" s="516"/>
      <c r="N138" s="516"/>
      <c r="O138" s="516"/>
      <c r="P138" s="516"/>
      <c r="Q138" s="516"/>
      <c r="R138" s="516"/>
      <c r="S138" s="516"/>
      <c r="T138" s="516"/>
      <c r="U138" s="516"/>
      <c r="V138" s="516"/>
      <c r="W138" s="516"/>
      <c r="X138" s="516"/>
      <c r="Y138" s="516"/>
      <c r="Z138" s="516"/>
      <c r="AA138" s="516"/>
      <c r="AB138" s="516"/>
      <c r="AC138" s="516"/>
      <c r="AD138" s="516"/>
      <c r="AE138" s="516"/>
      <c r="AF138" s="516"/>
      <c r="AG138" s="516"/>
      <c r="AH138" s="516"/>
      <c r="AI138" s="516"/>
      <c r="AJ138" s="516"/>
    </row>
    <row r="139" spans="1:36" ht="15.75" thickBot="1" x14ac:dyDescent="0.3">
      <c r="AJ139" s="77" t="s">
        <v>1</v>
      </c>
    </row>
    <row r="140" spans="1:36" x14ac:dyDescent="0.25">
      <c r="A140" s="511" t="s">
        <v>2</v>
      </c>
      <c r="B140" s="513" t="s">
        <v>3</v>
      </c>
      <c r="C140" s="201"/>
      <c r="D140" s="517" t="s">
        <v>114</v>
      </c>
      <c r="E140" s="518"/>
      <c r="F140" s="518"/>
      <c r="G140" s="518"/>
      <c r="H140" s="518"/>
      <c r="I140" s="518"/>
      <c r="J140" s="518"/>
      <c r="K140" s="518"/>
      <c r="L140" s="518"/>
      <c r="M140" s="518"/>
      <c r="N140" s="518"/>
      <c r="O140" s="210"/>
      <c r="P140" s="519" t="s">
        <v>84</v>
      </c>
      <c r="Q140" s="210"/>
      <c r="R140" s="210"/>
      <c r="S140" s="210"/>
      <c r="T140" s="210"/>
      <c r="U140" s="518">
        <v>2016</v>
      </c>
      <c r="V140" s="518"/>
      <c r="W140" s="518"/>
      <c r="X140" s="518"/>
      <c r="Y140" s="518"/>
      <c r="Z140" s="518"/>
      <c r="AA140" s="518"/>
      <c r="AB140" s="518"/>
      <c r="AC140" s="518"/>
      <c r="AD140" s="518"/>
      <c r="AE140" s="518"/>
      <c r="AF140" s="518"/>
      <c r="AG140" s="210"/>
      <c r="AH140" s="519" t="s">
        <v>85</v>
      </c>
      <c r="AI140" s="210"/>
      <c r="AJ140" s="521" t="s">
        <v>5</v>
      </c>
    </row>
    <row r="141" spans="1:36" x14ac:dyDescent="0.25">
      <c r="A141" s="512"/>
      <c r="B141" s="499"/>
      <c r="C141" s="354"/>
      <c r="D141" s="355" t="s">
        <v>15</v>
      </c>
      <c r="E141" s="355"/>
      <c r="F141" s="355" t="s">
        <v>16</v>
      </c>
      <c r="G141" s="355"/>
      <c r="H141" s="355" t="s">
        <v>17</v>
      </c>
      <c r="I141" s="355"/>
      <c r="J141" s="355" t="s">
        <v>6</v>
      </c>
      <c r="K141" s="355"/>
      <c r="L141" s="355" t="s">
        <v>77</v>
      </c>
      <c r="M141" s="122"/>
      <c r="N141" s="122" t="s">
        <v>78</v>
      </c>
      <c r="O141" s="204"/>
      <c r="P141" s="520"/>
      <c r="Q141" s="97"/>
      <c r="R141" s="97"/>
      <c r="S141" s="97"/>
      <c r="T141" s="97"/>
      <c r="U141" s="112" t="s">
        <v>79</v>
      </c>
      <c r="V141" s="112"/>
      <c r="W141" s="112"/>
      <c r="X141" s="355" t="s">
        <v>10</v>
      </c>
      <c r="Y141" s="355"/>
      <c r="Z141" s="355" t="s">
        <v>11</v>
      </c>
      <c r="AA141" s="355"/>
      <c r="AB141" s="355" t="s">
        <v>12</v>
      </c>
      <c r="AC141" s="355"/>
      <c r="AD141" s="355" t="s">
        <v>80</v>
      </c>
      <c r="AE141" s="122"/>
      <c r="AF141" s="122" t="s">
        <v>81</v>
      </c>
      <c r="AG141" s="204"/>
      <c r="AH141" s="520"/>
      <c r="AI141" s="217"/>
      <c r="AJ141" s="522"/>
    </row>
    <row r="142" spans="1:36" ht="15.75" thickBot="1" x14ac:dyDescent="0.3">
      <c r="A142" s="114">
        <v>1</v>
      </c>
      <c r="B142" s="5">
        <v>2</v>
      </c>
      <c r="C142" s="5"/>
      <c r="D142" s="5">
        <v>3</v>
      </c>
      <c r="E142" s="5"/>
      <c r="F142" s="5">
        <v>4</v>
      </c>
      <c r="G142" s="5"/>
      <c r="H142" s="5">
        <v>5</v>
      </c>
      <c r="I142" s="5"/>
      <c r="J142" s="5">
        <v>6</v>
      </c>
      <c r="K142" s="5"/>
      <c r="L142" s="5">
        <v>7</v>
      </c>
      <c r="M142" s="123"/>
      <c r="N142" s="123">
        <v>8</v>
      </c>
      <c r="O142" s="205"/>
      <c r="P142" s="125">
        <v>9</v>
      </c>
      <c r="Q142" s="205"/>
      <c r="R142" s="205"/>
      <c r="S142" s="205"/>
      <c r="T142" s="205"/>
      <c r="U142" s="113">
        <v>10</v>
      </c>
      <c r="V142" s="113"/>
      <c r="W142" s="113"/>
      <c r="X142" s="5">
        <v>11</v>
      </c>
      <c r="Y142" s="5"/>
      <c r="Z142" s="5">
        <v>12</v>
      </c>
      <c r="AA142" s="5"/>
      <c r="AB142" s="5">
        <v>13</v>
      </c>
      <c r="AC142" s="5"/>
      <c r="AD142" s="5">
        <v>14</v>
      </c>
      <c r="AE142" s="123"/>
      <c r="AF142" s="123">
        <v>15</v>
      </c>
      <c r="AG142" s="205"/>
      <c r="AH142" s="125">
        <v>16</v>
      </c>
      <c r="AI142" s="205"/>
      <c r="AJ142" s="134">
        <v>17</v>
      </c>
    </row>
    <row r="143" spans="1:36" ht="15.75" thickTop="1" x14ac:dyDescent="0.25">
      <c r="A143" s="85">
        <v>1</v>
      </c>
      <c r="B143" s="7" t="s">
        <v>18</v>
      </c>
      <c r="C143" s="202"/>
      <c r="D143" s="139">
        <v>0</v>
      </c>
      <c r="E143" s="139"/>
      <c r="F143" s="139">
        <v>0</v>
      </c>
      <c r="G143" s="139"/>
      <c r="H143" s="139">
        <v>1</v>
      </c>
      <c r="I143" s="139"/>
      <c r="J143" s="139">
        <f>'ubi kayu'!C9</f>
        <v>2</v>
      </c>
      <c r="K143" s="139"/>
      <c r="L143" s="139">
        <f>'ubi kayu'!D9</f>
        <v>10</v>
      </c>
      <c r="M143" s="139"/>
      <c r="N143" s="139">
        <f>'ubi kayu'!E9</f>
        <v>0</v>
      </c>
      <c r="O143" s="206"/>
      <c r="P143" s="127">
        <f t="shared" ref="P143:P150" si="47">SUM(D143:N143)</f>
        <v>13</v>
      </c>
      <c r="Q143" s="211"/>
      <c r="R143" s="211"/>
      <c r="S143" s="211"/>
      <c r="T143" s="211"/>
      <c r="U143" s="162">
        <f>'ubi kayu'!F9</f>
        <v>0</v>
      </c>
      <c r="V143" s="162"/>
      <c r="W143" s="162"/>
      <c r="X143" s="162">
        <f>'ubi kayu'!G9</f>
        <v>0</v>
      </c>
      <c r="Y143" s="162"/>
      <c r="Z143" s="162">
        <f>'ubi kayu'!H9</f>
        <v>0</v>
      </c>
      <c r="AA143" s="162"/>
      <c r="AB143" s="162">
        <f>'ubi kayu'!I9</f>
        <v>0</v>
      </c>
      <c r="AC143" s="162"/>
      <c r="AD143" s="162">
        <f>'ubi kayu'!J9</f>
        <v>0</v>
      </c>
      <c r="AE143" s="162"/>
      <c r="AF143" s="162">
        <f>'ubi kayu'!K9</f>
        <v>0</v>
      </c>
      <c r="AG143" s="206"/>
      <c r="AH143" s="127">
        <f>SUM(U143:AF143)</f>
        <v>0</v>
      </c>
      <c r="AI143" s="211"/>
      <c r="AJ143" s="130">
        <f t="shared" ref="AJ143:AJ150" si="48">SUM(P143,AH143)</f>
        <v>13</v>
      </c>
    </row>
    <row r="144" spans="1:36" x14ac:dyDescent="0.25">
      <c r="A144" s="86">
        <v>2</v>
      </c>
      <c r="B144" s="12" t="s">
        <v>19</v>
      </c>
      <c r="C144" s="12"/>
      <c r="D144" s="60">
        <v>0</v>
      </c>
      <c r="E144" s="60"/>
      <c r="F144" s="60">
        <v>0</v>
      </c>
      <c r="G144" s="60"/>
      <c r="H144" s="60">
        <v>0</v>
      </c>
      <c r="I144" s="60"/>
      <c r="J144" s="60">
        <f>'ubi kayu'!C10</f>
        <v>1</v>
      </c>
      <c r="K144" s="60"/>
      <c r="L144" s="60">
        <f>'ubi kayu'!D10</f>
        <v>0</v>
      </c>
      <c r="M144" s="60"/>
      <c r="N144" s="60">
        <f>'ubi kayu'!E10</f>
        <v>0</v>
      </c>
      <c r="O144" s="207"/>
      <c r="P144" s="128">
        <f t="shared" si="47"/>
        <v>1</v>
      </c>
      <c r="Q144" s="212"/>
      <c r="R144" s="212"/>
      <c r="S144" s="212"/>
      <c r="T144" s="212"/>
      <c r="U144" s="135">
        <f>'ubi kayu'!F10</f>
        <v>0</v>
      </c>
      <c r="V144" s="135"/>
      <c r="W144" s="135"/>
      <c r="X144" s="135">
        <f>'ubi kayu'!G10</f>
        <v>1</v>
      </c>
      <c r="Y144" s="135"/>
      <c r="Z144" s="135">
        <f>'ubi kayu'!H10</f>
        <v>1</v>
      </c>
      <c r="AA144" s="135"/>
      <c r="AB144" s="135">
        <f>'ubi kayu'!I10</f>
        <v>1</v>
      </c>
      <c r="AC144" s="135"/>
      <c r="AD144" s="135">
        <f>'ubi kayu'!J10</f>
        <v>0</v>
      </c>
      <c r="AE144" s="207"/>
      <c r="AF144" s="164">
        <f>'ubi kayu'!K10</f>
        <v>0</v>
      </c>
      <c r="AG144" s="164"/>
      <c r="AH144" s="128">
        <f t="shared" ref="AH144:AH149" si="49">SUM(U144:AF144)</f>
        <v>3</v>
      </c>
      <c r="AI144" s="212"/>
      <c r="AJ144" s="131">
        <f t="shared" si="48"/>
        <v>4</v>
      </c>
    </row>
    <row r="145" spans="1:36" x14ac:dyDescent="0.25">
      <c r="A145" s="86">
        <v>3</v>
      </c>
      <c r="B145" s="7" t="s">
        <v>20</v>
      </c>
      <c r="C145" s="7"/>
      <c r="D145" s="60">
        <v>0</v>
      </c>
      <c r="E145" s="60"/>
      <c r="F145" s="60">
        <v>0</v>
      </c>
      <c r="G145" s="60"/>
      <c r="H145" s="60">
        <v>3</v>
      </c>
      <c r="I145" s="60"/>
      <c r="J145" s="60">
        <f>'ubi kayu'!C11</f>
        <v>0</v>
      </c>
      <c r="K145" s="60"/>
      <c r="L145" s="60">
        <f>'ubi kayu'!D11</f>
        <v>0</v>
      </c>
      <c r="M145" s="60"/>
      <c r="N145" s="60">
        <f>'ubi kayu'!E11</f>
        <v>0</v>
      </c>
      <c r="O145" s="207"/>
      <c r="P145" s="128">
        <f t="shared" si="47"/>
        <v>3</v>
      </c>
      <c r="Q145" s="212"/>
      <c r="R145" s="212"/>
      <c r="S145" s="212"/>
      <c r="T145" s="212"/>
      <c r="U145" s="135">
        <f>'ubi kayu'!F11</f>
        <v>0</v>
      </c>
      <c r="V145" s="135"/>
      <c r="W145" s="135"/>
      <c r="X145" s="135">
        <f>'ubi kayu'!G11</f>
        <v>0</v>
      </c>
      <c r="Y145" s="135"/>
      <c r="Z145" s="135">
        <f>'ubi kayu'!H11</f>
        <v>0</v>
      </c>
      <c r="AA145" s="135"/>
      <c r="AB145" s="135">
        <f>'ubi kayu'!I11</f>
        <v>0</v>
      </c>
      <c r="AC145" s="135"/>
      <c r="AD145" s="135">
        <f>'ubi kayu'!J11</f>
        <v>0</v>
      </c>
      <c r="AE145" s="207"/>
      <c r="AF145" s="164">
        <f>'ubi kayu'!K11</f>
        <v>0</v>
      </c>
      <c r="AG145" s="164"/>
      <c r="AH145" s="128">
        <f t="shared" si="49"/>
        <v>0</v>
      </c>
      <c r="AI145" s="212"/>
      <c r="AJ145" s="131">
        <f t="shared" si="48"/>
        <v>3</v>
      </c>
    </row>
    <row r="146" spans="1:36" x14ac:dyDescent="0.25">
      <c r="A146" s="87">
        <v>4</v>
      </c>
      <c r="B146" s="15" t="s">
        <v>21</v>
      </c>
      <c r="C146" s="15"/>
      <c r="D146" s="60">
        <v>0</v>
      </c>
      <c r="E146" s="60"/>
      <c r="F146" s="60">
        <v>0</v>
      </c>
      <c r="G146" s="60"/>
      <c r="H146" s="60">
        <v>2</v>
      </c>
      <c r="I146" s="60"/>
      <c r="J146" s="60">
        <f>'ubi kayu'!C12</f>
        <v>0</v>
      </c>
      <c r="K146" s="60"/>
      <c r="L146" s="60">
        <f>'ubi kayu'!D12</f>
        <v>0</v>
      </c>
      <c r="M146" s="60"/>
      <c r="N146" s="60">
        <f>'ubi kayu'!E12</f>
        <v>0</v>
      </c>
      <c r="O146" s="207"/>
      <c r="P146" s="128">
        <f t="shared" si="47"/>
        <v>2</v>
      </c>
      <c r="Q146" s="212"/>
      <c r="R146" s="212"/>
      <c r="S146" s="212"/>
      <c r="T146" s="212"/>
      <c r="U146" s="135">
        <f>'ubi kayu'!F12</f>
        <v>0</v>
      </c>
      <c r="V146" s="135"/>
      <c r="W146" s="135"/>
      <c r="X146" s="135">
        <f>'ubi kayu'!G12</f>
        <v>2</v>
      </c>
      <c r="Y146" s="135"/>
      <c r="Z146" s="135">
        <f>'ubi kayu'!H12</f>
        <v>0</v>
      </c>
      <c r="AA146" s="135"/>
      <c r="AB146" s="135">
        <f>'ubi kayu'!I12</f>
        <v>0</v>
      </c>
      <c r="AC146" s="135"/>
      <c r="AD146" s="135">
        <f>'ubi kayu'!J12</f>
        <v>0</v>
      </c>
      <c r="AE146" s="207"/>
      <c r="AF146" s="164">
        <f>'ubi kayu'!K12</f>
        <v>2</v>
      </c>
      <c r="AG146" s="164"/>
      <c r="AH146" s="128">
        <f t="shared" si="49"/>
        <v>4</v>
      </c>
      <c r="AI146" s="212"/>
      <c r="AJ146" s="131">
        <f t="shared" si="48"/>
        <v>6</v>
      </c>
    </row>
    <row r="147" spans="1:36" x14ac:dyDescent="0.25">
      <c r="A147" s="87">
        <v>5</v>
      </c>
      <c r="B147" s="19" t="s">
        <v>22</v>
      </c>
      <c r="C147" s="19"/>
      <c r="D147" s="60">
        <v>0</v>
      </c>
      <c r="E147" s="60"/>
      <c r="F147" s="60">
        <v>0</v>
      </c>
      <c r="G147" s="60"/>
      <c r="H147" s="60">
        <v>1</v>
      </c>
      <c r="I147" s="60"/>
      <c r="J147" s="60">
        <f>'ubi kayu'!C13</f>
        <v>0</v>
      </c>
      <c r="K147" s="60"/>
      <c r="L147" s="60">
        <f>'ubi kayu'!D13</f>
        <v>0</v>
      </c>
      <c r="M147" s="60"/>
      <c r="N147" s="60">
        <f>'ubi kayu'!E13</f>
        <v>0</v>
      </c>
      <c r="O147" s="207"/>
      <c r="P147" s="128">
        <f t="shared" si="47"/>
        <v>1</v>
      </c>
      <c r="Q147" s="212"/>
      <c r="R147" s="212"/>
      <c r="S147" s="212"/>
      <c r="T147" s="212"/>
      <c r="U147" s="135">
        <f>'ubi kayu'!F13</f>
        <v>0</v>
      </c>
      <c r="V147" s="135"/>
      <c r="W147" s="135"/>
      <c r="X147" s="135">
        <f>'ubi kayu'!G13</f>
        <v>0</v>
      </c>
      <c r="Y147" s="135"/>
      <c r="Z147" s="135">
        <f>'ubi kayu'!H13</f>
        <v>0</v>
      </c>
      <c r="AA147" s="135"/>
      <c r="AB147" s="135">
        <f>'ubi kayu'!I13</f>
        <v>0</v>
      </c>
      <c r="AC147" s="135"/>
      <c r="AD147" s="135">
        <f>'ubi kayu'!J13</f>
        <v>0</v>
      </c>
      <c r="AE147" s="207"/>
      <c r="AF147" s="164">
        <f>'ubi kayu'!K13</f>
        <v>0</v>
      </c>
      <c r="AG147" s="164"/>
      <c r="AH147" s="128">
        <f t="shared" si="49"/>
        <v>0</v>
      </c>
      <c r="AI147" s="212"/>
      <c r="AJ147" s="131">
        <f t="shared" si="48"/>
        <v>1</v>
      </c>
    </row>
    <row r="148" spans="1:36" x14ac:dyDescent="0.25">
      <c r="A148" s="87">
        <v>6</v>
      </c>
      <c r="B148" s="19" t="s">
        <v>23</v>
      </c>
      <c r="C148" s="19"/>
      <c r="D148" s="60">
        <v>0</v>
      </c>
      <c r="E148" s="60"/>
      <c r="F148" s="60">
        <v>0</v>
      </c>
      <c r="G148" s="60"/>
      <c r="H148" s="60">
        <v>0</v>
      </c>
      <c r="I148" s="60"/>
      <c r="J148" s="60">
        <f>'ubi kayu'!C14</f>
        <v>0</v>
      </c>
      <c r="K148" s="60"/>
      <c r="L148" s="60">
        <f>'ubi kayu'!D14</f>
        <v>0</v>
      </c>
      <c r="M148" s="60"/>
      <c r="N148" s="60">
        <f>'ubi kayu'!E14</f>
        <v>5</v>
      </c>
      <c r="O148" s="207"/>
      <c r="P148" s="128">
        <f t="shared" si="47"/>
        <v>5</v>
      </c>
      <c r="Q148" s="212"/>
      <c r="R148" s="212"/>
      <c r="S148" s="212"/>
      <c r="T148" s="212"/>
      <c r="U148" s="135">
        <f>'ubi kayu'!F14</f>
        <v>0</v>
      </c>
      <c r="V148" s="135"/>
      <c r="W148" s="135"/>
      <c r="X148" s="135">
        <f>'ubi kayu'!G14</f>
        <v>0</v>
      </c>
      <c r="Y148" s="135"/>
      <c r="Z148" s="135">
        <f>'ubi kayu'!H14</f>
        <v>0</v>
      </c>
      <c r="AA148" s="135"/>
      <c r="AB148" s="135">
        <f>'ubi kayu'!I14</f>
        <v>3</v>
      </c>
      <c r="AC148" s="135"/>
      <c r="AD148" s="135">
        <f>'ubi kayu'!J14</f>
        <v>0</v>
      </c>
      <c r="AE148" s="207"/>
      <c r="AF148" s="164">
        <f>'ubi kayu'!K14</f>
        <v>0</v>
      </c>
      <c r="AG148" s="164"/>
      <c r="AH148" s="128">
        <f t="shared" si="49"/>
        <v>3</v>
      </c>
      <c r="AI148" s="212"/>
      <c r="AJ148" s="131">
        <f t="shared" si="48"/>
        <v>8</v>
      </c>
    </row>
    <row r="149" spans="1:36" x14ac:dyDescent="0.25">
      <c r="A149" s="87">
        <v>7</v>
      </c>
      <c r="B149" s="19" t="s">
        <v>24</v>
      </c>
      <c r="C149" s="19"/>
      <c r="D149" s="60">
        <v>0</v>
      </c>
      <c r="E149" s="60"/>
      <c r="F149" s="60">
        <v>0</v>
      </c>
      <c r="G149" s="60"/>
      <c r="H149" s="60">
        <v>0</v>
      </c>
      <c r="I149" s="60"/>
      <c r="J149" s="60">
        <f>'ubi kayu'!C15</f>
        <v>0</v>
      </c>
      <c r="K149" s="60"/>
      <c r="L149" s="60">
        <f>'ubi kayu'!D15</f>
        <v>0</v>
      </c>
      <c r="M149" s="60"/>
      <c r="N149" s="60">
        <f>'ubi kayu'!E15</f>
        <v>0</v>
      </c>
      <c r="O149" s="207"/>
      <c r="P149" s="128">
        <f t="shared" si="47"/>
        <v>0</v>
      </c>
      <c r="Q149" s="212"/>
      <c r="R149" s="212"/>
      <c r="S149" s="212"/>
      <c r="T149" s="212"/>
      <c r="U149" s="135">
        <f>'ubi kayu'!F15</f>
        <v>0</v>
      </c>
      <c r="V149" s="135"/>
      <c r="W149" s="135"/>
      <c r="X149" s="135">
        <f>'ubi kayu'!G15</f>
        <v>0</v>
      </c>
      <c r="Y149" s="135"/>
      <c r="Z149" s="135">
        <f>'ubi kayu'!H15</f>
        <v>0</v>
      </c>
      <c r="AA149" s="135"/>
      <c r="AB149" s="135">
        <f>'ubi kayu'!I15</f>
        <v>0</v>
      </c>
      <c r="AC149" s="135"/>
      <c r="AD149" s="135">
        <f>'ubi kayu'!J15</f>
        <v>0</v>
      </c>
      <c r="AE149" s="207"/>
      <c r="AF149" s="164">
        <f>'ubi kayu'!K15</f>
        <v>0</v>
      </c>
      <c r="AG149" s="164"/>
      <c r="AH149" s="128">
        <f t="shared" si="49"/>
        <v>0</v>
      </c>
      <c r="AI149" s="212"/>
      <c r="AJ149" s="131">
        <f t="shared" si="48"/>
        <v>0</v>
      </c>
    </row>
    <row r="150" spans="1:36" ht="15.75" thickBot="1" x14ac:dyDescent="0.3">
      <c r="A150" s="88">
        <v>8</v>
      </c>
      <c r="B150" s="15" t="s">
        <v>25</v>
      </c>
      <c r="C150" s="203"/>
      <c r="D150" s="140">
        <v>0</v>
      </c>
      <c r="E150" s="140"/>
      <c r="F150" s="140">
        <v>0</v>
      </c>
      <c r="G150" s="140"/>
      <c r="H150" s="140">
        <v>2</v>
      </c>
      <c r="I150" s="140"/>
      <c r="J150" s="145">
        <f>'ubi kayu'!C16</f>
        <v>0</v>
      </c>
      <c r="K150" s="140"/>
      <c r="L150" s="140">
        <f>'ubi kayu'!D16</f>
        <v>2</v>
      </c>
      <c r="M150" s="140"/>
      <c r="N150" s="140">
        <f>'ubi kayu'!E16</f>
        <v>2</v>
      </c>
      <c r="O150" s="208"/>
      <c r="P150" s="129">
        <f t="shared" si="47"/>
        <v>6</v>
      </c>
      <c r="Q150" s="214"/>
      <c r="R150" s="214"/>
      <c r="S150" s="214"/>
      <c r="T150" s="214"/>
      <c r="U150" s="163">
        <f>'ubi kayu'!F16</f>
        <v>2</v>
      </c>
      <c r="V150" s="163"/>
      <c r="W150" s="163"/>
      <c r="X150" s="163">
        <f>'ubi kayu'!G16</f>
        <v>0</v>
      </c>
      <c r="Y150" s="163"/>
      <c r="Z150" s="163">
        <f>'ubi kayu'!H16</f>
        <v>0</v>
      </c>
      <c r="AA150" s="163"/>
      <c r="AB150" s="163">
        <f>'ubi kayu'!I16</f>
        <v>2</v>
      </c>
      <c r="AC150" s="163"/>
      <c r="AD150" s="163">
        <f>'ubi kayu'!J16</f>
        <v>0</v>
      </c>
      <c r="AE150" s="163"/>
      <c r="AF150" s="163">
        <f>'ubi kayu'!K16</f>
        <v>3</v>
      </c>
      <c r="AG150" s="216"/>
      <c r="AH150" s="129">
        <f>SUM(U150:AF150)</f>
        <v>7</v>
      </c>
      <c r="AI150" s="214"/>
      <c r="AJ150" s="132">
        <f t="shared" si="48"/>
        <v>13</v>
      </c>
    </row>
    <row r="151" spans="1:36" ht="16.5" thickTop="1" thickBot="1" x14ac:dyDescent="0.3">
      <c r="A151" s="514" t="s">
        <v>26</v>
      </c>
      <c r="B151" s="515"/>
      <c r="C151" s="356"/>
      <c r="D151" s="115">
        <f t="shared" ref="D151:N151" si="50">SUM(D143:D150)</f>
        <v>0</v>
      </c>
      <c r="E151" s="115"/>
      <c r="F151" s="115">
        <f t="shared" si="50"/>
        <v>0</v>
      </c>
      <c r="G151" s="115"/>
      <c r="H151" s="115">
        <f t="shared" si="50"/>
        <v>9</v>
      </c>
      <c r="I151" s="115"/>
      <c r="J151" s="115">
        <f t="shared" si="50"/>
        <v>3</v>
      </c>
      <c r="K151" s="115"/>
      <c r="L151" s="115">
        <f t="shared" si="50"/>
        <v>12</v>
      </c>
      <c r="M151" s="124"/>
      <c r="N151" s="124">
        <f t="shared" si="50"/>
        <v>7</v>
      </c>
      <c r="O151" s="209"/>
      <c r="P151" s="126">
        <f>SUM(P143:P150)</f>
        <v>31</v>
      </c>
      <c r="Q151" s="213"/>
      <c r="R151" s="213"/>
      <c r="S151" s="213"/>
      <c r="T151" s="213"/>
      <c r="U151" s="136">
        <f t="shared" ref="U151:AF151" si="51">SUM(U143:U150)</f>
        <v>2</v>
      </c>
      <c r="V151" s="215"/>
      <c r="W151" s="215"/>
      <c r="X151" s="115">
        <f t="shared" si="51"/>
        <v>3</v>
      </c>
      <c r="Y151" s="115"/>
      <c r="Z151" s="115">
        <f t="shared" si="51"/>
        <v>1</v>
      </c>
      <c r="AA151" s="115"/>
      <c r="AB151" s="115">
        <f t="shared" si="51"/>
        <v>6</v>
      </c>
      <c r="AC151" s="115"/>
      <c r="AD151" s="115">
        <f t="shared" si="51"/>
        <v>0</v>
      </c>
      <c r="AE151" s="124"/>
      <c r="AF151" s="124">
        <f t="shared" si="51"/>
        <v>5</v>
      </c>
      <c r="AG151" s="209"/>
      <c r="AH151" s="126">
        <f>SUM(AH143:AH150)</f>
        <v>17</v>
      </c>
      <c r="AI151" s="209"/>
      <c r="AJ151" s="133">
        <f>SUM(AJ143:AJ150)</f>
        <v>48</v>
      </c>
    </row>
    <row r="153" spans="1:36" ht="15.75" x14ac:dyDescent="0.25">
      <c r="A153" s="516" t="s">
        <v>100</v>
      </c>
      <c r="B153" s="516"/>
      <c r="C153" s="516"/>
      <c r="D153" s="516"/>
      <c r="E153" s="516"/>
      <c r="F153" s="516"/>
      <c r="G153" s="516"/>
      <c r="H153" s="516"/>
      <c r="I153" s="516"/>
      <c r="J153" s="516"/>
      <c r="K153" s="516"/>
      <c r="L153" s="516"/>
      <c r="M153" s="516"/>
      <c r="N153" s="516"/>
      <c r="O153" s="516"/>
      <c r="P153" s="516"/>
      <c r="Q153" s="516"/>
      <c r="R153" s="516"/>
      <c r="S153" s="516"/>
      <c r="T153" s="516"/>
      <c r="U153" s="516"/>
      <c r="V153" s="516"/>
      <c r="W153" s="516"/>
      <c r="X153" s="516"/>
      <c r="Y153" s="516"/>
      <c r="Z153" s="516"/>
      <c r="AA153" s="516"/>
      <c r="AB153" s="516"/>
      <c r="AC153" s="516"/>
      <c r="AD153" s="516"/>
      <c r="AE153" s="516"/>
      <c r="AF153" s="516"/>
      <c r="AG153" s="516"/>
      <c r="AH153" s="516"/>
      <c r="AI153" s="516"/>
      <c r="AJ153" s="516"/>
    </row>
    <row r="154" spans="1:36" ht="15.75" x14ac:dyDescent="0.25">
      <c r="A154" s="516" t="s">
        <v>82</v>
      </c>
      <c r="B154" s="516"/>
      <c r="C154" s="516"/>
      <c r="D154" s="516"/>
      <c r="E154" s="516"/>
      <c r="F154" s="516"/>
      <c r="G154" s="516"/>
      <c r="H154" s="516"/>
      <c r="I154" s="516"/>
      <c r="J154" s="516"/>
      <c r="K154" s="516"/>
      <c r="L154" s="516"/>
      <c r="M154" s="516"/>
      <c r="N154" s="516"/>
      <c r="O154" s="516"/>
      <c r="P154" s="516"/>
      <c r="Q154" s="516"/>
      <c r="R154" s="516"/>
      <c r="S154" s="516"/>
      <c r="T154" s="516"/>
      <c r="U154" s="516"/>
      <c r="V154" s="516"/>
      <c r="W154" s="516"/>
      <c r="X154" s="516"/>
      <c r="Y154" s="516"/>
      <c r="Z154" s="516"/>
      <c r="AA154" s="516"/>
      <c r="AB154" s="516"/>
      <c r="AC154" s="516"/>
      <c r="AD154" s="516"/>
      <c r="AE154" s="516"/>
      <c r="AF154" s="516"/>
      <c r="AG154" s="516"/>
      <c r="AH154" s="516"/>
      <c r="AI154" s="516"/>
      <c r="AJ154" s="516"/>
    </row>
    <row r="155" spans="1:36" ht="15.75" thickBot="1" x14ac:dyDescent="0.3">
      <c r="AJ155" s="77" t="s">
        <v>1</v>
      </c>
    </row>
    <row r="156" spans="1:36" x14ac:dyDescent="0.25">
      <c r="A156" s="511" t="s">
        <v>2</v>
      </c>
      <c r="B156" s="513" t="s">
        <v>3</v>
      </c>
      <c r="C156" s="201"/>
      <c r="D156" s="517" t="s">
        <v>114</v>
      </c>
      <c r="E156" s="518"/>
      <c r="F156" s="518"/>
      <c r="G156" s="518"/>
      <c r="H156" s="518"/>
      <c r="I156" s="518"/>
      <c r="J156" s="518"/>
      <c r="K156" s="518"/>
      <c r="L156" s="518"/>
      <c r="M156" s="518"/>
      <c r="N156" s="518"/>
      <c r="O156" s="210"/>
      <c r="P156" s="519" t="s">
        <v>84</v>
      </c>
      <c r="Q156" s="210"/>
      <c r="R156" s="210"/>
      <c r="S156" s="210"/>
      <c r="T156" s="210"/>
      <c r="U156" s="518">
        <v>2016</v>
      </c>
      <c r="V156" s="518"/>
      <c r="W156" s="518"/>
      <c r="X156" s="518"/>
      <c r="Y156" s="518"/>
      <c r="Z156" s="518"/>
      <c r="AA156" s="518"/>
      <c r="AB156" s="518"/>
      <c r="AC156" s="518"/>
      <c r="AD156" s="518"/>
      <c r="AE156" s="518"/>
      <c r="AF156" s="518"/>
      <c r="AG156" s="210"/>
      <c r="AH156" s="519" t="s">
        <v>85</v>
      </c>
      <c r="AI156" s="210"/>
      <c r="AJ156" s="521" t="s">
        <v>5</v>
      </c>
    </row>
    <row r="157" spans="1:36" x14ac:dyDescent="0.25">
      <c r="A157" s="512"/>
      <c r="B157" s="499"/>
      <c r="C157" s="354"/>
      <c r="D157" s="355" t="s">
        <v>15</v>
      </c>
      <c r="E157" s="355"/>
      <c r="F157" s="355" t="s">
        <v>16</v>
      </c>
      <c r="G157" s="355"/>
      <c r="H157" s="355" t="s">
        <v>17</v>
      </c>
      <c r="I157" s="355"/>
      <c r="J157" s="355" t="s">
        <v>6</v>
      </c>
      <c r="K157" s="355"/>
      <c r="L157" s="355" t="s">
        <v>77</v>
      </c>
      <c r="M157" s="122"/>
      <c r="N157" s="122" t="s">
        <v>78</v>
      </c>
      <c r="O157" s="204"/>
      <c r="P157" s="520"/>
      <c r="Q157" s="97"/>
      <c r="R157" s="97"/>
      <c r="S157" s="97"/>
      <c r="T157" s="97"/>
      <c r="U157" s="112" t="s">
        <v>79</v>
      </c>
      <c r="V157" s="112"/>
      <c r="W157" s="112"/>
      <c r="X157" s="355" t="s">
        <v>10</v>
      </c>
      <c r="Y157" s="355"/>
      <c r="Z157" s="355" t="s">
        <v>11</v>
      </c>
      <c r="AA157" s="355"/>
      <c r="AB157" s="355" t="s">
        <v>12</v>
      </c>
      <c r="AC157" s="355"/>
      <c r="AD157" s="355" t="s">
        <v>80</v>
      </c>
      <c r="AE157" s="122"/>
      <c r="AF157" s="122" t="s">
        <v>81</v>
      </c>
      <c r="AG157" s="204"/>
      <c r="AH157" s="520"/>
      <c r="AI157" s="217"/>
      <c r="AJ157" s="522"/>
    </row>
    <row r="158" spans="1:36" ht="15.75" thickBot="1" x14ac:dyDescent="0.3">
      <c r="A158" s="114">
        <v>1</v>
      </c>
      <c r="B158" s="5">
        <v>2</v>
      </c>
      <c r="C158" s="5"/>
      <c r="D158" s="5">
        <v>3</v>
      </c>
      <c r="E158" s="5"/>
      <c r="F158" s="5">
        <v>4</v>
      </c>
      <c r="G158" s="5"/>
      <c r="H158" s="5">
        <v>5</v>
      </c>
      <c r="I158" s="5"/>
      <c r="J158" s="5">
        <v>6</v>
      </c>
      <c r="K158" s="5"/>
      <c r="L158" s="5">
        <v>7</v>
      </c>
      <c r="M158" s="123"/>
      <c r="N158" s="123">
        <v>8</v>
      </c>
      <c r="O158" s="205"/>
      <c r="P158" s="125">
        <v>9</v>
      </c>
      <c r="Q158" s="205"/>
      <c r="R158" s="205"/>
      <c r="S158" s="205"/>
      <c r="T158" s="205"/>
      <c r="U158" s="113">
        <v>10</v>
      </c>
      <c r="V158" s="113"/>
      <c r="W158" s="113"/>
      <c r="X158" s="5">
        <v>11</v>
      </c>
      <c r="Y158" s="5"/>
      <c r="Z158" s="5">
        <v>12</v>
      </c>
      <c r="AA158" s="5"/>
      <c r="AB158" s="5">
        <v>13</v>
      </c>
      <c r="AC158" s="5"/>
      <c r="AD158" s="5">
        <v>14</v>
      </c>
      <c r="AE158" s="123"/>
      <c r="AF158" s="123">
        <v>15</v>
      </c>
      <c r="AG158" s="205"/>
      <c r="AH158" s="125">
        <v>16</v>
      </c>
      <c r="AI158" s="205"/>
      <c r="AJ158" s="134">
        <v>17</v>
      </c>
    </row>
    <row r="159" spans="1:36" ht="15.75" thickTop="1" x14ac:dyDescent="0.25">
      <c r="A159" s="85">
        <v>1</v>
      </c>
      <c r="B159" s="7" t="s">
        <v>18</v>
      </c>
      <c r="C159" s="202"/>
      <c r="D159" s="139">
        <v>0</v>
      </c>
      <c r="E159" s="139"/>
      <c r="F159" s="139">
        <v>0</v>
      </c>
      <c r="G159" s="139"/>
      <c r="H159" s="139">
        <v>0</v>
      </c>
      <c r="I159" s="139"/>
      <c r="J159" s="139">
        <f>'ubi jalar'!C9</f>
        <v>1</v>
      </c>
      <c r="K159" s="139"/>
      <c r="L159" s="139">
        <f>'ubi jalar'!D9</f>
        <v>4</v>
      </c>
      <c r="M159" s="139"/>
      <c r="N159" s="139">
        <f>'ubi jalar'!E9</f>
        <v>0</v>
      </c>
      <c r="O159" s="206"/>
      <c r="P159" s="127">
        <f t="shared" ref="P159:P166" si="52">SUM(D159:N159)</f>
        <v>5</v>
      </c>
      <c r="Q159" s="211"/>
      <c r="R159" s="211"/>
      <c r="S159" s="211"/>
      <c r="T159" s="211"/>
      <c r="U159" s="162">
        <f>'ubi jalar'!F9</f>
        <v>2</v>
      </c>
      <c r="V159" s="162"/>
      <c r="W159" s="162"/>
      <c r="X159" s="162">
        <f>'ubi jalar'!G9</f>
        <v>0</v>
      </c>
      <c r="Y159" s="162"/>
      <c r="Z159" s="162">
        <f>'ubi jalar'!H9</f>
        <v>0</v>
      </c>
      <c r="AA159" s="162"/>
      <c r="AB159" s="162">
        <f>'ubi jalar'!I9</f>
        <v>0</v>
      </c>
      <c r="AC159" s="162"/>
      <c r="AD159" s="162">
        <f>'ubi jalar'!J9</f>
        <v>0</v>
      </c>
      <c r="AE159" s="162"/>
      <c r="AF159" s="162">
        <f>'ubi jalar'!K9</f>
        <v>0</v>
      </c>
      <c r="AG159" s="206"/>
      <c r="AH159" s="127">
        <f>SUM(U159:AF159)</f>
        <v>2</v>
      </c>
      <c r="AI159" s="211"/>
      <c r="AJ159" s="130">
        <f t="shared" ref="AJ159:AJ166" si="53">SUM(P159,AH159)</f>
        <v>7</v>
      </c>
    </row>
    <row r="160" spans="1:36" x14ac:dyDescent="0.25">
      <c r="A160" s="86">
        <v>2</v>
      </c>
      <c r="B160" s="12" t="s">
        <v>19</v>
      </c>
      <c r="C160" s="12"/>
      <c r="D160" s="60">
        <v>1</v>
      </c>
      <c r="E160" s="60"/>
      <c r="F160" s="60">
        <v>1</v>
      </c>
      <c r="G160" s="60"/>
      <c r="H160" s="60">
        <v>0</v>
      </c>
      <c r="I160" s="60"/>
      <c r="J160" s="60">
        <f>'ubi jalar'!C10</f>
        <v>2</v>
      </c>
      <c r="K160" s="60"/>
      <c r="L160" s="60">
        <f>'ubi jalar'!D10</f>
        <v>0</v>
      </c>
      <c r="M160" s="60"/>
      <c r="N160" s="60">
        <f>'ubi jalar'!E10</f>
        <v>0</v>
      </c>
      <c r="O160" s="207"/>
      <c r="P160" s="128">
        <f t="shared" si="52"/>
        <v>4</v>
      </c>
      <c r="Q160" s="212"/>
      <c r="R160" s="212"/>
      <c r="S160" s="212"/>
      <c r="T160" s="212"/>
      <c r="U160" s="135">
        <f>'ubi jalar'!F10</f>
        <v>0</v>
      </c>
      <c r="V160" s="135"/>
      <c r="W160" s="135"/>
      <c r="X160" s="135">
        <f>'ubi jalar'!G10</f>
        <v>0</v>
      </c>
      <c r="Y160" s="135"/>
      <c r="Z160" s="135">
        <f>'ubi jalar'!H10</f>
        <v>1</v>
      </c>
      <c r="AA160" s="135"/>
      <c r="AB160" s="135">
        <f>'ubi jalar'!I10</f>
        <v>1</v>
      </c>
      <c r="AC160" s="135"/>
      <c r="AD160" s="135">
        <f>'ubi jalar'!J10</f>
        <v>0</v>
      </c>
      <c r="AE160" s="207"/>
      <c r="AF160" s="164">
        <f>'ubi jalar'!K10</f>
        <v>1</v>
      </c>
      <c r="AG160" s="164"/>
      <c r="AH160" s="128">
        <f t="shared" ref="AH160:AH165" si="54">SUM(U160:AF160)</f>
        <v>3</v>
      </c>
      <c r="AI160" s="212"/>
      <c r="AJ160" s="131">
        <f t="shared" si="53"/>
        <v>7</v>
      </c>
    </row>
    <row r="161" spans="1:36" x14ac:dyDescent="0.25">
      <c r="A161" s="86">
        <v>3</v>
      </c>
      <c r="B161" s="7" t="s">
        <v>20</v>
      </c>
      <c r="C161" s="7"/>
      <c r="D161" s="60">
        <v>0</v>
      </c>
      <c r="E161" s="60"/>
      <c r="F161" s="60">
        <v>0</v>
      </c>
      <c r="G161" s="60"/>
      <c r="H161" s="60">
        <v>0</v>
      </c>
      <c r="I161" s="60"/>
      <c r="J161" s="60">
        <f>'ubi jalar'!C11</f>
        <v>0</v>
      </c>
      <c r="K161" s="60"/>
      <c r="L161" s="60">
        <f>'ubi jalar'!D11</f>
        <v>0</v>
      </c>
      <c r="M161" s="60"/>
      <c r="N161" s="60">
        <f>'ubi jalar'!E11</f>
        <v>0</v>
      </c>
      <c r="O161" s="207"/>
      <c r="P161" s="128">
        <f t="shared" si="52"/>
        <v>0</v>
      </c>
      <c r="Q161" s="212"/>
      <c r="R161" s="212"/>
      <c r="S161" s="212"/>
      <c r="T161" s="212"/>
      <c r="U161" s="135">
        <f>'ubi jalar'!F11</f>
        <v>0</v>
      </c>
      <c r="V161" s="135"/>
      <c r="W161" s="135"/>
      <c r="X161" s="135">
        <f>'ubi jalar'!G11</f>
        <v>0</v>
      </c>
      <c r="Y161" s="135"/>
      <c r="Z161" s="135">
        <f>'ubi jalar'!H11</f>
        <v>0</v>
      </c>
      <c r="AA161" s="135"/>
      <c r="AB161" s="135">
        <f>'ubi jalar'!I11</f>
        <v>0</v>
      </c>
      <c r="AC161" s="135"/>
      <c r="AD161" s="135">
        <f>'ubi jalar'!J11</f>
        <v>0</v>
      </c>
      <c r="AE161" s="207"/>
      <c r="AF161" s="164">
        <f>'ubi jalar'!K11</f>
        <v>0</v>
      </c>
      <c r="AG161" s="164"/>
      <c r="AH161" s="128">
        <f t="shared" si="54"/>
        <v>0</v>
      </c>
      <c r="AI161" s="212"/>
      <c r="AJ161" s="131">
        <f t="shared" si="53"/>
        <v>0</v>
      </c>
    </row>
    <row r="162" spans="1:36" x14ac:dyDescent="0.25">
      <c r="A162" s="87">
        <v>4</v>
      </c>
      <c r="B162" s="15" t="s">
        <v>21</v>
      </c>
      <c r="C162" s="15"/>
      <c r="D162" s="60">
        <v>1</v>
      </c>
      <c r="E162" s="60"/>
      <c r="F162" s="60">
        <v>1</v>
      </c>
      <c r="G162" s="60"/>
      <c r="H162" s="60">
        <v>0</v>
      </c>
      <c r="I162" s="60"/>
      <c r="J162" s="60">
        <f>'ubi jalar'!C12</f>
        <v>0</v>
      </c>
      <c r="K162" s="60"/>
      <c r="L162" s="60">
        <f>'ubi jalar'!D12</f>
        <v>0</v>
      </c>
      <c r="M162" s="60"/>
      <c r="N162" s="60">
        <f>'ubi jalar'!E12</f>
        <v>0</v>
      </c>
      <c r="O162" s="207"/>
      <c r="P162" s="128">
        <f t="shared" si="52"/>
        <v>2</v>
      </c>
      <c r="Q162" s="212"/>
      <c r="R162" s="212"/>
      <c r="S162" s="212"/>
      <c r="T162" s="212"/>
      <c r="U162" s="135">
        <f>'ubi jalar'!F12</f>
        <v>1</v>
      </c>
      <c r="V162" s="135"/>
      <c r="W162" s="135"/>
      <c r="X162" s="135">
        <f>'ubi jalar'!G12</f>
        <v>1</v>
      </c>
      <c r="Y162" s="135"/>
      <c r="Z162" s="135">
        <f>'ubi jalar'!H12</f>
        <v>0</v>
      </c>
      <c r="AA162" s="135"/>
      <c r="AB162" s="135">
        <f>'ubi jalar'!I12</f>
        <v>0</v>
      </c>
      <c r="AC162" s="135"/>
      <c r="AD162" s="135">
        <f>'ubi jalar'!J12</f>
        <v>0</v>
      </c>
      <c r="AE162" s="207"/>
      <c r="AF162" s="164">
        <f>'ubi jalar'!K12</f>
        <v>1</v>
      </c>
      <c r="AG162" s="164"/>
      <c r="AH162" s="128">
        <f t="shared" si="54"/>
        <v>3</v>
      </c>
      <c r="AI162" s="212"/>
      <c r="AJ162" s="131">
        <f t="shared" si="53"/>
        <v>5</v>
      </c>
    </row>
    <row r="163" spans="1:36" x14ac:dyDescent="0.25">
      <c r="A163" s="87">
        <v>5</v>
      </c>
      <c r="B163" s="19" t="s">
        <v>22</v>
      </c>
      <c r="C163" s="19"/>
      <c r="D163" s="60">
        <v>0</v>
      </c>
      <c r="E163" s="60"/>
      <c r="F163" s="60">
        <v>0</v>
      </c>
      <c r="G163" s="60"/>
      <c r="H163" s="60">
        <v>0</v>
      </c>
      <c r="I163" s="60"/>
      <c r="J163" s="60">
        <f>'ubi jalar'!C13</f>
        <v>0</v>
      </c>
      <c r="K163" s="60"/>
      <c r="L163" s="60">
        <f>'ubi jalar'!D13</f>
        <v>0</v>
      </c>
      <c r="M163" s="60"/>
      <c r="N163" s="60">
        <f>'ubi jalar'!E13</f>
        <v>2</v>
      </c>
      <c r="O163" s="207"/>
      <c r="P163" s="128">
        <f t="shared" si="52"/>
        <v>2</v>
      </c>
      <c r="Q163" s="212"/>
      <c r="R163" s="212"/>
      <c r="S163" s="212"/>
      <c r="T163" s="212"/>
      <c r="U163" s="135">
        <f>'ubi jalar'!F13</f>
        <v>0</v>
      </c>
      <c r="V163" s="135"/>
      <c r="W163" s="135"/>
      <c r="X163" s="135">
        <f>'ubi jalar'!G13</f>
        <v>1</v>
      </c>
      <c r="Y163" s="135"/>
      <c r="Z163" s="135">
        <f>'ubi jalar'!H13</f>
        <v>0</v>
      </c>
      <c r="AA163" s="135"/>
      <c r="AB163" s="135">
        <f>'ubi jalar'!I13</f>
        <v>0</v>
      </c>
      <c r="AC163" s="135"/>
      <c r="AD163" s="135">
        <f>'ubi jalar'!J13</f>
        <v>0</v>
      </c>
      <c r="AE163" s="207"/>
      <c r="AF163" s="164">
        <f>'ubi jalar'!K13</f>
        <v>0</v>
      </c>
      <c r="AG163" s="164"/>
      <c r="AH163" s="128">
        <f t="shared" si="54"/>
        <v>1</v>
      </c>
      <c r="AI163" s="212"/>
      <c r="AJ163" s="131">
        <f t="shared" si="53"/>
        <v>3</v>
      </c>
    </row>
    <row r="164" spans="1:36" x14ac:dyDescent="0.25">
      <c r="A164" s="87">
        <v>6</v>
      </c>
      <c r="B164" s="19" t="s">
        <v>23</v>
      </c>
      <c r="C164" s="19"/>
      <c r="D164" s="60">
        <v>0</v>
      </c>
      <c r="E164" s="60"/>
      <c r="F164" s="60">
        <v>0</v>
      </c>
      <c r="G164" s="60"/>
      <c r="H164" s="60">
        <v>0</v>
      </c>
      <c r="I164" s="60"/>
      <c r="J164" s="60">
        <f>'ubi jalar'!C14</f>
        <v>0</v>
      </c>
      <c r="K164" s="60"/>
      <c r="L164" s="60">
        <f>'ubi jalar'!D14</f>
        <v>0</v>
      </c>
      <c r="M164" s="60"/>
      <c r="N164" s="60">
        <f>'ubi jalar'!E14</f>
        <v>0</v>
      </c>
      <c r="O164" s="207"/>
      <c r="P164" s="128">
        <f t="shared" si="52"/>
        <v>0</v>
      </c>
      <c r="Q164" s="212"/>
      <c r="R164" s="212"/>
      <c r="S164" s="212"/>
      <c r="T164" s="212"/>
      <c r="U164" s="135">
        <f>'ubi jalar'!F14</f>
        <v>0</v>
      </c>
      <c r="V164" s="135"/>
      <c r="W164" s="135"/>
      <c r="X164" s="135">
        <f>'ubi jalar'!G14</f>
        <v>0</v>
      </c>
      <c r="Y164" s="135"/>
      <c r="Z164" s="135">
        <f>'ubi jalar'!H14</f>
        <v>0</v>
      </c>
      <c r="AA164" s="135"/>
      <c r="AB164" s="135">
        <f>'ubi jalar'!I14</f>
        <v>0</v>
      </c>
      <c r="AC164" s="135"/>
      <c r="AD164" s="135">
        <f>'ubi jalar'!J14</f>
        <v>0</v>
      </c>
      <c r="AE164" s="207"/>
      <c r="AF164" s="164">
        <f>'ubi jalar'!K14</f>
        <v>0</v>
      </c>
      <c r="AG164" s="164"/>
      <c r="AH164" s="128">
        <f t="shared" si="54"/>
        <v>0</v>
      </c>
      <c r="AI164" s="212"/>
      <c r="AJ164" s="131">
        <f t="shared" si="53"/>
        <v>0</v>
      </c>
    </row>
    <row r="165" spans="1:36" x14ac:dyDescent="0.25">
      <c r="A165" s="87">
        <v>7</v>
      </c>
      <c r="B165" s="19" t="s">
        <v>24</v>
      </c>
      <c r="C165" s="19"/>
      <c r="D165" s="60">
        <v>0</v>
      </c>
      <c r="E165" s="60"/>
      <c r="F165" s="60">
        <v>0</v>
      </c>
      <c r="G165" s="60"/>
      <c r="H165" s="60">
        <v>0</v>
      </c>
      <c r="I165" s="60"/>
      <c r="J165" s="60">
        <f>'ubi jalar'!C15</f>
        <v>0</v>
      </c>
      <c r="K165" s="60"/>
      <c r="L165" s="60">
        <f>'ubi jalar'!D15</f>
        <v>0</v>
      </c>
      <c r="M165" s="60"/>
      <c r="N165" s="60">
        <f>'ubi jalar'!E15</f>
        <v>0</v>
      </c>
      <c r="O165" s="207"/>
      <c r="P165" s="128">
        <f t="shared" si="52"/>
        <v>0</v>
      </c>
      <c r="Q165" s="212"/>
      <c r="R165" s="212"/>
      <c r="S165" s="212"/>
      <c r="T165" s="212"/>
      <c r="U165" s="135">
        <f>'ubi jalar'!F15</f>
        <v>0</v>
      </c>
      <c r="V165" s="135"/>
      <c r="W165" s="135"/>
      <c r="X165" s="135">
        <f>'ubi jalar'!G15</f>
        <v>0</v>
      </c>
      <c r="Y165" s="135"/>
      <c r="Z165" s="135">
        <f>'ubi jalar'!H15</f>
        <v>0</v>
      </c>
      <c r="AA165" s="135"/>
      <c r="AB165" s="135">
        <f>'ubi jalar'!I15</f>
        <v>0</v>
      </c>
      <c r="AC165" s="135"/>
      <c r="AD165" s="135">
        <f>'ubi jalar'!J15</f>
        <v>0</v>
      </c>
      <c r="AE165" s="207"/>
      <c r="AF165" s="164">
        <f>'ubi jalar'!K15</f>
        <v>0</v>
      </c>
      <c r="AG165" s="164"/>
      <c r="AH165" s="128">
        <f t="shared" si="54"/>
        <v>0</v>
      </c>
      <c r="AI165" s="212"/>
      <c r="AJ165" s="131">
        <f t="shared" si="53"/>
        <v>0</v>
      </c>
    </row>
    <row r="166" spans="1:36" ht="15.75" thickBot="1" x14ac:dyDescent="0.3">
      <c r="A166" s="88">
        <v>8</v>
      </c>
      <c r="B166" s="15" t="s">
        <v>25</v>
      </c>
      <c r="C166" s="203"/>
      <c r="D166" s="140">
        <v>0</v>
      </c>
      <c r="E166" s="140"/>
      <c r="F166" s="140">
        <v>0</v>
      </c>
      <c r="G166" s="140"/>
      <c r="H166" s="140">
        <v>1</v>
      </c>
      <c r="I166" s="140"/>
      <c r="J166" s="145">
        <f>'ubi jalar'!C16</f>
        <v>0</v>
      </c>
      <c r="K166" s="140"/>
      <c r="L166" s="140">
        <f>'ubi jalar'!D16</f>
        <v>0</v>
      </c>
      <c r="M166" s="140"/>
      <c r="N166" s="140">
        <f>'ubi jalar'!E16</f>
        <v>1</v>
      </c>
      <c r="O166" s="208"/>
      <c r="P166" s="129">
        <f t="shared" si="52"/>
        <v>2</v>
      </c>
      <c r="Q166" s="214"/>
      <c r="R166" s="214"/>
      <c r="S166" s="214"/>
      <c r="T166" s="214"/>
      <c r="U166" s="163">
        <f>'ubi jalar'!F16</f>
        <v>0</v>
      </c>
      <c r="V166" s="163"/>
      <c r="W166" s="163"/>
      <c r="X166" s="163">
        <f>'ubi jalar'!G16</f>
        <v>0</v>
      </c>
      <c r="Y166" s="163"/>
      <c r="Z166" s="163">
        <f>'ubi jalar'!H16</f>
        <v>0</v>
      </c>
      <c r="AA166" s="163"/>
      <c r="AB166" s="163">
        <f>'ubi jalar'!I16</f>
        <v>0</v>
      </c>
      <c r="AC166" s="163"/>
      <c r="AD166" s="163">
        <f>'ubi jalar'!J16</f>
        <v>1</v>
      </c>
      <c r="AE166" s="163"/>
      <c r="AF166" s="163">
        <f>'ubi jalar'!K16</f>
        <v>1</v>
      </c>
      <c r="AG166" s="216"/>
      <c r="AH166" s="129">
        <f>SUM(U166:AF166)</f>
        <v>2</v>
      </c>
      <c r="AI166" s="214"/>
      <c r="AJ166" s="132">
        <f t="shared" si="53"/>
        <v>4</v>
      </c>
    </row>
    <row r="167" spans="1:36" ht="16.5" thickTop="1" thickBot="1" x14ac:dyDescent="0.3">
      <c r="A167" s="514" t="s">
        <v>26</v>
      </c>
      <c r="B167" s="515"/>
      <c r="C167" s="356"/>
      <c r="D167" s="115">
        <f t="shared" ref="D167:N167" si="55">SUM(D159:D166)</f>
        <v>2</v>
      </c>
      <c r="E167" s="115"/>
      <c r="F167" s="115">
        <f t="shared" si="55"/>
        <v>2</v>
      </c>
      <c r="G167" s="115"/>
      <c r="H167" s="115">
        <f t="shared" si="55"/>
        <v>1</v>
      </c>
      <c r="I167" s="115"/>
      <c r="J167" s="115">
        <f t="shared" si="55"/>
        <v>3</v>
      </c>
      <c r="K167" s="115"/>
      <c r="L167" s="115">
        <f t="shared" si="55"/>
        <v>4</v>
      </c>
      <c r="M167" s="124"/>
      <c r="N167" s="124">
        <f t="shared" si="55"/>
        <v>3</v>
      </c>
      <c r="O167" s="209"/>
      <c r="P167" s="126">
        <f>SUM(P159:P166)</f>
        <v>15</v>
      </c>
      <c r="Q167" s="213"/>
      <c r="R167" s="213"/>
      <c r="S167" s="213"/>
      <c r="T167" s="213"/>
      <c r="U167" s="136">
        <f t="shared" ref="U167:AF167" si="56">SUM(U159:U166)</f>
        <v>3</v>
      </c>
      <c r="V167" s="215"/>
      <c r="W167" s="215"/>
      <c r="X167" s="115">
        <f t="shared" si="56"/>
        <v>2</v>
      </c>
      <c r="Y167" s="115"/>
      <c r="Z167" s="115">
        <f t="shared" si="56"/>
        <v>1</v>
      </c>
      <c r="AA167" s="115"/>
      <c r="AB167" s="115">
        <f t="shared" si="56"/>
        <v>1</v>
      </c>
      <c r="AC167" s="115"/>
      <c r="AD167" s="115">
        <f t="shared" si="56"/>
        <v>1</v>
      </c>
      <c r="AE167" s="124"/>
      <c r="AF167" s="124">
        <f t="shared" si="56"/>
        <v>3</v>
      </c>
      <c r="AG167" s="209"/>
      <c r="AH167" s="126">
        <f>SUM(AH159:AH166)</f>
        <v>11</v>
      </c>
      <c r="AI167" s="209"/>
      <c r="AJ167" s="133">
        <f>SUM(AJ159:AJ166)</f>
        <v>26</v>
      </c>
    </row>
    <row r="169" spans="1:36" ht="15.75" x14ac:dyDescent="0.25">
      <c r="A169" s="516" t="s">
        <v>101</v>
      </c>
      <c r="B169" s="516"/>
      <c r="C169" s="516"/>
      <c r="D169" s="516"/>
      <c r="E169" s="516"/>
      <c r="F169" s="516"/>
      <c r="G169" s="516"/>
      <c r="H169" s="516"/>
      <c r="I169" s="516"/>
      <c r="J169" s="516"/>
      <c r="K169" s="516"/>
      <c r="L169" s="516"/>
      <c r="M169" s="516"/>
      <c r="N169" s="516"/>
      <c r="O169" s="516"/>
      <c r="P169" s="516"/>
      <c r="Q169" s="516"/>
      <c r="R169" s="516"/>
      <c r="S169" s="516"/>
      <c r="T169" s="516"/>
      <c r="U169" s="516"/>
      <c r="V169" s="516"/>
      <c r="W169" s="516"/>
      <c r="X169" s="516"/>
      <c r="Y169" s="516"/>
      <c r="Z169" s="516"/>
      <c r="AA169" s="516"/>
      <c r="AB169" s="516"/>
      <c r="AC169" s="516"/>
      <c r="AD169" s="516"/>
      <c r="AE169" s="516"/>
      <c r="AF169" s="516"/>
      <c r="AG169" s="516"/>
      <c r="AH169" s="516"/>
      <c r="AI169" s="516"/>
      <c r="AJ169" s="516"/>
    </row>
    <row r="170" spans="1:36" ht="15.75" x14ac:dyDescent="0.25">
      <c r="A170" s="516" t="s">
        <v>82</v>
      </c>
      <c r="B170" s="516"/>
      <c r="C170" s="516"/>
      <c r="D170" s="516"/>
      <c r="E170" s="516"/>
      <c r="F170" s="516"/>
      <c r="G170" s="516"/>
      <c r="H170" s="516"/>
      <c r="I170" s="516"/>
      <c r="J170" s="516"/>
      <c r="K170" s="516"/>
      <c r="L170" s="516"/>
      <c r="M170" s="516"/>
      <c r="N170" s="516"/>
      <c r="O170" s="516"/>
      <c r="P170" s="516"/>
      <c r="Q170" s="516"/>
      <c r="R170" s="516"/>
      <c r="S170" s="516"/>
      <c r="T170" s="516"/>
      <c r="U170" s="516"/>
      <c r="V170" s="516"/>
      <c r="W170" s="516"/>
      <c r="X170" s="516"/>
      <c r="Y170" s="516"/>
      <c r="Z170" s="516"/>
      <c r="AA170" s="516"/>
      <c r="AB170" s="516"/>
      <c r="AC170" s="516"/>
      <c r="AD170" s="516"/>
      <c r="AE170" s="516"/>
      <c r="AF170" s="516"/>
      <c r="AG170" s="516"/>
      <c r="AH170" s="516"/>
      <c r="AI170" s="516"/>
      <c r="AJ170" s="516"/>
    </row>
    <row r="171" spans="1:36" ht="15.75" thickBot="1" x14ac:dyDescent="0.3">
      <c r="AJ171" s="77" t="s">
        <v>1</v>
      </c>
    </row>
    <row r="172" spans="1:36" x14ac:dyDescent="0.25">
      <c r="A172" s="511" t="s">
        <v>2</v>
      </c>
      <c r="B172" s="513" t="s">
        <v>3</v>
      </c>
      <c r="C172" s="201"/>
      <c r="D172" s="517" t="s">
        <v>114</v>
      </c>
      <c r="E172" s="518"/>
      <c r="F172" s="518"/>
      <c r="G172" s="518"/>
      <c r="H172" s="518"/>
      <c r="I172" s="518"/>
      <c r="J172" s="518"/>
      <c r="K172" s="518"/>
      <c r="L172" s="518"/>
      <c r="M172" s="518"/>
      <c r="N172" s="518"/>
      <c r="O172" s="210"/>
      <c r="P172" s="519" t="s">
        <v>84</v>
      </c>
      <c r="Q172" s="210"/>
      <c r="R172" s="210"/>
      <c r="S172" s="210"/>
      <c r="T172" s="210"/>
      <c r="U172" s="518">
        <v>2016</v>
      </c>
      <c r="V172" s="518"/>
      <c r="W172" s="518"/>
      <c r="X172" s="518"/>
      <c r="Y172" s="518"/>
      <c r="Z172" s="518"/>
      <c r="AA172" s="518"/>
      <c r="AB172" s="518"/>
      <c r="AC172" s="518"/>
      <c r="AD172" s="518"/>
      <c r="AE172" s="518"/>
      <c r="AF172" s="518"/>
      <c r="AG172" s="210"/>
      <c r="AH172" s="519" t="s">
        <v>85</v>
      </c>
      <c r="AI172" s="210"/>
      <c r="AJ172" s="521" t="s">
        <v>5</v>
      </c>
    </row>
    <row r="173" spans="1:36" x14ac:dyDescent="0.25">
      <c r="A173" s="512"/>
      <c r="B173" s="499"/>
      <c r="C173" s="354"/>
      <c r="D173" s="355" t="s">
        <v>15</v>
      </c>
      <c r="E173" s="355"/>
      <c r="F173" s="355" t="s">
        <v>16</v>
      </c>
      <c r="G173" s="355"/>
      <c r="H173" s="355" t="s">
        <v>17</v>
      </c>
      <c r="I173" s="355"/>
      <c r="J173" s="355" t="s">
        <v>6</v>
      </c>
      <c r="K173" s="355"/>
      <c r="L173" s="355" t="s">
        <v>77</v>
      </c>
      <c r="M173" s="122"/>
      <c r="N173" s="122" t="s">
        <v>78</v>
      </c>
      <c r="O173" s="204"/>
      <c r="P173" s="520"/>
      <c r="Q173" s="97"/>
      <c r="R173" s="97"/>
      <c r="S173" s="97"/>
      <c r="T173" s="97"/>
      <c r="U173" s="112" t="s">
        <v>79</v>
      </c>
      <c r="V173" s="112"/>
      <c r="W173" s="112"/>
      <c r="X173" s="355" t="s">
        <v>10</v>
      </c>
      <c r="Y173" s="355"/>
      <c r="Z173" s="355" t="s">
        <v>11</v>
      </c>
      <c r="AA173" s="355"/>
      <c r="AB173" s="355" t="s">
        <v>12</v>
      </c>
      <c r="AC173" s="355"/>
      <c r="AD173" s="355" t="s">
        <v>80</v>
      </c>
      <c r="AE173" s="122"/>
      <c r="AF173" s="122" t="s">
        <v>81</v>
      </c>
      <c r="AG173" s="204"/>
      <c r="AH173" s="520"/>
      <c r="AI173" s="217"/>
      <c r="AJ173" s="522"/>
    </row>
    <row r="174" spans="1:36" ht="15.75" thickBot="1" x14ac:dyDescent="0.3">
      <c r="A174" s="114">
        <v>1</v>
      </c>
      <c r="B174" s="5">
        <v>2</v>
      </c>
      <c r="C174" s="5"/>
      <c r="D174" s="5">
        <v>3</v>
      </c>
      <c r="E174" s="5"/>
      <c r="F174" s="5">
        <v>4</v>
      </c>
      <c r="G174" s="5"/>
      <c r="H174" s="5">
        <v>5</v>
      </c>
      <c r="I174" s="5"/>
      <c r="J174" s="5">
        <v>6</v>
      </c>
      <c r="K174" s="5"/>
      <c r="L174" s="5">
        <v>7</v>
      </c>
      <c r="M174" s="123"/>
      <c r="N174" s="123">
        <v>8</v>
      </c>
      <c r="O174" s="205"/>
      <c r="P174" s="125">
        <v>9</v>
      </c>
      <c r="Q174" s="205"/>
      <c r="R174" s="205"/>
      <c r="S174" s="205"/>
      <c r="T174" s="205"/>
      <c r="U174" s="113">
        <v>10</v>
      </c>
      <c r="V174" s="113"/>
      <c r="W174" s="113"/>
      <c r="X174" s="5">
        <v>11</v>
      </c>
      <c r="Y174" s="5"/>
      <c r="Z174" s="5">
        <v>12</v>
      </c>
      <c r="AA174" s="5"/>
      <c r="AB174" s="5">
        <v>13</v>
      </c>
      <c r="AC174" s="5"/>
      <c r="AD174" s="5">
        <v>14</v>
      </c>
      <c r="AE174" s="123"/>
      <c r="AF174" s="123">
        <v>15</v>
      </c>
      <c r="AG174" s="205"/>
      <c r="AH174" s="125">
        <v>16</v>
      </c>
      <c r="AI174" s="205"/>
      <c r="AJ174" s="134">
        <v>17</v>
      </c>
    </row>
    <row r="175" spans="1:36" ht="15.75" thickTop="1" x14ac:dyDescent="0.25">
      <c r="A175" s="85">
        <v>1</v>
      </c>
      <c r="B175" s="7" t="s">
        <v>18</v>
      </c>
      <c r="C175" s="202"/>
      <c r="D175" s="139">
        <v>0</v>
      </c>
      <c r="E175" s="139"/>
      <c r="F175" s="139">
        <v>0</v>
      </c>
      <c r="G175" s="139"/>
      <c r="H175" s="139">
        <v>0</v>
      </c>
      <c r="I175" s="139"/>
      <c r="J175" s="139">
        <f>'kc ijo'!C9</f>
        <v>1</v>
      </c>
      <c r="K175" s="139"/>
      <c r="L175" s="139">
        <f>'kc ijo'!D9</f>
        <v>2</v>
      </c>
      <c r="M175" s="139"/>
      <c r="N175" s="139">
        <f>'kc ijo'!E9</f>
        <v>0</v>
      </c>
      <c r="O175" s="206"/>
      <c r="P175" s="127">
        <f t="shared" ref="P175:P182" si="57">SUM(D175:N175)</f>
        <v>3</v>
      </c>
      <c r="Q175" s="211"/>
      <c r="R175" s="211"/>
      <c r="S175" s="211"/>
      <c r="T175" s="211"/>
      <c r="U175" s="162">
        <f>'kc ijo'!F9</f>
        <v>0</v>
      </c>
      <c r="V175" s="162"/>
      <c r="W175" s="162"/>
      <c r="X175" s="162">
        <f>'kc ijo'!G9</f>
        <v>0</v>
      </c>
      <c r="Y175" s="162"/>
      <c r="Z175" s="162">
        <f>'kc ijo'!H9</f>
        <v>0</v>
      </c>
      <c r="AA175" s="162"/>
      <c r="AB175" s="162">
        <f>'kc ijo'!I9</f>
        <v>0</v>
      </c>
      <c r="AC175" s="162"/>
      <c r="AD175" s="162">
        <f>'kc ijo'!J9</f>
        <v>0</v>
      </c>
      <c r="AE175" s="162"/>
      <c r="AF175" s="162">
        <f>'kc ijo'!K9</f>
        <v>0</v>
      </c>
      <c r="AG175" s="206"/>
      <c r="AH175" s="127">
        <f>SUM(U175:AF175)</f>
        <v>0</v>
      </c>
      <c r="AI175" s="211"/>
      <c r="AJ175" s="130">
        <f t="shared" ref="AJ175:AJ182" si="58">SUM(P175,AH175)</f>
        <v>3</v>
      </c>
    </row>
    <row r="176" spans="1:36" x14ac:dyDescent="0.25">
      <c r="A176" s="86">
        <v>2</v>
      </c>
      <c r="B176" s="12" t="s">
        <v>19</v>
      </c>
      <c r="C176" s="12"/>
      <c r="D176" s="60">
        <v>0</v>
      </c>
      <c r="E176" s="60"/>
      <c r="F176" s="60">
        <v>0</v>
      </c>
      <c r="G176" s="60"/>
      <c r="H176" s="60">
        <v>0</v>
      </c>
      <c r="I176" s="60"/>
      <c r="J176" s="60">
        <f>'kc ijo'!C10</f>
        <v>1</v>
      </c>
      <c r="K176" s="60"/>
      <c r="L176" s="60">
        <f>'kc ijo'!D10</f>
        <v>0</v>
      </c>
      <c r="M176" s="60"/>
      <c r="N176" s="60">
        <f>'kc ijo'!E10</f>
        <v>0</v>
      </c>
      <c r="O176" s="207"/>
      <c r="P176" s="128">
        <f t="shared" si="57"/>
        <v>1</v>
      </c>
      <c r="Q176" s="212"/>
      <c r="R176" s="212"/>
      <c r="S176" s="212"/>
      <c r="T176" s="212"/>
      <c r="U176" s="135">
        <f>'kc ijo'!F10</f>
        <v>0</v>
      </c>
      <c r="V176" s="135"/>
      <c r="W176" s="135"/>
      <c r="X176" s="135">
        <f>'kc ijo'!G10</f>
        <v>0</v>
      </c>
      <c r="Y176" s="135"/>
      <c r="Z176" s="135">
        <f>'kc ijo'!H10</f>
        <v>1</v>
      </c>
      <c r="AA176" s="135"/>
      <c r="AB176" s="135">
        <f>'kc ijo'!I10</f>
        <v>0</v>
      </c>
      <c r="AC176" s="135"/>
      <c r="AD176" s="135">
        <f>'kc ijo'!J10</f>
        <v>0</v>
      </c>
      <c r="AE176" s="207"/>
      <c r="AF176" s="164">
        <f>'kc ijo'!K10</f>
        <v>0</v>
      </c>
      <c r="AG176" s="164"/>
      <c r="AH176" s="128">
        <f t="shared" ref="AH176:AH181" si="59">SUM(U176:AF176)</f>
        <v>1</v>
      </c>
      <c r="AI176" s="212"/>
      <c r="AJ176" s="131">
        <f t="shared" si="58"/>
        <v>2</v>
      </c>
    </row>
    <row r="177" spans="1:36" x14ac:dyDescent="0.25">
      <c r="A177" s="86">
        <v>3</v>
      </c>
      <c r="B177" s="7" t="s">
        <v>20</v>
      </c>
      <c r="C177" s="7"/>
      <c r="D177" s="60">
        <v>0</v>
      </c>
      <c r="E177" s="60"/>
      <c r="F177" s="60">
        <v>0</v>
      </c>
      <c r="G177" s="60"/>
      <c r="H177" s="60">
        <v>0</v>
      </c>
      <c r="I177" s="60"/>
      <c r="J177" s="60">
        <f>'kc ijo'!C11</f>
        <v>0</v>
      </c>
      <c r="K177" s="60"/>
      <c r="L177" s="60">
        <f>'kc ijo'!D11</f>
        <v>0</v>
      </c>
      <c r="M177" s="60"/>
      <c r="N177" s="60">
        <f>'kc ijo'!E11</f>
        <v>0</v>
      </c>
      <c r="O177" s="207"/>
      <c r="P177" s="128">
        <f t="shared" si="57"/>
        <v>0</v>
      </c>
      <c r="Q177" s="212"/>
      <c r="R177" s="212"/>
      <c r="S177" s="212"/>
      <c r="T177" s="212"/>
      <c r="U177" s="135">
        <f>'kc ijo'!F11</f>
        <v>0</v>
      </c>
      <c r="V177" s="135"/>
      <c r="W177" s="135"/>
      <c r="X177" s="135">
        <f>'kc ijo'!G11</f>
        <v>1</v>
      </c>
      <c r="Y177" s="135"/>
      <c r="Z177" s="135">
        <f>'kc ijo'!H11</f>
        <v>2</v>
      </c>
      <c r="AA177" s="135"/>
      <c r="AB177" s="135">
        <f>'kc ijo'!I11</f>
        <v>0</v>
      </c>
      <c r="AC177" s="135"/>
      <c r="AD177" s="135">
        <f>'kc ijo'!J11</f>
        <v>0</v>
      </c>
      <c r="AE177" s="207"/>
      <c r="AF177" s="164">
        <f>'kc ijo'!K11</f>
        <v>0</v>
      </c>
      <c r="AG177" s="164"/>
      <c r="AH177" s="128">
        <f t="shared" si="59"/>
        <v>3</v>
      </c>
      <c r="AI177" s="212"/>
      <c r="AJ177" s="131">
        <f t="shared" si="58"/>
        <v>3</v>
      </c>
    </row>
    <row r="178" spans="1:36" x14ac:dyDescent="0.25">
      <c r="A178" s="87">
        <v>4</v>
      </c>
      <c r="B178" s="15" t="s">
        <v>21</v>
      </c>
      <c r="C178" s="15"/>
      <c r="D178" s="60">
        <v>0</v>
      </c>
      <c r="E178" s="60"/>
      <c r="F178" s="60">
        <v>0</v>
      </c>
      <c r="G178" s="60"/>
      <c r="H178" s="60">
        <v>0</v>
      </c>
      <c r="I178" s="60"/>
      <c r="J178" s="60">
        <f>'kc ijo'!C12</f>
        <v>0</v>
      </c>
      <c r="K178" s="60"/>
      <c r="L178" s="60">
        <f>'kc ijo'!D12</f>
        <v>0</v>
      </c>
      <c r="M178" s="60"/>
      <c r="N178" s="60">
        <f>'kc ijo'!E12</f>
        <v>0</v>
      </c>
      <c r="O178" s="207"/>
      <c r="P178" s="128">
        <f t="shared" si="57"/>
        <v>0</v>
      </c>
      <c r="Q178" s="212"/>
      <c r="R178" s="212"/>
      <c r="S178" s="212"/>
      <c r="T178" s="212"/>
      <c r="U178" s="135">
        <f>'kc ijo'!F12</f>
        <v>0</v>
      </c>
      <c r="V178" s="135"/>
      <c r="W178" s="135"/>
      <c r="X178" s="135">
        <f>'kc ijo'!G12</f>
        <v>0</v>
      </c>
      <c r="Y178" s="135"/>
      <c r="Z178" s="135">
        <f>'kc ijo'!H12</f>
        <v>11</v>
      </c>
      <c r="AA178" s="135"/>
      <c r="AB178" s="135">
        <f>'kc ijo'!I12</f>
        <v>1</v>
      </c>
      <c r="AC178" s="135"/>
      <c r="AD178" s="135">
        <f>'kc ijo'!J12</f>
        <v>0</v>
      </c>
      <c r="AE178" s="207"/>
      <c r="AF178" s="164">
        <f>'kc ijo'!K12</f>
        <v>0</v>
      </c>
      <c r="AG178" s="164"/>
      <c r="AH178" s="128">
        <f t="shared" si="59"/>
        <v>12</v>
      </c>
      <c r="AI178" s="212"/>
      <c r="AJ178" s="131">
        <f t="shared" si="58"/>
        <v>12</v>
      </c>
    </row>
    <row r="179" spans="1:36" x14ac:dyDescent="0.25">
      <c r="A179" s="87">
        <v>5</v>
      </c>
      <c r="B179" s="19" t="s">
        <v>22</v>
      </c>
      <c r="C179" s="19"/>
      <c r="D179" s="60">
        <v>0</v>
      </c>
      <c r="E179" s="60"/>
      <c r="F179" s="60">
        <v>0</v>
      </c>
      <c r="G179" s="60"/>
      <c r="H179" s="60">
        <v>0</v>
      </c>
      <c r="I179" s="60"/>
      <c r="J179" s="60">
        <f>'kc ijo'!C13</f>
        <v>0</v>
      </c>
      <c r="K179" s="60"/>
      <c r="L179" s="60">
        <f>'kc ijo'!D13</f>
        <v>0</v>
      </c>
      <c r="M179" s="60"/>
      <c r="N179" s="60">
        <f>'kc ijo'!E13</f>
        <v>0</v>
      </c>
      <c r="O179" s="207"/>
      <c r="P179" s="128">
        <f t="shared" si="57"/>
        <v>0</v>
      </c>
      <c r="Q179" s="212"/>
      <c r="R179" s="212"/>
      <c r="S179" s="212"/>
      <c r="T179" s="212"/>
      <c r="U179" s="135">
        <f>'kc ijo'!F13</f>
        <v>0</v>
      </c>
      <c r="V179" s="135"/>
      <c r="W179" s="135"/>
      <c r="X179" s="135">
        <f>'kc ijo'!G13</f>
        <v>1</v>
      </c>
      <c r="Y179" s="135"/>
      <c r="Z179" s="135">
        <f>'kc ijo'!H13</f>
        <v>0</v>
      </c>
      <c r="AA179" s="135"/>
      <c r="AB179" s="135">
        <f>'kc ijo'!I13</f>
        <v>0</v>
      </c>
      <c r="AC179" s="135"/>
      <c r="AD179" s="135">
        <f>'kc ijo'!J13</f>
        <v>0</v>
      </c>
      <c r="AE179" s="207"/>
      <c r="AF179" s="164">
        <f>'kc ijo'!K13</f>
        <v>0</v>
      </c>
      <c r="AG179" s="164"/>
      <c r="AH179" s="128">
        <f t="shared" si="59"/>
        <v>1</v>
      </c>
      <c r="AI179" s="212"/>
      <c r="AJ179" s="131">
        <f t="shared" si="58"/>
        <v>1</v>
      </c>
    </row>
    <row r="180" spans="1:36" x14ac:dyDescent="0.25">
      <c r="A180" s="87">
        <v>6</v>
      </c>
      <c r="B180" s="19" t="s">
        <v>23</v>
      </c>
      <c r="C180" s="19"/>
      <c r="D180" s="60">
        <v>0</v>
      </c>
      <c r="E180" s="60"/>
      <c r="F180" s="60">
        <v>0</v>
      </c>
      <c r="G180" s="60"/>
      <c r="H180" s="60">
        <v>0</v>
      </c>
      <c r="I180" s="60"/>
      <c r="J180" s="60">
        <f>'kc ijo'!C14</f>
        <v>0</v>
      </c>
      <c r="K180" s="60"/>
      <c r="L180" s="60">
        <f>'kc ijo'!D14</f>
        <v>0</v>
      </c>
      <c r="M180" s="60"/>
      <c r="N180" s="60">
        <f>'kc ijo'!E14</f>
        <v>0</v>
      </c>
      <c r="O180" s="207"/>
      <c r="P180" s="128">
        <f t="shared" si="57"/>
        <v>0</v>
      </c>
      <c r="Q180" s="212"/>
      <c r="R180" s="212"/>
      <c r="S180" s="212"/>
      <c r="T180" s="212"/>
      <c r="U180" s="135">
        <f>'kc ijo'!F14</f>
        <v>0</v>
      </c>
      <c r="V180" s="135"/>
      <c r="W180" s="135"/>
      <c r="X180" s="135">
        <f>'kc ijo'!G14</f>
        <v>0</v>
      </c>
      <c r="Y180" s="135"/>
      <c r="Z180" s="135">
        <f>'kc ijo'!H14</f>
        <v>0</v>
      </c>
      <c r="AA180" s="135"/>
      <c r="AB180" s="135">
        <f>'kc ijo'!I14</f>
        <v>0</v>
      </c>
      <c r="AC180" s="135"/>
      <c r="AD180" s="135">
        <f>'kc ijo'!J14</f>
        <v>0</v>
      </c>
      <c r="AE180" s="207"/>
      <c r="AF180" s="164">
        <f>'kc ijo'!K14</f>
        <v>0</v>
      </c>
      <c r="AG180" s="164"/>
      <c r="AH180" s="128">
        <f t="shared" si="59"/>
        <v>0</v>
      </c>
      <c r="AI180" s="212"/>
      <c r="AJ180" s="131">
        <f t="shared" si="58"/>
        <v>0</v>
      </c>
    </row>
    <row r="181" spans="1:36" x14ac:dyDescent="0.25">
      <c r="A181" s="87">
        <v>7</v>
      </c>
      <c r="B181" s="19" t="s">
        <v>24</v>
      </c>
      <c r="C181" s="19"/>
      <c r="D181" s="60">
        <v>0</v>
      </c>
      <c r="E181" s="60"/>
      <c r="F181" s="60">
        <v>0</v>
      </c>
      <c r="G181" s="60"/>
      <c r="H181" s="60">
        <v>0</v>
      </c>
      <c r="I181" s="60"/>
      <c r="J181" s="60">
        <f>'kc ijo'!C15</f>
        <v>0</v>
      </c>
      <c r="K181" s="60"/>
      <c r="L181" s="60">
        <f>'kc ijo'!D15</f>
        <v>0</v>
      </c>
      <c r="M181" s="60"/>
      <c r="N181" s="60">
        <f>'kc ijo'!E15</f>
        <v>0</v>
      </c>
      <c r="O181" s="207"/>
      <c r="P181" s="128">
        <f t="shared" si="57"/>
        <v>0</v>
      </c>
      <c r="Q181" s="212"/>
      <c r="R181" s="212"/>
      <c r="S181" s="212"/>
      <c r="T181" s="212"/>
      <c r="U181" s="135">
        <f>'kc ijo'!F15</f>
        <v>0</v>
      </c>
      <c r="V181" s="135"/>
      <c r="W181" s="135"/>
      <c r="X181" s="135">
        <f>'kc ijo'!G15</f>
        <v>0</v>
      </c>
      <c r="Y181" s="135"/>
      <c r="Z181" s="135">
        <f>'kc ijo'!H15</f>
        <v>0</v>
      </c>
      <c r="AA181" s="135"/>
      <c r="AB181" s="135">
        <f>'kc ijo'!I15</f>
        <v>0</v>
      </c>
      <c r="AC181" s="135"/>
      <c r="AD181" s="135">
        <f>'kc ijo'!J15</f>
        <v>0</v>
      </c>
      <c r="AE181" s="207"/>
      <c r="AF181" s="164">
        <f>'kc ijo'!K15</f>
        <v>0</v>
      </c>
      <c r="AG181" s="164"/>
      <c r="AH181" s="128">
        <f t="shared" si="59"/>
        <v>0</v>
      </c>
      <c r="AI181" s="212"/>
      <c r="AJ181" s="131">
        <f t="shared" si="58"/>
        <v>0</v>
      </c>
    </row>
    <row r="182" spans="1:36" ht="15.75" thickBot="1" x14ac:dyDescent="0.3">
      <c r="A182" s="88">
        <v>8</v>
      </c>
      <c r="B182" s="15" t="s">
        <v>25</v>
      </c>
      <c r="C182" s="203"/>
      <c r="D182" s="140">
        <v>0</v>
      </c>
      <c r="E182" s="140"/>
      <c r="F182" s="140">
        <v>0</v>
      </c>
      <c r="G182" s="140"/>
      <c r="H182" s="140">
        <v>0</v>
      </c>
      <c r="I182" s="140"/>
      <c r="J182" s="145">
        <f>'kc ijo'!C16</f>
        <v>0</v>
      </c>
      <c r="K182" s="140"/>
      <c r="L182" s="140">
        <f>'kc ijo'!D16</f>
        <v>0</v>
      </c>
      <c r="M182" s="140"/>
      <c r="N182" s="140">
        <f>'kc ijo'!E16</f>
        <v>0</v>
      </c>
      <c r="O182" s="208"/>
      <c r="P182" s="129">
        <f t="shared" si="57"/>
        <v>0</v>
      </c>
      <c r="Q182" s="214"/>
      <c r="R182" s="214"/>
      <c r="S182" s="214"/>
      <c r="T182" s="214"/>
      <c r="U182" s="163">
        <f>'kc ijo'!F16</f>
        <v>0</v>
      </c>
      <c r="V182" s="163"/>
      <c r="W182" s="163"/>
      <c r="X182" s="163">
        <f>'kc ijo'!G16</f>
        <v>0</v>
      </c>
      <c r="Y182" s="163"/>
      <c r="Z182" s="163">
        <f>'kc ijo'!H16</f>
        <v>0</v>
      </c>
      <c r="AA182" s="163"/>
      <c r="AB182" s="163">
        <f>'kc ijo'!I16</f>
        <v>0</v>
      </c>
      <c r="AC182" s="163"/>
      <c r="AD182" s="163">
        <f>'kc ijo'!J16</f>
        <v>1</v>
      </c>
      <c r="AE182" s="163"/>
      <c r="AF182" s="163">
        <f>'kc ijo'!K16</f>
        <v>0</v>
      </c>
      <c r="AG182" s="216"/>
      <c r="AH182" s="129">
        <f>SUM(U182:AF182)</f>
        <v>1</v>
      </c>
      <c r="AI182" s="214"/>
      <c r="AJ182" s="132">
        <f t="shared" si="58"/>
        <v>1</v>
      </c>
    </row>
    <row r="183" spans="1:36" ht="16.5" thickTop="1" thickBot="1" x14ac:dyDescent="0.3">
      <c r="A183" s="514" t="s">
        <v>26</v>
      </c>
      <c r="B183" s="515"/>
      <c r="C183" s="356"/>
      <c r="D183" s="115">
        <f t="shared" ref="D183:N183" si="60">SUM(D175:D182)</f>
        <v>0</v>
      </c>
      <c r="E183" s="115"/>
      <c r="F183" s="115">
        <f t="shared" si="60"/>
        <v>0</v>
      </c>
      <c r="G183" s="115"/>
      <c r="H183" s="115">
        <f t="shared" si="60"/>
        <v>0</v>
      </c>
      <c r="I183" s="115"/>
      <c r="J183" s="115">
        <f t="shared" si="60"/>
        <v>2</v>
      </c>
      <c r="K183" s="115"/>
      <c r="L183" s="115">
        <f t="shared" si="60"/>
        <v>2</v>
      </c>
      <c r="M183" s="124"/>
      <c r="N183" s="124">
        <f t="shared" si="60"/>
        <v>0</v>
      </c>
      <c r="O183" s="209"/>
      <c r="P183" s="126">
        <f>SUM(P175:P182)</f>
        <v>4</v>
      </c>
      <c r="Q183" s="213"/>
      <c r="R183" s="213"/>
      <c r="S183" s="213"/>
      <c r="T183" s="213"/>
      <c r="U183" s="136">
        <f t="shared" ref="U183:AF183" si="61">SUM(U175:U182)</f>
        <v>0</v>
      </c>
      <c r="V183" s="215"/>
      <c r="W183" s="215"/>
      <c r="X183" s="115">
        <f t="shared" si="61"/>
        <v>2</v>
      </c>
      <c r="Y183" s="115"/>
      <c r="Z183" s="115">
        <f t="shared" si="61"/>
        <v>14</v>
      </c>
      <c r="AA183" s="115"/>
      <c r="AB183" s="115">
        <f t="shared" si="61"/>
        <v>1</v>
      </c>
      <c r="AC183" s="115"/>
      <c r="AD183" s="115">
        <f t="shared" si="61"/>
        <v>1</v>
      </c>
      <c r="AE183" s="124"/>
      <c r="AF183" s="124">
        <f t="shared" si="61"/>
        <v>0</v>
      </c>
      <c r="AG183" s="209"/>
      <c r="AH183" s="126">
        <f>SUM(AH175:AH182)</f>
        <v>18</v>
      </c>
      <c r="AI183" s="209"/>
      <c r="AJ183" s="133">
        <f>SUM(AJ175:AJ182)</f>
        <v>22</v>
      </c>
    </row>
  </sheetData>
  <mergeCells count="131">
    <mergeCell ref="R22:T23"/>
    <mergeCell ref="U22:W23"/>
    <mergeCell ref="A183:B183"/>
    <mergeCell ref="O4:Q5"/>
    <mergeCell ref="C22:E23"/>
    <mergeCell ref="F23:G23"/>
    <mergeCell ref="H23:I23"/>
    <mergeCell ref="J23:K23"/>
    <mergeCell ref="L23:M23"/>
    <mergeCell ref="N23:O23"/>
    <mergeCell ref="P23:Q23"/>
    <mergeCell ref="A167:B167"/>
    <mergeCell ref="A169:AJ169"/>
    <mergeCell ref="A170:AJ170"/>
    <mergeCell ref="A172:A173"/>
    <mergeCell ref="B172:B173"/>
    <mergeCell ref="D172:N172"/>
    <mergeCell ref="P172:P173"/>
    <mergeCell ref="U172:AF172"/>
    <mergeCell ref="AH172:AH173"/>
    <mergeCell ref="AJ172:AJ173"/>
    <mergeCell ref="A151:B151"/>
    <mergeCell ref="A153:AJ153"/>
    <mergeCell ref="A154:AJ154"/>
    <mergeCell ref="A156:A157"/>
    <mergeCell ref="B156:B157"/>
    <mergeCell ref="D156:N156"/>
    <mergeCell ref="P156:P157"/>
    <mergeCell ref="U156:AF156"/>
    <mergeCell ref="AH156:AH157"/>
    <mergeCell ref="AJ156:AJ157"/>
    <mergeCell ref="A135:B135"/>
    <mergeCell ref="A137:AJ137"/>
    <mergeCell ref="A138:AJ138"/>
    <mergeCell ref="A140:A141"/>
    <mergeCell ref="B140:B141"/>
    <mergeCell ref="D140:N140"/>
    <mergeCell ref="P140:P141"/>
    <mergeCell ref="U140:AF140"/>
    <mergeCell ref="AH140:AH141"/>
    <mergeCell ref="AJ140:AJ141"/>
    <mergeCell ref="A119:B119"/>
    <mergeCell ref="A121:AJ121"/>
    <mergeCell ref="A122:AJ122"/>
    <mergeCell ref="A124:A125"/>
    <mergeCell ref="B124:B125"/>
    <mergeCell ref="D124:N124"/>
    <mergeCell ref="P124:P125"/>
    <mergeCell ref="U124:AF124"/>
    <mergeCell ref="AH124:AH125"/>
    <mergeCell ref="AJ124:AJ125"/>
    <mergeCell ref="A103:B103"/>
    <mergeCell ref="A105:AJ105"/>
    <mergeCell ref="A106:AJ106"/>
    <mergeCell ref="A108:A109"/>
    <mergeCell ref="B108:B109"/>
    <mergeCell ref="D108:N108"/>
    <mergeCell ref="P108:P109"/>
    <mergeCell ref="U108:AF108"/>
    <mergeCell ref="AH108:AH109"/>
    <mergeCell ref="AJ108:AJ109"/>
    <mergeCell ref="A86:B86"/>
    <mergeCell ref="A88:AJ88"/>
    <mergeCell ref="A89:AJ89"/>
    <mergeCell ref="A91:A93"/>
    <mergeCell ref="B91:B93"/>
    <mergeCell ref="C91:N91"/>
    <mergeCell ref="O91:P92"/>
    <mergeCell ref="S91:AF91"/>
    <mergeCell ref="AG91:AH92"/>
    <mergeCell ref="AI91:AJ92"/>
    <mergeCell ref="S92:U92"/>
    <mergeCell ref="V92:X92"/>
    <mergeCell ref="Y92:Z92"/>
    <mergeCell ref="AA92:AB92"/>
    <mergeCell ref="AC92:AD92"/>
    <mergeCell ref="AE92:AF92"/>
    <mergeCell ref="C92:D92"/>
    <mergeCell ref="E92:F92"/>
    <mergeCell ref="G92:H92"/>
    <mergeCell ref="I92:J92"/>
    <mergeCell ref="K92:L92"/>
    <mergeCell ref="M92:N92"/>
    <mergeCell ref="A34:B34"/>
    <mergeCell ref="A71:AJ71"/>
    <mergeCell ref="A72:AJ72"/>
    <mergeCell ref="A74:A76"/>
    <mergeCell ref="B74:B76"/>
    <mergeCell ref="C74:N74"/>
    <mergeCell ref="O74:P75"/>
    <mergeCell ref="S74:AF74"/>
    <mergeCell ref="AG74:AH75"/>
    <mergeCell ref="AI74:AJ75"/>
    <mergeCell ref="S75:U75"/>
    <mergeCell ref="V75:X75"/>
    <mergeCell ref="Y75:Z75"/>
    <mergeCell ref="AA75:AB75"/>
    <mergeCell ref="AC75:AD75"/>
    <mergeCell ref="AE75:AF75"/>
    <mergeCell ref="C75:D75"/>
    <mergeCell ref="E75:F75"/>
    <mergeCell ref="G75:H75"/>
    <mergeCell ref="I75:J75"/>
    <mergeCell ref="K75:L75"/>
    <mergeCell ref="M75:N75"/>
    <mergeCell ref="A41:A43"/>
    <mergeCell ref="B41:B43"/>
    <mergeCell ref="A22:A24"/>
    <mergeCell ref="B22:B24"/>
    <mergeCell ref="A16:B16"/>
    <mergeCell ref="E5:F5"/>
    <mergeCell ref="G5:H5"/>
    <mergeCell ref="I5:J5"/>
    <mergeCell ref="K5:L5"/>
    <mergeCell ref="M5:N5"/>
    <mergeCell ref="A4:A6"/>
    <mergeCell ref="B4:B6"/>
    <mergeCell ref="C4:N4"/>
    <mergeCell ref="C5:D5"/>
    <mergeCell ref="F22:Q22"/>
    <mergeCell ref="A53:B53"/>
    <mergeCell ref="C41:E42"/>
    <mergeCell ref="F41:Q41"/>
    <mergeCell ref="R41:T42"/>
    <mergeCell ref="U41:W42"/>
    <mergeCell ref="F42:G42"/>
    <mergeCell ref="H42:I42"/>
    <mergeCell ref="J42:K42"/>
    <mergeCell ref="L42:M42"/>
    <mergeCell ref="N42:O42"/>
    <mergeCell ref="P42:Q42"/>
  </mergeCells>
  <pageMargins left="1.02" right="0.98425196850393704" top="1.18" bottom="0.74803149606299213" header="0.31496062992125984" footer="0.31496062992125984"/>
  <pageSetup paperSize="5" scale="80" orientation="landscape" horizontalDpi="4294967293" vertic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6"/>
  <sheetViews>
    <sheetView zoomScale="90" zoomScaleNormal="90" workbookViewId="0">
      <selection activeCell="T17" sqref="T17"/>
    </sheetView>
  </sheetViews>
  <sheetFormatPr defaultRowHeight="15" x14ac:dyDescent="0.25"/>
  <cols>
    <col min="1" max="1" width="4.28515625" customWidth="1"/>
    <col min="2" max="2" width="14.28515625" customWidth="1"/>
    <col min="3" max="3" width="10.7109375" customWidth="1"/>
    <col min="4" max="19" width="8" customWidth="1"/>
    <col min="20" max="33" width="7.140625" customWidth="1"/>
  </cols>
  <sheetData>
    <row r="1" spans="1:30" ht="15.75" x14ac:dyDescent="0.25">
      <c r="A1" s="516" t="s">
        <v>170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  <c r="S1" s="516"/>
    </row>
    <row r="2" spans="1:30" ht="15.75" x14ac:dyDescent="0.25">
      <c r="A2" s="516" t="s">
        <v>82</v>
      </c>
      <c r="B2" s="516"/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</row>
    <row r="3" spans="1:30" ht="15.75" thickBot="1" x14ac:dyDescent="0.3"/>
    <row r="4" spans="1:30" ht="25.5" x14ac:dyDescent="0.25">
      <c r="A4" s="541" t="s">
        <v>2</v>
      </c>
      <c r="B4" s="543" t="s">
        <v>3</v>
      </c>
      <c r="C4" s="480" t="s">
        <v>156</v>
      </c>
      <c r="D4" s="580" t="s">
        <v>157</v>
      </c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1" t="s">
        <v>84</v>
      </c>
      <c r="Q4" s="582"/>
      <c r="R4" s="473"/>
      <c r="S4" s="473"/>
    </row>
    <row r="5" spans="1:30" ht="25.5" x14ac:dyDescent="0.25">
      <c r="A5" s="542"/>
      <c r="B5" s="544"/>
      <c r="C5" s="475" t="s">
        <v>164</v>
      </c>
      <c r="D5" s="578" t="s">
        <v>160</v>
      </c>
      <c r="E5" s="578"/>
      <c r="F5" s="578" t="s">
        <v>161</v>
      </c>
      <c r="G5" s="578"/>
      <c r="H5" s="578" t="s">
        <v>162</v>
      </c>
      <c r="I5" s="578"/>
      <c r="J5" s="578" t="s">
        <v>159</v>
      </c>
      <c r="K5" s="578"/>
      <c r="L5" s="578" t="s">
        <v>163</v>
      </c>
      <c r="M5" s="578"/>
      <c r="N5" s="578" t="s">
        <v>8</v>
      </c>
      <c r="O5" s="578"/>
      <c r="P5" s="578"/>
      <c r="Q5" s="583"/>
      <c r="R5" s="473"/>
      <c r="S5" s="473"/>
    </row>
    <row r="6" spans="1:30" x14ac:dyDescent="0.25">
      <c r="A6" s="542"/>
      <c r="B6" s="544"/>
      <c r="C6" s="477" t="s">
        <v>1</v>
      </c>
      <c r="D6" s="400" t="s">
        <v>158</v>
      </c>
      <c r="E6" s="400" t="s">
        <v>117</v>
      </c>
      <c r="F6" s="400" t="s">
        <v>158</v>
      </c>
      <c r="G6" s="400" t="s">
        <v>117</v>
      </c>
      <c r="H6" s="400" t="s">
        <v>158</v>
      </c>
      <c r="I6" s="400" t="s">
        <v>117</v>
      </c>
      <c r="J6" s="400" t="s">
        <v>158</v>
      </c>
      <c r="K6" s="400" t="s">
        <v>117</v>
      </c>
      <c r="L6" s="400" t="s">
        <v>158</v>
      </c>
      <c r="M6" s="400" t="s">
        <v>117</v>
      </c>
      <c r="N6" s="400" t="s">
        <v>158</v>
      </c>
      <c r="O6" s="400" t="s">
        <v>117</v>
      </c>
      <c r="P6" s="400" t="s">
        <v>158</v>
      </c>
      <c r="Q6" s="476" t="s">
        <v>117</v>
      </c>
      <c r="R6" s="473"/>
      <c r="S6" s="473"/>
    </row>
    <row r="7" spans="1:30" ht="15.75" thickBot="1" x14ac:dyDescent="0.3">
      <c r="A7" s="228">
        <v>1</v>
      </c>
      <c r="B7" s="229">
        <v>2</v>
      </c>
      <c r="C7" s="479">
        <v>3</v>
      </c>
      <c r="D7" s="579">
        <v>4</v>
      </c>
      <c r="E7" s="579"/>
      <c r="F7" s="579">
        <v>5</v>
      </c>
      <c r="G7" s="579"/>
      <c r="H7" s="579">
        <v>6</v>
      </c>
      <c r="I7" s="579"/>
      <c r="J7" s="579">
        <v>7</v>
      </c>
      <c r="K7" s="579"/>
      <c r="L7" s="579">
        <v>8</v>
      </c>
      <c r="M7" s="579"/>
      <c r="N7" s="579">
        <v>9</v>
      </c>
      <c r="O7" s="579"/>
      <c r="P7" s="579">
        <v>10</v>
      </c>
      <c r="Q7" s="588"/>
      <c r="R7" s="473"/>
      <c r="S7" s="473"/>
    </row>
    <row r="8" spans="1:30" ht="15.75" thickTop="1" x14ac:dyDescent="0.25">
      <c r="A8" s="234">
        <v>1</v>
      </c>
      <c r="B8" s="235" t="s">
        <v>18</v>
      </c>
      <c r="C8" s="481">
        <v>1799</v>
      </c>
      <c r="D8" s="481">
        <v>0</v>
      </c>
      <c r="E8" s="481">
        <v>0</v>
      </c>
      <c r="F8" s="481">
        <v>0</v>
      </c>
      <c r="G8" s="481">
        <v>1.93</v>
      </c>
      <c r="H8" s="481">
        <v>10</v>
      </c>
      <c r="I8" s="481">
        <v>43.379999999999995</v>
      </c>
      <c r="J8" s="481">
        <v>15</v>
      </c>
      <c r="K8" s="481">
        <f>SUM(K40,K72)</f>
        <v>170.62799999999999</v>
      </c>
      <c r="L8" s="481">
        <v>221</v>
      </c>
      <c r="M8" s="481">
        <v>0</v>
      </c>
      <c r="N8" s="481">
        <v>53</v>
      </c>
      <c r="O8" s="481"/>
      <c r="P8" s="481">
        <f>SUM(D8,F8,H8,J8,L8,N8)</f>
        <v>299</v>
      </c>
      <c r="Q8" s="486">
        <f>SUM(E8,G8,I8,K8,M8,O8)</f>
        <v>215.93799999999999</v>
      </c>
      <c r="R8" s="473"/>
      <c r="U8" s="492">
        <f t="shared" ref="U8:U15" si="0">SUM(E8,G8,I8)</f>
        <v>45.309999999999995</v>
      </c>
      <c r="V8">
        <v>292</v>
      </c>
      <c r="W8">
        <v>0</v>
      </c>
      <c r="X8">
        <f>W8*0.96</f>
        <v>0</v>
      </c>
      <c r="Y8">
        <v>2</v>
      </c>
      <c r="Z8">
        <f>Y8*0.965</f>
        <v>1.93</v>
      </c>
      <c r="AA8">
        <v>45</v>
      </c>
      <c r="AB8">
        <f>AA8*0.964</f>
        <v>43.379999999999995</v>
      </c>
      <c r="AC8">
        <v>177</v>
      </c>
      <c r="AD8">
        <f>AC8*0.967</f>
        <v>171.15899999999999</v>
      </c>
    </row>
    <row r="9" spans="1:30" x14ac:dyDescent="0.25">
      <c r="A9" s="244">
        <v>2</v>
      </c>
      <c r="B9" s="245" t="s">
        <v>19</v>
      </c>
      <c r="C9" s="482">
        <v>243</v>
      </c>
      <c r="D9" s="482">
        <v>3</v>
      </c>
      <c r="E9" s="482">
        <v>4.75</v>
      </c>
      <c r="F9" s="482">
        <v>47</v>
      </c>
      <c r="G9" s="482">
        <v>26.055</v>
      </c>
      <c r="H9" s="482">
        <v>105</v>
      </c>
      <c r="I9" s="482">
        <v>137.852</v>
      </c>
      <c r="J9" s="482">
        <v>78</v>
      </c>
      <c r="K9" s="482">
        <f t="shared" ref="K9:K15" si="1">SUM(K41,K73)</f>
        <v>23.135999999999999</v>
      </c>
      <c r="L9" s="482">
        <v>45</v>
      </c>
      <c r="M9" s="482">
        <v>0</v>
      </c>
      <c r="N9" s="482">
        <v>20</v>
      </c>
      <c r="O9" s="482"/>
      <c r="P9" s="482">
        <f t="shared" ref="P9:Q15" si="2">SUM(D9,F9,H9,J9,L9,N9)</f>
        <v>298</v>
      </c>
      <c r="Q9" s="487">
        <f t="shared" si="2"/>
        <v>191.79300000000001</v>
      </c>
      <c r="R9" s="473"/>
      <c r="U9" s="492">
        <f t="shared" si="0"/>
        <v>168.65700000000001</v>
      </c>
      <c r="V9">
        <v>298</v>
      </c>
      <c r="W9">
        <v>5</v>
      </c>
      <c r="X9">
        <f t="shared" ref="X9:X15" si="3">W9*0.96</f>
        <v>4.8</v>
      </c>
      <c r="Y9">
        <v>27</v>
      </c>
      <c r="Z9">
        <f t="shared" ref="Z9:Z15" si="4">Y9*0.965</f>
        <v>26.055</v>
      </c>
      <c r="AA9">
        <v>143</v>
      </c>
      <c r="AB9">
        <f t="shared" ref="AB9:AB15" si="5">AA9*0.964</f>
        <v>137.852</v>
      </c>
      <c r="AC9">
        <v>24</v>
      </c>
      <c r="AD9">
        <f t="shared" ref="AD9:AD15" si="6">AC9*0.967</f>
        <v>23.207999999999998</v>
      </c>
    </row>
    <row r="10" spans="1:30" x14ac:dyDescent="0.25">
      <c r="A10" s="244">
        <v>3</v>
      </c>
      <c r="B10" s="235" t="s">
        <v>20</v>
      </c>
      <c r="C10" s="482">
        <v>275</v>
      </c>
      <c r="D10" s="482">
        <v>40</v>
      </c>
      <c r="E10" s="482">
        <v>4.75</v>
      </c>
      <c r="F10" s="482">
        <v>0</v>
      </c>
      <c r="G10" s="482">
        <v>8.6850000000000005</v>
      </c>
      <c r="H10" s="482">
        <v>10</v>
      </c>
      <c r="I10" s="482">
        <v>24.099999999999998</v>
      </c>
      <c r="J10" s="482">
        <v>14</v>
      </c>
      <c r="K10" s="482">
        <f t="shared" si="1"/>
        <v>26.64</v>
      </c>
      <c r="L10" s="482">
        <v>0</v>
      </c>
      <c r="M10" s="482">
        <v>0</v>
      </c>
      <c r="N10" s="482">
        <v>13</v>
      </c>
      <c r="O10" s="482"/>
      <c r="P10" s="482">
        <f>SUM(D10,F10,H10,J10,L10,N10)</f>
        <v>77</v>
      </c>
      <c r="Q10" s="487">
        <f t="shared" si="2"/>
        <v>64.174999999999997</v>
      </c>
      <c r="R10" s="473"/>
      <c r="U10" s="492">
        <f t="shared" si="0"/>
        <v>37.534999999999997</v>
      </c>
      <c r="V10">
        <v>84</v>
      </c>
      <c r="W10">
        <v>5</v>
      </c>
      <c r="X10">
        <f t="shared" si="3"/>
        <v>4.8</v>
      </c>
      <c r="Y10">
        <v>9</v>
      </c>
      <c r="Z10">
        <f t="shared" si="4"/>
        <v>8.6850000000000005</v>
      </c>
      <c r="AA10">
        <v>25</v>
      </c>
      <c r="AB10">
        <f t="shared" si="5"/>
        <v>24.099999999999998</v>
      </c>
      <c r="AC10">
        <v>15</v>
      </c>
      <c r="AD10">
        <f t="shared" si="6"/>
        <v>14.504999999999999</v>
      </c>
    </row>
    <row r="11" spans="1:30" x14ac:dyDescent="0.25">
      <c r="A11" s="255">
        <v>4</v>
      </c>
      <c r="B11" s="256" t="s">
        <v>21</v>
      </c>
      <c r="C11" s="482">
        <v>206</v>
      </c>
      <c r="D11" s="482">
        <v>0</v>
      </c>
      <c r="E11" s="482">
        <v>8.5499999999999989</v>
      </c>
      <c r="F11" s="482">
        <v>0</v>
      </c>
      <c r="G11" s="482">
        <v>0.96499999999999997</v>
      </c>
      <c r="H11" s="482">
        <v>68</v>
      </c>
      <c r="I11" s="482">
        <v>34.704000000000001</v>
      </c>
      <c r="J11" s="482">
        <v>116</v>
      </c>
      <c r="K11" s="482">
        <f t="shared" si="1"/>
        <v>124.35599999999999</v>
      </c>
      <c r="L11" s="482">
        <v>0</v>
      </c>
      <c r="M11" s="482">
        <v>20</v>
      </c>
      <c r="N11" s="482">
        <v>0</v>
      </c>
      <c r="O11" s="482"/>
      <c r="P11" s="482">
        <f t="shared" si="2"/>
        <v>184</v>
      </c>
      <c r="Q11" s="487">
        <f t="shared" si="2"/>
        <v>188.57499999999999</v>
      </c>
      <c r="R11" s="473"/>
      <c r="U11" s="492">
        <f t="shared" si="0"/>
        <v>44.219000000000001</v>
      </c>
      <c r="V11">
        <v>203</v>
      </c>
      <c r="W11">
        <v>9</v>
      </c>
      <c r="X11">
        <f t="shared" si="3"/>
        <v>8.64</v>
      </c>
      <c r="Y11">
        <v>1</v>
      </c>
      <c r="Z11">
        <f t="shared" si="4"/>
        <v>0.96499999999999997</v>
      </c>
      <c r="AA11">
        <v>36</v>
      </c>
      <c r="AB11">
        <f t="shared" si="5"/>
        <v>34.704000000000001</v>
      </c>
      <c r="AC11">
        <v>129</v>
      </c>
      <c r="AD11">
        <f t="shared" si="6"/>
        <v>124.74299999999999</v>
      </c>
    </row>
    <row r="12" spans="1:30" x14ac:dyDescent="0.25">
      <c r="A12" s="255">
        <v>5</v>
      </c>
      <c r="B12" s="258" t="s">
        <v>22</v>
      </c>
      <c r="C12" s="482">
        <v>363</v>
      </c>
      <c r="D12" s="482">
        <v>0</v>
      </c>
      <c r="E12" s="482">
        <v>0</v>
      </c>
      <c r="F12" s="482">
        <v>0</v>
      </c>
      <c r="G12" s="482">
        <v>0</v>
      </c>
      <c r="H12" s="482">
        <v>50</v>
      </c>
      <c r="I12" s="482">
        <v>14.459999999999999</v>
      </c>
      <c r="J12" s="482">
        <v>209</v>
      </c>
      <c r="K12" s="482">
        <f t="shared" si="1"/>
        <v>160.024</v>
      </c>
      <c r="L12" s="482">
        <v>0</v>
      </c>
      <c r="M12" s="482">
        <v>0</v>
      </c>
      <c r="N12" s="482">
        <v>17</v>
      </c>
      <c r="O12" s="482"/>
      <c r="P12" s="482">
        <f t="shared" si="2"/>
        <v>276</v>
      </c>
      <c r="Q12" s="487">
        <f t="shared" si="2"/>
        <v>174.48400000000001</v>
      </c>
      <c r="R12" s="473"/>
      <c r="U12" s="492">
        <f t="shared" si="0"/>
        <v>14.459999999999999</v>
      </c>
      <c r="V12">
        <v>184</v>
      </c>
      <c r="W12">
        <v>0</v>
      </c>
      <c r="X12">
        <f t="shared" si="3"/>
        <v>0</v>
      </c>
      <c r="Y12">
        <v>0</v>
      </c>
      <c r="Z12">
        <f t="shared" si="4"/>
        <v>0</v>
      </c>
      <c r="AA12">
        <v>15</v>
      </c>
      <c r="AB12">
        <f t="shared" si="5"/>
        <v>14.459999999999999</v>
      </c>
      <c r="AC12">
        <v>166</v>
      </c>
      <c r="AD12">
        <f t="shared" si="6"/>
        <v>160.52199999999999</v>
      </c>
    </row>
    <row r="13" spans="1:30" x14ac:dyDescent="0.25">
      <c r="A13" s="255">
        <v>6</v>
      </c>
      <c r="B13" s="258" t="s">
        <v>23</v>
      </c>
      <c r="C13" s="482">
        <v>59</v>
      </c>
      <c r="D13" s="482">
        <v>0</v>
      </c>
      <c r="E13" s="482">
        <v>6.6499999999999995</v>
      </c>
      <c r="F13" s="482">
        <v>0</v>
      </c>
      <c r="G13" s="482">
        <v>41.494999999999997</v>
      </c>
      <c r="H13" s="482">
        <v>19</v>
      </c>
      <c r="I13" s="482">
        <v>0</v>
      </c>
      <c r="J13" s="482">
        <v>0</v>
      </c>
      <c r="K13" s="482">
        <f t="shared" si="1"/>
        <v>0</v>
      </c>
      <c r="L13" s="482">
        <v>10</v>
      </c>
      <c r="M13" s="482">
        <v>0</v>
      </c>
      <c r="N13" s="482">
        <v>28</v>
      </c>
      <c r="O13" s="482"/>
      <c r="P13" s="482">
        <f t="shared" si="2"/>
        <v>57</v>
      </c>
      <c r="Q13" s="487">
        <f t="shared" si="2"/>
        <v>48.144999999999996</v>
      </c>
      <c r="R13" s="473"/>
      <c r="U13" s="492">
        <f t="shared" si="0"/>
        <v>48.144999999999996</v>
      </c>
      <c r="V13">
        <v>89</v>
      </c>
      <c r="W13">
        <v>7</v>
      </c>
      <c r="X13">
        <f t="shared" si="3"/>
        <v>6.72</v>
      </c>
      <c r="Y13">
        <v>43</v>
      </c>
      <c r="Z13">
        <f t="shared" si="4"/>
        <v>41.494999999999997</v>
      </c>
      <c r="AA13">
        <v>0</v>
      </c>
      <c r="AB13">
        <f t="shared" si="5"/>
        <v>0</v>
      </c>
      <c r="AC13">
        <v>0</v>
      </c>
      <c r="AD13">
        <f t="shared" si="6"/>
        <v>0</v>
      </c>
    </row>
    <row r="14" spans="1:30" x14ac:dyDescent="0.25">
      <c r="A14" s="255">
        <v>7</v>
      </c>
      <c r="B14" s="258" t="s">
        <v>24</v>
      </c>
      <c r="C14" s="482">
        <v>405</v>
      </c>
      <c r="D14" s="482">
        <v>0</v>
      </c>
      <c r="E14" s="482">
        <v>14.25</v>
      </c>
      <c r="F14" s="482">
        <v>0</v>
      </c>
      <c r="G14" s="482">
        <v>13.51</v>
      </c>
      <c r="H14" s="482">
        <v>117</v>
      </c>
      <c r="I14" s="482">
        <v>131.10399999999998</v>
      </c>
      <c r="J14" s="482">
        <v>276</v>
      </c>
      <c r="K14" s="482">
        <f t="shared" si="1"/>
        <v>171.59199999999998</v>
      </c>
      <c r="L14" s="482">
        <v>0</v>
      </c>
      <c r="M14" s="482">
        <v>2</v>
      </c>
      <c r="N14" s="482">
        <v>37</v>
      </c>
      <c r="O14" s="482"/>
      <c r="P14" s="482">
        <f t="shared" si="2"/>
        <v>430</v>
      </c>
      <c r="Q14" s="487">
        <f t="shared" si="2"/>
        <v>332.45599999999996</v>
      </c>
      <c r="R14" s="473"/>
      <c r="U14" s="492">
        <f t="shared" si="0"/>
        <v>158.86399999999998</v>
      </c>
      <c r="V14">
        <v>471</v>
      </c>
      <c r="W14">
        <v>15</v>
      </c>
      <c r="X14">
        <f t="shared" si="3"/>
        <v>14.399999999999999</v>
      </c>
      <c r="Y14">
        <v>14</v>
      </c>
      <c r="Z14">
        <f t="shared" si="4"/>
        <v>13.51</v>
      </c>
      <c r="AA14">
        <v>136</v>
      </c>
      <c r="AB14">
        <f t="shared" si="5"/>
        <v>131.10399999999998</v>
      </c>
      <c r="AC14">
        <v>178</v>
      </c>
      <c r="AD14">
        <f t="shared" si="6"/>
        <v>172.126</v>
      </c>
    </row>
    <row r="15" spans="1:30" ht="15.75" thickBot="1" x14ac:dyDescent="0.3">
      <c r="A15" s="260">
        <v>8</v>
      </c>
      <c r="B15" s="256" t="s">
        <v>25</v>
      </c>
      <c r="C15" s="483">
        <v>280</v>
      </c>
      <c r="D15" s="483">
        <v>0</v>
      </c>
      <c r="E15" s="483">
        <v>24.7</v>
      </c>
      <c r="F15" s="483">
        <v>52</v>
      </c>
      <c r="G15" s="483">
        <v>120.625</v>
      </c>
      <c r="H15" s="483">
        <v>126</v>
      </c>
      <c r="I15" s="483">
        <v>117.60799999999999</v>
      </c>
      <c r="J15" s="483">
        <v>129</v>
      </c>
      <c r="K15" s="483">
        <f t="shared" si="1"/>
        <v>6.7479999999999993</v>
      </c>
      <c r="L15" s="483">
        <v>0</v>
      </c>
      <c r="M15" s="483">
        <v>26</v>
      </c>
      <c r="N15" s="483">
        <v>38</v>
      </c>
      <c r="O15" s="483"/>
      <c r="P15" s="481">
        <f t="shared" si="2"/>
        <v>345</v>
      </c>
      <c r="Q15" s="486">
        <f t="shared" si="2"/>
        <v>295.68099999999998</v>
      </c>
      <c r="R15" s="473"/>
      <c r="U15" s="492">
        <f t="shared" si="0"/>
        <v>262.93299999999999</v>
      </c>
      <c r="V15">
        <v>345</v>
      </c>
      <c r="W15">
        <v>26</v>
      </c>
      <c r="X15">
        <f t="shared" si="3"/>
        <v>24.96</v>
      </c>
      <c r="Y15">
        <v>125</v>
      </c>
      <c r="Z15">
        <f t="shared" si="4"/>
        <v>120.625</v>
      </c>
      <c r="AA15">
        <v>122</v>
      </c>
      <c r="AB15">
        <f t="shared" si="5"/>
        <v>117.60799999999999</v>
      </c>
      <c r="AC15">
        <v>7</v>
      </c>
      <c r="AD15">
        <f t="shared" si="6"/>
        <v>6.7690000000000001</v>
      </c>
    </row>
    <row r="16" spans="1:30" ht="16.5" thickTop="1" thickBot="1" x14ac:dyDescent="0.3">
      <c r="A16" s="589" t="s">
        <v>26</v>
      </c>
      <c r="B16" s="590"/>
      <c r="C16" s="484">
        <f>SUM(C8:C15)</f>
        <v>3630</v>
      </c>
      <c r="D16" s="484">
        <f t="shared" ref="D16:P16" si="7">SUM(D8:D15)</f>
        <v>43</v>
      </c>
      <c r="E16" s="484">
        <f t="shared" si="7"/>
        <v>63.649999999999991</v>
      </c>
      <c r="F16" s="484">
        <f t="shared" si="7"/>
        <v>99</v>
      </c>
      <c r="G16" s="484">
        <f t="shared" si="7"/>
        <v>213.26499999999999</v>
      </c>
      <c r="H16" s="484">
        <f t="shared" si="7"/>
        <v>505</v>
      </c>
      <c r="I16" s="484">
        <f t="shared" si="7"/>
        <v>503.20800000000003</v>
      </c>
      <c r="J16" s="484">
        <f t="shared" si="7"/>
        <v>837</v>
      </c>
      <c r="K16" s="484">
        <f t="shared" si="7"/>
        <v>683.12400000000002</v>
      </c>
      <c r="L16" s="484">
        <f t="shared" si="7"/>
        <v>276</v>
      </c>
      <c r="M16" s="484">
        <f t="shared" si="7"/>
        <v>48</v>
      </c>
      <c r="N16" s="484">
        <f t="shared" si="7"/>
        <v>206</v>
      </c>
      <c r="O16" s="484">
        <f t="shared" si="7"/>
        <v>0</v>
      </c>
      <c r="P16" s="488">
        <f t="shared" si="7"/>
        <v>1966</v>
      </c>
      <c r="Q16" s="489">
        <f>SUM(Q8:Q15)</f>
        <v>1511.2470000000001</v>
      </c>
      <c r="R16" s="473"/>
      <c r="U16" s="492">
        <f t="shared" ref="U16:AD16" si="8">SUM(U8:U15)</f>
        <v>780.12299999999993</v>
      </c>
      <c r="V16">
        <f t="shared" si="8"/>
        <v>1966</v>
      </c>
      <c r="W16">
        <f t="shared" si="8"/>
        <v>67</v>
      </c>
      <c r="X16">
        <f t="shared" si="8"/>
        <v>64.319999999999993</v>
      </c>
      <c r="Y16">
        <f t="shared" si="8"/>
        <v>221</v>
      </c>
      <c r="Z16">
        <f t="shared" si="8"/>
        <v>213.26499999999999</v>
      </c>
      <c r="AA16">
        <f t="shared" si="8"/>
        <v>522</v>
      </c>
      <c r="AB16">
        <f t="shared" si="8"/>
        <v>503.20800000000003</v>
      </c>
      <c r="AC16">
        <f t="shared" si="8"/>
        <v>696</v>
      </c>
      <c r="AD16">
        <f t="shared" si="8"/>
        <v>673.03200000000004</v>
      </c>
    </row>
    <row r="17" spans="1:21" ht="15.75" thickBot="1" x14ac:dyDescent="0.3">
      <c r="A17" s="473"/>
      <c r="B17" s="473"/>
      <c r="C17" s="473"/>
      <c r="D17" s="473"/>
      <c r="E17" s="473"/>
      <c r="F17" s="473"/>
      <c r="G17" s="473"/>
      <c r="H17" s="473"/>
      <c r="I17" s="473"/>
      <c r="J17" s="473"/>
      <c r="K17" s="473"/>
      <c r="L17" s="473"/>
      <c r="M17" s="473"/>
      <c r="N17" s="473"/>
      <c r="O17" s="473"/>
      <c r="P17" s="473"/>
      <c r="Q17" s="473"/>
      <c r="R17" s="473"/>
      <c r="S17" s="473"/>
    </row>
    <row r="18" spans="1:21" ht="25.5" x14ac:dyDescent="0.25">
      <c r="A18" s="541" t="s">
        <v>2</v>
      </c>
      <c r="B18" s="543" t="s">
        <v>3</v>
      </c>
      <c r="C18" s="480" t="s">
        <v>156</v>
      </c>
      <c r="D18" s="580" t="s">
        <v>167</v>
      </c>
      <c r="E18" s="580"/>
      <c r="F18" s="580"/>
      <c r="G18" s="580"/>
      <c r="H18" s="580"/>
      <c r="I18" s="580"/>
      <c r="J18" s="580"/>
      <c r="K18" s="580"/>
      <c r="L18" s="580"/>
      <c r="M18" s="580"/>
      <c r="N18" s="580"/>
      <c r="O18" s="580"/>
      <c r="P18" s="581" t="s">
        <v>168</v>
      </c>
      <c r="Q18" s="581"/>
      <c r="R18" s="584" t="s">
        <v>169</v>
      </c>
      <c r="S18" s="585"/>
    </row>
    <row r="19" spans="1:21" ht="25.5" x14ac:dyDescent="0.25">
      <c r="A19" s="542"/>
      <c r="B19" s="544"/>
      <c r="C19" s="475" t="s">
        <v>164</v>
      </c>
      <c r="D19" s="578" t="s">
        <v>79</v>
      </c>
      <c r="E19" s="578"/>
      <c r="F19" s="578" t="s">
        <v>10</v>
      </c>
      <c r="G19" s="578"/>
      <c r="H19" s="578" t="s">
        <v>11</v>
      </c>
      <c r="I19" s="578"/>
      <c r="J19" s="578" t="s">
        <v>12</v>
      </c>
      <c r="K19" s="578"/>
      <c r="L19" s="578" t="s">
        <v>165</v>
      </c>
      <c r="M19" s="578"/>
      <c r="N19" s="578" t="s">
        <v>166</v>
      </c>
      <c r="O19" s="578"/>
      <c r="P19" s="578"/>
      <c r="Q19" s="578"/>
      <c r="R19" s="586"/>
      <c r="S19" s="587"/>
    </row>
    <row r="20" spans="1:21" x14ac:dyDescent="0.25">
      <c r="A20" s="542"/>
      <c r="B20" s="544"/>
      <c r="C20" s="477" t="s">
        <v>1</v>
      </c>
      <c r="D20" s="400" t="s">
        <v>158</v>
      </c>
      <c r="E20" s="400" t="s">
        <v>117</v>
      </c>
      <c r="F20" s="400" t="s">
        <v>158</v>
      </c>
      <c r="G20" s="400" t="s">
        <v>117</v>
      </c>
      <c r="H20" s="400" t="s">
        <v>158</v>
      </c>
      <c r="I20" s="400" t="s">
        <v>117</v>
      </c>
      <c r="J20" s="400" t="s">
        <v>158</v>
      </c>
      <c r="K20" s="400" t="s">
        <v>117</v>
      </c>
      <c r="L20" s="400" t="s">
        <v>158</v>
      </c>
      <c r="M20" s="400" t="s">
        <v>117</v>
      </c>
      <c r="N20" s="400" t="s">
        <v>158</v>
      </c>
      <c r="O20" s="400" t="s">
        <v>117</v>
      </c>
      <c r="P20" s="400" t="s">
        <v>158</v>
      </c>
      <c r="Q20" s="400" t="s">
        <v>117</v>
      </c>
      <c r="R20" s="400" t="s">
        <v>158</v>
      </c>
      <c r="S20" s="476" t="s">
        <v>117</v>
      </c>
    </row>
    <row r="21" spans="1:21" ht="15.75" thickBot="1" x14ac:dyDescent="0.3">
      <c r="A21" s="228">
        <v>1</v>
      </c>
      <c r="B21" s="229">
        <v>2</v>
      </c>
      <c r="C21" s="479">
        <v>3</v>
      </c>
      <c r="D21" s="579">
        <v>11</v>
      </c>
      <c r="E21" s="579"/>
      <c r="F21" s="579">
        <v>12</v>
      </c>
      <c r="G21" s="579"/>
      <c r="H21" s="579">
        <v>13</v>
      </c>
      <c r="I21" s="579"/>
      <c r="J21" s="579">
        <v>14</v>
      </c>
      <c r="K21" s="579"/>
      <c r="L21" s="579">
        <v>15</v>
      </c>
      <c r="M21" s="579"/>
      <c r="N21" s="579">
        <v>16</v>
      </c>
      <c r="O21" s="579"/>
      <c r="P21" s="579">
        <v>17</v>
      </c>
      <c r="Q21" s="579"/>
      <c r="R21" s="579">
        <v>18</v>
      </c>
      <c r="S21" s="588"/>
    </row>
    <row r="22" spans="1:21" ht="15.75" thickTop="1" x14ac:dyDescent="0.25">
      <c r="A22" s="234">
        <v>1</v>
      </c>
      <c r="B22" s="235" t="s">
        <v>18</v>
      </c>
      <c r="C22" s="481">
        <v>1799</v>
      </c>
      <c r="D22" s="481">
        <v>0</v>
      </c>
      <c r="E22" s="481"/>
      <c r="F22" s="481">
        <v>12</v>
      </c>
      <c r="G22" s="481"/>
      <c r="H22" s="481">
        <v>0</v>
      </c>
      <c r="I22" s="481"/>
      <c r="J22" s="481">
        <v>0</v>
      </c>
      <c r="K22" s="481"/>
      <c r="L22" s="481">
        <v>0</v>
      </c>
      <c r="M22" s="481"/>
      <c r="N22" s="481">
        <v>0</v>
      </c>
      <c r="O22" s="481"/>
      <c r="P22" s="481">
        <f>SUM(D22,F22,H22,J22,L22,N22)</f>
        <v>12</v>
      </c>
      <c r="Q22" s="481"/>
      <c r="R22" s="481">
        <f>SUM(P8,P22)</f>
        <v>311</v>
      </c>
      <c r="S22" s="486">
        <f>SUM(Q8,Q22)</f>
        <v>215.93799999999999</v>
      </c>
      <c r="U22">
        <v>311</v>
      </c>
    </row>
    <row r="23" spans="1:21" x14ac:dyDescent="0.25">
      <c r="A23" s="244">
        <v>2</v>
      </c>
      <c r="B23" s="245" t="s">
        <v>19</v>
      </c>
      <c r="C23" s="482">
        <v>243</v>
      </c>
      <c r="D23" s="482">
        <v>27</v>
      </c>
      <c r="E23" s="482"/>
      <c r="F23" s="482">
        <v>20</v>
      </c>
      <c r="G23" s="482"/>
      <c r="H23" s="482">
        <v>5</v>
      </c>
      <c r="I23" s="482"/>
      <c r="J23" s="482">
        <v>0</v>
      </c>
      <c r="K23" s="482"/>
      <c r="L23" s="482">
        <v>0</v>
      </c>
      <c r="M23" s="482"/>
      <c r="N23" s="482">
        <v>0</v>
      </c>
      <c r="O23" s="482"/>
      <c r="P23" s="482">
        <f t="shared" ref="P23:P29" si="9">SUM(D23,F23,H23,J23,L23,N23)</f>
        <v>52</v>
      </c>
      <c r="Q23" s="482"/>
      <c r="R23" s="482">
        <f t="shared" ref="R23:S29" si="10">SUM(P9,P23)</f>
        <v>350</v>
      </c>
      <c r="S23" s="487">
        <f t="shared" si="10"/>
        <v>191.79300000000001</v>
      </c>
      <c r="U23">
        <v>350</v>
      </c>
    </row>
    <row r="24" spans="1:21" x14ac:dyDescent="0.25">
      <c r="A24" s="244">
        <v>3</v>
      </c>
      <c r="B24" s="235" t="s">
        <v>20</v>
      </c>
      <c r="C24" s="482">
        <v>275</v>
      </c>
      <c r="D24" s="482">
        <v>10</v>
      </c>
      <c r="E24" s="482"/>
      <c r="F24" s="482">
        <v>0</v>
      </c>
      <c r="G24" s="482"/>
      <c r="H24" s="482">
        <v>0</v>
      </c>
      <c r="I24" s="482"/>
      <c r="J24" s="482">
        <v>0</v>
      </c>
      <c r="K24" s="482"/>
      <c r="L24" s="482">
        <v>0</v>
      </c>
      <c r="M24" s="482"/>
      <c r="N24" s="482">
        <v>0</v>
      </c>
      <c r="O24" s="482"/>
      <c r="P24" s="482">
        <f t="shared" si="9"/>
        <v>10</v>
      </c>
      <c r="Q24" s="482"/>
      <c r="R24" s="482">
        <f>SUM(P10,P24)</f>
        <v>87</v>
      </c>
      <c r="S24" s="487">
        <f t="shared" si="10"/>
        <v>64.174999999999997</v>
      </c>
      <c r="U24">
        <v>94</v>
      </c>
    </row>
    <row r="25" spans="1:21" x14ac:dyDescent="0.25">
      <c r="A25" s="255">
        <v>4</v>
      </c>
      <c r="B25" s="256" t="s">
        <v>21</v>
      </c>
      <c r="C25" s="482">
        <v>206</v>
      </c>
      <c r="D25" s="482">
        <v>0</v>
      </c>
      <c r="E25" s="482"/>
      <c r="F25" s="482">
        <v>27</v>
      </c>
      <c r="G25" s="482"/>
      <c r="H25" s="482">
        <v>0</v>
      </c>
      <c r="I25" s="482"/>
      <c r="J25" s="482">
        <v>0</v>
      </c>
      <c r="K25" s="482"/>
      <c r="L25" s="482">
        <v>0</v>
      </c>
      <c r="M25" s="482"/>
      <c r="N25" s="482">
        <v>5</v>
      </c>
      <c r="O25" s="482"/>
      <c r="P25" s="482">
        <f t="shared" si="9"/>
        <v>32</v>
      </c>
      <c r="Q25" s="482"/>
      <c r="R25" s="482">
        <f t="shared" si="10"/>
        <v>216</v>
      </c>
      <c r="S25" s="487">
        <f t="shared" si="10"/>
        <v>188.57499999999999</v>
      </c>
      <c r="U25">
        <v>235</v>
      </c>
    </row>
    <row r="26" spans="1:21" x14ac:dyDescent="0.25">
      <c r="A26" s="255">
        <v>5</v>
      </c>
      <c r="B26" s="258" t="s">
        <v>22</v>
      </c>
      <c r="C26" s="482">
        <v>363</v>
      </c>
      <c r="D26" s="482">
        <v>0</v>
      </c>
      <c r="E26" s="482"/>
      <c r="F26" s="482">
        <v>0</v>
      </c>
      <c r="G26" s="482"/>
      <c r="H26" s="482">
        <v>0</v>
      </c>
      <c r="I26" s="482"/>
      <c r="J26" s="482">
        <v>0</v>
      </c>
      <c r="K26" s="482"/>
      <c r="L26" s="482">
        <v>0</v>
      </c>
      <c r="M26" s="482"/>
      <c r="N26" s="482">
        <v>0</v>
      </c>
      <c r="O26" s="482"/>
      <c r="P26" s="482">
        <f t="shared" si="9"/>
        <v>0</v>
      </c>
      <c r="Q26" s="482"/>
      <c r="R26" s="482">
        <f t="shared" si="10"/>
        <v>276</v>
      </c>
      <c r="S26" s="487">
        <f t="shared" si="10"/>
        <v>174.48400000000001</v>
      </c>
      <c r="U26">
        <v>201</v>
      </c>
    </row>
    <row r="27" spans="1:21" x14ac:dyDescent="0.25">
      <c r="A27" s="255">
        <v>6</v>
      </c>
      <c r="B27" s="258" t="s">
        <v>23</v>
      </c>
      <c r="C27" s="482">
        <v>59</v>
      </c>
      <c r="D27" s="482">
        <v>0</v>
      </c>
      <c r="E27" s="482"/>
      <c r="F27" s="482">
        <v>0</v>
      </c>
      <c r="G27" s="482"/>
      <c r="H27" s="482">
        <v>0</v>
      </c>
      <c r="I27" s="482"/>
      <c r="J27" s="482">
        <v>0</v>
      </c>
      <c r="K27" s="482"/>
      <c r="L27" s="482">
        <v>0</v>
      </c>
      <c r="M27" s="482"/>
      <c r="N27" s="482">
        <v>0</v>
      </c>
      <c r="O27" s="482"/>
      <c r="P27" s="482">
        <f t="shared" si="9"/>
        <v>0</v>
      </c>
      <c r="Q27" s="482"/>
      <c r="R27" s="482">
        <f t="shared" si="10"/>
        <v>57</v>
      </c>
      <c r="S27" s="487">
        <f t="shared" si="10"/>
        <v>48.144999999999996</v>
      </c>
      <c r="U27">
        <v>99</v>
      </c>
    </row>
    <row r="28" spans="1:21" x14ac:dyDescent="0.25">
      <c r="A28" s="255">
        <v>7</v>
      </c>
      <c r="B28" s="258" t="s">
        <v>24</v>
      </c>
      <c r="C28" s="482">
        <v>405</v>
      </c>
      <c r="D28" s="482">
        <v>90</v>
      </c>
      <c r="E28" s="482"/>
      <c r="F28" s="482">
        <v>30</v>
      </c>
      <c r="G28" s="482"/>
      <c r="H28" s="482">
        <v>35</v>
      </c>
      <c r="I28" s="482"/>
      <c r="J28" s="482">
        <v>0</v>
      </c>
      <c r="K28" s="482"/>
      <c r="L28" s="482">
        <v>0</v>
      </c>
      <c r="M28" s="482"/>
      <c r="N28" s="482">
        <v>0</v>
      </c>
      <c r="O28" s="482"/>
      <c r="P28" s="482">
        <f t="shared" si="9"/>
        <v>155</v>
      </c>
      <c r="Q28" s="482"/>
      <c r="R28" s="482">
        <f t="shared" si="10"/>
        <v>585</v>
      </c>
      <c r="S28" s="487">
        <f t="shared" si="10"/>
        <v>332.45599999999996</v>
      </c>
      <c r="U28">
        <v>589</v>
      </c>
    </row>
    <row r="29" spans="1:21" ht="15.75" thickBot="1" x14ac:dyDescent="0.3">
      <c r="A29" s="260">
        <v>8</v>
      </c>
      <c r="B29" s="256" t="s">
        <v>25</v>
      </c>
      <c r="C29" s="483">
        <v>280</v>
      </c>
      <c r="D29" s="485">
        <v>0</v>
      </c>
      <c r="E29" s="485"/>
      <c r="F29" s="485">
        <v>120</v>
      </c>
      <c r="G29" s="485"/>
      <c r="H29" s="485">
        <v>8</v>
      </c>
      <c r="I29" s="485"/>
      <c r="J29" s="485">
        <v>0</v>
      </c>
      <c r="K29" s="485"/>
      <c r="L29" s="485">
        <v>0</v>
      </c>
      <c r="M29" s="485"/>
      <c r="N29" s="485">
        <v>0</v>
      </c>
      <c r="O29" s="485"/>
      <c r="P29" s="481">
        <f t="shared" si="9"/>
        <v>128</v>
      </c>
      <c r="Q29" s="481"/>
      <c r="R29" s="481">
        <f t="shared" si="10"/>
        <v>473</v>
      </c>
      <c r="S29" s="486">
        <f t="shared" si="10"/>
        <v>295.68099999999998</v>
      </c>
      <c r="U29">
        <v>476</v>
      </c>
    </row>
    <row r="30" spans="1:21" ht="16.5" thickTop="1" thickBot="1" x14ac:dyDescent="0.3">
      <c r="A30" s="589" t="s">
        <v>26</v>
      </c>
      <c r="B30" s="590"/>
      <c r="C30" s="484">
        <f>SUM(C22:C29)</f>
        <v>3630</v>
      </c>
      <c r="D30" s="484">
        <f t="shared" ref="D30:R30" si="11">SUM(D22:D29)</f>
        <v>127</v>
      </c>
      <c r="E30" s="484">
        <f t="shared" si="11"/>
        <v>0</v>
      </c>
      <c r="F30" s="484">
        <f t="shared" si="11"/>
        <v>209</v>
      </c>
      <c r="G30" s="484">
        <f t="shared" si="11"/>
        <v>0</v>
      </c>
      <c r="H30" s="484">
        <f t="shared" si="11"/>
        <v>48</v>
      </c>
      <c r="I30" s="484">
        <f t="shared" si="11"/>
        <v>0</v>
      </c>
      <c r="J30" s="484">
        <f t="shared" si="11"/>
        <v>0</v>
      </c>
      <c r="K30" s="484">
        <f t="shared" si="11"/>
        <v>0</v>
      </c>
      <c r="L30" s="484">
        <f t="shared" si="11"/>
        <v>0</v>
      </c>
      <c r="M30" s="484">
        <f t="shared" si="11"/>
        <v>0</v>
      </c>
      <c r="N30" s="484">
        <f t="shared" si="11"/>
        <v>5</v>
      </c>
      <c r="O30" s="484">
        <f t="shared" si="11"/>
        <v>0</v>
      </c>
      <c r="P30" s="488">
        <f t="shared" si="11"/>
        <v>389</v>
      </c>
      <c r="Q30" s="488">
        <f t="shared" si="11"/>
        <v>0</v>
      </c>
      <c r="R30" s="488">
        <f t="shared" si="11"/>
        <v>2355</v>
      </c>
      <c r="S30" s="489">
        <f>SUM(S22:S29)</f>
        <v>1511.2470000000001</v>
      </c>
      <c r="U30" s="490">
        <f>SUM(U22:U29)</f>
        <v>2355</v>
      </c>
    </row>
    <row r="33" spans="1:22" ht="15.75" x14ac:dyDescent="0.25">
      <c r="A33" s="516" t="s">
        <v>171</v>
      </c>
      <c r="B33" s="516"/>
      <c r="C33" s="516"/>
      <c r="D33" s="516"/>
      <c r="E33" s="516"/>
      <c r="F33" s="516"/>
      <c r="G33" s="516"/>
      <c r="H33" s="516"/>
      <c r="I33" s="516"/>
      <c r="J33" s="516"/>
      <c r="K33" s="516"/>
      <c r="L33" s="516"/>
      <c r="M33" s="516"/>
      <c r="N33" s="516"/>
      <c r="O33" s="516"/>
      <c r="P33" s="516"/>
      <c r="Q33" s="516"/>
      <c r="R33" s="516"/>
      <c r="S33" s="516"/>
    </row>
    <row r="34" spans="1:22" ht="15.75" x14ac:dyDescent="0.25">
      <c r="A34" s="516" t="s">
        <v>82</v>
      </c>
      <c r="B34" s="516"/>
      <c r="C34" s="516"/>
      <c r="D34" s="516"/>
      <c r="E34" s="516"/>
      <c r="F34" s="516"/>
      <c r="G34" s="516"/>
      <c r="H34" s="516"/>
      <c r="I34" s="516"/>
      <c r="J34" s="516"/>
      <c r="K34" s="516"/>
      <c r="L34" s="516"/>
      <c r="M34" s="516"/>
      <c r="N34" s="516"/>
      <c r="O34" s="516"/>
      <c r="P34" s="516"/>
      <c r="Q34" s="516"/>
      <c r="R34" s="516"/>
      <c r="S34" s="516"/>
    </row>
    <row r="35" spans="1:22" ht="15.75" thickBot="1" x14ac:dyDescent="0.3"/>
    <row r="36" spans="1:22" ht="25.5" x14ac:dyDescent="0.25">
      <c r="A36" s="541" t="s">
        <v>2</v>
      </c>
      <c r="B36" s="543" t="s">
        <v>3</v>
      </c>
      <c r="C36" s="480" t="s">
        <v>156</v>
      </c>
      <c r="D36" s="580" t="s">
        <v>157</v>
      </c>
      <c r="E36" s="580"/>
      <c r="F36" s="580"/>
      <c r="G36" s="580"/>
      <c r="H36" s="580"/>
      <c r="I36" s="580"/>
      <c r="J36" s="580"/>
      <c r="K36" s="580"/>
      <c r="L36" s="580"/>
      <c r="M36" s="580"/>
      <c r="N36" s="580"/>
      <c r="O36" s="580"/>
      <c r="P36" s="581" t="s">
        <v>84</v>
      </c>
      <c r="Q36" s="582"/>
      <c r="R36" s="473"/>
      <c r="S36" s="473"/>
    </row>
    <row r="37" spans="1:22" x14ac:dyDescent="0.25">
      <c r="A37" s="542"/>
      <c r="B37" s="544"/>
      <c r="C37" s="475" t="s">
        <v>174</v>
      </c>
      <c r="D37" s="578" t="s">
        <v>160</v>
      </c>
      <c r="E37" s="578"/>
      <c r="F37" s="578" t="s">
        <v>161</v>
      </c>
      <c r="G37" s="578"/>
      <c r="H37" s="578" t="s">
        <v>162</v>
      </c>
      <c r="I37" s="578"/>
      <c r="J37" s="578" t="s">
        <v>159</v>
      </c>
      <c r="K37" s="578"/>
      <c r="L37" s="578" t="s">
        <v>163</v>
      </c>
      <c r="M37" s="578"/>
      <c r="N37" s="578" t="s">
        <v>8</v>
      </c>
      <c r="O37" s="578"/>
      <c r="P37" s="578"/>
      <c r="Q37" s="583"/>
      <c r="R37" s="473"/>
      <c r="S37" s="473"/>
    </row>
    <row r="38" spans="1:22" x14ac:dyDescent="0.25">
      <c r="A38" s="542"/>
      <c r="B38" s="544"/>
      <c r="C38" s="477" t="s">
        <v>1</v>
      </c>
      <c r="D38" s="400" t="s">
        <v>158</v>
      </c>
      <c r="E38" s="400" t="s">
        <v>117</v>
      </c>
      <c r="F38" s="400" t="s">
        <v>158</v>
      </c>
      <c r="G38" s="400" t="s">
        <v>117</v>
      </c>
      <c r="H38" s="400" t="s">
        <v>158</v>
      </c>
      <c r="I38" s="400" t="s">
        <v>117</v>
      </c>
      <c r="J38" s="400" t="s">
        <v>158</v>
      </c>
      <c r="K38" s="400" t="s">
        <v>117</v>
      </c>
      <c r="L38" s="400" t="s">
        <v>158</v>
      </c>
      <c r="M38" s="400" t="s">
        <v>117</v>
      </c>
      <c r="N38" s="400" t="s">
        <v>158</v>
      </c>
      <c r="O38" s="400" t="s">
        <v>117</v>
      </c>
      <c r="P38" s="400" t="s">
        <v>158</v>
      </c>
      <c r="Q38" s="476" t="s">
        <v>117</v>
      </c>
      <c r="R38" s="473"/>
      <c r="S38" s="473"/>
    </row>
    <row r="39" spans="1:22" ht="15.75" thickBot="1" x14ac:dyDescent="0.3">
      <c r="A39" s="228">
        <v>1</v>
      </c>
      <c r="B39" s="229">
        <v>2</v>
      </c>
      <c r="C39" s="479">
        <v>3</v>
      </c>
      <c r="D39" s="579">
        <v>4</v>
      </c>
      <c r="E39" s="579"/>
      <c r="F39" s="579">
        <v>5</v>
      </c>
      <c r="G39" s="579"/>
      <c r="H39" s="579">
        <v>6</v>
      </c>
      <c r="I39" s="579"/>
      <c r="J39" s="579">
        <v>7</v>
      </c>
      <c r="K39" s="579"/>
      <c r="L39" s="579">
        <v>8</v>
      </c>
      <c r="M39" s="579"/>
      <c r="N39" s="579">
        <v>9</v>
      </c>
      <c r="O39" s="579"/>
      <c r="P39" s="579">
        <v>10</v>
      </c>
      <c r="Q39" s="588"/>
      <c r="R39" s="473"/>
      <c r="S39" s="473"/>
    </row>
    <row r="40" spans="1:22" ht="15.75" thickTop="1" x14ac:dyDescent="0.25">
      <c r="A40" s="234">
        <v>1</v>
      </c>
      <c r="B40" s="235" t="s">
        <v>18</v>
      </c>
      <c r="C40" s="481">
        <v>287</v>
      </c>
      <c r="D40" s="481">
        <v>0</v>
      </c>
      <c r="E40" s="481">
        <v>0</v>
      </c>
      <c r="F40" s="481">
        <v>0</v>
      </c>
      <c r="G40" s="481">
        <v>1.93</v>
      </c>
      <c r="H40" s="481">
        <v>10</v>
      </c>
      <c r="I40" s="481">
        <v>43.515000000000001</v>
      </c>
      <c r="J40" s="481">
        <v>15</v>
      </c>
      <c r="K40" s="481">
        <v>170.62799999999999</v>
      </c>
      <c r="L40" s="481">
        <v>221</v>
      </c>
      <c r="M40" s="481"/>
      <c r="N40" s="481">
        <v>53</v>
      </c>
      <c r="O40" s="481"/>
      <c r="P40" s="481">
        <f>SUM(D40,F40,H40,J40,L40,N40)</f>
        <v>299</v>
      </c>
      <c r="Q40" s="486">
        <f>SUM(E40,G40,I40,K40,M40,O40)</f>
        <v>216.07299999999998</v>
      </c>
      <c r="R40" s="473"/>
      <c r="S40" s="473"/>
      <c r="U40">
        <v>177</v>
      </c>
      <c r="V40">
        <f>U40*0.964</f>
        <v>170.62799999999999</v>
      </c>
    </row>
    <row r="41" spans="1:22" x14ac:dyDescent="0.25">
      <c r="A41" s="244">
        <v>2</v>
      </c>
      <c r="B41" s="245" t="s">
        <v>19</v>
      </c>
      <c r="C41" s="482">
        <v>208</v>
      </c>
      <c r="D41" s="482">
        <v>3</v>
      </c>
      <c r="E41" s="482">
        <v>4.75</v>
      </c>
      <c r="F41" s="482">
        <v>47</v>
      </c>
      <c r="G41" s="482">
        <v>26.055</v>
      </c>
      <c r="H41" s="482">
        <v>105</v>
      </c>
      <c r="I41" s="482">
        <v>138.28100000000001</v>
      </c>
      <c r="J41" s="482">
        <v>78</v>
      </c>
      <c r="K41" s="482">
        <v>23.135999999999999</v>
      </c>
      <c r="L41" s="482">
        <v>45</v>
      </c>
      <c r="M41" s="482"/>
      <c r="N41" s="482">
        <v>20</v>
      </c>
      <c r="O41" s="482"/>
      <c r="P41" s="482">
        <f t="shared" ref="P41:Q47" si="12">SUM(D41,F41,H41,J41,L41,N41)</f>
        <v>298</v>
      </c>
      <c r="Q41" s="487">
        <f t="shared" si="12"/>
        <v>192.22200000000001</v>
      </c>
      <c r="R41" s="473"/>
      <c r="S41" s="473"/>
      <c r="U41">
        <v>24</v>
      </c>
      <c r="V41">
        <f t="shared" ref="V41:V47" si="13">U41*0.964</f>
        <v>23.135999999999999</v>
      </c>
    </row>
    <row r="42" spans="1:22" x14ac:dyDescent="0.25">
      <c r="A42" s="244">
        <v>3</v>
      </c>
      <c r="B42" s="235" t="s">
        <v>20</v>
      </c>
      <c r="C42" s="482">
        <v>25</v>
      </c>
      <c r="D42" s="482">
        <v>0</v>
      </c>
      <c r="E42" s="482">
        <v>4.75</v>
      </c>
      <c r="F42" s="482">
        <v>0</v>
      </c>
      <c r="G42" s="482">
        <v>8.6850000000000005</v>
      </c>
      <c r="H42" s="482">
        <v>10</v>
      </c>
      <c r="I42" s="482">
        <v>24.175000000000001</v>
      </c>
      <c r="J42" s="482">
        <v>14</v>
      </c>
      <c r="K42" s="482">
        <v>9.64</v>
      </c>
      <c r="L42" s="482">
        <v>0</v>
      </c>
      <c r="M42" s="482"/>
      <c r="N42" s="482">
        <v>13</v>
      </c>
      <c r="O42" s="482"/>
      <c r="P42" s="482">
        <f t="shared" si="12"/>
        <v>37</v>
      </c>
      <c r="Q42" s="487">
        <f t="shared" si="12"/>
        <v>47.25</v>
      </c>
      <c r="R42" s="473"/>
      <c r="S42" s="473"/>
      <c r="U42">
        <v>10</v>
      </c>
      <c r="V42">
        <f t="shared" si="13"/>
        <v>9.64</v>
      </c>
    </row>
    <row r="43" spans="1:22" x14ac:dyDescent="0.25">
      <c r="A43" s="255">
        <v>4</v>
      </c>
      <c r="B43" s="256" t="s">
        <v>21</v>
      </c>
      <c r="C43" s="482">
        <v>206</v>
      </c>
      <c r="D43" s="482">
        <v>0</v>
      </c>
      <c r="E43" s="482">
        <v>8.5499999999999989</v>
      </c>
      <c r="F43" s="482">
        <v>0</v>
      </c>
      <c r="G43" s="482">
        <v>0.96499999999999997</v>
      </c>
      <c r="H43" s="482">
        <v>68</v>
      </c>
      <c r="I43" s="482">
        <v>34.811999999999998</v>
      </c>
      <c r="J43" s="482">
        <v>116</v>
      </c>
      <c r="K43" s="482">
        <v>124.35599999999999</v>
      </c>
      <c r="L43" s="482">
        <v>0</v>
      </c>
      <c r="M43" s="482"/>
      <c r="N43" s="482">
        <v>0</v>
      </c>
      <c r="O43" s="482"/>
      <c r="P43" s="482">
        <f t="shared" si="12"/>
        <v>184</v>
      </c>
      <c r="Q43" s="487">
        <f t="shared" si="12"/>
        <v>168.68299999999999</v>
      </c>
      <c r="R43" s="473"/>
      <c r="S43" s="473"/>
      <c r="U43">
        <v>129</v>
      </c>
      <c r="V43">
        <f t="shared" si="13"/>
        <v>124.35599999999999</v>
      </c>
    </row>
    <row r="44" spans="1:22" x14ac:dyDescent="0.25">
      <c r="A44" s="255">
        <v>5</v>
      </c>
      <c r="B44" s="258" t="s">
        <v>22</v>
      </c>
      <c r="C44" s="482">
        <v>184</v>
      </c>
      <c r="D44" s="482">
        <v>0</v>
      </c>
      <c r="E44" s="482">
        <v>0</v>
      </c>
      <c r="F44" s="482">
        <v>0</v>
      </c>
      <c r="G44" s="482">
        <v>0</v>
      </c>
      <c r="H44" s="482">
        <v>50</v>
      </c>
      <c r="I44" s="482">
        <v>14.504999999999999</v>
      </c>
      <c r="J44" s="482">
        <v>209</v>
      </c>
      <c r="K44" s="482">
        <v>160.024</v>
      </c>
      <c r="L44" s="482">
        <v>0</v>
      </c>
      <c r="M44" s="482"/>
      <c r="N44" s="482">
        <v>17</v>
      </c>
      <c r="O44" s="482"/>
      <c r="P44" s="482">
        <f t="shared" si="12"/>
        <v>276</v>
      </c>
      <c r="Q44" s="487">
        <f t="shared" si="12"/>
        <v>174.529</v>
      </c>
      <c r="R44" s="473"/>
      <c r="S44" s="473"/>
      <c r="U44">
        <v>166</v>
      </c>
      <c r="V44">
        <f t="shared" si="13"/>
        <v>160.024</v>
      </c>
    </row>
    <row r="45" spans="1:22" x14ac:dyDescent="0.25">
      <c r="A45" s="255">
        <v>6</v>
      </c>
      <c r="B45" s="258" t="s">
        <v>23</v>
      </c>
      <c r="C45" s="482">
        <v>54</v>
      </c>
      <c r="D45" s="482">
        <v>0</v>
      </c>
      <c r="E45" s="482">
        <v>6.6499999999999995</v>
      </c>
      <c r="F45" s="482">
        <v>0</v>
      </c>
      <c r="G45" s="482">
        <v>41.494999999999997</v>
      </c>
      <c r="H45" s="482">
        <v>19</v>
      </c>
      <c r="I45" s="482">
        <v>0</v>
      </c>
      <c r="J45" s="482">
        <v>0</v>
      </c>
      <c r="K45" s="482">
        <v>0</v>
      </c>
      <c r="L45" s="482">
        <v>10</v>
      </c>
      <c r="M45" s="482"/>
      <c r="N45" s="482">
        <v>28</v>
      </c>
      <c r="O45" s="482"/>
      <c r="P45" s="482">
        <f t="shared" si="12"/>
        <v>57</v>
      </c>
      <c r="Q45" s="487">
        <f t="shared" si="12"/>
        <v>48.144999999999996</v>
      </c>
      <c r="R45" s="473"/>
      <c r="S45" s="473"/>
      <c r="U45">
        <v>0</v>
      </c>
      <c r="V45">
        <f t="shared" si="13"/>
        <v>0</v>
      </c>
    </row>
    <row r="46" spans="1:22" x14ac:dyDescent="0.25">
      <c r="A46" s="255">
        <v>7</v>
      </c>
      <c r="B46" s="258" t="s">
        <v>24</v>
      </c>
      <c r="C46" s="482">
        <v>367</v>
      </c>
      <c r="D46" s="482">
        <v>0</v>
      </c>
      <c r="E46" s="482">
        <v>14.25</v>
      </c>
      <c r="F46" s="482">
        <v>0</v>
      </c>
      <c r="G46" s="482">
        <v>13.51</v>
      </c>
      <c r="H46" s="482">
        <v>117</v>
      </c>
      <c r="I46" s="482">
        <v>131.512</v>
      </c>
      <c r="J46" s="482">
        <v>276</v>
      </c>
      <c r="K46" s="482">
        <v>171.59199999999998</v>
      </c>
      <c r="L46" s="482">
        <v>0</v>
      </c>
      <c r="M46" s="482"/>
      <c r="N46" s="482">
        <v>37</v>
      </c>
      <c r="O46" s="482"/>
      <c r="P46" s="482">
        <f t="shared" si="12"/>
        <v>430</v>
      </c>
      <c r="Q46" s="487">
        <f t="shared" si="12"/>
        <v>330.86399999999998</v>
      </c>
      <c r="R46" s="473"/>
      <c r="S46" s="473"/>
      <c r="U46">
        <v>178</v>
      </c>
      <c r="V46">
        <f t="shared" si="13"/>
        <v>171.59199999999998</v>
      </c>
    </row>
    <row r="47" spans="1:22" ht="15.75" thickBot="1" x14ac:dyDescent="0.3">
      <c r="A47" s="260">
        <v>8</v>
      </c>
      <c r="B47" s="256" t="s">
        <v>25</v>
      </c>
      <c r="C47" s="483">
        <v>280</v>
      </c>
      <c r="D47" s="483">
        <v>0</v>
      </c>
      <c r="E47" s="483">
        <v>24.7</v>
      </c>
      <c r="F47" s="483">
        <v>52</v>
      </c>
      <c r="G47" s="483">
        <v>120.625</v>
      </c>
      <c r="H47" s="483">
        <v>126</v>
      </c>
      <c r="I47" s="483">
        <v>117.97399999999999</v>
      </c>
      <c r="J47" s="483">
        <v>129</v>
      </c>
      <c r="K47" s="483">
        <v>6.7479999999999993</v>
      </c>
      <c r="L47" s="483">
        <v>0</v>
      </c>
      <c r="M47" s="483"/>
      <c r="N47" s="483">
        <v>38</v>
      </c>
      <c r="O47" s="483"/>
      <c r="P47" s="481">
        <f t="shared" si="12"/>
        <v>345</v>
      </c>
      <c r="Q47" s="486">
        <f t="shared" si="12"/>
        <v>270.04699999999997</v>
      </c>
      <c r="R47" s="473"/>
      <c r="S47" s="473"/>
      <c r="U47">
        <v>7</v>
      </c>
      <c r="V47">
        <f t="shared" si="13"/>
        <v>6.7479999999999993</v>
      </c>
    </row>
    <row r="48" spans="1:22" ht="16.5" thickTop="1" thickBot="1" x14ac:dyDescent="0.3">
      <c r="A48" s="589" t="s">
        <v>26</v>
      </c>
      <c r="B48" s="590"/>
      <c r="C48" s="484">
        <f>SUM(C40:C47)</f>
        <v>1611</v>
      </c>
      <c r="D48" s="484">
        <f t="shared" ref="D48:P48" si="14">SUM(D40:D47)</f>
        <v>3</v>
      </c>
      <c r="E48" s="484">
        <f t="shared" si="14"/>
        <v>63.649999999999991</v>
      </c>
      <c r="F48" s="484">
        <f t="shared" si="14"/>
        <v>99</v>
      </c>
      <c r="G48" s="484">
        <f t="shared" si="14"/>
        <v>213.26499999999999</v>
      </c>
      <c r="H48" s="484">
        <f t="shared" si="14"/>
        <v>505</v>
      </c>
      <c r="I48" s="484">
        <f t="shared" si="14"/>
        <v>504.774</v>
      </c>
      <c r="J48" s="484">
        <f t="shared" si="14"/>
        <v>837</v>
      </c>
      <c r="K48" s="484">
        <f t="shared" si="14"/>
        <v>666.12400000000002</v>
      </c>
      <c r="L48" s="484">
        <f t="shared" si="14"/>
        <v>276</v>
      </c>
      <c r="M48" s="484">
        <f t="shared" si="14"/>
        <v>0</v>
      </c>
      <c r="N48" s="484">
        <f t="shared" si="14"/>
        <v>206</v>
      </c>
      <c r="O48" s="484">
        <f t="shared" si="14"/>
        <v>0</v>
      </c>
      <c r="P48" s="488">
        <f t="shared" si="14"/>
        <v>1926</v>
      </c>
      <c r="Q48" s="489">
        <f>SUM(Q40:Q47)</f>
        <v>1447.8129999999999</v>
      </c>
      <c r="R48" s="473"/>
      <c r="S48" s="473"/>
      <c r="U48">
        <f>SUM(U40:U47)</f>
        <v>691</v>
      </c>
      <c r="V48">
        <f>SUM(V40:V47)</f>
        <v>666.12400000000002</v>
      </c>
    </row>
    <row r="49" spans="1:19" ht="15.75" thickBot="1" x14ac:dyDescent="0.3">
      <c r="A49" s="473"/>
      <c r="B49" s="473"/>
      <c r="C49" s="473"/>
      <c r="D49" s="473"/>
      <c r="E49" s="473"/>
      <c r="F49" s="473"/>
      <c r="G49" s="473"/>
      <c r="H49" s="473"/>
      <c r="I49" s="473"/>
      <c r="J49" s="473"/>
      <c r="K49" s="473"/>
      <c r="L49" s="473"/>
      <c r="M49" s="473"/>
      <c r="N49" s="473"/>
      <c r="O49" s="473"/>
      <c r="P49" s="473"/>
      <c r="Q49" s="473"/>
      <c r="R49" s="473"/>
      <c r="S49" s="473"/>
    </row>
    <row r="50" spans="1:19" ht="25.5" x14ac:dyDescent="0.25">
      <c r="A50" s="541" t="s">
        <v>2</v>
      </c>
      <c r="B50" s="543" t="s">
        <v>3</v>
      </c>
      <c r="C50" s="480" t="s">
        <v>156</v>
      </c>
      <c r="D50" s="580" t="s">
        <v>167</v>
      </c>
      <c r="E50" s="580"/>
      <c r="F50" s="580"/>
      <c r="G50" s="580"/>
      <c r="H50" s="580"/>
      <c r="I50" s="580"/>
      <c r="J50" s="580"/>
      <c r="K50" s="580"/>
      <c r="L50" s="580"/>
      <c r="M50" s="580"/>
      <c r="N50" s="580"/>
      <c r="O50" s="580"/>
      <c r="P50" s="581" t="s">
        <v>168</v>
      </c>
      <c r="Q50" s="581"/>
      <c r="R50" s="584" t="s">
        <v>169</v>
      </c>
      <c r="S50" s="585"/>
    </row>
    <row r="51" spans="1:19" x14ac:dyDescent="0.25">
      <c r="A51" s="542"/>
      <c r="B51" s="544"/>
      <c r="C51" s="475" t="s">
        <v>174</v>
      </c>
      <c r="D51" s="578" t="s">
        <v>79</v>
      </c>
      <c r="E51" s="578"/>
      <c r="F51" s="578" t="s">
        <v>10</v>
      </c>
      <c r="G51" s="578"/>
      <c r="H51" s="578" t="s">
        <v>11</v>
      </c>
      <c r="I51" s="578"/>
      <c r="J51" s="578" t="s">
        <v>12</v>
      </c>
      <c r="K51" s="578"/>
      <c r="L51" s="578" t="s">
        <v>165</v>
      </c>
      <c r="M51" s="578"/>
      <c r="N51" s="578" t="s">
        <v>166</v>
      </c>
      <c r="O51" s="578"/>
      <c r="P51" s="578"/>
      <c r="Q51" s="578"/>
      <c r="R51" s="586"/>
      <c r="S51" s="587"/>
    </row>
    <row r="52" spans="1:19" x14ac:dyDescent="0.25">
      <c r="A52" s="542"/>
      <c r="B52" s="544"/>
      <c r="C52" s="477" t="s">
        <v>1</v>
      </c>
      <c r="D52" s="400" t="s">
        <v>158</v>
      </c>
      <c r="E52" s="400" t="s">
        <v>117</v>
      </c>
      <c r="F52" s="400" t="s">
        <v>158</v>
      </c>
      <c r="G52" s="400" t="s">
        <v>117</v>
      </c>
      <c r="H52" s="400" t="s">
        <v>158</v>
      </c>
      <c r="I52" s="400" t="s">
        <v>117</v>
      </c>
      <c r="J52" s="400" t="s">
        <v>158</v>
      </c>
      <c r="K52" s="400" t="s">
        <v>117</v>
      </c>
      <c r="L52" s="400" t="s">
        <v>158</v>
      </c>
      <c r="M52" s="400" t="s">
        <v>117</v>
      </c>
      <c r="N52" s="400" t="s">
        <v>158</v>
      </c>
      <c r="O52" s="400" t="s">
        <v>117</v>
      </c>
      <c r="P52" s="400" t="s">
        <v>158</v>
      </c>
      <c r="Q52" s="400" t="s">
        <v>117</v>
      </c>
      <c r="R52" s="400" t="s">
        <v>158</v>
      </c>
      <c r="S52" s="476" t="s">
        <v>117</v>
      </c>
    </row>
    <row r="53" spans="1:19" ht="15.75" thickBot="1" x14ac:dyDescent="0.3">
      <c r="A53" s="228">
        <v>1</v>
      </c>
      <c r="B53" s="229">
        <v>2</v>
      </c>
      <c r="C53" s="479">
        <v>3</v>
      </c>
      <c r="D53" s="579">
        <v>11</v>
      </c>
      <c r="E53" s="579"/>
      <c r="F53" s="579">
        <v>12</v>
      </c>
      <c r="G53" s="579"/>
      <c r="H53" s="579">
        <v>13</v>
      </c>
      <c r="I53" s="579"/>
      <c r="J53" s="579">
        <v>14</v>
      </c>
      <c r="K53" s="579"/>
      <c r="L53" s="579">
        <v>15</v>
      </c>
      <c r="M53" s="579"/>
      <c r="N53" s="579">
        <v>16</v>
      </c>
      <c r="O53" s="579"/>
      <c r="P53" s="579">
        <v>17</v>
      </c>
      <c r="Q53" s="579"/>
      <c r="R53" s="579">
        <v>18</v>
      </c>
      <c r="S53" s="588"/>
    </row>
    <row r="54" spans="1:19" ht="15.75" thickTop="1" x14ac:dyDescent="0.25">
      <c r="A54" s="234">
        <v>1</v>
      </c>
      <c r="B54" s="235" t="s">
        <v>18</v>
      </c>
      <c r="C54" s="481">
        <v>287</v>
      </c>
      <c r="D54" s="481">
        <v>0</v>
      </c>
      <c r="E54" s="481"/>
      <c r="F54" s="481">
        <v>19</v>
      </c>
      <c r="G54" s="481"/>
      <c r="H54" s="481">
        <v>0</v>
      </c>
      <c r="I54" s="481"/>
      <c r="J54" s="481">
        <v>0</v>
      </c>
      <c r="K54" s="481"/>
      <c r="L54" s="481">
        <v>0</v>
      </c>
      <c r="M54" s="481"/>
      <c r="N54" s="481">
        <v>0</v>
      </c>
      <c r="O54" s="481"/>
      <c r="P54" s="481">
        <f>SUM(D54,F54,H54,J54,L54,N54)</f>
        <v>19</v>
      </c>
      <c r="Q54" s="481"/>
      <c r="R54" s="481">
        <f>SUM(P40,P54)</f>
        <v>318</v>
      </c>
      <c r="S54" s="486">
        <f>SUM(Q40,Q54)</f>
        <v>216.07299999999998</v>
      </c>
    </row>
    <row r="55" spans="1:19" x14ac:dyDescent="0.25">
      <c r="A55" s="244">
        <v>2</v>
      </c>
      <c r="B55" s="245" t="s">
        <v>19</v>
      </c>
      <c r="C55" s="482">
        <v>208</v>
      </c>
      <c r="D55" s="482">
        <v>27</v>
      </c>
      <c r="E55" s="482"/>
      <c r="F55" s="482">
        <v>20</v>
      </c>
      <c r="G55" s="482"/>
      <c r="H55" s="482">
        <v>5</v>
      </c>
      <c r="I55" s="482"/>
      <c r="J55" s="482">
        <v>0</v>
      </c>
      <c r="K55" s="482"/>
      <c r="L55" s="482">
        <v>0</v>
      </c>
      <c r="M55" s="482"/>
      <c r="N55" s="482">
        <v>0</v>
      </c>
      <c r="O55" s="482"/>
      <c r="P55" s="482">
        <f t="shared" ref="P55:P61" si="15">SUM(D55,F55,H55,J55,L55,N55)</f>
        <v>52</v>
      </c>
      <c r="Q55" s="482"/>
      <c r="R55" s="482">
        <f t="shared" ref="R55:S61" si="16">SUM(P41,P55)</f>
        <v>350</v>
      </c>
      <c r="S55" s="487">
        <f t="shared" si="16"/>
        <v>192.22200000000001</v>
      </c>
    </row>
    <row r="56" spans="1:19" x14ac:dyDescent="0.25">
      <c r="A56" s="244">
        <v>3</v>
      </c>
      <c r="B56" s="235" t="s">
        <v>20</v>
      </c>
      <c r="C56" s="482">
        <v>25</v>
      </c>
      <c r="D56" s="482">
        <v>10</v>
      </c>
      <c r="E56" s="482"/>
      <c r="F56" s="482">
        <v>0</v>
      </c>
      <c r="G56" s="482"/>
      <c r="H56" s="482">
        <v>0</v>
      </c>
      <c r="I56" s="482"/>
      <c r="J56" s="482">
        <v>0</v>
      </c>
      <c r="K56" s="482"/>
      <c r="L56" s="482">
        <v>0</v>
      </c>
      <c r="M56" s="482"/>
      <c r="N56" s="482">
        <v>0</v>
      </c>
      <c r="O56" s="482"/>
      <c r="P56" s="482">
        <f t="shared" si="15"/>
        <v>10</v>
      </c>
      <c r="Q56" s="482"/>
      <c r="R56" s="482">
        <f t="shared" si="16"/>
        <v>47</v>
      </c>
      <c r="S56" s="487">
        <f t="shared" si="16"/>
        <v>47.25</v>
      </c>
    </row>
    <row r="57" spans="1:19" x14ac:dyDescent="0.25">
      <c r="A57" s="255">
        <v>4</v>
      </c>
      <c r="B57" s="256" t="s">
        <v>21</v>
      </c>
      <c r="C57" s="482">
        <v>206</v>
      </c>
      <c r="D57" s="482">
        <v>0</v>
      </c>
      <c r="E57" s="482"/>
      <c r="F57" s="482">
        <v>27</v>
      </c>
      <c r="G57" s="482"/>
      <c r="H57" s="482">
        <v>0</v>
      </c>
      <c r="I57" s="482"/>
      <c r="J57" s="482">
        <v>0</v>
      </c>
      <c r="K57" s="482"/>
      <c r="L57" s="482">
        <v>0</v>
      </c>
      <c r="M57" s="482"/>
      <c r="N57" s="482">
        <v>5</v>
      </c>
      <c r="O57" s="482"/>
      <c r="P57" s="482">
        <f t="shared" si="15"/>
        <v>32</v>
      </c>
      <c r="Q57" s="482"/>
      <c r="R57" s="482">
        <f t="shared" si="16"/>
        <v>216</v>
      </c>
      <c r="S57" s="487">
        <f t="shared" si="16"/>
        <v>168.68299999999999</v>
      </c>
    </row>
    <row r="58" spans="1:19" x14ac:dyDescent="0.25">
      <c r="A58" s="255">
        <v>5</v>
      </c>
      <c r="B58" s="258" t="s">
        <v>22</v>
      </c>
      <c r="C58" s="482">
        <v>184</v>
      </c>
      <c r="D58" s="482">
        <v>5</v>
      </c>
      <c r="E58" s="482"/>
      <c r="F58" s="482">
        <v>12</v>
      </c>
      <c r="G58" s="482"/>
      <c r="H58" s="482">
        <v>0</v>
      </c>
      <c r="I58" s="482"/>
      <c r="J58" s="482">
        <v>0</v>
      </c>
      <c r="K58" s="482"/>
      <c r="L58" s="482">
        <v>0</v>
      </c>
      <c r="M58" s="482"/>
      <c r="N58" s="482">
        <v>0</v>
      </c>
      <c r="O58" s="482"/>
      <c r="P58" s="482">
        <f t="shared" si="15"/>
        <v>17</v>
      </c>
      <c r="Q58" s="482"/>
      <c r="R58" s="482">
        <f t="shared" si="16"/>
        <v>293</v>
      </c>
      <c r="S58" s="487">
        <f t="shared" si="16"/>
        <v>174.529</v>
      </c>
    </row>
    <row r="59" spans="1:19" x14ac:dyDescent="0.25">
      <c r="A59" s="255">
        <v>6</v>
      </c>
      <c r="B59" s="258" t="s">
        <v>23</v>
      </c>
      <c r="C59" s="482">
        <v>54</v>
      </c>
      <c r="D59" s="482">
        <v>0</v>
      </c>
      <c r="E59" s="482"/>
      <c r="F59" s="482">
        <v>10</v>
      </c>
      <c r="G59" s="482"/>
      <c r="H59" s="482">
        <v>0</v>
      </c>
      <c r="I59" s="482"/>
      <c r="J59" s="482">
        <v>0</v>
      </c>
      <c r="K59" s="482"/>
      <c r="L59" s="482">
        <v>0</v>
      </c>
      <c r="M59" s="482"/>
      <c r="N59" s="482">
        <v>0</v>
      </c>
      <c r="O59" s="482"/>
      <c r="P59" s="482">
        <f t="shared" si="15"/>
        <v>10</v>
      </c>
      <c r="Q59" s="482"/>
      <c r="R59" s="482">
        <f t="shared" si="16"/>
        <v>67</v>
      </c>
      <c r="S59" s="487">
        <f t="shared" si="16"/>
        <v>48.144999999999996</v>
      </c>
    </row>
    <row r="60" spans="1:19" x14ac:dyDescent="0.25">
      <c r="A60" s="255">
        <v>7</v>
      </c>
      <c r="B60" s="258" t="s">
        <v>24</v>
      </c>
      <c r="C60" s="482">
        <v>367</v>
      </c>
      <c r="D60" s="482">
        <v>90</v>
      </c>
      <c r="E60" s="482"/>
      <c r="F60" s="482">
        <v>28</v>
      </c>
      <c r="G60" s="482"/>
      <c r="H60" s="482">
        <v>0</v>
      </c>
      <c r="I60" s="482"/>
      <c r="J60" s="482">
        <v>0</v>
      </c>
      <c r="K60" s="482"/>
      <c r="L60" s="482">
        <v>0</v>
      </c>
      <c r="M60" s="482"/>
      <c r="N60" s="482">
        <v>0</v>
      </c>
      <c r="O60" s="482"/>
      <c r="P60" s="482">
        <f t="shared" si="15"/>
        <v>118</v>
      </c>
      <c r="Q60" s="482"/>
      <c r="R60" s="482">
        <f t="shared" si="16"/>
        <v>548</v>
      </c>
      <c r="S60" s="487">
        <f t="shared" si="16"/>
        <v>330.86399999999998</v>
      </c>
    </row>
    <row r="61" spans="1:19" ht="15.75" thickBot="1" x14ac:dyDescent="0.3">
      <c r="A61" s="260">
        <v>8</v>
      </c>
      <c r="B61" s="256" t="s">
        <v>25</v>
      </c>
      <c r="C61" s="483">
        <v>280</v>
      </c>
      <c r="D61" s="485">
        <v>0</v>
      </c>
      <c r="E61" s="485"/>
      <c r="F61" s="485">
        <v>97</v>
      </c>
      <c r="G61" s="485"/>
      <c r="H61" s="485">
        <v>34</v>
      </c>
      <c r="I61" s="485"/>
      <c r="J61" s="485">
        <v>0</v>
      </c>
      <c r="K61" s="485"/>
      <c r="L61" s="485">
        <v>0</v>
      </c>
      <c r="M61" s="485"/>
      <c r="N61" s="485">
        <v>0</v>
      </c>
      <c r="O61" s="485"/>
      <c r="P61" s="481">
        <f t="shared" si="15"/>
        <v>131</v>
      </c>
      <c r="Q61" s="481"/>
      <c r="R61" s="481">
        <f t="shared" si="16"/>
        <v>476</v>
      </c>
      <c r="S61" s="486">
        <f t="shared" si="16"/>
        <v>270.04699999999997</v>
      </c>
    </row>
    <row r="62" spans="1:19" ht="16.5" thickTop="1" thickBot="1" x14ac:dyDescent="0.3">
      <c r="A62" s="589" t="s">
        <v>26</v>
      </c>
      <c r="B62" s="590"/>
      <c r="C62" s="484">
        <f>SUM(C54:C61)</f>
        <v>1611</v>
      </c>
      <c r="D62" s="484">
        <f t="shared" ref="D62:R62" si="17">SUM(D54:D61)</f>
        <v>132</v>
      </c>
      <c r="E62" s="484">
        <f t="shared" si="17"/>
        <v>0</v>
      </c>
      <c r="F62" s="484">
        <f t="shared" si="17"/>
        <v>213</v>
      </c>
      <c r="G62" s="484">
        <f t="shared" si="17"/>
        <v>0</v>
      </c>
      <c r="H62" s="484">
        <f t="shared" si="17"/>
        <v>39</v>
      </c>
      <c r="I62" s="484">
        <f t="shared" si="17"/>
        <v>0</v>
      </c>
      <c r="J62" s="484">
        <f t="shared" si="17"/>
        <v>0</v>
      </c>
      <c r="K62" s="484">
        <f t="shared" si="17"/>
        <v>0</v>
      </c>
      <c r="L62" s="484">
        <f t="shared" si="17"/>
        <v>0</v>
      </c>
      <c r="M62" s="484">
        <f t="shared" si="17"/>
        <v>0</v>
      </c>
      <c r="N62" s="484">
        <f t="shared" si="17"/>
        <v>5</v>
      </c>
      <c r="O62" s="484">
        <f t="shared" si="17"/>
        <v>0</v>
      </c>
      <c r="P62" s="488">
        <f t="shared" si="17"/>
        <v>389</v>
      </c>
      <c r="Q62" s="488">
        <f t="shared" si="17"/>
        <v>0</v>
      </c>
      <c r="R62" s="488">
        <f t="shared" si="17"/>
        <v>2315</v>
      </c>
      <c r="S62" s="489">
        <f>SUM(S54:S61)</f>
        <v>1447.8129999999999</v>
      </c>
    </row>
    <row r="65" spans="1:21" ht="15.75" x14ac:dyDescent="0.25">
      <c r="A65" s="516" t="s">
        <v>172</v>
      </c>
      <c r="B65" s="516"/>
      <c r="C65" s="516"/>
      <c r="D65" s="516"/>
      <c r="E65" s="516"/>
      <c r="F65" s="516"/>
      <c r="G65" s="516"/>
      <c r="H65" s="516"/>
      <c r="I65" s="516"/>
      <c r="J65" s="516"/>
      <c r="K65" s="516"/>
      <c r="L65" s="516"/>
      <c r="M65" s="516"/>
      <c r="N65" s="516"/>
      <c r="O65" s="516"/>
      <c r="P65" s="516"/>
      <c r="Q65" s="516"/>
      <c r="R65" s="516"/>
      <c r="S65" s="516"/>
    </row>
    <row r="66" spans="1:21" ht="15.75" x14ac:dyDescent="0.25">
      <c r="A66" s="516" t="s">
        <v>82</v>
      </c>
      <c r="B66" s="516"/>
      <c r="C66" s="516"/>
      <c r="D66" s="516"/>
      <c r="E66" s="516"/>
      <c r="F66" s="516"/>
      <c r="G66" s="516"/>
      <c r="H66" s="516"/>
      <c r="I66" s="516"/>
      <c r="J66" s="516"/>
      <c r="K66" s="516"/>
      <c r="L66" s="516"/>
      <c r="M66" s="516"/>
      <c r="N66" s="516"/>
      <c r="O66" s="516"/>
      <c r="P66" s="516"/>
      <c r="Q66" s="516"/>
      <c r="R66" s="516"/>
      <c r="S66" s="516"/>
    </row>
    <row r="67" spans="1:21" ht="15.75" thickBot="1" x14ac:dyDescent="0.3"/>
    <row r="68" spans="1:21" ht="25.5" x14ac:dyDescent="0.25">
      <c r="A68" s="541" t="s">
        <v>2</v>
      </c>
      <c r="B68" s="543" t="s">
        <v>3</v>
      </c>
      <c r="C68" s="480" t="s">
        <v>156</v>
      </c>
      <c r="D68" s="580" t="s">
        <v>157</v>
      </c>
      <c r="E68" s="580"/>
      <c r="F68" s="580"/>
      <c r="G68" s="580"/>
      <c r="H68" s="580"/>
      <c r="I68" s="580"/>
      <c r="J68" s="580"/>
      <c r="K68" s="580"/>
      <c r="L68" s="580"/>
      <c r="M68" s="580"/>
      <c r="N68" s="580"/>
      <c r="O68" s="580"/>
      <c r="P68" s="581" t="s">
        <v>84</v>
      </c>
      <c r="Q68" s="582"/>
      <c r="R68" s="473"/>
      <c r="S68" s="473"/>
    </row>
    <row r="69" spans="1:21" x14ac:dyDescent="0.25">
      <c r="A69" s="542"/>
      <c r="B69" s="544"/>
      <c r="C69" s="475" t="s">
        <v>175</v>
      </c>
      <c r="D69" s="578" t="s">
        <v>160</v>
      </c>
      <c r="E69" s="578"/>
      <c r="F69" s="578" t="s">
        <v>161</v>
      </c>
      <c r="G69" s="578"/>
      <c r="H69" s="578" t="s">
        <v>162</v>
      </c>
      <c r="I69" s="578"/>
      <c r="J69" s="578" t="s">
        <v>159</v>
      </c>
      <c r="K69" s="578"/>
      <c r="L69" s="578" t="s">
        <v>163</v>
      </c>
      <c r="M69" s="578"/>
      <c r="N69" s="578" t="s">
        <v>8</v>
      </c>
      <c r="O69" s="578"/>
      <c r="P69" s="578"/>
      <c r="Q69" s="583"/>
      <c r="R69" s="473"/>
      <c r="S69" s="473"/>
    </row>
    <row r="70" spans="1:21" x14ac:dyDescent="0.25">
      <c r="A70" s="542"/>
      <c r="B70" s="544"/>
      <c r="C70" s="477" t="s">
        <v>1</v>
      </c>
      <c r="D70" s="400" t="s">
        <v>158</v>
      </c>
      <c r="E70" s="400" t="s">
        <v>117</v>
      </c>
      <c r="F70" s="400" t="s">
        <v>158</v>
      </c>
      <c r="G70" s="400" t="s">
        <v>117</v>
      </c>
      <c r="H70" s="400" t="s">
        <v>158</v>
      </c>
      <c r="I70" s="400" t="s">
        <v>117</v>
      </c>
      <c r="J70" s="400" t="s">
        <v>158</v>
      </c>
      <c r="K70" s="400" t="s">
        <v>117</v>
      </c>
      <c r="L70" s="400" t="s">
        <v>158</v>
      </c>
      <c r="M70" s="400" t="s">
        <v>117</v>
      </c>
      <c r="N70" s="400" t="s">
        <v>158</v>
      </c>
      <c r="O70" s="400" t="s">
        <v>117</v>
      </c>
      <c r="P70" s="400" t="s">
        <v>158</v>
      </c>
      <c r="Q70" s="476" t="s">
        <v>117</v>
      </c>
      <c r="R70" s="473"/>
      <c r="S70" s="473"/>
    </row>
    <row r="71" spans="1:21" ht="15.75" thickBot="1" x14ac:dyDescent="0.3">
      <c r="A71" s="228">
        <v>1</v>
      </c>
      <c r="B71" s="229">
        <v>2</v>
      </c>
      <c r="C71" s="479">
        <v>3</v>
      </c>
      <c r="D71" s="579">
        <v>4</v>
      </c>
      <c r="E71" s="579"/>
      <c r="F71" s="579">
        <v>5</v>
      </c>
      <c r="G71" s="579"/>
      <c r="H71" s="579">
        <v>6</v>
      </c>
      <c r="I71" s="579"/>
      <c r="J71" s="579">
        <v>7</v>
      </c>
      <c r="K71" s="579"/>
      <c r="L71" s="579">
        <v>8</v>
      </c>
      <c r="M71" s="579"/>
      <c r="N71" s="579">
        <v>9</v>
      </c>
      <c r="O71" s="579"/>
      <c r="P71" s="579">
        <v>10</v>
      </c>
      <c r="Q71" s="588"/>
      <c r="R71" s="473"/>
      <c r="S71" s="473"/>
    </row>
    <row r="72" spans="1:21" ht="15.75" thickTop="1" x14ac:dyDescent="0.25">
      <c r="A72" s="234">
        <v>1</v>
      </c>
      <c r="B72" s="235" t="s">
        <v>18</v>
      </c>
      <c r="C72" s="481">
        <v>1512</v>
      </c>
      <c r="D72" s="481">
        <v>0</v>
      </c>
      <c r="E72" s="481">
        <v>0</v>
      </c>
      <c r="F72" s="481">
        <v>0</v>
      </c>
      <c r="G72" s="481">
        <v>0</v>
      </c>
      <c r="H72" s="481">
        <v>0</v>
      </c>
      <c r="I72" s="481">
        <v>0</v>
      </c>
      <c r="J72" s="481">
        <v>0</v>
      </c>
      <c r="K72" s="481">
        <v>0</v>
      </c>
      <c r="L72" s="481">
        <v>0</v>
      </c>
      <c r="M72" s="481"/>
      <c r="N72" s="481">
        <v>0</v>
      </c>
      <c r="O72" s="481"/>
      <c r="P72" s="481">
        <f>SUM(D72,F72,H72,J72,L72,N72)</f>
        <v>0</v>
      </c>
      <c r="Q72" s="486">
        <f>SUM(E72,G72,I72,K72,M72,O72)</f>
        <v>0</v>
      </c>
      <c r="R72" s="473"/>
      <c r="S72" s="473"/>
    </row>
    <row r="73" spans="1:21" x14ac:dyDescent="0.25">
      <c r="A73" s="244">
        <v>2</v>
      </c>
      <c r="B73" s="245" t="s">
        <v>19</v>
      </c>
      <c r="C73" s="482">
        <v>35</v>
      </c>
      <c r="D73" s="482">
        <v>0</v>
      </c>
      <c r="E73" s="482">
        <v>0</v>
      </c>
      <c r="F73" s="482">
        <v>0</v>
      </c>
      <c r="G73" s="482">
        <v>0</v>
      </c>
      <c r="H73" s="482">
        <v>0</v>
      </c>
      <c r="I73" s="482">
        <v>0</v>
      </c>
      <c r="J73" s="482">
        <v>0</v>
      </c>
      <c r="K73" s="482">
        <v>0</v>
      </c>
      <c r="L73" s="482">
        <v>0</v>
      </c>
      <c r="M73" s="482"/>
      <c r="N73" s="482">
        <v>0</v>
      </c>
      <c r="O73" s="482"/>
      <c r="P73" s="482">
        <f t="shared" ref="P73:Q79" si="18">SUM(D73,F73,H73,J73,L73,N73)</f>
        <v>0</v>
      </c>
      <c r="Q73" s="487">
        <f t="shared" si="18"/>
        <v>0</v>
      </c>
      <c r="R73" s="473"/>
      <c r="S73" s="473"/>
    </row>
    <row r="74" spans="1:21" x14ac:dyDescent="0.25">
      <c r="A74" s="244">
        <v>3</v>
      </c>
      <c r="B74" s="235" t="s">
        <v>20</v>
      </c>
      <c r="C74" s="482">
        <v>250</v>
      </c>
      <c r="D74" s="482">
        <v>40</v>
      </c>
      <c r="E74" s="482">
        <v>0</v>
      </c>
      <c r="F74" s="482">
        <v>0</v>
      </c>
      <c r="G74" s="482">
        <v>4</v>
      </c>
      <c r="H74" s="482">
        <v>0</v>
      </c>
      <c r="I74" s="482">
        <v>24.175000000000001</v>
      </c>
      <c r="J74" s="482">
        <v>0</v>
      </c>
      <c r="K74" s="482">
        <v>17</v>
      </c>
      <c r="L74" s="482">
        <v>0</v>
      </c>
      <c r="M74" s="482"/>
      <c r="N74" s="482">
        <v>0</v>
      </c>
      <c r="O74" s="482"/>
      <c r="P74" s="482">
        <f t="shared" si="18"/>
        <v>40</v>
      </c>
      <c r="Q74" s="487">
        <f t="shared" si="18"/>
        <v>45.174999999999997</v>
      </c>
      <c r="R74" s="473"/>
      <c r="S74" s="473"/>
      <c r="U74">
        <f>18*0.967</f>
        <v>17.405999999999999</v>
      </c>
    </row>
    <row r="75" spans="1:21" x14ac:dyDescent="0.25">
      <c r="A75" s="255">
        <v>4</v>
      </c>
      <c r="B75" s="256" t="s">
        <v>21</v>
      </c>
      <c r="C75" s="482">
        <v>0</v>
      </c>
      <c r="D75" s="482">
        <v>0</v>
      </c>
      <c r="E75" s="482">
        <v>0</v>
      </c>
      <c r="F75" s="482">
        <v>0</v>
      </c>
      <c r="G75" s="482">
        <v>0</v>
      </c>
      <c r="H75" s="482">
        <v>0</v>
      </c>
      <c r="I75" s="482">
        <v>0</v>
      </c>
      <c r="J75" s="482">
        <v>0</v>
      </c>
      <c r="K75" s="482">
        <v>0</v>
      </c>
      <c r="L75" s="482">
        <v>0</v>
      </c>
      <c r="M75" s="482"/>
      <c r="N75" s="482">
        <v>0</v>
      </c>
      <c r="O75" s="482"/>
      <c r="P75" s="482">
        <f t="shared" si="18"/>
        <v>0</v>
      </c>
      <c r="Q75" s="487">
        <f t="shared" si="18"/>
        <v>0</v>
      </c>
      <c r="R75" s="473"/>
      <c r="S75" s="473"/>
    </row>
    <row r="76" spans="1:21" x14ac:dyDescent="0.25">
      <c r="A76" s="255">
        <v>5</v>
      </c>
      <c r="B76" s="258" t="s">
        <v>22</v>
      </c>
      <c r="C76" s="482">
        <v>179</v>
      </c>
      <c r="D76" s="482">
        <v>0</v>
      </c>
      <c r="E76" s="482">
        <v>0</v>
      </c>
      <c r="F76" s="482">
        <v>0</v>
      </c>
      <c r="G76" s="482">
        <v>0</v>
      </c>
      <c r="H76" s="482">
        <v>0</v>
      </c>
      <c r="I76" s="482">
        <v>0</v>
      </c>
      <c r="J76" s="482">
        <v>0</v>
      </c>
      <c r="K76" s="482">
        <v>0</v>
      </c>
      <c r="L76" s="482">
        <v>0</v>
      </c>
      <c r="M76" s="482"/>
      <c r="N76" s="482">
        <v>0</v>
      </c>
      <c r="O76" s="482"/>
      <c r="P76" s="482">
        <f t="shared" si="18"/>
        <v>0</v>
      </c>
      <c r="Q76" s="487">
        <f t="shared" si="18"/>
        <v>0</v>
      </c>
      <c r="R76" s="473"/>
      <c r="S76" s="473"/>
    </row>
    <row r="77" spans="1:21" x14ac:dyDescent="0.25">
      <c r="A77" s="255">
        <v>6</v>
      </c>
      <c r="B77" s="258" t="s">
        <v>23</v>
      </c>
      <c r="C77" s="482">
        <v>5</v>
      </c>
      <c r="D77" s="482">
        <v>0</v>
      </c>
      <c r="E77" s="482">
        <v>0</v>
      </c>
      <c r="F77" s="482">
        <v>0</v>
      </c>
      <c r="G77" s="482">
        <v>0</v>
      </c>
      <c r="H77" s="482">
        <v>0</v>
      </c>
      <c r="I77" s="482">
        <v>0</v>
      </c>
      <c r="J77" s="482">
        <v>0</v>
      </c>
      <c r="K77" s="482">
        <v>0</v>
      </c>
      <c r="L77" s="482">
        <v>0</v>
      </c>
      <c r="M77" s="482"/>
      <c r="N77" s="482">
        <v>0</v>
      </c>
      <c r="O77" s="482"/>
      <c r="P77" s="482">
        <f t="shared" si="18"/>
        <v>0</v>
      </c>
      <c r="Q77" s="487">
        <f t="shared" si="18"/>
        <v>0</v>
      </c>
      <c r="R77" s="473"/>
      <c r="S77" s="473"/>
    </row>
    <row r="78" spans="1:21" x14ac:dyDescent="0.25">
      <c r="A78" s="255">
        <v>7</v>
      </c>
      <c r="B78" s="258" t="s">
        <v>24</v>
      </c>
      <c r="C78" s="482">
        <v>38</v>
      </c>
      <c r="D78" s="482">
        <v>0</v>
      </c>
      <c r="E78" s="482">
        <v>0</v>
      </c>
      <c r="F78" s="482">
        <v>0</v>
      </c>
      <c r="G78" s="482">
        <v>0</v>
      </c>
      <c r="H78" s="482">
        <v>0</v>
      </c>
      <c r="I78" s="482">
        <v>0</v>
      </c>
      <c r="J78" s="482">
        <v>0</v>
      </c>
      <c r="K78" s="482">
        <v>0</v>
      </c>
      <c r="L78" s="482">
        <v>0</v>
      </c>
      <c r="M78" s="482"/>
      <c r="N78" s="482">
        <v>0</v>
      </c>
      <c r="O78" s="482"/>
      <c r="P78" s="482">
        <f t="shared" si="18"/>
        <v>0</v>
      </c>
      <c r="Q78" s="487">
        <f t="shared" si="18"/>
        <v>0</v>
      </c>
      <c r="R78" s="473"/>
      <c r="S78" s="473"/>
    </row>
    <row r="79" spans="1:21" ht="15.75" thickBot="1" x14ac:dyDescent="0.3">
      <c r="A79" s="260">
        <v>8</v>
      </c>
      <c r="B79" s="256" t="s">
        <v>25</v>
      </c>
      <c r="C79" s="483">
        <v>0</v>
      </c>
      <c r="D79" s="483">
        <v>0</v>
      </c>
      <c r="E79" s="483">
        <v>0</v>
      </c>
      <c r="F79" s="483">
        <v>0</v>
      </c>
      <c r="G79" s="483">
        <v>0</v>
      </c>
      <c r="H79" s="483">
        <v>0</v>
      </c>
      <c r="I79" s="483">
        <v>0</v>
      </c>
      <c r="J79" s="483">
        <v>0</v>
      </c>
      <c r="K79" s="483">
        <v>0</v>
      </c>
      <c r="L79" s="483">
        <v>0</v>
      </c>
      <c r="M79" s="483"/>
      <c r="N79" s="483">
        <v>0</v>
      </c>
      <c r="O79" s="483"/>
      <c r="P79" s="481">
        <f t="shared" si="18"/>
        <v>0</v>
      </c>
      <c r="Q79" s="486">
        <f t="shared" si="18"/>
        <v>0</v>
      </c>
      <c r="R79" s="473"/>
      <c r="S79" s="473"/>
    </row>
    <row r="80" spans="1:21" ht="16.5" thickTop="1" thickBot="1" x14ac:dyDescent="0.3">
      <c r="A80" s="589" t="s">
        <v>26</v>
      </c>
      <c r="B80" s="590"/>
      <c r="C80" s="484">
        <f>SUM(C72:C79)</f>
        <v>2019</v>
      </c>
      <c r="D80" s="484">
        <f t="shared" ref="D80:P80" si="19">SUM(D72:D79)</f>
        <v>40</v>
      </c>
      <c r="E80" s="484">
        <f t="shared" si="19"/>
        <v>0</v>
      </c>
      <c r="F80" s="484">
        <f t="shared" si="19"/>
        <v>0</v>
      </c>
      <c r="G80" s="484">
        <f t="shared" si="19"/>
        <v>4</v>
      </c>
      <c r="H80" s="484">
        <f t="shared" si="19"/>
        <v>0</v>
      </c>
      <c r="I80" s="484">
        <f t="shared" si="19"/>
        <v>24.175000000000001</v>
      </c>
      <c r="J80" s="484">
        <f t="shared" si="19"/>
        <v>0</v>
      </c>
      <c r="K80" s="484">
        <f t="shared" si="19"/>
        <v>17</v>
      </c>
      <c r="L80" s="484">
        <f t="shared" si="19"/>
        <v>0</v>
      </c>
      <c r="M80" s="484">
        <f t="shared" si="19"/>
        <v>0</v>
      </c>
      <c r="N80" s="484">
        <f t="shared" si="19"/>
        <v>0</v>
      </c>
      <c r="O80" s="484">
        <f t="shared" si="19"/>
        <v>0</v>
      </c>
      <c r="P80" s="488">
        <f t="shared" si="19"/>
        <v>40</v>
      </c>
      <c r="Q80" s="489">
        <f>SUM(Q72:Q79)</f>
        <v>45.174999999999997</v>
      </c>
      <c r="R80" s="473"/>
      <c r="S80" s="473"/>
    </row>
    <row r="81" spans="1:19" ht="15.75" thickBot="1" x14ac:dyDescent="0.3">
      <c r="A81" s="473"/>
      <c r="B81" s="473"/>
      <c r="C81" s="473"/>
      <c r="D81" s="473"/>
      <c r="E81" s="473"/>
      <c r="F81" s="473"/>
      <c r="G81" s="473"/>
      <c r="H81" s="473"/>
      <c r="I81" s="473"/>
      <c r="J81" s="473"/>
      <c r="K81" s="473"/>
      <c r="L81" s="473"/>
      <c r="M81" s="473"/>
      <c r="N81" s="473"/>
      <c r="O81" s="473"/>
      <c r="P81" s="473"/>
      <c r="Q81" s="473"/>
      <c r="R81" s="473"/>
      <c r="S81" s="473"/>
    </row>
    <row r="82" spans="1:19" ht="25.5" x14ac:dyDescent="0.25">
      <c r="A82" s="541" t="s">
        <v>2</v>
      </c>
      <c r="B82" s="543" t="s">
        <v>3</v>
      </c>
      <c r="C82" s="480" t="s">
        <v>156</v>
      </c>
      <c r="D82" s="580" t="s">
        <v>167</v>
      </c>
      <c r="E82" s="580"/>
      <c r="F82" s="580"/>
      <c r="G82" s="580"/>
      <c r="H82" s="580"/>
      <c r="I82" s="580"/>
      <c r="J82" s="580"/>
      <c r="K82" s="580"/>
      <c r="L82" s="580"/>
      <c r="M82" s="580"/>
      <c r="N82" s="580"/>
      <c r="O82" s="580"/>
      <c r="P82" s="581" t="s">
        <v>168</v>
      </c>
      <c r="Q82" s="581"/>
      <c r="R82" s="584" t="s">
        <v>169</v>
      </c>
      <c r="S82" s="585"/>
    </row>
    <row r="83" spans="1:19" x14ac:dyDescent="0.25">
      <c r="A83" s="542"/>
      <c r="B83" s="544"/>
      <c r="C83" s="475" t="s">
        <v>175</v>
      </c>
      <c r="D83" s="578" t="s">
        <v>79</v>
      </c>
      <c r="E83" s="578"/>
      <c r="F83" s="578" t="s">
        <v>10</v>
      </c>
      <c r="G83" s="578"/>
      <c r="H83" s="578" t="s">
        <v>11</v>
      </c>
      <c r="I83" s="578"/>
      <c r="J83" s="578" t="s">
        <v>12</v>
      </c>
      <c r="K83" s="578"/>
      <c r="L83" s="578" t="s">
        <v>165</v>
      </c>
      <c r="M83" s="578"/>
      <c r="N83" s="578" t="s">
        <v>166</v>
      </c>
      <c r="O83" s="578"/>
      <c r="P83" s="578"/>
      <c r="Q83" s="578"/>
      <c r="R83" s="586"/>
      <c r="S83" s="587"/>
    </row>
    <row r="84" spans="1:19" x14ac:dyDescent="0.25">
      <c r="A84" s="542"/>
      <c r="B84" s="544"/>
      <c r="C84" s="477" t="s">
        <v>1</v>
      </c>
      <c r="D84" s="400" t="s">
        <v>158</v>
      </c>
      <c r="E84" s="400" t="s">
        <v>117</v>
      </c>
      <c r="F84" s="400" t="s">
        <v>158</v>
      </c>
      <c r="G84" s="400" t="s">
        <v>117</v>
      </c>
      <c r="H84" s="400" t="s">
        <v>158</v>
      </c>
      <c r="I84" s="400" t="s">
        <v>117</v>
      </c>
      <c r="J84" s="400" t="s">
        <v>158</v>
      </c>
      <c r="K84" s="400" t="s">
        <v>117</v>
      </c>
      <c r="L84" s="400" t="s">
        <v>158</v>
      </c>
      <c r="M84" s="400" t="s">
        <v>117</v>
      </c>
      <c r="N84" s="400" t="s">
        <v>158</v>
      </c>
      <c r="O84" s="400" t="s">
        <v>117</v>
      </c>
      <c r="P84" s="400" t="s">
        <v>158</v>
      </c>
      <c r="Q84" s="400" t="s">
        <v>117</v>
      </c>
      <c r="R84" s="400" t="s">
        <v>158</v>
      </c>
      <c r="S84" s="476" t="s">
        <v>117</v>
      </c>
    </row>
    <row r="85" spans="1:19" ht="15.75" thickBot="1" x14ac:dyDescent="0.3">
      <c r="A85" s="228">
        <v>1</v>
      </c>
      <c r="B85" s="229">
        <v>2</v>
      </c>
      <c r="C85" s="479">
        <v>3</v>
      </c>
      <c r="D85" s="579">
        <v>11</v>
      </c>
      <c r="E85" s="579"/>
      <c r="F85" s="579">
        <v>12</v>
      </c>
      <c r="G85" s="579"/>
      <c r="H85" s="579">
        <v>13</v>
      </c>
      <c r="I85" s="579"/>
      <c r="J85" s="579">
        <v>14</v>
      </c>
      <c r="K85" s="579"/>
      <c r="L85" s="579">
        <v>15</v>
      </c>
      <c r="M85" s="579"/>
      <c r="N85" s="579">
        <v>16</v>
      </c>
      <c r="O85" s="579"/>
      <c r="P85" s="579">
        <v>17</v>
      </c>
      <c r="Q85" s="579"/>
      <c r="R85" s="579">
        <v>18</v>
      </c>
      <c r="S85" s="588"/>
    </row>
    <row r="86" spans="1:19" ht="15.75" thickTop="1" x14ac:dyDescent="0.25">
      <c r="A86" s="234">
        <v>1</v>
      </c>
      <c r="B86" s="235" t="s">
        <v>18</v>
      </c>
      <c r="C86" s="481">
        <v>1512</v>
      </c>
      <c r="D86" s="481">
        <v>0</v>
      </c>
      <c r="E86" s="481"/>
      <c r="F86" s="481">
        <v>0</v>
      </c>
      <c r="G86" s="481"/>
      <c r="H86" s="481">
        <v>0</v>
      </c>
      <c r="I86" s="481"/>
      <c r="J86" s="481">
        <v>0</v>
      </c>
      <c r="K86" s="481"/>
      <c r="L86" s="481">
        <v>0</v>
      </c>
      <c r="M86" s="481"/>
      <c r="N86" s="481">
        <v>0</v>
      </c>
      <c r="O86" s="481"/>
      <c r="P86" s="481">
        <f>SUM(D86,F86,H86,J86,L86,N86)</f>
        <v>0</v>
      </c>
      <c r="Q86" s="481"/>
      <c r="R86" s="481">
        <f>SUM(P72,P86)</f>
        <v>0</v>
      </c>
      <c r="S86" s="486">
        <f>SUM(Q72,Q86)</f>
        <v>0</v>
      </c>
    </row>
    <row r="87" spans="1:19" x14ac:dyDescent="0.25">
      <c r="A87" s="244">
        <v>2</v>
      </c>
      <c r="B87" s="245" t="s">
        <v>19</v>
      </c>
      <c r="C87" s="482">
        <v>35</v>
      </c>
      <c r="D87" s="482">
        <v>0</v>
      </c>
      <c r="E87" s="482"/>
      <c r="F87" s="482">
        <v>0</v>
      </c>
      <c r="G87" s="482"/>
      <c r="H87" s="482">
        <v>0</v>
      </c>
      <c r="I87" s="482"/>
      <c r="J87" s="482">
        <v>0</v>
      </c>
      <c r="K87" s="482"/>
      <c r="L87" s="482">
        <v>0</v>
      </c>
      <c r="M87" s="482"/>
      <c r="N87" s="482">
        <v>0</v>
      </c>
      <c r="O87" s="482"/>
      <c r="P87" s="482">
        <f t="shared" ref="P87:P93" si="20">SUM(D87,F87,H87,J87,L87,N87)</f>
        <v>0</v>
      </c>
      <c r="Q87" s="482"/>
      <c r="R87" s="482">
        <f t="shared" ref="R87:S93" si="21">SUM(P73,P87)</f>
        <v>0</v>
      </c>
      <c r="S87" s="487">
        <f t="shared" si="21"/>
        <v>0</v>
      </c>
    </row>
    <row r="88" spans="1:19" x14ac:dyDescent="0.25">
      <c r="A88" s="244">
        <v>3</v>
      </c>
      <c r="B88" s="235" t="s">
        <v>20</v>
      </c>
      <c r="C88" s="482">
        <v>250</v>
      </c>
      <c r="D88" s="482">
        <v>0</v>
      </c>
      <c r="E88" s="482"/>
      <c r="F88" s="482">
        <v>0</v>
      </c>
      <c r="G88" s="482"/>
      <c r="H88" s="482">
        <v>0</v>
      </c>
      <c r="I88" s="482"/>
      <c r="J88" s="482">
        <v>0</v>
      </c>
      <c r="K88" s="482"/>
      <c r="L88" s="482">
        <v>0</v>
      </c>
      <c r="M88" s="482"/>
      <c r="N88" s="482">
        <v>0</v>
      </c>
      <c r="O88" s="482"/>
      <c r="P88" s="482">
        <f t="shared" si="20"/>
        <v>0</v>
      </c>
      <c r="Q88" s="482"/>
      <c r="R88" s="482">
        <f t="shared" si="21"/>
        <v>40</v>
      </c>
      <c r="S88" s="487">
        <f t="shared" si="21"/>
        <v>45.174999999999997</v>
      </c>
    </row>
    <row r="89" spans="1:19" x14ac:dyDescent="0.25">
      <c r="A89" s="255">
        <v>4</v>
      </c>
      <c r="B89" s="256" t="s">
        <v>21</v>
      </c>
      <c r="C89" s="482">
        <v>0</v>
      </c>
      <c r="D89" s="482">
        <v>0</v>
      </c>
      <c r="E89" s="482"/>
      <c r="F89" s="482">
        <v>0</v>
      </c>
      <c r="G89" s="482"/>
      <c r="H89" s="482">
        <v>0</v>
      </c>
      <c r="I89" s="482"/>
      <c r="J89" s="482">
        <v>0</v>
      </c>
      <c r="K89" s="482"/>
      <c r="L89" s="482">
        <v>0</v>
      </c>
      <c r="M89" s="482"/>
      <c r="N89" s="482">
        <v>0</v>
      </c>
      <c r="O89" s="482"/>
      <c r="P89" s="482">
        <f t="shared" si="20"/>
        <v>0</v>
      </c>
      <c r="Q89" s="482"/>
      <c r="R89" s="482">
        <f t="shared" si="21"/>
        <v>0</v>
      </c>
      <c r="S89" s="487">
        <f t="shared" si="21"/>
        <v>0</v>
      </c>
    </row>
    <row r="90" spans="1:19" x14ac:dyDescent="0.25">
      <c r="A90" s="255">
        <v>5</v>
      </c>
      <c r="B90" s="258" t="s">
        <v>22</v>
      </c>
      <c r="C90" s="482">
        <v>179</v>
      </c>
      <c r="D90" s="482">
        <v>0</v>
      </c>
      <c r="E90" s="482"/>
      <c r="F90" s="482">
        <v>0</v>
      </c>
      <c r="G90" s="482"/>
      <c r="H90" s="482">
        <v>0</v>
      </c>
      <c r="I90" s="482"/>
      <c r="J90" s="482">
        <v>0</v>
      </c>
      <c r="K90" s="482"/>
      <c r="L90" s="482">
        <v>0</v>
      </c>
      <c r="M90" s="482"/>
      <c r="N90" s="482">
        <v>0</v>
      </c>
      <c r="O90" s="482"/>
      <c r="P90" s="482">
        <f t="shared" si="20"/>
        <v>0</v>
      </c>
      <c r="Q90" s="482"/>
      <c r="R90" s="482">
        <f t="shared" si="21"/>
        <v>0</v>
      </c>
      <c r="S90" s="487">
        <f t="shared" si="21"/>
        <v>0</v>
      </c>
    </row>
    <row r="91" spans="1:19" x14ac:dyDescent="0.25">
      <c r="A91" s="255">
        <v>6</v>
      </c>
      <c r="B91" s="258" t="s">
        <v>23</v>
      </c>
      <c r="C91" s="482">
        <v>5</v>
      </c>
      <c r="D91" s="482">
        <v>0</v>
      </c>
      <c r="E91" s="482"/>
      <c r="F91" s="482">
        <v>0</v>
      </c>
      <c r="G91" s="482"/>
      <c r="H91" s="482">
        <v>0</v>
      </c>
      <c r="I91" s="482"/>
      <c r="J91" s="482">
        <v>0</v>
      </c>
      <c r="K91" s="482"/>
      <c r="L91" s="482">
        <v>0</v>
      </c>
      <c r="M91" s="482"/>
      <c r="N91" s="482">
        <v>0</v>
      </c>
      <c r="O91" s="482"/>
      <c r="P91" s="482">
        <f t="shared" si="20"/>
        <v>0</v>
      </c>
      <c r="Q91" s="482"/>
      <c r="R91" s="482">
        <f t="shared" si="21"/>
        <v>0</v>
      </c>
      <c r="S91" s="487">
        <f t="shared" si="21"/>
        <v>0</v>
      </c>
    </row>
    <row r="92" spans="1:19" x14ac:dyDescent="0.25">
      <c r="A92" s="255">
        <v>7</v>
      </c>
      <c r="B92" s="258" t="s">
        <v>24</v>
      </c>
      <c r="C92" s="482">
        <v>38</v>
      </c>
      <c r="D92" s="482">
        <v>0</v>
      </c>
      <c r="E92" s="482"/>
      <c r="F92" s="482">
        <v>0</v>
      </c>
      <c r="G92" s="482"/>
      <c r="H92" s="482">
        <v>0</v>
      </c>
      <c r="I92" s="482"/>
      <c r="J92" s="482">
        <v>0</v>
      </c>
      <c r="K92" s="482"/>
      <c r="L92" s="482">
        <v>0</v>
      </c>
      <c r="M92" s="482"/>
      <c r="N92" s="482">
        <v>0</v>
      </c>
      <c r="O92" s="482"/>
      <c r="P92" s="482">
        <f t="shared" si="20"/>
        <v>0</v>
      </c>
      <c r="Q92" s="482"/>
      <c r="R92" s="482">
        <f t="shared" si="21"/>
        <v>0</v>
      </c>
      <c r="S92" s="487">
        <f t="shared" si="21"/>
        <v>0</v>
      </c>
    </row>
    <row r="93" spans="1:19" ht="15.75" thickBot="1" x14ac:dyDescent="0.3">
      <c r="A93" s="260">
        <v>8</v>
      </c>
      <c r="B93" s="256" t="s">
        <v>25</v>
      </c>
      <c r="C93" s="483">
        <v>0</v>
      </c>
      <c r="D93" s="483">
        <v>0</v>
      </c>
      <c r="E93" s="485"/>
      <c r="F93" s="483">
        <v>0</v>
      </c>
      <c r="G93" s="485"/>
      <c r="H93" s="483">
        <v>0</v>
      </c>
      <c r="I93" s="485"/>
      <c r="J93" s="485">
        <v>0</v>
      </c>
      <c r="K93" s="485"/>
      <c r="L93" s="485">
        <v>0</v>
      </c>
      <c r="M93" s="485"/>
      <c r="N93" s="483">
        <v>0</v>
      </c>
      <c r="O93" s="485"/>
      <c r="P93" s="481">
        <f t="shared" si="20"/>
        <v>0</v>
      </c>
      <c r="Q93" s="481"/>
      <c r="R93" s="481">
        <f t="shared" si="21"/>
        <v>0</v>
      </c>
      <c r="S93" s="486">
        <f t="shared" si="21"/>
        <v>0</v>
      </c>
    </row>
    <row r="94" spans="1:19" ht="16.5" thickTop="1" thickBot="1" x14ac:dyDescent="0.3">
      <c r="A94" s="589" t="s">
        <v>26</v>
      </c>
      <c r="B94" s="590"/>
      <c r="C94" s="484">
        <f>SUM(C86:C93)</f>
        <v>2019</v>
      </c>
      <c r="D94" s="484">
        <f t="shared" ref="D94:R94" si="22">SUM(D86:D93)</f>
        <v>0</v>
      </c>
      <c r="E94" s="484">
        <f t="shared" si="22"/>
        <v>0</v>
      </c>
      <c r="F94" s="484">
        <f t="shared" si="22"/>
        <v>0</v>
      </c>
      <c r="G94" s="484">
        <f t="shared" si="22"/>
        <v>0</v>
      </c>
      <c r="H94" s="484">
        <f t="shared" si="22"/>
        <v>0</v>
      </c>
      <c r="I94" s="484">
        <f t="shared" si="22"/>
        <v>0</v>
      </c>
      <c r="J94" s="484">
        <f t="shared" si="22"/>
        <v>0</v>
      </c>
      <c r="K94" s="484">
        <f t="shared" si="22"/>
        <v>0</v>
      </c>
      <c r="L94" s="484">
        <f t="shared" si="22"/>
        <v>0</v>
      </c>
      <c r="M94" s="484">
        <f t="shared" si="22"/>
        <v>0</v>
      </c>
      <c r="N94" s="484">
        <f t="shared" si="22"/>
        <v>0</v>
      </c>
      <c r="O94" s="484">
        <f t="shared" si="22"/>
        <v>0</v>
      </c>
      <c r="P94" s="488">
        <f t="shared" si="22"/>
        <v>0</v>
      </c>
      <c r="Q94" s="488">
        <f t="shared" si="22"/>
        <v>0</v>
      </c>
      <c r="R94" s="488">
        <f t="shared" si="22"/>
        <v>40</v>
      </c>
      <c r="S94" s="489">
        <f>SUM(S86:S93)</f>
        <v>45.174999999999997</v>
      </c>
    </row>
    <row r="97" spans="1:25" ht="15.75" x14ac:dyDescent="0.25">
      <c r="A97" s="516" t="s">
        <v>173</v>
      </c>
      <c r="B97" s="516"/>
      <c r="C97" s="516"/>
      <c r="D97" s="516"/>
      <c r="E97" s="516"/>
      <c r="F97" s="516"/>
      <c r="G97" s="516"/>
      <c r="H97" s="516"/>
      <c r="I97" s="516"/>
      <c r="J97" s="516"/>
      <c r="K97" s="516"/>
      <c r="L97" s="516"/>
      <c r="M97" s="516"/>
      <c r="N97" s="516"/>
      <c r="O97" s="516"/>
      <c r="P97" s="516"/>
      <c r="Q97" s="516"/>
      <c r="R97" s="516"/>
      <c r="S97" s="516"/>
    </row>
    <row r="98" spans="1:25" ht="15.75" x14ac:dyDescent="0.25">
      <c r="A98" s="516" t="s">
        <v>82</v>
      </c>
      <c r="B98" s="516"/>
      <c r="C98" s="516"/>
      <c r="D98" s="516"/>
      <c r="E98" s="516"/>
      <c r="F98" s="516"/>
      <c r="G98" s="516"/>
      <c r="H98" s="516"/>
      <c r="I98" s="516"/>
      <c r="J98" s="516"/>
      <c r="K98" s="516"/>
      <c r="L98" s="516"/>
      <c r="M98" s="516"/>
      <c r="N98" s="516"/>
      <c r="O98" s="516"/>
      <c r="P98" s="516"/>
      <c r="Q98" s="516"/>
      <c r="R98" s="516"/>
      <c r="S98" s="516"/>
    </row>
    <row r="99" spans="1:25" ht="15.75" thickBot="1" x14ac:dyDescent="0.3"/>
    <row r="100" spans="1:25" ht="25.5" x14ac:dyDescent="0.25">
      <c r="A100" s="541" t="s">
        <v>2</v>
      </c>
      <c r="B100" s="543" t="s">
        <v>3</v>
      </c>
      <c r="C100" s="480" t="s">
        <v>156</v>
      </c>
      <c r="D100" s="580" t="s">
        <v>157</v>
      </c>
      <c r="E100" s="580"/>
      <c r="F100" s="580"/>
      <c r="G100" s="580"/>
      <c r="H100" s="580"/>
      <c r="I100" s="580"/>
      <c r="J100" s="580"/>
      <c r="K100" s="580"/>
      <c r="L100" s="580"/>
      <c r="M100" s="580"/>
      <c r="N100" s="580"/>
      <c r="O100" s="580"/>
      <c r="P100" s="581" t="s">
        <v>84</v>
      </c>
      <c r="Q100" s="582"/>
      <c r="R100" s="473"/>
      <c r="S100" s="473"/>
    </row>
    <row r="101" spans="1:25" ht="25.5" x14ac:dyDescent="0.25">
      <c r="A101" s="542"/>
      <c r="B101" s="544"/>
      <c r="C101" s="475" t="s">
        <v>164</v>
      </c>
      <c r="D101" s="578" t="s">
        <v>160</v>
      </c>
      <c r="E101" s="578"/>
      <c r="F101" s="578" t="s">
        <v>161</v>
      </c>
      <c r="G101" s="578"/>
      <c r="H101" s="578" t="s">
        <v>162</v>
      </c>
      <c r="I101" s="578"/>
      <c r="J101" s="578" t="s">
        <v>159</v>
      </c>
      <c r="K101" s="578"/>
      <c r="L101" s="578" t="s">
        <v>163</v>
      </c>
      <c r="M101" s="578"/>
      <c r="N101" s="578" t="s">
        <v>8</v>
      </c>
      <c r="O101" s="578"/>
      <c r="P101" s="578"/>
      <c r="Q101" s="583"/>
      <c r="R101" s="473"/>
      <c r="S101" s="473"/>
    </row>
    <row r="102" spans="1:25" x14ac:dyDescent="0.25">
      <c r="A102" s="542"/>
      <c r="B102" s="544"/>
      <c r="C102" s="477" t="s">
        <v>1</v>
      </c>
      <c r="D102" s="400" t="s">
        <v>158</v>
      </c>
      <c r="E102" s="400" t="s">
        <v>117</v>
      </c>
      <c r="F102" s="400" t="s">
        <v>158</v>
      </c>
      <c r="G102" s="400" t="s">
        <v>117</v>
      </c>
      <c r="H102" s="400" t="s">
        <v>158</v>
      </c>
      <c r="I102" s="400" t="s">
        <v>117</v>
      </c>
      <c r="J102" s="400" t="s">
        <v>158</v>
      </c>
      <c r="K102" s="400" t="s">
        <v>117</v>
      </c>
      <c r="L102" s="400" t="s">
        <v>158</v>
      </c>
      <c r="M102" s="400" t="s">
        <v>117</v>
      </c>
      <c r="N102" s="400" t="s">
        <v>158</v>
      </c>
      <c r="O102" s="400" t="s">
        <v>117</v>
      </c>
      <c r="P102" s="400" t="s">
        <v>158</v>
      </c>
      <c r="Q102" s="476" t="s">
        <v>117</v>
      </c>
      <c r="R102" s="473"/>
      <c r="S102" s="473"/>
    </row>
    <row r="103" spans="1:25" ht="15.75" thickBot="1" x14ac:dyDescent="0.3">
      <c r="A103" s="228">
        <v>1</v>
      </c>
      <c r="B103" s="229">
        <v>2</v>
      </c>
      <c r="C103" s="479">
        <v>3</v>
      </c>
      <c r="D103" s="579">
        <v>4</v>
      </c>
      <c r="E103" s="579"/>
      <c r="F103" s="579">
        <v>5</v>
      </c>
      <c r="G103" s="579"/>
      <c r="H103" s="579">
        <v>6</v>
      </c>
      <c r="I103" s="579"/>
      <c r="J103" s="579">
        <v>7</v>
      </c>
      <c r="K103" s="579"/>
      <c r="L103" s="579">
        <v>8</v>
      </c>
      <c r="M103" s="579"/>
      <c r="N103" s="579">
        <v>9</v>
      </c>
      <c r="O103" s="579"/>
      <c r="P103" s="579">
        <v>10</v>
      </c>
      <c r="Q103" s="588"/>
      <c r="R103" s="473"/>
      <c r="S103" s="473"/>
    </row>
    <row r="104" spans="1:25" ht="15.75" thickTop="1" x14ac:dyDescent="0.25">
      <c r="A104" s="234">
        <v>1</v>
      </c>
      <c r="B104" s="235" t="s">
        <v>18</v>
      </c>
      <c r="C104" s="481">
        <v>1799</v>
      </c>
      <c r="D104" s="481">
        <v>0</v>
      </c>
      <c r="E104" s="481">
        <v>1</v>
      </c>
      <c r="F104" s="481">
        <v>0</v>
      </c>
      <c r="G104" s="481">
        <v>0</v>
      </c>
      <c r="H104" s="481">
        <v>0</v>
      </c>
      <c r="I104" s="481">
        <v>0</v>
      </c>
      <c r="J104" s="481">
        <v>0</v>
      </c>
      <c r="K104" s="481">
        <v>0</v>
      </c>
      <c r="L104" s="481">
        <v>0</v>
      </c>
      <c r="M104" s="481"/>
      <c r="N104" s="481">
        <v>4</v>
      </c>
      <c r="O104" s="481"/>
      <c r="P104" s="481">
        <f>SUM(D104,F104,H104,J104,L104,N104)</f>
        <v>4</v>
      </c>
      <c r="Q104" s="486">
        <f>SUM(E104,G104,I104,K104,M104,O104)</f>
        <v>1</v>
      </c>
      <c r="R104" s="473"/>
      <c r="S104" s="473"/>
    </row>
    <row r="105" spans="1:25" x14ac:dyDescent="0.25">
      <c r="A105" s="244">
        <v>2</v>
      </c>
      <c r="B105" s="245" t="s">
        <v>19</v>
      </c>
      <c r="C105" s="482">
        <v>243</v>
      </c>
      <c r="D105" s="482">
        <v>0</v>
      </c>
      <c r="E105" s="482">
        <v>1</v>
      </c>
      <c r="F105" s="482">
        <v>0</v>
      </c>
      <c r="G105" s="482">
        <v>0</v>
      </c>
      <c r="H105" s="482">
        <v>0</v>
      </c>
      <c r="I105" s="482">
        <v>0</v>
      </c>
      <c r="J105" s="482">
        <v>0</v>
      </c>
      <c r="K105" s="482">
        <v>0</v>
      </c>
      <c r="L105" s="482">
        <v>1</v>
      </c>
      <c r="M105" s="482"/>
      <c r="N105" s="482">
        <v>0</v>
      </c>
      <c r="O105" s="482"/>
      <c r="P105" s="482">
        <f t="shared" ref="P105:Q111" si="23">SUM(D105,F105,H105,J105,L105,N105)</f>
        <v>1</v>
      </c>
      <c r="Q105" s="487">
        <f t="shared" si="23"/>
        <v>1</v>
      </c>
      <c r="R105" s="473"/>
      <c r="S105" s="473"/>
      <c r="V105">
        <v>35</v>
      </c>
      <c r="W105">
        <f>V105*0.967</f>
        <v>33.844999999999999</v>
      </c>
      <c r="X105">
        <v>15</v>
      </c>
      <c r="Y105">
        <f>X105*0.96</f>
        <v>14.399999999999999</v>
      </c>
    </row>
    <row r="106" spans="1:25" x14ac:dyDescent="0.25">
      <c r="A106" s="244">
        <v>3</v>
      </c>
      <c r="B106" s="235" t="s">
        <v>20</v>
      </c>
      <c r="C106" s="482">
        <v>275</v>
      </c>
      <c r="D106" s="482">
        <v>0</v>
      </c>
      <c r="E106" s="482">
        <v>0</v>
      </c>
      <c r="F106" s="482">
        <v>3</v>
      </c>
      <c r="G106" s="482">
        <v>34</v>
      </c>
      <c r="H106" s="482">
        <v>2</v>
      </c>
      <c r="I106" s="482">
        <v>14</v>
      </c>
      <c r="J106" s="482">
        <v>0</v>
      </c>
      <c r="K106" s="482">
        <v>0</v>
      </c>
      <c r="L106" s="482">
        <v>0</v>
      </c>
      <c r="M106" s="482"/>
      <c r="N106" s="482">
        <v>0</v>
      </c>
      <c r="O106" s="482"/>
      <c r="P106" s="482">
        <f t="shared" si="23"/>
        <v>5</v>
      </c>
      <c r="Q106" s="487">
        <f t="shared" si="23"/>
        <v>48</v>
      </c>
      <c r="R106" s="473"/>
      <c r="S106" s="473"/>
    </row>
    <row r="107" spans="1:25" x14ac:dyDescent="0.25">
      <c r="A107" s="255">
        <v>4</v>
      </c>
      <c r="B107" s="256" t="s">
        <v>21</v>
      </c>
      <c r="C107" s="482">
        <v>206</v>
      </c>
      <c r="D107" s="482">
        <v>0</v>
      </c>
      <c r="E107" s="482">
        <v>0</v>
      </c>
      <c r="F107" s="482">
        <v>0</v>
      </c>
      <c r="G107" s="482">
        <v>0</v>
      </c>
      <c r="H107" s="482">
        <v>0</v>
      </c>
      <c r="I107" s="482">
        <v>1</v>
      </c>
      <c r="J107" s="482">
        <v>2</v>
      </c>
      <c r="K107" s="482">
        <v>0</v>
      </c>
      <c r="L107" s="482">
        <v>0</v>
      </c>
      <c r="M107" s="482"/>
      <c r="N107" s="482">
        <v>0</v>
      </c>
      <c r="O107" s="482"/>
      <c r="P107" s="482">
        <f t="shared" si="23"/>
        <v>2</v>
      </c>
      <c r="Q107" s="487">
        <f t="shared" si="23"/>
        <v>1</v>
      </c>
      <c r="R107" s="473"/>
      <c r="S107" s="473"/>
    </row>
    <row r="108" spans="1:25" x14ac:dyDescent="0.25">
      <c r="A108" s="255">
        <v>5</v>
      </c>
      <c r="B108" s="258" t="s">
        <v>22</v>
      </c>
      <c r="C108" s="482">
        <v>363</v>
      </c>
      <c r="D108" s="482">
        <v>0</v>
      </c>
      <c r="E108" s="482">
        <v>0</v>
      </c>
      <c r="F108" s="482">
        <v>0</v>
      </c>
      <c r="G108" s="482">
        <v>0</v>
      </c>
      <c r="H108" s="482">
        <v>1</v>
      </c>
      <c r="I108" s="482">
        <v>0</v>
      </c>
      <c r="J108" s="482">
        <v>1</v>
      </c>
      <c r="K108" s="482">
        <v>0</v>
      </c>
      <c r="L108" s="482">
        <v>0</v>
      </c>
      <c r="M108" s="482"/>
      <c r="N108" s="482">
        <v>0</v>
      </c>
      <c r="O108" s="482"/>
      <c r="P108" s="482">
        <f t="shared" si="23"/>
        <v>2</v>
      </c>
      <c r="Q108" s="487">
        <f t="shared" si="23"/>
        <v>0</v>
      </c>
      <c r="R108" s="473"/>
      <c r="S108" s="473"/>
    </row>
    <row r="109" spans="1:25" x14ac:dyDescent="0.25">
      <c r="A109" s="255">
        <v>6</v>
      </c>
      <c r="B109" s="258" t="s">
        <v>23</v>
      </c>
      <c r="C109" s="482">
        <v>59</v>
      </c>
      <c r="D109" s="482">
        <v>0</v>
      </c>
      <c r="E109" s="482">
        <v>0</v>
      </c>
      <c r="F109" s="482">
        <v>0</v>
      </c>
      <c r="G109" s="482">
        <v>0</v>
      </c>
      <c r="H109" s="482">
        <v>0</v>
      </c>
      <c r="I109" s="482">
        <v>0</v>
      </c>
      <c r="J109" s="482">
        <v>0</v>
      </c>
      <c r="K109" s="482">
        <v>0</v>
      </c>
      <c r="L109" s="482">
        <v>0</v>
      </c>
      <c r="M109" s="482"/>
      <c r="N109" s="482">
        <v>0</v>
      </c>
      <c r="O109" s="482"/>
      <c r="P109" s="482">
        <f t="shared" si="23"/>
        <v>0</v>
      </c>
      <c r="Q109" s="487">
        <f t="shared" si="23"/>
        <v>0</v>
      </c>
      <c r="R109" s="473"/>
      <c r="S109" s="473"/>
    </row>
    <row r="110" spans="1:25" x14ac:dyDescent="0.25">
      <c r="A110" s="255">
        <v>7</v>
      </c>
      <c r="B110" s="258" t="s">
        <v>24</v>
      </c>
      <c r="C110" s="482">
        <v>405</v>
      </c>
      <c r="D110" s="482">
        <v>0</v>
      </c>
      <c r="E110" s="482">
        <v>0</v>
      </c>
      <c r="F110" s="482">
        <v>0</v>
      </c>
      <c r="G110" s="482">
        <v>0</v>
      </c>
      <c r="H110" s="482">
        <v>0</v>
      </c>
      <c r="I110" s="482">
        <v>0</v>
      </c>
      <c r="J110" s="482">
        <v>0</v>
      </c>
      <c r="K110" s="482">
        <v>0</v>
      </c>
      <c r="L110" s="482">
        <v>0</v>
      </c>
      <c r="M110" s="482"/>
      <c r="N110" s="482">
        <v>0</v>
      </c>
      <c r="O110" s="482"/>
      <c r="P110" s="482">
        <f t="shared" si="23"/>
        <v>0</v>
      </c>
      <c r="Q110" s="487">
        <f t="shared" si="23"/>
        <v>0</v>
      </c>
      <c r="R110" s="473"/>
      <c r="S110" s="473"/>
    </row>
    <row r="111" spans="1:25" ht="15.75" thickBot="1" x14ac:dyDescent="0.3">
      <c r="A111" s="260">
        <v>8</v>
      </c>
      <c r="B111" s="256" t="s">
        <v>25</v>
      </c>
      <c r="C111" s="483">
        <v>280</v>
      </c>
      <c r="D111" s="483">
        <v>0</v>
      </c>
      <c r="E111" s="483">
        <v>1</v>
      </c>
      <c r="F111" s="483">
        <v>0</v>
      </c>
      <c r="G111" s="483">
        <v>1</v>
      </c>
      <c r="H111" s="483">
        <v>3</v>
      </c>
      <c r="I111" s="483">
        <v>0</v>
      </c>
      <c r="J111" s="483">
        <v>0</v>
      </c>
      <c r="K111" s="483">
        <v>0</v>
      </c>
      <c r="L111" s="483">
        <v>0</v>
      </c>
      <c r="M111" s="483"/>
      <c r="N111" s="483">
        <v>0</v>
      </c>
      <c r="O111" s="483"/>
      <c r="P111" s="481">
        <f t="shared" si="23"/>
        <v>3</v>
      </c>
      <c r="Q111" s="486">
        <f t="shared" si="23"/>
        <v>2</v>
      </c>
      <c r="R111" s="473"/>
      <c r="S111" s="473"/>
    </row>
    <row r="112" spans="1:25" ht="16.5" thickTop="1" thickBot="1" x14ac:dyDescent="0.3">
      <c r="A112" s="589" t="s">
        <v>26</v>
      </c>
      <c r="B112" s="590"/>
      <c r="C112" s="484">
        <f>SUM(C104:C111)</f>
        <v>3630</v>
      </c>
      <c r="D112" s="484">
        <f t="shared" ref="D112:P112" si="24">SUM(D104:D111)</f>
        <v>0</v>
      </c>
      <c r="E112" s="484">
        <f t="shared" si="24"/>
        <v>3</v>
      </c>
      <c r="F112" s="484">
        <f t="shared" si="24"/>
        <v>3</v>
      </c>
      <c r="G112" s="484">
        <f t="shared" si="24"/>
        <v>35</v>
      </c>
      <c r="H112" s="484">
        <f t="shared" si="24"/>
        <v>6</v>
      </c>
      <c r="I112" s="484">
        <f t="shared" si="24"/>
        <v>15</v>
      </c>
      <c r="J112" s="484">
        <f t="shared" si="24"/>
        <v>3</v>
      </c>
      <c r="K112" s="484">
        <f t="shared" si="24"/>
        <v>0</v>
      </c>
      <c r="L112" s="484">
        <f t="shared" si="24"/>
        <v>1</v>
      </c>
      <c r="M112" s="484">
        <f t="shared" si="24"/>
        <v>0</v>
      </c>
      <c r="N112" s="484">
        <f t="shared" si="24"/>
        <v>4</v>
      </c>
      <c r="O112" s="484">
        <f t="shared" si="24"/>
        <v>0</v>
      </c>
      <c r="P112" s="488">
        <f t="shared" si="24"/>
        <v>17</v>
      </c>
      <c r="Q112" s="489">
        <f>SUM(Q104:Q111)</f>
        <v>53</v>
      </c>
      <c r="R112" s="473"/>
      <c r="S112" s="473"/>
    </row>
    <row r="113" spans="1:19" ht="15.75" thickBot="1" x14ac:dyDescent="0.3">
      <c r="A113" s="473"/>
      <c r="B113" s="473"/>
      <c r="C113" s="473"/>
      <c r="D113" s="473"/>
      <c r="E113" s="473"/>
      <c r="F113" s="473"/>
      <c r="G113" s="473"/>
      <c r="H113" s="473"/>
      <c r="I113" s="473"/>
      <c r="J113" s="473"/>
      <c r="K113" s="473"/>
      <c r="L113" s="473"/>
      <c r="M113" s="473"/>
      <c r="N113" s="473"/>
      <c r="O113" s="473"/>
      <c r="P113" s="473"/>
      <c r="Q113" s="473"/>
      <c r="R113" s="473"/>
      <c r="S113" s="473"/>
    </row>
    <row r="114" spans="1:19" ht="25.5" x14ac:dyDescent="0.25">
      <c r="A114" s="541" t="s">
        <v>2</v>
      </c>
      <c r="B114" s="543" t="s">
        <v>3</v>
      </c>
      <c r="C114" s="480" t="s">
        <v>156</v>
      </c>
      <c r="D114" s="580" t="s">
        <v>167</v>
      </c>
      <c r="E114" s="580"/>
      <c r="F114" s="580"/>
      <c r="G114" s="580"/>
      <c r="H114" s="580"/>
      <c r="I114" s="580"/>
      <c r="J114" s="580"/>
      <c r="K114" s="580"/>
      <c r="L114" s="580"/>
      <c r="M114" s="580"/>
      <c r="N114" s="580"/>
      <c r="O114" s="580"/>
      <c r="P114" s="581" t="s">
        <v>168</v>
      </c>
      <c r="Q114" s="581"/>
      <c r="R114" s="584" t="s">
        <v>169</v>
      </c>
      <c r="S114" s="585"/>
    </row>
    <row r="115" spans="1:19" ht="25.5" x14ac:dyDescent="0.25">
      <c r="A115" s="542"/>
      <c r="B115" s="544"/>
      <c r="C115" s="475" t="s">
        <v>164</v>
      </c>
      <c r="D115" s="578" t="s">
        <v>79</v>
      </c>
      <c r="E115" s="578"/>
      <c r="F115" s="578" t="s">
        <v>10</v>
      </c>
      <c r="G115" s="578"/>
      <c r="H115" s="578" t="s">
        <v>11</v>
      </c>
      <c r="I115" s="578"/>
      <c r="J115" s="578" t="s">
        <v>12</v>
      </c>
      <c r="K115" s="578"/>
      <c r="L115" s="578" t="s">
        <v>165</v>
      </c>
      <c r="M115" s="578"/>
      <c r="N115" s="578" t="s">
        <v>166</v>
      </c>
      <c r="O115" s="578"/>
      <c r="P115" s="578"/>
      <c r="Q115" s="578"/>
      <c r="R115" s="586"/>
      <c r="S115" s="587"/>
    </row>
    <row r="116" spans="1:19" x14ac:dyDescent="0.25">
      <c r="A116" s="542"/>
      <c r="B116" s="544"/>
      <c r="C116" s="477" t="s">
        <v>1</v>
      </c>
      <c r="D116" s="400" t="s">
        <v>158</v>
      </c>
      <c r="E116" s="400" t="s">
        <v>117</v>
      </c>
      <c r="F116" s="400" t="s">
        <v>158</v>
      </c>
      <c r="G116" s="400" t="s">
        <v>117</v>
      </c>
      <c r="H116" s="400" t="s">
        <v>158</v>
      </c>
      <c r="I116" s="400" t="s">
        <v>117</v>
      </c>
      <c r="J116" s="400" t="s">
        <v>158</v>
      </c>
      <c r="K116" s="400" t="s">
        <v>117</v>
      </c>
      <c r="L116" s="400" t="s">
        <v>158</v>
      </c>
      <c r="M116" s="400" t="s">
        <v>117</v>
      </c>
      <c r="N116" s="400" t="s">
        <v>158</v>
      </c>
      <c r="O116" s="400" t="s">
        <v>117</v>
      </c>
      <c r="P116" s="400" t="s">
        <v>158</v>
      </c>
      <c r="Q116" s="400" t="s">
        <v>117</v>
      </c>
      <c r="R116" s="400" t="s">
        <v>158</v>
      </c>
      <c r="S116" s="476" t="s">
        <v>117</v>
      </c>
    </row>
    <row r="117" spans="1:19" ht="15.75" thickBot="1" x14ac:dyDescent="0.3">
      <c r="A117" s="228">
        <v>1</v>
      </c>
      <c r="B117" s="229">
        <v>2</v>
      </c>
      <c r="C117" s="479">
        <v>3</v>
      </c>
      <c r="D117" s="579">
        <v>11</v>
      </c>
      <c r="E117" s="579"/>
      <c r="F117" s="579">
        <v>12</v>
      </c>
      <c r="G117" s="579"/>
      <c r="H117" s="579">
        <v>13</v>
      </c>
      <c r="I117" s="579"/>
      <c r="J117" s="579">
        <v>14</v>
      </c>
      <c r="K117" s="579"/>
      <c r="L117" s="579">
        <v>15</v>
      </c>
      <c r="M117" s="579"/>
      <c r="N117" s="579">
        <v>16</v>
      </c>
      <c r="O117" s="579"/>
      <c r="P117" s="579">
        <v>17</v>
      </c>
      <c r="Q117" s="579"/>
      <c r="R117" s="579">
        <v>18</v>
      </c>
      <c r="S117" s="588"/>
    </row>
    <row r="118" spans="1:19" ht="15.75" thickTop="1" x14ac:dyDescent="0.25">
      <c r="A118" s="234">
        <v>1</v>
      </c>
      <c r="B118" s="235" t="s">
        <v>18</v>
      </c>
      <c r="C118" s="481">
        <v>1799</v>
      </c>
      <c r="D118" s="481">
        <v>3</v>
      </c>
      <c r="E118" s="481"/>
      <c r="F118" s="481">
        <v>0</v>
      </c>
      <c r="G118" s="481"/>
      <c r="H118" s="481">
        <v>5</v>
      </c>
      <c r="I118" s="481"/>
      <c r="J118" s="481">
        <v>3</v>
      </c>
      <c r="K118" s="481"/>
      <c r="L118" s="481">
        <v>0</v>
      </c>
      <c r="M118" s="481"/>
      <c r="N118" s="481">
        <v>0</v>
      </c>
      <c r="O118" s="481"/>
      <c r="P118" s="481">
        <f>SUM(D118,F118,H118,J118,L118,N118)</f>
        <v>11</v>
      </c>
      <c r="Q118" s="481"/>
      <c r="R118" s="481">
        <f>SUM(P104,P118)</f>
        <v>15</v>
      </c>
      <c r="S118" s="486">
        <f>SUM(Q104,Q118)</f>
        <v>1</v>
      </c>
    </row>
    <row r="119" spans="1:19" x14ac:dyDescent="0.25">
      <c r="A119" s="244">
        <v>2</v>
      </c>
      <c r="B119" s="245" t="s">
        <v>19</v>
      </c>
      <c r="C119" s="482">
        <v>243</v>
      </c>
      <c r="D119" s="482">
        <v>3</v>
      </c>
      <c r="E119" s="482"/>
      <c r="F119" s="482">
        <v>3</v>
      </c>
      <c r="G119" s="482"/>
      <c r="H119" s="482">
        <v>2</v>
      </c>
      <c r="I119" s="482"/>
      <c r="J119" s="482">
        <v>3</v>
      </c>
      <c r="K119" s="482"/>
      <c r="L119" s="482">
        <v>0</v>
      </c>
      <c r="M119" s="482"/>
      <c r="N119" s="482">
        <v>0</v>
      </c>
      <c r="O119" s="482"/>
      <c r="P119" s="482">
        <f t="shared" ref="P119:P125" si="25">SUM(D119,F119,H119,J119,L119,N119)</f>
        <v>11</v>
      </c>
      <c r="Q119" s="482"/>
      <c r="R119" s="482">
        <f t="shared" ref="R119:S125" si="26">SUM(P105,P119)</f>
        <v>12</v>
      </c>
      <c r="S119" s="487">
        <f t="shared" si="26"/>
        <v>1</v>
      </c>
    </row>
    <row r="120" spans="1:19" x14ac:dyDescent="0.25">
      <c r="A120" s="244">
        <v>3</v>
      </c>
      <c r="B120" s="235" t="s">
        <v>20</v>
      </c>
      <c r="C120" s="482">
        <v>275</v>
      </c>
      <c r="D120" s="482">
        <v>7</v>
      </c>
      <c r="E120" s="482"/>
      <c r="F120" s="482">
        <v>0</v>
      </c>
      <c r="G120" s="482"/>
      <c r="H120" s="482">
        <v>4</v>
      </c>
      <c r="I120" s="482"/>
      <c r="J120" s="482">
        <v>2</v>
      </c>
      <c r="K120" s="482"/>
      <c r="L120" s="482">
        <v>0</v>
      </c>
      <c r="M120" s="482"/>
      <c r="N120" s="482">
        <v>0</v>
      </c>
      <c r="O120" s="482"/>
      <c r="P120" s="482">
        <f t="shared" si="25"/>
        <v>13</v>
      </c>
      <c r="Q120" s="482"/>
      <c r="R120" s="482">
        <f t="shared" si="26"/>
        <v>18</v>
      </c>
      <c r="S120" s="487">
        <f t="shared" si="26"/>
        <v>48</v>
      </c>
    </row>
    <row r="121" spans="1:19" x14ac:dyDescent="0.25">
      <c r="A121" s="255">
        <v>4</v>
      </c>
      <c r="B121" s="256" t="s">
        <v>21</v>
      </c>
      <c r="C121" s="482">
        <v>206</v>
      </c>
      <c r="D121" s="482">
        <v>5</v>
      </c>
      <c r="E121" s="482"/>
      <c r="F121" s="482">
        <v>0</v>
      </c>
      <c r="G121" s="482"/>
      <c r="H121" s="482">
        <v>0</v>
      </c>
      <c r="I121" s="482"/>
      <c r="J121" s="482">
        <v>4</v>
      </c>
      <c r="K121" s="482"/>
      <c r="L121" s="482">
        <v>0</v>
      </c>
      <c r="M121" s="482"/>
      <c r="N121" s="482">
        <v>0</v>
      </c>
      <c r="O121" s="482"/>
      <c r="P121" s="482">
        <f t="shared" si="25"/>
        <v>9</v>
      </c>
      <c r="Q121" s="482"/>
      <c r="R121" s="482">
        <f t="shared" si="26"/>
        <v>11</v>
      </c>
      <c r="S121" s="487">
        <f t="shared" si="26"/>
        <v>1</v>
      </c>
    </row>
    <row r="122" spans="1:19" x14ac:dyDescent="0.25">
      <c r="A122" s="255">
        <v>5</v>
      </c>
      <c r="B122" s="258" t="s">
        <v>22</v>
      </c>
      <c r="C122" s="482">
        <v>363</v>
      </c>
      <c r="D122" s="482">
        <v>6</v>
      </c>
      <c r="E122" s="482"/>
      <c r="F122" s="482">
        <v>0</v>
      </c>
      <c r="G122" s="482"/>
      <c r="H122" s="482">
        <v>4</v>
      </c>
      <c r="I122" s="482"/>
      <c r="J122" s="482">
        <v>1</v>
      </c>
      <c r="K122" s="482"/>
      <c r="L122" s="482">
        <v>0</v>
      </c>
      <c r="M122" s="482"/>
      <c r="N122" s="482">
        <v>0</v>
      </c>
      <c r="O122" s="482"/>
      <c r="P122" s="482">
        <f t="shared" si="25"/>
        <v>11</v>
      </c>
      <c r="Q122" s="482"/>
      <c r="R122" s="482">
        <f t="shared" si="26"/>
        <v>13</v>
      </c>
      <c r="S122" s="487">
        <f t="shared" si="26"/>
        <v>0</v>
      </c>
    </row>
    <row r="123" spans="1:19" x14ac:dyDescent="0.25">
      <c r="A123" s="255">
        <v>6</v>
      </c>
      <c r="B123" s="258" t="s">
        <v>23</v>
      </c>
      <c r="C123" s="482">
        <v>59</v>
      </c>
      <c r="D123" s="482">
        <v>5</v>
      </c>
      <c r="E123" s="482"/>
      <c r="F123" s="482">
        <v>0</v>
      </c>
      <c r="G123" s="482"/>
      <c r="H123" s="482">
        <v>4</v>
      </c>
      <c r="I123" s="482"/>
      <c r="J123" s="482">
        <v>1</v>
      </c>
      <c r="K123" s="482"/>
      <c r="L123" s="482">
        <v>0</v>
      </c>
      <c r="M123" s="482"/>
      <c r="N123" s="482">
        <v>0</v>
      </c>
      <c r="O123" s="482"/>
      <c r="P123" s="482">
        <f t="shared" si="25"/>
        <v>10</v>
      </c>
      <c r="Q123" s="482"/>
      <c r="R123" s="482">
        <f t="shared" si="26"/>
        <v>10</v>
      </c>
      <c r="S123" s="487">
        <f t="shared" si="26"/>
        <v>0</v>
      </c>
    </row>
    <row r="124" spans="1:19" x14ac:dyDescent="0.25">
      <c r="A124" s="255">
        <v>7</v>
      </c>
      <c r="B124" s="258" t="s">
        <v>24</v>
      </c>
      <c r="C124" s="482">
        <v>405</v>
      </c>
      <c r="D124" s="482">
        <v>4</v>
      </c>
      <c r="E124" s="482"/>
      <c r="F124" s="482">
        <v>0</v>
      </c>
      <c r="G124" s="482"/>
      <c r="H124" s="482">
        <v>4</v>
      </c>
      <c r="I124" s="482"/>
      <c r="J124" s="482">
        <v>0</v>
      </c>
      <c r="K124" s="482"/>
      <c r="L124" s="482">
        <v>0</v>
      </c>
      <c r="M124" s="482"/>
      <c r="N124" s="482">
        <v>0</v>
      </c>
      <c r="O124" s="482"/>
      <c r="P124" s="482">
        <f t="shared" si="25"/>
        <v>8</v>
      </c>
      <c r="Q124" s="482"/>
      <c r="R124" s="482">
        <f t="shared" si="26"/>
        <v>8</v>
      </c>
      <c r="S124" s="487">
        <f t="shared" si="26"/>
        <v>0</v>
      </c>
    </row>
    <row r="125" spans="1:19" ht="15.75" thickBot="1" x14ac:dyDescent="0.3">
      <c r="A125" s="260">
        <v>8</v>
      </c>
      <c r="B125" s="256" t="s">
        <v>25</v>
      </c>
      <c r="C125" s="483">
        <v>280</v>
      </c>
      <c r="D125" s="485">
        <v>5</v>
      </c>
      <c r="E125" s="485"/>
      <c r="F125" s="485">
        <v>0</v>
      </c>
      <c r="G125" s="485"/>
      <c r="H125" s="485">
        <v>4</v>
      </c>
      <c r="I125" s="485"/>
      <c r="J125" s="485">
        <v>1</v>
      </c>
      <c r="K125" s="485"/>
      <c r="L125" s="485">
        <v>0</v>
      </c>
      <c r="M125" s="485"/>
      <c r="N125" s="485">
        <v>0</v>
      </c>
      <c r="O125" s="485"/>
      <c r="P125" s="481">
        <f t="shared" si="25"/>
        <v>10</v>
      </c>
      <c r="Q125" s="481"/>
      <c r="R125" s="481">
        <f t="shared" si="26"/>
        <v>13</v>
      </c>
      <c r="S125" s="486">
        <f t="shared" si="26"/>
        <v>2</v>
      </c>
    </row>
    <row r="126" spans="1:19" ht="16.5" thickTop="1" thickBot="1" x14ac:dyDescent="0.3">
      <c r="A126" s="589" t="s">
        <v>26</v>
      </c>
      <c r="B126" s="590"/>
      <c r="C126" s="484">
        <f>SUM(C118:C125)</f>
        <v>3630</v>
      </c>
      <c r="D126" s="484">
        <f t="shared" ref="D126:R126" si="27">SUM(D118:D125)</f>
        <v>38</v>
      </c>
      <c r="E126" s="484">
        <f t="shared" si="27"/>
        <v>0</v>
      </c>
      <c r="F126" s="484">
        <f t="shared" si="27"/>
        <v>3</v>
      </c>
      <c r="G126" s="484">
        <f t="shared" si="27"/>
        <v>0</v>
      </c>
      <c r="H126" s="484">
        <f t="shared" si="27"/>
        <v>27</v>
      </c>
      <c r="I126" s="484">
        <f t="shared" si="27"/>
        <v>0</v>
      </c>
      <c r="J126" s="484">
        <f t="shared" si="27"/>
        <v>15</v>
      </c>
      <c r="K126" s="484">
        <f t="shared" si="27"/>
        <v>0</v>
      </c>
      <c r="L126" s="484">
        <f t="shared" si="27"/>
        <v>0</v>
      </c>
      <c r="M126" s="484">
        <f t="shared" si="27"/>
        <v>0</v>
      </c>
      <c r="N126" s="484">
        <f t="shared" si="27"/>
        <v>0</v>
      </c>
      <c r="O126" s="484">
        <f t="shared" si="27"/>
        <v>0</v>
      </c>
      <c r="P126" s="488">
        <f t="shared" si="27"/>
        <v>83</v>
      </c>
      <c r="Q126" s="488">
        <f t="shared" si="27"/>
        <v>0</v>
      </c>
      <c r="R126" s="488">
        <f t="shared" si="27"/>
        <v>100</v>
      </c>
      <c r="S126" s="489">
        <f>SUM(S118:S125)</f>
        <v>53</v>
      </c>
    </row>
  </sheetData>
  <mergeCells count="160">
    <mergeCell ref="P117:Q117"/>
    <mergeCell ref="R117:S117"/>
    <mergeCell ref="A126:B126"/>
    <mergeCell ref="D117:E117"/>
    <mergeCell ref="F117:G117"/>
    <mergeCell ref="H117:I117"/>
    <mergeCell ref="J117:K117"/>
    <mergeCell ref="L117:M117"/>
    <mergeCell ref="N117:O117"/>
    <mergeCell ref="R114:S115"/>
    <mergeCell ref="D115:E115"/>
    <mergeCell ref="F115:G115"/>
    <mergeCell ref="H115:I115"/>
    <mergeCell ref="J115:K115"/>
    <mergeCell ref="L115:M115"/>
    <mergeCell ref="N115:O115"/>
    <mergeCell ref="N103:O103"/>
    <mergeCell ref="P103:Q103"/>
    <mergeCell ref="A112:B112"/>
    <mergeCell ref="A114:A116"/>
    <mergeCell ref="B114:B116"/>
    <mergeCell ref="D114:O114"/>
    <mergeCell ref="P114:Q115"/>
    <mergeCell ref="F101:G101"/>
    <mergeCell ref="H101:I101"/>
    <mergeCell ref="J101:K101"/>
    <mergeCell ref="L101:M101"/>
    <mergeCell ref="N101:O101"/>
    <mergeCell ref="D103:E103"/>
    <mergeCell ref="F103:G103"/>
    <mergeCell ref="H103:I103"/>
    <mergeCell ref="J103:K103"/>
    <mergeCell ref="L103:M103"/>
    <mergeCell ref="P85:Q85"/>
    <mergeCell ref="R85:S85"/>
    <mergeCell ref="A94:B94"/>
    <mergeCell ref="A97:S97"/>
    <mergeCell ref="A98:S98"/>
    <mergeCell ref="A100:A102"/>
    <mergeCell ref="B100:B102"/>
    <mergeCell ref="D100:O100"/>
    <mergeCell ref="P100:Q101"/>
    <mergeCell ref="D101:E101"/>
    <mergeCell ref="D85:E85"/>
    <mergeCell ref="F85:G85"/>
    <mergeCell ref="H85:I85"/>
    <mergeCell ref="J85:K85"/>
    <mergeCell ref="L85:M85"/>
    <mergeCell ref="N85:O85"/>
    <mergeCell ref="R82:S83"/>
    <mergeCell ref="D83:E83"/>
    <mergeCell ref="F83:G83"/>
    <mergeCell ref="H83:I83"/>
    <mergeCell ref="J83:K83"/>
    <mergeCell ref="L83:M83"/>
    <mergeCell ref="N83:O83"/>
    <mergeCell ref="N71:O71"/>
    <mergeCell ref="P71:Q71"/>
    <mergeCell ref="A80:B80"/>
    <mergeCell ref="A82:A84"/>
    <mergeCell ref="B82:B84"/>
    <mergeCell ref="D82:O82"/>
    <mergeCell ref="P82:Q83"/>
    <mergeCell ref="F69:G69"/>
    <mergeCell ref="H69:I69"/>
    <mergeCell ref="J69:K69"/>
    <mergeCell ref="L69:M69"/>
    <mergeCell ref="N69:O69"/>
    <mergeCell ref="D71:E71"/>
    <mergeCell ref="F71:G71"/>
    <mergeCell ref="H71:I71"/>
    <mergeCell ref="J71:K71"/>
    <mergeCell ref="L71:M71"/>
    <mergeCell ref="P53:Q53"/>
    <mergeCell ref="R53:S53"/>
    <mergeCell ref="A62:B62"/>
    <mergeCell ref="A65:S65"/>
    <mergeCell ref="A66:S66"/>
    <mergeCell ref="A68:A70"/>
    <mergeCell ref="B68:B70"/>
    <mergeCell ref="D68:O68"/>
    <mergeCell ref="P68:Q69"/>
    <mergeCell ref="D69:E69"/>
    <mergeCell ref="D53:E53"/>
    <mergeCell ref="F53:G53"/>
    <mergeCell ref="H53:I53"/>
    <mergeCell ref="J53:K53"/>
    <mergeCell ref="L53:M53"/>
    <mergeCell ref="N53:O53"/>
    <mergeCell ref="R50:S51"/>
    <mergeCell ref="D51:E51"/>
    <mergeCell ref="F51:G51"/>
    <mergeCell ref="H51:I51"/>
    <mergeCell ref="J51:K51"/>
    <mergeCell ref="L51:M51"/>
    <mergeCell ref="N51:O51"/>
    <mergeCell ref="N39:O39"/>
    <mergeCell ref="P39:Q39"/>
    <mergeCell ref="A48:B48"/>
    <mergeCell ref="A50:A52"/>
    <mergeCell ref="B50:B52"/>
    <mergeCell ref="D50:O50"/>
    <mergeCell ref="P50:Q51"/>
    <mergeCell ref="F37:G37"/>
    <mergeCell ref="H37:I37"/>
    <mergeCell ref="J37:K37"/>
    <mergeCell ref="L37:M37"/>
    <mergeCell ref="N37:O37"/>
    <mergeCell ref="D39:E39"/>
    <mergeCell ref="F39:G39"/>
    <mergeCell ref="H39:I39"/>
    <mergeCell ref="J39:K39"/>
    <mergeCell ref="L39:M39"/>
    <mergeCell ref="P21:Q21"/>
    <mergeCell ref="R21:S21"/>
    <mergeCell ref="A30:B30"/>
    <mergeCell ref="A33:S33"/>
    <mergeCell ref="A34:S34"/>
    <mergeCell ref="A36:A38"/>
    <mergeCell ref="B36:B38"/>
    <mergeCell ref="D36:O36"/>
    <mergeCell ref="P36:Q37"/>
    <mergeCell ref="D37:E37"/>
    <mergeCell ref="D21:E21"/>
    <mergeCell ref="F21:G21"/>
    <mergeCell ref="H21:I21"/>
    <mergeCell ref="J21:K21"/>
    <mergeCell ref="L21:M21"/>
    <mergeCell ref="N21:O21"/>
    <mergeCell ref="R18:S19"/>
    <mergeCell ref="D19:E19"/>
    <mergeCell ref="F19:G19"/>
    <mergeCell ref="H19:I19"/>
    <mergeCell ref="J19:K19"/>
    <mergeCell ref="L19:M19"/>
    <mergeCell ref="N19:O19"/>
    <mergeCell ref="P7:Q7"/>
    <mergeCell ref="A16:B16"/>
    <mergeCell ref="A18:A20"/>
    <mergeCell ref="B18:B20"/>
    <mergeCell ref="D18:O18"/>
    <mergeCell ref="P18:Q19"/>
    <mergeCell ref="L5:M5"/>
    <mergeCell ref="N5:O5"/>
    <mergeCell ref="D7:E7"/>
    <mergeCell ref="F7:G7"/>
    <mergeCell ref="H7:I7"/>
    <mergeCell ref="J7:K7"/>
    <mergeCell ref="L7:M7"/>
    <mergeCell ref="N7:O7"/>
    <mergeCell ref="A1:S1"/>
    <mergeCell ref="A2:S2"/>
    <mergeCell ref="A4:A6"/>
    <mergeCell ref="B4:B6"/>
    <mergeCell ref="D4:O4"/>
    <mergeCell ref="P4:Q5"/>
    <mergeCell ref="D5:E5"/>
    <mergeCell ref="F5:G5"/>
    <mergeCell ref="H5:I5"/>
    <mergeCell ref="J5:K5"/>
  </mergeCells>
  <pageMargins left="0.7" right="0.7" top="0.75" bottom="0.75" header="0.3" footer="0.3"/>
  <pageSetup paperSize="5" scale="95" orientation="landscape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6"/>
  <sheetViews>
    <sheetView topLeftCell="A10" zoomScale="90" zoomScaleNormal="90" workbookViewId="0">
      <selection activeCell="S8" sqref="S8:S15"/>
    </sheetView>
  </sheetViews>
  <sheetFormatPr defaultRowHeight="15" x14ac:dyDescent="0.25"/>
  <cols>
    <col min="1" max="1" width="4.28515625" customWidth="1"/>
    <col min="2" max="2" width="14.28515625" customWidth="1"/>
    <col min="3" max="3" width="11.28515625" customWidth="1"/>
    <col min="4" max="19" width="8" customWidth="1"/>
    <col min="20" max="33" width="7.140625" customWidth="1"/>
  </cols>
  <sheetData>
    <row r="1" spans="1:26" ht="15.75" x14ac:dyDescent="0.25">
      <c r="A1" s="516" t="s">
        <v>170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  <c r="S1" s="516"/>
    </row>
    <row r="2" spans="1:26" ht="15.75" x14ac:dyDescent="0.25">
      <c r="A2" s="516" t="s">
        <v>82</v>
      </c>
      <c r="B2" s="516"/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</row>
    <row r="3" spans="1:26" ht="15.75" thickBot="1" x14ac:dyDescent="0.3"/>
    <row r="4" spans="1:26" ht="25.5" x14ac:dyDescent="0.25">
      <c r="A4" s="541" t="s">
        <v>2</v>
      </c>
      <c r="B4" s="543" t="s">
        <v>3</v>
      </c>
      <c r="C4" s="474" t="s">
        <v>156</v>
      </c>
      <c r="D4" s="580" t="s">
        <v>157</v>
      </c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580"/>
      <c r="P4" s="581" t="s">
        <v>84</v>
      </c>
      <c r="Q4" s="582"/>
      <c r="R4" s="473"/>
      <c r="S4" s="473"/>
    </row>
    <row r="5" spans="1:26" ht="25.5" x14ac:dyDescent="0.25">
      <c r="A5" s="542"/>
      <c r="B5" s="544"/>
      <c r="C5" s="475" t="s">
        <v>164</v>
      </c>
      <c r="D5" s="578" t="s">
        <v>160</v>
      </c>
      <c r="E5" s="578"/>
      <c r="F5" s="578" t="s">
        <v>161</v>
      </c>
      <c r="G5" s="578"/>
      <c r="H5" s="578" t="s">
        <v>162</v>
      </c>
      <c r="I5" s="578"/>
      <c r="J5" s="578" t="s">
        <v>159</v>
      </c>
      <c r="K5" s="578"/>
      <c r="L5" s="578" t="s">
        <v>163</v>
      </c>
      <c r="M5" s="578"/>
      <c r="N5" s="578" t="s">
        <v>8</v>
      </c>
      <c r="O5" s="578"/>
      <c r="P5" s="578"/>
      <c r="Q5" s="583"/>
      <c r="R5" s="473"/>
      <c r="S5" s="473"/>
    </row>
    <row r="6" spans="1:26" x14ac:dyDescent="0.25">
      <c r="A6" s="542"/>
      <c r="B6" s="544"/>
      <c r="C6" s="477" t="s">
        <v>1</v>
      </c>
      <c r="D6" s="400" t="s">
        <v>158</v>
      </c>
      <c r="E6" s="400" t="s">
        <v>117</v>
      </c>
      <c r="F6" s="400" t="s">
        <v>158</v>
      </c>
      <c r="G6" s="400" t="s">
        <v>117</v>
      </c>
      <c r="H6" s="400" t="s">
        <v>158</v>
      </c>
      <c r="I6" s="400" t="s">
        <v>117</v>
      </c>
      <c r="J6" s="400" t="s">
        <v>158</v>
      </c>
      <c r="K6" s="400" t="s">
        <v>117</v>
      </c>
      <c r="L6" s="400" t="s">
        <v>158</v>
      </c>
      <c r="M6" s="400" t="s">
        <v>117</v>
      </c>
      <c r="N6" s="400" t="s">
        <v>158</v>
      </c>
      <c r="O6" s="400" t="s">
        <v>117</v>
      </c>
      <c r="P6" s="400" t="s">
        <v>158</v>
      </c>
      <c r="Q6" s="476" t="s">
        <v>117</v>
      </c>
      <c r="R6" s="473"/>
      <c r="S6" s="473"/>
    </row>
    <row r="7" spans="1:26" ht="15.75" thickBot="1" x14ac:dyDescent="0.3">
      <c r="A7" s="228">
        <v>1</v>
      </c>
      <c r="B7" s="229">
        <v>2</v>
      </c>
      <c r="C7" s="478">
        <v>3</v>
      </c>
      <c r="D7" s="579">
        <v>4</v>
      </c>
      <c r="E7" s="579"/>
      <c r="F7" s="579">
        <v>5</v>
      </c>
      <c r="G7" s="579"/>
      <c r="H7" s="579">
        <v>6</v>
      </c>
      <c r="I7" s="579"/>
      <c r="J7" s="579">
        <v>7</v>
      </c>
      <c r="K7" s="579"/>
      <c r="L7" s="579">
        <v>8</v>
      </c>
      <c r="M7" s="579"/>
      <c r="N7" s="579">
        <v>9</v>
      </c>
      <c r="O7" s="579"/>
      <c r="P7" s="579">
        <v>10</v>
      </c>
      <c r="Q7" s="588"/>
      <c r="R7" s="473"/>
      <c r="S7" s="473"/>
    </row>
    <row r="8" spans="1:26" ht="15.75" thickTop="1" x14ac:dyDescent="0.25">
      <c r="A8" s="234">
        <v>1</v>
      </c>
      <c r="B8" s="235" t="s">
        <v>18</v>
      </c>
      <c r="C8" s="481">
        <v>1799</v>
      </c>
      <c r="D8" s="481">
        <v>0</v>
      </c>
      <c r="E8" s="481">
        <v>0</v>
      </c>
      <c r="F8" s="481">
        <v>0</v>
      </c>
      <c r="G8" s="481">
        <v>1.93</v>
      </c>
      <c r="H8" s="481">
        <v>10</v>
      </c>
      <c r="I8" s="481">
        <v>43.515000000000001</v>
      </c>
      <c r="J8" s="481">
        <v>15</v>
      </c>
      <c r="K8" s="481">
        <v>177</v>
      </c>
      <c r="L8" s="481">
        <v>221</v>
      </c>
      <c r="M8" s="481"/>
      <c r="N8" s="481">
        <v>46</v>
      </c>
      <c r="O8" s="481"/>
      <c r="P8" s="481">
        <f>SUM(D8,F8,H8,J8,L8,N8)</f>
        <v>292</v>
      </c>
      <c r="Q8" s="486">
        <f>SUM(E8,G8,I8,K8,M8,O8)</f>
        <v>222.44499999999999</v>
      </c>
      <c r="R8" s="473"/>
      <c r="S8" s="492">
        <f>SUM(E8,G8,I8,K8)</f>
        <v>222.44499999999999</v>
      </c>
      <c r="U8">
        <v>0</v>
      </c>
      <c r="V8">
        <f>U8*0.96</f>
        <v>0</v>
      </c>
      <c r="W8">
        <v>2</v>
      </c>
      <c r="X8">
        <f>W8*0.965</f>
        <v>1.93</v>
      </c>
      <c r="Y8">
        <v>45</v>
      </c>
      <c r="Z8">
        <f>Y8*0.967</f>
        <v>43.515000000000001</v>
      </c>
    </row>
    <row r="9" spans="1:26" x14ac:dyDescent="0.25">
      <c r="A9" s="244">
        <v>2</v>
      </c>
      <c r="B9" s="245" t="s">
        <v>19</v>
      </c>
      <c r="C9" s="482">
        <v>243</v>
      </c>
      <c r="D9" s="482">
        <v>3</v>
      </c>
      <c r="E9" s="482">
        <v>4.75</v>
      </c>
      <c r="F9" s="482">
        <v>47</v>
      </c>
      <c r="G9" s="482">
        <v>26.055</v>
      </c>
      <c r="H9" s="482">
        <v>105</v>
      </c>
      <c r="I9" s="482">
        <v>138.28100000000001</v>
      </c>
      <c r="J9" s="482">
        <v>78</v>
      </c>
      <c r="K9" s="482">
        <v>24</v>
      </c>
      <c r="L9" s="482">
        <v>45</v>
      </c>
      <c r="M9" s="482"/>
      <c r="N9" s="482">
        <v>20</v>
      </c>
      <c r="O9" s="482"/>
      <c r="P9" s="482">
        <f t="shared" ref="P9:P15" si="0">SUM(D9,F9,H9,J9,L9,N9)</f>
        <v>298</v>
      </c>
      <c r="Q9" s="487">
        <f t="shared" ref="Q9:Q15" si="1">SUM(E9,G9,I9,K9,M9,O9)</f>
        <v>193.08600000000001</v>
      </c>
      <c r="R9" s="492">
        <f>SUM(E9,G9,I9)</f>
        <v>169.08600000000001</v>
      </c>
      <c r="S9" s="492">
        <f t="shared" ref="S9:S15" si="2">SUM(E9,G9,I9,K9)</f>
        <v>193.08600000000001</v>
      </c>
      <c r="U9">
        <v>5</v>
      </c>
      <c r="V9">
        <f t="shared" ref="V9:V15" si="3">U9*0.96</f>
        <v>4.8</v>
      </c>
      <c r="W9">
        <v>27</v>
      </c>
      <c r="X9">
        <f t="shared" ref="X9:X15" si="4">W9*0.965</f>
        <v>26.055</v>
      </c>
      <c r="Y9">
        <v>143</v>
      </c>
      <c r="Z9">
        <f t="shared" ref="Z9:Z15" si="5">Y9*0.967</f>
        <v>138.28100000000001</v>
      </c>
    </row>
    <row r="10" spans="1:26" x14ac:dyDescent="0.25">
      <c r="A10" s="244">
        <v>3</v>
      </c>
      <c r="B10" s="235" t="s">
        <v>20</v>
      </c>
      <c r="C10" s="482">
        <v>275</v>
      </c>
      <c r="D10" s="482">
        <v>40</v>
      </c>
      <c r="E10" s="482">
        <v>4.75</v>
      </c>
      <c r="F10" s="482">
        <v>0</v>
      </c>
      <c r="G10" s="482">
        <v>8.6850000000000005</v>
      </c>
      <c r="H10" s="482">
        <v>10</v>
      </c>
      <c r="I10" s="482">
        <v>24.175000000000001</v>
      </c>
      <c r="J10" s="482">
        <v>14</v>
      </c>
      <c r="K10" s="482">
        <v>15</v>
      </c>
      <c r="L10" s="482">
        <v>0</v>
      </c>
      <c r="M10" s="482"/>
      <c r="N10" s="482">
        <v>20</v>
      </c>
      <c r="O10" s="482"/>
      <c r="P10" s="482">
        <f t="shared" si="0"/>
        <v>84</v>
      </c>
      <c r="Q10" s="487">
        <f t="shared" si="1"/>
        <v>52.61</v>
      </c>
      <c r="R10" s="473"/>
      <c r="S10" s="492">
        <f t="shared" si="2"/>
        <v>52.61</v>
      </c>
      <c r="U10">
        <v>5</v>
      </c>
      <c r="V10">
        <f t="shared" si="3"/>
        <v>4.8</v>
      </c>
      <c r="W10">
        <v>9</v>
      </c>
      <c r="X10">
        <f t="shared" si="4"/>
        <v>8.6850000000000005</v>
      </c>
      <c r="Y10">
        <v>25</v>
      </c>
      <c r="Z10">
        <f t="shared" si="5"/>
        <v>24.175000000000001</v>
      </c>
    </row>
    <row r="11" spans="1:26" x14ac:dyDescent="0.25">
      <c r="A11" s="255">
        <v>4</v>
      </c>
      <c r="B11" s="256" t="s">
        <v>21</v>
      </c>
      <c r="C11" s="482">
        <v>206</v>
      </c>
      <c r="D11" s="482">
        <v>0</v>
      </c>
      <c r="E11" s="482">
        <v>8.5499999999999989</v>
      </c>
      <c r="F11" s="482">
        <v>0</v>
      </c>
      <c r="G11" s="482">
        <v>0.96499999999999997</v>
      </c>
      <c r="H11" s="482">
        <v>68</v>
      </c>
      <c r="I11" s="482">
        <v>34.811999999999998</v>
      </c>
      <c r="J11" s="482">
        <v>135</v>
      </c>
      <c r="K11" s="482">
        <v>126.1</v>
      </c>
      <c r="L11" s="482">
        <v>0</v>
      </c>
      <c r="M11" s="482"/>
      <c r="N11" s="482">
        <v>0</v>
      </c>
      <c r="O11" s="482"/>
      <c r="P11" s="482">
        <f t="shared" si="0"/>
        <v>203</v>
      </c>
      <c r="Q11" s="487">
        <f t="shared" si="1"/>
        <v>170.42699999999999</v>
      </c>
      <c r="R11" s="473"/>
      <c r="S11" s="492">
        <f t="shared" si="2"/>
        <v>170.42699999999999</v>
      </c>
      <c r="U11">
        <v>9</v>
      </c>
      <c r="V11">
        <f t="shared" si="3"/>
        <v>8.64</v>
      </c>
      <c r="W11">
        <v>1</v>
      </c>
      <c r="X11">
        <f t="shared" si="4"/>
        <v>0.96499999999999997</v>
      </c>
      <c r="Y11">
        <v>36</v>
      </c>
      <c r="Z11">
        <f t="shared" si="5"/>
        <v>34.811999999999998</v>
      </c>
    </row>
    <row r="12" spans="1:26" x14ac:dyDescent="0.25">
      <c r="A12" s="255">
        <v>5</v>
      </c>
      <c r="B12" s="258" t="s">
        <v>22</v>
      </c>
      <c r="C12" s="482">
        <v>363</v>
      </c>
      <c r="D12" s="482">
        <v>0</v>
      </c>
      <c r="E12" s="482">
        <v>0</v>
      </c>
      <c r="F12" s="482">
        <v>0</v>
      </c>
      <c r="G12" s="482">
        <v>0</v>
      </c>
      <c r="H12" s="482">
        <v>50</v>
      </c>
      <c r="I12" s="482">
        <v>14.504999999999999</v>
      </c>
      <c r="J12" s="482">
        <v>134</v>
      </c>
      <c r="K12" s="482">
        <v>166</v>
      </c>
      <c r="L12" s="482">
        <v>0</v>
      </c>
      <c r="M12" s="482"/>
      <c r="N12" s="482">
        <v>0</v>
      </c>
      <c r="O12" s="482"/>
      <c r="P12" s="482">
        <f t="shared" si="0"/>
        <v>184</v>
      </c>
      <c r="Q12" s="487">
        <f t="shared" si="1"/>
        <v>180.505</v>
      </c>
      <c r="R12" s="473"/>
      <c r="S12" s="492">
        <f t="shared" si="2"/>
        <v>180.505</v>
      </c>
      <c r="U12">
        <v>0</v>
      </c>
      <c r="V12">
        <f t="shared" si="3"/>
        <v>0</v>
      </c>
      <c r="W12">
        <v>0</v>
      </c>
      <c r="X12">
        <f t="shared" si="4"/>
        <v>0</v>
      </c>
      <c r="Y12">
        <v>15</v>
      </c>
      <c r="Z12">
        <f t="shared" si="5"/>
        <v>14.504999999999999</v>
      </c>
    </row>
    <row r="13" spans="1:26" x14ac:dyDescent="0.25">
      <c r="A13" s="255">
        <v>6</v>
      </c>
      <c r="B13" s="258" t="s">
        <v>23</v>
      </c>
      <c r="C13" s="482">
        <v>59</v>
      </c>
      <c r="D13" s="482">
        <v>10</v>
      </c>
      <c r="E13" s="482">
        <v>6.6499999999999995</v>
      </c>
      <c r="F13" s="482">
        <v>25</v>
      </c>
      <c r="G13" s="482">
        <v>41.494999999999997</v>
      </c>
      <c r="H13" s="482">
        <v>19</v>
      </c>
      <c r="I13" s="482">
        <v>0</v>
      </c>
      <c r="J13" s="482">
        <v>0</v>
      </c>
      <c r="K13" s="482">
        <v>0</v>
      </c>
      <c r="L13" s="482">
        <v>10</v>
      </c>
      <c r="M13" s="482"/>
      <c r="N13" s="482">
        <v>25</v>
      </c>
      <c r="O13" s="482"/>
      <c r="P13" s="482">
        <f t="shared" si="0"/>
        <v>89</v>
      </c>
      <c r="Q13" s="487">
        <f t="shared" si="1"/>
        <v>48.144999999999996</v>
      </c>
      <c r="R13" s="473"/>
      <c r="S13" s="492">
        <f t="shared" si="2"/>
        <v>48.144999999999996</v>
      </c>
      <c r="U13">
        <v>7</v>
      </c>
      <c r="V13">
        <f t="shared" si="3"/>
        <v>6.72</v>
      </c>
      <c r="W13">
        <v>43</v>
      </c>
      <c r="X13">
        <f t="shared" si="4"/>
        <v>41.494999999999997</v>
      </c>
      <c r="Y13">
        <v>0</v>
      </c>
      <c r="Z13">
        <f t="shared" si="5"/>
        <v>0</v>
      </c>
    </row>
    <row r="14" spans="1:26" x14ac:dyDescent="0.25">
      <c r="A14" s="255">
        <v>7</v>
      </c>
      <c r="B14" s="258" t="s">
        <v>24</v>
      </c>
      <c r="C14" s="482">
        <v>405</v>
      </c>
      <c r="D14" s="482">
        <v>0</v>
      </c>
      <c r="E14" s="482">
        <v>14.25</v>
      </c>
      <c r="F14" s="482">
        <v>117</v>
      </c>
      <c r="G14" s="482">
        <v>13.51</v>
      </c>
      <c r="H14" s="482">
        <v>250</v>
      </c>
      <c r="I14" s="482">
        <v>131.512</v>
      </c>
      <c r="J14" s="482">
        <v>0</v>
      </c>
      <c r="K14" s="482">
        <v>126</v>
      </c>
      <c r="L14" s="482">
        <v>0</v>
      </c>
      <c r="M14" s="482"/>
      <c r="N14" s="482">
        <v>104</v>
      </c>
      <c r="O14" s="482"/>
      <c r="P14" s="482">
        <f t="shared" si="0"/>
        <v>471</v>
      </c>
      <c r="Q14" s="487">
        <f t="shared" si="1"/>
        <v>285.27199999999999</v>
      </c>
      <c r="R14" s="473"/>
      <c r="S14" s="492">
        <f t="shared" si="2"/>
        <v>285.27199999999999</v>
      </c>
      <c r="U14">
        <v>15</v>
      </c>
      <c r="V14">
        <f t="shared" si="3"/>
        <v>14.399999999999999</v>
      </c>
      <c r="W14">
        <v>14</v>
      </c>
      <c r="X14">
        <f t="shared" si="4"/>
        <v>13.51</v>
      </c>
      <c r="Y14">
        <v>136</v>
      </c>
      <c r="Z14">
        <f t="shared" si="5"/>
        <v>131.512</v>
      </c>
    </row>
    <row r="15" spans="1:26" ht="15.75" thickBot="1" x14ac:dyDescent="0.3">
      <c r="A15" s="260">
        <v>8</v>
      </c>
      <c r="B15" s="256" t="s">
        <v>25</v>
      </c>
      <c r="C15" s="483">
        <v>280</v>
      </c>
      <c r="D15" s="483">
        <v>0</v>
      </c>
      <c r="E15" s="483">
        <v>24.7</v>
      </c>
      <c r="F15" s="483">
        <v>82</v>
      </c>
      <c r="G15" s="483">
        <v>120.625</v>
      </c>
      <c r="H15" s="483">
        <v>126</v>
      </c>
      <c r="I15" s="483">
        <v>117.97399999999999</v>
      </c>
      <c r="J15" s="483">
        <v>119</v>
      </c>
      <c r="K15" s="483">
        <v>7</v>
      </c>
      <c r="L15" s="483">
        <v>0</v>
      </c>
      <c r="M15" s="483"/>
      <c r="N15" s="483">
        <v>18</v>
      </c>
      <c r="O15" s="483"/>
      <c r="P15" s="481">
        <f t="shared" si="0"/>
        <v>345</v>
      </c>
      <c r="Q15" s="486">
        <f t="shared" si="1"/>
        <v>270.29899999999998</v>
      </c>
      <c r="R15" s="473"/>
      <c r="S15" s="492">
        <f t="shared" si="2"/>
        <v>270.29899999999998</v>
      </c>
      <c r="U15">
        <v>26</v>
      </c>
      <c r="V15">
        <f t="shared" si="3"/>
        <v>24.96</v>
      </c>
      <c r="W15">
        <v>125</v>
      </c>
      <c r="X15">
        <f t="shared" si="4"/>
        <v>120.625</v>
      </c>
      <c r="Y15">
        <v>122</v>
      </c>
      <c r="Z15">
        <f t="shared" si="5"/>
        <v>117.97399999999999</v>
      </c>
    </row>
    <row r="16" spans="1:26" ht="16.5" thickTop="1" thickBot="1" x14ac:dyDescent="0.3">
      <c r="A16" s="589" t="s">
        <v>26</v>
      </c>
      <c r="B16" s="590"/>
      <c r="C16" s="484">
        <f>SUM(C8:C15)</f>
        <v>3630</v>
      </c>
      <c r="D16" s="484">
        <f t="shared" ref="D16:P16" si="6">SUM(D8:D15)</f>
        <v>53</v>
      </c>
      <c r="E16" s="484">
        <f t="shared" si="6"/>
        <v>63.649999999999991</v>
      </c>
      <c r="F16" s="484">
        <f t="shared" si="6"/>
        <v>271</v>
      </c>
      <c r="G16" s="484">
        <f t="shared" si="6"/>
        <v>213.26499999999999</v>
      </c>
      <c r="H16" s="484">
        <f t="shared" si="6"/>
        <v>638</v>
      </c>
      <c r="I16" s="484">
        <f t="shared" si="6"/>
        <v>504.774</v>
      </c>
      <c r="J16" s="484">
        <f t="shared" si="6"/>
        <v>495</v>
      </c>
      <c r="K16" s="484">
        <f t="shared" si="6"/>
        <v>641.1</v>
      </c>
      <c r="L16" s="484">
        <f t="shared" si="6"/>
        <v>276</v>
      </c>
      <c r="M16" s="484">
        <f t="shared" si="6"/>
        <v>0</v>
      </c>
      <c r="N16" s="484">
        <f t="shared" si="6"/>
        <v>233</v>
      </c>
      <c r="O16" s="484">
        <f t="shared" si="6"/>
        <v>0</v>
      </c>
      <c r="P16" s="488">
        <f t="shared" si="6"/>
        <v>1966</v>
      </c>
      <c r="Q16" s="489">
        <f>SUM(Q8:Q15)</f>
        <v>1422.789</v>
      </c>
      <c r="R16" s="473"/>
      <c r="S16" s="492">
        <f>SUM(S8:S15)</f>
        <v>1422.789</v>
      </c>
      <c r="U16">
        <f>SUM(U8:U15)</f>
        <v>67</v>
      </c>
      <c r="V16">
        <f t="shared" ref="V16:Z16" si="7">SUM(V8:V15)</f>
        <v>64.319999999999993</v>
      </c>
      <c r="W16">
        <f t="shared" si="7"/>
        <v>221</v>
      </c>
      <c r="X16">
        <f t="shared" si="7"/>
        <v>213.26499999999999</v>
      </c>
      <c r="Y16">
        <f t="shared" si="7"/>
        <v>522</v>
      </c>
      <c r="Z16">
        <f t="shared" si="7"/>
        <v>504.774</v>
      </c>
    </row>
    <row r="17" spans="1:19" ht="15.75" thickBot="1" x14ac:dyDescent="0.3">
      <c r="A17" s="472"/>
      <c r="B17" s="472"/>
      <c r="C17" s="491"/>
      <c r="D17" s="491"/>
      <c r="E17" s="491"/>
      <c r="F17" s="491"/>
      <c r="G17" s="491"/>
      <c r="H17" s="491"/>
      <c r="I17" s="491"/>
      <c r="J17" s="491"/>
      <c r="K17" s="491"/>
      <c r="L17" s="491"/>
      <c r="M17" s="491"/>
      <c r="N17" s="491"/>
      <c r="O17" s="491"/>
      <c r="P17" s="491"/>
      <c r="Q17" s="491"/>
      <c r="R17" s="473"/>
      <c r="S17" s="473"/>
    </row>
    <row r="18" spans="1:19" ht="25.5" x14ac:dyDescent="0.25">
      <c r="A18" s="541" t="s">
        <v>2</v>
      </c>
      <c r="B18" s="543" t="s">
        <v>3</v>
      </c>
      <c r="C18" s="474" t="s">
        <v>156</v>
      </c>
      <c r="D18" s="580" t="s">
        <v>167</v>
      </c>
      <c r="E18" s="580"/>
      <c r="F18" s="580"/>
      <c r="G18" s="580"/>
      <c r="H18" s="580"/>
      <c r="I18" s="580"/>
      <c r="J18" s="580"/>
      <c r="K18" s="580"/>
      <c r="L18" s="580"/>
      <c r="M18" s="580"/>
      <c r="N18" s="580"/>
      <c r="O18" s="580"/>
      <c r="P18" s="581" t="s">
        <v>168</v>
      </c>
      <c r="Q18" s="581"/>
      <c r="R18" s="584" t="s">
        <v>169</v>
      </c>
      <c r="S18" s="585"/>
    </row>
    <row r="19" spans="1:19" ht="25.5" x14ac:dyDescent="0.25">
      <c r="A19" s="542"/>
      <c r="B19" s="544"/>
      <c r="C19" s="475" t="s">
        <v>164</v>
      </c>
      <c r="D19" s="578" t="s">
        <v>79</v>
      </c>
      <c r="E19" s="578"/>
      <c r="F19" s="578" t="s">
        <v>10</v>
      </c>
      <c r="G19" s="578"/>
      <c r="H19" s="578" t="s">
        <v>11</v>
      </c>
      <c r="I19" s="578"/>
      <c r="J19" s="578" t="s">
        <v>12</v>
      </c>
      <c r="K19" s="578"/>
      <c r="L19" s="578" t="s">
        <v>165</v>
      </c>
      <c r="M19" s="578"/>
      <c r="N19" s="578" t="s">
        <v>166</v>
      </c>
      <c r="O19" s="578"/>
      <c r="P19" s="578"/>
      <c r="Q19" s="578"/>
      <c r="R19" s="586"/>
      <c r="S19" s="587"/>
    </row>
    <row r="20" spans="1:19" x14ac:dyDescent="0.25">
      <c r="A20" s="542"/>
      <c r="B20" s="544"/>
      <c r="C20" s="477" t="s">
        <v>1</v>
      </c>
      <c r="D20" s="400" t="s">
        <v>158</v>
      </c>
      <c r="E20" s="400" t="s">
        <v>117</v>
      </c>
      <c r="F20" s="400" t="s">
        <v>158</v>
      </c>
      <c r="G20" s="400" t="s">
        <v>117</v>
      </c>
      <c r="H20" s="400" t="s">
        <v>158</v>
      </c>
      <c r="I20" s="400" t="s">
        <v>117</v>
      </c>
      <c r="J20" s="400" t="s">
        <v>158</v>
      </c>
      <c r="K20" s="400" t="s">
        <v>117</v>
      </c>
      <c r="L20" s="400" t="s">
        <v>158</v>
      </c>
      <c r="M20" s="400" t="s">
        <v>117</v>
      </c>
      <c r="N20" s="400" t="s">
        <v>158</v>
      </c>
      <c r="O20" s="400" t="s">
        <v>117</v>
      </c>
      <c r="P20" s="400" t="s">
        <v>158</v>
      </c>
      <c r="Q20" s="400" t="s">
        <v>117</v>
      </c>
      <c r="R20" s="400" t="s">
        <v>158</v>
      </c>
      <c r="S20" s="476" t="s">
        <v>117</v>
      </c>
    </row>
    <row r="21" spans="1:19" ht="15.75" thickBot="1" x14ac:dyDescent="0.3">
      <c r="A21" s="228">
        <v>1</v>
      </c>
      <c r="B21" s="229">
        <v>2</v>
      </c>
      <c r="C21" s="478">
        <v>3</v>
      </c>
      <c r="D21" s="579">
        <v>11</v>
      </c>
      <c r="E21" s="579"/>
      <c r="F21" s="579">
        <v>12</v>
      </c>
      <c r="G21" s="579"/>
      <c r="H21" s="579">
        <v>13</v>
      </c>
      <c r="I21" s="579"/>
      <c r="J21" s="579">
        <v>14</v>
      </c>
      <c r="K21" s="579"/>
      <c r="L21" s="579">
        <v>15</v>
      </c>
      <c r="M21" s="579"/>
      <c r="N21" s="579">
        <v>16</v>
      </c>
      <c r="O21" s="579"/>
      <c r="P21" s="579">
        <v>17</v>
      </c>
      <c r="Q21" s="579"/>
      <c r="R21" s="579">
        <v>18</v>
      </c>
      <c r="S21" s="588"/>
    </row>
    <row r="22" spans="1:19" ht="15.75" thickTop="1" x14ac:dyDescent="0.25">
      <c r="A22" s="234">
        <v>1</v>
      </c>
      <c r="B22" s="235" t="s">
        <v>18</v>
      </c>
      <c r="C22" s="481">
        <v>1799</v>
      </c>
      <c r="D22" s="481">
        <v>0</v>
      </c>
      <c r="E22" s="481"/>
      <c r="F22" s="481">
        <v>19</v>
      </c>
      <c r="G22" s="481"/>
      <c r="H22" s="481">
        <v>0</v>
      </c>
      <c r="I22" s="481"/>
      <c r="J22" s="481">
        <v>0</v>
      </c>
      <c r="K22" s="481"/>
      <c r="L22" s="481">
        <v>0</v>
      </c>
      <c r="M22" s="481"/>
      <c r="N22" s="481">
        <v>0</v>
      </c>
      <c r="O22" s="481"/>
      <c r="P22" s="481">
        <f>SUM(D22,F22,H22,J22,L22,N22)</f>
        <v>19</v>
      </c>
      <c r="Q22" s="481"/>
      <c r="R22" s="481">
        <f t="shared" ref="R22:S29" si="8">SUM(P8,P22)</f>
        <v>311</v>
      </c>
      <c r="S22" s="486">
        <f t="shared" si="8"/>
        <v>222.44499999999999</v>
      </c>
    </row>
    <row r="23" spans="1:19" x14ac:dyDescent="0.25">
      <c r="A23" s="244">
        <v>2</v>
      </c>
      <c r="B23" s="245" t="s">
        <v>19</v>
      </c>
      <c r="C23" s="482">
        <v>243</v>
      </c>
      <c r="D23" s="482">
        <v>27</v>
      </c>
      <c r="E23" s="482"/>
      <c r="F23" s="482">
        <v>20</v>
      </c>
      <c r="G23" s="482"/>
      <c r="H23" s="482">
        <v>5</v>
      </c>
      <c r="I23" s="482"/>
      <c r="J23" s="482">
        <v>0</v>
      </c>
      <c r="K23" s="482"/>
      <c r="L23" s="482">
        <v>0</v>
      </c>
      <c r="M23" s="482"/>
      <c r="N23" s="482">
        <v>0</v>
      </c>
      <c r="O23" s="482"/>
      <c r="P23" s="482">
        <f t="shared" ref="P23:P29" si="9">SUM(D23,F23,H23,J23,L23,N23)</f>
        <v>52</v>
      </c>
      <c r="Q23" s="482"/>
      <c r="R23" s="482">
        <f t="shared" si="8"/>
        <v>350</v>
      </c>
      <c r="S23" s="487">
        <f t="shared" si="8"/>
        <v>193.08600000000001</v>
      </c>
    </row>
    <row r="24" spans="1:19" x14ac:dyDescent="0.25">
      <c r="A24" s="244">
        <v>3</v>
      </c>
      <c r="B24" s="235" t="s">
        <v>20</v>
      </c>
      <c r="C24" s="482">
        <v>275</v>
      </c>
      <c r="D24" s="482">
        <v>10</v>
      </c>
      <c r="E24" s="482"/>
      <c r="F24" s="482">
        <v>0</v>
      </c>
      <c r="G24" s="482"/>
      <c r="H24" s="482">
        <v>0</v>
      </c>
      <c r="I24" s="482"/>
      <c r="J24" s="482">
        <v>0</v>
      </c>
      <c r="K24" s="482"/>
      <c r="L24" s="482">
        <v>0</v>
      </c>
      <c r="M24" s="482"/>
      <c r="N24" s="482">
        <v>0</v>
      </c>
      <c r="O24" s="482"/>
      <c r="P24" s="482">
        <f t="shared" si="9"/>
        <v>10</v>
      </c>
      <c r="Q24" s="482"/>
      <c r="R24" s="482">
        <f t="shared" si="8"/>
        <v>94</v>
      </c>
      <c r="S24" s="487">
        <f t="shared" si="8"/>
        <v>52.61</v>
      </c>
    </row>
    <row r="25" spans="1:19" x14ac:dyDescent="0.25">
      <c r="A25" s="255">
        <v>4</v>
      </c>
      <c r="B25" s="256" t="s">
        <v>21</v>
      </c>
      <c r="C25" s="482">
        <v>206</v>
      </c>
      <c r="D25" s="482">
        <v>0</v>
      </c>
      <c r="E25" s="482"/>
      <c r="F25" s="482">
        <v>27</v>
      </c>
      <c r="G25" s="482"/>
      <c r="H25" s="482">
        <v>0</v>
      </c>
      <c r="I25" s="482"/>
      <c r="J25" s="482">
        <v>0</v>
      </c>
      <c r="K25" s="482"/>
      <c r="L25" s="482">
        <v>0</v>
      </c>
      <c r="M25" s="482"/>
      <c r="N25" s="482">
        <v>5</v>
      </c>
      <c r="O25" s="482"/>
      <c r="P25" s="482">
        <f t="shared" si="9"/>
        <v>32</v>
      </c>
      <c r="Q25" s="482"/>
      <c r="R25" s="482">
        <f t="shared" si="8"/>
        <v>235</v>
      </c>
      <c r="S25" s="487">
        <f t="shared" si="8"/>
        <v>170.42699999999999</v>
      </c>
    </row>
    <row r="26" spans="1:19" x14ac:dyDescent="0.25">
      <c r="A26" s="255">
        <v>5</v>
      </c>
      <c r="B26" s="258" t="s">
        <v>22</v>
      </c>
      <c r="C26" s="482">
        <v>363</v>
      </c>
      <c r="D26" s="482">
        <v>5</v>
      </c>
      <c r="E26" s="482"/>
      <c r="F26" s="482">
        <v>12</v>
      </c>
      <c r="G26" s="482"/>
      <c r="H26" s="482">
        <v>0</v>
      </c>
      <c r="I26" s="482"/>
      <c r="J26" s="482">
        <v>0</v>
      </c>
      <c r="K26" s="482"/>
      <c r="L26" s="482">
        <v>0</v>
      </c>
      <c r="M26" s="482"/>
      <c r="N26" s="482">
        <v>0</v>
      </c>
      <c r="O26" s="482"/>
      <c r="P26" s="482">
        <f t="shared" si="9"/>
        <v>17</v>
      </c>
      <c r="Q26" s="482"/>
      <c r="R26" s="482">
        <f t="shared" si="8"/>
        <v>201</v>
      </c>
      <c r="S26" s="487">
        <f t="shared" si="8"/>
        <v>180.505</v>
      </c>
    </row>
    <row r="27" spans="1:19" x14ac:dyDescent="0.25">
      <c r="A27" s="255">
        <v>6</v>
      </c>
      <c r="B27" s="258" t="s">
        <v>23</v>
      </c>
      <c r="C27" s="482">
        <v>59</v>
      </c>
      <c r="D27" s="482">
        <v>0</v>
      </c>
      <c r="E27" s="482"/>
      <c r="F27" s="482">
        <v>10</v>
      </c>
      <c r="G27" s="482"/>
      <c r="H27" s="482">
        <v>0</v>
      </c>
      <c r="I27" s="482"/>
      <c r="J27" s="482">
        <v>0</v>
      </c>
      <c r="K27" s="482"/>
      <c r="L27" s="482">
        <v>0</v>
      </c>
      <c r="M27" s="482"/>
      <c r="N27" s="482">
        <v>0</v>
      </c>
      <c r="O27" s="482"/>
      <c r="P27" s="482">
        <f t="shared" si="9"/>
        <v>10</v>
      </c>
      <c r="Q27" s="482"/>
      <c r="R27" s="482">
        <f t="shared" si="8"/>
        <v>99</v>
      </c>
      <c r="S27" s="487">
        <f t="shared" si="8"/>
        <v>48.144999999999996</v>
      </c>
    </row>
    <row r="28" spans="1:19" x14ac:dyDescent="0.25">
      <c r="A28" s="255">
        <v>7</v>
      </c>
      <c r="B28" s="258" t="s">
        <v>24</v>
      </c>
      <c r="C28" s="482">
        <v>405</v>
      </c>
      <c r="D28" s="482">
        <v>90</v>
      </c>
      <c r="E28" s="482"/>
      <c r="F28" s="482">
        <v>28</v>
      </c>
      <c r="G28" s="482"/>
      <c r="H28" s="482">
        <v>0</v>
      </c>
      <c r="I28" s="482"/>
      <c r="J28" s="482">
        <v>0</v>
      </c>
      <c r="K28" s="482"/>
      <c r="L28" s="482">
        <v>0</v>
      </c>
      <c r="M28" s="482"/>
      <c r="N28" s="482">
        <v>0</v>
      </c>
      <c r="O28" s="482"/>
      <c r="P28" s="482">
        <f t="shared" si="9"/>
        <v>118</v>
      </c>
      <c r="Q28" s="482"/>
      <c r="R28" s="482">
        <f t="shared" si="8"/>
        <v>589</v>
      </c>
      <c r="S28" s="487">
        <f t="shared" si="8"/>
        <v>285.27199999999999</v>
      </c>
    </row>
    <row r="29" spans="1:19" ht="15.75" thickBot="1" x14ac:dyDescent="0.3">
      <c r="A29" s="260">
        <v>8</v>
      </c>
      <c r="B29" s="256" t="s">
        <v>25</v>
      </c>
      <c r="C29" s="485">
        <v>280</v>
      </c>
      <c r="D29" s="485">
        <v>0</v>
      </c>
      <c r="E29" s="485"/>
      <c r="F29" s="485">
        <v>97</v>
      </c>
      <c r="G29" s="485"/>
      <c r="H29" s="485">
        <v>34</v>
      </c>
      <c r="I29" s="485"/>
      <c r="J29" s="485">
        <v>0</v>
      </c>
      <c r="K29" s="485"/>
      <c r="L29" s="485">
        <v>0</v>
      </c>
      <c r="M29" s="485"/>
      <c r="N29" s="485">
        <v>0</v>
      </c>
      <c r="O29" s="485"/>
      <c r="P29" s="481">
        <f t="shared" si="9"/>
        <v>131</v>
      </c>
      <c r="Q29" s="481"/>
      <c r="R29" s="481">
        <f t="shared" si="8"/>
        <v>476</v>
      </c>
      <c r="S29" s="486">
        <f t="shared" si="8"/>
        <v>270.29899999999998</v>
      </c>
    </row>
    <row r="30" spans="1:19" ht="16.5" thickTop="1" thickBot="1" x14ac:dyDescent="0.3">
      <c r="A30" s="589" t="s">
        <v>26</v>
      </c>
      <c r="B30" s="590"/>
      <c r="C30" s="484">
        <f>SUM(C22:C29)</f>
        <v>3630</v>
      </c>
      <c r="D30" s="484">
        <f t="shared" ref="D30:R30" si="10">SUM(D22:D29)</f>
        <v>132</v>
      </c>
      <c r="E30" s="484">
        <f t="shared" si="10"/>
        <v>0</v>
      </c>
      <c r="F30" s="484">
        <f t="shared" si="10"/>
        <v>213</v>
      </c>
      <c r="G30" s="484">
        <f t="shared" si="10"/>
        <v>0</v>
      </c>
      <c r="H30" s="484">
        <f t="shared" si="10"/>
        <v>39</v>
      </c>
      <c r="I30" s="484">
        <f t="shared" si="10"/>
        <v>0</v>
      </c>
      <c r="J30" s="484">
        <f t="shared" si="10"/>
        <v>0</v>
      </c>
      <c r="K30" s="484">
        <f t="shared" si="10"/>
        <v>0</v>
      </c>
      <c r="L30" s="484">
        <f t="shared" si="10"/>
        <v>0</v>
      </c>
      <c r="M30" s="484">
        <f t="shared" si="10"/>
        <v>0</v>
      </c>
      <c r="N30" s="484">
        <f t="shared" si="10"/>
        <v>5</v>
      </c>
      <c r="O30" s="484">
        <f t="shared" si="10"/>
        <v>0</v>
      </c>
      <c r="P30" s="488">
        <f t="shared" si="10"/>
        <v>389</v>
      </c>
      <c r="Q30" s="488">
        <f t="shared" si="10"/>
        <v>0</v>
      </c>
      <c r="R30" s="488">
        <f t="shared" si="10"/>
        <v>2355</v>
      </c>
      <c r="S30" s="489">
        <f>SUM(S22:S29)</f>
        <v>1422.789</v>
      </c>
    </row>
    <row r="33" spans="1:19" ht="15.75" x14ac:dyDescent="0.25">
      <c r="A33" s="516" t="s">
        <v>171</v>
      </c>
      <c r="B33" s="516"/>
      <c r="C33" s="516"/>
      <c r="D33" s="516"/>
      <c r="E33" s="516"/>
      <c r="F33" s="516"/>
      <c r="G33" s="516"/>
      <c r="H33" s="516"/>
      <c r="I33" s="516"/>
      <c r="J33" s="516"/>
      <c r="K33" s="516"/>
      <c r="L33" s="516"/>
      <c r="M33" s="516"/>
      <c r="N33" s="516"/>
      <c r="O33" s="516"/>
      <c r="P33" s="516"/>
      <c r="Q33" s="516"/>
      <c r="R33" s="516"/>
      <c r="S33" s="516"/>
    </row>
    <row r="34" spans="1:19" ht="15.75" x14ac:dyDescent="0.25">
      <c r="A34" s="516" t="s">
        <v>82</v>
      </c>
      <c r="B34" s="516"/>
      <c r="C34" s="516"/>
      <c r="D34" s="516"/>
      <c r="E34" s="516"/>
      <c r="F34" s="516"/>
      <c r="G34" s="516"/>
      <c r="H34" s="516"/>
      <c r="I34" s="516"/>
      <c r="J34" s="516"/>
      <c r="K34" s="516"/>
      <c r="L34" s="516"/>
      <c r="M34" s="516"/>
      <c r="N34" s="516"/>
      <c r="O34" s="516"/>
      <c r="P34" s="516"/>
      <c r="Q34" s="516"/>
      <c r="R34" s="516"/>
      <c r="S34" s="516"/>
    </row>
    <row r="35" spans="1:19" ht="15.75" thickBot="1" x14ac:dyDescent="0.3"/>
    <row r="36" spans="1:19" ht="25.5" x14ac:dyDescent="0.25">
      <c r="A36" s="541" t="s">
        <v>2</v>
      </c>
      <c r="B36" s="543" t="s">
        <v>3</v>
      </c>
      <c r="C36" s="474" t="s">
        <v>156</v>
      </c>
      <c r="D36" s="580" t="s">
        <v>157</v>
      </c>
      <c r="E36" s="580"/>
      <c r="F36" s="580"/>
      <c r="G36" s="580"/>
      <c r="H36" s="580"/>
      <c r="I36" s="580"/>
      <c r="J36" s="580"/>
      <c r="K36" s="580"/>
      <c r="L36" s="580"/>
      <c r="M36" s="580"/>
      <c r="N36" s="580"/>
      <c r="O36" s="580"/>
      <c r="P36" s="581" t="s">
        <v>84</v>
      </c>
      <c r="Q36" s="582"/>
      <c r="R36" s="473"/>
      <c r="S36" s="473"/>
    </row>
    <row r="37" spans="1:19" x14ac:dyDescent="0.25">
      <c r="A37" s="542"/>
      <c r="B37" s="544"/>
      <c r="C37" s="475" t="s">
        <v>174</v>
      </c>
      <c r="D37" s="578" t="s">
        <v>160</v>
      </c>
      <c r="E37" s="578"/>
      <c r="F37" s="578" t="s">
        <v>161</v>
      </c>
      <c r="G37" s="578"/>
      <c r="H37" s="578" t="s">
        <v>162</v>
      </c>
      <c r="I37" s="578"/>
      <c r="J37" s="578" t="s">
        <v>159</v>
      </c>
      <c r="K37" s="578"/>
      <c r="L37" s="578" t="s">
        <v>163</v>
      </c>
      <c r="M37" s="578"/>
      <c r="N37" s="578" t="s">
        <v>8</v>
      </c>
      <c r="O37" s="578"/>
      <c r="P37" s="578"/>
      <c r="Q37" s="583"/>
      <c r="R37" s="473"/>
      <c r="S37" s="473"/>
    </row>
    <row r="38" spans="1:19" x14ac:dyDescent="0.25">
      <c r="A38" s="542"/>
      <c r="B38" s="544"/>
      <c r="C38" s="477" t="s">
        <v>1</v>
      </c>
      <c r="D38" s="400" t="s">
        <v>158</v>
      </c>
      <c r="E38" s="400" t="s">
        <v>117</v>
      </c>
      <c r="F38" s="400" t="s">
        <v>158</v>
      </c>
      <c r="G38" s="400" t="s">
        <v>117</v>
      </c>
      <c r="H38" s="400" t="s">
        <v>158</v>
      </c>
      <c r="I38" s="400" t="s">
        <v>117</v>
      </c>
      <c r="J38" s="400" t="s">
        <v>158</v>
      </c>
      <c r="K38" s="400" t="s">
        <v>117</v>
      </c>
      <c r="L38" s="400" t="s">
        <v>158</v>
      </c>
      <c r="M38" s="400" t="s">
        <v>117</v>
      </c>
      <c r="N38" s="400" t="s">
        <v>158</v>
      </c>
      <c r="O38" s="400" t="s">
        <v>117</v>
      </c>
      <c r="P38" s="400" t="s">
        <v>158</v>
      </c>
      <c r="Q38" s="476" t="s">
        <v>117</v>
      </c>
      <c r="R38" s="473"/>
      <c r="S38" s="473"/>
    </row>
    <row r="39" spans="1:19" ht="15.75" thickBot="1" x14ac:dyDescent="0.3">
      <c r="A39" s="228">
        <v>1</v>
      </c>
      <c r="B39" s="229">
        <v>2</v>
      </c>
      <c r="C39" s="478">
        <v>3</v>
      </c>
      <c r="D39" s="579">
        <v>4</v>
      </c>
      <c r="E39" s="579"/>
      <c r="F39" s="579">
        <v>5</v>
      </c>
      <c r="G39" s="579"/>
      <c r="H39" s="579">
        <v>6</v>
      </c>
      <c r="I39" s="579"/>
      <c r="J39" s="579">
        <v>7</v>
      </c>
      <c r="K39" s="579"/>
      <c r="L39" s="579">
        <v>8</v>
      </c>
      <c r="M39" s="579"/>
      <c r="N39" s="579">
        <v>9</v>
      </c>
      <c r="O39" s="579"/>
      <c r="P39" s="579">
        <v>10</v>
      </c>
      <c r="Q39" s="588"/>
      <c r="R39" s="473"/>
      <c r="S39" s="473"/>
    </row>
    <row r="40" spans="1:19" ht="15.75" thickTop="1" x14ac:dyDescent="0.25">
      <c r="A40" s="234">
        <v>1</v>
      </c>
      <c r="B40" s="235" t="s">
        <v>18</v>
      </c>
      <c r="C40" s="481">
        <v>287</v>
      </c>
      <c r="D40" s="481">
        <v>0</v>
      </c>
      <c r="E40" s="481">
        <v>0</v>
      </c>
      <c r="F40" s="481">
        <v>0</v>
      </c>
      <c r="G40" s="481">
        <v>1.93</v>
      </c>
      <c r="H40" s="481">
        <v>10</v>
      </c>
      <c r="I40" s="481">
        <v>43.515000000000001</v>
      </c>
      <c r="J40" s="481">
        <v>15</v>
      </c>
      <c r="K40" s="481">
        <v>112</v>
      </c>
      <c r="L40" s="481">
        <v>221</v>
      </c>
      <c r="M40" s="481"/>
      <c r="N40" s="481">
        <v>46</v>
      </c>
      <c r="O40" s="481"/>
      <c r="P40" s="481">
        <f>SUM(D40,F40,H40,J40,L40,N40)</f>
        <v>292</v>
      </c>
      <c r="Q40" s="486">
        <f>SUM(E40,G40,I40,K40,M40,O40)</f>
        <v>157.44499999999999</v>
      </c>
      <c r="R40" s="473"/>
      <c r="S40" s="473"/>
    </row>
    <row r="41" spans="1:19" x14ac:dyDescent="0.25">
      <c r="A41" s="244">
        <v>2</v>
      </c>
      <c r="B41" s="245" t="s">
        <v>19</v>
      </c>
      <c r="C41" s="482">
        <v>208</v>
      </c>
      <c r="D41" s="482">
        <v>3</v>
      </c>
      <c r="E41" s="482">
        <v>4.75</v>
      </c>
      <c r="F41" s="482">
        <v>47</v>
      </c>
      <c r="G41" s="482">
        <v>26.055</v>
      </c>
      <c r="H41" s="482">
        <v>105</v>
      </c>
      <c r="I41" s="482">
        <v>138.28100000000001</v>
      </c>
      <c r="J41" s="482">
        <v>78</v>
      </c>
      <c r="K41" s="482">
        <v>24</v>
      </c>
      <c r="L41" s="482">
        <v>45</v>
      </c>
      <c r="M41" s="482"/>
      <c r="N41" s="482">
        <v>20</v>
      </c>
      <c r="O41" s="482"/>
      <c r="P41" s="482">
        <f t="shared" ref="P41:P47" si="11">SUM(D41,F41,H41,J41,L41,N41)</f>
        <v>298</v>
      </c>
      <c r="Q41" s="487">
        <f t="shared" ref="Q41:Q47" si="12">SUM(E41,G41,I41,K41,M41,O41)</f>
        <v>193.08600000000001</v>
      </c>
      <c r="R41" s="473"/>
      <c r="S41" s="473"/>
    </row>
    <row r="42" spans="1:19" x14ac:dyDescent="0.25">
      <c r="A42" s="244">
        <v>3</v>
      </c>
      <c r="B42" s="235" t="s">
        <v>20</v>
      </c>
      <c r="C42" s="482">
        <v>25</v>
      </c>
      <c r="D42" s="482">
        <v>0</v>
      </c>
      <c r="E42" s="482">
        <v>4.75</v>
      </c>
      <c r="F42" s="482">
        <v>0</v>
      </c>
      <c r="G42" s="482">
        <v>8.6850000000000005</v>
      </c>
      <c r="H42" s="482">
        <v>10</v>
      </c>
      <c r="I42" s="482">
        <v>24.175000000000001</v>
      </c>
      <c r="J42" s="482">
        <v>14</v>
      </c>
      <c r="K42" s="482">
        <v>0</v>
      </c>
      <c r="L42" s="482">
        <v>0</v>
      </c>
      <c r="M42" s="482"/>
      <c r="N42" s="482">
        <v>20</v>
      </c>
      <c r="O42" s="482"/>
      <c r="P42" s="482">
        <f t="shared" si="11"/>
        <v>44</v>
      </c>
      <c r="Q42" s="487">
        <f t="shared" si="12"/>
        <v>37.61</v>
      </c>
      <c r="R42" s="473"/>
      <c r="S42" s="473"/>
    </row>
    <row r="43" spans="1:19" x14ac:dyDescent="0.25">
      <c r="A43" s="255">
        <v>4</v>
      </c>
      <c r="B43" s="256" t="s">
        <v>21</v>
      </c>
      <c r="C43" s="482">
        <v>206</v>
      </c>
      <c r="D43" s="482">
        <v>0</v>
      </c>
      <c r="E43" s="482">
        <v>8.5499999999999989</v>
      </c>
      <c r="F43" s="482">
        <v>0</v>
      </c>
      <c r="G43" s="482">
        <v>0.96499999999999997</v>
      </c>
      <c r="H43" s="482">
        <v>68</v>
      </c>
      <c r="I43" s="482">
        <v>34.811999999999998</v>
      </c>
      <c r="J43" s="482">
        <v>135</v>
      </c>
      <c r="K43" s="482">
        <v>85.6</v>
      </c>
      <c r="L43" s="482">
        <v>0</v>
      </c>
      <c r="M43" s="482"/>
      <c r="N43" s="482">
        <v>0</v>
      </c>
      <c r="O43" s="482"/>
      <c r="P43" s="482">
        <f t="shared" si="11"/>
        <v>203</v>
      </c>
      <c r="Q43" s="487">
        <f t="shared" si="12"/>
        <v>129.92699999999999</v>
      </c>
      <c r="R43" s="473"/>
      <c r="S43" s="473"/>
    </row>
    <row r="44" spans="1:19" x14ac:dyDescent="0.25">
      <c r="A44" s="255">
        <v>5</v>
      </c>
      <c r="B44" s="258" t="s">
        <v>22</v>
      </c>
      <c r="C44" s="482">
        <v>184</v>
      </c>
      <c r="D44" s="482">
        <v>0</v>
      </c>
      <c r="E44" s="482">
        <v>0</v>
      </c>
      <c r="F44" s="482">
        <v>0</v>
      </c>
      <c r="G44" s="482">
        <v>0</v>
      </c>
      <c r="H44" s="482">
        <v>50</v>
      </c>
      <c r="I44" s="482">
        <v>14.504999999999999</v>
      </c>
      <c r="J44" s="482">
        <v>134</v>
      </c>
      <c r="K44" s="482">
        <v>153</v>
      </c>
      <c r="L44" s="482">
        <v>0</v>
      </c>
      <c r="M44" s="482"/>
      <c r="N44" s="482">
        <v>0</v>
      </c>
      <c r="O44" s="482"/>
      <c r="P44" s="482">
        <f t="shared" si="11"/>
        <v>184</v>
      </c>
      <c r="Q44" s="487">
        <f t="shared" si="12"/>
        <v>167.505</v>
      </c>
      <c r="R44" s="473"/>
      <c r="S44" s="473"/>
    </row>
    <row r="45" spans="1:19" x14ac:dyDescent="0.25">
      <c r="A45" s="255">
        <v>6</v>
      </c>
      <c r="B45" s="258" t="s">
        <v>23</v>
      </c>
      <c r="C45" s="482">
        <v>54</v>
      </c>
      <c r="D45" s="482">
        <v>10</v>
      </c>
      <c r="E45" s="482">
        <v>6.6499999999999995</v>
      </c>
      <c r="F45" s="482">
        <v>25</v>
      </c>
      <c r="G45" s="482">
        <v>41.494999999999997</v>
      </c>
      <c r="H45" s="482">
        <v>19</v>
      </c>
      <c r="I45" s="482">
        <v>0</v>
      </c>
      <c r="J45" s="482">
        <v>0</v>
      </c>
      <c r="K45" s="482">
        <v>0</v>
      </c>
      <c r="L45" s="482">
        <v>10</v>
      </c>
      <c r="M45" s="482"/>
      <c r="N45" s="482">
        <v>25</v>
      </c>
      <c r="O45" s="482"/>
      <c r="P45" s="482">
        <f t="shared" si="11"/>
        <v>89</v>
      </c>
      <c r="Q45" s="487">
        <f t="shared" si="12"/>
        <v>48.144999999999996</v>
      </c>
      <c r="R45" s="473"/>
      <c r="S45" s="473"/>
    </row>
    <row r="46" spans="1:19" x14ac:dyDescent="0.25">
      <c r="A46" s="255">
        <v>7</v>
      </c>
      <c r="B46" s="258" t="s">
        <v>24</v>
      </c>
      <c r="C46" s="482">
        <v>367</v>
      </c>
      <c r="D46" s="482">
        <v>0</v>
      </c>
      <c r="E46" s="482">
        <v>14.25</v>
      </c>
      <c r="F46" s="482">
        <v>117</v>
      </c>
      <c r="G46" s="482">
        <v>13.51</v>
      </c>
      <c r="H46" s="482">
        <v>250</v>
      </c>
      <c r="I46" s="482">
        <v>131.512</v>
      </c>
      <c r="J46" s="482">
        <v>0</v>
      </c>
      <c r="K46" s="482">
        <v>78</v>
      </c>
      <c r="L46" s="482">
        <v>0</v>
      </c>
      <c r="M46" s="482"/>
      <c r="N46" s="482">
        <v>104</v>
      </c>
      <c r="O46" s="482"/>
      <c r="P46" s="482">
        <f t="shared" si="11"/>
        <v>471</v>
      </c>
      <c r="Q46" s="487">
        <f t="shared" si="12"/>
        <v>237.27199999999999</v>
      </c>
      <c r="R46" s="473"/>
      <c r="S46" s="473"/>
    </row>
    <row r="47" spans="1:19" ht="15.75" thickBot="1" x14ac:dyDescent="0.3">
      <c r="A47" s="260">
        <v>8</v>
      </c>
      <c r="B47" s="256" t="s">
        <v>25</v>
      </c>
      <c r="C47" s="483">
        <v>280</v>
      </c>
      <c r="D47" s="483">
        <v>0</v>
      </c>
      <c r="E47" s="483">
        <v>24.7</v>
      </c>
      <c r="F47" s="483">
        <v>82</v>
      </c>
      <c r="G47" s="483">
        <v>120.625</v>
      </c>
      <c r="H47" s="483">
        <v>126</v>
      </c>
      <c r="I47" s="483">
        <v>117.97399999999999</v>
      </c>
      <c r="J47" s="483">
        <v>119</v>
      </c>
      <c r="K47" s="483">
        <v>7</v>
      </c>
      <c r="L47" s="483">
        <v>0</v>
      </c>
      <c r="M47" s="483"/>
      <c r="N47" s="483">
        <v>18</v>
      </c>
      <c r="O47" s="483"/>
      <c r="P47" s="481">
        <f t="shared" si="11"/>
        <v>345</v>
      </c>
      <c r="Q47" s="486">
        <f t="shared" si="12"/>
        <v>270.29899999999998</v>
      </c>
      <c r="R47" s="473"/>
      <c r="S47" s="473"/>
    </row>
    <row r="48" spans="1:19" ht="16.5" thickTop="1" thickBot="1" x14ac:dyDescent="0.3">
      <c r="A48" s="589" t="s">
        <v>26</v>
      </c>
      <c r="B48" s="590"/>
      <c r="C48" s="484">
        <f>SUM(C40:C47)</f>
        <v>1611</v>
      </c>
      <c r="D48" s="484">
        <f t="shared" ref="D48" si="13">SUM(D40:D47)</f>
        <v>13</v>
      </c>
      <c r="E48" s="484">
        <f t="shared" ref="E48" si="14">SUM(E40:E47)</f>
        <v>63.649999999999991</v>
      </c>
      <c r="F48" s="484">
        <f t="shared" ref="F48" si="15">SUM(F40:F47)</f>
        <v>271</v>
      </c>
      <c r="G48" s="484">
        <f t="shared" ref="G48" si="16">SUM(G40:G47)</f>
        <v>213.26499999999999</v>
      </c>
      <c r="H48" s="484">
        <f t="shared" ref="H48" si="17">SUM(H40:H47)</f>
        <v>638</v>
      </c>
      <c r="I48" s="484">
        <f t="shared" ref="I48" si="18">SUM(I40:I47)</f>
        <v>504.774</v>
      </c>
      <c r="J48" s="484">
        <f t="shared" ref="J48" si="19">SUM(J40:J47)</f>
        <v>495</v>
      </c>
      <c r="K48" s="484">
        <f t="shared" ref="K48" si="20">SUM(K40:K47)</f>
        <v>459.6</v>
      </c>
      <c r="L48" s="484">
        <f t="shared" ref="L48" si="21">SUM(L40:L47)</f>
        <v>276</v>
      </c>
      <c r="M48" s="484">
        <f t="shared" ref="M48" si="22">SUM(M40:M47)</f>
        <v>0</v>
      </c>
      <c r="N48" s="484">
        <f t="shared" ref="N48" si="23">SUM(N40:N47)</f>
        <v>233</v>
      </c>
      <c r="O48" s="484">
        <f t="shared" ref="O48" si="24">SUM(O40:O47)</f>
        <v>0</v>
      </c>
      <c r="P48" s="488">
        <f t="shared" ref="P48" si="25">SUM(P40:P47)</f>
        <v>1926</v>
      </c>
      <c r="Q48" s="489">
        <f>SUM(Q40:Q47)</f>
        <v>1241.289</v>
      </c>
      <c r="R48" s="473"/>
      <c r="S48" s="473"/>
    </row>
    <row r="49" spans="1:19" ht="15.75" thickBot="1" x14ac:dyDescent="0.3">
      <c r="A49" s="472"/>
      <c r="B49" s="472"/>
      <c r="C49" s="491"/>
      <c r="D49" s="491"/>
      <c r="E49" s="491"/>
      <c r="F49" s="491"/>
      <c r="G49" s="491"/>
      <c r="H49" s="491"/>
      <c r="I49" s="491"/>
      <c r="J49" s="491"/>
      <c r="K49" s="491"/>
      <c r="L49" s="491"/>
      <c r="M49" s="491"/>
      <c r="N49" s="491"/>
      <c r="O49" s="491"/>
      <c r="P49" s="491"/>
      <c r="Q49" s="491"/>
      <c r="R49" s="473"/>
      <c r="S49" s="473"/>
    </row>
    <row r="50" spans="1:19" ht="25.5" customHeight="1" x14ac:dyDescent="0.25">
      <c r="A50" s="541" t="s">
        <v>2</v>
      </c>
      <c r="B50" s="543" t="s">
        <v>3</v>
      </c>
      <c r="C50" s="480" t="s">
        <v>156</v>
      </c>
      <c r="D50" s="601" t="s">
        <v>167</v>
      </c>
      <c r="E50" s="602"/>
      <c r="F50" s="602"/>
      <c r="G50" s="602"/>
      <c r="H50" s="602"/>
      <c r="I50" s="602"/>
      <c r="J50" s="602"/>
      <c r="K50" s="602"/>
      <c r="L50" s="602"/>
      <c r="M50" s="602"/>
      <c r="N50" s="602"/>
      <c r="O50" s="603"/>
      <c r="P50" s="604" t="s">
        <v>168</v>
      </c>
      <c r="Q50" s="605"/>
      <c r="R50" s="594" t="s">
        <v>169</v>
      </c>
      <c r="S50" s="595"/>
    </row>
    <row r="51" spans="1:19" x14ac:dyDescent="0.25">
      <c r="A51" s="542"/>
      <c r="B51" s="544"/>
      <c r="C51" s="475" t="s">
        <v>174</v>
      </c>
      <c r="D51" s="598" t="s">
        <v>79</v>
      </c>
      <c r="E51" s="599"/>
      <c r="F51" s="598" t="s">
        <v>10</v>
      </c>
      <c r="G51" s="599"/>
      <c r="H51" s="598" t="s">
        <v>11</v>
      </c>
      <c r="I51" s="599"/>
      <c r="J51" s="598" t="s">
        <v>12</v>
      </c>
      <c r="K51" s="599"/>
      <c r="L51" s="598" t="s">
        <v>165</v>
      </c>
      <c r="M51" s="599"/>
      <c r="N51" s="598" t="s">
        <v>166</v>
      </c>
      <c r="O51" s="599"/>
      <c r="P51" s="606"/>
      <c r="Q51" s="607"/>
      <c r="R51" s="596"/>
      <c r="S51" s="597"/>
    </row>
    <row r="52" spans="1:19" x14ac:dyDescent="0.25">
      <c r="A52" s="600"/>
      <c r="B52" s="577"/>
      <c r="C52" s="477" t="s">
        <v>1</v>
      </c>
      <c r="D52" s="400" t="s">
        <v>158</v>
      </c>
      <c r="E52" s="400" t="s">
        <v>117</v>
      </c>
      <c r="F52" s="400" t="s">
        <v>158</v>
      </c>
      <c r="G52" s="400" t="s">
        <v>117</v>
      </c>
      <c r="H52" s="400" t="s">
        <v>158</v>
      </c>
      <c r="I52" s="400" t="s">
        <v>117</v>
      </c>
      <c r="J52" s="400" t="s">
        <v>158</v>
      </c>
      <c r="K52" s="400" t="s">
        <v>117</v>
      </c>
      <c r="L52" s="400" t="s">
        <v>158</v>
      </c>
      <c r="M52" s="400" t="s">
        <v>117</v>
      </c>
      <c r="N52" s="400" t="s">
        <v>158</v>
      </c>
      <c r="O52" s="400" t="s">
        <v>117</v>
      </c>
      <c r="P52" s="400" t="s">
        <v>158</v>
      </c>
      <c r="Q52" s="400" t="s">
        <v>117</v>
      </c>
      <c r="R52" s="400" t="s">
        <v>158</v>
      </c>
      <c r="S52" s="476" t="s">
        <v>117</v>
      </c>
    </row>
    <row r="53" spans="1:19" ht="15.75" thickBot="1" x14ac:dyDescent="0.3">
      <c r="A53" s="228">
        <v>1</v>
      </c>
      <c r="B53" s="229">
        <v>2</v>
      </c>
      <c r="C53" s="479">
        <v>3</v>
      </c>
      <c r="D53" s="591">
        <v>11</v>
      </c>
      <c r="E53" s="592"/>
      <c r="F53" s="591">
        <v>12</v>
      </c>
      <c r="G53" s="592"/>
      <c r="H53" s="591">
        <v>13</v>
      </c>
      <c r="I53" s="592"/>
      <c r="J53" s="591">
        <v>14</v>
      </c>
      <c r="K53" s="592"/>
      <c r="L53" s="591">
        <v>15</v>
      </c>
      <c r="M53" s="592"/>
      <c r="N53" s="591">
        <v>16</v>
      </c>
      <c r="O53" s="592"/>
      <c r="P53" s="591">
        <v>17</v>
      </c>
      <c r="Q53" s="592"/>
      <c r="R53" s="591">
        <v>18</v>
      </c>
      <c r="S53" s="593"/>
    </row>
    <row r="54" spans="1:19" ht="15.75" thickTop="1" x14ac:dyDescent="0.25">
      <c r="A54" s="234">
        <v>1</v>
      </c>
      <c r="B54" s="235" t="s">
        <v>18</v>
      </c>
      <c r="C54" s="481">
        <v>287</v>
      </c>
      <c r="D54" s="481">
        <v>0</v>
      </c>
      <c r="E54" s="481"/>
      <c r="F54" s="481">
        <v>19</v>
      </c>
      <c r="G54" s="481"/>
      <c r="H54" s="481">
        <v>0</v>
      </c>
      <c r="I54" s="481"/>
      <c r="J54" s="481">
        <v>0</v>
      </c>
      <c r="K54" s="481"/>
      <c r="L54" s="481">
        <v>0</v>
      </c>
      <c r="M54" s="481"/>
      <c r="N54" s="481">
        <v>0</v>
      </c>
      <c r="O54" s="481"/>
      <c r="P54" s="481">
        <f>SUM(D54,F54,H54,J54,L54,N54)</f>
        <v>19</v>
      </c>
      <c r="Q54" s="481"/>
      <c r="R54" s="481">
        <f t="shared" ref="R54:S61" si="26">SUM(P40,P54)</f>
        <v>311</v>
      </c>
      <c r="S54" s="486">
        <f t="shared" si="26"/>
        <v>157.44499999999999</v>
      </c>
    </row>
    <row r="55" spans="1:19" x14ac:dyDescent="0.25">
      <c r="A55" s="244">
        <v>2</v>
      </c>
      <c r="B55" s="245" t="s">
        <v>19</v>
      </c>
      <c r="C55" s="482">
        <v>208</v>
      </c>
      <c r="D55" s="482">
        <v>27</v>
      </c>
      <c r="E55" s="482"/>
      <c r="F55" s="482">
        <v>20</v>
      </c>
      <c r="G55" s="482"/>
      <c r="H55" s="482">
        <v>5</v>
      </c>
      <c r="I55" s="482"/>
      <c r="J55" s="482">
        <v>0</v>
      </c>
      <c r="K55" s="482"/>
      <c r="L55" s="482">
        <v>0</v>
      </c>
      <c r="M55" s="482"/>
      <c r="N55" s="482">
        <v>0</v>
      </c>
      <c r="O55" s="482"/>
      <c r="P55" s="482">
        <f t="shared" ref="P55:P61" si="27">SUM(D55,F55,H55,J55,L55,N55)</f>
        <v>52</v>
      </c>
      <c r="Q55" s="482"/>
      <c r="R55" s="482">
        <f t="shared" si="26"/>
        <v>350</v>
      </c>
      <c r="S55" s="487">
        <f t="shared" si="26"/>
        <v>193.08600000000001</v>
      </c>
    </row>
    <row r="56" spans="1:19" x14ac:dyDescent="0.25">
      <c r="A56" s="244">
        <v>3</v>
      </c>
      <c r="B56" s="235" t="s">
        <v>20</v>
      </c>
      <c r="C56" s="482">
        <v>25</v>
      </c>
      <c r="D56" s="482">
        <v>10</v>
      </c>
      <c r="E56" s="482"/>
      <c r="F56" s="482">
        <v>0</v>
      </c>
      <c r="G56" s="482"/>
      <c r="H56" s="482">
        <v>0</v>
      </c>
      <c r="I56" s="482"/>
      <c r="J56" s="482">
        <v>0</v>
      </c>
      <c r="K56" s="482"/>
      <c r="L56" s="482">
        <v>0</v>
      </c>
      <c r="M56" s="482"/>
      <c r="N56" s="482">
        <v>0</v>
      </c>
      <c r="O56" s="482"/>
      <c r="P56" s="482">
        <f t="shared" si="27"/>
        <v>10</v>
      </c>
      <c r="Q56" s="482"/>
      <c r="R56" s="482">
        <f t="shared" si="26"/>
        <v>54</v>
      </c>
      <c r="S56" s="487">
        <f t="shared" si="26"/>
        <v>37.61</v>
      </c>
    </row>
    <row r="57" spans="1:19" x14ac:dyDescent="0.25">
      <c r="A57" s="255">
        <v>4</v>
      </c>
      <c r="B57" s="256" t="s">
        <v>21</v>
      </c>
      <c r="C57" s="482">
        <v>206</v>
      </c>
      <c r="D57" s="482">
        <v>0</v>
      </c>
      <c r="E57" s="482"/>
      <c r="F57" s="482">
        <v>27</v>
      </c>
      <c r="G57" s="482"/>
      <c r="H57" s="482">
        <v>0</v>
      </c>
      <c r="I57" s="482"/>
      <c r="J57" s="482">
        <v>0</v>
      </c>
      <c r="K57" s="482"/>
      <c r="L57" s="482">
        <v>0</v>
      </c>
      <c r="M57" s="482"/>
      <c r="N57" s="482">
        <v>5</v>
      </c>
      <c r="O57" s="482"/>
      <c r="P57" s="482">
        <f t="shared" si="27"/>
        <v>32</v>
      </c>
      <c r="Q57" s="482"/>
      <c r="R57" s="482">
        <f t="shared" si="26"/>
        <v>235</v>
      </c>
      <c r="S57" s="487">
        <f t="shared" si="26"/>
        <v>129.92699999999999</v>
      </c>
    </row>
    <row r="58" spans="1:19" x14ac:dyDescent="0.25">
      <c r="A58" s="255">
        <v>5</v>
      </c>
      <c r="B58" s="258" t="s">
        <v>22</v>
      </c>
      <c r="C58" s="482">
        <v>184</v>
      </c>
      <c r="D58" s="482">
        <v>5</v>
      </c>
      <c r="E58" s="482"/>
      <c r="F58" s="482">
        <v>12</v>
      </c>
      <c r="G58" s="482"/>
      <c r="H58" s="482">
        <v>0</v>
      </c>
      <c r="I58" s="482"/>
      <c r="J58" s="482">
        <v>0</v>
      </c>
      <c r="K58" s="482"/>
      <c r="L58" s="482">
        <v>0</v>
      </c>
      <c r="M58" s="482"/>
      <c r="N58" s="482">
        <v>0</v>
      </c>
      <c r="O58" s="482"/>
      <c r="P58" s="482">
        <f t="shared" si="27"/>
        <v>17</v>
      </c>
      <c r="Q58" s="482"/>
      <c r="R58" s="482">
        <f t="shared" si="26"/>
        <v>201</v>
      </c>
      <c r="S58" s="487">
        <f t="shared" si="26"/>
        <v>167.505</v>
      </c>
    </row>
    <row r="59" spans="1:19" x14ac:dyDescent="0.25">
      <c r="A59" s="255">
        <v>6</v>
      </c>
      <c r="B59" s="258" t="s">
        <v>23</v>
      </c>
      <c r="C59" s="482">
        <v>54</v>
      </c>
      <c r="D59" s="482">
        <v>0</v>
      </c>
      <c r="E59" s="482"/>
      <c r="F59" s="482">
        <v>10</v>
      </c>
      <c r="G59" s="482"/>
      <c r="H59" s="482">
        <v>0</v>
      </c>
      <c r="I59" s="482"/>
      <c r="J59" s="482">
        <v>0</v>
      </c>
      <c r="K59" s="482"/>
      <c r="L59" s="482">
        <v>0</v>
      </c>
      <c r="M59" s="482"/>
      <c r="N59" s="482">
        <v>0</v>
      </c>
      <c r="O59" s="482"/>
      <c r="P59" s="482">
        <f t="shared" si="27"/>
        <v>10</v>
      </c>
      <c r="Q59" s="482"/>
      <c r="R59" s="482">
        <f t="shared" si="26"/>
        <v>99</v>
      </c>
      <c r="S59" s="487">
        <f t="shared" si="26"/>
        <v>48.144999999999996</v>
      </c>
    </row>
    <row r="60" spans="1:19" x14ac:dyDescent="0.25">
      <c r="A60" s="255">
        <v>7</v>
      </c>
      <c r="B60" s="258" t="s">
        <v>24</v>
      </c>
      <c r="C60" s="482">
        <v>367</v>
      </c>
      <c r="D60" s="482">
        <v>90</v>
      </c>
      <c r="E60" s="482"/>
      <c r="F60" s="482">
        <v>28</v>
      </c>
      <c r="G60" s="482"/>
      <c r="H60" s="482">
        <v>0</v>
      </c>
      <c r="I60" s="482"/>
      <c r="J60" s="482">
        <v>0</v>
      </c>
      <c r="K60" s="482"/>
      <c r="L60" s="482">
        <v>0</v>
      </c>
      <c r="M60" s="482"/>
      <c r="N60" s="482">
        <v>0</v>
      </c>
      <c r="O60" s="482"/>
      <c r="P60" s="482">
        <f t="shared" si="27"/>
        <v>118</v>
      </c>
      <c r="Q60" s="482"/>
      <c r="R60" s="482">
        <f t="shared" si="26"/>
        <v>589</v>
      </c>
      <c r="S60" s="487">
        <f t="shared" si="26"/>
        <v>237.27199999999999</v>
      </c>
    </row>
    <row r="61" spans="1:19" ht="15.75" thickBot="1" x14ac:dyDescent="0.3">
      <c r="A61" s="260">
        <v>8</v>
      </c>
      <c r="B61" s="256" t="s">
        <v>25</v>
      </c>
      <c r="C61" s="485">
        <v>280</v>
      </c>
      <c r="D61" s="485">
        <v>0</v>
      </c>
      <c r="E61" s="485"/>
      <c r="F61" s="485">
        <v>97</v>
      </c>
      <c r="G61" s="485"/>
      <c r="H61" s="485">
        <v>34</v>
      </c>
      <c r="I61" s="485"/>
      <c r="J61" s="485">
        <v>0</v>
      </c>
      <c r="K61" s="485"/>
      <c r="L61" s="485">
        <v>0</v>
      </c>
      <c r="M61" s="485"/>
      <c r="N61" s="485">
        <v>0</v>
      </c>
      <c r="O61" s="485"/>
      <c r="P61" s="481">
        <f t="shared" si="27"/>
        <v>131</v>
      </c>
      <c r="Q61" s="481"/>
      <c r="R61" s="481">
        <f t="shared" si="26"/>
        <v>476</v>
      </c>
      <c r="S61" s="486">
        <f t="shared" si="26"/>
        <v>270.29899999999998</v>
      </c>
    </row>
    <row r="62" spans="1:19" ht="16.5" thickTop="1" thickBot="1" x14ac:dyDescent="0.3">
      <c r="A62" s="589" t="s">
        <v>26</v>
      </c>
      <c r="B62" s="590"/>
      <c r="C62" s="484">
        <f>SUM(C54:C61)</f>
        <v>1611</v>
      </c>
      <c r="D62" s="484">
        <f t="shared" ref="D62" si="28">SUM(D54:D61)</f>
        <v>132</v>
      </c>
      <c r="E62" s="484">
        <f t="shared" ref="E62" si="29">SUM(E54:E61)</f>
        <v>0</v>
      </c>
      <c r="F62" s="484">
        <f t="shared" ref="F62" si="30">SUM(F54:F61)</f>
        <v>213</v>
      </c>
      <c r="G62" s="484">
        <f t="shared" ref="G62" si="31">SUM(G54:G61)</f>
        <v>0</v>
      </c>
      <c r="H62" s="484">
        <f t="shared" ref="H62" si="32">SUM(H54:H61)</f>
        <v>39</v>
      </c>
      <c r="I62" s="484">
        <f t="shared" ref="I62" si="33">SUM(I54:I61)</f>
        <v>0</v>
      </c>
      <c r="J62" s="484">
        <f t="shared" ref="J62" si="34">SUM(J54:J61)</f>
        <v>0</v>
      </c>
      <c r="K62" s="484">
        <f t="shared" ref="K62" si="35">SUM(K54:K61)</f>
        <v>0</v>
      </c>
      <c r="L62" s="484">
        <f t="shared" ref="L62" si="36">SUM(L54:L61)</f>
        <v>0</v>
      </c>
      <c r="M62" s="484">
        <f t="shared" ref="M62" si="37">SUM(M54:M61)</f>
        <v>0</v>
      </c>
      <c r="N62" s="484">
        <f t="shared" ref="N62" si="38">SUM(N54:N61)</f>
        <v>5</v>
      </c>
      <c r="O62" s="484">
        <f t="shared" ref="O62" si="39">SUM(O54:O61)</f>
        <v>0</v>
      </c>
      <c r="P62" s="488">
        <f t="shared" ref="P62" si="40">SUM(P54:P61)</f>
        <v>389</v>
      </c>
      <c r="Q62" s="488">
        <f t="shared" ref="Q62" si="41">SUM(Q54:Q61)</f>
        <v>0</v>
      </c>
      <c r="R62" s="488">
        <f t="shared" ref="R62" si="42">SUM(R54:R61)</f>
        <v>2315</v>
      </c>
      <c r="S62" s="489">
        <f>SUM(S54:S61)</f>
        <v>1241.289</v>
      </c>
    </row>
    <row r="65" spans="1:19" ht="15.75" x14ac:dyDescent="0.25">
      <c r="A65" s="516" t="s">
        <v>172</v>
      </c>
      <c r="B65" s="516"/>
      <c r="C65" s="516"/>
      <c r="D65" s="516"/>
      <c r="E65" s="516"/>
      <c r="F65" s="516"/>
      <c r="G65" s="516"/>
      <c r="H65" s="516"/>
      <c r="I65" s="516"/>
      <c r="J65" s="516"/>
      <c r="K65" s="516"/>
      <c r="L65" s="516"/>
      <c r="M65" s="516"/>
      <c r="N65" s="516"/>
      <c r="O65" s="516"/>
      <c r="P65" s="516"/>
      <c r="Q65" s="516"/>
      <c r="R65" s="516"/>
      <c r="S65" s="516"/>
    </row>
    <row r="66" spans="1:19" ht="15.75" x14ac:dyDescent="0.25">
      <c r="A66" s="516" t="s">
        <v>82</v>
      </c>
      <c r="B66" s="516"/>
      <c r="C66" s="516"/>
      <c r="D66" s="516"/>
      <c r="E66" s="516"/>
      <c r="F66" s="516"/>
      <c r="G66" s="516"/>
      <c r="H66" s="516"/>
      <c r="I66" s="516"/>
      <c r="J66" s="516"/>
      <c r="K66" s="516"/>
      <c r="L66" s="516"/>
      <c r="M66" s="516"/>
      <c r="N66" s="516"/>
      <c r="O66" s="516"/>
      <c r="P66" s="516"/>
      <c r="Q66" s="516"/>
      <c r="R66" s="516"/>
      <c r="S66" s="516"/>
    </row>
    <row r="67" spans="1:19" ht="15.75" thickBot="1" x14ac:dyDescent="0.3"/>
    <row r="68" spans="1:19" ht="25.5" x14ac:dyDescent="0.25">
      <c r="A68" s="541" t="s">
        <v>2</v>
      </c>
      <c r="B68" s="543" t="s">
        <v>3</v>
      </c>
      <c r="C68" s="474" t="s">
        <v>156</v>
      </c>
      <c r="D68" s="580" t="s">
        <v>157</v>
      </c>
      <c r="E68" s="580"/>
      <c r="F68" s="580"/>
      <c r="G68" s="580"/>
      <c r="H68" s="580"/>
      <c r="I68" s="580"/>
      <c r="J68" s="580"/>
      <c r="K68" s="580"/>
      <c r="L68" s="580"/>
      <c r="M68" s="580"/>
      <c r="N68" s="580"/>
      <c r="O68" s="580"/>
      <c r="P68" s="581" t="s">
        <v>84</v>
      </c>
      <c r="Q68" s="582"/>
      <c r="R68" s="473"/>
      <c r="S68" s="473"/>
    </row>
    <row r="69" spans="1:19" x14ac:dyDescent="0.25">
      <c r="A69" s="542"/>
      <c r="B69" s="544"/>
      <c r="C69" s="475" t="s">
        <v>175</v>
      </c>
      <c r="D69" s="578" t="s">
        <v>160</v>
      </c>
      <c r="E69" s="578"/>
      <c r="F69" s="578" t="s">
        <v>161</v>
      </c>
      <c r="G69" s="578"/>
      <c r="H69" s="578" t="s">
        <v>162</v>
      </c>
      <c r="I69" s="578"/>
      <c r="J69" s="578" t="s">
        <v>159</v>
      </c>
      <c r="K69" s="578"/>
      <c r="L69" s="578" t="s">
        <v>163</v>
      </c>
      <c r="M69" s="578"/>
      <c r="N69" s="578" t="s">
        <v>8</v>
      </c>
      <c r="O69" s="578"/>
      <c r="P69" s="578"/>
      <c r="Q69" s="583"/>
      <c r="R69" s="473"/>
      <c r="S69" s="473"/>
    </row>
    <row r="70" spans="1:19" x14ac:dyDescent="0.25">
      <c r="A70" s="542"/>
      <c r="B70" s="544"/>
      <c r="C70" s="477" t="s">
        <v>1</v>
      </c>
      <c r="D70" s="400" t="s">
        <v>158</v>
      </c>
      <c r="E70" s="400" t="s">
        <v>117</v>
      </c>
      <c r="F70" s="400" t="s">
        <v>158</v>
      </c>
      <c r="G70" s="400" t="s">
        <v>117</v>
      </c>
      <c r="H70" s="400" t="s">
        <v>158</v>
      </c>
      <c r="I70" s="400" t="s">
        <v>117</v>
      </c>
      <c r="J70" s="400" t="s">
        <v>158</v>
      </c>
      <c r="K70" s="400" t="s">
        <v>117</v>
      </c>
      <c r="L70" s="400" t="s">
        <v>158</v>
      </c>
      <c r="M70" s="400" t="s">
        <v>117</v>
      </c>
      <c r="N70" s="400" t="s">
        <v>158</v>
      </c>
      <c r="O70" s="400" t="s">
        <v>117</v>
      </c>
      <c r="P70" s="400" t="s">
        <v>158</v>
      </c>
      <c r="Q70" s="476" t="s">
        <v>117</v>
      </c>
      <c r="R70" s="473"/>
      <c r="S70" s="473"/>
    </row>
    <row r="71" spans="1:19" ht="15.75" thickBot="1" x14ac:dyDescent="0.3">
      <c r="A71" s="228">
        <v>1</v>
      </c>
      <c r="B71" s="229">
        <v>2</v>
      </c>
      <c r="C71" s="478">
        <v>3</v>
      </c>
      <c r="D71" s="579">
        <v>4</v>
      </c>
      <c r="E71" s="579"/>
      <c r="F71" s="579">
        <v>5</v>
      </c>
      <c r="G71" s="579"/>
      <c r="H71" s="579">
        <v>6</v>
      </c>
      <c r="I71" s="579"/>
      <c r="J71" s="579">
        <v>7</v>
      </c>
      <c r="K71" s="579"/>
      <c r="L71" s="579">
        <v>8</v>
      </c>
      <c r="M71" s="579"/>
      <c r="N71" s="579">
        <v>9</v>
      </c>
      <c r="O71" s="579"/>
      <c r="P71" s="579">
        <v>10</v>
      </c>
      <c r="Q71" s="588"/>
      <c r="R71" s="473"/>
      <c r="S71" s="473"/>
    </row>
    <row r="72" spans="1:19" ht="15.75" thickTop="1" x14ac:dyDescent="0.25">
      <c r="A72" s="234">
        <v>1</v>
      </c>
      <c r="B72" s="235" t="s">
        <v>18</v>
      </c>
      <c r="C72" s="481">
        <v>1512</v>
      </c>
      <c r="D72" s="481">
        <v>0</v>
      </c>
      <c r="E72" s="481">
        <v>0</v>
      </c>
      <c r="F72" s="481">
        <v>0</v>
      </c>
      <c r="G72" s="481">
        <v>0</v>
      </c>
      <c r="H72" s="481">
        <v>0</v>
      </c>
      <c r="I72" s="481">
        <v>0</v>
      </c>
      <c r="J72" s="481">
        <v>0</v>
      </c>
      <c r="K72" s="481">
        <v>0</v>
      </c>
      <c r="L72" s="481">
        <v>0</v>
      </c>
      <c r="M72" s="481"/>
      <c r="N72" s="481">
        <v>0</v>
      </c>
      <c r="O72" s="481"/>
      <c r="P72" s="481">
        <f>SUM(D72,F72,H72,J72,L72,N72)</f>
        <v>0</v>
      </c>
      <c r="Q72" s="486">
        <f>SUM(E72,G72,I72,K72,M72,O72)</f>
        <v>0</v>
      </c>
      <c r="R72" s="473"/>
      <c r="S72" s="473"/>
    </row>
    <row r="73" spans="1:19" x14ac:dyDescent="0.25">
      <c r="A73" s="244">
        <v>2</v>
      </c>
      <c r="B73" s="245" t="s">
        <v>19</v>
      </c>
      <c r="C73" s="482">
        <v>35</v>
      </c>
      <c r="D73" s="482">
        <v>0</v>
      </c>
      <c r="E73" s="482">
        <v>0</v>
      </c>
      <c r="F73" s="482">
        <v>0</v>
      </c>
      <c r="G73" s="482">
        <v>0</v>
      </c>
      <c r="H73" s="482">
        <v>0</v>
      </c>
      <c r="I73" s="482">
        <v>0</v>
      </c>
      <c r="J73" s="482">
        <v>0</v>
      </c>
      <c r="K73" s="482">
        <v>0</v>
      </c>
      <c r="L73" s="482">
        <v>0</v>
      </c>
      <c r="M73" s="482"/>
      <c r="N73" s="482">
        <v>0</v>
      </c>
      <c r="O73" s="482"/>
      <c r="P73" s="482">
        <f t="shared" ref="P73:P79" si="43">SUM(D73,F73,H73,J73,L73,N73)</f>
        <v>0</v>
      </c>
      <c r="Q73" s="487">
        <f t="shared" ref="Q73:Q79" si="44">SUM(E73,G73,I73,K73,M73,O73)</f>
        <v>0</v>
      </c>
      <c r="R73" s="473"/>
      <c r="S73" s="473"/>
    </row>
    <row r="74" spans="1:19" x14ac:dyDescent="0.25">
      <c r="A74" s="244">
        <v>3</v>
      </c>
      <c r="B74" s="235" t="s">
        <v>20</v>
      </c>
      <c r="C74" s="482">
        <v>250</v>
      </c>
      <c r="D74" s="482">
        <v>40</v>
      </c>
      <c r="E74" s="482">
        <v>0</v>
      </c>
      <c r="F74" s="482">
        <v>0</v>
      </c>
      <c r="G74" s="482">
        <v>4</v>
      </c>
      <c r="H74" s="482">
        <v>0</v>
      </c>
      <c r="I74" s="482">
        <v>24.175000000000001</v>
      </c>
      <c r="J74" s="482">
        <v>0</v>
      </c>
      <c r="K74" s="482">
        <v>0</v>
      </c>
      <c r="L74" s="482">
        <v>0</v>
      </c>
      <c r="M74" s="482"/>
      <c r="N74" s="482">
        <v>0</v>
      </c>
      <c r="O74" s="482"/>
      <c r="P74" s="482">
        <f t="shared" si="43"/>
        <v>40</v>
      </c>
      <c r="Q74" s="487">
        <f t="shared" si="44"/>
        <v>28.175000000000001</v>
      </c>
      <c r="R74" s="473"/>
      <c r="S74" s="473"/>
    </row>
    <row r="75" spans="1:19" x14ac:dyDescent="0.25">
      <c r="A75" s="255">
        <v>4</v>
      </c>
      <c r="B75" s="256" t="s">
        <v>21</v>
      </c>
      <c r="C75" s="482">
        <v>0</v>
      </c>
      <c r="D75" s="482">
        <v>0</v>
      </c>
      <c r="E75" s="482">
        <v>0</v>
      </c>
      <c r="F75" s="482">
        <v>0</v>
      </c>
      <c r="G75" s="482">
        <v>0</v>
      </c>
      <c r="H75" s="482">
        <v>0</v>
      </c>
      <c r="I75" s="482">
        <v>0</v>
      </c>
      <c r="J75" s="482">
        <v>0</v>
      </c>
      <c r="K75" s="482">
        <v>0</v>
      </c>
      <c r="L75" s="482">
        <v>0</v>
      </c>
      <c r="M75" s="482"/>
      <c r="N75" s="482">
        <v>0</v>
      </c>
      <c r="O75" s="482"/>
      <c r="P75" s="482">
        <f t="shared" si="43"/>
        <v>0</v>
      </c>
      <c r="Q75" s="487">
        <f t="shared" si="44"/>
        <v>0</v>
      </c>
      <c r="R75" s="473"/>
      <c r="S75" s="473"/>
    </row>
    <row r="76" spans="1:19" x14ac:dyDescent="0.25">
      <c r="A76" s="255">
        <v>5</v>
      </c>
      <c r="B76" s="258" t="s">
        <v>22</v>
      </c>
      <c r="C76" s="482">
        <v>179</v>
      </c>
      <c r="D76" s="482">
        <v>0</v>
      </c>
      <c r="E76" s="482">
        <v>0</v>
      </c>
      <c r="F76" s="482">
        <v>0</v>
      </c>
      <c r="G76" s="482">
        <v>0</v>
      </c>
      <c r="H76" s="482">
        <v>0</v>
      </c>
      <c r="I76" s="482">
        <v>0</v>
      </c>
      <c r="J76" s="482">
        <v>0</v>
      </c>
      <c r="K76" s="482">
        <v>0</v>
      </c>
      <c r="L76" s="482">
        <v>0</v>
      </c>
      <c r="M76" s="482"/>
      <c r="N76" s="482">
        <v>0</v>
      </c>
      <c r="O76" s="482"/>
      <c r="P76" s="482">
        <f t="shared" si="43"/>
        <v>0</v>
      </c>
      <c r="Q76" s="487">
        <f t="shared" si="44"/>
        <v>0</v>
      </c>
      <c r="R76" s="473"/>
      <c r="S76" s="473"/>
    </row>
    <row r="77" spans="1:19" x14ac:dyDescent="0.25">
      <c r="A77" s="255">
        <v>6</v>
      </c>
      <c r="B77" s="258" t="s">
        <v>23</v>
      </c>
      <c r="C77" s="482">
        <v>5</v>
      </c>
      <c r="D77" s="482">
        <v>0</v>
      </c>
      <c r="E77" s="482">
        <v>0</v>
      </c>
      <c r="F77" s="482">
        <v>0</v>
      </c>
      <c r="G77" s="482">
        <v>0</v>
      </c>
      <c r="H77" s="482">
        <v>0</v>
      </c>
      <c r="I77" s="482">
        <v>0</v>
      </c>
      <c r="J77" s="482">
        <v>0</v>
      </c>
      <c r="K77" s="482">
        <v>0</v>
      </c>
      <c r="L77" s="482">
        <v>0</v>
      </c>
      <c r="M77" s="482"/>
      <c r="N77" s="482">
        <v>0</v>
      </c>
      <c r="O77" s="482"/>
      <c r="P77" s="482">
        <f t="shared" si="43"/>
        <v>0</v>
      </c>
      <c r="Q77" s="487">
        <f t="shared" si="44"/>
        <v>0</v>
      </c>
      <c r="R77" s="473"/>
      <c r="S77" s="473"/>
    </row>
    <row r="78" spans="1:19" x14ac:dyDescent="0.25">
      <c r="A78" s="255">
        <v>7</v>
      </c>
      <c r="B78" s="258" t="s">
        <v>24</v>
      </c>
      <c r="C78" s="482">
        <v>38</v>
      </c>
      <c r="D78" s="482">
        <v>0</v>
      </c>
      <c r="E78" s="482">
        <v>0</v>
      </c>
      <c r="F78" s="482">
        <v>0</v>
      </c>
      <c r="G78" s="482">
        <v>0</v>
      </c>
      <c r="H78" s="482">
        <v>0</v>
      </c>
      <c r="I78" s="482">
        <v>0</v>
      </c>
      <c r="J78" s="482">
        <v>0</v>
      </c>
      <c r="K78" s="482">
        <v>0</v>
      </c>
      <c r="L78" s="482">
        <v>0</v>
      </c>
      <c r="M78" s="482"/>
      <c r="N78" s="482">
        <v>0</v>
      </c>
      <c r="O78" s="482"/>
      <c r="P78" s="482">
        <f t="shared" si="43"/>
        <v>0</v>
      </c>
      <c r="Q78" s="487">
        <f t="shared" si="44"/>
        <v>0</v>
      </c>
      <c r="R78" s="473"/>
      <c r="S78" s="473"/>
    </row>
    <row r="79" spans="1:19" ht="15.75" thickBot="1" x14ac:dyDescent="0.3">
      <c r="A79" s="260">
        <v>8</v>
      </c>
      <c r="B79" s="256" t="s">
        <v>25</v>
      </c>
      <c r="C79" s="483">
        <v>0</v>
      </c>
      <c r="D79" s="483">
        <v>0</v>
      </c>
      <c r="E79" s="483">
        <v>0</v>
      </c>
      <c r="F79" s="483">
        <v>0</v>
      </c>
      <c r="G79" s="483">
        <v>0</v>
      </c>
      <c r="H79" s="483">
        <v>0</v>
      </c>
      <c r="I79" s="483">
        <v>0</v>
      </c>
      <c r="J79" s="483">
        <v>0</v>
      </c>
      <c r="K79" s="483">
        <v>0</v>
      </c>
      <c r="L79" s="483">
        <v>0</v>
      </c>
      <c r="M79" s="483"/>
      <c r="N79" s="483">
        <v>0</v>
      </c>
      <c r="O79" s="483"/>
      <c r="P79" s="481">
        <f t="shared" si="43"/>
        <v>0</v>
      </c>
      <c r="Q79" s="486">
        <f t="shared" si="44"/>
        <v>0</v>
      </c>
      <c r="R79" s="473"/>
      <c r="S79" s="473"/>
    </row>
    <row r="80" spans="1:19" ht="16.5" thickTop="1" thickBot="1" x14ac:dyDescent="0.3">
      <c r="A80" s="589" t="s">
        <v>26</v>
      </c>
      <c r="B80" s="590"/>
      <c r="C80" s="484">
        <f>SUM(C72:C79)</f>
        <v>2019</v>
      </c>
      <c r="D80" s="484">
        <f t="shared" ref="D80" si="45">SUM(D72:D79)</f>
        <v>40</v>
      </c>
      <c r="E80" s="484">
        <f t="shared" ref="E80" si="46">SUM(E72:E79)</f>
        <v>0</v>
      </c>
      <c r="F80" s="484">
        <f t="shared" ref="F80" si="47">SUM(F72:F79)</f>
        <v>0</v>
      </c>
      <c r="G80" s="484">
        <f t="shared" ref="G80" si="48">SUM(G72:G79)</f>
        <v>4</v>
      </c>
      <c r="H80" s="484">
        <f t="shared" ref="H80" si="49">SUM(H72:H79)</f>
        <v>0</v>
      </c>
      <c r="I80" s="484">
        <f t="shared" ref="I80" si="50">SUM(I72:I79)</f>
        <v>24.175000000000001</v>
      </c>
      <c r="J80" s="484">
        <f t="shared" ref="J80" si="51">SUM(J72:J79)</f>
        <v>0</v>
      </c>
      <c r="K80" s="484">
        <f t="shared" ref="K80" si="52">SUM(K72:K79)</f>
        <v>0</v>
      </c>
      <c r="L80" s="484">
        <f t="shared" ref="L80" si="53">SUM(L72:L79)</f>
        <v>0</v>
      </c>
      <c r="M80" s="484">
        <f t="shared" ref="M80" si="54">SUM(M72:M79)</f>
        <v>0</v>
      </c>
      <c r="N80" s="484">
        <f t="shared" ref="N80" si="55">SUM(N72:N79)</f>
        <v>0</v>
      </c>
      <c r="O80" s="484">
        <f t="shared" ref="O80" si="56">SUM(O72:O79)</f>
        <v>0</v>
      </c>
      <c r="P80" s="488">
        <f t="shared" ref="P80" si="57">SUM(P72:P79)</f>
        <v>40</v>
      </c>
      <c r="Q80" s="489">
        <f>SUM(Q72:Q79)</f>
        <v>28.175000000000001</v>
      </c>
      <c r="R80" s="473"/>
      <c r="S80" s="473"/>
    </row>
    <row r="81" spans="1:19" ht="15.75" thickBot="1" x14ac:dyDescent="0.3">
      <c r="A81" s="472"/>
      <c r="B81" s="472"/>
      <c r="C81" s="491"/>
      <c r="D81" s="491"/>
      <c r="E81" s="491"/>
      <c r="F81" s="491"/>
      <c r="G81" s="491"/>
      <c r="H81" s="491"/>
      <c r="I81" s="491"/>
      <c r="J81" s="491"/>
      <c r="K81" s="491"/>
      <c r="L81" s="491"/>
      <c r="M81" s="491"/>
      <c r="N81" s="491"/>
      <c r="O81" s="491"/>
      <c r="P81" s="491"/>
      <c r="Q81" s="491"/>
      <c r="R81" s="473"/>
      <c r="S81" s="473"/>
    </row>
    <row r="82" spans="1:19" ht="25.5" x14ac:dyDescent="0.25">
      <c r="A82" s="541" t="s">
        <v>2</v>
      </c>
      <c r="B82" s="543" t="s">
        <v>3</v>
      </c>
      <c r="C82" s="480" t="s">
        <v>156</v>
      </c>
      <c r="D82" s="580" t="s">
        <v>167</v>
      </c>
      <c r="E82" s="580"/>
      <c r="F82" s="580"/>
      <c r="G82" s="580"/>
      <c r="H82" s="580"/>
      <c r="I82" s="580"/>
      <c r="J82" s="580"/>
      <c r="K82" s="580"/>
      <c r="L82" s="580"/>
      <c r="M82" s="580"/>
      <c r="N82" s="580"/>
      <c r="O82" s="580"/>
      <c r="P82" s="581" t="s">
        <v>168</v>
      </c>
      <c r="Q82" s="581"/>
      <c r="R82" s="584" t="s">
        <v>169</v>
      </c>
      <c r="S82" s="585"/>
    </row>
    <row r="83" spans="1:19" x14ac:dyDescent="0.25">
      <c r="A83" s="542"/>
      <c r="B83" s="544"/>
      <c r="C83" s="475" t="s">
        <v>175</v>
      </c>
      <c r="D83" s="578" t="s">
        <v>79</v>
      </c>
      <c r="E83" s="578"/>
      <c r="F83" s="578" t="s">
        <v>10</v>
      </c>
      <c r="G83" s="578"/>
      <c r="H83" s="578" t="s">
        <v>11</v>
      </c>
      <c r="I83" s="578"/>
      <c r="J83" s="578" t="s">
        <v>12</v>
      </c>
      <c r="K83" s="578"/>
      <c r="L83" s="578" t="s">
        <v>165</v>
      </c>
      <c r="M83" s="578"/>
      <c r="N83" s="578" t="s">
        <v>166</v>
      </c>
      <c r="O83" s="578"/>
      <c r="P83" s="578"/>
      <c r="Q83" s="578"/>
      <c r="R83" s="586"/>
      <c r="S83" s="587"/>
    </row>
    <row r="84" spans="1:19" x14ac:dyDescent="0.25">
      <c r="A84" s="542"/>
      <c r="B84" s="544"/>
      <c r="C84" s="477" t="s">
        <v>1</v>
      </c>
      <c r="D84" s="400" t="s">
        <v>158</v>
      </c>
      <c r="E84" s="400" t="s">
        <v>117</v>
      </c>
      <c r="F84" s="400" t="s">
        <v>158</v>
      </c>
      <c r="G84" s="400" t="s">
        <v>117</v>
      </c>
      <c r="H84" s="400" t="s">
        <v>158</v>
      </c>
      <c r="I84" s="400" t="s">
        <v>117</v>
      </c>
      <c r="J84" s="400" t="s">
        <v>158</v>
      </c>
      <c r="K84" s="400" t="s">
        <v>117</v>
      </c>
      <c r="L84" s="400" t="s">
        <v>158</v>
      </c>
      <c r="M84" s="400" t="s">
        <v>117</v>
      </c>
      <c r="N84" s="400" t="s">
        <v>158</v>
      </c>
      <c r="O84" s="400" t="s">
        <v>117</v>
      </c>
      <c r="P84" s="400" t="s">
        <v>158</v>
      </c>
      <c r="Q84" s="400" t="s">
        <v>117</v>
      </c>
      <c r="R84" s="400" t="s">
        <v>158</v>
      </c>
      <c r="S84" s="476" t="s">
        <v>117</v>
      </c>
    </row>
    <row r="85" spans="1:19" ht="15.75" thickBot="1" x14ac:dyDescent="0.3">
      <c r="A85" s="228">
        <v>1</v>
      </c>
      <c r="B85" s="229">
        <v>2</v>
      </c>
      <c r="C85" s="478">
        <v>3</v>
      </c>
      <c r="D85" s="579">
        <v>11</v>
      </c>
      <c r="E85" s="579"/>
      <c r="F85" s="579">
        <v>12</v>
      </c>
      <c r="G85" s="579"/>
      <c r="H85" s="579">
        <v>13</v>
      </c>
      <c r="I85" s="579"/>
      <c r="J85" s="579">
        <v>14</v>
      </c>
      <c r="K85" s="579"/>
      <c r="L85" s="579">
        <v>15</v>
      </c>
      <c r="M85" s="579"/>
      <c r="N85" s="579">
        <v>16</v>
      </c>
      <c r="O85" s="579"/>
      <c r="P85" s="579">
        <v>17</v>
      </c>
      <c r="Q85" s="579"/>
      <c r="R85" s="579">
        <v>18</v>
      </c>
      <c r="S85" s="588"/>
    </row>
    <row r="86" spans="1:19" ht="15.75" thickTop="1" x14ac:dyDescent="0.25">
      <c r="A86" s="234">
        <v>1</v>
      </c>
      <c r="B86" s="235" t="s">
        <v>18</v>
      </c>
      <c r="C86" s="481">
        <v>1512</v>
      </c>
      <c r="D86" s="481">
        <v>0</v>
      </c>
      <c r="E86" s="481"/>
      <c r="F86" s="481">
        <v>0</v>
      </c>
      <c r="G86" s="481"/>
      <c r="H86" s="481">
        <v>0</v>
      </c>
      <c r="I86" s="481"/>
      <c r="J86" s="481">
        <v>0</v>
      </c>
      <c r="K86" s="481"/>
      <c r="L86" s="481">
        <v>0</v>
      </c>
      <c r="M86" s="481"/>
      <c r="N86" s="481">
        <v>0</v>
      </c>
      <c r="O86" s="481"/>
      <c r="P86" s="481">
        <f>SUM(D86,F86,H86,J86,L86,N86)</f>
        <v>0</v>
      </c>
      <c r="Q86" s="481"/>
      <c r="R86" s="481">
        <f t="shared" ref="R86:S93" si="58">SUM(P72,P86)</f>
        <v>0</v>
      </c>
      <c r="S86" s="486">
        <f t="shared" si="58"/>
        <v>0</v>
      </c>
    </row>
    <row r="87" spans="1:19" x14ac:dyDescent="0.25">
      <c r="A87" s="244">
        <v>2</v>
      </c>
      <c r="B87" s="245" t="s">
        <v>19</v>
      </c>
      <c r="C87" s="482">
        <v>35</v>
      </c>
      <c r="D87" s="482">
        <v>0</v>
      </c>
      <c r="E87" s="482"/>
      <c r="F87" s="482">
        <v>0</v>
      </c>
      <c r="G87" s="482"/>
      <c r="H87" s="482">
        <v>0</v>
      </c>
      <c r="I87" s="482"/>
      <c r="J87" s="482">
        <v>0</v>
      </c>
      <c r="K87" s="482"/>
      <c r="L87" s="482">
        <v>0</v>
      </c>
      <c r="M87" s="482"/>
      <c r="N87" s="482">
        <v>0</v>
      </c>
      <c r="O87" s="482"/>
      <c r="P87" s="482">
        <f t="shared" ref="P87:P93" si="59">SUM(D87,F87,H87,J87,L87,N87)</f>
        <v>0</v>
      </c>
      <c r="Q87" s="482"/>
      <c r="R87" s="482">
        <f t="shared" si="58"/>
        <v>0</v>
      </c>
      <c r="S87" s="487">
        <f t="shared" si="58"/>
        <v>0</v>
      </c>
    </row>
    <row r="88" spans="1:19" x14ac:dyDescent="0.25">
      <c r="A88" s="244">
        <v>3</v>
      </c>
      <c r="B88" s="235" t="s">
        <v>20</v>
      </c>
      <c r="C88" s="482">
        <v>250</v>
      </c>
      <c r="D88" s="482">
        <v>0</v>
      </c>
      <c r="E88" s="482"/>
      <c r="F88" s="482">
        <v>0</v>
      </c>
      <c r="G88" s="482"/>
      <c r="H88" s="482">
        <v>0</v>
      </c>
      <c r="I88" s="482"/>
      <c r="J88" s="482">
        <v>0</v>
      </c>
      <c r="K88" s="482"/>
      <c r="L88" s="482">
        <v>0</v>
      </c>
      <c r="M88" s="482"/>
      <c r="N88" s="482">
        <v>0</v>
      </c>
      <c r="O88" s="482"/>
      <c r="P88" s="482">
        <f t="shared" si="59"/>
        <v>0</v>
      </c>
      <c r="Q88" s="482"/>
      <c r="R88" s="482">
        <f t="shared" si="58"/>
        <v>40</v>
      </c>
      <c r="S88" s="487">
        <f t="shared" si="58"/>
        <v>28.175000000000001</v>
      </c>
    </row>
    <row r="89" spans="1:19" x14ac:dyDescent="0.25">
      <c r="A89" s="255">
        <v>4</v>
      </c>
      <c r="B89" s="256" t="s">
        <v>21</v>
      </c>
      <c r="C89" s="482">
        <v>0</v>
      </c>
      <c r="D89" s="482">
        <v>0</v>
      </c>
      <c r="E89" s="482"/>
      <c r="F89" s="482">
        <v>0</v>
      </c>
      <c r="G89" s="482"/>
      <c r="H89" s="482">
        <v>0</v>
      </c>
      <c r="I89" s="482"/>
      <c r="J89" s="482">
        <v>0</v>
      </c>
      <c r="K89" s="482"/>
      <c r="L89" s="482">
        <v>0</v>
      </c>
      <c r="M89" s="482"/>
      <c r="N89" s="482">
        <v>0</v>
      </c>
      <c r="O89" s="482"/>
      <c r="P89" s="482">
        <f t="shared" si="59"/>
        <v>0</v>
      </c>
      <c r="Q89" s="482"/>
      <c r="R89" s="482">
        <f t="shared" si="58"/>
        <v>0</v>
      </c>
      <c r="S89" s="487">
        <f t="shared" si="58"/>
        <v>0</v>
      </c>
    </row>
    <row r="90" spans="1:19" x14ac:dyDescent="0.25">
      <c r="A90" s="255">
        <v>5</v>
      </c>
      <c r="B90" s="258" t="s">
        <v>22</v>
      </c>
      <c r="C90" s="482">
        <v>179</v>
      </c>
      <c r="D90" s="482">
        <v>0</v>
      </c>
      <c r="E90" s="482"/>
      <c r="F90" s="482">
        <v>0</v>
      </c>
      <c r="G90" s="482"/>
      <c r="H90" s="482">
        <v>0</v>
      </c>
      <c r="I90" s="482"/>
      <c r="J90" s="482">
        <v>0</v>
      </c>
      <c r="K90" s="482"/>
      <c r="L90" s="482">
        <v>0</v>
      </c>
      <c r="M90" s="482"/>
      <c r="N90" s="482">
        <v>0</v>
      </c>
      <c r="O90" s="482"/>
      <c r="P90" s="482">
        <f t="shared" si="59"/>
        <v>0</v>
      </c>
      <c r="Q90" s="482"/>
      <c r="R90" s="482">
        <f t="shared" si="58"/>
        <v>0</v>
      </c>
      <c r="S90" s="487">
        <f t="shared" si="58"/>
        <v>0</v>
      </c>
    </row>
    <row r="91" spans="1:19" x14ac:dyDescent="0.25">
      <c r="A91" s="255">
        <v>6</v>
      </c>
      <c r="B91" s="258" t="s">
        <v>23</v>
      </c>
      <c r="C91" s="482">
        <v>5</v>
      </c>
      <c r="D91" s="482">
        <v>0</v>
      </c>
      <c r="E91" s="482"/>
      <c r="F91" s="482">
        <v>0</v>
      </c>
      <c r="G91" s="482"/>
      <c r="H91" s="482">
        <v>0</v>
      </c>
      <c r="I91" s="482"/>
      <c r="J91" s="482">
        <v>0</v>
      </c>
      <c r="K91" s="482"/>
      <c r="L91" s="482">
        <v>0</v>
      </c>
      <c r="M91" s="482"/>
      <c r="N91" s="482">
        <v>0</v>
      </c>
      <c r="O91" s="482"/>
      <c r="P91" s="482">
        <f t="shared" si="59"/>
        <v>0</v>
      </c>
      <c r="Q91" s="482"/>
      <c r="R91" s="482">
        <f t="shared" si="58"/>
        <v>0</v>
      </c>
      <c r="S91" s="487">
        <f t="shared" si="58"/>
        <v>0</v>
      </c>
    </row>
    <row r="92" spans="1:19" x14ac:dyDescent="0.25">
      <c r="A92" s="255">
        <v>7</v>
      </c>
      <c r="B92" s="258" t="s">
        <v>24</v>
      </c>
      <c r="C92" s="482">
        <v>38</v>
      </c>
      <c r="D92" s="482">
        <v>0</v>
      </c>
      <c r="E92" s="482"/>
      <c r="F92" s="482">
        <v>0</v>
      </c>
      <c r="G92" s="482"/>
      <c r="H92" s="482">
        <v>0</v>
      </c>
      <c r="I92" s="482"/>
      <c r="J92" s="482">
        <v>0</v>
      </c>
      <c r="K92" s="482"/>
      <c r="L92" s="482">
        <v>0</v>
      </c>
      <c r="M92" s="482"/>
      <c r="N92" s="482">
        <v>0</v>
      </c>
      <c r="O92" s="482"/>
      <c r="P92" s="482">
        <f t="shared" si="59"/>
        <v>0</v>
      </c>
      <c r="Q92" s="482"/>
      <c r="R92" s="482">
        <f t="shared" si="58"/>
        <v>0</v>
      </c>
      <c r="S92" s="487">
        <f t="shared" si="58"/>
        <v>0</v>
      </c>
    </row>
    <row r="93" spans="1:19" ht="15.75" thickBot="1" x14ac:dyDescent="0.3">
      <c r="A93" s="260">
        <v>8</v>
      </c>
      <c r="B93" s="256" t="s">
        <v>25</v>
      </c>
      <c r="C93" s="485">
        <v>0</v>
      </c>
      <c r="D93" s="483">
        <v>0</v>
      </c>
      <c r="E93" s="485"/>
      <c r="F93" s="483">
        <v>0</v>
      </c>
      <c r="G93" s="485"/>
      <c r="H93" s="483">
        <v>0</v>
      </c>
      <c r="I93" s="485"/>
      <c r="J93" s="485">
        <v>0</v>
      </c>
      <c r="K93" s="485"/>
      <c r="L93" s="485">
        <v>0</v>
      </c>
      <c r="M93" s="485"/>
      <c r="N93" s="483">
        <v>0</v>
      </c>
      <c r="O93" s="485"/>
      <c r="P93" s="481">
        <f t="shared" si="59"/>
        <v>0</v>
      </c>
      <c r="Q93" s="481"/>
      <c r="R93" s="481">
        <f t="shared" si="58"/>
        <v>0</v>
      </c>
      <c r="S93" s="486">
        <f t="shared" si="58"/>
        <v>0</v>
      </c>
    </row>
    <row r="94" spans="1:19" ht="16.5" thickTop="1" thickBot="1" x14ac:dyDescent="0.3">
      <c r="A94" s="589" t="s">
        <v>26</v>
      </c>
      <c r="B94" s="590"/>
      <c r="C94" s="484">
        <f>SUM(C86:C93)</f>
        <v>2019</v>
      </c>
      <c r="D94" s="484">
        <f t="shared" ref="D94" si="60">SUM(D86:D93)</f>
        <v>0</v>
      </c>
      <c r="E94" s="484">
        <f t="shared" ref="E94" si="61">SUM(E86:E93)</f>
        <v>0</v>
      </c>
      <c r="F94" s="484">
        <f t="shared" ref="F94" si="62">SUM(F86:F93)</f>
        <v>0</v>
      </c>
      <c r="G94" s="484">
        <f t="shared" ref="G94" si="63">SUM(G86:G93)</f>
        <v>0</v>
      </c>
      <c r="H94" s="484">
        <f t="shared" ref="H94" si="64">SUM(H86:H93)</f>
        <v>0</v>
      </c>
      <c r="I94" s="484">
        <f t="shared" ref="I94" si="65">SUM(I86:I93)</f>
        <v>0</v>
      </c>
      <c r="J94" s="484">
        <f t="shared" ref="J94" si="66">SUM(J86:J93)</f>
        <v>0</v>
      </c>
      <c r="K94" s="484">
        <f t="shared" ref="K94" si="67">SUM(K86:K93)</f>
        <v>0</v>
      </c>
      <c r="L94" s="484">
        <f t="shared" ref="L94" si="68">SUM(L86:L93)</f>
        <v>0</v>
      </c>
      <c r="M94" s="484">
        <f t="shared" ref="M94" si="69">SUM(M86:M93)</f>
        <v>0</v>
      </c>
      <c r="N94" s="484">
        <f t="shared" ref="N94" si="70">SUM(N86:N93)</f>
        <v>0</v>
      </c>
      <c r="O94" s="484">
        <f t="shared" ref="O94" si="71">SUM(O86:O93)</f>
        <v>0</v>
      </c>
      <c r="P94" s="488">
        <f t="shared" ref="P94" si="72">SUM(P86:P93)</f>
        <v>0</v>
      </c>
      <c r="Q94" s="488">
        <f t="shared" ref="Q94" si="73">SUM(Q86:Q93)</f>
        <v>0</v>
      </c>
      <c r="R94" s="488">
        <f t="shared" ref="R94" si="74">SUM(R86:R93)</f>
        <v>40</v>
      </c>
      <c r="S94" s="489">
        <f>SUM(S86:S93)</f>
        <v>28.175000000000001</v>
      </c>
    </row>
    <row r="97" spans="1:25" ht="15.75" x14ac:dyDescent="0.25">
      <c r="A97" s="516" t="s">
        <v>173</v>
      </c>
      <c r="B97" s="516"/>
      <c r="C97" s="516"/>
      <c r="D97" s="516"/>
      <c r="E97" s="516"/>
      <c r="F97" s="516"/>
      <c r="G97" s="516"/>
      <c r="H97" s="516"/>
      <c r="I97" s="516"/>
      <c r="J97" s="516"/>
      <c r="K97" s="516"/>
      <c r="L97" s="516"/>
      <c r="M97" s="516"/>
      <c r="N97" s="516"/>
      <c r="O97" s="516"/>
      <c r="P97" s="516"/>
      <c r="Q97" s="516"/>
      <c r="R97" s="516"/>
      <c r="S97" s="516"/>
    </row>
    <row r="98" spans="1:25" ht="15.75" x14ac:dyDescent="0.25">
      <c r="A98" s="516" t="s">
        <v>82</v>
      </c>
      <c r="B98" s="516"/>
      <c r="C98" s="516"/>
      <c r="D98" s="516"/>
      <c r="E98" s="516"/>
      <c r="F98" s="516"/>
      <c r="G98" s="516"/>
      <c r="H98" s="516"/>
      <c r="I98" s="516"/>
      <c r="J98" s="516"/>
      <c r="K98" s="516"/>
      <c r="L98" s="516"/>
      <c r="M98" s="516"/>
      <c r="N98" s="516"/>
      <c r="O98" s="516"/>
      <c r="P98" s="516"/>
      <c r="Q98" s="516"/>
      <c r="R98" s="516"/>
      <c r="S98" s="516"/>
    </row>
    <row r="99" spans="1:25" ht="15.75" thickBot="1" x14ac:dyDescent="0.3"/>
    <row r="100" spans="1:25" ht="25.5" x14ac:dyDescent="0.25">
      <c r="A100" s="541" t="s">
        <v>2</v>
      </c>
      <c r="B100" s="543" t="s">
        <v>3</v>
      </c>
      <c r="C100" s="474" t="s">
        <v>156</v>
      </c>
      <c r="D100" s="580" t="s">
        <v>157</v>
      </c>
      <c r="E100" s="580"/>
      <c r="F100" s="580"/>
      <c r="G100" s="580"/>
      <c r="H100" s="580"/>
      <c r="I100" s="580"/>
      <c r="J100" s="580"/>
      <c r="K100" s="580"/>
      <c r="L100" s="580"/>
      <c r="M100" s="580"/>
      <c r="N100" s="580"/>
      <c r="O100" s="580"/>
      <c r="P100" s="581" t="s">
        <v>84</v>
      </c>
      <c r="Q100" s="582"/>
      <c r="R100" s="473"/>
      <c r="S100" s="473"/>
    </row>
    <row r="101" spans="1:25" ht="25.5" x14ac:dyDescent="0.25">
      <c r="A101" s="542"/>
      <c r="B101" s="544"/>
      <c r="C101" s="475" t="s">
        <v>164</v>
      </c>
      <c r="D101" s="578" t="s">
        <v>160</v>
      </c>
      <c r="E101" s="578"/>
      <c r="F101" s="578" t="s">
        <v>161</v>
      </c>
      <c r="G101" s="578"/>
      <c r="H101" s="578" t="s">
        <v>162</v>
      </c>
      <c r="I101" s="578"/>
      <c r="J101" s="578" t="s">
        <v>159</v>
      </c>
      <c r="K101" s="578"/>
      <c r="L101" s="578" t="s">
        <v>163</v>
      </c>
      <c r="M101" s="578"/>
      <c r="N101" s="578" t="s">
        <v>8</v>
      </c>
      <c r="O101" s="578"/>
      <c r="P101" s="578"/>
      <c r="Q101" s="583"/>
      <c r="R101" s="473"/>
      <c r="S101" s="473"/>
    </row>
    <row r="102" spans="1:25" x14ac:dyDescent="0.25">
      <c r="A102" s="542"/>
      <c r="B102" s="544"/>
      <c r="C102" s="477" t="s">
        <v>1</v>
      </c>
      <c r="D102" s="400" t="s">
        <v>158</v>
      </c>
      <c r="E102" s="400" t="s">
        <v>117</v>
      </c>
      <c r="F102" s="400" t="s">
        <v>158</v>
      </c>
      <c r="G102" s="400" t="s">
        <v>117</v>
      </c>
      <c r="H102" s="400" t="s">
        <v>158</v>
      </c>
      <c r="I102" s="400" t="s">
        <v>117</v>
      </c>
      <c r="J102" s="400" t="s">
        <v>158</v>
      </c>
      <c r="K102" s="400" t="s">
        <v>117</v>
      </c>
      <c r="L102" s="400" t="s">
        <v>158</v>
      </c>
      <c r="M102" s="400" t="s">
        <v>117</v>
      </c>
      <c r="N102" s="400" t="s">
        <v>158</v>
      </c>
      <c r="O102" s="400" t="s">
        <v>117</v>
      </c>
      <c r="P102" s="400" t="s">
        <v>158</v>
      </c>
      <c r="Q102" s="476" t="s">
        <v>117</v>
      </c>
      <c r="R102" s="473"/>
      <c r="S102" s="473"/>
    </row>
    <row r="103" spans="1:25" ht="15.75" thickBot="1" x14ac:dyDescent="0.3">
      <c r="A103" s="228">
        <v>1</v>
      </c>
      <c r="B103" s="229">
        <v>2</v>
      </c>
      <c r="C103" s="478">
        <v>3</v>
      </c>
      <c r="D103" s="579">
        <v>4</v>
      </c>
      <c r="E103" s="579"/>
      <c r="F103" s="579">
        <v>5</v>
      </c>
      <c r="G103" s="579"/>
      <c r="H103" s="579">
        <v>6</v>
      </c>
      <c r="I103" s="579"/>
      <c r="J103" s="579">
        <v>7</v>
      </c>
      <c r="K103" s="579"/>
      <c r="L103" s="579">
        <v>8</v>
      </c>
      <c r="M103" s="579"/>
      <c r="N103" s="579">
        <v>9</v>
      </c>
      <c r="O103" s="579"/>
      <c r="P103" s="579">
        <v>10</v>
      </c>
      <c r="Q103" s="588"/>
      <c r="R103" s="473"/>
      <c r="S103" s="473"/>
    </row>
    <row r="104" spans="1:25" ht="15.75" thickTop="1" x14ac:dyDescent="0.25">
      <c r="A104" s="234">
        <v>1</v>
      </c>
      <c r="B104" s="235" t="s">
        <v>18</v>
      </c>
      <c r="C104" s="481">
        <v>1799</v>
      </c>
      <c r="D104" s="481">
        <v>0</v>
      </c>
      <c r="E104" s="481">
        <v>1</v>
      </c>
      <c r="F104" s="481">
        <v>0</v>
      </c>
      <c r="G104" s="481">
        <v>0</v>
      </c>
      <c r="H104" s="481">
        <v>0</v>
      </c>
      <c r="I104" s="481">
        <v>0</v>
      </c>
      <c r="J104" s="481">
        <v>0</v>
      </c>
      <c r="K104" s="481">
        <v>0</v>
      </c>
      <c r="L104" s="481">
        <v>0</v>
      </c>
      <c r="M104" s="481"/>
      <c r="N104" s="481">
        <v>4</v>
      </c>
      <c r="O104" s="481"/>
      <c r="P104" s="481">
        <f>SUM(D104,F104,H104,J104,L104,N104)</f>
        <v>4</v>
      </c>
      <c r="Q104" s="486">
        <f>SUM(E104,G104,I104,K104,M104,O104)</f>
        <v>1</v>
      </c>
      <c r="R104" s="473"/>
      <c r="S104" s="473"/>
    </row>
    <row r="105" spans="1:25" x14ac:dyDescent="0.25">
      <c r="A105" s="244">
        <v>2</v>
      </c>
      <c r="B105" s="245" t="s">
        <v>19</v>
      </c>
      <c r="C105" s="482">
        <v>243</v>
      </c>
      <c r="D105" s="482">
        <v>0</v>
      </c>
      <c r="E105" s="482">
        <v>1</v>
      </c>
      <c r="F105" s="482">
        <v>0</v>
      </c>
      <c r="G105" s="482">
        <v>0</v>
      </c>
      <c r="H105" s="482">
        <v>0</v>
      </c>
      <c r="I105" s="482">
        <v>0</v>
      </c>
      <c r="J105" s="482">
        <v>0</v>
      </c>
      <c r="K105" s="482">
        <v>0</v>
      </c>
      <c r="L105" s="482">
        <v>1</v>
      </c>
      <c r="M105" s="482"/>
      <c r="N105" s="482">
        <v>0</v>
      </c>
      <c r="O105" s="482"/>
      <c r="P105" s="482">
        <f t="shared" ref="P105:P111" si="75">SUM(D105,F105,H105,J105,L105,N105)</f>
        <v>1</v>
      </c>
      <c r="Q105" s="487">
        <f t="shared" ref="Q105:Q111" si="76">SUM(E105,G105,I105,K105,M105,O105)</f>
        <v>1</v>
      </c>
      <c r="R105" s="473"/>
      <c r="S105" s="473"/>
      <c r="V105">
        <v>35</v>
      </c>
      <c r="W105">
        <f>V105*0.967</f>
        <v>33.844999999999999</v>
      </c>
      <c r="X105">
        <v>15</v>
      </c>
      <c r="Y105">
        <f>X105*0.96</f>
        <v>14.399999999999999</v>
      </c>
    </row>
    <row r="106" spans="1:25" x14ac:dyDescent="0.25">
      <c r="A106" s="244">
        <v>3</v>
      </c>
      <c r="B106" s="235" t="s">
        <v>20</v>
      </c>
      <c r="C106" s="482">
        <v>275</v>
      </c>
      <c r="D106" s="482">
        <v>0</v>
      </c>
      <c r="E106" s="482">
        <v>0</v>
      </c>
      <c r="F106" s="482">
        <v>3</v>
      </c>
      <c r="G106" s="482">
        <v>34</v>
      </c>
      <c r="H106" s="482">
        <v>2</v>
      </c>
      <c r="I106" s="482">
        <v>14</v>
      </c>
      <c r="J106" s="482">
        <v>0</v>
      </c>
      <c r="K106" s="482">
        <v>0</v>
      </c>
      <c r="L106" s="482">
        <v>0</v>
      </c>
      <c r="M106" s="482"/>
      <c r="N106" s="482">
        <v>0</v>
      </c>
      <c r="O106" s="482"/>
      <c r="P106" s="482">
        <f t="shared" si="75"/>
        <v>5</v>
      </c>
      <c r="Q106" s="487">
        <f t="shared" si="76"/>
        <v>48</v>
      </c>
      <c r="R106" s="473"/>
      <c r="S106" s="473"/>
    </row>
    <row r="107" spans="1:25" x14ac:dyDescent="0.25">
      <c r="A107" s="255">
        <v>4</v>
      </c>
      <c r="B107" s="256" t="s">
        <v>21</v>
      </c>
      <c r="C107" s="482">
        <v>206</v>
      </c>
      <c r="D107" s="482">
        <v>0</v>
      </c>
      <c r="E107" s="482">
        <v>0</v>
      </c>
      <c r="F107" s="482">
        <v>0</v>
      </c>
      <c r="G107" s="482">
        <v>0</v>
      </c>
      <c r="H107" s="482">
        <v>0</v>
      </c>
      <c r="I107" s="482">
        <v>1</v>
      </c>
      <c r="J107" s="482">
        <v>2</v>
      </c>
      <c r="K107" s="482">
        <v>0</v>
      </c>
      <c r="L107" s="482">
        <v>0</v>
      </c>
      <c r="M107" s="482"/>
      <c r="N107" s="482">
        <v>0</v>
      </c>
      <c r="O107" s="482"/>
      <c r="P107" s="482">
        <f t="shared" si="75"/>
        <v>2</v>
      </c>
      <c r="Q107" s="487">
        <f t="shared" si="76"/>
        <v>1</v>
      </c>
      <c r="R107" s="473"/>
      <c r="S107" s="473"/>
    </row>
    <row r="108" spans="1:25" x14ac:dyDescent="0.25">
      <c r="A108" s="255">
        <v>5</v>
      </c>
      <c r="B108" s="258" t="s">
        <v>22</v>
      </c>
      <c r="C108" s="482">
        <v>363</v>
      </c>
      <c r="D108" s="482">
        <v>0</v>
      </c>
      <c r="E108" s="482">
        <v>0</v>
      </c>
      <c r="F108" s="482">
        <v>0</v>
      </c>
      <c r="G108" s="482">
        <v>0</v>
      </c>
      <c r="H108" s="482">
        <v>1</v>
      </c>
      <c r="I108" s="482">
        <v>0</v>
      </c>
      <c r="J108" s="482">
        <v>1</v>
      </c>
      <c r="K108" s="482">
        <v>0</v>
      </c>
      <c r="L108" s="482">
        <v>0</v>
      </c>
      <c r="M108" s="482"/>
      <c r="N108" s="482">
        <v>0</v>
      </c>
      <c r="O108" s="482"/>
      <c r="P108" s="482">
        <f t="shared" si="75"/>
        <v>2</v>
      </c>
      <c r="Q108" s="487">
        <f t="shared" si="76"/>
        <v>0</v>
      </c>
      <c r="R108" s="473"/>
      <c r="S108" s="473"/>
    </row>
    <row r="109" spans="1:25" x14ac:dyDescent="0.25">
      <c r="A109" s="255">
        <v>6</v>
      </c>
      <c r="B109" s="258" t="s">
        <v>23</v>
      </c>
      <c r="C109" s="482">
        <v>59</v>
      </c>
      <c r="D109" s="482">
        <v>0</v>
      </c>
      <c r="E109" s="482">
        <v>0</v>
      </c>
      <c r="F109" s="482">
        <v>0</v>
      </c>
      <c r="G109" s="482">
        <v>0</v>
      </c>
      <c r="H109" s="482">
        <v>0</v>
      </c>
      <c r="I109" s="482">
        <v>0</v>
      </c>
      <c r="J109" s="482">
        <v>0</v>
      </c>
      <c r="K109" s="482">
        <v>0</v>
      </c>
      <c r="L109" s="482">
        <v>0</v>
      </c>
      <c r="M109" s="482"/>
      <c r="N109" s="482">
        <v>0</v>
      </c>
      <c r="O109" s="482"/>
      <c r="P109" s="482">
        <f t="shared" si="75"/>
        <v>0</v>
      </c>
      <c r="Q109" s="487">
        <f t="shared" si="76"/>
        <v>0</v>
      </c>
      <c r="R109" s="473"/>
      <c r="S109" s="473"/>
    </row>
    <row r="110" spans="1:25" x14ac:dyDescent="0.25">
      <c r="A110" s="255">
        <v>7</v>
      </c>
      <c r="B110" s="258" t="s">
        <v>24</v>
      </c>
      <c r="C110" s="482">
        <v>405</v>
      </c>
      <c r="D110" s="482">
        <v>0</v>
      </c>
      <c r="E110" s="482">
        <v>0</v>
      </c>
      <c r="F110" s="482">
        <v>0</v>
      </c>
      <c r="G110" s="482">
        <v>0</v>
      </c>
      <c r="H110" s="482">
        <v>0</v>
      </c>
      <c r="I110" s="482">
        <v>0</v>
      </c>
      <c r="J110" s="482">
        <v>0</v>
      </c>
      <c r="K110" s="482">
        <v>0</v>
      </c>
      <c r="L110" s="482">
        <v>0</v>
      </c>
      <c r="M110" s="482"/>
      <c r="N110" s="482">
        <v>0</v>
      </c>
      <c r="O110" s="482"/>
      <c r="P110" s="482">
        <f t="shared" si="75"/>
        <v>0</v>
      </c>
      <c r="Q110" s="487">
        <f t="shared" si="76"/>
        <v>0</v>
      </c>
      <c r="R110" s="473"/>
      <c r="S110" s="473"/>
    </row>
    <row r="111" spans="1:25" ht="15.75" thickBot="1" x14ac:dyDescent="0.3">
      <c r="A111" s="260">
        <v>8</v>
      </c>
      <c r="B111" s="256" t="s">
        <v>25</v>
      </c>
      <c r="C111" s="485">
        <v>280</v>
      </c>
      <c r="D111" s="483">
        <v>0</v>
      </c>
      <c r="E111" s="483">
        <v>1</v>
      </c>
      <c r="F111" s="483">
        <v>0</v>
      </c>
      <c r="G111" s="483">
        <v>1</v>
      </c>
      <c r="H111" s="483">
        <v>3</v>
      </c>
      <c r="I111" s="483">
        <v>0</v>
      </c>
      <c r="J111" s="483">
        <v>0</v>
      </c>
      <c r="K111" s="483">
        <v>0</v>
      </c>
      <c r="L111" s="483">
        <v>0</v>
      </c>
      <c r="M111" s="483"/>
      <c r="N111" s="483">
        <v>0</v>
      </c>
      <c r="O111" s="483"/>
      <c r="P111" s="481">
        <f t="shared" si="75"/>
        <v>3</v>
      </c>
      <c r="Q111" s="486">
        <f t="shared" si="76"/>
        <v>2</v>
      </c>
      <c r="R111" s="473"/>
      <c r="S111" s="473"/>
    </row>
    <row r="112" spans="1:25" ht="16.5" thickTop="1" thickBot="1" x14ac:dyDescent="0.3">
      <c r="A112" s="589" t="s">
        <v>26</v>
      </c>
      <c r="B112" s="590"/>
      <c r="C112" s="484">
        <f>SUM(C104:C111)</f>
        <v>3630</v>
      </c>
      <c r="D112" s="484">
        <f t="shared" ref="D112" si="77">SUM(D104:D111)</f>
        <v>0</v>
      </c>
      <c r="E112" s="484">
        <f t="shared" ref="E112" si="78">SUM(E104:E111)</f>
        <v>3</v>
      </c>
      <c r="F112" s="484">
        <f t="shared" ref="F112" si="79">SUM(F104:F111)</f>
        <v>3</v>
      </c>
      <c r="G112" s="484">
        <f t="shared" ref="G112" si="80">SUM(G104:G111)</f>
        <v>35</v>
      </c>
      <c r="H112" s="484">
        <f t="shared" ref="H112" si="81">SUM(H104:H111)</f>
        <v>6</v>
      </c>
      <c r="I112" s="484">
        <f t="shared" ref="I112" si="82">SUM(I104:I111)</f>
        <v>15</v>
      </c>
      <c r="J112" s="484">
        <f t="shared" ref="J112" si="83">SUM(J104:J111)</f>
        <v>3</v>
      </c>
      <c r="K112" s="484">
        <f t="shared" ref="K112" si="84">SUM(K104:K111)</f>
        <v>0</v>
      </c>
      <c r="L112" s="484">
        <f t="shared" ref="L112" si="85">SUM(L104:L111)</f>
        <v>1</v>
      </c>
      <c r="M112" s="484">
        <f t="shared" ref="M112" si="86">SUM(M104:M111)</f>
        <v>0</v>
      </c>
      <c r="N112" s="484">
        <f t="shared" ref="N112" si="87">SUM(N104:N111)</f>
        <v>4</v>
      </c>
      <c r="O112" s="484">
        <f t="shared" ref="O112" si="88">SUM(O104:O111)</f>
        <v>0</v>
      </c>
      <c r="P112" s="488">
        <f t="shared" ref="P112" si="89">SUM(P104:P111)</f>
        <v>17</v>
      </c>
      <c r="Q112" s="489">
        <f>SUM(Q104:Q111)</f>
        <v>53</v>
      </c>
      <c r="R112" s="473"/>
      <c r="S112" s="473"/>
    </row>
    <row r="113" spans="1:19" ht="15.75" thickBot="1" x14ac:dyDescent="0.3">
      <c r="A113" s="473"/>
      <c r="B113" s="473"/>
      <c r="C113" s="473"/>
      <c r="D113" s="473"/>
      <c r="E113" s="473"/>
      <c r="F113" s="473"/>
      <c r="G113" s="473"/>
      <c r="H113" s="473"/>
      <c r="I113" s="473"/>
      <c r="J113" s="473"/>
      <c r="K113" s="473"/>
      <c r="L113" s="473"/>
      <c r="M113" s="473"/>
      <c r="N113" s="473"/>
      <c r="O113" s="473"/>
      <c r="P113" s="473"/>
      <c r="Q113" s="473"/>
      <c r="R113" s="473"/>
      <c r="S113" s="473"/>
    </row>
    <row r="114" spans="1:19" ht="25.5" x14ac:dyDescent="0.25">
      <c r="A114" s="541" t="s">
        <v>2</v>
      </c>
      <c r="B114" s="543" t="s">
        <v>3</v>
      </c>
      <c r="C114" s="474" t="s">
        <v>156</v>
      </c>
      <c r="D114" s="580" t="s">
        <v>167</v>
      </c>
      <c r="E114" s="580"/>
      <c r="F114" s="580"/>
      <c r="G114" s="580"/>
      <c r="H114" s="580"/>
      <c r="I114" s="580"/>
      <c r="J114" s="580"/>
      <c r="K114" s="580"/>
      <c r="L114" s="580"/>
      <c r="M114" s="580"/>
      <c r="N114" s="580"/>
      <c r="O114" s="580"/>
      <c r="P114" s="581" t="s">
        <v>168</v>
      </c>
      <c r="Q114" s="581"/>
      <c r="R114" s="584" t="s">
        <v>169</v>
      </c>
      <c r="S114" s="585"/>
    </row>
    <row r="115" spans="1:19" ht="25.5" x14ac:dyDescent="0.25">
      <c r="A115" s="542"/>
      <c r="B115" s="544"/>
      <c r="C115" s="475" t="s">
        <v>164</v>
      </c>
      <c r="D115" s="578" t="s">
        <v>79</v>
      </c>
      <c r="E115" s="578"/>
      <c r="F115" s="578" t="s">
        <v>10</v>
      </c>
      <c r="G115" s="578"/>
      <c r="H115" s="578" t="s">
        <v>11</v>
      </c>
      <c r="I115" s="578"/>
      <c r="J115" s="578" t="s">
        <v>12</v>
      </c>
      <c r="K115" s="578"/>
      <c r="L115" s="578" t="s">
        <v>165</v>
      </c>
      <c r="M115" s="578"/>
      <c r="N115" s="578" t="s">
        <v>166</v>
      </c>
      <c r="O115" s="578"/>
      <c r="P115" s="578"/>
      <c r="Q115" s="578"/>
      <c r="R115" s="586"/>
      <c r="S115" s="587"/>
    </row>
    <row r="116" spans="1:19" x14ac:dyDescent="0.25">
      <c r="A116" s="542"/>
      <c r="B116" s="544"/>
      <c r="C116" s="477" t="s">
        <v>1</v>
      </c>
      <c r="D116" s="400" t="s">
        <v>158</v>
      </c>
      <c r="E116" s="400" t="s">
        <v>117</v>
      </c>
      <c r="F116" s="400" t="s">
        <v>158</v>
      </c>
      <c r="G116" s="400" t="s">
        <v>117</v>
      </c>
      <c r="H116" s="400" t="s">
        <v>158</v>
      </c>
      <c r="I116" s="400" t="s">
        <v>117</v>
      </c>
      <c r="J116" s="400" t="s">
        <v>158</v>
      </c>
      <c r="K116" s="400" t="s">
        <v>117</v>
      </c>
      <c r="L116" s="400" t="s">
        <v>158</v>
      </c>
      <c r="M116" s="400" t="s">
        <v>117</v>
      </c>
      <c r="N116" s="400" t="s">
        <v>158</v>
      </c>
      <c r="O116" s="400" t="s">
        <v>117</v>
      </c>
      <c r="P116" s="400" t="s">
        <v>158</v>
      </c>
      <c r="Q116" s="400" t="s">
        <v>117</v>
      </c>
      <c r="R116" s="400" t="s">
        <v>158</v>
      </c>
      <c r="S116" s="476" t="s">
        <v>117</v>
      </c>
    </row>
    <row r="117" spans="1:19" ht="15.75" thickBot="1" x14ac:dyDescent="0.3">
      <c r="A117" s="228">
        <v>1</v>
      </c>
      <c r="B117" s="229">
        <v>2</v>
      </c>
      <c r="C117" s="478">
        <v>3</v>
      </c>
      <c r="D117" s="579">
        <v>11</v>
      </c>
      <c r="E117" s="579"/>
      <c r="F117" s="579">
        <v>12</v>
      </c>
      <c r="G117" s="579"/>
      <c r="H117" s="579">
        <v>13</v>
      </c>
      <c r="I117" s="579"/>
      <c r="J117" s="579">
        <v>14</v>
      </c>
      <c r="K117" s="579"/>
      <c r="L117" s="579">
        <v>15</v>
      </c>
      <c r="M117" s="579"/>
      <c r="N117" s="579">
        <v>16</v>
      </c>
      <c r="O117" s="579"/>
      <c r="P117" s="579">
        <v>17</v>
      </c>
      <c r="Q117" s="579"/>
      <c r="R117" s="579">
        <v>18</v>
      </c>
      <c r="S117" s="588"/>
    </row>
    <row r="118" spans="1:19" ht="15.75" thickTop="1" x14ac:dyDescent="0.25">
      <c r="A118" s="234">
        <v>1</v>
      </c>
      <c r="B118" s="235" t="s">
        <v>18</v>
      </c>
      <c r="C118" s="481">
        <v>1799</v>
      </c>
      <c r="D118" s="481">
        <v>3</v>
      </c>
      <c r="E118" s="481"/>
      <c r="F118" s="481">
        <v>0</v>
      </c>
      <c r="G118" s="481"/>
      <c r="H118" s="481">
        <v>5</v>
      </c>
      <c r="I118" s="481"/>
      <c r="J118" s="481">
        <v>3</v>
      </c>
      <c r="K118" s="481"/>
      <c r="L118" s="481">
        <v>0</v>
      </c>
      <c r="M118" s="481"/>
      <c r="N118" s="481">
        <v>0</v>
      </c>
      <c r="O118" s="481"/>
      <c r="P118" s="481">
        <f>SUM(D118,F118,H118,J118,L118,N118)</f>
        <v>11</v>
      </c>
      <c r="Q118" s="481"/>
      <c r="R118" s="481">
        <f>SUM(P104,P118)</f>
        <v>15</v>
      </c>
      <c r="S118" s="486">
        <f>SUM(Q104,Q118)</f>
        <v>1</v>
      </c>
    </row>
    <row r="119" spans="1:19" x14ac:dyDescent="0.25">
      <c r="A119" s="244">
        <v>2</v>
      </c>
      <c r="B119" s="245" t="s">
        <v>19</v>
      </c>
      <c r="C119" s="482">
        <v>243</v>
      </c>
      <c r="D119" s="482">
        <v>3</v>
      </c>
      <c r="E119" s="482"/>
      <c r="F119" s="482">
        <v>3</v>
      </c>
      <c r="G119" s="482"/>
      <c r="H119" s="482">
        <v>2</v>
      </c>
      <c r="I119" s="482"/>
      <c r="J119" s="482">
        <v>3</v>
      </c>
      <c r="K119" s="482"/>
      <c r="L119" s="482">
        <v>0</v>
      </c>
      <c r="M119" s="482"/>
      <c r="N119" s="482">
        <v>0</v>
      </c>
      <c r="O119" s="482"/>
      <c r="P119" s="482">
        <f t="shared" ref="P119:P125" si="90">SUM(D119,F119,H119,J119,L119,N119)</f>
        <v>11</v>
      </c>
      <c r="Q119" s="482"/>
      <c r="R119" s="482">
        <f t="shared" ref="R119:R125" si="91">SUM(P105,P119)</f>
        <v>12</v>
      </c>
      <c r="S119" s="487">
        <f t="shared" ref="S119:S125" si="92">SUM(Q105,Q119)</f>
        <v>1</v>
      </c>
    </row>
    <row r="120" spans="1:19" x14ac:dyDescent="0.25">
      <c r="A120" s="244">
        <v>3</v>
      </c>
      <c r="B120" s="235" t="s">
        <v>20</v>
      </c>
      <c r="C120" s="482">
        <v>275</v>
      </c>
      <c r="D120" s="482">
        <v>7</v>
      </c>
      <c r="E120" s="482"/>
      <c r="F120" s="482">
        <v>0</v>
      </c>
      <c r="G120" s="482"/>
      <c r="H120" s="482">
        <v>4</v>
      </c>
      <c r="I120" s="482"/>
      <c r="J120" s="482">
        <v>2</v>
      </c>
      <c r="K120" s="482"/>
      <c r="L120" s="482">
        <v>0</v>
      </c>
      <c r="M120" s="482"/>
      <c r="N120" s="482">
        <v>0</v>
      </c>
      <c r="O120" s="482"/>
      <c r="P120" s="482">
        <f t="shared" si="90"/>
        <v>13</v>
      </c>
      <c r="Q120" s="482"/>
      <c r="R120" s="482">
        <f t="shared" si="91"/>
        <v>18</v>
      </c>
      <c r="S120" s="487">
        <f t="shared" si="92"/>
        <v>48</v>
      </c>
    </row>
    <row r="121" spans="1:19" x14ac:dyDescent="0.25">
      <c r="A121" s="255">
        <v>4</v>
      </c>
      <c r="B121" s="256" t="s">
        <v>21</v>
      </c>
      <c r="C121" s="482">
        <v>206</v>
      </c>
      <c r="D121" s="482">
        <v>5</v>
      </c>
      <c r="E121" s="482"/>
      <c r="F121" s="482">
        <v>0</v>
      </c>
      <c r="G121" s="482"/>
      <c r="H121" s="482">
        <v>0</v>
      </c>
      <c r="I121" s="482"/>
      <c r="J121" s="482">
        <v>4</v>
      </c>
      <c r="K121" s="482"/>
      <c r="L121" s="482">
        <v>0</v>
      </c>
      <c r="M121" s="482"/>
      <c r="N121" s="482">
        <v>0</v>
      </c>
      <c r="O121" s="482"/>
      <c r="P121" s="482">
        <f t="shared" si="90"/>
        <v>9</v>
      </c>
      <c r="Q121" s="482"/>
      <c r="R121" s="482">
        <f t="shared" si="91"/>
        <v>11</v>
      </c>
      <c r="S121" s="487">
        <f t="shared" si="92"/>
        <v>1</v>
      </c>
    </row>
    <row r="122" spans="1:19" x14ac:dyDescent="0.25">
      <c r="A122" s="255">
        <v>5</v>
      </c>
      <c r="B122" s="258" t="s">
        <v>22</v>
      </c>
      <c r="C122" s="482">
        <v>363</v>
      </c>
      <c r="D122" s="482">
        <v>6</v>
      </c>
      <c r="E122" s="482"/>
      <c r="F122" s="482">
        <v>0</v>
      </c>
      <c r="G122" s="482"/>
      <c r="H122" s="482">
        <v>4</v>
      </c>
      <c r="I122" s="482"/>
      <c r="J122" s="482">
        <v>1</v>
      </c>
      <c r="K122" s="482"/>
      <c r="L122" s="482">
        <v>0</v>
      </c>
      <c r="M122" s="482"/>
      <c r="N122" s="482">
        <v>0</v>
      </c>
      <c r="O122" s="482"/>
      <c r="P122" s="482">
        <f t="shared" si="90"/>
        <v>11</v>
      </c>
      <c r="Q122" s="482"/>
      <c r="R122" s="482">
        <f t="shared" si="91"/>
        <v>13</v>
      </c>
      <c r="S122" s="487">
        <f t="shared" si="92"/>
        <v>0</v>
      </c>
    </row>
    <row r="123" spans="1:19" x14ac:dyDescent="0.25">
      <c r="A123" s="255">
        <v>6</v>
      </c>
      <c r="B123" s="258" t="s">
        <v>23</v>
      </c>
      <c r="C123" s="482">
        <v>59</v>
      </c>
      <c r="D123" s="482">
        <v>5</v>
      </c>
      <c r="E123" s="482"/>
      <c r="F123" s="482">
        <v>0</v>
      </c>
      <c r="G123" s="482"/>
      <c r="H123" s="482">
        <v>4</v>
      </c>
      <c r="I123" s="482"/>
      <c r="J123" s="482">
        <v>1</v>
      </c>
      <c r="K123" s="482"/>
      <c r="L123" s="482">
        <v>0</v>
      </c>
      <c r="M123" s="482"/>
      <c r="N123" s="482">
        <v>0</v>
      </c>
      <c r="O123" s="482"/>
      <c r="P123" s="482">
        <f t="shared" si="90"/>
        <v>10</v>
      </c>
      <c r="Q123" s="482"/>
      <c r="R123" s="482">
        <f t="shared" si="91"/>
        <v>10</v>
      </c>
      <c r="S123" s="487">
        <f t="shared" si="92"/>
        <v>0</v>
      </c>
    </row>
    <row r="124" spans="1:19" x14ac:dyDescent="0.25">
      <c r="A124" s="255">
        <v>7</v>
      </c>
      <c r="B124" s="258" t="s">
        <v>24</v>
      </c>
      <c r="C124" s="482">
        <v>405</v>
      </c>
      <c r="D124" s="482">
        <v>4</v>
      </c>
      <c r="E124" s="482"/>
      <c r="F124" s="482">
        <v>0</v>
      </c>
      <c r="G124" s="482"/>
      <c r="H124" s="482">
        <v>4</v>
      </c>
      <c r="I124" s="482"/>
      <c r="J124" s="482">
        <v>0</v>
      </c>
      <c r="K124" s="482"/>
      <c r="L124" s="482">
        <v>0</v>
      </c>
      <c r="M124" s="482"/>
      <c r="N124" s="482">
        <v>0</v>
      </c>
      <c r="O124" s="482"/>
      <c r="P124" s="482">
        <f t="shared" si="90"/>
        <v>8</v>
      </c>
      <c r="Q124" s="482"/>
      <c r="R124" s="482">
        <f t="shared" si="91"/>
        <v>8</v>
      </c>
      <c r="S124" s="487">
        <f t="shared" si="92"/>
        <v>0</v>
      </c>
    </row>
    <row r="125" spans="1:19" ht="15.75" thickBot="1" x14ac:dyDescent="0.3">
      <c r="A125" s="260">
        <v>8</v>
      </c>
      <c r="B125" s="256" t="s">
        <v>25</v>
      </c>
      <c r="C125" s="485">
        <v>280</v>
      </c>
      <c r="D125" s="485">
        <v>5</v>
      </c>
      <c r="E125" s="485"/>
      <c r="F125" s="485">
        <v>0</v>
      </c>
      <c r="G125" s="485"/>
      <c r="H125" s="485">
        <v>4</v>
      </c>
      <c r="I125" s="485"/>
      <c r="J125" s="485">
        <v>1</v>
      </c>
      <c r="K125" s="485"/>
      <c r="L125" s="485">
        <v>0</v>
      </c>
      <c r="M125" s="485"/>
      <c r="N125" s="485">
        <v>0</v>
      </c>
      <c r="O125" s="485"/>
      <c r="P125" s="481">
        <f t="shared" si="90"/>
        <v>10</v>
      </c>
      <c r="Q125" s="481"/>
      <c r="R125" s="481">
        <f t="shared" si="91"/>
        <v>13</v>
      </c>
      <c r="S125" s="486">
        <f t="shared" si="92"/>
        <v>2</v>
      </c>
    </row>
    <row r="126" spans="1:19" ht="16.5" thickTop="1" thickBot="1" x14ac:dyDescent="0.3">
      <c r="A126" s="589" t="s">
        <v>26</v>
      </c>
      <c r="B126" s="590"/>
      <c r="C126" s="484">
        <f>SUM(C118:C125)</f>
        <v>3630</v>
      </c>
      <c r="D126" s="484">
        <f t="shared" ref="D126" si="93">SUM(D118:D125)</f>
        <v>38</v>
      </c>
      <c r="E126" s="484">
        <f t="shared" ref="E126" si="94">SUM(E118:E125)</f>
        <v>0</v>
      </c>
      <c r="F126" s="484">
        <f t="shared" ref="F126" si="95">SUM(F118:F125)</f>
        <v>3</v>
      </c>
      <c r="G126" s="484">
        <f t="shared" ref="G126" si="96">SUM(G118:G125)</f>
        <v>0</v>
      </c>
      <c r="H126" s="484">
        <f t="shared" ref="H126" si="97">SUM(H118:H125)</f>
        <v>27</v>
      </c>
      <c r="I126" s="484">
        <f t="shared" ref="I126" si="98">SUM(I118:I125)</f>
        <v>0</v>
      </c>
      <c r="J126" s="484">
        <f t="shared" ref="J126" si="99">SUM(J118:J125)</f>
        <v>15</v>
      </c>
      <c r="K126" s="484">
        <f t="shared" ref="K126" si="100">SUM(K118:K125)</f>
        <v>0</v>
      </c>
      <c r="L126" s="484">
        <f t="shared" ref="L126" si="101">SUM(L118:L125)</f>
        <v>0</v>
      </c>
      <c r="M126" s="484">
        <f t="shared" ref="M126" si="102">SUM(M118:M125)</f>
        <v>0</v>
      </c>
      <c r="N126" s="484">
        <f t="shared" ref="N126" si="103">SUM(N118:N125)</f>
        <v>0</v>
      </c>
      <c r="O126" s="484">
        <f t="shared" ref="O126" si="104">SUM(O118:O125)</f>
        <v>0</v>
      </c>
      <c r="P126" s="488">
        <f t="shared" ref="P126" si="105">SUM(P118:P125)</f>
        <v>83</v>
      </c>
      <c r="Q126" s="488">
        <f t="shared" ref="Q126" si="106">SUM(Q118:Q125)</f>
        <v>0</v>
      </c>
      <c r="R126" s="488">
        <f t="shared" ref="R126" si="107">SUM(R118:R125)</f>
        <v>100</v>
      </c>
      <c r="S126" s="489">
        <f>SUM(S118:S125)</f>
        <v>53</v>
      </c>
    </row>
  </sheetData>
  <mergeCells count="160">
    <mergeCell ref="R18:S19"/>
    <mergeCell ref="D18:O18"/>
    <mergeCell ref="F19:G19"/>
    <mergeCell ref="D19:E19"/>
    <mergeCell ref="N19:O19"/>
    <mergeCell ref="L19:M19"/>
    <mergeCell ref="J19:K19"/>
    <mergeCell ref="H19:I19"/>
    <mergeCell ref="A4:A6"/>
    <mergeCell ref="B4:B6"/>
    <mergeCell ref="A16:B16"/>
    <mergeCell ref="D4:O4"/>
    <mergeCell ref="P4:Q5"/>
    <mergeCell ref="N5:O5"/>
    <mergeCell ref="L5:M5"/>
    <mergeCell ref="J5:K5"/>
    <mergeCell ref="H5:I5"/>
    <mergeCell ref="F5:G5"/>
    <mergeCell ref="F21:G21"/>
    <mergeCell ref="D21:E21"/>
    <mergeCell ref="A2:S2"/>
    <mergeCell ref="A1:S1"/>
    <mergeCell ref="A33:S33"/>
    <mergeCell ref="A34:S34"/>
    <mergeCell ref="R21:S21"/>
    <mergeCell ref="P21:Q21"/>
    <mergeCell ref="N21:O21"/>
    <mergeCell ref="L21:M21"/>
    <mergeCell ref="J21:K21"/>
    <mergeCell ref="H21:I21"/>
    <mergeCell ref="A18:A20"/>
    <mergeCell ref="B18:B20"/>
    <mergeCell ref="A30:B30"/>
    <mergeCell ref="P7:Q7"/>
    <mergeCell ref="N7:O7"/>
    <mergeCell ref="L7:M7"/>
    <mergeCell ref="J7:K7"/>
    <mergeCell ref="H7:I7"/>
    <mergeCell ref="F7:G7"/>
    <mergeCell ref="D7:E7"/>
    <mergeCell ref="D5:E5"/>
    <mergeCell ref="P18:Q19"/>
    <mergeCell ref="A36:A38"/>
    <mergeCell ref="B36:B38"/>
    <mergeCell ref="D36:O36"/>
    <mergeCell ref="P36:Q37"/>
    <mergeCell ref="D37:E37"/>
    <mergeCell ref="F37:G37"/>
    <mergeCell ref="H37:I37"/>
    <mergeCell ref="J37:K37"/>
    <mergeCell ref="L37:M37"/>
    <mergeCell ref="N37:O37"/>
    <mergeCell ref="R50:S51"/>
    <mergeCell ref="D51:E51"/>
    <mergeCell ref="F51:G51"/>
    <mergeCell ref="H51:I51"/>
    <mergeCell ref="J51:K51"/>
    <mergeCell ref="L51:M51"/>
    <mergeCell ref="N51:O51"/>
    <mergeCell ref="P39:Q39"/>
    <mergeCell ref="A48:B48"/>
    <mergeCell ref="A50:A52"/>
    <mergeCell ref="B50:B52"/>
    <mergeCell ref="D50:O50"/>
    <mergeCell ref="P50:Q51"/>
    <mergeCell ref="D39:E39"/>
    <mergeCell ref="F39:G39"/>
    <mergeCell ref="H39:I39"/>
    <mergeCell ref="J39:K39"/>
    <mergeCell ref="L39:M39"/>
    <mergeCell ref="N39:O39"/>
    <mergeCell ref="P53:Q53"/>
    <mergeCell ref="R53:S53"/>
    <mergeCell ref="A62:B62"/>
    <mergeCell ref="A65:S65"/>
    <mergeCell ref="A66:S66"/>
    <mergeCell ref="A68:A70"/>
    <mergeCell ref="B68:B70"/>
    <mergeCell ref="D68:O68"/>
    <mergeCell ref="P68:Q69"/>
    <mergeCell ref="D69:E69"/>
    <mergeCell ref="D53:E53"/>
    <mergeCell ref="F53:G53"/>
    <mergeCell ref="H53:I53"/>
    <mergeCell ref="J53:K53"/>
    <mergeCell ref="L53:M53"/>
    <mergeCell ref="N53:O53"/>
    <mergeCell ref="A80:B80"/>
    <mergeCell ref="A82:A84"/>
    <mergeCell ref="B82:B84"/>
    <mergeCell ref="D82:O82"/>
    <mergeCell ref="P82:Q83"/>
    <mergeCell ref="F69:G69"/>
    <mergeCell ref="H69:I69"/>
    <mergeCell ref="J69:K69"/>
    <mergeCell ref="L69:M69"/>
    <mergeCell ref="N69:O69"/>
    <mergeCell ref="D71:E71"/>
    <mergeCell ref="F71:G71"/>
    <mergeCell ref="H71:I71"/>
    <mergeCell ref="J71:K71"/>
    <mergeCell ref="L71:M71"/>
    <mergeCell ref="R82:S83"/>
    <mergeCell ref="D83:E83"/>
    <mergeCell ref="F83:G83"/>
    <mergeCell ref="H83:I83"/>
    <mergeCell ref="J83:K83"/>
    <mergeCell ref="L83:M83"/>
    <mergeCell ref="N83:O83"/>
    <mergeCell ref="N71:O71"/>
    <mergeCell ref="P71:Q71"/>
    <mergeCell ref="P85:Q85"/>
    <mergeCell ref="R85:S85"/>
    <mergeCell ref="A94:B94"/>
    <mergeCell ref="A97:S97"/>
    <mergeCell ref="A98:S98"/>
    <mergeCell ref="A100:A102"/>
    <mergeCell ref="B100:B102"/>
    <mergeCell ref="D100:O100"/>
    <mergeCell ref="P100:Q101"/>
    <mergeCell ref="D101:E101"/>
    <mergeCell ref="D85:E85"/>
    <mergeCell ref="F85:G85"/>
    <mergeCell ref="H85:I85"/>
    <mergeCell ref="J85:K85"/>
    <mergeCell ref="L85:M85"/>
    <mergeCell ref="N85:O85"/>
    <mergeCell ref="A112:B112"/>
    <mergeCell ref="A114:A116"/>
    <mergeCell ref="B114:B116"/>
    <mergeCell ref="D114:O114"/>
    <mergeCell ref="P114:Q115"/>
    <mergeCell ref="F101:G101"/>
    <mergeCell ref="H101:I101"/>
    <mergeCell ref="J101:K101"/>
    <mergeCell ref="L101:M101"/>
    <mergeCell ref="N101:O101"/>
    <mergeCell ref="D103:E103"/>
    <mergeCell ref="F103:G103"/>
    <mergeCell ref="H103:I103"/>
    <mergeCell ref="J103:K103"/>
    <mergeCell ref="L103:M103"/>
    <mergeCell ref="R114:S115"/>
    <mergeCell ref="D115:E115"/>
    <mergeCell ref="F115:G115"/>
    <mergeCell ref="H115:I115"/>
    <mergeCell ref="J115:K115"/>
    <mergeCell ref="L115:M115"/>
    <mergeCell ref="N115:O115"/>
    <mergeCell ref="N103:O103"/>
    <mergeCell ref="P103:Q103"/>
    <mergeCell ref="P117:Q117"/>
    <mergeCell ref="R117:S117"/>
    <mergeCell ref="A126:B126"/>
    <mergeCell ref="D117:E117"/>
    <mergeCell ref="F117:G117"/>
    <mergeCell ref="H117:I117"/>
    <mergeCell ref="J117:K117"/>
    <mergeCell ref="L117:M117"/>
    <mergeCell ref="N117:O117"/>
  </mergeCells>
  <pageMargins left="0.74" right="0.7" top="0.75" bottom="0.75" header="0.3" footer="0.3"/>
  <pageSetup paperSize="5" scale="95" orientation="landscape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workbookViewId="0">
      <selection activeCell="L22" sqref="L22"/>
    </sheetView>
  </sheetViews>
  <sheetFormatPr defaultRowHeight="15" x14ac:dyDescent="0.25"/>
  <cols>
    <col min="1" max="1" width="4.5703125" customWidth="1"/>
    <col min="2" max="2" width="15" customWidth="1"/>
  </cols>
  <sheetData>
    <row r="2" spans="1:11" ht="15.75" thickBot="1" x14ac:dyDescent="0.3"/>
    <row r="3" spans="1:11" x14ac:dyDescent="0.25">
      <c r="A3" s="611" t="s">
        <v>2</v>
      </c>
      <c r="B3" s="608" t="s">
        <v>3</v>
      </c>
      <c r="C3" s="616" t="s">
        <v>112</v>
      </c>
      <c r="D3" s="614"/>
      <c r="E3" s="617"/>
      <c r="F3" s="616" t="s">
        <v>113</v>
      </c>
      <c r="G3" s="614"/>
      <c r="H3" s="617"/>
      <c r="I3" s="614" t="s">
        <v>105</v>
      </c>
      <c r="J3" s="614"/>
      <c r="K3" s="615"/>
    </row>
    <row r="4" spans="1:11" x14ac:dyDescent="0.25">
      <c r="A4" s="612"/>
      <c r="B4" s="609"/>
      <c r="C4" s="172" t="s">
        <v>106</v>
      </c>
      <c r="D4" s="81" t="s">
        <v>107</v>
      </c>
      <c r="E4" s="173" t="s">
        <v>108</v>
      </c>
      <c r="F4" s="172" t="s">
        <v>106</v>
      </c>
      <c r="G4" s="81" t="s">
        <v>107</v>
      </c>
      <c r="H4" s="173" t="s">
        <v>108</v>
      </c>
      <c r="I4" s="168" t="s">
        <v>106</v>
      </c>
      <c r="J4" s="81" t="s">
        <v>107</v>
      </c>
      <c r="K4" s="169" t="s">
        <v>108</v>
      </c>
    </row>
    <row r="5" spans="1:11" x14ac:dyDescent="0.25">
      <c r="A5" s="613"/>
      <c r="B5" s="610"/>
      <c r="C5" s="172" t="s">
        <v>111</v>
      </c>
      <c r="D5" s="81" t="s">
        <v>109</v>
      </c>
      <c r="E5" s="173" t="s">
        <v>110</v>
      </c>
      <c r="F5" s="172" t="s">
        <v>111</v>
      </c>
      <c r="G5" s="81" t="s">
        <v>109</v>
      </c>
      <c r="H5" s="173" t="s">
        <v>110</v>
      </c>
      <c r="I5" s="168" t="s">
        <v>111</v>
      </c>
      <c r="J5" s="81" t="s">
        <v>109</v>
      </c>
      <c r="K5" s="169" t="s">
        <v>110</v>
      </c>
    </row>
    <row r="6" spans="1:11" ht="15.75" thickBot="1" x14ac:dyDescent="0.3">
      <c r="A6" s="114">
        <v>1</v>
      </c>
      <c r="B6" s="5">
        <v>2</v>
      </c>
      <c r="C6" s="170">
        <v>3</v>
      </c>
      <c r="D6" s="175">
        <v>4</v>
      </c>
      <c r="E6" s="174">
        <v>5</v>
      </c>
      <c r="F6" s="175">
        <v>6</v>
      </c>
      <c r="G6" s="174">
        <v>7</v>
      </c>
      <c r="H6" s="175">
        <v>8</v>
      </c>
      <c r="I6" s="174">
        <v>9</v>
      </c>
      <c r="J6" s="175">
        <v>10</v>
      </c>
      <c r="K6" s="171">
        <v>11</v>
      </c>
    </row>
    <row r="7" spans="1:11" ht="15.75" thickTop="1" x14ac:dyDescent="0.25">
      <c r="A7" s="85">
        <v>1</v>
      </c>
      <c r="B7" s="7" t="s">
        <v>18</v>
      </c>
      <c r="C7" s="176">
        <f>'padi sawah'!C42</f>
        <v>0</v>
      </c>
      <c r="D7" s="191">
        <v>0</v>
      </c>
      <c r="E7" s="178">
        <f>'padi sawah'!C75</f>
        <v>0</v>
      </c>
      <c r="F7" s="180">
        <f>'padi ladang'!C42</f>
        <v>0</v>
      </c>
      <c r="G7" s="154">
        <v>0</v>
      </c>
      <c r="H7" s="181">
        <f>'padi ladang'!C75</f>
        <v>0</v>
      </c>
      <c r="I7" s="180">
        <v>0</v>
      </c>
      <c r="J7" s="89">
        <v>0</v>
      </c>
      <c r="K7" s="182">
        <v>0</v>
      </c>
    </row>
    <row r="8" spans="1:11" x14ac:dyDescent="0.25">
      <c r="A8" s="86">
        <v>2</v>
      </c>
      <c r="B8" s="12" t="s">
        <v>19</v>
      </c>
      <c r="C8" s="194">
        <f>'padi sawah'!C43</f>
        <v>0</v>
      </c>
      <c r="D8" s="195">
        <v>0</v>
      </c>
      <c r="E8" s="196">
        <f>'padi sawah'!C76</f>
        <v>0</v>
      </c>
      <c r="F8" s="197">
        <f>'padi ladang'!C43</f>
        <v>0</v>
      </c>
      <c r="G8" s="90">
        <v>0</v>
      </c>
      <c r="H8" s="198">
        <f>'padi ladang'!C76</f>
        <v>0</v>
      </c>
      <c r="I8" s="197">
        <v>0</v>
      </c>
      <c r="J8" s="90">
        <v>0</v>
      </c>
      <c r="K8" s="199">
        <v>0</v>
      </c>
    </row>
    <row r="9" spans="1:11" x14ac:dyDescent="0.25">
      <c r="A9" s="86">
        <v>3</v>
      </c>
      <c r="B9" s="7" t="s">
        <v>20</v>
      </c>
      <c r="C9" s="194">
        <f>'padi sawah'!C44</f>
        <v>0</v>
      </c>
      <c r="D9" s="195">
        <v>0</v>
      </c>
      <c r="E9" s="196">
        <f>'padi sawah'!C77</f>
        <v>0</v>
      </c>
      <c r="F9" s="197">
        <f>'padi ladang'!C44</f>
        <v>0</v>
      </c>
      <c r="G9" s="90">
        <v>0</v>
      </c>
      <c r="H9" s="198">
        <f>'padi ladang'!C77</f>
        <v>0</v>
      </c>
      <c r="I9" s="200">
        <v>0</v>
      </c>
      <c r="J9" s="90">
        <v>0</v>
      </c>
      <c r="K9" s="199">
        <v>0</v>
      </c>
    </row>
    <row r="10" spans="1:11" x14ac:dyDescent="0.25">
      <c r="A10" s="87">
        <v>4</v>
      </c>
      <c r="B10" s="15" t="s">
        <v>21</v>
      </c>
      <c r="C10" s="194">
        <f>'padi sawah'!C45</f>
        <v>1</v>
      </c>
      <c r="D10" s="195">
        <f>E10/C10*10</f>
        <v>50</v>
      </c>
      <c r="E10" s="196">
        <f>'padi sawah'!C78</f>
        <v>5</v>
      </c>
      <c r="F10" s="197">
        <f>'padi ladang'!C45</f>
        <v>0</v>
      </c>
      <c r="G10" s="90">
        <v>0</v>
      </c>
      <c r="H10" s="198">
        <f>'padi ladang'!C78</f>
        <v>0</v>
      </c>
      <c r="I10" s="200">
        <v>0</v>
      </c>
      <c r="J10" s="90">
        <v>0</v>
      </c>
      <c r="K10" s="199">
        <v>0</v>
      </c>
    </row>
    <row r="11" spans="1:11" x14ac:dyDescent="0.25">
      <c r="A11" s="87">
        <v>5</v>
      </c>
      <c r="B11" s="19" t="s">
        <v>22</v>
      </c>
      <c r="C11" s="194">
        <f>'padi sawah'!C46</f>
        <v>0</v>
      </c>
      <c r="D11" s="195">
        <v>0</v>
      </c>
      <c r="E11" s="196">
        <f>'padi sawah'!C79</f>
        <v>0</v>
      </c>
      <c r="F11" s="197">
        <f>'padi ladang'!C46</f>
        <v>0</v>
      </c>
      <c r="G11" s="90">
        <v>0</v>
      </c>
      <c r="H11" s="198">
        <f>'padi ladang'!C79</f>
        <v>0</v>
      </c>
      <c r="I11" s="200">
        <v>0</v>
      </c>
      <c r="J11" s="90">
        <v>0</v>
      </c>
      <c r="K11" s="199">
        <v>0</v>
      </c>
    </row>
    <row r="12" spans="1:11" x14ac:dyDescent="0.25">
      <c r="A12" s="87">
        <v>6</v>
      </c>
      <c r="B12" s="19" t="s">
        <v>23</v>
      </c>
      <c r="C12" s="194">
        <f>'padi sawah'!C47</f>
        <v>5</v>
      </c>
      <c r="D12" s="195">
        <f>E12/C12*10</f>
        <v>58</v>
      </c>
      <c r="E12" s="196">
        <f>'padi sawah'!C80</f>
        <v>29</v>
      </c>
      <c r="F12" s="197">
        <f>'padi ladang'!C47</f>
        <v>0</v>
      </c>
      <c r="G12" s="90">
        <v>0</v>
      </c>
      <c r="H12" s="198">
        <f>'padi ladang'!C80</f>
        <v>0</v>
      </c>
      <c r="I12" s="200">
        <v>0</v>
      </c>
      <c r="J12" s="90">
        <v>0</v>
      </c>
      <c r="K12" s="199">
        <v>0</v>
      </c>
    </row>
    <row r="13" spans="1:11" x14ac:dyDescent="0.25">
      <c r="A13" s="87">
        <v>7</v>
      </c>
      <c r="B13" s="19" t="s">
        <v>24</v>
      </c>
      <c r="C13" s="194">
        <f>'padi sawah'!C48</f>
        <v>1</v>
      </c>
      <c r="D13" s="195">
        <f>E13/C13*10</f>
        <v>60</v>
      </c>
      <c r="E13" s="196">
        <f>'padi sawah'!C81</f>
        <v>6</v>
      </c>
      <c r="F13" s="197">
        <f>'padi ladang'!C48</f>
        <v>0</v>
      </c>
      <c r="G13" s="90">
        <v>0</v>
      </c>
      <c r="H13" s="198">
        <f>'padi ladang'!C81</f>
        <v>0</v>
      </c>
      <c r="I13" s="200">
        <v>0</v>
      </c>
      <c r="J13" s="90">
        <v>0</v>
      </c>
      <c r="K13" s="199">
        <v>0</v>
      </c>
    </row>
    <row r="14" spans="1:11" ht="15.75" thickBot="1" x14ac:dyDescent="0.3">
      <c r="A14" s="88">
        <v>8</v>
      </c>
      <c r="B14" s="15" t="s">
        <v>25</v>
      </c>
      <c r="C14" s="187">
        <f>'padi sawah'!C49</f>
        <v>25</v>
      </c>
      <c r="D14" s="193">
        <f>E15/C15*10</f>
        <v>47.5</v>
      </c>
      <c r="E14" s="188">
        <f>'padi sawah'!C82</f>
        <v>112</v>
      </c>
      <c r="F14" s="183">
        <f>'padi ladang'!C49</f>
        <v>0</v>
      </c>
      <c r="G14" s="184">
        <v>0</v>
      </c>
      <c r="H14" s="189">
        <f>'padi ladang'!C82</f>
        <v>0</v>
      </c>
      <c r="I14" s="183">
        <v>0</v>
      </c>
      <c r="J14" s="184">
        <v>0</v>
      </c>
      <c r="K14" s="185">
        <v>0</v>
      </c>
    </row>
    <row r="15" spans="1:11" ht="16.5" thickTop="1" thickBot="1" x14ac:dyDescent="0.3">
      <c r="A15" s="514" t="s">
        <v>26</v>
      </c>
      <c r="B15" s="515"/>
      <c r="C15" s="177">
        <f>SUM(C7:C14)</f>
        <v>32</v>
      </c>
      <c r="D15" s="192">
        <f>E15/C15*10</f>
        <v>47.5</v>
      </c>
      <c r="E15" s="177">
        <f t="shared" ref="E15:K15" si="0">SUM(E7:E14)</f>
        <v>152</v>
      </c>
      <c r="F15" s="177">
        <f>SUM(F7:F14)</f>
        <v>0</v>
      </c>
      <c r="G15" s="177">
        <f>SUM(G7:G14)</f>
        <v>0</v>
      </c>
      <c r="H15" s="190">
        <f>SUM(H7:H14)</f>
        <v>0</v>
      </c>
      <c r="I15" s="179">
        <f t="shared" si="0"/>
        <v>0</v>
      </c>
      <c r="J15" s="177">
        <f t="shared" si="0"/>
        <v>0</v>
      </c>
      <c r="K15" s="186">
        <f t="shared" si="0"/>
        <v>0</v>
      </c>
    </row>
  </sheetData>
  <mergeCells count="6">
    <mergeCell ref="A15:B15"/>
    <mergeCell ref="B3:B5"/>
    <mergeCell ref="A3:A5"/>
    <mergeCell ref="I3:K3"/>
    <mergeCell ref="C3:E3"/>
    <mergeCell ref="F3:H3"/>
  </mergeCells>
  <pageMargins left="0.70866141732283472" right="0.70866141732283472" top="0.94488188976377963" bottom="0.74803149606299213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padi sawah</vt:lpstr>
      <vt:lpstr>puso</vt:lpstr>
      <vt:lpstr>padi ladang</vt:lpstr>
      <vt:lpstr>jagung</vt:lpstr>
      <vt:lpstr>kedelai</vt:lpstr>
      <vt:lpstr>kc tanah</vt:lpstr>
      <vt:lpstr>ubi kayu</vt:lpstr>
      <vt:lpstr>ubi jalar</vt:lpstr>
      <vt:lpstr>kc ijo</vt:lpstr>
      <vt:lpstr>rekap</vt:lpstr>
      <vt:lpstr>okt-mar</vt:lpstr>
      <vt:lpstr>okt-mar (2016)</vt:lpstr>
      <vt:lpstr>rapat kamis</vt:lpstr>
      <vt:lpstr>target-realisasi</vt:lpstr>
      <vt:lpstr>target-realisasibaru</vt:lpstr>
      <vt:lpstr>S-Rjan17Prov</vt:lpstr>
      <vt:lpstr>S-R jan 17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ismail - [2010]</cp:lastModifiedBy>
  <cp:lastPrinted>2017-02-21T07:42:02Z</cp:lastPrinted>
  <dcterms:created xsi:type="dcterms:W3CDTF">2014-02-11T04:21:26Z</dcterms:created>
  <dcterms:modified xsi:type="dcterms:W3CDTF">2018-05-03T02:09:35Z</dcterms:modified>
</cp:coreProperties>
</file>