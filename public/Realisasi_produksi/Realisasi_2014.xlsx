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320" yWindow="90" windowWidth="9660" windowHeight="7575" activeTab="1"/>
  </bookViews>
  <sheets>
    <sheet name="padi sawah" sheetId="1" r:id="rId1"/>
    <sheet name="puso" sheetId="2" r:id="rId2"/>
    <sheet name="padi ladang" sheetId="3" r:id="rId3"/>
    <sheet name="jagung" sheetId="4" r:id="rId4"/>
    <sheet name="kedelai" sheetId="9" r:id="rId5"/>
    <sheet name="kc tanah" sheetId="5" r:id="rId6"/>
    <sheet name="ubi kayu" sheetId="6" r:id="rId7"/>
    <sheet name="ubi jalar" sheetId="7" r:id="rId8"/>
    <sheet name="kc ijo" sheetId="8" r:id="rId9"/>
    <sheet name="2014" sheetId="10" r:id="rId10"/>
    <sheet name="2013" sheetId="11" r:id="rId11"/>
    <sheet name="Sheet1" sheetId="13" r:id="rId12"/>
    <sheet name="ARAM II" sheetId="12" r:id="rId13"/>
  </sheets>
  <calcPr calcId="144525"/>
</workbook>
</file>

<file path=xl/calcChain.xml><?xml version="1.0" encoding="utf-8"?>
<calcChain xmlns="http://schemas.openxmlformats.org/spreadsheetml/2006/main">
  <c r="S17" i="1" l="1"/>
  <c r="D14" i="13" l="1"/>
  <c r="E14" i="13"/>
  <c r="C14" i="13"/>
  <c r="P84" i="5" l="1"/>
  <c r="Q76" i="8" l="1"/>
  <c r="Q77" i="8"/>
  <c r="Q78" i="8"/>
  <c r="Q79" i="8"/>
  <c r="Q80" i="8"/>
  <c r="Q81" i="8"/>
  <c r="Q82" i="8"/>
  <c r="Q83" i="8"/>
  <c r="Q75" i="8"/>
  <c r="Q43" i="8"/>
  <c r="Q44" i="8"/>
  <c r="Q45" i="8"/>
  <c r="Q46" i="8"/>
  <c r="Q47" i="8"/>
  <c r="Q48" i="8"/>
  <c r="Q49" i="8"/>
  <c r="Q50" i="8"/>
  <c r="Q42" i="8"/>
  <c r="Q17" i="8"/>
  <c r="Q10" i="8"/>
  <c r="Q11" i="8"/>
  <c r="Q12" i="8"/>
  <c r="Q13" i="8"/>
  <c r="Q14" i="8"/>
  <c r="Q15" i="8"/>
  <c r="Q16" i="8"/>
  <c r="Q9" i="8"/>
  <c r="Q76" i="7"/>
  <c r="Q77" i="7"/>
  <c r="Q78" i="7"/>
  <c r="Q79" i="7"/>
  <c r="Q80" i="7"/>
  <c r="Q81" i="7"/>
  <c r="Q82" i="7"/>
  <c r="Q83" i="7"/>
  <c r="Q75" i="7"/>
  <c r="Q43" i="7"/>
  <c r="Q44" i="7"/>
  <c r="Q45" i="7"/>
  <c r="Q46" i="7"/>
  <c r="Q47" i="7"/>
  <c r="Q48" i="7"/>
  <c r="Q49" i="7"/>
  <c r="Q50" i="7"/>
  <c r="Q42" i="7"/>
  <c r="Q10" i="7"/>
  <c r="Q11" i="7"/>
  <c r="Q12" i="7"/>
  <c r="Q13" i="7"/>
  <c r="Q14" i="7"/>
  <c r="Q15" i="7"/>
  <c r="Q16" i="7"/>
  <c r="Q17" i="7"/>
  <c r="Q9" i="7"/>
  <c r="R76" i="6"/>
  <c r="R77" i="6"/>
  <c r="R78" i="6"/>
  <c r="R79" i="6"/>
  <c r="R80" i="6"/>
  <c r="R81" i="6"/>
  <c r="R82" i="6"/>
  <c r="R83" i="6"/>
  <c r="R75" i="6"/>
  <c r="R43" i="6"/>
  <c r="R44" i="6"/>
  <c r="R45" i="6"/>
  <c r="R46" i="6"/>
  <c r="R47" i="6"/>
  <c r="R48" i="6"/>
  <c r="R49" i="6"/>
  <c r="R50" i="6"/>
  <c r="R42" i="6"/>
  <c r="R10" i="6"/>
  <c r="R11" i="6"/>
  <c r="R12" i="6"/>
  <c r="R13" i="6"/>
  <c r="R14" i="6"/>
  <c r="R15" i="6"/>
  <c r="R16" i="6"/>
  <c r="R17" i="6"/>
  <c r="R9" i="6"/>
  <c r="I123" i="12"/>
  <c r="H123" i="12"/>
  <c r="G123" i="12"/>
  <c r="E123" i="12"/>
  <c r="D123" i="12"/>
  <c r="C123" i="12"/>
  <c r="J122" i="12"/>
  <c r="F122" i="12"/>
  <c r="J119" i="12"/>
  <c r="F119" i="12"/>
  <c r="J118" i="12"/>
  <c r="F118" i="12"/>
  <c r="J117" i="12"/>
  <c r="F117" i="12"/>
  <c r="F116" i="12"/>
  <c r="F115" i="12"/>
  <c r="I108" i="12"/>
  <c r="H108" i="12"/>
  <c r="G108" i="12"/>
  <c r="E108" i="12"/>
  <c r="D108" i="12"/>
  <c r="C108" i="12"/>
  <c r="J107" i="12"/>
  <c r="F107" i="12"/>
  <c r="F106" i="12"/>
  <c r="F104" i="12"/>
  <c r="J103" i="12"/>
  <c r="F103" i="12"/>
  <c r="F101" i="12"/>
  <c r="J100" i="12"/>
  <c r="I93" i="12"/>
  <c r="H93" i="12"/>
  <c r="G93" i="12"/>
  <c r="E93" i="12"/>
  <c r="D93" i="12"/>
  <c r="C93" i="12"/>
  <c r="J88" i="12"/>
  <c r="F88" i="12"/>
  <c r="J85" i="12"/>
  <c r="F85" i="12"/>
  <c r="S83" i="5"/>
  <c r="S76" i="5"/>
  <c r="S77" i="5"/>
  <c r="S78" i="5"/>
  <c r="S79" i="5"/>
  <c r="S80" i="5"/>
  <c r="S81" i="5"/>
  <c r="S82" i="5"/>
  <c r="S75" i="5"/>
  <c r="R75" i="5"/>
  <c r="Q75" i="5"/>
  <c r="Q108" i="5"/>
  <c r="E77" i="12"/>
  <c r="F77" i="12" s="1"/>
  <c r="E76" i="12"/>
  <c r="F76" i="12" s="1"/>
  <c r="E75" i="12"/>
  <c r="F75" i="12" s="1"/>
  <c r="E74" i="12"/>
  <c r="F74" i="12" s="1"/>
  <c r="E73" i="12"/>
  <c r="F73" i="12" s="1"/>
  <c r="E72" i="12"/>
  <c r="F72" i="12" s="1"/>
  <c r="E71" i="12"/>
  <c r="F71" i="12" s="1"/>
  <c r="E70" i="12"/>
  <c r="R76" i="5"/>
  <c r="R77" i="5"/>
  <c r="R78" i="5"/>
  <c r="R79" i="5"/>
  <c r="R80" i="5"/>
  <c r="R81" i="5"/>
  <c r="R82" i="5"/>
  <c r="R83" i="5"/>
  <c r="R43" i="5"/>
  <c r="R44" i="5"/>
  <c r="R45" i="5"/>
  <c r="R46" i="5"/>
  <c r="R47" i="5"/>
  <c r="R48" i="5"/>
  <c r="R49" i="5"/>
  <c r="R50" i="5"/>
  <c r="R42" i="5"/>
  <c r="R10" i="5"/>
  <c r="R11" i="5"/>
  <c r="R12" i="5"/>
  <c r="R13" i="5"/>
  <c r="R14" i="5"/>
  <c r="R15" i="5"/>
  <c r="R16" i="5"/>
  <c r="R17" i="5"/>
  <c r="R9" i="5"/>
  <c r="I78" i="12"/>
  <c r="J78" i="12" s="1"/>
  <c r="H78" i="12"/>
  <c r="G78" i="12"/>
  <c r="D78" i="12"/>
  <c r="C78" i="12"/>
  <c r="J77" i="12"/>
  <c r="J75" i="12"/>
  <c r="J74" i="12"/>
  <c r="J73" i="12"/>
  <c r="J72" i="12"/>
  <c r="J71" i="12"/>
  <c r="J70" i="12"/>
  <c r="Q109" i="9"/>
  <c r="Q76" i="9"/>
  <c r="Q77" i="9"/>
  <c r="Q78" i="9"/>
  <c r="Q79" i="9"/>
  <c r="Q80" i="9"/>
  <c r="Q81" i="9"/>
  <c r="Q82" i="9"/>
  <c r="Q83" i="9"/>
  <c r="Q75" i="9"/>
  <c r="Q43" i="9"/>
  <c r="Q44" i="9"/>
  <c r="Q45" i="9"/>
  <c r="Q46" i="9"/>
  <c r="Q47" i="9"/>
  <c r="Q48" i="9"/>
  <c r="Q49" i="9"/>
  <c r="Q50" i="9"/>
  <c r="Q42" i="9"/>
  <c r="Q10" i="9"/>
  <c r="Q11" i="9"/>
  <c r="Q12" i="9"/>
  <c r="Q13" i="9"/>
  <c r="Q14" i="9"/>
  <c r="Q15" i="9"/>
  <c r="Q16" i="9"/>
  <c r="Q17" i="9"/>
  <c r="Q9" i="9"/>
  <c r="F55" i="12"/>
  <c r="F56" i="12"/>
  <c r="F57" i="12"/>
  <c r="F60" i="12"/>
  <c r="I61" i="12"/>
  <c r="H61" i="12"/>
  <c r="G61" i="12"/>
  <c r="E61" i="12"/>
  <c r="D61" i="12"/>
  <c r="C61" i="12"/>
  <c r="Q76" i="4"/>
  <c r="Q77" i="4"/>
  <c r="Q78" i="4"/>
  <c r="Q79" i="4"/>
  <c r="Q80" i="4"/>
  <c r="Q81" i="4"/>
  <c r="Q82" i="4"/>
  <c r="Q75" i="4"/>
  <c r="J123" i="12" l="1"/>
  <c r="F123" i="12"/>
  <c r="F61" i="12"/>
  <c r="F93" i="12"/>
  <c r="J93" i="12"/>
  <c r="J108" i="12"/>
  <c r="F108" i="12"/>
  <c r="E78" i="12"/>
  <c r="F78" i="12" s="1"/>
  <c r="F70" i="12"/>
  <c r="Q50" i="4" l="1"/>
  <c r="Q44" i="4"/>
  <c r="Q45" i="4"/>
  <c r="Q46" i="4"/>
  <c r="Q47" i="4"/>
  <c r="Q48" i="4"/>
  <c r="Q10" i="4"/>
  <c r="Q11" i="4"/>
  <c r="Q12" i="4"/>
  <c r="Q13" i="4"/>
  <c r="Q14" i="4"/>
  <c r="Q15" i="4"/>
  <c r="Q16" i="4"/>
  <c r="Q17" i="4"/>
  <c r="Q9" i="4"/>
  <c r="I45" i="12"/>
  <c r="I30" i="12"/>
  <c r="H30" i="12"/>
  <c r="G30" i="12"/>
  <c r="E30" i="12"/>
  <c r="D30" i="12"/>
  <c r="C30" i="12"/>
  <c r="G45" i="12"/>
  <c r="E45" i="12"/>
  <c r="D45" i="12"/>
  <c r="C45" i="12"/>
  <c r="J44" i="12"/>
  <c r="F44" i="12"/>
  <c r="J41" i="12"/>
  <c r="F41" i="12"/>
  <c r="J40" i="12"/>
  <c r="F40" i="12"/>
  <c r="J39" i="12"/>
  <c r="F39" i="12"/>
  <c r="F8" i="12"/>
  <c r="F9" i="12"/>
  <c r="F10" i="12"/>
  <c r="F11" i="12"/>
  <c r="F12" i="12"/>
  <c r="F13" i="12"/>
  <c r="F14" i="12"/>
  <c r="F7" i="12"/>
  <c r="R83" i="1"/>
  <c r="R76" i="1"/>
  <c r="R77" i="1"/>
  <c r="R78" i="1"/>
  <c r="R79" i="1"/>
  <c r="R80" i="1"/>
  <c r="R81" i="1"/>
  <c r="R82" i="1"/>
  <c r="R75" i="1"/>
  <c r="R43" i="1"/>
  <c r="R44" i="1"/>
  <c r="R45" i="1"/>
  <c r="R46" i="1"/>
  <c r="R47" i="1"/>
  <c r="R48" i="1"/>
  <c r="R49" i="1"/>
  <c r="R50" i="1"/>
  <c r="R42" i="1"/>
  <c r="J8" i="12"/>
  <c r="J9" i="12"/>
  <c r="J10" i="12"/>
  <c r="J11" i="12"/>
  <c r="J12" i="12"/>
  <c r="J13" i="12"/>
  <c r="J14" i="12"/>
  <c r="J7" i="12"/>
  <c r="D15" i="12"/>
  <c r="E15" i="12"/>
  <c r="G15" i="12"/>
  <c r="H15" i="12"/>
  <c r="I15" i="12"/>
  <c r="C15" i="12"/>
  <c r="R10" i="1"/>
  <c r="R11" i="1"/>
  <c r="R12" i="1"/>
  <c r="R13" i="1"/>
  <c r="R14" i="1"/>
  <c r="R15" i="1"/>
  <c r="R16" i="1"/>
  <c r="R17" i="1"/>
  <c r="R9" i="1"/>
  <c r="Q10" i="1"/>
  <c r="J45" i="12" l="1"/>
  <c r="F45" i="12"/>
  <c r="F15" i="12"/>
  <c r="J15" i="12"/>
  <c r="K19" i="1" l="1"/>
  <c r="S5" i="12" l="1"/>
  <c r="Q76" i="5" l="1"/>
  <c r="Q77" i="5"/>
  <c r="Q78" i="5"/>
  <c r="Q79" i="5"/>
  <c r="Q80" i="5"/>
  <c r="Q81" i="5"/>
  <c r="Q82" i="5"/>
  <c r="Q83" i="5"/>
  <c r="Q109" i="5"/>
  <c r="Q110" i="5"/>
  <c r="Q111" i="5"/>
  <c r="Q112" i="5"/>
  <c r="Q113" i="5"/>
  <c r="Q114" i="5"/>
  <c r="Q115" i="5"/>
  <c r="Q116" i="5"/>
  <c r="O111" i="6" l="1"/>
  <c r="Q109" i="6"/>
  <c r="Q110" i="6"/>
  <c r="Q112" i="6"/>
  <c r="Q113" i="6"/>
  <c r="Q114" i="6"/>
  <c r="Q115" i="6"/>
  <c r="Q108" i="6"/>
  <c r="O92" i="10"/>
  <c r="M78" i="10"/>
  <c r="P109" i="1"/>
  <c r="P116" i="1"/>
  <c r="O78" i="1" l="1"/>
  <c r="O77" i="1"/>
  <c r="R111" i="1"/>
  <c r="O9" i="10"/>
  <c r="O10" i="10"/>
  <c r="O11" i="10"/>
  <c r="O12" i="10"/>
  <c r="O13" i="10"/>
  <c r="O14" i="10"/>
  <c r="O15" i="10"/>
  <c r="O8" i="10"/>
  <c r="O110" i="1"/>
  <c r="Q16" i="1" l="1"/>
  <c r="Q11" i="1"/>
  <c r="Q12" i="1"/>
  <c r="Q13" i="1"/>
  <c r="Q14" i="1"/>
  <c r="Q15" i="1"/>
  <c r="Q9" i="1"/>
  <c r="Q17" i="1" s="1"/>
  <c r="F44" i="11" l="1"/>
  <c r="G118" i="11"/>
  <c r="G104" i="11"/>
  <c r="G81" i="11"/>
  <c r="G67" i="11"/>
  <c r="G16" i="11"/>
  <c r="G44" i="11"/>
  <c r="O42" i="1" l="1"/>
  <c r="F104" i="11" l="1"/>
  <c r="F81" i="11"/>
  <c r="F67" i="11"/>
  <c r="C67" i="11"/>
  <c r="F16" i="11"/>
  <c r="D44" i="11"/>
  <c r="E44" i="11"/>
  <c r="C44" i="11"/>
  <c r="E118" i="11"/>
  <c r="D118" i="11"/>
  <c r="F118" i="11" s="1"/>
  <c r="C118" i="11"/>
  <c r="E104" i="11"/>
  <c r="D104" i="11"/>
  <c r="C104" i="11"/>
  <c r="E81" i="11"/>
  <c r="D81" i="11"/>
  <c r="C81" i="11"/>
  <c r="E67" i="11"/>
  <c r="D67" i="11"/>
  <c r="E30" i="11"/>
  <c r="D30" i="11"/>
  <c r="C30" i="11"/>
  <c r="E16" i="11"/>
  <c r="D16" i="11"/>
  <c r="C16" i="11"/>
  <c r="C83" i="1" l="1"/>
  <c r="O49" i="9" l="1"/>
  <c r="O46" i="9"/>
  <c r="O44" i="9"/>
  <c r="O43" i="9"/>
  <c r="O42" i="9"/>
  <c r="Q110" i="9"/>
  <c r="Q111" i="9"/>
  <c r="Q112" i="9"/>
  <c r="Q113" i="9"/>
  <c r="Q114" i="9"/>
  <c r="Q115" i="9"/>
  <c r="K116" i="5" l="1"/>
  <c r="P50" i="4" l="1"/>
  <c r="N50" i="2"/>
  <c r="M50" i="2"/>
  <c r="L50" i="2"/>
  <c r="K50" i="2"/>
  <c r="J50" i="2"/>
  <c r="I50" i="2"/>
  <c r="H50" i="2"/>
  <c r="G50" i="2"/>
  <c r="F50" i="2"/>
  <c r="E50" i="2"/>
  <c r="D50" i="2"/>
  <c r="C50" i="2"/>
  <c r="O49" i="2"/>
  <c r="O48" i="2"/>
  <c r="O47" i="2"/>
  <c r="O46" i="2"/>
  <c r="O45" i="2"/>
  <c r="O44" i="2"/>
  <c r="O43" i="2"/>
  <c r="O42" i="2"/>
  <c r="O50" i="2" l="1"/>
  <c r="M44" i="10" l="1"/>
  <c r="L120" i="10"/>
  <c r="K120" i="10"/>
  <c r="J120" i="10"/>
  <c r="L106" i="10"/>
  <c r="M106" i="10" s="1"/>
  <c r="K106" i="10"/>
  <c r="J106" i="10"/>
  <c r="L92" i="10"/>
  <c r="M92" i="10" s="1"/>
  <c r="K92" i="10"/>
  <c r="J92" i="10"/>
  <c r="L78" i="10"/>
  <c r="K78" i="10"/>
  <c r="J78" i="10"/>
  <c r="L59" i="10"/>
  <c r="K59" i="10"/>
  <c r="J59" i="10"/>
  <c r="L44" i="10"/>
  <c r="J44" i="10"/>
  <c r="L30" i="10"/>
  <c r="K30" i="10"/>
  <c r="J30" i="10"/>
  <c r="L16" i="10"/>
  <c r="K16" i="10"/>
  <c r="J16" i="10"/>
  <c r="S30" i="10" l="1"/>
  <c r="Q30" i="10"/>
  <c r="R30" i="10"/>
  <c r="P30" i="10"/>
  <c r="T30" i="10"/>
  <c r="T16" i="10"/>
  <c r="T31" i="10" s="1"/>
  <c r="R16" i="10"/>
  <c r="R31" i="10" s="1"/>
  <c r="P16" i="10"/>
  <c r="P31" i="10" s="1"/>
  <c r="S16" i="10"/>
  <c r="S31" i="10" s="1"/>
  <c r="Q16" i="10"/>
  <c r="Q31" i="10" s="1"/>
  <c r="R44" i="10"/>
  <c r="T44" i="10"/>
  <c r="S44" i="10"/>
  <c r="P44" i="10"/>
  <c r="Q44" i="10"/>
  <c r="P59" i="10"/>
  <c r="S59" i="10"/>
  <c r="Q59" i="10"/>
  <c r="T59" i="10"/>
  <c r="R59" i="10"/>
  <c r="M59" i="10"/>
  <c r="T92" i="10"/>
  <c r="R92" i="10"/>
  <c r="Q92" i="10"/>
  <c r="S92" i="10"/>
  <c r="P92" i="10"/>
  <c r="T120" i="10"/>
  <c r="R120" i="10"/>
  <c r="Q120" i="10"/>
  <c r="S120" i="10"/>
  <c r="P120" i="10"/>
  <c r="M120" i="10"/>
  <c r="T78" i="10"/>
  <c r="R78" i="10"/>
  <c r="P78" i="10"/>
  <c r="S78" i="10"/>
  <c r="Q78" i="10"/>
  <c r="Q106" i="10"/>
  <c r="T106" i="10"/>
  <c r="R106" i="10"/>
  <c r="S106" i="10"/>
  <c r="P106" i="10"/>
  <c r="O75" i="8"/>
  <c r="O76" i="8"/>
  <c r="O77" i="8"/>
  <c r="O78" i="8"/>
  <c r="O79" i="8"/>
  <c r="O80" i="8"/>
  <c r="O81" i="8"/>
  <c r="O82" i="8"/>
  <c r="E120" i="10"/>
  <c r="D120" i="10"/>
  <c r="C120" i="10"/>
  <c r="E106" i="10"/>
  <c r="D106" i="10"/>
  <c r="C106" i="10"/>
  <c r="E92" i="10"/>
  <c r="D92" i="10"/>
  <c r="C92" i="10"/>
  <c r="O75" i="5"/>
  <c r="O76" i="5"/>
  <c r="O77" i="5"/>
  <c r="O78" i="5"/>
  <c r="O79" i="5"/>
  <c r="O80" i="5"/>
  <c r="O81" i="5"/>
  <c r="O82" i="5"/>
  <c r="E78" i="10"/>
  <c r="D78" i="10"/>
  <c r="F78" i="10" s="1"/>
  <c r="C78" i="10"/>
  <c r="D59" i="10"/>
  <c r="E59" i="10"/>
  <c r="F59" i="10" s="1"/>
  <c r="C59" i="10"/>
  <c r="E44" i="10"/>
  <c r="F44" i="10" s="1"/>
  <c r="C44" i="10"/>
  <c r="E30" i="10"/>
  <c r="D30" i="10"/>
  <c r="C30" i="10"/>
  <c r="D16" i="10"/>
  <c r="E16" i="10"/>
  <c r="F16" i="10" s="1"/>
  <c r="C16" i="10"/>
  <c r="F120" i="10" l="1"/>
  <c r="F106" i="10"/>
  <c r="F92" i="10"/>
  <c r="F30" i="10"/>
  <c r="P42" i="4"/>
  <c r="H116" i="4"/>
  <c r="D17" i="5" l="1"/>
  <c r="N83" i="9" l="1"/>
  <c r="M83" i="9"/>
  <c r="L83" i="9"/>
  <c r="K83" i="9"/>
  <c r="J83" i="9"/>
  <c r="I83" i="9"/>
  <c r="H83" i="9"/>
  <c r="G83" i="9"/>
  <c r="F83" i="9"/>
  <c r="E83" i="9"/>
  <c r="D83" i="9"/>
  <c r="C83" i="9"/>
  <c r="O82" i="9"/>
  <c r="O81" i="9"/>
  <c r="O80" i="9"/>
  <c r="O79" i="9"/>
  <c r="O78" i="9"/>
  <c r="O77" i="9"/>
  <c r="O76" i="9"/>
  <c r="O75" i="9"/>
  <c r="N50" i="9"/>
  <c r="M50" i="9"/>
  <c r="L50" i="9"/>
  <c r="K50" i="9"/>
  <c r="J50" i="9"/>
  <c r="J116" i="9" s="1"/>
  <c r="I50" i="9"/>
  <c r="H50" i="9"/>
  <c r="G50" i="9"/>
  <c r="F50" i="9"/>
  <c r="E50" i="9"/>
  <c r="D50" i="9"/>
  <c r="C50" i="9"/>
  <c r="O48" i="9"/>
  <c r="O47" i="9"/>
  <c r="O45" i="9"/>
  <c r="O109" i="9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O15" i="9"/>
  <c r="O14" i="9"/>
  <c r="O13" i="9"/>
  <c r="O12" i="9"/>
  <c r="O11" i="9"/>
  <c r="O10" i="9"/>
  <c r="O9" i="9"/>
  <c r="N83" i="8"/>
  <c r="M83" i="8"/>
  <c r="L83" i="8"/>
  <c r="K83" i="8"/>
  <c r="J83" i="8"/>
  <c r="I83" i="8"/>
  <c r="H83" i="8"/>
  <c r="G83" i="8"/>
  <c r="F83" i="8"/>
  <c r="E83" i="8"/>
  <c r="D83" i="8"/>
  <c r="C83" i="8"/>
  <c r="N50" i="8"/>
  <c r="M50" i="8"/>
  <c r="L50" i="8"/>
  <c r="K50" i="8"/>
  <c r="J50" i="8"/>
  <c r="J116" i="8" s="1"/>
  <c r="I50" i="8"/>
  <c r="I116" i="8" s="1"/>
  <c r="H50" i="8"/>
  <c r="G50" i="8"/>
  <c r="F50" i="8"/>
  <c r="E50" i="8"/>
  <c r="E116" i="8" s="1"/>
  <c r="D50" i="8"/>
  <c r="C50" i="8"/>
  <c r="O49" i="8"/>
  <c r="O48" i="8"/>
  <c r="O47" i="8"/>
  <c r="O46" i="8"/>
  <c r="O45" i="8"/>
  <c r="O44" i="8"/>
  <c r="O43" i="8"/>
  <c r="O109" i="8" s="1"/>
  <c r="O42" i="8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O15" i="8"/>
  <c r="O14" i="8"/>
  <c r="O13" i="8"/>
  <c r="O12" i="8"/>
  <c r="O11" i="8"/>
  <c r="O10" i="8"/>
  <c r="O9" i="8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O81" i="7"/>
  <c r="O80" i="7"/>
  <c r="O79" i="7"/>
  <c r="O78" i="7"/>
  <c r="O77" i="7"/>
  <c r="O76" i="7"/>
  <c r="O75" i="7"/>
  <c r="N50" i="7"/>
  <c r="M50" i="7"/>
  <c r="L50" i="7"/>
  <c r="K50" i="7"/>
  <c r="K116" i="7" s="1"/>
  <c r="J50" i="7"/>
  <c r="J116" i="7" s="1"/>
  <c r="I50" i="7"/>
  <c r="I116" i="7" s="1"/>
  <c r="H50" i="7"/>
  <c r="G50" i="7"/>
  <c r="F50" i="7"/>
  <c r="E50" i="7"/>
  <c r="D50" i="7"/>
  <c r="C50" i="7"/>
  <c r="O49" i="7"/>
  <c r="O48" i="7"/>
  <c r="O47" i="7"/>
  <c r="O46" i="7"/>
  <c r="O45" i="7"/>
  <c r="O44" i="7"/>
  <c r="O43" i="7"/>
  <c r="O42" i="7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O15" i="7"/>
  <c r="O14" i="7"/>
  <c r="O13" i="7"/>
  <c r="O12" i="7"/>
  <c r="O11" i="7"/>
  <c r="O10" i="7"/>
  <c r="O9" i="7"/>
  <c r="N83" i="6"/>
  <c r="M83" i="6"/>
  <c r="L83" i="6"/>
  <c r="K83" i="6"/>
  <c r="J83" i="6"/>
  <c r="I83" i="6"/>
  <c r="H83" i="6"/>
  <c r="G83" i="6"/>
  <c r="F83" i="6"/>
  <c r="E83" i="6"/>
  <c r="D83" i="6"/>
  <c r="C83" i="6"/>
  <c r="O82" i="6"/>
  <c r="O81" i="6"/>
  <c r="O80" i="6"/>
  <c r="O79" i="6"/>
  <c r="O78" i="6"/>
  <c r="Q111" i="6" s="1"/>
  <c r="O77" i="6"/>
  <c r="O76" i="6"/>
  <c r="O75" i="6"/>
  <c r="N50" i="6"/>
  <c r="M50" i="6"/>
  <c r="L50" i="6"/>
  <c r="K50" i="6"/>
  <c r="J50" i="6"/>
  <c r="I50" i="6"/>
  <c r="H50" i="6"/>
  <c r="G50" i="6"/>
  <c r="G116" i="6" s="1"/>
  <c r="F50" i="6"/>
  <c r="E50" i="6"/>
  <c r="D50" i="6"/>
  <c r="C50" i="6"/>
  <c r="O49" i="6"/>
  <c r="O48" i="6"/>
  <c r="O47" i="6"/>
  <c r="O46" i="6"/>
  <c r="O45" i="6"/>
  <c r="O44" i="6"/>
  <c r="O43" i="6"/>
  <c r="O42" i="6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O15" i="6"/>
  <c r="O14" i="6"/>
  <c r="O13" i="6"/>
  <c r="O12" i="6"/>
  <c r="O11" i="6"/>
  <c r="O10" i="6"/>
  <c r="O9" i="6"/>
  <c r="N83" i="5"/>
  <c r="M83" i="5"/>
  <c r="L83" i="5"/>
  <c r="K83" i="5"/>
  <c r="J83" i="5"/>
  <c r="I83" i="5"/>
  <c r="H83" i="5"/>
  <c r="G83" i="5"/>
  <c r="F83" i="5"/>
  <c r="E83" i="5"/>
  <c r="D83" i="5"/>
  <c r="C83" i="5"/>
  <c r="N50" i="5"/>
  <c r="M50" i="5"/>
  <c r="L50" i="5"/>
  <c r="K50" i="5"/>
  <c r="J50" i="5"/>
  <c r="I50" i="5"/>
  <c r="H50" i="5"/>
  <c r="G50" i="5"/>
  <c r="G116" i="5" s="1"/>
  <c r="F50" i="5"/>
  <c r="E50" i="5"/>
  <c r="D50" i="5"/>
  <c r="C50" i="5"/>
  <c r="O49" i="5"/>
  <c r="O48" i="5"/>
  <c r="O47" i="5"/>
  <c r="O46" i="5"/>
  <c r="O45" i="5"/>
  <c r="O44" i="5"/>
  <c r="O43" i="5"/>
  <c r="O42" i="5"/>
  <c r="N17" i="5"/>
  <c r="M17" i="5"/>
  <c r="L17" i="5"/>
  <c r="K17" i="5"/>
  <c r="J17" i="5"/>
  <c r="I17" i="5"/>
  <c r="H17" i="5"/>
  <c r="G17" i="5"/>
  <c r="F17" i="5"/>
  <c r="E17" i="5"/>
  <c r="C17" i="5"/>
  <c r="O16" i="5"/>
  <c r="O15" i="5"/>
  <c r="O14" i="5"/>
  <c r="O13" i="5"/>
  <c r="O12" i="5"/>
  <c r="O11" i="5"/>
  <c r="O10" i="5"/>
  <c r="O9" i="5"/>
  <c r="N83" i="4"/>
  <c r="M83" i="4"/>
  <c r="L83" i="4"/>
  <c r="K83" i="4"/>
  <c r="J83" i="4"/>
  <c r="I83" i="4"/>
  <c r="H83" i="4"/>
  <c r="G83" i="4"/>
  <c r="F83" i="4"/>
  <c r="E83" i="4"/>
  <c r="D83" i="4"/>
  <c r="C83" i="4"/>
  <c r="O82" i="4"/>
  <c r="O81" i="4"/>
  <c r="O80" i="4"/>
  <c r="O79" i="4"/>
  <c r="O78" i="4"/>
  <c r="O77" i="4"/>
  <c r="O76" i="4"/>
  <c r="O75" i="4"/>
  <c r="N50" i="4"/>
  <c r="M50" i="4"/>
  <c r="L50" i="4"/>
  <c r="I50" i="4"/>
  <c r="G50" i="4"/>
  <c r="F50" i="4"/>
  <c r="C50" i="4"/>
  <c r="O48" i="4"/>
  <c r="O47" i="4"/>
  <c r="O46" i="4"/>
  <c r="O45" i="4"/>
  <c r="O44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O15" i="4"/>
  <c r="O14" i="4"/>
  <c r="O13" i="4"/>
  <c r="O12" i="4"/>
  <c r="O11" i="4"/>
  <c r="O10" i="4"/>
  <c r="O9" i="4"/>
  <c r="N116" i="3"/>
  <c r="M116" i="3"/>
  <c r="L116" i="3"/>
  <c r="K116" i="3"/>
  <c r="J116" i="3"/>
  <c r="I116" i="3"/>
  <c r="H116" i="3"/>
  <c r="G116" i="3"/>
  <c r="F116" i="3"/>
  <c r="E116" i="3"/>
  <c r="D116" i="3"/>
  <c r="C116" i="3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O81" i="3"/>
  <c r="O80" i="3"/>
  <c r="O79" i="3"/>
  <c r="O78" i="3"/>
  <c r="O77" i="3"/>
  <c r="O76" i="3"/>
  <c r="O75" i="3"/>
  <c r="N50" i="3"/>
  <c r="M50" i="3"/>
  <c r="L50" i="3"/>
  <c r="K50" i="3"/>
  <c r="J50" i="3"/>
  <c r="I50" i="3"/>
  <c r="H50" i="3"/>
  <c r="G50" i="3"/>
  <c r="F50" i="3"/>
  <c r="E50" i="3"/>
  <c r="D50" i="3"/>
  <c r="C50" i="3"/>
  <c r="O49" i="3"/>
  <c r="O48" i="3"/>
  <c r="O47" i="3"/>
  <c r="O46" i="3"/>
  <c r="O45" i="3"/>
  <c r="O44" i="3"/>
  <c r="O43" i="3"/>
  <c r="O42" i="3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O15" i="3"/>
  <c r="O14" i="3"/>
  <c r="O13" i="3"/>
  <c r="O12" i="3"/>
  <c r="O11" i="3"/>
  <c r="O10" i="3"/>
  <c r="O9" i="3"/>
  <c r="N17" i="2"/>
  <c r="M17" i="2"/>
  <c r="L17" i="2"/>
  <c r="K17" i="2"/>
  <c r="J17" i="2"/>
  <c r="I17" i="2"/>
  <c r="H17" i="2"/>
  <c r="G17" i="2"/>
  <c r="F17" i="2"/>
  <c r="E17" i="2"/>
  <c r="D17" i="2"/>
  <c r="C17" i="2"/>
  <c r="O16" i="2"/>
  <c r="O15" i="2"/>
  <c r="O14" i="2"/>
  <c r="O13" i="2"/>
  <c r="O12" i="2"/>
  <c r="O11" i="2"/>
  <c r="O10" i="2"/>
  <c r="O9" i="2"/>
  <c r="N83" i="1"/>
  <c r="M83" i="1"/>
  <c r="L83" i="1"/>
  <c r="K83" i="1"/>
  <c r="J83" i="1"/>
  <c r="I83" i="1"/>
  <c r="H83" i="1"/>
  <c r="G83" i="1"/>
  <c r="F83" i="1"/>
  <c r="E83" i="1"/>
  <c r="D83" i="1"/>
  <c r="O82" i="1"/>
  <c r="O81" i="1"/>
  <c r="O80" i="1"/>
  <c r="O79" i="1"/>
  <c r="O76" i="1"/>
  <c r="O75" i="1"/>
  <c r="N50" i="1"/>
  <c r="M50" i="1"/>
  <c r="L50" i="1"/>
  <c r="K50" i="1"/>
  <c r="J50" i="1"/>
  <c r="I50" i="1"/>
  <c r="H50" i="1"/>
  <c r="G50" i="1"/>
  <c r="F50" i="1"/>
  <c r="E50" i="1"/>
  <c r="D50" i="1"/>
  <c r="C50" i="1"/>
  <c r="C116" i="1" s="1"/>
  <c r="O49" i="1"/>
  <c r="O48" i="1"/>
  <c r="O47" i="1"/>
  <c r="O46" i="1"/>
  <c r="O45" i="1"/>
  <c r="O44" i="1"/>
  <c r="O43" i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O15" i="1"/>
  <c r="O14" i="1"/>
  <c r="O13" i="1"/>
  <c r="O12" i="1"/>
  <c r="O11" i="1"/>
  <c r="O10" i="1"/>
  <c r="O9" i="1"/>
  <c r="O83" i="1" l="1"/>
  <c r="H116" i="1"/>
  <c r="L116" i="1"/>
  <c r="E116" i="1"/>
  <c r="Q116" i="1" s="1"/>
  <c r="F116" i="1"/>
  <c r="N116" i="6"/>
  <c r="L116" i="8"/>
  <c r="O115" i="7"/>
  <c r="K116" i="9"/>
  <c r="M116" i="9"/>
  <c r="O112" i="7"/>
  <c r="J116" i="1"/>
  <c r="O111" i="7"/>
  <c r="O109" i="1"/>
  <c r="O83" i="3"/>
  <c r="O113" i="1"/>
  <c r="D116" i="8"/>
  <c r="O116" i="4"/>
  <c r="O50" i="8"/>
  <c r="O17" i="6"/>
  <c r="O83" i="6"/>
  <c r="O50" i="6"/>
  <c r="O112" i="6"/>
  <c r="O108" i="6"/>
  <c r="O113" i="6"/>
  <c r="D116" i="6"/>
  <c r="L116" i="6"/>
  <c r="O110" i="6"/>
  <c r="O114" i="6"/>
  <c r="O115" i="6"/>
  <c r="O17" i="2"/>
  <c r="O115" i="1"/>
  <c r="O111" i="1"/>
  <c r="O50" i="9"/>
  <c r="O112" i="9"/>
  <c r="O110" i="9"/>
  <c r="O115" i="9"/>
  <c r="P116" i="9" s="1"/>
  <c r="O17" i="9"/>
  <c r="O110" i="8"/>
  <c r="O111" i="8"/>
  <c r="O115" i="8"/>
  <c r="O108" i="8"/>
  <c r="O112" i="8"/>
  <c r="O17" i="8"/>
  <c r="D116" i="7"/>
  <c r="O114" i="7"/>
  <c r="O50" i="7"/>
  <c r="O17" i="7"/>
  <c r="O50" i="5"/>
  <c r="O108" i="5"/>
  <c r="O112" i="5"/>
  <c r="O109" i="5"/>
  <c r="O113" i="5"/>
  <c r="D116" i="5"/>
  <c r="H116" i="5"/>
  <c r="O110" i="5"/>
  <c r="O114" i="5"/>
  <c r="E116" i="5"/>
  <c r="I116" i="5"/>
  <c r="O111" i="5"/>
  <c r="O115" i="5"/>
  <c r="O17" i="5"/>
  <c r="N116" i="4"/>
  <c r="O17" i="4"/>
  <c r="O50" i="3"/>
  <c r="O17" i="3"/>
  <c r="O50" i="1"/>
  <c r="O114" i="1"/>
  <c r="I116" i="1"/>
  <c r="M116" i="1"/>
  <c r="O108" i="1"/>
  <c r="O112" i="1"/>
  <c r="G116" i="1"/>
  <c r="K116" i="1"/>
  <c r="O17" i="1"/>
  <c r="O83" i="9"/>
  <c r="O83" i="8"/>
  <c r="O83" i="7"/>
  <c r="O83" i="5"/>
  <c r="O83" i="4"/>
  <c r="R116" i="1" l="1"/>
  <c r="O116" i="1"/>
  <c r="O116" i="9"/>
  <c r="O116" i="8"/>
  <c r="O116" i="6"/>
  <c r="O116" i="5"/>
  <c r="O116" i="7"/>
</calcChain>
</file>

<file path=xl/sharedStrings.xml><?xml version="1.0" encoding="utf-8"?>
<sst xmlns="http://schemas.openxmlformats.org/spreadsheetml/2006/main" count="1780" uniqueCount="120">
  <si>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</si>
  <si>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</si>
  <si>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</si>
  <si>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</si>
  <si>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</si>
  <si>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</si>
  <si>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</si>
  <si>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</si>
  <si>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</si>
  <si>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</si>
  <si>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</si>
  <si>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</si>
  <si>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</si>
  <si>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</si>
  <si>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</si>
  <si>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</si>
  <si>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</si>
  <si>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</si>
  <si>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CIWANDAN</t>
  </si>
  <si>
    <t>CITANGKIL</t>
  </si>
  <si>
    <t>PULOMERAK</t>
  </si>
  <si>
    <t>PURWAKARTA</t>
  </si>
  <si>
    <t>GROGOL</t>
  </si>
  <si>
    <t>CILEGON</t>
  </si>
  <si>
    <t>JOMBANG</t>
  </si>
  <si>
    <t>CIBEBER</t>
  </si>
  <si>
    <t>JUMLAH</t>
  </si>
  <si>
    <t>DATA LUAS PANEN PADI (SAWAH) PER BULAN</t>
  </si>
  <si>
    <t>DATA PRODUKSI PADI (SAWAH) PER BULAN</t>
  </si>
  <si>
    <t>(Ton)</t>
  </si>
  <si>
    <t>DATA PRODUKTIVITAS PADI (SAWAH) PER BULAN</t>
  </si>
  <si>
    <t>(Ku/Ha)</t>
  </si>
  <si>
    <t>DATA LUAS PUSO PADI (SAWAH) PER BULAN</t>
  </si>
  <si>
    <t>DATA LUAS TANAM PADI (DARAT) PER BULAN</t>
  </si>
  <si>
    <t>DATA LUAS PANEN PADI (DARAT) PER BULAN</t>
  </si>
  <si>
    <t>DATA PRODUKSI PADI (DARAT) PER BULAN</t>
  </si>
  <si>
    <t>DATA PRODUKTIVITAS PADI (DARAT) PER BULAN</t>
  </si>
  <si>
    <t>DATA LUAS TANAM JAGUNG PER BULAN</t>
  </si>
  <si>
    <t>DATA LUAS PANEN JAGUNG PER BULAN</t>
  </si>
  <si>
    <t>DATA PRODUKSI JAGUNG PER BULAN</t>
  </si>
  <si>
    <t>DATA PRODUKTIVITAS JAGUNG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</si>
  <si>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</si>
  <si>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</si>
  <si>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</si>
  <si>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</si>
  <si>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 PER BULAN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</si>
  <si>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</si>
  <si>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</si>
  <si>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</si>
  <si>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</si>
  <si>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</si>
  <si>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</si>
  <si>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</si>
  <si>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</si>
  <si>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</si>
  <si>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</si>
  <si>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</si>
  <si>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KEDELAI PER BULAN</t>
  </si>
  <si>
    <t>DATA LUAS PANEN KEDELAI PER BULAN</t>
  </si>
  <si>
    <t>DATA PRODUKSI KEDELAI PER BULAN</t>
  </si>
  <si>
    <t>DATA PRODUKTIVITAS KEDELAI PER BULAN</t>
  </si>
  <si>
    <t>KOTA CILEGON TAHUN 2014</t>
  </si>
  <si>
    <t>2*</t>
  </si>
  <si>
    <t>12*</t>
  </si>
  <si>
    <t>Ket : * : Panen Muda</t>
  </si>
  <si>
    <t>1*</t>
  </si>
  <si>
    <t>15*</t>
  </si>
  <si>
    <t>PRODUKTIVITAS</t>
  </si>
  <si>
    <t>TANAM</t>
  </si>
  <si>
    <t>PANEN</t>
  </si>
  <si>
    <t>PRODUKSI</t>
  </si>
  <si>
    <t>1. PADI SAWAH</t>
  </si>
  <si>
    <t>2. PADI LADANG</t>
  </si>
  <si>
    <t>3. JAGUNG</t>
  </si>
  <si>
    <t>4. KEDELAI</t>
  </si>
  <si>
    <t>5. KACANG TANAH</t>
  </si>
  <si>
    <t>6. UBI KAYU</t>
  </si>
  <si>
    <t>7. UBI JALAR</t>
  </si>
  <si>
    <t>8. KACANG HIJAU</t>
  </si>
  <si>
    <t>REALISASI TANAM, PANEN, PRODUKSI DAN PRODUKTIVITAS PADI DAN PALAWIJA</t>
  </si>
  <si>
    <t>KOTA CILEGON S/D BULAN JULI 2014</t>
  </si>
  <si>
    <t>Ket : * panen muda</t>
  </si>
  <si>
    <t>DATA LUAS PUSO KEDELAI PER BULAN</t>
  </si>
  <si>
    <t>KOTA CILEGON 2014</t>
  </si>
  <si>
    <t>CIWANDAN*</t>
  </si>
  <si>
    <t>CITANGKIL*</t>
  </si>
  <si>
    <t>Ket *: Ciwandan : 10 Ha Puso, Citangkil : 22 Ha Puso (Gagal Tumbuh)</t>
  </si>
  <si>
    <t>KOTA CILEGON 2013</t>
  </si>
  <si>
    <t>4. KACANG TANAH</t>
  </si>
  <si>
    <t>5. UBI KAYU</t>
  </si>
  <si>
    <t>6. UBI JALAR</t>
  </si>
  <si>
    <t>7. KACANG HIJAU</t>
  </si>
  <si>
    <t>(Ton GKG)</t>
  </si>
  <si>
    <t>Dinas Pertanian dan Kelautan Kota Cilegon 2014</t>
  </si>
  <si>
    <t>urea</t>
  </si>
  <si>
    <t>sp-36</t>
  </si>
  <si>
    <t>ZA</t>
  </si>
  <si>
    <t>NPK</t>
  </si>
  <si>
    <t>organik</t>
  </si>
  <si>
    <t>rata2 padi sawah</t>
  </si>
  <si>
    <t>NO</t>
  </si>
  <si>
    <t>KECAMATAN</t>
  </si>
  <si>
    <t>PROVITAS</t>
  </si>
  <si>
    <t>ARAM II 2014</t>
  </si>
  <si>
    <t>APR-SEP</t>
  </si>
  <si>
    <t>JAGUNG</t>
  </si>
  <si>
    <t>PADI SAWAH</t>
  </si>
  <si>
    <t>PADI LADANG</t>
  </si>
  <si>
    <t>KEDELAI</t>
  </si>
  <si>
    <t>ARAM II 2015*)</t>
  </si>
  <si>
    <t>KET : *) DATA SAMPAI BULAN AGUSTUS 2015</t>
  </si>
  <si>
    <t>* PANEN MUDA</t>
  </si>
  <si>
    <t>**</t>
  </si>
  <si>
    <t>** PUSO</t>
  </si>
  <si>
    <t>KACANG TANAH</t>
  </si>
  <si>
    <t>UBI KAYU</t>
  </si>
  <si>
    <t>UBI JALAR</t>
  </si>
  <si>
    <t>KACANG HIJAU</t>
  </si>
  <si>
    <t>ARAM II (APRIL - SEPTEMBER)</t>
  </si>
  <si>
    <t>Luas Tanam Padi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</si>
</sst>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_);_(* \(#,##0\);_(* &quot;-&quot;??_);_(@_)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Brush Script MT"/>
      <family val="4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41" fontId="3" fillId="2" borderId="7" xfId="1" applyFont="1" applyFill="1" applyBorder="1" applyAlignment="1">
      <alignment horizontal="center" vertical="center"/>
    </xf>
    <xf numFmtId="41" fontId="3" fillId="2" borderId="6" xfId="1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41" fontId="4" fillId="2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1" fontId="3" fillId="0" borderId="7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1" fontId="4" fillId="0" borderId="9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41" fontId="3" fillId="0" borderId="9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4" fillId="0" borderId="13" xfId="1" applyFont="1" applyBorder="1" applyAlignment="1">
      <alignment horizontal="center" vertical="center"/>
    </xf>
    <xf numFmtId="41" fontId="4" fillId="0" borderId="14" xfId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7" xfId="1" applyFont="1" applyFill="1" applyBorder="1" applyAlignment="1">
      <alignment horizontal="center" vertical="center"/>
    </xf>
    <xf numFmtId="41" fontId="7" fillId="0" borderId="7" xfId="1" applyFont="1" applyFill="1" applyBorder="1" applyAlignment="1">
      <alignment horizontal="center" vertical="center"/>
    </xf>
    <xf numFmtId="41" fontId="3" fillId="0" borderId="9" xfId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Fill="1" applyBorder="1" applyAlignment="1">
      <alignment horizontal="center" vertical="center"/>
    </xf>
    <xf numFmtId="164" fontId="3" fillId="0" borderId="7" xfId="1" applyNumberFormat="1" applyFont="1" applyFill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1" fontId="3" fillId="0" borderId="15" xfId="1" applyFont="1" applyBorder="1" applyAlignment="1">
      <alignment horizontal="center" vertical="center"/>
    </xf>
    <xf numFmtId="41" fontId="4" fillId="0" borderId="15" xfId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41" fontId="7" fillId="2" borderId="6" xfId="1" applyFont="1" applyFill="1" applyBorder="1" applyAlignment="1">
      <alignment horizontal="center" vertical="center"/>
    </xf>
    <xf numFmtId="41" fontId="7" fillId="2" borderId="7" xfId="1" applyFont="1" applyFill="1" applyBorder="1" applyAlignment="1">
      <alignment horizontal="center" vertical="center"/>
    </xf>
    <xf numFmtId="41" fontId="7" fillId="0" borderId="7" xfId="1" applyFont="1" applyBorder="1" applyAlignment="1">
      <alignment horizontal="center" vertical="center"/>
    </xf>
    <xf numFmtId="41" fontId="7" fillId="0" borderId="9" xfId="1" applyFont="1" applyBorder="1" applyAlignment="1">
      <alignment horizontal="center" vertical="center"/>
    </xf>
    <xf numFmtId="41" fontId="7" fillId="0" borderId="6" xfId="1" applyFont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164" fontId="7" fillId="2" borderId="6" xfId="1" applyNumberFormat="1" applyFont="1" applyFill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41" fontId="7" fillId="0" borderId="6" xfId="1" applyFont="1" applyFill="1" applyBorder="1" applyAlignment="1">
      <alignment horizontal="center" vertical="center"/>
    </xf>
    <xf numFmtId="41" fontId="7" fillId="0" borderId="6" xfId="1" applyNumberFormat="1" applyFont="1" applyFill="1" applyBorder="1" applyAlignment="1">
      <alignment horizontal="center" vertical="center"/>
    </xf>
    <xf numFmtId="164" fontId="3" fillId="2" borderId="6" xfId="1" applyNumberFormat="1" applyFont="1" applyFill="1" applyBorder="1" applyAlignment="1">
      <alignment horizontal="center" vertical="center"/>
    </xf>
    <xf numFmtId="41" fontId="3" fillId="0" borderId="7" xfId="1" applyNumberFormat="1" applyFont="1" applyBorder="1" applyAlignment="1">
      <alignment horizontal="center" vertical="center"/>
    </xf>
    <xf numFmtId="41" fontId="4" fillId="0" borderId="12" xfId="1" applyNumberFormat="1" applyFont="1" applyBorder="1" applyAlignment="1">
      <alignment horizontal="center" vertical="center"/>
    </xf>
    <xf numFmtId="43" fontId="0" fillId="0" borderId="0" xfId="0" applyNumberFormat="1"/>
    <xf numFmtId="43" fontId="0" fillId="0" borderId="0" xfId="0" applyNumberFormat="1" applyFont="1"/>
    <xf numFmtId="41" fontId="4" fillId="0" borderId="6" xfId="1" applyFont="1" applyBorder="1" applyAlignment="1">
      <alignment horizontal="right" vertical="center"/>
    </xf>
    <xf numFmtId="41" fontId="3" fillId="0" borderId="6" xfId="1" applyFont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41" fontId="4" fillId="0" borderId="12" xfId="1" applyFont="1" applyBorder="1" applyAlignment="1">
      <alignment horizontal="right" vertical="center"/>
    </xf>
    <xf numFmtId="41" fontId="4" fillId="0" borderId="3" xfId="1" applyFont="1" applyFill="1" applyBorder="1" applyAlignment="1">
      <alignment horizontal="center" vertical="center"/>
    </xf>
    <xf numFmtId="0" fontId="9" fillId="0" borderId="0" xfId="0" applyFont="1"/>
    <xf numFmtId="0" fontId="4" fillId="2" borderId="5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1" fontId="0" fillId="0" borderId="3" xfId="1" applyFont="1" applyBorder="1"/>
    <xf numFmtId="41" fontId="0" fillId="0" borderId="7" xfId="1" applyFont="1" applyBorder="1"/>
    <xf numFmtId="41" fontId="0" fillId="0" borderId="9" xfId="1" applyFont="1" applyBorder="1"/>
    <xf numFmtId="41" fontId="9" fillId="0" borderId="28" xfId="1" applyFont="1" applyBorder="1"/>
    <xf numFmtId="164" fontId="0" fillId="0" borderId="20" xfId="1" applyNumberFormat="1" applyFont="1" applyBorder="1"/>
    <xf numFmtId="164" fontId="0" fillId="0" borderId="30" xfId="1" applyNumberFormat="1" applyFont="1" applyBorder="1"/>
    <xf numFmtId="164" fontId="0" fillId="0" borderId="31" xfId="1" applyNumberFormat="1" applyFont="1" applyBorder="1"/>
    <xf numFmtId="164" fontId="9" fillId="0" borderId="29" xfId="1" applyNumberFormat="1" applyFont="1" applyBorder="1"/>
    <xf numFmtId="41" fontId="0" fillId="0" borderId="3" xfId="1" applyFont="1" applyBorder="1" applyAlignment="1">
      <alignment horizontal="right"/>
    </xf>
    <xf numFmtId="164" fontId="3" fillId="0" borderId="13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right"/>
    </xf>
    <xf numFmtId="164" fontId="0" fillId="0" borderId="7" xfId="1" applyNumberFormat="1" applyFont="1" applyBorder="1"/>
    <xf numFmtId="164" fontId="0" fillId="0" borderId="9" xfId="1" applyNumberFormat="1" applyFont="1" applyBorder="1"/>
    <xf numFmtId="0" fontId="4" fillId="0" borderId="0" xfId="0" applyFont="1" applyBorder="1" applyAlignment="1">
      <alignment horizontal="center" vertical="center"/>
    </xf>
    <xf numFmtId="41" fontId="9" fillId="0" borderId="0" xfId="1" applyFont="1" applyBorder="1"/>
    <xf numFmtId="164" fontId="9" fillId="0" borderId="0" xfId="1" applyNumberFormat="1" applyFont="1" applyBorder="1"/>
    <xf numFmtId="0" fontId="3" fillId="0" borderId="0" xfId="0" applyFont="1" applyBorder="1" applyAlignment="1">
      <alignment horizontal="left" vertical="center"/>
    </xf>
    <xf numFmtId="41" fontId="3" fillId="0" borderId="8" xfId="1" applyFont="1" applyBorder="1" applyAlignment="1">
      <alignment horizontal="right" vertical="center"/>
    </xf>
    <xf numFmtId="0" fontId="8" fillId="0" borderId="0" xfId="0" applyFont="1"/>
    <xf numFmtId="164" fontId="3" fillId="0" borderId="32" xfId="1" applyNumberFormat="1" applyFont="1" applyBorder="1" applyAlignment="1">
      <alignment horizontal="center" vertical="center"/>
    </xf>
    <xf numFmtId="164" fontId="3" fillId="0" borderId="30" xfId="1" applyNumberFormat="1" applyFont="1" applyBorder="1" applyAlignment="1">
      <alignment horizontal="center" vertical="center"/>
    </xf>
    <xf numFmtId="164" fontId="3" fillId="0" borderId="31" xfId="1" applyNumberFormat="1" applyFont="1" applyBorder="1" applyAlignment="1">
      <alignment horizontal="center" vertical="center"/>
    </xf>
    <xf numFmtId="164" fontId="0" fillId="0" borderId="32" xfId="1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 applyFont="1"/>
    <xf numFmtId="41" fontId="0" fillId="0" borderId="0" xfId="0" applyNumberFormat="1" applyFont="1"/>
    <xf numFmtId="164" fontId="4" fillId="0" borderId="12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1" fontId="0" fillId="0" borderId="0" xfId="0" applyNumberFormat="1"/>
    <xf numFmtId="164" fontId="0" fillId="0" borderId="30" xfId="1" applyNumberFormat="1" applyFont="1" applyBorder="1" applyAlignment="1">
      <alignment horizontal="right"/>
    </xf>
    <xf numFmtId="41" fontId="0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0" fillId="0" borderId="0" xfId="0" applyFont="1"/>
    <xf numFmtId="41" fontId="4" fillId="0" borderId="7" xfId="1" applyFont="1" applyBorder="1" applyAlignment="1">
      <alignment horizontal="right" vertical="center"/>
    </xf>
    <xf numFmtId="41" fontId="3" fillId="0" borderId="7" xfId="1" applyFont="1" applyBorder="1" applyAlignment="1">
      <alignment horizontal="right" vertical="center"/>
    </xf>
    <xf numFmtId="41" fontId="0" fillId="0" borderId="7" xfId="1" applyFont="1" applyBorder="1" applyAlignment="1">
      <alignment horizontal="right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41" fontId="9" fillId="0" borderId="0" xfId="0" applyNumberFormat="1" applyFont="1"/>
    <xf numFmtId="0" fontId="0" fillId="0" borderId="19" xfId="0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41" fontId="0" fillId="0" borderId="3" xfId="1" applyFont="1" applyBorder="1" applyAlignment="1">
      <alignment vertical="center"/>
    </xf>
    <xf numFmtId="41" fontId="0" fillId="0" borderId="7" xfId="1" applyFont="1" applyBorder="1" applyAlignment="1">
      <alignment vertical="center"/>
    </xf>
    <xf numFmtId="41" fontId="0" fillId="0" borderId="9" xfId="1" applyFont="1" applyBorder="1" applyAlignment="1">
      <alignment vertical="center"/>
    </xf>
    <xf numFmtId="41" fontId="9" fillId="0" borderId="28" xfId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7" xfId="1" applyNumberFormat="1" applyFont="1" applyBorder="1" applyAlignment="1">
      <alignment vertical="center"/>
    </xf>
    <xf numFmtId="164" fontId="0" fillId="0" borderId="9" xfId="1" applyNumberFormat="1" applyFont="1" applyBorder="1" applyAlignment="1">
      <alignment vertical="center"/>
    </xf>
    <xf numFmtId="164" fontId="9" fillId="0" borderId="28" xfId="1" applyNumberFormat="1" applyFont="1" applyBorder="1" applyAlignment="1">
      <alignment vertical="center"/>
    </xf>
    <xf numFmtId="164" fontId="0" fillId="0" borderId="20" xfId="1" applyNumberFormat="1" applyFont="1" applyBorder="1" applyAlignment="1">
      <alignment vertical="center"/>
    </xf>
    <xf numFmtId="164" fontId="0" fillId="0" borderId="30" xfId="1" applyNumberFormat="1" applyFont="1" applyBorder="1" applyAlignment="1">
      <alignment vertical="center"/>
    </xf>
    <xf numFmtId="164" fontId="0" fillId="0" borderId="31" xfId="1" applyNumberFormat="1" applyFont="1" applyBorder="1" applyAlignment="1">
      <alignment vertical="center"/>
    </xf>
    <xf numFmtId="164" fontId="9" fillId="0" borderId="29" xfId="1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41" fontId="0" fillId="0" borderId="7" xfId="1" applyFont="1" applyBorder="1" applyAlignment="1">
      <alignment horizontal="right" vertical="center"/>
    </xf>
    <xf numFmtId="41" fontId="0" fillId="0" borderId="3" xfId="1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41" fontId="9" fillId="0" borderId="0" xfId="1" applyFont="1" applyBorder="1" applyAlignment="1">
      <alignment vertical="center"/>
    </xf>
    <xf numFmtId="164" fontId="9" fillId="0" borderId="0" xfId="1" applyNumberFormat="1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/>
    <xf numFmtId="0" fontId="12" fillId="0" borderId="0" xfId="0" applyFont="1"/>
    <xf numFmtId="17" fontId="0" fillId="0" borderId="3" xfId="0" applyNumberFormat="1" applyBorder="1" applyAlignment="1">
      <alignment vertical="center"/>
    </xf>
    <xf numFmtId="41" fontId="9" fillId="0" borderId="4" xfId="1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41" fontId="0" fillId="0" borderId="2" xfId="1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41" fontId="0" fillId="0" borderId="5" xfId="1" applyFont="1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zoomScaleNormal="100" workbookViewId="0">
      <selection activeCell="J9" sqref="J9:J16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1" spans="1:18" ht="15" customHeight="1" x14ac:dyDescent="0.25"/>
    <row r="2" spans="1:18" ht="18.75" x14ac:dyDescent="0.3">
      <c r="A2" s="178" t="s">
        <v>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8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8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8" x14ac:dyDescent="0.25">
      <c r="A6" s="179" t="s">
        <v>2</v>
      </c>
      <c r="B6" s="179" t="s">
        <v>3</v>
      </c>
      <c r="C6" s="181" t="s">
        <v>4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79" t="s">
        <v>5</v>
      </c>
    </row>
    <row r="7" spans="1:18" x14ac:dyDescent="0.25">
      <c r="A7" s="180"/>
      <c r="B7" s="180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182"/>
    </row>
    <row r="8" spans="1:18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R8" t="s">
        <v>104</v>
      </c>
    </row>
    <row r="9" spans="1:18" ht="18.75" customHeight="1" thickTop="1" x14ac:dyDescent="0.25">
      <c r="A9" s="6">
        <v>1</v>
      </c>
      <c r="B9" s="7" t="s">
        <v>18</v>
      </c>
      <c r="C9" s="61">
        <v>108</v>
      </c>
      <c r="D9" s="8">
        <v>0</v>
      </c>
      <c r="E9" s="9">
        <v>0</v>
      </c>
      <c r="F9" s="9">
        <v>0</v>
      </c>
      <c r="G9" s="9">
        <v>2</v>
      </c>
      <c r="H9" s="9">
        <v>5</v>
      </c>
      <c r="I9" s="9">
        <v>0</v>
      </c>
      <c r="J9" s="9">
        <v>2</v>
      </c>
      <c r="K9" s="9">
        <v>0</v>
      </c>
      <c r="L9" s="61">
        <v>0</v>
      </c>
      <c r="M9" s="9">
        <v>0</v>
      </c>
      <c r="N9" s="9">
        <v>0</v>
      </c>
      <c r="O9" s="10">
        <f>SUM(C9:N9)</f>
        <v>117</v>
      </c>
      <c r="Q9" s="124">
        <f>SUM(L9:N9)</f>
        <v>0</v>
      </c>
      <c r="R9" s="124">
        <f>SUM(F9:K9)</f>
        <v>9</v>
      </c>
    </row>
    <row r="10" spans="1:18" ht="18.75" customHeight="1" x14ac:dyDescent="0.25">
      <c r="A10" s="11">
        <v>2</v>
      </c>
      <c r="B10" s="12" t="s">
        <v>19</v>
      </c>
      <c r="C10" s="62">
        <v>176</v>
      </c>
      <c r="D10" s="8">
        <v>22</v>
      </c>
      <c r="E10" s="8">
        <v>0</v>
      </c>
      <c r="F10" s="8">
        <v>0</v>
      </c>
      <c r="G10" s="8">
        <v>10</v>
      </c>
      <c r="H10" s="8">
        <v>35</v>
      </c>
      <c r="I10" s="8">
        <v>3</v>
      </c>
      <c r="J10" s="8">
        <v>2</v>
      </c>
      <c r="K10" s="8">
        <v>1</v>
      </c>
      <c r="L10" s="63">
        <v>0</v>
      </c>
      <c r="M10" s="47">
        <v>25</v>
      </c>
      <c r="N10" s="8">
        <v>125</v>
      </c>
      <c r="O10" s="13">
        <f t="shared" ref="O10:O16" si="0">SUM(C10:N10)</f>
        <v>399</v>
      </c>
      <c r="Q10" s="124">
        <f>SUM(L10:N10)</f>
        <v>150</v>
      </c>
      <c r="R10" s="124">
        <f t="shared" ref="R10:R17" si="1">SUM(F10:K10)</f>
        <v>51</v>
      </c>
    </row>
    <row r="11" spans="1:18" ht="18.75" customHeight="1" x14ac:dyDescent="0.25">
      <c r="A11" s="11">
        <v>3</v>
      </c>
      <c r="B11" s="7" t="s">
        <v>20</v>
      </c>
      <c r="C11" s="62">
        <v>48</v>
      </c>
      <c r="D11" s="8">
        <v>0</v>
      </c>
      <c r="E11" s="8">
        <v>0</v>
      </c>
      <c r="F11" s="8">
        <v>0</v>
      </c>
      <c r="G11" s="8">
        <v>25</v>
      </c>
      <c r="H11" s="8">
        <v>0</v>
      </c>
      <c r="I11" s="8">
        <v>0</v>
      </c>
      <c r="J11" s="8">
        <v>0</v>
      </c>
      <c r="K11" s="8">
        <v>0</v>
      </c>
      <c r="L11" s="63">
        <v>0</v>
      </c>
      <c r="M11" s="8">
        <v>0</v>
      </c>
      <c r="N11" s="8">
        <v>10</v>
      </c>
      <c r="O11" s="13">
        <f t="shared" si="0"/>
        <v>83</v>
      </c>
      <c r="Q11" s="124">
        <f t="shared" ref="Q11:Q15" si="2">SUM(L11:N11)</f>
        <v>10</v>
      </c>
      <c r="R11" s="124">
        <f t="shared" si="1"/>
        <v>25</v>
      </c>
    </row>
    <row r="12" spans="1:18" ht="18.75" customHeight="1" x14ac:dyDescent="0.25">
      <c r="A12" s="14">
        <v>4</v>
      </c>
      <c r="B12" s="15" t="s">
        <v>21</v>
      </c>
      <c r="C12" s="63">
        <v>237</v>
      </c>
      <c r="D12" s="16">
        <v>0</v>
      </c>
      <c r="E12" s="16">
        <v>1</v>
      </c>
      <c r="F12" s="16">
        <v>0</v>
      </c>
      <c r="G12" s="17">
        <v>1</v>
      </c>
      <c r="H12" s="16">
        <v>0</v>
      </c>
      <c r="I12" s="16">
        <v>0</v>
      </c>
      <c r="J12" s="16">
        <v>0</v>
      </c>
      <c r="K12" s="16">
        <v>2</v>
      </c>
      <c r="L12" s="63">
        <v>0</v>
      </c>
      <c r="M12" s="16">
        <v>3</v>
      </c>
      <c r="N12" s="16">
        <v>165</v>
      </c>
      <c r="O12" s="18">
        <f t="shared" si="0"/>
        <v>409</v>
      </c>
      <c r="Q12" s="124">
        <f t="shared" si="2"/>
        <v>168</v>
      </c>
      <c r="R12" s="124">
        <f t="shared" si="1"/>
        <v>3</v>
      </c>
    </row>
    <row r="13" spans="1:18" ht="18.75" customHeight="1" x14ac:dyDescent="0.25">
      <c r="A13" s="14">
        <v>5</v>
      </c>
      <c r="B13" s="19" t="s">
        <v>22</v>
      </c>
      <c r="C13" s="63">
        <v>205</v>
      </c>
      <c r="D13" s="16">
        <v>0</v>
      </c>
      <c r="E13" s="16">
        <v>0</v>
      </c>
      <c r="F13" s="16">
        <v>0</v>
      </c>
      <c r="G13" s="16">
        <v>3</v>
      </c>
      <c r="H13" s="16">
        <v>22</v>
      </c>
      <c r="I13" s="16">
        <v>0</v>
      </c>
      <c r="J13" s="16">
        <v>0</v>
      </c>
      <c r="K13" s="16">
        <v>5</v>
      </c>
      <c r="L13" s="16">
        <v>0</v>
      </c>
      <c r="M13" s="16">
        <v>0</v>
      </c>
      <c r="N13" s="16">
        <v>25</v>
      </c>
      <c r="O13" s="18">
        <f t="shared" si="0"/>
        <v>260</v>
      </c>
      <c r="Q13" s="124">
        <f t="shared" si="2"/>
        <v>25</v>
      </c>
      <c r="R13" s="124">
        <f t="shared" si="1"/>
        <v>30</v>
      </c>
    </row>
    <row r="14" spans="1:18" ht="18.75" customHeight="1" x14ac:dyDescent="0.25">
      <c r="A14" s="14">
        <v>6</v>
      </c>
      <c r="B14" s="19" t="s">
        <v>23</v>
      </c>
      <c r="C14" s="63">
        <v>20</v>
      </c>
      <c r="D14" s="16">
        <v>20</v>
      </c>
      <c r="E14" s="16">
        <v>0</v>
      </c>
      <c r="F14" s="16">
        <v>0</v>
      </c>
      <c r="G14" s="16">
        <v>0</v>
      </c>
      <c r="H14" s="16">
        <v>23</v>
      </c>
      <c r="I14" s="16">
        <v>0</v>
      </c>
      <c r="J14" s="16">
        <v>0</v>
      </c>
      <c r="K14" s="16">
        <v>0</v>
      </c>
      <c r="L14" s="16">
        <v>0</v>
      </c>
      <c r="M14" s="16">
        <v>8</v>
      </c>
      <c r="N14" s="16">
        <v>36</v>
      </c>
      <c r="O14" s="18">
        <f t="shared" si="0"/>
        <v>107</v>
      </c>
      <c r="Q14" s="124">
        <f t="shared" si="2"/>
        <v>44</v>
      </c>
      <c r="R14" s="124">
        <f t="shared" si="1"/>
        <v>23</v>
      </c>
    </row>
    <row r="15" spans="1:18" ht="18.75" customHeight="1" x14ac:dyDescent="0.25">
      <c r="A15" s="14">
        <v>7</v>
      </c>
      <c r="B15" s="19" t="s">
        <v>24</v>
      </c>
      <c r="C15" s="63">
        <v>110</v>
      </c>
      <c r="D15" s="16">
        <v>3</v>
      </c>
      <c r="E15" s="16">
        <v>0</v>
      </c>
      <c r="F15" s="16">
        <v>0</v>
      </c>
      <c r="G15" s="16">
        <v>0</v>
      </c>
      <c r="H15" s="16">
        <v>224</v>
      </c>
      <c r="I15" s="16">
        <v>25</v>
      </c>
      <c r="J15" s="16">
        <v>4</v>
      </c>
      <c r="K15" s="16">
        <v>2</v>
      </c>
      <c r="L15" s="16">
        <v>1</v>
      </c>
      <c r="M15" s="16">
        <v>1</v>
      </c>
      <c r="N15" s="16">
        <v>144</v>
      </c>
      <c r="O15" s="18">
        <f t="shared" si="0"/>
        <v>514</v>
      </c>
      <c r="Q15" s="124">
        <f t="shared" si="2"/>
        <v>146</v>
      </c>
      <c r="R15" s="124">
        <f t="shared" si="1"/>
        <v>255</v>
      </c>
    </row>
    <row r="16" spans="1:18" ht="18.75" customHeight="1" thickBot="1" x14ac:dyDescent="0.3">
      <c r="A16" s="20">
        <v>8</v>
      </c>
      <c r="B16" s="15" t="s">
        <v>25</v>
      </c>
      <c r="C16" s="64">
        <v>268</v>
      </c>
      <c r="D16" s="17">
        <v>29</v>
      </c>
      <c r="E16" s="17">
        <v>0</v>
      </c>
      <c r="F16" s="17">
        <v>0</v>
      </c>
      <c r="G16" s="17">
        <v>0</v>
      </c>
      <c r="H16" s="17">
        <v>101</v>
      </c>
      <c r="I16" s="17">
        <v>34</v>
      </c>
      <c r="J16" s="17">
        <v>52</v>
      </c>
      <c r="K16" s="17">
        <v>6</v>
      </c>
      <c r="L16" s="17">
        <v>0</v>
      </c>
      <c r="M16" s="17">
        <v>30</v>
      </c>
      <c r="N16" s="17">
        <v>73</v>
      </c>
      <c r="O16" s="21">
        <f t="shared" si="0"/>
        <v>593</v>
      </c>
      <c r="Q16" s="124">
        <f>SUM(L16:N16)</f>
        <v>103</v>
      </c>
      <c r="R16" s="124">
        <f t="shared" si="1"/>
        <v>193</v>
      </c>
    </row>
    <row r="17" spans="1:19" ht="18.75" customHeight="1" thickTop="1" x14ac:dyDescent="0.25">
      <c r="A17" s="176" t="s">
        <v>26</v>
      </c>
      <c r="B17" s="177"/>
      <c r="C17" s="22">
        <f t="shared" ref="C17:O17" si="3">SUM(C9:C16)</f>
        <v>1172</v>
      </c>
      <c r="D17" s="22">
        <f t="shared" si="3"/>
        <v>74</v>
      </c>
      <c r="E17" s="22">
        <f t="shared" si="3"/>
        <v>1</v>
      </c>
      <c r="F17" s="22">
        <f t="shared" si="3"/>
        <v>0</v>
      </c>
      <c r="G17" s="22">
        <f t="shared" si="3"/>
        <v>41</v>
      </c>
      <c r="H17" s="22">
        <f t="shared" si="3"/>
        <v>410</v>
      </c>
      <c r="I17" s="22">
        <f t="shared" si="3"/>
        <v>62</v>
      </c>
      <c r="J17" s="22">
        <f t="shared" si="3"/>
        <v>60</v>
      </c>
      <c r="K17" s="22">
        <f t="shared" si="3"/>
        <v>16</v>
      </c>
      <c r="L17" s="22">
        <f t="shared" si="3"/>
        <v>1</v>
      </c>
      <c r="M17" s="22">
        <f t="shared" si="3"/>
        <v>67</v>
      </c>
      <c r="N17" s="22">
        <f t="shared" si="3"/>
        <v>578</v>
      </c>
      <c r="O17" s="22">
        <f t="shared" si="3"/>
        <v>2482</v>
      </c>
      <c r="Q17" s="124">
        <f>SUM(Q9:Q16)</f>
        <v>646</v>
      </c>
      <c r="R17" s="135">
        <f t="shared" si="1"/>
        <v>589</v>
      </c>
      <c r="S17" s="124">
        <f>O17*97%</f>
        <v>2407.54</v>
      </c>
    </row>
    <row r="18" spans="1:19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9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126">
        <f>SUM(F17:K17)</f>
        <v>589</v>
      </c>
      <c r="L19" s="23"/>
      <c r="M19" s="23"/>
      <c r="N19" s="23"/>
      <c r="O19" s="23"/>
    </row>
    <row r="20" spans="1:19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L20" s="23"/>
      <c r="M20" s="23"/>
      <c r="N20" s="23"/>
      <c r="O20" s="23"/>
    </row>
    <row r="21" spans="1:19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9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9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9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9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9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9" ht="15.7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28" t="s">
        <v>93</v>
      </c>
      <c r="M27" s="23"/>
      <c r="N27" s="23"/>
      <c r="O27" s="23"/>
    </row>
    <row r="28" spans="1:19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9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9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9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9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8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8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8" ht="18.75" x14ac:dyDescent="0.3">
      <c r="A35" s="178" t="s">
        <v>27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8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8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8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8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8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8" ht="18.75" customHeight="1" thickTop="1" x14ac:dyDescent="0.25">
      <c r="A42" s="27">
        <v>1</v>
      </c>
      <c r="B42" s="7" t="s">
        <v>18</v>
      </c>
      <c r="C42" s="65">
        <v>0</v>
      </c>
      <c r="D42" s="65">
        <v>2</v>
      </c>
      <c r="E42" s="28">
        <v>5</v>
      </c>
      <c r="F42" s="28">
        <v>108</v>
      </c>
      <c r="G42" s="28">
        <v>0</v>
      </c>
      <c r="H42" s="28">
        <v>0</v>
      </c>
      <c r="I42" s="28">
        <v>2</v>
      </c>
      <c r="J42" s="28">
        <v>3</v>
      </c>
      <c r="K42" s="28">
        <v>2</v>
      </c>
      <c r="L42" s="61">
        <v>2</v>
      </c>
      <c r="M42" s="28">
        <v>0</v>
      </c>
      <c r="N42" s="28">
        <v>0</v>
      </c>
      <c r="O42" s="29">
        <f>SUM(C42:N42)</f>
        <v>124</v>
      </c>
      <c r="R42" s="124">
        <f>SUM(F42:K42)</f>
        <v>115</v>
      </c>
    </row>
    <row r="43" spans="1:18" ht="18.75" customHeight="1" x14ac:dyDescent="0.25">
      <c r="A43" s="14">
        <v>2</v>
      </c>
      <c r="B43" s="12" t="s">
        <v>19</v>
      </c>
      <c r="C43" s="63">
        <v>5</v>
      </c>
      <c r="D43" s="16">
        <v>0</v>
      </c>
      <c r="E43" s="16">
        <v>17</v>
      </c>
      <c r="F43" s="16">
        <v>178</v>
      </c>
      <c r="G43" s="16">
        <v>10</v>
      </c>
      <c r="H43" s="16">
        <v>5</v>
      </c>
      <c r="I43" s="16">
        <v>0</v>
      </c>
      <c r="J43" s="16">
        <v>0</v>
      </c>
      <c r="K43" s="16">
        <v>47</v>
      </c>
      <c r="L43" s="63">
        <v>3</v>
      </c>
      <c r="M43" s="16">
        <v>1</v>
      </c>
      <c r="N43" s="16">
        <v>0</v>
      </c>
      <c r="O43" s="18">
        <f t="shared" ref="O43:O49" si="4">SUM(C43:N43)</f>
        <v>266</v>
      </c>
      <c r="R43" s="124">
        <f t="shared" ref="R43:R50" si="5">SUM(F43:K43)</f>
        <v>240</v>
      </c>
    </row>
    <row r="44" spans="1:18" ht="18.75" customHeight="1" x14ac:dyDescent="0.25">
      <c r="A44" s="14">
        <v>3</v>
      </c>
      <c r="B44" s="7" t="s">
        <v>20</v>
      </c>
      <c r="C44" s="63">
        <v>0</v>
      </c>
      <c r="D44" s="16">
        <v>0</v>
      </c>
      <c r="E44" s="16">
        <v>0</v>
      </c>
      <c r="F44" s="16">
        <v>48</v>
      </c>
      <c r="G44" s="16">
        <v>0</v>
      </c>
      <c r="H44" s="16">
        <v>0</v>
      </c>
      <c r="I44" s="16">
        <v>0</v>
      </c>
      <c r="J44" s="16">
        <v>25</v>
      </c>
      <c r="K44" s="16">
        <v>0</v>
      </c>
      <c r="L44" s="63">
        <v>0</v>
      </c>
      <c r="M44" s="16">
        <v>0</v>
      </c>
      <c r="N44" s="16">
        <v>0</v>
      </c>
      <c r="O44" s="18">
        <f t="shared" si="4"/>
        <v>73</v>
      </c>
      <c r="R44" s="124">
        <f t="shared" si="5"/>
        <v>73</v>
      </c>
    </row>
    <row r="45" spans="1:18" ht="18.75" customHeight="1" x14ac:dyDescent="0.25">
      <c r="A45" s="14">
        <v>4</v>
      </c>
      <c r="B45" s="15" t="s">
        <v>21</v>
      </c>
      <c r="C45" s="63">
        <v>2</v>
      </c>
      <c r="D45" s="16">
        <v>0</v>
      </c>
      <c r="E45" s="16">
        <v>29</v>
      </c>
      <c r="F45" s="16">
        <v>236</v>
      </c>
      <c r="G45" s="17">
        <v>1</v>
      </c>
      <c r="H45" s="16">
        <v>0</v>
      </c>
      <c r="I45" s="16">
        <v>0</v>
      </c>
      <c r="J45" s="16">
        <v>1</v>
      </c>
      <c r="K45" s="16">
        <v>0</v>
      </c>
      <c r="L45" s="63">
        <v>0</v>
      </c>
      <c r="M45" s="16">
        <v>0</v>
      </c>
      <c r="N45" s="16">
        <v>2</v>
      </c>
      <c r="O45" s="18">
        <f t="shared" si="4"/>
        <v>271</v>
      </c>
      <c r="R45" s="124">
        <f t="shared" si="5"/>
        <v>238</v>
      </c>
    </row>
    <row r="46" spans="1:18" ht="18.75" customHeight="1" x14ac:dyDescent="0.25">
      <c r="A46" s="14">
        <v>5</v>
      </c>
      <c r="B46" s="19" t="s">
        <v>22</v>
      </c>
      <c r="C46" s="63">
        <v>0</v>
      </c>
      <c r="D46" s="16">
        <v>0</v>
      </c>
      <c r="E46" s="16">
        <v>0</v>
      </c>
      <c r="F46" s="16">
        <v>217</v>
      </c>
      <c r="G46" s="16">
        <v>0</v>
      </c>
      <c r="H46" s="16">
        <v>0</v>
      </c>
      <c r="I46" s="16">
        <v>0</v>
      </c>
      <c r="J46" s="16">
        <v>3</v>
      </c>
      <c r="K46" s="16">
        <v>0</v>
      </c>
      <c r="L46" s="16">
        <v>22</v>
      </c>
      <c r="M46" s="16">
        <v>5</v>
      </c>
      <c r="N46" s="16">
        <v>0</v>
      </c>
      <c r="O46" s="18">
        <f t="shared" si="4"/>
        <v>247</v>
      </c>
      <c r="R46" s="124">
        <f t="shared" si="5"/>
        <v>220</v>
      </c>
    </row>
    <row r="47" spans="1:18" ht="18.75" customHeight="1" x14ac:dyDescent="0.25">
      <c r="A47" s="14">
        <v>6</v>
      </c>
      <c r="B47" s="19" t="s">
        <v>23</v>
      </c>
      <c r="C47" s="63">
        <v>19</v>
      </c>
      <c r="D47" s="16">
        <v>0</v>
      </c>
      <c r="E47" s="16">
        <v>0</v>
      </c>
      <c r="F47" s="16">
        <v>20</v>
      </c>
      <c r="G47" s="16">
        <v>35</v>
      </c>
      <c r="H47" s="16">
        <v>0</v>
      </c>
      <c r="I47" s="16">
        <v>0</v>
      </c>
      <c r="J47" s="16">
        <v>0</v>
      </c>
      <c r="K47" s="16">
        <v>23</v>
      </c>
      <c r="L47" s="16">
        <v>0</v>
      </c>
      <c r="M47" s="16">
        <v>0</v>
      </c>
      <c r="N47" s="16">
        <v>0</v>
      </c>
      <c r="O47" s="18">
        <f t="shared" si="4"/>
        <v>97</v>
      </c>
      <c r="R47" s="124">
        <f t="shared" si="5"/>
        <v>78</v>
      </c>
    </row>
    <row r="48" spans="1:18" ht="18.75" customHeight="1" x14ac:dyDescent="0.25">
      <c r="A48" s="14">
        <v>7</v>
      </c>
      <c r="B48" s="19" t="s">
        <v>24</v>
      </c>
      <c r="C48" s="63">
        <v>0</v>
      </c>
      <c r="D48" s="16">
        <v>0</v>
      </c>
      <c r="E48" s="16">
        <v>281</v>
      </c>
      <c r="F48" s="16">
        <v>108</v>
      </c>
      <c r="G48" s="16">
        <v>5</v>
      </c>
      <c r="H48" s="16">
        <v>0</v>
      </c>
      <c r="I48" s="16">
        <v>0</v>
      </c>
      <c r="J48" s="16">
        <v>93</v>
      </c>
      <c r="K48" s="16">
        <v>107</v>
      </c>
      <c r="L48" s="16">
        <v>49</v>
      </c>
      <c r="M48" s="16">
        <v>4</v>
      </c>
      <c r="N48" s="16">
        <v>2</v>
      </c>
      <c r="O48" s="18">
        <f t="shared" si="4"/>
        <v>649</v>
      </c>
      <c r="R48" s="124">
        <f t="shared" si="5"/>
        <v>313</v>
      </c>
    </row>
    <row r="49" spans="1:18" ht="18.75" customHeight="1" thickBot="1" x14ac:dyDescent="0.3">
      <c r="A49" s="20">
        <v>8</v>
      </c>
      <c r="B49" s="15" t="s">
        <v>25</v>
      </c>
      <c r="C49" s="64">
        <v>27</v>
      </c>
      <c r="D49" s="17">
        <v>0</v>
      </c>
      <c r="E49" s="17">
        <v>24</v>
      </c>
      <c r="F49" s="17">
        <v>268</v>
      </c>
      <c r="G49" s="17">
        <v>29</v>
      </c>
      <c r="H49" s="17">
        <v>0</v>
      </c>
      <c r="I49" s="17">
        <v>0</v>
      </c>
      <c r="J49" s="17">
        <v>32</v>
      </c>
      <c r="K49" s="17">
        <v>101</v>
      </c>
      <c r="L49" s="17">
        <v>34</v>
      </c>
      <c r="M49" s="17">
        <v>22</v>
      </c>
      <c r="N49" s="17">
        <v>0</v>
      </c>
      <c r="O49" s="21">
        <f t="shared" si="4"/>
        <v>537</v>
      </c>
      <c r="R49" s="124">
        <f t="shared" si="5"/>
        <v>430</v>
      </c>
    </row>
    <row r="50" spans="1:18" ht="18.75" customHeight="1" thickTop="1" x14ac:dyDescent="0.25">
      <c r="A50" s="176" t="s">
        <v>26</v>
      </c>
      <c r="B50" s="177"/>
      <c r="C50" s="22">
        <f t="shared" ref="C50:O50" si="6">SUM(C42:C49)</f>
        <v>53</v>
      </c>
      <c r="D50" s="22">
        <f t="shared" si="6"/>
        <v>2</v>
      </c>
      <c r="E50" s="22">
        <f t="shared" si="6"/>
        <v>356</v>
      </c>
      <c r="F50" s="22">
        <f t="shared" si="6"/>
        <v>1183</v>
      </c>
      <c r="G50" s="22">
        <f t="shared" si="6"/>
        <v>80</v>
      </c>
      <c r="H50" s="22">
        <f t="shared" si="6"/>
        <v>5</v>
      </c>
      <c r="I50" s="22">
        <f t="shared" si="6"/>
        <v>2</v>
      </c>
      <c r="J50" s="22">
        <f t="shared" si="6"/>
        <v>157</v>
      </c>
      <c r="K50" s="22">
        <f t="shared" si="6"/>
        <v>280</v>
      </c>
      <c r="L50" s="22">
        <f t="shared" si="6"/>
        <v>110</v>
      </c>
      <c r="M50" s="22">
        <f t="shared" si="6"/>
        <v>32</v>
      </c>
      <c r="N50" s="22">
        <f t="shared" si="6"/>
        <v>4</v>
      </c>
      <c r="O50" s="22">
        <f t="shared" si="6"/>
        <v>2264</v>
      </c>
      <c r="R50" s="124">
        <f t="shared" si="5"/>
        <v>1707</v>
      </c>
    </row>
    <row r="51" spans="1:18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8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8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L53" s="24"/>
      <c r="M53" s="24"/>
      <c r="N53" s="24"/>
      <c r="O53" s="24"/>
    </row>
    <row r="54" spans="1:18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</row>
    <row r="55" spans="1:18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8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8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8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8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8" ht="15.75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128" t="s">
        <v>93</v>
      </c>
      <c r="M60" s="24"/>
      <c r="N60" s="24"/>
      <c r="O60" s="24"/>
    </row>
    <row r="61" spans="1:18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8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8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8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8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8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8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8" ht="18.75" x14ac:dyDescent="0.3">
      <c r="A68" s="178" t="s">
        <v>28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8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8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27" t="s">
        <v>92</v>
      </c>
    </row>
    <row r="72" spans="1:18" x14ac:dyDescent="0.25">
      <c r="A72" s="183" t="s">
        <v>2</v>
      </c>
      <c r="B72" s="183" t="s">
        <v>3</v>
      </c>
      <c r="C72" s="185" t="s">
        <v>4</v>
      </c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3" t="s">
        <v>5</v>
      </c>
    </row>
    <row r="73" spans="1:18" x14ac:dyDescent="0.25">
      <c r="A73" s="184"/>
      <c r="B73" s="184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186"/>
    </row>
    <row r="74" spans="1:18" ht="15.75" thickBot="1" x14ac:dyDescent="0.3">
      <c r="A74" s="5">
        <v>1</v>
      </c>
      <c r="B74" s="5">
        <v>2</v>
      </c>
      <c r="C74" s="5">
        <v>3</v>
      </c>
      <c r="D74" s="5">
        <v>4</v>
      </c>
      <c r="E74" s="5">
        <v>5</v>
      </c>
      <c r="F74" s="5">
        <v>6</v>
      </c>
      <c r="G74" s="5">
        <v>7</v>
      </c>
      <c r="H74" s="5">
        <v>8</v>
      </c>
      <c r="I74" s="5">
        <v>9</v>
      </c>
      <c r="J74" s="5">
        <v>10</v>
      </c>
      <c r="K74" s="5">
        <v>11</v>
      </c>
      <c r="L74" s="5">
        <v>12</v>
      </c>
      <c r="M74" s="5">
        <v>13</v>
      </c>
      <c r="N74" s="5">
        <v>14</v>
      </c>
      <c r="O74" s="5">
        <v>15</v>
      </c>
    </row>
    <row r="75" spans="1:18" ht="18.75" customHeight="1" thickTop="1" x14ac:dyDescent="0.25">
      <c r="A75" s="6">
        <v>1</v>
      </c>
      <c r="B75" s="7" t="s">
        <v>18</v>
      </c>
      <c r="C75" s="65">
        <v>0</v>
      </c>
      <c r="D75" s="65">
        <v>9</v>
      </c>
      <c r="E75" s="9">
        <v>22</v>
      </c>
      <c r="F75" s="9">
        <v>486</v>
      </c>
      <c r="G75" s="28">
        <v>0</v>
      </c>
      <c r="H75" s="28">
        <v>0</v>
      </c>
      <c r="I75" s="28">
        <v>9</v>
      </c>
      <c r="J75" s="28">
        <v>13</v>
      </c>
      <c r="K75" s="28">
        <v>18</v>
      </c>
      <c r="L75" s="61">
        <v>7</v>
      </c>
      <c r="M75" s="28">
        <v>0</v>
      </c>
      <c r="N75" s="28">
        <v>0</v>
      </c>
      <c r="O75" s="10">
        <f>SUM(C75:N75)</f>
        <v>564</v>
      </c>
      <c r="R75" s="124">
        <f>SUM(F75:K75)</f>
        <v>526</v>
      </c>
    </row>
    <row r="76" spans="1:18" ht="18.75" customHeight="1" x14ac:dyDescent="0.25">
      <c r="A76" s="14">
        <v>2</v>
      </c>
      <c r="B76" s="12" t="s">
        <v>19</v>
      </c>
      <c r="C76" s="63">
        <v>28</v>
      </c>
      <c r="D76" s="16">
        <v>0</v>
      </c>
      <c r="E76" s="16">
        <v>168</v>
      </c>
      <c r="F76" s="16">
        <v>1697</v>
      </c>
      <c r="G76" s="16">
        <v>96</v>
      </c>
      <c r="H76" s="16">
        <v>43</v>
      </c>
      <c r="I76" s="16">
        <v>0</v>
      </c>
      <c r="J76" s="16">
        <v>0</v>
      </c>
      <c r="K76" s="16">
        <v>380</v>
      </c>
      <c r="L76" s="63">
        <v>20</v>
      </c>
      <c r="M76" s="16">
        <v>5</v>
      </c>
      <c r="N76" s="16">
        <v>0</v>
      </c>
      <c r="O76" s="18">
        <f t="shared" ref="O76:O82" si="7">SUM(C76:N76)</f>
        <v>2437</v>
      </c>
      <c r="R76" s="124">
        <f t="shared" ref="R76:R83" si="8">SUM(F76:K76)</f>
        <v>2216</v>
      </c>
    </row>
    <row r="77" spans="1:18" ht="18.75" customHeight="1" x14ac:dyDescent="0.25">
      <c r="A77" s="14">
        <v>3</v>
      </c>
      <c r="B77" s="7" t="s">
        <v>20</v>
      </c>
      <c r="C77" s="63">
        <v>0</v>
      </c>
      <c r="D77" s="16">
        <v>0</v>
      </c>
      <c r="E77" s="16">
        <v>0</v>
      </c>
      <c r="F77" s="16">
        <v>304</v>
      </c>
      <c r="G77" s="16">
        <v>0</v>
      </c>
      <c r="H77" s="16">
        <v>0</v>
      </c>
      <c r="I77" s="16">
        <v>0</v>
      </c>
      <c r="J77" s="16">
        <v>142</v>
      </c>
      <c r="K77" s="16">
        <v>0</v>
      </c>
      <c r="L77" s="63">
        <v>0</v>
      </c>
      <c r="M77" s="16">
        <v>0</v>
      </c>
      <c r="N77" s="16">
        <v>0</v>
      </c>
      <c r="O77" s="18">
        <f>SUM(C77:N77)</f>
        <v>446</v>
      </c>
      <c r="R77" s="124">
        <f t="shared" si="8"/>
        <v>446</v>
      </c>
    </row>
    <row r="78" spans="1:18" ht="18.75" customHeight="1" x14ac:dyDescent="0.25">
      <c r="A78" s="14">
        <v>4</v>
      </c>
      <c r="B78" s="15" t="s">
        <v>21</v>
      </c>
      <c r="C78" s="63">
        <v>10</v>
      </c>
      <c r="D78" s="16">
        <v>0</v>
      </c>
      <c r="E78" s="16">
        <v>161</v>
      </c>
      <c r="F78" s="17">
        <v>1490</v>
      </c>
      <c r="G78" s="17">
        <v>6</v>
      </c>
      <c r="H78" s="16">
        <v>0</v>
      </c>
      <c r="I78" s="16">
        <v>0</v>
      </c>
      <c r="J78" s="16">
        <v>5</v>
      </c>
      <c r="K78" s="16">
        <v>0</v>
      </c>
      <c r="L78" s="63">
        <v>0</v>
      </c>
      <c r="M78" s="16">
        <v>0</v>
      </c>
      <c r="N78" s="16">
        <v>11</v>
      </c>
      <c r="O78" s="18">
        <f>SUM(C78:N78)</f>
        <v>1683</v>
      </c>
      <c r="R78" s="124">
        <f t="shared" si="8"/>
        <v>1501</v>
      </c>
    </row>
    <row r="79" spans="1:18" ht="18.75" customHeight="1" x14ac:dyDescent="0.25">
      <c r="A79" s="14">
        <v>5</v>
      </c>
      <c r="B79" s="19" t="s">
        <v>22</v>
      </c>
      <c r="C79" s="63">
        <v>0</v>
      </c>
      <c r="D79" s="16">
        <v>0</v>
      </c>
      <c r="E79" s="16">
        <v>0</v>
      </c>
      <c r="F79" s="16">
        <v>1215</v>
      </c>
      <c r="G79" s="16">
        <v>0</v>
      </c>
      <c r="H79" s="16">
        <v>0</v>
      </c>
      <c r="I79" s="16">
        <v>0</v>
      </c>
      <c r="J79" s="16">
        <v>16</v>
      </c>
      <c r="K79" s="16">
        <v>0</v>
      </c>
      <c r="L79" s="16">
        <v>121</v>
      </c>
      <c r="M79" s="16">
        <v>26</v>
      </c>
      <c r="N79" s="16">
        <v>0</v>
      </c>
      <c r="O79" s="18">
        <f t="shared" si="7"/>
        <v>1378</v>
      </c>
      <c r="R79" s="124">
        <f t="shared" si="8"/>
        <v>1231</v>
      </c>
    </row>
    <row r="80" spans="1:18" ht="18.75" customHeight="1" x14ac:dyDescent="0.25">
      <c r="A80" s="14">
        <v>6</v>
      </c>
      <c r="B80" s="19" t="s">
        <v>23</v>
      </c>
      <c r="C80" s="63">
        <v>85</v>
      </c>
      <c r="D80" s="16">
        <v>0</v>
      </c>
      <c r="E80" s="16">
        <v>0</v>
      </c>
      <c r="F80" s="16">
        <v>114</v>
      </c>
      <c r="G80" s="16">
        <v>199</v>
      </c>
      <c r="H80" s="16">
        <v>0</v>
      </c>
      <c r="I80" s="16">
        <v>0</v>
      </c>
      <c r="J80" s="16">
        <v>0</v>
      </c>
      <c r="K80" s="16">
        <v>128</v>
      </c>
      <c r="L80" s="16">
        <v>0</v>
      </c>
      <c r="M80" s="16">
        <v>0</v>
      </c>
      <c r="N80" s="16">
        <v>0</v>
      </c>
      <c r="O80" s="18">
        <f t="shared" si="7"/>
        <v>526</v>
      </c>
      <c r="R80" s="124">
        <f t="shared" si="8"/>
        <v>441</v>
      </c>
    </row>
    <row r="81" spans="1:18" ht="18.75" customHeight="1" x14ac:dyDescent="0.25">
      <c r="A81" s="14">
        <v>7</v>
      </c>
      <c r="B81" s="19" t="s">
        <v>24</v>
      </c>
      <c r="C81" s="63">
        <v>0</v>
      </c>
      <c r="D81" s="16">
        <v>0</v>
      </c>
      <c r="E81" s="16">
        <v>1474</v>
      </c>
      <c r="F81" s="16">
        <v>562</v>
      </c>
      <c r="G81" s="16">
        <v>28</v>
      </c>
      <c r="H81" s="16">
        <v>0</v>
      </c>
      <c r="I81" s="16">
        <v>0</v>
      </c>
      <c r="J81" s="16">
        <v>488</v>
      </c>
      <c r="K81" s="16">
        <v>599</v>
      </c>
      <c r="L81" s="16">
        <v>270</v>
      </c>
      <c r="M81" s="16">
        <v>22</v>
      </c>
      <c r="N81" s="16">
        <v>11</v>
      </c>
      <c r="O81" s="18">
        <f t="shared" si="7"/>
        <v>3454</v>
      </c>
      <c r="R81" s="124">
        <f t="shared" si="8"/>
        <v>1677</v>
      </c>
    </row>
    <row r="82" spans="1:18" ht="18.75" customHeight="1" thickBot="1" x14ac:dyDescent="0.3">
      <c r="A82" s="20">
        <v>8</v>
      </c>
      <c r="B82" s="15" t="s">
        <v>25</v>
      </c>
      <c r="C82" s="64">
        <v>197</v>
      </c>
      <c r="D82" s="17">
        <v>0</v>
      </c>
      <c r="E82" s="17">
        <v>157</v>
      </c>
      <c r="F82" s="17">
        <v>1637</v>
      </c>
      <c r="G82" s="17">
        <v>185</v>
      </c>
      <c r="H82" s="17">
        <v>0</v>
      </c>
      <c r="I82" s="17">
        <v>0</v>
      </c>
      <c r="J82" s="17">
        <v>176</v>
      </c>
      <c r="K82" s="17">
        <v>661</v>
      </c>
      <c r="L82" s="17">
        <v>219</v>
      </c>
      <c r="M82" s="17">
        <v>142</v>
      </c>
      <c r="N82" s="17">
        <v>0</v>
      </c>
      <c r="O82" s="21">
        <f t="shared" si="7"/>
        <v>3374</v>
      </c>
      <c r="R82" s="124">
        <f t="shared" si="8"/>
        <v>2659</v>
      </c>
    </row>
    <row r="83" spans="1:18" ht="18.75" customHeight="1" thickTop="1" x14ac:dyDescent="0.25">
      <c r="A83" s="176" t="s">
        <v>26</v>
      </c>
      <c r="B83" s="177"/>
      <c r="C83" s="22">
        <f>SUM(C75:C82)</f>
        <v>320</v>
      </c>
      <c r="D83" s="22">
        <f t="shared" ref="D83:N83" si="9">SUM(D75:D82)</f>
        <v>9</v>
      </c>
      <c r="E83" s="22">
        <f t="shared" si="9"/>
        <v>1982</v>
      </c>
      <c r="F83" s="22">
        <f t="shared" si="9"/>
        <v>7505</v>
      </c>
      <c r="G83" s="22">
        <f t="shared" si="9"/>
        <v>514</v>
      </c>
      <c r="H83" s="22">
        <f t="shared" si="9"/>
        <v>43</v>
      </c>
      <c r="I83" s="22">
        <f t="shared" si="9"/>
        <v>9</v>
      </c>
      <c r="J83" s="22">
        <f t="shared" si="9"/>
        <v>840</v>
      </c>
      <c r="K83" s="22">
        <f t="shared" si="9"/>
        <v>1786</v>
      </c>
      <c r="L83" s="22">
        <f t="shared" si="9"/>
        <v>637</v>
      </c>
      <c r="M83" s="22">
        <f t="shared" si="9"/>
        <v>195</v>
      </c>
      <c r="N83" s="22">
        <f t="shared" si="9"/>
        <v>22</v>
      </c>
      <c r="O83" s="22">
        <f>SUM(O75:O82)</f>
        <v>13862</v>
      </c>
      <c r="R83" s="124">
        <f t="shared" si="8"/>
        <v>10697</v>
      </c>
    </row>
    <row r="84" spans="1:18" x14ac:dyDescent="0.25">
      <c r="A84" s="23"/>
      <c r="B84" s="23"/>
      <c r="C84" s="23"/>
      <c r="D84" s="30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8" x14ac:dyDescent="0.25">
      <c r="A85" s="24"/>
      <c r="B85" s="24"/>
      <c r="C85" s="24"/>
      <c r="E85" s="24"/>
      <c r="F85" s="24"/>
      <c r="G85" s="24"/>
      <c r="H85" s="24"/>
      <c r="I85" s="24"/>
      <c r="J85" s="121"/>
      <c r="K85" s="24"/>
      <c r="L85" s="24"/>
      <c r="M85" s="24"/>
      <c r="N85" s="24"/>
      <c r="O85" s="121"/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121"/>
      <c r="L86" s="24"/>
      <c r="M86" s="24"/>
      <c r="N86" s="121"/>
      <c r="O86" s="24"/>
    </row>
    <row r="87" spans="1:1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128" t="s">
        <v>93</v>
      </c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8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8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8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8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8" ht="18.75" x14ac:dyDescent="0.3">
      <c r="A101" s="178" t="s">
        <v>30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8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8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8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8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8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8" ht="18.75" customHeight="1" thickTop="1" x14ac:dyDescent="0.25">
      <c r="A108" s="27">
        <v>1</v>
      </c>
      <c r="B108" s="7" t="s">
        <v>18</v>
      </c>
      <c r="C108" s="66">
        <v>0</v>
      </c>
      <c r="D108" s="66">
        <v>43</v>
      </c>
      <c r="E108" s="72">
        <v>45</v>
      </c>
      <c r="F108" s="32">
        <v>45</v>
      </c>
      <c r="G108" s="32">
        <v>0</v>
      </c>
      <c r="H108" s="32">
        <v>0</v>
      </c>
      <c r="I108" s="32">
        <v>45</v>
      </c>
      <c r="J108" s="32">
        <v>45.03</v>
      </c>
      <c r="K108" s="32">
        <v>45</v>
      </c>
      <c r="L108" s="67">
        <v>35.049999999999997</v>
      </c>
      <c r="M108" s="32">
        <v>0</v>
      </c>
      <c r="N108" s="28">
        <v>0</v>
      </c>
      <c r="O108" s="33">
        <f t="shared" ref="O108:O115" si="10">O75/O42*10</f>
        <v>45.483870967741936</v>
      </c>
      <c r="Q108" s="65">
        <v>0</v>
      </c>
    </row>
    <row r="109" spans="1:18" ht="18.75" customHeight="1" x14ac:dyDescent="0.25">
      <c r="A109" s="14">
        <v>2</v>
      </c>
      <c r="B109" s="12" t="s">
        <v>19</v>
      </c>
      <c r="C109" s="68">
        <v>55.65</v>
      </c>
      <c r="D109" s="16">
        <v>0</v>
      </c>
      <c r="E109" s="34">
        <v>99</v>
      </c>
      <c r="F109" s="34">
        <v>95.35</v>
      </c>
      <c r="G109" s="34">
        <v>96.32</v>
      </c>
      <c r="H109" s="34">
        <v>86</v>
      </c>
      <c r="I109" s="16">
        <v>0</v>
      </c>
      <c r="J109" s="34">
        <v>0</v>
      </c>
      <c r="K109" s="34">
        <v>80.760000000000005</v>
      </c>
      <c r="L109" s="68">
        <v>65.3</v>
      </c>
      <c r="M109" s="34">
        <v>50.12</v>
      </c>
      <c r="N109" s="16">
        <v>0</v>
      </c>
      <c r="O109" s="35">
        <f t="shared" si="10"/>
        <v>91.616541353383454</v>
      </c>
      <c r="P109" s="75">
        <f>SUM(C109:O109)/8</f>
        <v>90.014567669172934</v>
      </c>
      <c r="Q109" s="63">
        <v>5</v>
      </c>
    </row>
    <row r="110" spans="1:18" ht="18.75" customHeight="1" x14ac:dyDescent="0.25">
      <c r="A110" s="14">
        <v>3</v>
      </c>
      <c r="B110" s="7" t="s">
        <v>20</v>
      </c>
      <c r="C110" s="68">
        <v>0</v>
      </c>
      <c r="D110" s="16">
        <v>0</v>
      </c>
      <c r="E110" s="34">
        <v>0</v>
      </c>
      <c r="F110" s="34">
        <v>63.3</v>
      </c>
      <c r="G110" s="34">
        <v>0</v>
      </c>
      <c r="H110" s="34">
        <v>0</v>
      </c>
      <c r="I110" s="16">
        <v>0</v>
      </c>
      <c r="J110" s="34">
        <v>57</v>
      </c>
      <c r="K110" s="34">
        <v>0</v>
      </c>
      <c r="L110" s="68">
        <v>0</v>
      </c>
      <c r="M110" s="34">
        <v>0</v>
      </c>
      <c r="N110" s="16">
        <v>0</v>
      </c>
      <c r="O110" s="35">
        <f>O77/O44*10</f>
        <v>61.095890410958908</v>
      </c>
      <c r="Q110" s="63">
        <v>0</v>
      </c>
    </row>
    <row r="111" spans="1:18" ht="18.75" customHeight="1" x14ac:dyDescent="0.25">
      <c r="A111" s="14">
        <v>4</v>
      </c>
      <c r="B111" s="15" t="s">
        <v>21</v>
      </c>
      <c r="C111" s="68">
        <v>52.12</v>
      </c>
      <c r="D111" s="16">
        <v>0</v>
      </c>
      <c r="E111" s="34">
        <v>55.68</v>
      </c>
      <c r="F111" s="34">
        <v>63.14</v>
      </c>
      <c r="G111" s="36">
        <v>64.23</v>
      </c>
      <c r="H111" s="34">
        <v>0</v>
      </c>
      <c r="I111" s="16">
        <v>0</v>
      </c>
      <c r="J111" s="34">
        <v>50.33</v>
      </c>
      <c r="K111" s="34">
        <v>0</v>
      </c>
      <c r="L111" s="68">
        <v>0</v>
      </c>
      <c r="M111" s="34">
        <v>0</v>
      </c>
      <c r="N111" s="34">
        <v>54.6</v>
      </c>
      <c r="O111" s="35">
        <f t="shared" si="10"/>
        <v>62.103321033210328</v>
      </c>
      <c r="Q111" s="63">
        <v>2</v>
      </c>
      <c r="R111" s="75">
        <f>SUM(C111:N111)/6</f>
        <v>56.683333333333337</v>
      </c>
    </row>
    <row r="112" spans="1:18" ht="18.75" customHeight="1" x14ac:dyDescent="0.25">
      <c r="A112" s="14">
        <v>5</v>
      </c>
      <c r="B112" s="19" t="s">
        <v>22</v>
      </c>
      <c r="C112" s="68">
        <v>0</v>
      </c>
      <c r="D112" s="16">
        <v>0</v>
      </c>
      <c r="E112" s="34">
        <v>0</v>
      </c>
      <c r="F112" s="34">
        <v>56</v>
      </c>
      <c r="G112" s="34">
        <v>0</v>
      </c>
      <c r="H112" s="34">
        <v>0</v>
      </c>
      <c r="I112" s="16">
        <v>0</v>
      </c>
      <c r="J112" s="34">
        <v>52.46</v>
      </c>
      <c r="K112" s="34">
        <v>0</v>
      </c>
      <c r="L112" s="34">
        <v>55.15</v>
      </c>
      <c r="M112" s="34">
        <v>51.1</v>
      </c>
      <c r="N112" s="16">
        <v>0</v>
      </c>
      <c r="O112" s="35">
        <f t="shared" si="10"/>
        <v>55.78947368421052</v>
      </c>
      <c r="Q112" s="63">
        <v>0</v>
      </c>
    </row>
    <row r="113" spans="1:18" ht="18.75" customHeight="1" x14ac:dyDescent="0.25">
      <c r="A113" s="14">
        <v>6</v>
      </c>
      <c r="B113" s="19" t="s">
        <v>23</v>
      </c>
      <c r="C113" s="68">
        <v>44.72</v>
      </c>
      <c r="D113" s="16">
        <v>0</v>
      </c>
      <c r="E113" s="34">
        <v>0</v>
      </c>
      <c r="F113" s="34">
        <v>57</v>
      </c>
      <c r="G113" s="34">
        <v>57</v>
      </c>
      <c r="H113" s="34">
        <v>0</v>
      </c>
      <c r="I113" s="16">
        <v>0</v>
      </c>
      <c r="J113" s="34">
        <v>0</v>
      </c>
      <c r="K113" s="34">
        <v>55</v>
      </c>
      <c r="L113" s="34">
        <v>0</v>
      </c>
      <c r="M113" s="34">
        <v>0</v>
      </c>
      <c r="N113" s="16">
        <v>0</v>
      </c>
      <c r="O113" s="35">
        <f t="shared" si="10"/>
        <v>54.226804123711347</v>
      </c>
      <c r="Q113" s="63">
        <v>19</v>
      </c>
    </row>
    <row r="114" spans="1:18" ht="18.75" customHeight="1" x14ac:dyDescent="0.25">
      <c r="A114" s="14">
        <v>7</v>
      </c>
      <c r="B114" s="19" t="s">
        <v>24</v>
      </c>
      <c r="C114" s="68">
        <v>0</v>
      </c>
      <c r="D114" s="16">
        <v>0</v>
      </c>
      <c r="E114" s="34">
        <v>52.46</v>
      </c>
      <c r="F114" s="34">
        <v>52</v>
      </c>
      <c r="G114" s="34">
        <v>57</v>
      </c>
      <c r="H114" s="34">
        <v>0</v>
      </c>
      <c r="I114" s="16">
        <v>0</v>
      </c>
      <c r="J114" s="34">
        <v>52.5</v>
      </c>
      <c r="K114" s="34">
        <v>56</v>
      </c>
      <c r="L114" s="34">
        <v>55.17</v>
      </c>
      <c r="M114" s="34">
        <v>56.12</v>
      </c>
      <c r="N114" s="34">
        <v>54.2</v>
      </c>
      <c r="O114" s="35">
        <f t="shared" si="10"/>
        <v>53.220338983050851</v>
      </c>
      <c r="Q114" s="63">
        <v>0</v>
      </c>
    </row>
    <row r="115" spans="1:18" ht="18.75" customHeight="1" thickBot="1" x14ac:dyDescent="0.3">
      <c r="A115" s="20">
        <v>8</v>
      </c>
      <c r="B115" s="15" t="s">
        <v>25</v>
      </c>
      <c r="C115" s="69">
        <v>72.92</v>
      </c>
      <c r="D115" s="17">
        <v>0</v>
      </c>
      <c r="E115" s="36">
        <v>65.39</v>
      </c>
      <c r="F115" s="36">
        <v>61.09</v>
      </c>
      <c r="G115" s="36">
        <v>63.98</v>
      </c>
      <c r="H115" s="36">
        <v>0</v>
      </c>
      <c r="I115" s="34">
        <v>0</v>
      </c>
      <c r="J115" s="36">
        <v>55</v>
      </c>
      <c r="K115" s="36">
        <v>65.5</v>
      </c>
      <c r="L115" s="36">
        <v>64.5</v>
      </c>
      <c r="M115" s="36">
        <v>64.5</v>
      </c>
      <c r="N115" s="17">
        <v>0</v>
      </c>
      <c r="O115" s="37">
        <f t="shared" si="10"/>
        <v>62.830540037243949</v>
      </c>
      <c r="Q115" s="64">
        <v>27</v>
      </c>
    </row>
    <row r="116" spans="1:18" ht="18.75" customHeight="1" thickTop="1" x14ac:dyDescent="0.25">
      <c r="A116" s="176" t="s">
        <v>26</v>
      </c>
      <c r="B116" s="177"/>
      <c r="C116" s="38">
        <f>C83/C50*10</f>
        <v>60.377358490566039</v>
      </c>
      <c r="D116" s="38">
        <v>43</v>
      </c>
      <c r="E116" s="38">
        <f>E83/E50*10</f>
        <v>55.674157303370784</v>
      </c>
      <c r="F116" s="38">
        <f>F83/F50*10</f>
        <v>63.440405748098058</v>
      </c>
      <c r="G116" s="38">
        <f t="shared" ref="G116:M116" si="11">G83/G50*10</f>
        <v>64.25</v>
      </c>
      <c r="H116" s="38">
        <f t="shared" si="11"/>
        <v>86</v>
      </c>
      <c r="I116" s="38">
        <f t="shared" si="11"/>
        <v>45</v>
      </c>
      <c r="J116" s="38">
        <f t="shared" si="11"/>
        <v>53.503184713375795</v>
      </c>
      <c r="K116" s="38">
        <f t="shared" si="11"/>
        <v>63.785714285714292</v>
      </c>
      <c r="L116" s="38">
        <f>L83/L50*10</f>
        <v>57.909090909090907</v>
      </c>
      <c r="M116" s="38">
        <f t="shared" si="11"/>
        <v>60.9375</v>
      </c>
      <c r="N116" s="38">
        <v>54.4</v>
      </c>
      <c r="O116" s="38">
        <f>SUM(O108:O115)/8</f>
        <v>60.795847574188912</v>
      </c>
      <c r="P116">
        <f>O83/O50*10</f>
        <v>61.227915194346288</v>
      </c>
      <c r="Q116" s="75">
        <f>SUM(C116:N116)/12</f>
        <v>59.023117620851316</v>
      </c>
      <c r="R116" s="75">
        <f>SUM(O108:O115)/8</f>
        <v>60.795847574188912</v>
      </c>
    </row>
    <row r="117" spans="1:18" x14ac:dyDescent="0.25">
      <c r="A117" s="23"/>
      <c r="B117" s="23"/>
      <c r="C117" s="23"/>
      <c r="D117" s="23"/>
      <c r="E117" s="23"/>
      <c r="F117" s="23"/>
      <c r="G117" s="23"/>
      <c r="H117" s="39"/>
      <c r="I117" s="23"/>
      <c r="J117" s="23"/>
      <c r="K117" s="23"/>
      <c r="L117" s="23"/>
      <c r="M117" s="23"/>
      <c r="N117" s="23"/>
      <c r="O117" s="23"/>
    </row>
    <row r="127" spans="1:18" ht="15.75" x14ac:dyDescent="0.3">
      <c r="L127" s="128" t="s">
        <v>93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0"/>
  <sheetViews>
    <sheetView tabSelected="1" workbookViewId="0">
      <selection activeCell="C9" sqref="C9:C16"/>
    </sheetView>
  </sheetViews>
  <sheetFormatPr defaultRowHeight="15" x14ac:dyDescent="0.25"/>
  <cols>
    <col min="1" max="1" width="4" customWidth="1"/>
    <col min="2" max="2" width="17.42578125" customWidth="1"/>
    <col min="3" max="15" width="8.5703125" customWidth="1"/>
  </cols>
  <sheetData>
    <row r="2" spans="1:15" ht="18.75" x14ac:dyDescent="0.3">
      <c r="A2" s="178" t="s">
        <v>32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5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179" t="s">
        <v>2</v>
      </c>
      <c r="B6" s="179" t="s">
        <v>3</v>
      </c>
      <c r="C6" s="181" t="s">
        <v>4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79" t="s">
        <v>5</v>
      </c>
    </row>
    <row r="7" spans="1:15" x14ac:dyDescent="0.25">
      <c r="A7" s="180"/>
      <c r="B7" s="180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182"/>
    </row>
    <row r="8" spans="1:15" ht="15.75" thickBot="1" x14ac:dyDescent="0.3">
      <c r="A8" s="5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</row>
    <row r="9" spans="1:15" ht="18.75" customHeight="1" thickTop="1" x14ac:dyDescent="0.25">
      <c r="A9" s="6">
        <v>1</v>
      </c>
      <c r="B9" s="7" t="s">
        <v>18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f>SUM(C9:N9)</f>
        <v>0</v>
      </c>
    </row>
    <row r="10" spans="1:15" ht="18.75" customHeight="1" x14ac:dyDescent="0.25">
      <c r="A10" s="11">
        <v>2</v>
      </c>
      <c r="B10" s="12" t="s">
        <v>19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f t="shared" ref="O10:O16" si="0">SUM(C10:N10)</f>
        <v>0</v>
      </c>
    </row>
    <row r="11" spans="1:15" ht="18.75" customHeight="1" x14ac:dyDescent="0.25">
      <c r="A11" s="11">
        <v>3</v>
      </c>
      <c r="B11" s="7" t="s">
        <v>20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f t="shared" si="0"/>
        <v>0</v>
      </c>
    </row>
    <row r="12" spans="1:15" ht="18.75" customHeight="1" x14ac:dyDescent="0.25">
      <c r="A12" s="14">
        <v>4</v>
      </c>
      <c r="B12" s="15" t="s">
        <v>21</v>
      </c>
      <c r="C12" s="17">
        <v>1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6">
        <f t="shared" si="0"/>
        <v>1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4</v>
      </c>
      <c r="N16" s="17">
        <v>0</v>
      </c>
      <c r="O16" s="40">
        <f t="shared" si="0"/>
        <v>4</v>
      </c>
    </row>
    <row r="17" spans="1:15" ht="18.75" customHeight="1" thickTop="1" x14ac:dyDescent="0.25">
      <c r="A17" s="176" t="s">
        <v>26</v>
      </c>
      <c r="B17" s="177"/>
      <c r="C17" s="22">
        <f t="shared" ref="C17:O17" si="1">SUM(C9:C16)</f>
        <v>1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4</v>
      </c>
      <c r="N17" s="22">
        <f t="shared" si="1"/>
        <v>0</v>
      </c>
      <c r="O17" s="22">
        <f t="shared" si="1"/>
        <v>5</v>
      </c>
    </row>
    <row r="18" spans="1:15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19" spans="1:15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5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M20" s="24"/>
      <c r="N20" s="24"/>
      <c r="O20" s="24"/>
    </row>
    <row r="21" spans="1:15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15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  <row r="23" spans="1: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spans="1:15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</row>
    <row r="25" spans="1:15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spans="1:15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ht="15.75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128" t="s">
        <v>93</v>
      </c>
      <c r="M27" s="24"/>
      <c r="N27" s="24"/>
      <c r="O27" s="24"/>
    </row>
    <row r="28" spans="1:15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1:15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spans="1:15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</row>
    <row r="31" spans="1:15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spans="1:15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</row>
    <row r="33" spans="1:15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</row>
    <row r="34" spans="1:15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5" ht="18.75" x14ac:dyDescent="0.3">
      <c r="A35" s="178" t="s">
        <v>82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5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5" ht="18.75" x14ac:dyDescent="0.3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5" x14ac:dyDescent="0.25">
      <c r="A40" s="180"/>
      <c r="B40" s="180"/>
      <c r="C40" s="119" t="s">
        <v>6</v>
      </c>
      <c r="D40" s="119" t="s">
        <v>7</v>
      </c>
      <c r="E40" s="119" t="s">
        <v>8</v>
      </c>
      <c r="F40" s="119" t="s">
        <v>9</v>
      </c>
      <c r="G40" s="119" t="s">
        <v>10</v>
      </c>
      <c r="H40" s="119" t="s">
        <v>11</v>
      </c>
      <c r="I40" s="119" t="s">
        <v>12</v>
      </c>
      <c r="J40" s="119" t="s">
        <v>13</v>
      </c>
      <c r="K40" s="119" t="s">
        <v>14</v>
      </c>
      <c r="L40" s="119" t="s">
        <v>15</v>
      </c>
      <c r="M40" s="119" t="s">
        <v>16</v>
      </c>
      <c r="N40" s="119" t="s">
        <v>17</v>
      </c>
      <c r="O40" s="182"/>
    </row>
    <row r="41" spans="1:15" ht="15.75" thickBot="1" x14ac:dyDescent="0.3">
      <c r="A41" s="5">
        <v>1</v>
      </c>
      <c r="B41" s="5">
        <v>2</v>
      </c>
      <c r="C41" s="5">
        <v>3</v>
      </c>
      <c r="D41" s="5">
        <v>4</v>
      </c>
      <c r="E41" s="5">
        <v>5</v>
      </c>
      <c r="F41" s="5">
        <v>6</v>
      </c>
      <c r="G41" s="5">
        <v>7</v>
      </c>
      <c r="H41" s="5">
        <v>8</v>
      </c>
      <c r="I41" s="5">
        <v>9</v>
      </c>
      <c r="J41" s="5">
        <v>10</v>
      </c>
      <c r="K41" s="5">
        <v>11</v>
      </c>
      <c r="L41" s="5">
        <v>12</v>
      </c>
      <c r="M41" s="5">
        <v>13</v>
      </c>
      <c r="N41" s="5">
        <v>14</v>
      </c>
      <c r="O41" s="5">
        <v>15</v>
      </c>
    </row>
    <row r="42" spans="1:15" ht="18.75" customHeight="1" thickTop="1" x14ac:dyDescent="0.25">
      <c r="A42" s="6">
        <v>1</v>
      </c>
      <c r="B42" s="7" t="s">
        <v>18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8</v>
      </c>
      <c r="L42" s="9">
        <v>0</v>
      </c>
      <c r="M42" s="9">
        <v>0</v>
      </c>
      <c r="N42" s="9">
        <v>2</v>
      </c>
      <c r="O42" s="9">
        <f>SUM(C42:N42)</f>
        <v>10</v>
      </c>
    </row>
    <row r="43" spans="1:15" ht="18.75" customHeight="1" x14ac:dyDescent="0.25">
      <c r="A43" s="11">
        <v>2</v>
      </c>
      <c r="B43" s="12" t="s">
        <v>19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22</v>
      </c>
      <c r="O43" s="8">
        <f t="shared" ref="O43:O49" si="2">SUM(C43:N43)</f>
        <v>22</v>
      </c>
    </row>
    <row r="44" spans="1:15" ht="18.75" customHeight="1" x14ac:dyDescent="0.25">
      <c r="A44" s="11">
        <v>3</v>
      </c>
      <c r="B44" s="7" t="s">
        <v>20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f t="shared" si="2"/>
        <v>0</v>
      </c>
    </row>
    <row r="45" spans="1:15" ht="18.75" customHeight="1" x14ac:dyDescent="0.25">
      <c r="A45" s="14">
        <v>4</v>
      </c>
      <c r="B45" s="15" t="s">
        <v>21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6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40">
        <f t="shared" si="2"/>
        <v>0</v>
      </c>
    </row>
    <row r="50" spans="1:15" ht="18.75" customHeight="1" thickTop="1" x14ac:dyDescent="0.25">
      <c r="A50" s="176" t="s">
        <v>26</v>
      </c>
      <c r="B50" s="177"/>
      <c r="C50" s="22">
        <f t="shared" ref="C50:O50" si="3">SUM(C42:C49)</f>
        <v>0</v>
      </c>
      <c r="D50" s="22">
        <f t="shared" si="3"/>
        <v>0</v>
      </c>
      <c r="E50" s="22">
        <f t="shared" si="3"/>
        <v>0</v>
      </c>
      <c r="F50" s="22">
        <f t="shared" si="3"/>
        <v>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8</v>
      </c>
      <c r="L50" s="22">
        <f t="shared" si="3"/>
        <v>0</v>
      </c>
      <c r="M50" s="22">
        <f t="shared" si="3"/>
        <v>0</v>
      </c>
      <c r="N50" s="22">
        <f t="shared" si="3"/>
        <v>24</v>
      </c>
      <c r="O50" s="22">
        <f t="shared" si="3"/>
        <v>32</v>
      </c>
    </row>
    <row r="60" spans="1:15" ht="15.75" x14ac:dyDescent="0.3">
      <c r="L60" s="128" t="s">
        <v>93</v>
      </c>
    </row>
  </sheetData>
  <mergeCells count="14">
    <mergeCell ref="A17:B17"/>
    <mergeCell ref="A2:O2"/>
    <mergeCell ref="A3:O3"/>
    <mergeCell ref="A6:A7"/>
    <mergeCell ref="B6:B7"/>
    <mergeCell ref="C6:N6"/>
    <mergeCell ref="O6:O7"/>
    <mergeCell ref="A50:B50"/>
    <mergeCell ref="A35:O35"/>
    <mergeCell ref="A36:O36"/>
    <mergeCell ref="A39:A40"/>
    <mergeCell ref="B39:B40"/>
    <mergeCell ref="C39:N39"/>
    <mergeCell ref="O39:O40"/>
  </mergeCells>
  <pageMargins left="1.5748031496062993" right="0.70866141732283472" top="0.94488188976377963" bottom="0.74803149606299213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6"/>
  <sheetViews>
    <sheetView zoomScaleNormal="100" workbookViewId="0">
      <selection activeCell="O77" sqref="O77"/>
    </sheetView>
  </sheetViews>
  <sheetFormatPr defaultRowHeight="15" x14ac:dyDescent="0.25"/>
  <cols>
    <col min="1" max="1" width="4" customWidth="1"/>
    <col min="2" max="2" width="14.85546875" customWidth="1"/>
    <col min="3" max="15" width="8.5703125" customWidth="1"/>
  </cols>
  <sheetData>
    <row r="2" spans="1:15" ht="18.75" x14ac:dyDescent="0.3">
      <c r="A2" s="178" t="s">
        <v>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5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5" x14ac:dyDescent="0.25">
      <c r="A6" s="179" t="s">
        <v>2</v>
      </c>
      <c r="B6" s="179" t="s">
        <v>3</v>
      </c>
      <c r="C6" s="181" t="s">
        <v>4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79" t="s">
        <v>5</v>
      </c>
    </row>
    <row r="7" spans="1:15" x14ac:dyDescent="0.25">
      <c r="A7" s="180"/>
      <c r="B7" s="1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182"/>
    </row>
    <row r="8" spans="1:15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5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42">
        <f>SUM(C9:N9)</f>
        <v>0</v>
      </c>
    </row>
    <row r="10" spans="1:15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</row>
    <row r="11" spans="1:15" ht="18.75" customHeight="1" x14ac:dyDescent="0.25">
      <c r="A11" s="14">
        <v>3</v>
      </c>
      <c r="B11" s="7" t="s">
        <v>20</v>
      </c>
      <c r="C11" s="16">
        <v>25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15</v>
      </c>
      <c r="O11" s="18">
        <f t="shared" si="0"/>
        <v>40</v>
      </c>
    </row>
    <row r="12" spans="1:15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0</v>
      </c>
    </row>
    <row r="13" spans="1:15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0</v>
      </c>
    </row>
    <row r="14" spans="1:15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</row>
    <row r="15" spans="1:15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</row>
    <row r="16" spans="1:15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43">
        <f t="shared" si="0"/>
        <v>0</v>
      </c>
    </row>
    <row r="17" spans="1:15" ht="18.75" customHeight="1" thickTop="1" x14ac:dyDescent="0.25">
      <c r="A17" s="176" t="s">
        <v>26</v>
      </c>
      <c r="B17" s="177"/>
      <c r="C17" s="22">
        <f t="shared" ref="C17:O17" si="1">SUM(C9:C16)</f>
        <v>25</v>
      </c>
      <c r="D17" s="22">
        <f t="shared" si="1"/>
        <v>0</v>
      </c>
      <c r="E17" s="22">
        <f t="shared" si="1"/>
        <v>0</v>
      </c>
      <c r="F17" s="22">
        <f t="shared" si="1"/>
        <v>0</v>
      </c>
      <c r="G17" s="22">
        <f t="shared" si="1"/>
        <v>0</v>
      </c>
      <c r="H17" s="22">
        <f t="shared" si="1"/>
        <v>0</v>
      </c>
      <c r="I17" s="22">
        <f t="shared" si="1"/>
        <v>0</v>
      </c>
      <c r="J17" s="22">
        <f t="shared" si="1"/>
        <v>0</v>
      </c>
      <c r="K17" s="22">
        <f t="shared" si="1"/>
        <v>0</v>
      </c>
      <c r="L17" s="22">
        <f t="shared" si="1"/>
        <v>0</v>
      </c>
      <c r="M17" s="22">
        <f t="shared" si="1"/>
        <v>0</v>
      </c>
      <c r="N17" s="22">
        <f t="shared" si="1"/>
        <v>15</v>
      </c>
      <c r="O17" s="22">
        <f t="shared" si="1"/>
        <v>40</v>
      </c>
    </row>
    <row r="18" spans="1:1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15" x14ac:dyDescent="0.25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1:15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M21" s="41"/>
      <c r="N21" s="41"/>
      <c r="O21" s="41"/>
    </row>
    <row r="22" spans="1:15" x14ac:dyDescent="0.25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spans="1:15" x14ac:dyDescent="0.25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spans="1:15" x14ac:dyDescent="0.25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spans="1:15" x14ac:dyDescent="0.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 x14ac:dyDescent="0.2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 ht="15.75" x14ac:dyDescent="0.3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128" t="s">
        <v>93</v>
      </c>
      <c r="M27" s="41"/>
      <c r="N27" s="41"/>
      <c r="O27" s="41"/>
    </row>
    <row r="28" spans="1:15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 x14ac:dyDescent="0.2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 x14ac:dyDescent="0.2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1:15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</row>
    <row r="35" spans="1:15" ht="18.75" x14ac:dyDescent="0.3">
      <c r="A35" s="178" t="s">
        <v>34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5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5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5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5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5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5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42">
        <f>SUM(C42:N42)</f>
        <v>0</v>
      </c>
    </row>
    <row r="43" spans="1:15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2">SUM(C43:N43)</f>
        <v>0</v>
      </c>
    </row>
    <row r="44" spans="1:15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25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2"/>
        <v>25</v>
      </c>
    </row>
    <row r="45" spans="1:15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2"/>
        <v>0</v>
      </c>
    </row>
    <row r="46" spans="1:15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2"/>
        <v>0</v>
      </c>
    </row>
    <row r="47" spans="1:15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2"/>
        <v>0</v>
      </c>
    </row>
    <row r="48" spans="1:15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2"/>
        <v>0</v>
      </c>
    </row>
    <row r="49" spans="1:15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43">
        <f t="shared" si="2"/>
        <v>0</v>
      </c>
    </row>
    <row r="50" spans="1:15" ht="18.75" customHeight="1" thickTop="1" x14ac:dyDescent="0.25">
      <c r="A50" s="176" t="s">
        <v>26</v>
      </c>
      <c r="B50" s="177"/>
      <c r="C50" s="22">
        <f t="shared" ref="C50:O50" si="3">SUM(C42:C49)</f>
        <v>0</v>
      </c>
      <c r="D50" s="22">
        <f t="shared" si="3"/>
        <v>0</v>
      </c>
      <c r="E50" s="22">
        <f t="shared" si="3"/>
        <v>25</v>
      </c>
      <c r="F50" s="22">
        <f t="shared" si="3"/>
        <v>0</v>
      </c>
      <c r="G50" s="22">
        <f t="shared" si="3"/>
        <v>0</v>
      </c>
      <c r="H50" s="22">
        <f t="shared" si="3"/>
        <v>0</v>
      </c>
      <c r="I50" s="22">
        <f t="shared" si="3"/>
        <v>0</v>
      </c>
      <c r="J50" s="22">
        <f t="shared" si="3"/>
        <v>0</v>
      </c>
      <c r="K50" s="22">
        <f t="shared" si="3"/>
        <v>0</v>
      </c>
      <c r="L50" s="22">
        <f t="shared" si="3"/>
        <v>0</v>
      </c>
      <c r="M50" s="22">
        <f t="shared" si="3"/>
        <v>0</v>
      </c>
      <c r="N50" s="22">
        <f t="shared" si="3"/>
        <v>0</v>
      </c>
      <c r="O50" s="22">
        <f t="shared" si="3"/>
        <v>25</v>
      </c>
    </row>
    <row r="51" spans="1:15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5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5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</row>
    <row r="55" spans="1:15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5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5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5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5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5" ht="15.75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128" t="s">
        <v>93</v>
      </c>
      <c r="M60" s="24"/>
      <c r="N60" s="24"/>
      <c r="O60" s="24"/>
    </row>
    <row r="61" spans="1:15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5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5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5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5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5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5" ht="18.75" x14ac:dyDescent="0.3">
      <c r="A68" s="178" t="s">
        <v>35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5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5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5" x14ac:dyDescent="0.25">
      <c r="A72" s="179" t="s">
        <v>2</v>
      </c>
      <c r="B72" s="179" t="s">
        <v>3</v>
      </c>
      <c r="C72" s="181" t="s">
        <v>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79" t="s">
        <v>5</v>
      </c>
    </row>
    <row r="73" spans="1:15" x14ac:dyDescent="0.25">
      <c r="A73" s="180"/>
      <c r="B73" s="1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182"/>
    </row>
    <row r="74" spans="1:15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5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42">
        <f>SUM(C75:N75)</f>
        <v>0</v>
      </c>
    </row>
    <row r="76" spans="1:15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4">SUM(C76:N76)</f>
        <v>0</v>
      </c>
    </row>
    <row r="77" spans="1:15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93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4"/>
        <v>93</v>
      </c>
    </row>
    <row r="78" spans="1:15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4"/>
        <v>0</v>
      </c>
    </row>
    <row r="79" spans="1:15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4"/>
        <v>0</v>
      </c>
    </row>
    <row r="80" spans="1:15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4"/>
        <v>0</v>
      </c>
    </row>
    <row r="81" spans="1:15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4"/>
        <v>0</v>
      </c>
    </row>
    <row r="82" spans="1:15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43">
        <f t="shared" si="4"/>
        <v>0</v>
      </c>
    </row>
    <row r="83" spans="1:15" ht="18.75" customHeight="1" thickTop="1" x14ac:dyDescent="0.25">
      <c r="A83" s="176" t="s">
        <v>26</v>
      </c>
      <c r="B83" s="177"/>
      <c r="C83" s="22">
        <f t="shared" ref="C83:O83" si="5">SUM(C75:C82)</f>
        <v>0</v>
      </c>
      <c r="D83" s="22">
        <f t="shared" si="5"/>
        <v>0</v>
      </c>
      <c r="E83" s="22">
        <f t="shared" si="5"/>
        <v>93</v>
      </c>
      <c r="F83" s="22">
        <f t="shared" si="5"/>
        <v>0</v>
      </c>
      <c r="G83" s="22">
        <f t="shared" si="5"/>
        <v>0</v>
      </c>
      <c r="H83" s="22">
        <f t="shared" si="5"/>
        <v>0</v>
      </c>
      <c r="I83" s="22">
        <f t="shared" si="5"/>
        <v>0</v>
      </c>
      <c r="J83" s="22">
        <f t="shared" si="5"/>
        <v>0</v>
      </c>
      <c r="K83" s="22">
        <f t="shared" si="5"/>
        <v>0</v>
      </c>
      <c r="L83" s="22">
        <f t="shared" si="5"/>
        <v>0</v>
      </c>
      <c r="M83" s="22">
        <f t="shared" si="5"/>
        <v>0</v>
      </c>
      <c r="N83" s="22">
        <f t="shared" si="5"/>
        <v>0</v>
      </c>
      <c r="O83" s="22">
        <f t="shared" si="5"/>
        <v>93</v>
      </c>
    </row>
    <row r="84" spans="1:15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5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5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</row>
    <row r="88" spans="1:15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5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5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5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5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5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128" t="s">
        <v>93</v>
      </c>
      <c r="M93" s="24"/>
      <c r="N93" s="24"/>
      <c r="O93" s="24"/>
    </row>
    <row r="94" spans="1:15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5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5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178" t="s">
        <v>36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5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5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32">
        <v>0</v>
      </c>
      <c r="D108" s="32">
        <v>0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44">
        <v>0</v>
      </c>
    </row>
    <row r="109" spans="1:15" ht="18.75" customHeight="1" x14ac:dyDescent="0.25">
      <c r="A109" s="14">
        <v>2</v>
      </c>
      <c r="B109" s="12" t="s">
        <v>19</v>
      </c>
      <c r="C109" s="34">
        <v>0</v>
      </c>
      <c r="D109" s="34">
        <v>0</v>
      </c>
      <c r="E109" s="34">
        <v>0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34">
        <v>0</v>
      </c>
      <c r="D110" s="34">
        <v>0</v>
      </c>
      <c r="E110" s="34">
        <v>37.5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5">
        <v>37.5</v>
      </c>
    </row>
    <row r="111" spans="1:15" ht="18.75" customHeight="1" x14ac:dyDescent="0.25">
      <c r="A111" s="14">
        <v>4</v>
      </c>
      <c r="B111" s="15" t="s">
        <v>21</v>
      </c>
      <c r="C111" s="34">
        <v>0</v>
      </c>
      <c r="D111" s="34">
        <v>0</v>
      </c>
      <c r="E111" s="34">
        <v>0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5">
        <v>0</v>
      </c>
    </row>
    <row r="112" spans="1:15" ht="18.75" customHeight="1" x14ac:dyDescent="0.25">
      <c r="A112" s="14">
        <v>5</v>
      </c>
      <c r="B112" s="19" t="s">
        <v>22</v>
      </c>
      <c r="C112" s="34">
        <v>0</v>
      </c>
      <c r="D112" s="34">
        <v>0</v>
      </c>
      <c r="E112" s="34">
        <v>0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5">
        <v>0</v>
      </c>
    </row>
    <row r="113" spans="1:15" ht="18.75" customHeight="1" x14ac:dyDescent="0.25">
      <c r="A113" s="14">
        <v>6</v>
      </c>
      <c r="B113" s="19" t="s">
        <v>23</v>
      </c>
      <c r="C113" s="34">
        <v>0</v>
      </c>
      <c r="D113" s="34">
        <v>0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34">
        <v>0</v>
      </c>
      <c r="D114" s="34">
        <v>0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36">
        <v>0</v>
      </c>
      <c r="D115" s="36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7">
        <v>0</v>
      </c>
    </row>
    <row r="116" spans="1:15" ht="18.75" customHeight="1" thickTop="1" x14ac:dyDescent="0.25">
      <c r="A116" s="176" t="s">
        <v>26</v>
      </c>
      <c r="B116" s="177"/>
      <c r="C116" s="38">
        <f t="shared" ref="C116:N116" si="6">SUM(C108:C115)</f>
        <v>0</v>
      </c>
      <c r="D116" s="38">
        <f t="shared" si="6"/>
        <v>0</v>
      </c>
      <c r="E116" s="38">
        <f t="shared" si="6"/>
        <v>37.5</v>
      </c>
      <c r="F116" s="38">
        <f t="shared" si="6"/>
        <v>0</v>
      </c>
      <c r="G116" s="38">
        <f t="shared" si="6"/>
        <v>0</v>
      </c>
      <c r="H116" s="38">
        <f t="shared" si="6"/>
        <v>0</v>
      </c>
      <c r="I116" s="38">
        <f t="shared" si="6"/>
        <v>0</v>
      </c>
      <c r="J116" s="38">
        <f t="shared" si="6"/>
        <v>0</v>
      </c>
      <c r="K116" s="38">
        <f t="shared" si="6"/>
        <v>0</v>
      </c>
      <c r="L116" s="38">
        <f t="shared" si="6"/>
        <v>0</v>
      </c>
      <c r="M116" s="38">
        <f t="shared" si="6"/>
        <v>0</v>
      </c>
      <c r="N116" s="38">
        <f t="shared" si="6"/>
        <v>0</v>
      </c>
      <c r="O116" s="38">
        <v>37.5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L119" s="24"/>
      <c r="M119" s="24"/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6" spans="1:15" ht="15.75" x14ac:dyDescent="0.3">
      <c r="L126" s="128" t="s">
        <v>93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70866141732283472" top="0.94488188976377963" bottom="0.74803149606299213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topLeftCell="A31" zoomScaleNormal="100" workbookViewId="0">
      <selection activeCell="Q9" sqref="Q9:Q16"/>
    </sheetView>
  </sheetViews>
  <sheetFormatPr defaultRowHeight="15" x14ac:dyDescent="0.25"/>
  <cols>
    <col min="1" max="1" width="4" customWidth="1"/>
    <col min="2" max="2" width="14.7109375" customWidth="1"/>
    <col min="3" max="15" width="8.5703125" customWidth="1"/>
  </cols>
  <sheetData>
    <row r="2" spans="1:17" ht="18.75" x14ac:dyDescent="0.3">
      <c r="A2" s="178" t="s">
        <v>37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7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179" t="s">
        <v>2</v>
      </c>
      <c r="B6" s="179" t="s">
        <v>3</v>
      </c>
      <c r="C6" s="181" t="s">
        <v>4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79" t="s">
        <v>5</v>
      </c>
    </row>
    <row r="7" spans="1:17" x14ac:dyDescent="0.25">
      <c r="A7" s="180"/>
      <c r="B7" s="1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182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65">
        <v>12</v>
      </c>
      <c r="D9" s="28">
        <v>0</v>
      </c>
      <c r="E9" s="28">
        <v>0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5</v>
      </c>
      <c r="O9" s="29">
        <f>SUM(C9:N9)</f>
        <v>18</v>
      </c>
      <c r="Q9" s="124">
        <f>SUM(F9:K9)</f>
        <v>1</v>
      </c>
    </row>
    <row r="10" spans="1:17" ht="18.75" customHeight="1" x14ac:dyDescent="0.25">
      <c r="A10" s="14">
        <v>2</v>
      </c>
      <c r="B10" s="12" t="s">
        <v>19</v>
      </c>
      <c r="C10" s="63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1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1</v>
      </c>
      <c r="Q10" s="124">
        <f t="shared" ref="Q10:Q17" si="1">SUM(F10:K10)</f>
        <v>1</v>
      </c>
    </row>
    <row r="11" spans="1:17" ht="18.75" customHeight="1" x14ac:dyDescent="0.25">
      <c r="A11" s="14">
        <v>3</v>
      </c>
      <c r="B11" s="7" t="s">
        <v>20</v>
      </c>
      <c r="C11" s="63">
        <v>2</v>
      </c>
      <c r="D11" s="16">
        <v>0</v>
      </c>
      <c r="E11" s="16">
        <v>0</v>
      </c>
      <c r="F11" s="16">
        <v>0</v>
      </c>
      <c r="G11" s="16">
        <v>2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8">
        <f t="shared" si="0"/>
        <v>6</v>
      </c>
      <c r="Q11" s="124">
        <f t="shared" si="1"/>
        <v>2</v>
      </c>
    </row>
    <row r="12" spans="1:17" ht="18.75" customHeight="1" x14ac:dyDescent="0.25">
      <c r="A12" s="14">
        <v>4</v>
      </c>
      <c r="B12" s="15" t="s">
        <v>21</v>
      </c>
      <c r="C12" s="63">
        <v>0</v>
      </c>
      <c r="D12" s="16">
        <v>0</v>
      </c>
      <c r="E12" s="16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1</v>
      </c>
      <c r="Q12" s="124">
        <f t="shared" si="1"/>
        <v>0</v>
      </c>
    </row>
    <row r="13" spans="1:17" ht="18.75" customHeight="1" x14ac:dyDescent="0.25">
      <c r="A13" s="14">
        <v>5</v>
      </c>
      <c r="B13" s="19" t="s">
        <v>22</v>
      </c>
      <c r="C13" s="63">
        <v>0</v>
      </c>
      <c r="D13" s="16">
        <v>0</v>
      </c>
      <c r="E13" s="16">
        <v>0</v>
      </c>
      <c r="F13" s="16">
        <v>0</v>
      </c>
      <c r="G13" s="16">
        <v>2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2</v>
      </c>
      <c r="Q13" s="124">
        <f t="shared" si="1"/>
        <v>2</v>
      </c>
    </row>
    <row r="14" spans="1:17" ht="18.75" customHeight="1" x14ac:dyDescent="0.25">
      <c r="A14" s="14">
        <v>6</v>
      </c>
      <c r="B14" s="19" t="s">
        <v>23</v>
      </c>
      <c r="C14" s="63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2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63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2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64">
        <v>0</v>
      </c>
      <c r="D16" s="17">
        <v>0</v>
      </c>
      <c r="E16" s="17">
        <v>1</v>
      </c>
      <c r="F16" s="17">
        <v>0</v>
      </c>
      <c r="G16" s="17">
        <v>0</v>
      </c>
      <c r="H16" s="17">
        <v>1</v>
      </c>
      <c r="I16" s="17">
        <v>0</v>
      </c>
      <c r="J16" s="17">
        <v>0</v>
      </c>
      <c r="K16" s="17">
        <v>1</v>
      </c>
      <c r="L16" s="17">
        <v>0</v>
      </c>
      <c r="M16" s="17">
        <v>1</v>
      </c>
      <c r="N16" s="17">
        <v>0</v>
      </c>
      <c r="O16" s="21">
        <f t="shared" si="0"/>
        <v>4</v>
      </c>
      <c r="Q16" s="124">
        <f t="shared" si="1"/>
        <v>2</v>
      </c>
    </row>
    <row r="17" spans="1:17" ht="18.75" customHeight="1" thickTop="1" x14ac:dyDescent="0.25">
      <c r="A17" s="176" t="s">
        <v>26</v>
      </c>
      <c r="B17" s="177"/>
      <c r="C17" s="22">
        <f t="shared" ref="C17:O17" si="2">SUM(C9:C16)</f>
        <v>14</v>
      </c>
      <c r="D17" s="22">
        <f t="shared" si="2"/>
        <v>0</v>
      </c>
      <c r="E17" s="22">
        <f t="shared" si="2"/>
        <v>2</v>
      </c>
      <c r="F17" s="22">
        <f t="shared" si="2"/>
        <v>1</v>
      </c>
      <c r="G17" s="22">
        <f t="shared" si="2"/>
        <v>4</v>
      </c>
      <c r="H17" s="22">
        <f t="shared" si="2"/>
        <v>1</v>
      </c>
      <c r="I17" s="22">
        <f t="shared" si="2"/>
        <v>0</v>
      </c>
      <c r="J17" s="22">
        <f t="shared" si="2"/>
        <v>1</v>
      </c>
      <c r="K17" s="22">
        <f t="shared" si="2"/>
        <v>1</v>
      </c>
      <c r="L17" s="22">
        <f t="shared" si="2"/>
        <v>0</v>
      </c>
      <c r="M17" s="22">
        <f t="shared" si="2"/>
        <v>1</v>
      </c>
      <c r="N17" s="22">
        <f t="shared" si="2"/>
        <v>7</v>
      </c>
      <c r="O17" s="22">
        <f t="shared" si="2"/>
        <v>32</v>
      </c>
      <c r="Q17" s="124">
        <f t="shared" si="1"/>
        <v>8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ht="15.7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28" t="s">
        <v>93</v>
      </c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7" ht="18.75" x14ac:dyDescent="0.3">
      <c r="A35" s="178" t="s">
        <v>38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7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7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  <c r="Q41" t="s">
        <v>104</v>
      </c>
    </row>
    <row r="42" spans="1:17" ht="18.75" customHeight="1" thickTop="1" x14ac:dyDescent="0.25">
      <c r="A42" s="27">
        <v>1</v>
      </c>
      <c r="B42" s="7" t="s">
        <v>18</v>
      </c>
      <c r="C42" s="65">
        <v>0</v>
      </c>
      <c r="D42" s="78" t="s">
        <v>62</v>
      </c>
      <c r="E42" s="78" t="s">
        <v>63</v>
      </c>
      <c r="F42" s="78">
        <v>0</v>
      </c>
      <c r="G42" s="79">
        <v>0</v>
      </c>
      <c r="H42" s="79" t="s">
        <v>65</v>
      </c>
      <c r="I42" s="28">
        <v>0</v>
      </c>
      <c r="J42" s="28">
        <v>0</v>
      </c>
      <c r="K42" s="78">
        <v>0</v>
      </c>
      <c r="L42" s="28">
        <v>0</v>
      </c>
      <c r="M42" s="28">
        <v>0</v>
      </c>
      <c r="N42" s="28">
        <v>0</v>
      </c>
      <c r="O42" s="77" t="s">
        <v>66</v>
      </c>
      <c r="P42">
        <f>SUM(2+12+1)</f>
        <v>15</v>
      </c>
      <c r="Q42" s="124">
        <v>1</v>
      </c>
    </row>
    <row r="43" spans="1:17" ht="18.75" customHeight="1" x14ac:dyDescent="0.25">
      <c r="A43" s="14">
        <v>2</v>
      </c>
      <c r="B43" s="12" t="s">
        <v>19</v>
      </c>
      <c r="C43" s="63">
        <v>0</v>
      </c>
      <c r="D43" s="16">
        <v>0</v>
      </c>
      <c r="E43" s="16">
        <v>0</v>
      </c>
      <c r="F43" s="16">
        <v>0</v>
      </c>
      <c r="G43" s="63">
        <v>0</v>
      </c>
      <c r="H43" s="63">
        <v>0</v>
      </c>
      <c r="I43" s="16">
        <v>0</v>
      </c>
      <c r="J43" s="16">
        <v>0</v>
      </c>
      <c r="K43" s="130" t="s">
        <v>65</v>
      </c>
      <c r="L43" s="16">
        <v>0</v>
      </c>
      <c r="M43" s="16">
        <v>0</v>
      </c>
      <c r="N43" s="16">
        <v>0</v>
      </c>
      <c r="O43" s="129" t="s">
        <v>65</v>
      </c>
      <c r="P43">
        <v>1</v>
      </c>
      <c r="Q43" s="124">
        <v>1</v>
      </c>
    </row>
    <row r="44" spans="1:17" ht="18.75" customHeight="1" x14ac:dyDescent="0.25">
      <c r="A44" s="14">
        <v>3</v>
      </c>
      <c r="B44" s="7" t="s">
        <v>20</v>
      </c>
      <c r="C44" s="63">
        <v>0</v>
      </c>
      <c r="D44" s="16">
        <v>0</v>
      </c>
      <c r="E44" s="16">
        <v>0</v>
      </c>
      <c r="F44" s="16">
        <v>2</v>
      </c>
      <c r="G44" s="63">
        <v>0</v>
      </c>
      <c r="H44" s="63">
        <v>0</v>
      </c>
      <c r="I44" s="16">
        <v>0</v>
      </c>
      <c r="J44" s="16">
        <v>2</v>
      </c>
      <c r="K44" s="130">
        <v>0</v>
      </c>
      <c r="L44" s="16">
        <v>0</v>
      </c>
      <c r="M44" s="16">
        <v>0</v>
      </c>
      <c r="N44" s="16">
        <v>0</v>
      </c>
      <c r="O44" s="18">
        <f t="shared" ref="O44:O48" si="3">SUM(C44:N44)</f>
        <v>4</v>
      </c>
      <c r="P44">
        <v>4</v>
      </c>
      <c r="Q44" s="124">
        <f t="shared" ref="Q44:Q48" si="4">SUM(F44:K44)</f>
        <v>4</v>
      </c>
    </row>
    <row r="45" spans="1:17" ht="18.75" customHeight="1" x14ac:dyDescent="0.25">
      <c r="A45" s="14">
        <v>4</v>
      </c>
      <c r="B45" s="15" t="s">
        <v>21</v>
      </c>
      <c r="C45" s="63">
        <v>0</v>
      </c>
      <c r="D45" s="16">
        <v>0</v>
      </c>
      <c r="E45" s="16">
        <v>0</v>
      </c>
      <c r="F45" s="16">
        <v>0</v>
      </c>
      <c r="G45" s="63">
        <v>0</v>
      </c>
      <c r="H45" s="63">
        <v>1</v>
      </c>
      <c r="I45" s="16">
        <v>0</v>
      </c>
      <c r="J45" s="16">
        <v>0</v>
      </c>
      <c r="K45" s="130">
        <v>0</v>
      </c>
      <c r="L45" s="16">
        <v>0</v>
      </c>
      <c r="M45" s="16">
        <v>0</v>
      </c>
      <c r="N45" s="16">
        <v>0</v>
      </c>
      <c r="O45" s="18">
        <f t="shared" si="3"/>
        <v>1</v>
      </c>
      <c r="P45">
        <v>1</v>
      </c>
      <c r="Q45" s="124">
        <f t="shared" si="4"/>
        <v>1</v>
      </c>
    </row>
    <row r="46" spans="1:17" ht="18.75" customHeight="1" x14ac:dyDescent="0.25">
      <c r="A46" s="14">
        <v>5</v>
      </c>
      <c r="B46" s="19" t="s">
        <v>22</v>
      </c>
      <c r="C46" s="63">
        <v>0</v>
      </c>
      <c r="D46" s="16">
        <v>0</v>
      </c>
      <c r="E46" s="16">
        <v>0</v>
      </c>
      <c r="F46" s="16">
        <v>0</v>
      </c>
      <c r="G46" s="63">
        <v>0</v>
      </c>
      <c r="H46" s="63">
        <v>0</v>
      </c>
      <c r="I46" s="16">
        <v>2</v>
      </c>
      <c r="J46" s="16">
        <v>0</v>
      </c>
      <c r="K46" s="130">
        <v>0</v>
      </c>
      <c r="L46" s="16">
        <v>0</v>
      </c>
      <c r="M46" s="16">
        <v>0</v>
      </c>
      <c r="N46" s="16">
        <v>0</v>
      </c>
      <c r="O46" s="18">
        <f t="shared" si="3"/>
        <v>2</v>
      </c>
      <c r="P46">
        <v>2</v>
      </c>
      <c r="Q46" s="124">
        <f t="shared" si="4"/>
        <v>2</v>
      </c>
    </row>
    <row r="47" spans="1:17" ht="18.75" customHeight="1" x14ac:dyDescent="0.25">
      <c r="A47" s="14">
        <v>6</v>
      </c>
      <c r="B47" s="19" t="s">
        <v>23</v>
      </c>
      <c r="C47" s="63">
        <v>0</v>
      </c>
      <c r="D47" s="16">
        <v>0</v>
      </c>
      <c r="E47" s="16">
        <v>0</v>
      </c>
      <c r="F47" s="16">
        <v>0</v>
      </c>
      <c r="G47" s="63">
        <v>0</v>
      </c>
      <c r="H47" s="63">
        <v>0</v>
      </c>
      <c r="I47" s="16">
        <v>0</v>
      </c>
      <c r="J47" s="16">
        <v>0</v>
      </c>
      <c r="K47" s="130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P47">
        <v>0</v>
      </c>
      <c r="Q47" s="12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63">
        <v>0</v>
      </c>
      <c r="D48" s="16">
        <v>0</v>
      </c>
      <c r="E48" s="16">
        <v>0</v>
      </c>
      <c r="F48" s="16">
        <v>0</v>
      </c>
      <c r="G48" s="63">
        <v>0</v>
      </c>
      <c r="H48" s="63">
        <v>0</v>
      </c>
      <c r="I48" s="16">
        <v>0</v>
      </c>
      <c r="J48" s="16">
        <v>0</v>
      </c>
      <c r="K48" s="130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P48">
        <v>0</v>
      </c>
      <c r="Q48" s="12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64">
        <v>0</v>
      </c>
      <c r="D49" s="17">
        <v>0</v>
      </c>
      <c r="E49" s="17">
        <v>0</v>
      </c>
      <c r="F49" s="17">
        <v>0</v>
      </c>
      <c r="G49" s="64">
        <v>0</v>
      </c>
      <c r="H49" s="64">
        <v>1</v>
      </c>
      <c r="I49" s="17">
        <v>0</v>
      </c>
      <c r="J49" s="112" t="s">
        <v>65</v>
      </c>
      <c r="K49" s="112">
        <v>0</v>
      </c>
      <c r="L49" s="17">
        <v>0</v>
      </c>
      <c r="M49" s="17">
        <v>0</v>
      </c>
      <c r="N49" s="17">
        <v>1</v>
      </c>
      <c r="O49" s="21">
        <v>3</v>
      </c>
      <c r="P49">
        <v>3</v>
      </c>
      <c r="Q49" s="124">
        <v>2</v>
      </c>
    </row>
    <row r="50" spans="1:17" ht="18.75" customHeight="1" thickTop="1" x14ac:dyDescent="0.25">
      <c r="A50" s="176" t="s">
        <v>26</v>
      </c>
      <c r="B50" s="177"/>
      <c r="C50" s="22">
        <f t="shared" ref="C50:N50" si="5">SUM(C42:C49)</f>
        <v>0</v>
      </c>
      <c r="D50" s="80" t="s">
        <v>62</v>
      </c>
      <c r="E50" s="80" t="s">
        <v>63</v>
      </c>
      <c r="F50" s="22">
        <f t="shared" si="5"/>
        <v>2</v>
      </c>
      <c r="G50" s="22">
        <f t="shared" si="5"/>
        <v>0</v>
      </c>
      <c r="H50" s="22">
        <v>3</v>
      </c>
      <c r="I50" s="22">
        <f t="shared" si="5"/>
        <v>2</v>
      </c>
      <c r="J50" s="22">
        <v>3</v>
      </c>
      <c r="K50" s="80" t="s">
        <v>65</v>
      </c>
      <c r="L50" s="22">
        <f t="shared" si="5"/>
        <v>0</v>
      </c>
      <c r="M50" s="22">
        <f t="shared" si="5"/>
        <v>0</v>
      </c>
      <c r="N50" s="22">
        <f t="shared" si="5"/>
        <v>1</v>
      </c>
      <c r="O50" s="22">
        <v>26</v>
      </c>
      <c r="P50" s="81">
        <f>SUM(P42:P49)</f>
        <v>26</v>
      </c>
      <c r="Q50" s="124">
        <f>SUM(Q42:Q49)</f>
        <v>11</v>
      </c>
    </row>
    <row r="51" spans="1:17" x14ac:dyDescent="0.2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187" t="s">
        <v>64</v>
      </c>
      <c r="B52" s="187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ht="15.75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128" t="s">
        <v>93</v>
      </c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178" t="s">
        <v>39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7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179" t="s">
        <v>2</v>
      </c>
      <c r="B72" s="179" t="s">
        <v>3</v>
      </c>
      <c r="C72" s="181" t="s">
        <v>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79" t="s">
        <v>5</v>
      </c>
    </row>
    <row r="73" spans="1:17" x14ac:dyDescent="0.25">
      <c r="A73" s="180"/>
      <c r="B73" s="1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182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65">
        <v>0</v>
      </c>
      <c r="D75" s="28">
        <v>0</v>
      </c>
      <c r="E75" s="28">
        <v>0</v>
      </c>
      <c r="F75" s="28">
        <v>0</v>
      </c>
      <c r="G75" s="65">
        <v>0</v>
      </c>
      <c r="H75" s="65">
        <v>0</v>
      </c>
      <c r="I75" s="28">
        <v>0</v>
      </c>
      <c r="J75" s="28">
        <v>0</v>
      </c>
      <c r="K75" s="65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24">
        <f>SUM(F75:K75)</f>
        <v>0</v>
      </c>
    </row>
    <row r="76" spans="1:17" ht="18.75" customHeight="1" x14ac:dyDescent="0.25">
      <c r="A76" s="14">
        <v>2</v>
      </c>
      <c r="B76" s="12" t="s">
        <v>19</v>
      </c>
      <c r="C76" s="63">
        <v>0</v>
      </c>
      <c r="D76" s="63">
        <v>0</v>
      </c>
      <c r="E76" s="63">
        <v>0</v>
      </c>
      <c r="F76" s="16">
        <v>0</v>
      </c>
      <c r="G76" s="63">
        <v>0</v>
      </c>
      <c r="H76" s="63">
        <v>0</v>
      </c>
      <c r="I76" s="16">
        <v>0</v>
      </c>
      <c r="J76" s="16">
        <v>0</v>
      </c>
      <c r="K76" s="63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0</v>
      </c>
      <c r="Q76" s="124">
        <f t="shared" ref="Q76:Q82" si="7">SUM(F76:K76)</f>
        <v>0</v>
      </c>
    </row>
    <row r="77" spans="1:17" ht="18.75" customHeight="1" x14ac:dyDescent="0.25">
      <c r="A77" s="14">
        <v>3</v>
      </c>
      <c r="B77" s="7" t="s">
        <v>20</v>
      </c>
      <c r="C77" s="63">
        <v>0</v>
      </c>
      <c r="D77" s="63">
        <v>0</v>
      </c>
      <c r="E77" s="63">
        <v>0</v>
      </c>
      <c r="F77" s="73">
        <v>3</v>
      </c>
      <c r="G77" s="63">
        <v>0</v>
      </c>
      <c r="H77" s="63">
        <v>0</v>
      </c>
      <c r="I77" s="16">
        <v>0</v>
      </c>
      <c r="J77" s="16">
        <v>3</v>
      </c>
      <c r="K77" s="63">
        <v>0</v>
      </c>
      <c r="L77" s="16">
        <v>0</v>
      </c>
      <c r="M77" s="16">
        <v>0</v>
      </c>
      <c r="N77" s="16">
        <v>0</v>
      </c>
      <c r="O77" s="18">
        <f t="shared" si="6"/>
        <v>6</v>
      </c>
      <c r="Q77" s="124">
        <f t="shared" si="7"/>
        <v>6</v>
      </c>
    </row>
    <row r="78" spans="1:17" ht="18.75" customHeight="1" x14ac:dyDescent="0.25">
      <c r="A78" s="14">
        <v>4</v>
      </c>
      <c r="B78" s="15" t="s">
        <v>21</v>
      </c>
      <c r="C78" s="63">
        <v>0</v>
      </c>
      <c r="D78" s="63">
        <v>0</v>
      </c>
      <c r="E78" s="63">
        <v>0</v>
      </c>
      <c r="F78" s="16">
        <v>0</v>
      </c>
      <c r="G78" s="63">
        <v>0</v>
      </c>
      <c r="H78" s="63">
        <v>2</v>
      </c>
      <c r="I78" s="16">
        <v>0</v>
      </c>
      <c r="J78" s="16">
        <v>0</v>
      </c>
      <c r="K78" s="63">
        <v>0</v>
      </c>
      <c r="L78" s="16">
        <v>0</v>
      </c>
      <c r="M78" s="16">
        <v>0</v>
      </c>
      <c r="N78" s="16">
        <v>0</v>
      </c>
      <c r="O78" s="18">
        <f t="shared" si="6"/>
        <v>2</v>
      </c>
      <c r="Q78" s="124">
        <f t="shared" si="7"/>
        <v>2</v>
      </c>
    </row>
    <row r="79" spans="1:17" ht="18.75" customHeight="1" x14ac:dyDescent="0.25">
      <c r="A79" s="14">
        <v>5</v>
      </c>
      <c r="B79" s="19" t="s">
        <v>22</v>
      </c>
      <c r="C79" s="63">
        <v>0</v>
      </c>
      <c r="D79" s="63">
        <v>0</v>
      </c>
      <c r="E79" s="63">
        <v>0</v>
      </c>
      <c r="F79" s="16">
        <v>0</v>
      </c>
      <c r="G79" s="63">
        <v>0</v>
      </c>
      <c r="H79" s="63">
        <v>0</v>
      </c>
      <c r="I79" s="16">
        <v>4</v>
      </c>
      <c r="J79" s="16">
        <v>0</v>
      </c>
      <c r="K79" s="63">
        <v>0</v>
      </c>
      <c r="L79" s="16">
        <v>0</v>
      </c>
      <c r="M79" s="16">
        <v>0</v>
      </c>
      <c r="N79" s="16">
        <v>0</v>
      </c>
      <c r="O79" s="18">
        <f t="shared" si="6"/>
        <v>4</v>
      </c>
      <c r="Q79" s="124">
        <f t="shared" si="7"/>
        <v>4</v>
      </c>
    </row>
    <row r="80" spans="1:17" ht="18.75" customHeight="1" x14ac:dyDescent="0.25">
      <c r="A80" s="14">
        <v>6</v>
      </c>
      <c r="B80" s="19" t="s">
        <v>23</v>
      </c>
      <c r="C80" s="63">
        <v>0</v>
      </c>
      <c r="D80" s="63">
        <v>0</v>
      </c>
      <c r="E80" s="63">
        <v>0</v>
      </c>
      <c r="F80" s="16">
        <v>0</v>
      </c>
      <c r="G80" s="63">
        <v>0</v>
      </c>
      <c r="H80" s="63">
        <v>0</v>
      </c>
      <c r="I80" s="16">
        <v>0</v>
      </c>
      <c r="J80" s="16">
        <v>0</v>
      </c>
      <c r="K80" s="63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2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63">
        <v>0</v>
      </c>
      <c r="D81" s="63">
        <v>0</v>
      </c>
      <c r="E81" s="63">
        <v>0</v>
      </c>
      <c r="F81" s="16">
        <v>0</v>
      </c>
      <c r="G81" s="63">
        <v>0</v>
      </c>
      <c r="H81" s="63">
        <v>0</v>
      </c>
      <c r="I81" s="16">
        <v>0</v>
      </c>
      <c r="J81" s="16">
        <v>0</v>
      </c>
      <c r="K81" s="63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24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64">
        <v>0</v>
      </c>
      <c r="D82" s="64">
        <v>0</v>
      </c>
      <c r="E82" s="64">
        <v>0</v>
      </c>
      <c r="F82" s="17">
        <v>0</v>
      </c>
      <c r="G82" s="64">
        <v>0</v>
      </c>
      <c r="H82" s="64">
        <v>2</v>
      </c>
      <c r="I82" s="17">
        <v>0</v>
      </c>
      <c r="J82" s="17">
        <v>0</v>
      </c>
      <c r="K82" s="64">
        <v>0</v>
      </c>
      <c r="L82" s="17">
        <v>0</v>
      </c>
      <c r="M82" s="17">
        <v>0</v>
      </c>
      <c r="N82" s="17">
        <v>2</v>
      </c>
      <c r="O82" s="21">
        <f t="shared" si="6"/>
        <v>4</v>
      </c>
      <c r="Q82" s="124">
        <f t="shared" si="7"/>
        <v>2</v>
      </c>
    </row>
    <row r="83" spans="1:17" ht="18.75" customHeight="1" thickTop="1" x14ac:dyDescent="0.25">
      <c r="A83" s="176" t="s">
        <v>26</v>
      </c>
      <c r="B83" s="177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74">
        <f t="shared" si="8"/>
        <v>3</v>
      </c>
      <c r="G83" s="22">
        <f t="shared" si="8"/>
        <v>0</v>
      </c>
      <c r="H83" s="22">
        <f t="shared" si="8"/>
        <v>4</v>
      </c>
      <c r="I83" s="22">
        <f t="shared" si="8"/>
        <v>4</v>
      </c>
      <c r="J83" s="22">
        <f t="shared" si="8"/>
        <v>3</v>
      </c>
      <c r="K83" s="22">
        <f t="shared" si="8"/>
        <v>0</v>
      </c>
      <c r="L83" s="22">
        <f t="shared" si="8"/>
        <v>0</v>
      </c>
      <c r="M83" s="22">
        <f t="shared" si="8"/>
        <v>0</v>
      </c>
      <c r="N83" s="22">
        <f t="shared" si="8"/>
        <v>2</v>
      </c>
      <c r="O83" s="22">
        <f t="shared" si="8"/>
        <v>16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128" t="s">
        <v>93</v>
      </c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178" t="s">
        <v>40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5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5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65">
        <v>0</v>
      </c>
      <c r="D108" s="32">
        <v>0</v>
      </c>
      <c r="E108" s="32">
        <v>0</v>
      </c>
      <c r="F108" s="31">
        <v>0</v>
      </c>
      <c r="G108" s="65">
        <v>0</v>
      </c>
      <c r="H108" s="66">
        <v>0</v>
      </c>
      <c r="I108" s="28">
        <v>0</v>
      </c>
      <c r="J108" s="32">
        <v>0</v>
      </c>
      <c r="K108" s="65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5" ht="18.75" customHeight="1" x14ac:dyDescent="0.25">
      <c r="A109" s="14">
        <v>2</v>
      </c>
      <c r="B109" s="12" t="s">
        <v>19</v>
      </c>
      <c r="C109" s="63">
        <v>0</v>
      </c>
      <c r="D109" s="63">
        <v>0</v>
      </c>
      <c r="E109" s="63">
        <v>0</v>
      </c>
      <c r="F109" s="63">
        <v>0</v>
      </c>
      <c r="G109" s="63">
        <v>0</v>
      </c>
      <c r="H109" s="68">
        <v>0</v>
      </c>
      <c r="I109" s="16">
        <v>0</v>
      </c>
      <c r="J109" s="16">
        <v>0</v>
      </c>
      <c r="K109" s="63">
        <v>0</v>
      </c>
      <c r="L109" s="16">
        <v>0</v>
      </c>
      <c r="M109" s="16">
        <v>0</v>
      </c>
      <c r="N109" s="16">
        <v>0</v>
      </c>
      <c r="O109" s="35">
        <v>0</v>
      </c>
    </row>
    <row r="110" spans="1:15" ht="18.75" customHeight="1" x14ac:dyDescent="0.25">
      <c r="A110" s="14">
        <v>3</v>
      </c>
      <c r="B110" s="7" t="s">
        <v>20</v>
      </c>
      <c r="C110" s="63">
        <v>0</v>
      </c>
      <c r="D110" s="63">
        <v>0</v>
      </c>
      <c r="E110" s="63">
        <v>0</v>
      </c>
      <c r="F110" s="34">
        <v>17</v>
      </c>
      <c r="G110" s="63">
        <v>0</v>
      </c>
      <c r="H110" s="68">
        <v>0</v>
      </c>
      <c r="I110" s="16">
        <v>0</v>
      </c>
      <c r="J110" s="34">
        <v>17</v>
      </c>
      <c r="K110" s="63">
        <v>0</v>
      </c>
      <c r="L110" s="16">
        <v>0</v>
      </c>
      <c r="M110" s="16">
        <v>0</v>
      </c>
      <c r="N110" s="16">
        <v>0</v>
      </c>
      <c r="O110" s="35">
        <v>17</v>
      </c>
    </row>
    <row r="111" spans="1:15" ht="18.75" customHeight="1" x14ac:dyDescent="0.25">
      <c r="A111" s="14">
        <v>4</v>
      </c>
      <c r="B111" s="15" t="s">
        <v>21</v>
      </c>
      <c r="C111" s="63">
        <v>0</v>
      </c>
      <c r="D111" s="63">
        <v>0</v>
      </c>
      <c r="E111" s="63">
        <v>0</v>
      </c>
      <c r="F111" s="63">
        <v>0</v>
      </c>
      <c r="G111" s="63">
        <v>0</v>
      </c>
      <c r="H111" s="68">
        <v>24.55</v>
      </c>
      <c r="I111" s="34">
        <v>0</v>
      </c>
      <c r="J111" s="16">
        <v>0</v>
      </c>
      <c r="K111" s="63">
        <v>0</v>
      </c>
      <c r="L111" s="16">
        <v>0</v>
      </c>
      <c r="M111" s="16">
        <v>0</v>
      </c>
      <c r="N111" s="16">
        <v>0</v>
      </c>
      <c r="O111" s="35">
        <v>24.55</v>
      </c>
    </row>
    <row r="112" spans="1:15" ht="18.75" customHeight="1" x14ac:dyDescent="0.25">
      <c r="A112" s="14">
        <v>5</v>
      </c>
      <c r="B112" s="19" t="s">
        <v>22</v>
      </c>
      <c r="C112" s="63">
        <v>0</v>
      </c>
      <c r="D112" s="63">
        <v>0</v>
      </c>
      <c r="E112" s="63">
        <v>0</v>
      </c>
      <c r="F112" s="63">
        <v>0</v>
      </c>
      <c r="G112" s="63">
        <v>0</v>
      </c>
      <c r="H112" s="68">
        <v>0</v>
      </c>
      <c r="I112" s="34">
        <v>19</v>
      </c>
      <c r="J112" s="16">
        <v>0</v>
      </c>
      <c r="K112" s="63">
        <v>0</v>
      </c>
      <c r="L112" s="16">
        <v>0</v>
      </c>
      <c r="M112" s="16">
        <v>0</v>
      </c>
      <c r="N112" s="16">
        <v>0</v>
      </c>
      <c r="O112" s="35">
        <v>19</v>
      </c>
    </row>
    <row r="113" spans="1:15" ht="18.75" customHeight="1" x14ac:dyDescent="0.25">
      <c r="A113" s="14">
        <v>6</v>
      </c>
      <c r="B113" s="19" t="s">
        <v>23</v>
      </c>
      <c r="C113" s="63">
        <v>0</v>
      </c>
      <c r="D113" s="63">
        <v>0</v>
      </c>
      <c r="E113" s="63">
        <v>0</v>
      </c>
      <c r="F113" s="63">
        <v>0</v>
      </c>
      <c r="G113" s="63">
        <v>0</v>
      </c>
      <c r="H113" s="68">
        <v>0</v>
      </c>
      <c r="I113" s="16">
        <v>0</v>
      </c>
      <c r="J113" s="16">
        <v>0</v>
      </c>
      <c r="K113" s="63">
        <v>0</v>
      </c>
      <c r="L113" s="16">
        <v>0</v>
      </c>
      <c r="M113" s="16">
        <v>0</v>
      </c>
      <c r="N113" s="16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63">
        <v>0</v>
      </c>
      <c r="D114" s="63">
        <v>0</v>
      </c>
      <c r="E114" s="63">
        <v>0</v>
      </c>
      <c r="F114" s="63">
        <v>0</v>
      </c>
      <c r="G114" s="63">
        <v>0</v>
      </c>
      <c r="H114" s="68">
        <v>0</v>
      </c>
      <c r="I114" s="16">
        <v>0</v>
      </c>
      <c r="J114" s="16">
        <v>0</v>
      </c>
      <c r="K114" s="63">
        <v>0</v>
      </c>
      <c r="L114" s="16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9">
        <v>20</v>
      </c>
      <c r="I115" s="36">
        <v>0</v>
      </c>
      <c r="J115" s="36">
        <v>0</v>
      </c>
      <c r="K115" s="64">
        <v>0</v>
      </c>
      <c r="L115" s="17">
        <v>0</v>
      </c>
      <c r="M115" s="17">
        <v>0</v>
      </c>
      <c r="N115" s="36">
        <v>20</v>
      </c>
      <c r="O115" s="37">
        <v>20</v>
      </c>
    </row>
    <row r="116" spans="1:15" ht="18.75" customHeight="1" thickTop="1" x14ac:dyDescent="0.25">
      <c r="A116" s="176" t="s">
        <v>26</v>
      </c>
      <c r="B116" s="177"/>
      <c r="C116" s="38">
        <v>0</v>
      </c>
      <c r="D116" s="38">
        <v>0</v>
      </c>
      <c r="E116" s="38">
        <v>0</v>
      </c>
      <c r="F116" s="38">
        <v>17</v>
      </c>
      <c r="G116" s="38">
        <v>0</v>
      </c>
      <c r="H116" s="38">
        <f>SUM(H108:H115)/2</f>
        <v>22.274999999999999</v>
      </c>
      <c r="I116" s="38">
        <v>19</v>
      </c>
      <c r="J116" s="38">
        <v>17</v>
      </c>
      <c r="K116" s="38">
        <v>0</v>
      </c>
      <c r="L116" s="38">
        <v>0</v>
      </c>
      <c r="M116" s="38">
        <v>0</v>
      </c>
      <c r="N116" s="38">
        <f t="shared" ref="N116" si="9">N83/N50*10</f>
        <v>20</v>
      </c>
      <c r="O116" s="45">
        <f>SUM(O108:O115)/4</f>
        <v>20.137499999999999</v>
      </c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26" spans="1:15" ht="15.75" x14ac:dyDescent="0.3">
      <c r="L126" s="128" t="s">
        <v>93</v>
      </c>
    </row>
  </sheetData>
  <mergeCells count="29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52:B52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topLeftCell="A97" zoomScaleNormal="100" workbookViewId="0">
      <selection activeCell="Q110" sqref="Q110"/>
    </sheetView>
  </sheetViews>
  <sheetFormatPr defaultRowHeight="15" x14ac:dyDescent="0.25"/>
  <cols>
    <col min="1" max="1" width="4" customWidth="1"/>
    <col min="2" max="2" width="14.42578125" customWidth="1"/>
    <col min="3" max="15" width="8.5703125" customWidth="1"/>
  </cols>
  <sheetData>
    <row r="2" spans="1:17" ht="18.75" x14ac:dyDescent="0.3">
      <c r="A2" s="178" t="s">
        <v>57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7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179" t="s">
        <v>2</v>
      </c>
      <c r="B6" s="179" t="s">
        <v>3</v>
      </c>
      <c r="C6" s="188" t="s">
        <v>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79" t="s">
        <v>5</v>
      </c>
    </row>
    <row r="7" spans="1:17" x14ac:dyDescent="0.25">
      <c r="A7" s="180"/>
      <c r="B7" s="1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182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3</v>
      </c>
      <c r="I9" s="28">
        <v>0</v>
      </c>
      <c r="J9" s="28">
        <v>5</v>
      </c>
      <c r="K9" s="28">
        <v>0</v>
      </c>
      <c r="L9" s="28">
        <v>0</v>
      </c>
      <c r="M9" s="28">
        <v>0</v>
      </c>
      <c r="N9" s="28">
        <v>2</v>
      </c>
      <c r="O9" s="29">
        <f>SUM(C9:N9)</f>
        <v>10</v>
      </c>
      <c r="Q9" s="124">
        <f>SUM(F9:K9)</f>
        <v>8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16">
        <v>0</v>
      </c>
      <c r="G10" s="16">
        <v>1</v>
      </c>
      <c r="H10" s="16">
        <v>0</v>
      </c>
      <c r="I10" s="16">
        <v>0</v>
      </c>
      <c r="J10" s="16">
        <v>7</v>
      </c>
      <c r="K10" s="16">
        <v>0</v>
      </c>
      <c r="L10" s="16">
        <v>0</v>
      </c>
      <c r="M10" s="16">
        <v>22</v>
      </c>
      <c r="N10" s="16">
        <v>0</v>
      </c>
      <c r="O10" s="18">
        <f t="shared" ref="O10:O16" si="0">SUM(C10:N10)</f>
        <v>30</v>
      </c>
      <c r="Q10" s="124">
        <f t="shared" ref="Q10:Q17" si="1">SUM(F10:K10)</f>
        <v>8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16</v>
      </c>
      <c r="H11" s="16">
        <v>28</v>
      </c>
      <c r="I11" s="16">
        <v>0</v>
      </c>
      <c r="J11" s="16">
        <v>19</v>
      </c>
      <c r="K11" s="16">
        <v>0</v>
      </c>
      <c r="L11" s="16">
        <v>0</v>
      </c>
      <c r="M11" s="16">
        <v>10</v>
      </c>
      <c r="N11" s="16">
        <v>0</v>
      </c>
      <c r="O11" s="18">
        <f t="shared" si="0"/>
        <v>73</v>
      </c>
      <c r="Q11" s="124">
        <f t="shared" si="1"/>
        <v>63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0</v>
      </c>
      <c r="F12" s="16">
        <v>0</v>
      </c>
      <c r="G12" s="16">
        <v>3</v>
      </c>
      <c r="H12" s="16">
        <v>7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10</v>
      </c>
      <c r="Q12" s="124">
        <f t="shared" si="1"/>
        <v>10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67</v>
      </c>
      <c r="I13" s="16">
        <v>10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77</v>
      </c>
      <c r="Q13" s="124">
        <f t="shared" si="1"/>
        <v>77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2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2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7</v>
      </c>
      <c r="J16" s="17">
        <v>13</v>
      </c>
      <c r="K16" s="17">
        <v>15</v>
      </c>
      <c r="L16" s="17">
        <v>5</v>
      </c>
      <c r="M16" s="17">
        <v>10</v>
      </c>
      <c r="N16" s="17">
        <v>0</v>
      </c>
      <c r="O16" s="21">
        <f t="shared" si="0"/>
        <v>50</v>
      </c>
      <c r="Q16" s="124">
        <f t="shared" si="1"/>
        <v>35</v>
      </c>
    </row>
    <row r="17" spans="1:17" ht="18.75" customHeight="1" thickTop="1" x14ac:dyDescent="0.25">
      <c r="A17" s="176" t="s">
        <v>26</v>
      </c>
      <c r="B17" s="177"/>
      <c r="C17" s="22">
        <f t="shared" ref="C17:O17" si="2">SUM(C9:C16)</f>
        <v>0</v>
      </c>
      <c r="D17" s="22">
        <f t="shared" si="2"/>
        <v>0</v>
      </c>
      <c r="E17" s="22">
        <f t="shared" si="2"/>
        <v>0</v>
      </c>
      <c r="F17" s="22">
        <f t="shared" si="2"/>
        <v>0</v>
      </c>
      <c r="G17" s="22">
        <f t="shared" si="2"/>
        <v>20</v>
      </c>
      <c r="H17" s="22">
        <f t="shared" si="2"/>
        <v>105</v>
      </c>
      <c r="I17" s="22">
        <f t="shared" si="2"/>
        <v>17</v>
      </c>
      <c r="J17" s="22">
        <f t="shared" si="2"/>
        <v>44</v>
      </c>
      <c r="K17" s="22">
        <f t="shared" si="2"/>
        <v>15</v>
      </c>
      <c r="L17" s="22">
        <f t="shared" si="2"/>
        <v>5</v>
      </c>
      <c r="M17" s="22">
        <f t="shared" si="2"/>
        <v>42</v>
      </c>
      <c r="N17" s="22">
        <f t="shared" si="2"/>
        <v>2</v>
      </c>
      <c r="O17" s="22">
        <f t="shared" si="2"/>
        <v>250</v>
      </c>
      <c r="Q17" s="124">
        <f t="shared" si="1"/>
        <v>201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26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ht="15.7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28" t="s">
        <v>93</v>
      </c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178" t="s">
        <v>58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7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7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0</v>
      </c>
      <c r="Q42" s="124">
        <f>SUM(F42:K42)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1</v>
      </c>
      <c r="K43" s="16">
        <v>0</v>
      </c>
      <c r="L43" s="16">
        <v>0</v>
      </c>
      <c r="M43" s="16">
        <v>7</v>
      </c>
      <c r="N43" s="16">
        <v>0</v>
      </c>
      <c r="O43" s="18">
        <f>SUM(C43:N43)</f>
        <v>8</v>
      </c>
      <c r="Q43" s="124">
        <f t="shared" ref="Q43:Q50" si="3">SUM(F43:K43)</f>
        <v>1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17</v>
      </c>
      <c r="K44" s="16">
        <v>27</v>
      </c>
      <c r="L44" s="16">
        <v>0</v>
      </c>
      <c r="M44" s="16">
        <v>19</v>
      </c>
      <c r="N44" s="16">
        <v>0</v>
      </c>
      <c r="O44" s="18">
        <f>SUM(C44:N44)</f>
        <v>63</v>
      </c>
      <c r="Q44" s="124">
        <f t="shared" si="3"/>
        <v>44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10</v>
      </c>
      <c r="K45" s="16">
        <v>0</v>
      </c>
      <c r="L45" s="16">
        <v>0</v>
      </c>
      <c r="M45" s="16">
        <v>0</v>
      </c>
      <c r="N45" s="16">
        <v>0</v>
      </c>
      <c r="O45" s="18">
        <f t="shared" ref="O45:O48" si="4">SUM(C45:N45)</f>
        <v>10</v>
      </c>
      <c r="Q45" s="124">
        <f t="shared" si="3"/>
        <v>10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67</v>
      </c>
      <c r="K46" s="16">
        <v>10</v>
      </c>
      <c r="L46" s="16">
        <v>0</v>
      </c>
      <c r="M46" s="16">
        <v>0</v>
      </c>
      <c r="N46" s="16">
        <v>0</v>
      </c>
      <c r="O46" s="18">
        <f>SUM(C46:N46)</f>
        <v>77</v>
      </c>
      <c r="Q46" s="124">
        <f t="shared" si="3"/>
        <v>77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4"/>
        <v>0</v>
      </c>
      <c r="Q47" s="124">
        <f t="shared" si="3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4"/>
        <v>0</v>
      </c>
      <c r="Q48" s="124">
        <f t="shared" si="3"/>
        <v>0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7</v>
      </c>
      <c r="L49" s="17">
        <v>0</v>
      </c>
      <c r="M49" s="17">
        <v>13</v>
      </c>
      <c r="N49" s="17">
        <v>15</v>
      </c>
      <c r="O49" s="21">
        <f>SUM(C49:N49)</f>
        <v>35</v>
      </c>
      <c r="Q49" s="124">
        <f t="shared" si="3"/>
        <v>7</v>
      </c>
    </row>
    <row r="50" spans="1:17" ht="18.75" customHeight="1" thickTop="1" x14ac:dyDescent="0.25">
      <c r="A50" s="176" t="s">
        <v>26</v>
      </c>
      <c r="B50" s="177"/>
      <c r="C50" s="22">
        <f t="shared" ref="C50:O50" si="5">SUM(C42:C49)</f>
        <v>0</v>
      </c>
      <c r="D50" s="22">
        <f t="shared" si="5"/>
        <v>0</v>
      </c>
      <c r="E50" s="22">
        <f t="shared" si="5"/>
        <v>0</v>
      </c>
      <c r="F50" s="22">
        <f t="shared" si="5"/>
        <v>0</v>
      </c>
      <c r="G50" s="22">
        <f t="shared" si="5"/>
        <v>0</v>
      </c>
      <c r="H50" s="22">
        <f t="shared" si="5"/>
        <v>0</v>
      </c>
      <c r="I50" s="22">
        <f t="shared" si="5"/>
        <v>0</v>
      </c>
      <c r="J50" s="22">
        <f t="shared" si="5"/>
        <v>95</v>
      </c>
      <c r="K50" s="22">
        <f t="shared" si="5"/>
        <v>44</v>
      </c>
      <c r="L50" s="22">
        <f t="shared" si="5"/>
        <v>0</v>
      </c>
      <c r="M50" s="22">
        <f t="shared" si="5"/>
        <v>39</v>
      </c>
      <c r="N50" s="22">
        <f t="shared" si="5"/>
        <v>15</v>
      </c>
      <c r="O50" s="22">
        <f t="shared" si="5"/>
        <v>193</v>
      </c>
      <c r="Q50" s="124">
        <f t="shared" si="3"/>
        <v>139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ht="15.75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128" t="s">
        <v>93</v>
      </c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178" t="s">
        <v>59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7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179" t="s">
        <v>2</v>
      </c>
      <c r="B72" s="179" t="s">
        <v>3</v>
      </c>
      <c r="C72" s="181" t="s">
        <v>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79" t="s">
        <v>5</v>
      </c>
    </row>
    <row r="73" spans="1:17" x14ac:dyDescent="0.25">
      <c r="A73" s="180"/>
      <c r="B73" s="1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182"/>
      <c r="Q73" s="123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0</v>
      </c>
      <c r="Q75" s="124">
        <f>SUM(F75:K75)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</v>
      </c>
      <c r="K76" s="16">
        <v>0</v>
      </c>
      <c r="L76" s="16">
        <v>0</v>
      </c>
      <c r="M76" s="16">
        <v>8</v>
      </c>
      <c r="N76" s="16">
        <v>0</v>
      </c>
      <c r="O76" s="18">
        <f t="shared" ref="O76:O82" si="6">SUM(C76:N76)</f>
        <v>9</v>
      </c>
      <c r="Q76" s="124">
        <f t="shared" ref="Q76:Q83" si="7">SUM(F76:K76)</f>
        <v>1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16</v>
      </c>
      <c r="K77" s="16">
        <v>25</v>
      </c>
      <c r="L77" s="16">
        <v>0</v>
      </c>
      <c r="M77" s="16">
        <v>16</v>
      </c>
      <c r="N77" s="16">
        <v>0</v>
      </c>
      <c r="O77" s="18">
        <f t="shared" si="6"/>
        <v>57</v>
      </c>
      <c r="Q77" s="124">
        <f t="shared" si="7"/>
        <v>41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9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9</v>
      </c>
      <c r="Q78" s="124">
        <f t="shared" si="7"/>
        <v>9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67</v>
      </c>
      <c r="K79" s="16">
        <v>10</v>
      </c>
      <c r="L79" s="16">
        <v>0</v>
      </c>
      <c r="M79" s="16">
        <v>0</v>
      </c>
      <c r="N79" s="16">
        <v>0</v>
      </c>
      <c r="O79" s="18">
        <f t="shared" si="6"/>
        <v>77</v>
      </c>
      <c r="Q79" s="124">
        <f t="shared" si="7"/>
        <v>77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2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24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7</v>
      </c>
      <c r="L82" s="17">
        <v>0</v>
      </c>
      <c r="M82" s="17">
        <v>10</v>
      </c>
      <c r="N82" s="17">
        <v>12</v>
      </c>
      <c r="O82" s="21">
        <f t="shared" si="6"/>
        <v>29</v>
      </c>
      <c r="Q82" s="124">
        <f t="shared" si="7"/>
        <v>7</v>
      </c>
    </row>
    <row r="83" spans="1:17" ht="18.75" customHeight="1" thickTop="1" x14ac:dyDescent="0.25">
      <c r="A83" s="176" t="s">
        <v>26</v>
      </c>
      <c r="B83" s="177"/>
      <c r="C83" s="22">
        <f t="shared" ref="C83:O83" si="8">SUM(C75:C82)</f>
        <v>0</v>
      </c>
      <c r="D83" s="22">
        <f t="shared" si="8"/>
        <v>0</v>
      </c>
      <c r="E83" s="22">
        <f t="shared" si="8"/>
        <v>0</v>
      </c>
      <c r="F83" s="22">
        <f t="shared" si="8"/>
        <v>0</v>
      </c>
      <c r="G83" s="22">
        <f t="shared" si="8"/>
        <v>0</v>
      </c>
      <c r="H83" s="22">
        <f t="shared" si="8"/>
        <v>0</v>
      </c>
      <c r="I83" s="22">
        <f t="shared" si="8"/>
        <v>0</v>
      </c>
      <c r="J83" s="22">
        <f t="shared" si="8"/>
        <v>93</v>
      </c>
      <c r="K83" s="22">
        <f t="shared" si="8"/>
        <v>42</v>
      </c>
      <c r="L83" s="22">
        <f t="shared" si="8"/>
        <v>0</v>
      </c>
      <c r="M83" s="22">
        <f t="shared" si="8"/>
        <v>34</v>
      </c>
      <c r="N83" s="22">
        <f t="shared" si="8"/>
        <v>12</v>
      </c>
      <c r="O83" s="22">
        <f t="shared" si="8"/>
        <v>181</v>
      </c>
      <c r="Q83" s="124">
        <f t="shared" si="7"/>
        <v>135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128" t="s">
        <v>93</v>
      </c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7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7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7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7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7" ht="18.75" x14ac:dyDescent="0.3">
      <c r="A101" s="178" t="s">
        <v>60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7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7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7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7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7" ht="18.75" customHeight="1" thickTop="1" x14ac:dyDescent="0.25">
      <c r="A108" s="27">
        <v>1</v>
      </c>
      <c r="B108" s="7" t="s">
        <v>18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32">
        <v>0</v>
      </c>
      <c r="K108" s="28">
        <v>0</v>
      </c>
      <c r="L108" s="28">
        <v>0</v>
      </c>
      <c r="M108" s="28">
        <v>0</v>
      </c>
      <c r="N108" s="28">
        <v>0</v>
      </c>
      <c r="O108" s="33">
        <v>0</v>
      </c>
    </row>
    <row r="109" spans="1:17" ht="18.75" customHeight="1" x14ac:dyDescent="0.25">
      <c r="A109" s="14">
        <v>2</v>
      </c>
      <c r="B109" s="12" t="s">
        <v>19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34">
        <v>12</v>
      </c>
      <c r="K109" s="16">
        <v>0</v>
      </c>
      <c r="L109" s="16">
        <v>0</v>
      </c>
      <c r="M109" s="34">
        <v>11.05</v>
      </c>
      <c r="N109" s="16">
        <v>0</v>
      </c>
      <c r="O109" s="35">
        <f>O76/O43*10</f>
        <v>11.25</v>
      </c>
      <c r="Q109">
        <f>M76/M43*10</f>
        <v>11.428571428571427</v>
      </c>
    </row>
    <row r="110" spans="1:17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34">
        <v>9.25</v>
      </c>
      <c r="K110" s="34">
        <v>9.31</v>
      </c>
      <c r="L110" s="16">
        <v>0</v>
      </c>
      <c r="M110" s="34">
        <v>8.25</v>
      </c>
      <c r="N110" s="16">
        <v>0</v>
      </c>
      <c r="O110" s="35">
        <f>O77/O44*10</f>
        <v>9.0476190476190474</v>
      </c>
      <c r="Q110">
        <f t="shared" ref="Q110:Q115" si="9">M77/M44*10</f>
        <v>8.4210526315789469</v>
      </c>
    </row>
    <row r="111" spans="1:17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34">
        <v>9.4</v>
      </c>
      <c r="K111" s="34">
        <v>0</v>
      </c>
      <c r="L111" s="16">
        <v>0</v>
      </c>
      <c r="M111" s="34">
        <v>0</v>
      </c>
      <c r="N111" s="16">
        <v>0</v>
      </c>
      <c r="O111" s="35">
        <v>9.4</v>
      </c>
      <c r="Q111" t="e">
        <f t="shared" si="9"/>
        <v>#DIV/0!</v>
      </c>
    </row>
    <row r="112" spans="1:17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34">
        <v>10.08</v>
      </c>
      <c r="K112" s="34">
        <v>10</v>
      </c>
      <c r="L112" s="16">
        <v>0</v>
      </c>
      <c r="M112" s="34">
        <v>0</v>
      </c>
      <c r="N112" s="16">
        <v>0</v>
      </c>
      <c r="O112" s="35">
        <f>O79/O46*10</f>
        <v>10</v>
      </c>
      <c r="Q112" t="e">
        <f t="shared" si="9"/>
        <v>#DIV/0!</v>
      </c>
    </row>
    <row r="113" spans="1:17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34">
        <v>0</v>
      </c>
      <c r="K113" s="34">
        <v>0</v>
      </c>
      <c r="L113" s="16">
        <v>0</v>
      </c>
      <c r="M113" s="34">
        <v>0</v>
      </c>
      <c r="N113" s="16">
        <v>0</v>
      </c>
      <c r="O113" s="35">
        <v>0</v>
      </c>
      <c r="Q113" t="e">
        <f t="shared" si="9"/>
        <v>#DIV/0!</v>
      </c>
    </row>
    <row r="114" spans="1:17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34">
        <v>0</v>
      </c>
      <c r="K114" s="34">
        <v>0</v>
      </c>
      <c r="L114" s="16">
        <v>0</v>
      </c>
      <c r="M114" s="34">
        <v>0</v>
      </c>
      <c r="N114" s="16">
        <v>0</v>
      </c>
      <c r="O114" s="35">
        <v>0</v>
      </c>
      <c r="Q114" t="e">
        <f t="shared" si="9"/>
        <v>#DIV/0!</v>
      </c>
    </row>
    <row r="115" spans="1:17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36">
        <v>0</v>
      </c>
      <c r="J115" s="36">
        <v>0</v>
      </c>
      <c r="K115" s="36">
        <v>10.5</v>
      </c>
      <c r="L115" s="17">
        <v>0</v>
      </c>
      <c r="M115" s="36">
        <v>7.9</v>
      </c>
      <c r="N115" s="36">
        <v>8</v>
      </c>
      <c r="O115" s="35">
        <f>O82/O49*10</f>
        <v>8.2857142857142865</v>
      </c>
      <c r="Q115">
        <f t="shared" si="9"/>
        <v>7.6923076923076925</v>
      </c>
    </row>
    <row r="116" spans="1:17" ht="18.75" customHeight="1" thickTop="1" x14ac:dyDescent="0.25">
      <c r="A116" s="176" t="s">
        <v>26</v>
      </c>
      <c r="B116" s="177"/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f t="shared" ref="J116:M116" si="10">J83/J50*10</f>
        <v>9.7894736842105274</v>
      </c>
      <c r="K116" s="38">
        <f t="shared" si="10"/>
        <v>9.5454545454545467</v>
      </c>
      <c r="L116" s="38">
        <v>0</v>
      </c>
      <c r="M116" s="38">
        <f t="shared" si="10"/>
        <v>8.717948717948719</v>
      </c>
      <c r="N116" s="38">
        <v>8</v>
      </c>
      <c r="O116" s="38">
        <f>O83/O50*10</f>
        <v>9.3782383419689115</v>
      </c>
      <c r="P116" s="75">
        <f>SUM(O108:O115)/5</f>
        <v>9.5966666666666676</v>
      </c>
    </row>
    <row r="117" spans="1:17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26" spans="1:17" ht="15.75" x14ac:dyDescent="0.3">
      <c r="L126" s="128" t="s">
        <v>93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6"/>
  <sheetViews>
    <sheetView topLeftCell="A61" zoomScaleNormal="100" workbookViewId="0">
      <selection activeCell="P85" sqref="P85"/>
    </sheetView>
  </sheetViews>
  <sheetFormatPr defaultRowHeight="15" x14ac:dyDescent="0.25"/>
  <cols>
    <col min="1" max="1" width="4" customWidth="1"/>
    <col min="2" max="2" width="14.28515625" customWidth="1"/>
    <col min="3" max="15" width="8.5703125" customWidth="1"/>
  </cols>
  <sheetData>
    <row r="2" spans="1:18" ht="18.75" x14ac:dyDescent="0.3">
      <c r="A2" s="189" t="s">
        <v>41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</row>
    <row r="3" spans="1:18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8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8" x14ac:dyDescent="0.25">
      <c r="A6" s="179" t="s">
        <v>2</v>
      </c>
      <c r="B6" s="179" t="s">
        <v>3</v>
      </c>
      <c r="C6" s="181" t="s">
        <v>4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79" t="s">
        <v>5</v>
      </c>
    </row>
    <row r="7" spans="1:18" x14ac:dyDescent="0.25">
      <c r="A7" s="180"/>
      <c r="B7" s="1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182"/>
    </row>
    <row r="8" spans="1:18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8" ht="18.75" customHeight="1" thickTop="1" x14ac:dyDescent="0.25">
      <c r="A9" s="27">
        <v>1</v>
      </c>
      <c r="B9" s="7" t="s">
        <v>18</v>
      </c>
      <c r="C9" s="28">
        <v>65</v>
      </c>
      <c r="D9" s="28">
        <v>0</v>
      </c>
      <c r="E9" s="28">
        <v>15</v>
      </c>
      <c r="F9" s="28">
        <v>3</v>
      </c>
      <c r="G9" s="28">
        <v>2</v>
      </c>
      <c r="H9" s="28">
        <v>2</v>
      </c>
      <c r="I9" s="28">
        <v>0</v>
      </c>
      <c r="J9" s="28">
        <v>0</v>
      </c>
      <c r="K9" s="28">
        <v>0</v>
      </c>
      <c r="L9" s="46">
        <v>0</v>
      </c>
      <c r="M9" s="28">
        <v>2</v>
      </c>
      <c r="N9" s="28">
        <v>137</v>
      </c>
      <c r="O9" s="29">
        <f>SUM(C9:N9)</f>
        <v>226</v>
      </c>
      <c r="R9" s="124">
        <f>SUM(F9:K9)</f>
        <v>7</v>
      </c>
    </row>
    <row r="10" spans="1:18" ht="18.75" customHeight="1" x14ac:dyDescent="0.25">
      <c r="A10" s="14">
        <v>2</v>
      </c>
      <c r="B10" s="12" t="s">
        <v>19</v>
      </c>
      <c r="C10" s="16">
        <v>219</v>
      </c>
      <c r="D10" s="16">
        <v>0</v>
      </c>
      <c r="E10" s="16">
        <v>5</v>
      </c>
      <c r="F10" s="16">
        <v>0</v>
      </c>
      <c r="G10" s="16">
        <v>0</v>
      </c>
      <c r="H10" s="16">
        <v>0</v>
      </c>
      <c r="I10" s="16">
        <v>0</v>
      </c>
      <c r="J10" s="16">
        <v>1</v>
      </c>
      <c r="K10" s="16">
        <v>0</v>
      </c>
      <c r="L10" s="47">
        <v>0</v>
      </c>
      <c r="M10" s="16">
        <v>0</v>
      </c>
      <c r="N10" s="16">
        <v>55</v>
      </c>
      <c r="O10" s="18">
        <f t="shared" ref="O10:O16" si="0">SUM(C10:N10)</f>
        <v>280</v>
      </c>
      <c r="R10" s="124">
        <f t="shared" ref="R10:R17" si="1">SUM(F10:K10)</f>
        <v>1</v>
      </c>
    </row>
    <row r="11" spans="1:18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275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85</v>
      </c>
      <c r="N11" s="16">
        <v>180</v>
      </c>
      <c r="O11" s="18">
        <f t="shared" si="0"/>
        <v>540</v>
      </c>
      <c r="R11" s="124">
        <f t="shared" si="1"/>
        <v>0</v>
      </c>
    </row>
    <row r="12" spans="1:18" ht="18.75" customHeight="1" x14ac:dyDescent="0.25">
      <c r="A12" s="14">
        <v>4</v>
      </c>
      <c r="B12" s="15" t="s">
        <v>21</v>
      </c>
      <c r="C12" s="16">
        <v>0</v>
      </c>
      <c r="D12" s="16">
        <v>15</v>
      </c>
      <c r="E12" s="16">
        <v>24</v>
      </c>
      <c r="F12" s="16">
        <v>1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5</v>
      </c>
      <c r="N12" s="16">
        <v>234</v>
      </c>
      <c r="O12" s="18">
        <f t="shared" si="0"/>
        <v>279</v>
      </c>
      <c r="R12" s="124">
        <f t="shared" si="1"/>
        <v>1</v>
      </c>
    </row>
    <row r="13" spans="1:18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111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260</v>
      </c>
      <c r="O13" s="18">
        <f t="shared" si="0"/>
        <v>371</v>
      </c>
      <c r="R13" s="124">
        <f t="shared" si="1"/>
        <v>0</v>
      </c>
    </row>
    <row r="14" spans="1:18" ht="18.75" customHeight="1" x14ac:dyDescent="0.25">
      <c r="A14" s="14">
        <v>6</v>
      </c>
      <c r="B14" s="19" t="s">
        <v>23</v>
      </c>
      <c r="C14" s="16">
        <v>31</v>
      </c>
      <c r="D14" s="16">
        <v>54</v>
      </c>
      <c r="E14" s="16">
        <v>0</v>
      </c>
      <c r="F14" s="16">
        <v>0</v>
      </c>
      <c r="G14" s="16">
        <v>0</v>
      </c>
      <c r="H14" s="16">
        <v>0</v>
      </c>
      <c r="I14" s="16">
        <v>16</v>
      </c>
      <c r="J14" s="16">
        <v>0</v>
      </c>
      <c r="K14" s="16">
        <v>0</v>
      </c>
      <c r="L14" s="16">
        <v>0</v>
      </c>
      <c r="M14" s="16">
        <v>0</v>
      </c>
      <c r="N14" s="16">
        <v>76</v>
      </c>
      <c r="O14" s="18">
        <f t="shared" si="0"/>
        <v>177</v>
      </c>
      <c r="R14" s="124">
        <f t="shared" si="1"/>
        <v>16</v>
      </c>
    </row>
    <row r="15" spans="1:18" ht="18.75" customHeight="1" x14ac:dyDescent="0.25">
      <c r="A15" s="14">
        <v>7</v>
      </c>
      <c r="B15" s="19" t="s">
        <v>24</v>
      </c>
      <c r="C15" s="16">
        <v>2</v>
      </c>
      <c r="D15" s="16">
        <v>0</v>
      </c>
      <c r="E15" s="16">
        <v>1</v>
      </c>
      <c r="F15" s="16">
        <v>0</v>
      </c>
      <c r="G15" s="16">
        <v>0</v>
      </c>
      <c r="H15" s="16">
        <v>1</v>
      </c>
      <c r="I15" s="16">
        <v>0</v>
      </c>
      <c r="J15" s="16">
        <v>0</v>
      </c>
      <c r="K15" s="16">
        <v>0</v>
      </c>
      <c r="L15" s="16">
        <v>0</v>
      </c>
      <c r="M15" s="16">
        <v>1</v>
      </c>
      <c r="N15" s="16">
        <v>0</v>
      </c>
      <c r="O15" s="18">
        <f t="shared" si="0"/>
        <v>5</v>
      </c>
      <c r="R15" s="124">
        <f t="shared" si="1"/>
        <v>1</v>
      </c>
    </row>
    <row r="16" spans="1:18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200</v>
      </c>
      <c r="F16" s="17">
        <v>0</v>
      </c>
      <c r="G16" s="17">
        <v>0</v>
      </c>
      <c r="H16" s="17">
        <v>50</v>
      </c>
      <c r="I16" s="17">
        <v>117</v>
      </c>
      <c r="J16" s="17">
        <v>0</v>
      </c>
      <c r="K16" s="17">
        <v>3</v>
      </c>
      <c r="L16" s="17">
        <v>0</v>
      </c>
      <c r="M16" s="17">
        <v>47</v>
      </c>
      <c r="N16" s="17">
        <v>187</v>
      </c>
      <c r="O16" s="21">
        <f t="shared" si="0"/>
        <v>604</v>
      </c>
      <c r="R16" s="124">
        <f t="shared" si="1"/>
        <v>170</v>
      </c>
    </row>
    <row r="17" spans="1:18" ht="18.75" customHeight="1" thickTop="1" x14ac:dyDescent="0.25">
      <c r="A17" s="176" t="s">
        <v>26</v>
      </c>
      <c r="B17" s="177"/>
      <c r="C17" s="22">
        <f t="shared" ref="C17:O17" si="2">SUM(C9:C16)</f>
        <v>317</v>
      </c>
      <c r="D17" s="22">
        <f t="shared" si="2"/>
        <v>69</v>
      </c>
      <c r="E17" s="22">
        <f t="shared" si="2"/>
        <v>631</v>
      </c>
      <c r="F17" s="22">
        <f t="shared" si="2"/>
        <v>4</v>
      </c>
      <c r="G17" s="22">
        <f t="shared" si="2"/>
        <v>2</v>
      </c>
      <c r="H17" s="22">
        <f t="shared" si="2"/>
        <v>53</v>
      </c>
      <c r="I17" s="22">
        <f t="shared" si="2"/>
        <v>133</v>
      </c>
      <c r="J17" s="22">
        <f t="shared" si="2"/>
        <v>1</v>
      </c>
      <c r="K17" s="22">
        <f t="shared" si="2"/>
        <v>3</v>
      </c>
      <c r="L17" s="22">
        <f t="shared" si="2"/>
        <v>0</v>
      </c>
      <c r="M17" s="22">
        <f t="shared" si="2"/>
        <v>140</v>
      </c>
      <c r="N17" s="22">
        <f t="shared" si="2"/>
        <v>1129</v>
      </c>
      <c r="O17" s="22">
        <f t="shared" si="2"/>
        <v>2482</v>
      </c>
      <c r="R17" s="124">
        <f t="shared" si="1"/>
        <v>196</v>
      </c>
    </row>
    <row r="18" spans="1:18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8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8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8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L21" s="23"/>
      <c r="M21" s="23"/>
      <c r="N21" s="23"/>
      <c r="O21" s="23"/>
    </row>
    <row r="22" spans="1:18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8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8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8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8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8" ht="15.7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28" t="s">
        <v>93</v>
      </c>
      <c r="M27" s="23"/>
      <c r="N27" s="23"/>
      <c r="O27" s="23"/>
    </row>
    <row r="28" spans="1:18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8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8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8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8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8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8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8" ht="18.75" x14ac:dyDescent="0.3">
      <c r="A35" s="178" t="s">
        <v>42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8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8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8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8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8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8" ht="18.75" customHeight="1" thickTop="1" x14ac:dyDescent="0.25">
      <c r="A42" s="27">
        <v>1</v>
      </c>
      <c r="B42" s="7" t="s">
        <v>18</v>
      </c>
      <c r="C42" s="46">
        <v>0</v>
      </c>
      <c r="D42" s="28">
        <v>15</v>
      </c>
      <c r="E42" s="28">
        <v>50</v>
      </c>
      <c r="F42" s="28">
        <v>0</v>
      </c>
      <c r="G42" s="28">
        <v>15</v>
      </c>
      <c r="H42" s="28">
        <v>3</v>
      </c>
      <c r="I42" s="28">
        <v>2</v>
      </c>
      <c r="J42" s="28">
        <v>2</v>
      </c>
      <c r="K42" s="28">
        <v>0</v>
      </c>
      <c r="L42" s="46">
        <v>0</v>
      </c>
      <c r="M42" s="28">
        <v>0</v>
      </c>
      <c r="N42" s="46">
        <v>0</v>
      </c>
      <c r="O42" s="29">
        <f>SUM(C42:N42)</f>
        <v>87</v>
      </c>
      <c r="R42" s="124">
        <f>SUM(F42:K42)</f>
        <v>22</v>
      </c>
    </row>
    <row r="43" spans="1:18" ht="18.75" customHeight="1" x14ac:dyDescent="0.25">
      <c r="A43" s="14">
        <v>2</v>
      </c>
      <c r="B43" s="12" t="s">
        <v>19</v>
      </c>
      <c r="C43" s="47">
        <v>0</v>
      </c>
      <c r="D43" s="16">
        <v>35</v>
      </c>
      <c r="E43" s="16">
        <v>219</v>
      </c>
      <c r="F43" s="16">
        <v>0</v>
      </c>
      <c r="G43" s="16">
        <v>0</v>
      </c>
      <c r="H43" s="16">
        <v>5</v>
      </c>
      <c r="I43" s="16">
        <v>0</v>
      </c>
      <c r="J43" s="16">
        <v>0</v>
      </c>
      <c r="K43" s="16">
        <v>0</v>
      </c>
      <c r="L43" s="47">
        <v>0</v>
      </c>
      <c r="M43" s="16">
        <v>1</v>
      </c>
      <c r="N43" s="47">
        <v>0</v>
      </c>
      <c r="O43" s="18">
        <f t="shared" ref="O43:O49" si="3">SUM(C43:N43)</f>
        <v>260</v>
      </c>
      <c r="R43" s="124">
        <f t="shared" ref="R43:R50" si="4">SUM(F43:K43)</f>
        <v>5</v>
      </c>
    </row>
    <row r="44" spans="1:18" ht="18.75" customHeight="1" x14ac:dyDescent="0.25">
      <c r="A44" s="14">
        <v>3</v>
      </c>
      <c r="B44" s="7" t="s">
        <v>20</v>
      </c>
      <c r="C44" s="16">
        <v>0</v>
      </c>
      <c r="D44" s="16">
        <v>375</v>
      </c>
      <c r="E44" s="16">
        <v>50</v>
      </c>
      <c r="F44" s="16">
        <v>0</v>
      </c>
      <c r="G44" s="16">
        <v>0</v>
      </c>
      <c r="H44" s="16">
        <v>275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700</v>
      </c>
      <c r="R44" s="124">
        <f t="shared" si="4"/>
        <v>275</v>
      </c>
    </row>
    <row r="45" spans="1:18" ht="18.75" customHeight="1" x14ac:dyDescent="0.25">
      <c r="A45" s="14">
        <v>4</v>
      </c>
      <c r="B45" s="15" t="s">
        <v>21</v>
      </c>
      <c r="C45" s="16">
        <v>0</v>
      </c>
      <c r="D45" s="16">
        <v>48</v>
      </c>
      <c r="E45" s="16">
        <v>21</v>
      </c>
      <c r="F45" s="16">
        <v>0</v>
      </c>
      <c r="G45" s="16">
        <v>15</v>
      </c>
      <c r="H45" s="16">
        <v>24</v>
      </c>
      <c r="I45" s="16">
        <v>1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109</v>
      </c>
      <c r="R45" s="124">
        <f t="shared" si="4"/>
        <v>40</v>
      </c>
    </row>
    <row r="46" spans="1:18" ht="18.75" customHeight="1" x14ac:dyDescent="0.25">
      <c r="A46" s="14">
        <v>5</v>
      </c>
      <c r="B46" s="19" t="s">
        <v>22</v>
      </c>
      <c r="C46" s="16">
        <v>0</v>
      </c>
      <c r="D46" s="16">
        <v>23</v>
      </c>
      <c r="E46" s="16">
        <v>260</v>
      </c>
      <c r="F46" s="16">
        <v>111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394</v>
      </c>
      <c r="R46" s="124">
        <f t="shared" si="4"/>
        <v>111</v>
      </c>
    </row>
    <row r="47" spans="1:18" ht="18.75" customHeight="1" x14ac:dyDescent="0.25">
      <c r="A47" s="14">
        <v>6</v>
      </c>
      <c r="B47" s="19" t="s">
        <v>23</v>
      </c>
      <c r="C47" s="16">
        <v>87</v>
      </c>
      <c r="D47" s="16">
        <v>0</v>
      </c>
      <c r="E47" s="16">
        <v>0</v>
      </c>
      <c r="F47" s="16">
        <v>31</v>
      </c>
      <c r="G47" s="16">
        <v>54</v>
      </c>
      <c r="H47" s="16">
        <v>0</v>
      </c>
      <c r="I47" s="16">
        <v>0</v>
      </c>
      <c r="J47" s="16">
        <v>0</v>
      </c>
      <c r="K47" s="16">
        <v>16</v>
      </c>
      <c r="L47" s="16">
        <v>0</v>
      </c>
      <c r="M47" s="16">
        <v>0</v>
      </c>
      <c r="N47" s="16">
        <v>0</v>
      </c>
      <c r="O47" s="18">
        <f t="shared" si="3"/>
        <v>188</v>
      </c>
      <c r="R47" s="124">
        <f t="shared" si="4"/>
        <v>101</v>
      </c>
    </row>
    <row r="48" spans="1:18" ht="18.75" customHeight="1" x14ac:dyDescent="0.25">
      <c r="A48" s="14">
        <v>7</v>
      </c>
      <c r="B48" s="19" t="s">
        <v>24</v>
      </c>
      <c r="C48" s="16">
        <v>0</v>
      </c>
      <c r="D48" s="16">
        <v>2</v>
      </c>
      <c r="E48" s="16">
        <v>1</v>
      </c>
      <c r="F48" s="16">
        <v>0</v>
      </c>
      <c r="G48" s="16">
        <v>1</v>
      </c>
      <c r="H48" s="16">
        <v>0</v>
      </c>
      <c r="I48" s="16">
        <v>0</v>
      </c>
      <c r="J48" s="16">
        <v>0</v>
      </c>
      <c r="K48" s="16">
        <v>1</v>
      </c>
      <c r="L48" s="16">
        <v>0</v>
      </c>
      <c r="M48" s="16">
        <v>0</v>
      </c>
      <c r="N48" s="16">
        <v>0</v>
      </c>
      <c r="O48" s="18">
        <f t="shared" si="3"/>
        <v>5</v>
      </c>
      <c r="R48" s="124">
        <f t="shared" si="4"/>
        <v>2</v>
      </c>
    </row>
    <row r="49" spans="1:18" ht="18.75" customHeight="1" thickBot="1" x14ac:dyDescent="0.3">
      <c r="A49" s="20">
        <v>8</v>
      </c>
      <c r="B49" s="15" t="s">
        <v>25</v>
      </c>
      <c r="C49" s="17">
        <v>0</v>
      </c>
      <c r="D49" s="17">
        <v>275</v>
      </c>
      <c r="E49" s="17">
        <v>0</v>
      </c>
      <c r="F49" s="17">
        <v>0</v>
      </c>
      <c r="G49" s="17">
        <v>0</v>
      </c>
      <c r="H49" s="17">
        <v>200</v>
      </c>
      <c r="I49" s="17">
        <v>0</v>
      </c>
      <c r="J49" s="17">
        <v>50</v>
      </c>
      <c r="K49" s="17">
        <v>117</v>
      </c>
      <c r="L49" s="17">
        <v>0</v>
      </c>
      <c r="M49" s="17">
        <v>0</v>
      </c>
      <c r="N49" s="49">
        <v>3</v>
      </c>
      <c r="O49" s="21">
        <f t="shared" si="3"/>
        <v>645</v>
      </c>
      <c r="R49" s="124">
        <f t="shared" si="4"/>
        <v>367</v>
      </c>
    </row>
    <row r="50" spans="1:18" ht="18.75" customHeight="1" thickTop="1" x14ac:dyDescent="0.25">
      <c r="A50" s="176" t="s">
        <v>26</v>
      </c>
      <c r="B50" s="177"/>
      <c r="C50" s="22">
        <f t="shared" ref="C50:O50" si="5">SUM(C42:C49)</f>
        <v>87</v>
      </c>
      <c r="D50" s="22">
        <f t="shared" si="5"/>
        <v>773</v>
      </c>
      <c r="E50" s="22">
        <f t="shared" si="5"/>
        <v>601</v>
      </c>
      <c r="F50" s="22">
        <f t="shared" si="5"/>
        <v>142</v>
      </c>
      <c r="G50" s="22">
        <f t="shared" si="5"/>
        <v>85</v>
      </c>
      <c r="H50" s="22">
        <f t="shared" si="5"/>
        <v>507</v>
      </c>
      <c r="I50" s="22">
        <f t="shared" si="5"/>
        <v>3</v>
      </c>
      <c r="J50" s="22">
        <f t="shared" si="5"/>
        <v>52</v>
      </c>
      <c r="K50" s="22">
        <f t="shared" si="5"/>
        <v>134</v>
      </c>
      <c r="L50" s="22">
        <f t="shared" si="5"/>
        <v>0</v>
      </c>
      <c r="M50" s="22">
        <f t="shared" si="5"/>
        <v>1</v>
      </c>
      <c r="N50" s="22">
        <f t="shared" si="5"/>
        <v>3</v>
      </c>
      <c r="O50" s="22">
        <f t="shared" si="5"/>
        <v>2388</v>
      </c>
      <c r="R50" s="124">
        <f t="shared" si="4"/>
        <v>923</v>
      </c>
    </row>
    <row r="51" spans="1:18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8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8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8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</row>
    <row r="55" spans="1:18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8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8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8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8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8" ht="15.75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128" t="s">
        <v>93</v>
      </c>
      <c r="M60" s="24"/>
      <c r="N60" s="24"/>
      <c r="O60" s="24"/>
    </row>
    <row r="61" spans="1:18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8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8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8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9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9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9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9" ht="18.75" x14ac:dyDescent="0.3">
      <c r="A68" s="178" t="s">
        <v>43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9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9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9" x14ac:dyDescent="0.25">
      <c r="A72" s="179" t="s">
        <v>2</v>
      </c>
      <c r="B72" s="179" t="s">
        <v>3</v>
      </c>
      <c r="C72" s="181" t="s">
        <v>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79" t="s">
        <v>5</v>
      </c>
    </row>
    <row r="73" spans="1:19" x14ac:dyDescent="0.25">
      <c r="A73" s="180"/>
      <c r="B73" s="1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182"/>
    </row>
    <row r="74" spans="1:19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9" ht="18.75" customHeight="1" thickTop="1" x14ac:dyDescent="0.25">
      <c r="A75" s="27">
        <v>1</v>
      </c>
      <c r="B75" s="7" t="s">
        <v>18</v>
      </c>
      <c r="C75" s="46">
        <v>0</v>
      </c>
      <c r="D75" s="28">
        <v>34</v>
      </c>
      <c r="E75" s="28">
        <v>115</v>
      </c>
      <c r="F75" s="28">
        <v>0</v>
      </c>
      <c r="G75" s="28">
        <v>34</v>
      </c>
      <c r="H75" s="28">
        <v>7</v>
      </c>
      <c r="I75" s="28">
        <v>4</v>
      </c>
      <c r="J75" s="28">
        <v>3</v>
      </c>
      <c r="K75" s="28">
        <v>0</v>
      </c>
      <c r="L75" s="46">
        <v>0</v>
      </c>
      <c r="M75" s="28">
        <v>0</v>
      </c>
      <c r="N75" s="46">
        <v>0</v>
      </c>
      <c r="O75" s="29">
        <f>SUM(C75:N75)</f>
        <v>197</v>
      </c>
      <c r="Q75" s="134">
        <f>O42*Q108/10</f>
        <v>63.040000000000006</v>
      </c>
      <c r="R75" s="124">
        <f>SUM(F75:K75)</f>
        <v>48</v>
      </c>
      <c r="S75" s="124">
        <f>R75*0.32</f>
        <v>15.36</v>
      </c>
    </row>
    <row r="76" spans="1:19" ht="18.75" customHeight="1" x14ac:dyDescent="0.25">
      <c r="A76" s="14">
        <v>2</v>
      </c>
      <c r="B76" s="12" t="s">
        <v>19</v>
      </c>
      <c r="C76" s="47">
        <v>0</v>
      </c>
      <c r="D76" s="16">
        <v>105</v>
      </c>
      <c r="E76" s="16">
        <v>554</v>
      </c>
      <c r="F76" s="16">
        <v>0</v>
      </c>
      <c r="G76" s="16">
        <v>0</v>
      </c>
      <c r="H76" s="16">
        <v>8</v>
      </c>
      <c r="I76" s="16">
        <v>0</v>
      </c>
      <c r="J76" s="16">
        <v>0</v>
      </c>
      <c r="K76" s="16">
        <v>0</v>
      </c>
      <c r="L76" s="47">
        <v>0</v>
      </c>
      <c r="M76" s="16">
        <v>1</v>
      </c>
      <c r="N76" s="47">
        <v>0</v>
      </c>
      <c r="O76" s="18">
        <f t="shared" ref="O76:O82" si="6">SUM(C76:N76)</f>
        <v>668</v>
      </c>
      <c r="Q76" s="134">
        <f t="shared" ref="Q76:Q83" si="7">O43*Q109/10</f>
        <v>213.76</v>
      </c>
      <c r="R76" s="124">
        <f t="shared" ref="R76:R83" si="8">SUM(F76:K76)</f>
        <v>8</v>
      </c>
      <c r="S76" s="124">
        <f t="shared" ref="S76:S82" si="9">R76*0.32</f>
        <v>2.56</v>
      </c>
    </row>
    <row r="77" spans="1:19" ht="18.75" customHeight="1" x14ac:dyDescent="0.25">
      <c r="A77" s="14">
        <v>3</v>
      </c>
      <c r="B77" s="7" t="s">
        <v>20</v>
      </c>
      <c r="C77" s="16">
        <v>0</v>
      </c>
      <c r="D77" s="16">
        <v>1650</v>
      </c>
      <c r="E77" s="16">
        <v>220</v>
      </c>
      <c r="F77" s="16">
        <v>0</v>
      </c>
      <c r="G77" s="16">
        <v>0</v>
      </c>
      <c r="H77" s="16">
        <v>467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2337</v>
      </c>
      <c r="Q77" s="134">
        <f t="shared" si="7"/>
        <v>747.83999999999992</v>
      </c>
      <c r="R77" s="124">
        <f t="shared" si="8"/>
        <v>467</v>
      </c>
      <c r="S77" s="124">
        <f t="shared" si="9"/>
        <v>149.44</v>
      </c>
    </row>
    <row r="78" spans="1:19" ht="18.75" customHeight="1" x14ac:dyDescent="0.25">
      <c r="A78" s="14">
        <v>4</v>
      </c>
      <c r="B78" s="15" t="s">
        <v>21</v>
      </c>
      <c r="C78" s="16">
        <v>0</v>
      </c>
      <c r="D78" s="16">
        <v>71</v>
      </c>
      <c r="E78" s="16">
        <v>30</v>
      </c>
      <c r="F78" s="16">
        <v>0</v>
      </c>
      <c r="G78" s="16">
        <v>23</v>
      </c>
      <c r="H78" s="16">
        <v>35</v>
      </c>
      <c r="I78" s="16">
        <v>1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160</v>
      </c>
      <c r="Q78" s="134">
        <f t="shared" si="7"/>
        <v>51.2</v>
      </c>
      <c r="R78" s="124">
        <f t="shared" si="8"/>
        <v>59</v>
      </c>
      <c r="S78" s="124">
        <f t="shared" si="9"/>
        <v>18.88</v>
      </c>
    </row>
    <row r="79" spans="1:19" ht="18.75" customHeight="1" x14ac:dyDescent="0.25">
      <c r="A79" s="14">
        <v>5</v>
      </c>
      <c r="B79" s="19" t="s">
        <v>22</v>
      </c>
      <c r="C79" s="16">
        <v>0</v>
      </c>
      <c r="D79" s="16">
        <v>42</v>
      </c>
      <c r="E79" s="16">
        <v>1040</v>
      </c>
      <c r="F79" s="16">
        <v>444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1526</v>
      </c>
      <c r="Q79" s="134">
        <f t="shared" si="7"/>
        <v>488.32</v>
      </c>
      <c r="R79" s="124">
        <f t="shared" si="8"/>
        <v>444</v>
      </c>
      <c r="S79" s="124">
        <f t="shared" si="9"/>
        <v>142.08000000000001</v>
      </c>
    </row>
    <row r="80" spans="1:19" ht="18.75" customHeight="1" x14ac:dyDescent="0.25">
      <c r="A80" s="14">
        <v>6</v>
      </c>
      <c r="B80" s="19" t="s">
        <v>23</v>
      </c>
      <c r="C80" s="16">
        <v>183</v>
      </c>
      <c r="D80" s="16">
        <v>0</v>
      </c>
      <c r="E80" s="16">
        <v>0</v>
      </c>
      <c r="F80" s="16"/>
      <c r="G80" s="16">
        <v>113</v>
      </c>
      <c r="H80" s="16">
        <v>0</v>
      </c>
      <c r="I80" s="16">
        <v>0</v>
      </c>
      <c r="J80" s="16">
        <v>0</v>
      </c>
      <c r="K80" s="16">
        <v>29</v>
      </c>
      <c r="L80" s="16">
        <v>0</v>
      </c>
      <c r="M80" s="16">
        <v>0</v>
      </c>
      <c r="N80" s="16">
        <v>0</v>
      </c>
      <c r="O80" s="18">
        <f t="shared" si="6"/>
        <v>325</v>
      </c>
      <c r="Q80" s="134">
        <f t="shared" si="7"/>
        <v>104</v>
      </c>
      <c r="R80" s="124">
        <f t="shared" si="8"/>
        <v>142</v>
      </c>
      <c r="S80" s="124">
        <f t="shared" si="9"/>
        <v>45.44</v>
      </c>
    </row>
    <row r="81" spans="1:19" ht="18.75" customHeight="1" x14ac:dyDescent="0.25">
      <c r="A81" s="14">
        <v>7</v>
      </c>
      <c r="B81" s="19" t="s">
        <v>24</v>
      </c>
      <c r="C81" s="16">
        <v>0</v>
      </c>
      <c r="D81" s="16">
        <v>3</v>
      </c>
      <c r="E81" s="16">
        <v>2</v>
      </c>
      <c r="F81" s="16">
        <v>0</v>
      </c>
      <c r="G81" s="16">
        <v>2</v>
      </c>
      <c r="H81" s="16">
        <v>0</v>
      </c>
      <c r="I81" s="16">
        <v>0</v>
      </c>
      <c r="J81" s="16">
        <v>0</v>
      </c>
      <c r="K81" s="16">
        <v>1</v>
      </c>
      <c r="L81" s="16">
        <v>0</v>
      </c>
      <c r="M81" s="16">
        <v>0</v>
      </c>
      <c r="N81" s="16">
        <v>0</v>
      </c>
      <c r="O81" s="18">
        <f t="shared" si="6"/>
        <v>8</v>
      </c>
      <c r="Q81" s="134">
        <f t="shared" si="7"/>
        <v>2.56</v>
      </c>
      <c r="R81" s="124">
        <f t="shared" si="8"/>
        <v>3</v>
      </c>
      <c r="S81" s="124">
        <f t="shared" si="9"/>
        <v>0.96</v>
      </c>
    </row>
    <row r="82" spans="1:19" ht="18.75" customHeight="1" thickBot="1" x14ac:dyDescent="0.3">
      <c r="A82" s="20">
        <v>8</v>
      </c>
      <c r="B82" s="15" t="s">
        <v>25</v>
      </c>
      <c r="C82" s="17">
        <v>0</v>
      </c>
      <c r="D82" s="17">
        <v>682</v>
      </c>
      <c r="E82" s="17">
        <v>0</v>
      </c>
      <c r="F82" s="17">
        <v>0</v>
      </c>
      <c r="G82" s="17">
        <v>0</v>
      </c>
      <c r="H82" s="17">
        <v>390</v>
      </c>
      <c r="I82" s="17">
        <v>0</v>
      </c>
      <c r="J82" s="17">
        <v>85</v>
      </c>
      <c r="K82" s="17">
        <v>309</v>
      </c>
      <c r="L82" s="17">
        <v>0</v>
      </c>
      <c r="M82" s="17">
        <v>0</v>
      </c>
      <c r="N82" s="49">
        <v>5</v>
      </c>
      <c r="O82" s="21">
        <f t="shared" si="6"/>
        <v>1471</v>
      </c>
      <c r="Q82" s="134">
        <f t="shared" si="7"/>
        <v>470.71999999999997</v>
      </c>
      <c r="R82" s="124">
        <f t="shared" si="8"/>
        <v>784</v>
      </c>
      <c r="S82" s="124">
        <f t="shared" si="9"/>
        <v>250.88</v>
      </c>
    </row>
    <row r="83" spans="1:19" ht="18.75" customHeight="1" thickTop="1" x14ac:dyDescent="0.25">
      <c r="A83" s="176" t="s">
        <v>26</v>
      </c>
      <c r="B83" s="177"/>
      <c r="C83" s="22">
        <f t="shared" ref="C83:O83" si="10">SUM(C75:C82)</f>
        <v>183</v>
      </c>
      <c r="D83" s="22">
        <f t="shared" si="10"/>
        <v>2587</v>
      </c>
      <c r="E83" s="22">
        <f t="shared" si="10"/>
        <v>1961</v>
      </c>
      <c r="F83" s="22">
        <f t="shared" si="10"/>
        <v>444</v>
      </c>
      <c r="G83" s="22">
        <f t="shared" si="10"/>
        <v>172</v>
      </c>
      <c r="H83" s="22">
        <f t="shared" si="10"/>
        <v>907</v>
      </c>
      <c r="I83" s="22">
        <f t="shared" si="10"/>
        <v>5</v>
      </c>
      <c r="J83" s="22">
        <f t="shared" si="10"/>
        <v>88</v>
      </c>
      <c r="K83" s="22">
        <f t="shared" si="10"/>
        <v>339</v>
      </c>
      <c r="L83" s="22">
        <f t="shared" si="10"/>
        <v>0</v>
      </c>
      <c r="M83" s="22">
        <f t="shared" si="10"/>
        <v>1</v>
      </c>
      <c r="N83" s="22">
        <f t="shared" si="10"/>
        <v>5</v>
      </c>
      <c r="O83" s="22">
        <f t="shared" si="10"/>
        <v>6692</v>
      </c>
      <c r="Q83" s="134">
        <f t="shared" si="7"/>
        <v>2141.44</v>
      </c>
      <c r="R83" s="124">
        <f t="shared" si="8"/>
        <v>1955</v>
      </c>
      <c r="S83" s="124">
        <f>R83*0.32</f>
        <v>625.6</v>
      </c>
    </row>
    <row r="84" spans="1:19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124">
        <f>O83*0.32</f>
        <v>2141.44</v>
      </c>
    </row>
    <row r="85" spans="1:19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121"/>
      <c r="N85" s="24"/>
      <c r="O85" s="24"/>
    </row>
    <row r="86" spans="1:19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9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</row>
    <row r="88" spans="1:19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9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9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9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9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9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128" t="s">
        <v>93</v>
      </c>
      <c r="M93" s="24"/>
      <c r="N93" s="24"/>
      <c r="O93" s="24"/>
    </row>
    <row r="94" spans="1:19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9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9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7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7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7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7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7" ht="18.75" x14ac:dyDescent="0.3">
      <c r="A101" s="178" t="s">
        <v>44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7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7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7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7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7" ht="18.75" customHeight="1" thickTop="1" x14ac:dyDescent="0.25">
      <c r="A108" s="27">
        <v>1</v>
      </c>
      <c r="B108" s="7" t="s">
        <v>18</v>
      </c>
      <c r="C108" s="50">
        <v>0</v>
      </c>
      <c r="D108" s="32">
        <v>23</v>
      </c>
      <c r="E108" s="32">
        <v>23.05</v>
      </c>
      <c r="F108" s="32">
        <v>0</v>
      </c>
      <c r="G108" s="32">
        <v>23</v>
      </c>
      <c r="H108" s="32">
        <v>23</v>
      </c>
      <c r="I108" s="32">
        <v>22</v>
      </c>
      <c r="J108" s="32">
        <v>17</v>
      </c>
      <c r="K108" s="28">
        <v>0</v>
      </c>
      <c r="L108" s="46">
        <v>0</v>
      </c>
      <c r="M108" s="46">
        <v>0</v>
      </c>
      <c r="N108" s="46">
        <v>0</v>
      </c>
      <c r="O108" s="33">
        <f t="shared" ref="O108:O116" si="11">O75/O42*10</f>
        <v>22.643678160919542</v>
      </c>
      <c r="Q108" s="133">
        <f>O108*0.32</f>
        <v>7.2459770114942534</v>
      </c>
    </row>
    <row r="109" spans="1:17" ht="18.75" customHeight="1" x14ac:dyDescent="0.25">
      <c r="A109" s="14">
        <v>2</v>
      </c>
      <c r="B109" s="12" t="s">
        <v>19</v>
      </c>
      <c r="C109" s="51">
        <v>0</v>
      </c>
      <c r="D109" s="34">
        <v>30</v>
      </c>
      <c r="E109" s="34">
        <v>25.3</v>
      </c>
      <c r="F109" s="34">
        <v>0</v>
      </c>
      <c r="G109" s="34">
        <v>0</v>
      </c>
      <c r="H109" s="34">
        <v>15.25</v>
      </c>
      <c r="I109" s="16">
        <v>0</v>
      </c>
      <c r="J109" s="16">
        <v>0</v>
      </c>
      <c r="K109" s="16">
        <v>0</v>
      </c>
      <c r="L109" s="47">
        <v>0</v>
      </c>
      <c r="M109" s="52">
        <v>15.25</v>
      </c>
      <c r="N109" s="47">
        <v>0</v>
      </c>
      <c r="O109" s="35">
        <f t="shared" si="11"/>
        <v>25.692307692307693</v>
      </c>
      <c r="Q109" s="133">
        <f t="shared" ref="Q109:Q116" si="12">O109*0.32</f>
        <v>8.2215384615384615</v>
      </c>
    </row>
    <row r="110" spans="1:17" ht="18.75" customHeight="1" x14ac:dyDescent="0.25">
      <c r="A110" s="14">
        <v>3</v>
      </c>
      <c r="B110" s="7" t="s">
        <v>20</v>
      </c>
      <c r="C110" s="34">
        <v>0</v>
      </c>
      <c r="D110" s="34">
        <v>44</v>
      </c>
      <c r="E110" s="34">
        <v>44</v>
      </c>
      <c r="F110" s="34">
        <v>0</v>
      </c>
      <c r="G110" s="34">
        <v>0</v>
      </c>
      <c r="H110" s="34">
        <v>17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35">
        <f t="shared" si="11"/>
        <v>33.385714285714286</v>
      </c>
      <c r="Q110" s="133">
        <f t="shared" si="12"/>
        <v>10.683428571428571</v>
      </c>
    </row>
    <row r="111" spans="1:17" ht="18.75" customHeight="1" x14ac:dyDescent="0.25">
      <c r="A111" s="14">
        <v>4</v>
      </c>
      <c r="B111" s="15" t="s">
        <v>21</v>
      </c>
      <c r="C111" s="34">
        <v>0</v>
      </c>
      <c r="D111" s="34">
        <v>14.79</v>
      </c>
      <c r="E111" s="34">
        <v>14.28</v>
      </c>
      <c r="F111" s="34">
        <v>0</v>
      </c>
      <c r="G111" s="34">
        <v>15.66</v>
      </c>
      <c r="H111" s="34">
        <v>14.63</v>
      </c>
      <c r="I111" s="34">
        <v>14.22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35">
        <f t="shared" si="11"/>
        <v>14.678899082568808</v>
      </c>
      <c r="Q111" s="133">
        <f t="shared" si="12"/>
        <v>4.6972477064220186</v>
      </c>
    </row>
    <row r="112" spans="1:17" ht="18.75" customHeight="1" x14ac:dyDescent="0.25">
      <c r="A112" s="14">
        <v>5</v>
      </c>
      <c r="B112" s="19" t="s">
        <v>22</v>
      </c>
      <c r="C112" s="34">
        <v>0</v>
      </c>
      <c r="D112" s="34">
        <v>18.34</v>
      </c>
      <c r="E112" s="34">
        <v>40</v>
      </c>
      <c r="F112" s="34">
        <v>40</v>
      </c>
      <c r="G112" s="34">
        <v>0</v>
      </c>
      <c r="H112" s="34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35">
        <f t="shared" si="11"/>
        <v>38.730964467005073</v>
      </c>
      <c r="Q112" s="133">
        <f t="shared" si="12"/>
        <v>12.393908629441624</v>
      </c>
    </row>
    <row r="113" spans="1:17" ht="18.75" customHeight="1" x14ac:dyDescent="0.25">
      <c r="A113" s="14">
        <v>6</v>
      </c>
      <c r="B113" s="19" t="s">
        <v>23</v>
      </c>
      <c r="C113" s="34">
        <v>21</v>
      </c>
      <c r="D113" s="34">
        <v>0</v>
      </c>
      <c r="E113" s="34">
        <v>0</v>
      </c>
      <c r="F113" s="34"/>
      <c r="G113" s="34">
        <v>21</v>
      </c>
      <c r="H113" s="34">
        <v>0</v>
      </c>
      <c r="I113" s="16">
        <v>0</v>
      </c>
      <c r="J113" s="16">
        <v>0</v>
      </c>
      <c r="K113" s="34">
        <v>18.149999999999999</v>
      </c>
      <c r="L113" s="16">
        <v>0</v>
      </c>
      <c r="M113" s="16">
        <v>0</v>
      </c>
      <c r="N113" s="16">
        <v>0</v>
      </c>
      <c r="O113" s="35">
        <f t="shared" si="11"/>
        <v>17.287234042553191</v>
      </c>
      <c r="Q113" s="133">
        <f t="shared" si="12"/>
        <v>5.5319148936170208</v>
      </c>
    </row>
    <row r="114" spans="1:17" ht="18.75" customHeight="1" x14ac:dyDescent="0.25">
      <c r="A114" s="14">
        <v>7</v>
      </c>
      <c r="B114" s="19" t="s">
        <v>24</v>
      </c>
      <c r="C114" s="34">
        <v>0</v>
      </c>
      <c r="D114" s="34">
        <v>17.350000000000001</v>
      </c>
      <c r="E114" s="34">
        <v>20</v>
      </c>
      <c r="F114" s="34">
        <v>0</v>
      </c>
      <c r="G114" s="34">
        <v>20</v>
      </c>
      <c r="H114" s="34">
        <v>0</v>
      </c>
      <c r="I114" s="16">
        <v>0</v>
      </c>
      <c r="J114" s="16">
        <v>0</v>
      </c>
      <c r="K114" s="34">
        <v>14.15</v>
      </c>
      <c r="L114" s="16">
        <v>0</v>
      </c>
      <c r="M114" s="16">
        <v>0</v>
      </c>
      <c r="N114" s="16">
        <v>0</v>
      </c>
      <c r="O114" s="35">
        <f t="shared" si="11"/>
        <v>16</v>
      </c>
      <c r="Q114" s="133">
        <f t="shared" si="12"/>
        <v>5.12</v>
      </c>
    </row>
    <row r="115" spans="1:17" ht="18.75" customHeight="1" thickBot="1" x14ac:dyDescent="0.3">
      <c r="A115" s="20">
        <v>8</v>
      </c>
      <c r="B115" s="15" t="s">
        <v>25</v>
      </c>
      <c r="C115" s="36">
        <v>0</v>
      </c>
      <c r="D115" s="36">
        <v>24.8</v>
      </c>
      <c r="E115" s="36">
        <v>0</v>
      </c>
      <c r="F115" s="36">
        <v>0</v>
      </c>
      <c r="G115" s="36">
        <v>0</v>
      </c>
      <c r="H115" s="36">
        <v>19.5</v>
      </c>
      <c r="I115" s="36">
        <v>0</v>
      </c>
      <c r="J115" s="36">
        <v>17</v>
      </c>
      <c r="K115" s="36">
        <v>26.4</v>
      </c>
      <c r="L115" s="17">
        <v>0</v>
      </c>
      <c r="M115" s="17">
        <v>0</v>
      </c>
      <c r="N115" s="53">
        <v>17</v>
      </c>
      <c r="O115" s="37">
        <f t="shared" si="11"/>
        <v>22.806201550387595</v>
      </c>
      <c r="Q115" s="133">
        <f t="shared" si="12"/>
        <v>7.2979844961240303</v>
      </c>
    </row>
    <row r="116" spans="1:17" ht="18.75" customHeight="1" thickTop="1" x14ac:dyDescent="0.25">
      <c r="A116" s="176" t="s">
        <v>26</v>
      </c>
      <c r="B116" s="177"/>
      <c r="C116" s="54">
        <v>21</v>
      </c>
      <c r="D116" s="54">
        <f>D83/D50*10</f>
        <v>33.467011642949551</v>
      </c>
      <c r="E116" s="54">
        <f>E83/E50*10</f>
        <v>32.628951747088188</v>
      </c>
      <c r="F116" s="54">
        <v>40</v>
      </c>
      <c r="G116" s="54">
        <f t="shared" ref="G116" si="13">G83/G50*10</f>
        <v>20.235294117647058</v>
      </c>
      <c r="H116" s="54">
        <f>H83/H50*10</f>
        <v>17.889546351084814</v>
      </c>
      <c r="I116" s="54">
        <f>I83/I50*10</f>
        <v>16.666666666666668</v>
      </c>
      <c r="J116" s="54">
        <v>17</v>
      </c>
      <c r="K116" s="54">
        <f>K83/K50*10</f>
        <v>25.298507462686569</v>
      </c>
      <c r="L116" s="54">
        <v>0</v>
      </c>
      <c r="M116" s="122">
        <v>15.25</v>
      </c>
      <c r="N116" s="54">
        <v>17</v>
      </c>
      <c r="O116" s="45">
        <f t="shared" si="11"/>
        <v>28.023450586264659</v>
      </c>
      <c r="Q116" s="133">
        <f t="shared" si="12"/>
        <v>8.9675041876046908</v>
      </c>
    </row>
    <row r="117" spans="1:17" x14ac:dyDescent="0.25">
      <c r="A117" s="24"/>
      <c r="B117" s="24"/>
      <c r="C117" s="24"/>
      <c r="D117" s="24"/>
      <c r="E117" s="24"/>
      <c r="F117" s="24"/>
      <c r="G117" s="24"/>
      <c r="H117" s="76"/>
      <c r="I117" s="24"/>
      <c r="J117" s="24"/>
      <c r="K117" s="24"/>
      <c r="L117" s="24"/>
      <c r="M117" s="24"/>
      <c r="N117" s="24"/>
      <c r="O117" s="24"/>
    </row>
    <row r="118" spans="1:17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120"/>
      <c r="L118" s="24"/>
      <c r="M118" s="24"/>
      <c r="N118" s="24"/>
      <c r="O118" s="24"/>
    </row>
    <row r="119" spans="1:17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6" spans="1:17" ht="15.75" x14ac:dyDescent="0.3">
      <c r="L126" s="128" t="s">
        <v>93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26"/>
  <sheetViews>
    <sheetView workbookViewId="0">
      <selection activeCell="R9" sqref="R9:R16"/>
    </sheetView>
  </sheetViews>
  <sheetFormatPr defaultRowHeight="15" x14ac:dyDescent="0.25"/>
  <cols>
    <col min="1" max="1" width="4" customWidth="1"/>
    <col min="2" max="2" width="15" customWidth="1"/>
    <col min="3" max="15" width="8.5703125" customWidth="1"/>
  </cols>
  <sheetData>
    <row r="2" spans="1:18" ht="18.75" x14ac:dyDescent="0.3">
      <c r="A2" s="178" t="s">
        <v>45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8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8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8" x14ac:dyDescent="0.25">
      <c r="A6" s="179" t="s">
        <v>2</v>
      </c>
      <c r="B6" s="179" t="s">
        <v>3</v>
      </c>
      <c r="C6" s="181" t="s">
        <v>4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79" t="s">
        <v>5</v>
      </c>
    </row>
    <row r="7" spans="1:18" x14ac:dyDescent="0.25">
      <c r="A7" s="180"/>
      <c r="B7" s="1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182"/>
    </row>
    <row r="8" spans="1:18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8" ht="18.75" customHeight="1" thickTop="1" x14ac:dyDescent="0.25">
      <c r="A9" s="27">
        <v>1</v>
      </c>
      <c r="B9" s="7" t="s">
        <v>18</v>
      </c>
      <c r="C9" s="16">
        <v>16</v>
      </c>
      <c r="D9" s="28">
        <v>0</v>
      </c>
      <c r="E9" s="28">
        <v>0</v>
      </c>
      <c r="F9" s="28">
        <v>0</v>
      </c>
      <c r="G9" s="16">
        <v>0</v>
      </c>
      <c r="H9" s="28">
        <v>0</v>
      </c>
      <c r="I9" s="28">
        <v>0</v>
      </c>
      <c r="J9" s="28">
        <v>0</v>
      </c>
      <c r="K9" s="16">
        <v>0</v>
      </c>
      <c r="L9" s="28">
        <v>0</v>
      </c>
      <c r="M9" s="28">
        <v>0</v>
      </c>
      <c r="N9" s="28">
        <v>3</v>
      </c>
      <c r="O9" s="29">
        <f>SUM(C9:N9)</f>
        <v>19</v>
      </c>
      <c r="R9" s="124">
        <f>SUM(F9:K9)</f>
        <v>0</v>
      </c>
    </row>
    <row r="10" spans="1:18" ht="18.75" customHeight="1" x14ac:dyDescent="0.25">
      <c r="A10" s="14">
        <v>2</v>
      </c>
      <c r="B10" s="12" t="s">
        <v>19</v>
      </c>
      <c r="C10" s="17">
        <v>0</v>
      </c>
      <c r="D10" s="16">
        <v>0</v>
      </c>
      <c r="E10" s="16">
        <v>0</v>
      </c>
      <c r="F10" s="16">
        <v>0</v>
      </c>
      <c r="G10" s="17">
        <v>0</v>
      </c>
      <c r="H10" s="16">
        <v>0</v>
      </c>
      <c r="I10" s="16">
        <v>0</v>
      </c>
      <c r="J10" s="16">
        <v>0</v>
      </c>
      <c r="K10" s="17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0</v>
      </c>
      <c r="R10" s="124">
        <f t="shared" ref="R10:R17" si="1">SUM(F10:K10)</f>
        <v>0</v>
      </c>
    </row>
    <row r="11" spans="1:18" ht="18.75" customHeight="1" x14ac:dyDescent="0.25">
      <c r="A11" s="14">
        <v>3</v>
      </c>
      <c r="B11" s="7" t="s">
        <v>20</v>
      </c>
      <c r="C11" s="16">
        <v>2</v>
      </c>
      <c r="D11" s="16">
        <v>0</v>
      </c>
      <c r="E11" s="16">
        <v>0</v>
      </c>
      <c r="F11" s="16">
        <v>0</v>
      </c>
      <c r="G11" s="16">
        <v>3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3</v>
      </c>
      <c r="O11" s="18">
        <f t="shared" si="0"/>
        <v>8</v>
      </c>
      <c r="R11" s="124">
        <f t="shared" si="1"/>
        <v>3</v>
      </c>
    </row>
    <row r="12" spans="1:18" ht="18.75" customHeight="1" x14ac:dyDescent="0.25">
      <c r="A12" s="14">
        <v>4</v>
      </c>
      <c r="B12" s="15" t="s">
        <v>21</v>
      </c>
      <c r="C12" s="17">
        <v>1</v>
      </c>
      <c r="D12" s="16">
        <v>3</v>
      </c>
      <c r="E12" s="16">
        <v>2</v>
      </c>
      <c r="F12" s="16">
        <v>0</v>
      </c>
      <c r="G12" s="17">
        <v>0</v>
      </c>
      <c r="H12" s="16">
        <v>2</v>
      </c>
      <c r="I12" s="16">
        <v>0</v>
      </c>
      <c r="J12" s="16">
        <v>0</v>
      </c>
      <c r="K12" s="17">
        <v>0</v>
      </c>
      <c r="L12" s="16">
        <v>0</v>
      </c>
      <c r="M12" s="16">
        <v>2</v>
      </c>
      <c r="N12" s="16">
        <v>0</v>
      </c>
      <c r="O12" s="18">
        <f t="shared" si="0"/>
        <v>10</v>
      </c>
      <c r="R12" s="124">
        <f t="shared" si="1"/>
        <v>2</v>
      </c>
    </row>
    <row r="13" spans="1:18" ht="18.75" customHeight="1" x14ac:dyDescent="0.25">
      <c r="A13" s="14">
        <v>5</v>
      </c>
      <c r="B13" s="19" t="s">
        <v>22</v>
      </c>
      <c r="C13" s="16">
        <v>0</v>
      </c>
      <c r="D13" s="16">
        <v>2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2</v>
      </c>
      <c r="R13" s="124">
        <f t="shared" si="1"/>
        <v>0</v>
      </c>
    </row>
    <row r="14" spans="1:18" ht="18.75" customHeight="1" x14ac:dyDescent="0.25">
      <c r="A14" s="14">
        <v>6</v>
      </c>
      <c r="B14" s="19" t="s">
        <v>23</v>
      </c>
      <c r="C14" s="16">
        <v>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2</v>
      </c>
      <c r="O14" s="18">
        <f t="shared" si="0"/>
        <v>5</v>
      </c>
      <c r="R14" s="124">
        <f t="shared" si="1"/>
        <v>0</v>
      </c>
    </row>
    <row r="15" spans="1:18" ht="18.75" customHeight="1" x14ac:dyDescent="0.25">
      <c r="A15" s="14">
        <v>7</v>
      </c>
      <c r="B15" s="19" t="s">
        <v>24</v>
      </c>
      <c r="C15" s="16">
        <v>1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1</v>
      </c>
      <c r="R15" s="124">
        <f t="shared" si="1"/>
        <v>0</v>
      </c>
    </row>
    <row r="16" spans="1:18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1</v>
      </c>
      <c r="L16" s="17">
        <v>0</v>
      </c>
      <c r="M16" s="17">
        <v>0</v>
      </c>
      <c r="N16" s="17">
        <v>2</v>
      </c>
      <c r="O16" s="55">
        <f t="shared" si="0"/>
        <v>3</v>
      </c>
      <c r="R16" s="124">
        <f t="shared" si="1"/>
        <v>1</v>
      </c>
    </row>
    <row r="17" spans="1:18" ht="18.75" customHeight="1" thickTop="1" x14ac:dyDescent="0.25">
      <c r="A17" s="176" t="s">
        <v>26</v>
      </c>
      <c r="B17" s="177"/>
      <c r="C17" s="22">
        <f t="shared" ref="C17:O17" si="2">SUM(C9:C16)</f>
        <v>23</v>
      </c>
      <c r="D17" s="22">
        <f t="shared" si="2"/>
        <v>5</v>
      </c>
      <c r="E17" s="22">
        <f t="shared" si="2"/>
        <v>2</v>
      </c>
      <c r="F17" s="22">
        <f t="shared" si="2"/>
        <v>0</v>
      </c>
      <c r="G17" s="22">
        <f t="shared" si="2"/>
        <v>3</v>
      </c>
      <c r="H17" s="22">
        <f t="shared" si="2"/>
        <v>2</v>
      </c>
      <c r="I17" s="22">
        <f t="shared" si="2"/>
        <v>0</v>
      </c>
      <c r="J17" s="22">
        <f t="shared" si="2"/>
        <v>0</v>
      </c>
      <c r="K17" s="22">
        <f t="shared" si="2"/>
        <v>1</v>
      </c>
      <c r="L17" s="22">
        <f t="shared" si="2"/>
        <v>0</v>
      </c>
      <c r="M17" s="22">
        <f t="shared" si="2"/>
        <v>2</v>
      </c>
      <c r="N17" s="22">
        <f t="shared" si="2"/>
        <v>10</v>
      </c>
      <c r="O17" s="22">
        <f t="shared" si="2"/>
        <v>48</v>
      </c>
      <c r="R17" s="124">
        <f t="shared" si="1"/>
        <v>6</v>
      </c>
    </row>
    <row r="18" spans="1:18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8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8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8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L21" s="23"/>
      <c r="M21" s="23"/>
      <c r="N21" s="23"/>
      <c r="O21" s="23"/>
    </row>
    <row r="22" spans="1:18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8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8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8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8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8" ht="15.7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28" t="s">
        <v>93</v>
      </c>
      <c r="M27" s="23"/>
      <c r="N27" s="23"/>
      <c r="O27" s="23"/>
    </row>
    <row r="28" spans="1:18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8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8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8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8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8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8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1:18" ht="18.75" x14ac:dyDescent="0.3">
      <c r="A35" s="178" t="s">
        <v>46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8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8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8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8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8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8" ht="18.75" customHeight="1" thickTop="1" x14ac:dyDescent="0.25">
      <c r="A42" s="27">
        <v>1</v>
      </c>
      <c r="B42" s="7" t="s">
        <v>18</v>
      </c>
      <c r="C42" s="28">
        <v>0</v>
      </c>
      <c r="D42" s="16">
        <v>0</v>
      </c>
      <c r="E42" s="28">
        <v>0</v>
      </c>
      <c r="F42" s="28">
        <v>0</v>
      </c>
      <c r="G42" s="16">
        <v>12</v>
      </c>
      <c r="H42" s="28">
        <v>0</v>
      </c>
      <c r="I42" s="28">
        <v>0</v>
      </c>
      <c r="J42" s="28">
        <v>19</v>
      </c>
      <c r="K42" s="28">
        <v>0</v>
      </c>
      <c r="L42" s="16">
        <v>10</v>
      </c>
      <c r="M42" s="28">
        <v>0</v>
      </c>
      <c r="N42" s="16">
        <v>10</v>
      </c>
      <c r="O42" s="29">
        <f>SUM(C42:N42)</f>
        <v>51</v>
      </c>
      <c r="R42" s="124">
        <f>SUM(F42:K42)</f>
        <v>31</v>
      </c>
    </row>
    <row r="43" spans="1:18" ht="18.75" customHeight="1" x14ac:dyDescent="0.25">
      <c r="A43" s="14">
        <v>2</v>
      </c>
      <c r="B43" s="12" t="s">
        <v>19</v>
      </c>
      <c r="C43" s="16">
        <v>0</v>
      </c>
      <c r="D43" s="17">
        <v>0</v>
      </c>
      <c r="E43" s="16">
        <v>0</v>
      </c>
      <c r="F43" s="16">
        <v>0</v>
      </c>
      <c r="G43" s="17">
        <v>0</v>
      </c>
      <c r="H43" s="16">
        <v>0</v>
      </c>
      <c r="I43" s="16">
        <v>0</v>
      </c>
      <c r="J43" s="16">
        <v>0</v>
      </c>
      <c r="K43" s="16">
        <v>0</v>
      </c>
      <c r="L43" s="17">
        <v>0</v>
      </c>
      <c r="M43" s="16">
        <v>0</v>
      </c>
      <c r="N43" s="17">
        <v>0</v>
      </c>
      <c r="O43" s="18">
        <f t="shared" ref="O43:O49" si="3">SUM(C43:N43)</f>
        <v>0</v>
      </c>
      <c r="R43" s="124">
        <f t="shared" ref="R43:R50" si="4">SUM(F43:K43)</f>
        <v>0</v>
      </c>
    </row>
    <row r="44" spans="1:18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4</v>
      </c>
      <c r="M44" s="16">
        <v>0</v>
      </c>
      <c r="N44" s="16">
        <v>1</v>
      </c>
      <c r="O44" s="18">
        <f t="shared" si="3"/>
        <v>5</v>
      </c>
      <c r="R44" s="124">
        <f t="shared" si="4"/>
        <v>0</v>
      </c>
    </row>
    <row r="45" spans="1:18" ht="18.75" customHeight="1" x14ac:dyDescent="0.25">
      <c r="A45" s="14">
        <v>4</v>
      </c>
      <c r="B45" s="15" t="s">
        <v>21</v>
      </c>
      <c r="C45" s="17">
        <v>1</v>
      </c>
      <c r="D45" s="17">
        <v>2</v>
      </c>
      <c r="E45" s="16">
        <v>0</v>
      </c>
      <c r="F45" s="16">
        <v>1</v>
      </c>
      <c r="G45" s="17">
        <v>0</v>
      </c>
      <c r="H45" s="16">
        <v>0</v>
      </c>
      <c r="I45" s="16">
        <v>1</v>
      </c>
      <c r="J45" s="16">
        <v>0</v>
      </c>
      <c r="K45" s="16">
        <v>0</v>
      </c>
      <c r="L45" s="17">
        <v>0</v>
      </c>
      <c r="M45" s="16">
        <v>4</v>
      </c>
      <c r="N45" s="17">
        <v>0</v>
      </c>
      <c r="O45" s="18">
        <f t="shared" si="3"/>
        <v>9</v>
      </c>
      <c r="R45" s="124">
        <f t="shared" si="4"/>
        <v>2</v>
      </c>
    </row>
    <row r="46" spans="1:18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2</v>
      </c>
      <c r="O46" s="18">
        <f t="shared" si="3"/>
        <v>2</v>
      </c>
      <c r="R46" s="124">
        <f t="shared" si="4"/>
        <v>0</v>
      </c>
    </row>
    <row r="47" spans="1:18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2</v>
      </c>
      <c r="M47" s="16">
        <v>0</v>
      </c>
      <c r="N47" s="16">
        <v>4</v>
      </c>
      <c r="O47" s="18">
        <f t="shared" si="3"/>
        <v>6</v>
      </c>
      <c r="R47" s="124">
        <f t="shared" si="4"/>
        <v>0</v>
      </c>
    </row>
    <row r="48" spans="1:18" ht="18.75" customHeight="1" x14ac:dyDescent="0.25">
      <c r="A48" s="14">
        <v>7</v>
      </c>
      <c r="B48" s="19" t="s">
        <v>24</v>
      </c>
      <c r="C48" s="16">
        <v>1</v>
      </c>
      <c r="D48" s="16">
        <v>2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3</v>
      </c>
      <c r="R48" s="124">
        <f t="shared" si="4"/>
        <v>0</v>
      </c>
    </row>
    <row r="49" spans="1:18" ht="18.75" customHeight="1" thickBot="1" x14ac:dyDescent="0.3">
      <c r="A49" s="56">
        <v>8</v>
      </c>
      <c r="B49" s="15" t="s">
        <v>25</v>
      </c>
      <c r="C49" s="17">
        <v>0</v>
      </c>
      <c r="D49" s="17">
        <v>0</v>
      </c>
      <c r="E49" s="57">
        <v>0</v>
      </c>
      <c r="F49" s="57">
        <v>0</v>
      </c>
      <c r="G49" s="17">
        <v>0</v>
      </c>
      <c r="H49" s="57">
        <v>0</v>
      </c>
      <c r="I49" s="17">
        <v>0</v>
      </c>
      <c r="J49" s="57">
        <v>0</v>
      </c>
      <c r="K49" s="57">
        <v>0</v>
      </c>
      <c r="L49" s="57">
        <v>0</v>
      </c>
      <c r="M49" s="17">
        <v>0</v>
      </c>
      <c r="N49" s="17">
        <v>12</v>
      </c>
      <c r="O49" s="58">
        <f t="shared" si="3"/>
        <v>12</v>
      </c>
      <c r="R49" s="124">
        <f t="shared" si="4"/>
        <v>0</v>
      </c>
    </row>
    <row r="50" spans="1:18" ht="18.75" customHeight="1" thickTop="1" x14ac:dyDescent="0.25">
      <c r="A50" s="176" t="s">
        <v>26</v>
      </c>
      <c r="B50" s="177"/>
      <c r="C50" s="22">
        <f t="shared" ref="C50:O50" si="5">SUM(C42:C49)</f>
        <v>2</v>
      </c>
      <c r="D50" s="22">
        <f t="shared" si="5"/>
        <v>4</v>
      </c>
      <c r="E50" s="22">
        <f t="shared" si="5"/>
        <v>0</v>
      </c>
      <c r="F50" s="22">
        <f t="shared" si="5"/>
        <v>1</v>
      </c>
      <c r="G50" s="22">
        <f t="shared" si="5"/>
        <v>12</v>
      </c>
      <c r="H50" s="22">
        <f t="shared" si="5"/>
        <v>0</v>
      </c>
      <c r="I50" s="22">
        <f t="shared" si="5"/>
        <v>1</v>
      </c>
      <c r="J50" s="22">
        <f t="shared" si="5"/>
        <v>19</v>
      </c>
      <c r="K50" s="22">
        <f t="shared" si="5"/>
        <v>0</v>
      </c>
      <c r="L50" s="22">
        <f t="shared" si="5"/>
        <v>16</v>
      </c>
      <c r="M50" s="22">
        <f t="shared" si="5"/>
        <v>4</v>
      </c>
      <c r="N50" s="22">
        <f t="shared" si="5"/>
        <v>29</v>
      </c>
      <c r="O50" s="22">
        <f t="shared" si="5"/>
        <v>88</v>
      </c>
      <c r="R50" s="124">
        <f t="shared" si="4"/>
        <v>33</v>
      </c>
    </row>
    <row r="51" spans="1:18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8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8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8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</row>
    <row r="55" spans="1:18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8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8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8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8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8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8" ht="15.75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128" t="s">
        <v>93</v>
      </c>
      <c r="M61" s="24"/>
      <c r="N61" s="24"/>
      <c r="O61" s="24"/>
    </row>
    <row r="62" spans="1:18" ht="15.75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128"/>
      <c r="M62" s="24"/>
      <c r="N62" s="24"/>
      <c r="O62" s="24"/>
    </row>
    <row r="63" spans="1:18" ht="15.75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128"/>
      <c r="M63" s="24"/>
      <c r="N63" s="24"/>
      <c r="O63" s="24"/>
    </row>
    <row r="64" spans="1:18" ht="15.75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128"/>
      <c r="M64" s="24"/>
      <c r="N64" s="24"/>
      <c r="O64" s="24"/>
    </row>
    <row r="65" spans="1:18" ht="15.75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128"/>
      <c r="M65" s="24"/>
      <c r="N65" s="24"/>
      <c r="O65" s="24"/>
    </row>
    <row r="66" spans="1:18" ht="15.75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128"/>
      <c r="M66" s="24"/>
      <c r="N66" s="24"/>
      <c r="O66" s="24"/>
    </row>
    <row r="67" spans="1:18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8" ht="18.75" x14ac:dyDescent="0.3">
      <c r="A68" s="178" t="s">
        <v>47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8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8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8" x14ac:dyDescent="0.25">
      <c r="A72" s="179" t="s">
        <v>2</v>
      </c>
      <c r="B72" s="179" t="s">
        <v>3</v>
      </c>
      <c r="C72" s="181" t="s">
        <v>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79" t="s">
        <v>5</v>
      </c>
    </row>
    <row r="73" spans="1:18" x14ac:dyDescent="0.25">
      <c r="A73" s="180"/>
      <c r="B73" s="1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182"/>
    </row>
    <row r="74" spans="1:18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8" ht="18.75" customHeight="1" thickTop="1" x14ac:dyDescent="0.25">
      <c r="A75" s="27">
        <v>1</v>
      </c>
      <c r="B75" s="7" t="s">
        <v>18</v>
      </c>
      <c r="C75" s="28">
        <v>0</v>
      </c>
      <c r="D75" s="16">
        <v>0</v>
      </c>
      <c r="E75" s="28">
        <v>0</v>
      </c>
      <c r="F75" s="28">
        <v>0</v>
      </c>
      <c r="G75" s="16">
        <v>126</v>
      </c>
      <c r="H75" s="28">
        <v>0</v>
      </c>
      <c r="I75" s="28">
        <v>0</v>
      </c>
      <c r="J75" s="28">
        <v>171</v>
      </c>
      <c r="K75" s="28">
        <v>0</v>
      </c>
      <c r="L75" s="16">
        <v>70</v>
      </c>
      <c r="M75" s="28">
        <v>0</v>
      </c>
      <c r="N75" s="16">
        <v>90</v>
      </c>
      <c r="O75" s="29">
        <f>SUM(C75:N75)</f>
        <v>457</v>
      </c>
      <c r="R75" s="124">
        <f>SUM(F75:K75)</f>
        <v>297</v>
      </c>
    </row>
    <row r="76" spans="1:18" ht="18.75" customHeight="1" x14ac:dyDescent="0.25">
      <c r="A76" s="14">
        <v>2</v>
      </c>
      <c r="B76" s="12" t="s">
        <v>19</v>
      </c>
      <c r="C76" s="16">
        <v>0</v>
      </c>
      <c r="D76" s="17">
        <v>0</v>
      </c>
      <c r="E76" s="16">
        <v>0</v>
      </c>
      <c r="F76" s="16">
        <v>0</v>
      </c>
      <c r="G76" s="17">
        <v>0</v>
      </c>
      <c r="H76" s="16">
        <v>0</v>
      </c>
      <c r="I76" s="16">
        <v>0</v>
      </c>
      <c r="J76" s="16">
        <v>0</v>
      </c>
      <c r="K76" s="16">
        <v>0</v>
      </c>
      <c r="L76" s="17">
        <v>0</v>
      </c>
      <c r="M76" s="16">
        <v>0</v>
      </c>
      <c r="N76" s="17">
        <v>0</v>
      </c>
      <c r="O76" s="18">
        <f t="shared" ref="O76:O82" si="6">SUM(C76:N76)</f>
        <v>0</v>
      </c>
      <c r="R76" s="124">
        <f t="shared" ref="R76:R83" si="7">SUM(F76:K76)</f>
        <v>0</v>
      </c>
    </row>
    <row r="77" spans="1:18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108</v>
      </c>
      <c r="M77" s="16">
        <v>0</v>
      </c>
      <c r="N77" s="16">
        <v>15</v>
      </c>
      <c r="O77" s="18">
        <f t="shared" si="6"/>
        <v>123</v>
      </c>
      <c r="R77" s="124">
        <f t="shared" si="7"/>
        <v>0</v>
      </c>
    </row>
    <row r="78" spans="1:18" ht="18.75" customHeight="1" x14ac:dyDescent="0.25">
      <c r="A78" s="14">
        <v>4</v>
      </c>
      <c r="B78" s="15" t="s">
        <v>21</v>
      </c>
      <c r="C78" s="17">
        <v>12</v>
      </c>
      <c r="D78" s="17">
        <v>25</v>
      </c>
      <c r="E78" s="16">
        <v>0</v>
      </c>
      <c r="F78" s="16">
        <v>12</v>
      </c>
      <c r="G78" s="17">
        <v>0</v>
      </c>
      <c r="H78" s="16">
        <v>0</v>
      </c>
      <c r="I78" s="16">
        <v>10</v>
      </c>
      <c r="J78" s="16">
        <v>0</v>
      </c>
      <c r="K78" s="16">
        <v>0</v>
      </c>
      <c r="L78" s="17">
        <v>0</v>
      </c>
      <c r="M78" s="16">
        <v>49</v>
      </c>
      <c r="N78" s="17">
        <v>0</v>
      </c>
      <c r="O78" s="18">
        <f t="shared" si="6"/>
        <v>108</v>
      </c>
      <c r="R78" s="124">
        <f t="shared" si="7"/>
        <v>22</v>
      </c>
    </row>
    <row r="79" spans="1:18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24</v>
      </c>
      <c r="O79" s="18">
        <f t="shared" si="6"/>
        <v>24</v>
      </c>
      <c r="R79" s="124">
        <f t="shared" si="7"/>
        <v>0</v>
      </c>
    </row>
    <row r="80" spans="1:18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24</v>
      </c>
      <c r="M80" s="16">
        <v>0</v>
      </c>
      <c r="N80" s="16">
        <v>60</v>
      </c>
      <c r="O80" s="18">
        <f t="shared" si="6"/>
        <v>84</v>
      </c>
      <c r="R80" s="124">
        <f t="shared" si="7"/>
        <v>0</v>
      </c>
    </row>
    <row r="81" spans="1:18" ht="18.75" customHeight="1" x14ac:dyDescent="0.25">
      <c r="A81" s="14">
        <v>7</v>
      </c>
      <c r="B81" s="19" t="s">
        <v>24</v>
      </c>
      <c r="C81" s="16">
        <v>12</v>
      </c>
      <c r="D81" s="16">
        <v>10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22</v>
      </c>
      <c r="R81" s="124">
        <f t="shared" si="7"/>
        <v>0</v>
      </c>
    </row>
    <row r="82" spans="1:18" ht="18.75" customHeight="1" thickBot="1" x14ac:dyDescent="0.3">
      <c r="A82" s="56">
        <v>8</v>
      </c>
      <c r="B82" s="15" t="s">
        <v>25</v>
      </c>
      <c r="C82" s="17">
        <v>0</v>
      </c>
      <c r="D82" s="17">
        <v>0</v>
      </c>
      <c r="E82" s="57">
        <v>0</v>
      </c>
      <c r="F82" s="57">
        <v>0</v>
      </c>
      <c r="G82" s="17">
        <v>0</v>
      </c>
      <c r="H82" s="57">
        <v>0</v>
      </c>
      <c r="I82" s="17">
        <v>0</v>
      </c>
      <c r="J82" s="57">
        <v>0</v>
      </c>
      <c r="K82" s="57">
        <v>0</v>
      </c>
      <c r="L82" s="57">
        <v>0</v>
      </c>
      <c r="M82" s="17">
        <v>0</v>
      </c>
      <c r="N82" s="17">
        <v>132</v>
      </c>
      <c r="O82" s="58">
        <f t="shared" si="6"/>
        <v>132</v>
      </c>
      <c r="R82" s="124">
        <f t="shared" si="7"/>
        <v>0</v>
      </c>
    </row>
    <row r="83" spans="1:18" ht="18.75" customHeight="1" thickTop="1" x14ac:dyDescent="0.25">
      <c r="A83" s="176" t="s">
        <v>26</v>
      </c>
      <c r="B83" s="177"/>
      <c r="C83" s="22">
        <f t="shared" ref="C83:O83" si="8">SUM(C75:C82)</f>
        <v>24</v>
      </c>
      <c r="D83" s="22">
        <f t="shared" si="8"/>
        <v>35</v>
      </c>
      <c r="E83" s="22">
        <f t="shared" si="8"/>
        <v>0</v>
      </c>
      <c r="F83" s="22">
        <f t="shared" si="8"/>
        <v>12</v>
      </c>
      <c r="G83" s="22">
        <f t="shared" si="8"/>
        <v>126</v>
      </c>
      <c r="H83" s="22">
        <f t="shared" si="8"/>
        <v>0</v>
      </c>
      <c r="I83" s="22">
        <f t="shared" si="8"/>
        <v>10</v>
      </c>
      <c r="J83" s="22">
        <f t="shared" si="8"/>
        <v>171</v>
      </c>
      <c r="K83" s="22">
        <f t="shared" si="8"/>
        <v>0</v>
      </c>
      <c r="L83" s="22">
        <f t="shared" si="8"/>
        <v>202</v>
      </c>
      <c r="M83" s="22">
        <f t="shared" si="8"/>
        <v>49</v>
      </c>
      <c r="N83" s="22">
        <f t="shared" si="8"/>
        <v>321</v>
      </c>
      <c r="O83" s="22">
        <f t="shared" si="8"/>
        <v>950</v>
      </c>
      <c r="R83" s="124">
        <f t="shared" si="7"/>
        <v>319</v>
      </c>
    </row>
    <row r="84" spans="1:18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8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121"/>
      <c r="N85" s="24"/>
      <c r="O85" s="24"/>
    </row>
    <row r="86" spans="1:18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8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</row>
    <row r="88" spans="1:18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8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8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8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8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8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128" t="s">
        <v>93</v>
      </c>
      <c r="M93" s="24"/>
      <c r="N93" s="24"/>
      <c r="O93" s="24"/>
    </row>
    <row r="94" spans="1:18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8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8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7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7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7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7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7" ht="18.75" x14ac:dyDescent="0.3">
      <c r="A101" s="178" t="s">
        <v>48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7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7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7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7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7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7" ht="18" customHeight="1" thickTop="1" x14ac:dyDescent="0.25">
      <c r="A108" s="27">
        <v>1</v>
      </c>
      <c r="B108" s="7" t="s">
        <v>18</v>
      </c>
      <c r="C108" s="28">
        <v>0</v>
      </c>
      <c r="D108" s="34">
        <v>0</v>
      </c>
      <c r="E108" s="28">
        <v>0</v>
      </c>
      <c r="F108" s="32">
        <v>0</v>
      </c>
      <c r="G108" s="34">
        <v>105</v>
      </c>
      <c r="H108" s="28">
        <v>0</v>
      </c>
      <c r="I108" s="28">
        <v>0</v>
      </c>
      <c r="J108" s="32">
        <v>90.06</v>
      </c>
      <c r="K108" s="28">
        <v>0</v>
      </c>
      <c r="L108" s="34">
        <v>70.099999999999994</v>
      </c>
      <c r="M108" s="28">
        <v>0</v>
      </c>
      <c r="N108" s="34">
        <v>90.08</v>
      </c>
      <c r="O108" s="33">
        <f>O75/O42*10</f>
        <v>89.607843137254903</v>
      </c>
      <c r="Q108">
        <f>O75/O42*10</f>
        <v>89.607843137254903</v>
      </c>
    </row>
    <row r="109" spans="1:17" ht="18" customHeight="1" x14ac:dyDescent="0.25">
      <c r="A109" s="14">
        <v>2</v>
      </c>
      <c r="B109" s="12" t="s">
        <v>19</v>
      </c>
      <c r="C109" s="16">
        <v>0</v>
      </c>
      <c r="D109" s="3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36">
        <v>0</v>
      </c>
      <c r="M109" s="16">
        <v>0</v>
      </c>
      <c r="N109" s="36">
        <v>0</v>
      </c>
      <c r="O109" s="35">
        <v>0</v>
      </c>
      <c r="Q109" t="e">
        <f t="shared" ref="Q109:Q115" si="9">O76/O43*10</f>
        <v>#DIV/0!</v>
      </c>
    </row>
    <row r="110" spans="1:17" ht="18" customHeight="1" x14ac:dyDescent="0.25">
      <c r="A110" s="14">
        <v>3</v>
      </c>
      <c r="B110" s="7" t="s">
        <v>20</v>
      </c>
      <c r="C110" s="16">
        <v>0</v>
      </c>
      <c r="D110" s="34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34">
        <v>270</v>
      </c>
      <c r="M110" s="16">
        <v>0</v>
      </c>
      <c r="N110" s="34">
        <v>150</v>
      </c>
      <c r="O110" s="35">
        <f t="shared" ref="O110:O115" si="10">(O77/O44)*10</f>
        <v>246</v>
      </c>
      <c r="Q110">
        <f t="shared" si="9"/>
        <v>246</v>
      </c>
    </row>
    <row r="111" spans="1:17" ht="18" customHeight="1" x14ac:dyDescent="0.25">
      <c r="A111" s="14">
        <v>4</v>
      </c>
      <c r="B111" s="15" t="s">
        <v>21</v>
      </c>
      <c r="C111" s="36">
        <v>121.42</v>
      </c>
      <c r="D111" s="36">
        <v>125.11</v>
      </c>
      <c r="E111" s="16">
        <v>0</v>
      </c>
      <c r="F111" s="34">
        <v>123.56</v>
      </c>
      <c r="G111" s="16">
        <v>0</v>
      </c>
      <c r="H111" s="16">
        <v>0</v>
      </c>
      <c r="I111" s="34">
        <v>112.45</v>
      </c>
      <c r="J111" s="16">
        <v>0</v>
      </c>
      <c r="K111" s="16">
        <v>0</v>
      </c>
      <c r="L111" s="36">
        <v>0</v>
      </c>
      <c r="M111" s="36">
        <v>123.44</v>
      </c>
      <c r="N111" s="36">
        <v>0</v>
      </c>
      <c r="O111" s="35">
        <f t="shared" si="10"/>
        <v>120</v>
      </c>
      <c r="Q111">
        <f t="shared" si="9"/>
        <v>120</v>
      </c>
    </row>
    <row r="112" spans="1:17" ht="18" customHeight="1" x14ac:dyDescent="0.25">
      <c r="A112" s="14">
        <v>5</v>
      </c>
      <c r="B112" s="19" t="s">
        <v>22</v>
      </c>
      <c r="C112" s="16">
        <v>0</v>
      </c>
      <c r="D112" s="34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34">
        <v>0</v>
      </c>
      <c r="M112" s="16">
        <v>0</v>
      </c>
      <c r="N112" s="34">
        <v>120.15</v>
      </c>
      <c r="O112" s="35">
        <f t="shared" si="10"/>
        <v>120</v>
      </c>
      <c r="Q112">
        <f t="shared" si="9"/>
        <v>120</v>
      </c>
    </row>
    <row r="113" spans="1:17" ht="18" customHeight="1" x14ac:dyDescent="0.25">
      <c r="A113" s="14">
        <v>6</v>
      </c>
      <c r="B113" s="19" t="s">
        <v>23</v>
      </c>
      <c r="C113" s="16">
        <v>0</v>
      </c>
      <c r="D113" s="34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34">
        <v>120</v>
      </c>
      <c r="M113" s="16">
        <v>0</v>
      </c>
      <c r="N113" s="34">
        <v>150</v>
      </c>
      <c r="O113" s="35">
        <f t="shared" si="10"/>
        <v>140</v>
      </c>
      <c r="Q113">
        <f t="shared" si="9"/>
        <v>140</v>
      </c>
    </row>
    <row r="114" spans="1:17" ht="18" customHeight="1" x14ac:dyDescent="0.25">
      <c r="A114" s="14">
        <v>7</v>
      </c>
      <c r="B114" s="19" t="s">
        <v>24</v>
      </c>
      <c r="C114" s="34">
        <v>120.05</v>
      </c>
      <c r="D114" s="34">
        <v>50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34">
        <v>0</v>
      </c>
      <c r="M114" s="16">
        <v>0</v>
      </c>
      <c r="N114" s="34">
        <v>0</v>
      </c>
      <c r="O114" s="35">
        <f t="shared" si="10"/>
        <v>73.333333333333329</v>
      </c>
      <c r="Q114">
        <f t="shared" si="9"/>
        <v>73.333333333333329</v>
      </c>
    </row>
    <row r="115" spans="1:17" ht="18" customHeight="1" thickBot="1" x14ac:dyDescent="0.3">
      <c r="A115" s="56">
        <v>8</v>
      </c>
      <c r="B115" s="15" t="s">
        <v>25</v>
      </c>
      <c r="C115" s="17">
        <v>0</v>
      </c>
      <c r="D115" s="36">
        <v>0</v>
      </c>
      <c r="E115" s="57">
        <v>0</v>
      </c>
      <c r="F115" s="57">
        <v>0</v>
      </c>
      <c r="G115" s="57">
        <v>0</v>
      </c>
      <c r="H115" s="57">
        <v>0</v>
      </c>
      <c r="I115" s="36">
        <v>0</v>
      </c>
      <c r="J115" s="59"/>
      <c r="K115" s="57">
        <v>0</v>
      </c>
      <c r="L115" s="59">
        <v>0</v>
      </c>
      <c r="M115" s="17">
        <v>0</v>
      </c>
      <c r="N115" s="36">
        <v>110</v>
      </c>
      <c r="O115" s="35">
        <f t="shared" si="10"/>
        <v>110</v>
      </c>
      <c r="Q115">
        <f t="shared" si="9"/>
        <v>110</v>
      </c>
    </row>
    <row r="116" spans="1:17" ht="18" customHeight="1" thickTop="1" x14ac:dyDescent="0.25">
      <c r="A116" s="176" t="s">
        <v>26</v>
      </c>
      <c r="B116" s="177"/>
      <c r="C116" s="38">
        <v>120.05</v>
      </c>
      <c r="D116" s="38">
        <f>D83/D50*10</f>
        <v>87.5</v>
      </c>
      <c r="E116" s="38">
        <v>0</v>
      </c>
      <c r="F116" s="38">
        <v>123.56</v>
      </c>
      <c r="G116" s="38">
        <f>G83/G50*10</f>
        <v>105</v>
      </c>
      <c r="H116" s="38">
        <v>0</v>
      </c>
      <c r="I116" s="38">
        <v>112.45</v>
      </c>
      <c r="J116" s="38">
        <v>90.06</v>
      </c>
      <c r="K116" s="38">
        <v>0</v>
      </c>
      <c r="L116" s="38">
        <f t="shared" ref="L116:N116" si="11">L83/L50*10</f>
        <v>126.25</v>
      </c>
      <c r="M116" s="38">
        <v>123.44</v>
      </c>
      <c r="N116" s="38">
        <f t="shared" si="11"/>
        <v>110.68965517241379</v>
      </c>
      <c r="O116" s="38">
        <f>O83/O50*10</f>
        <v>107.95454545454545</v>
      </c>
    </row>
    <row r="117" spans="1:17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26" spans="1:17" ht="15.75" x14ac:dyDescent="0.3">
      <c r="L126" s="128" t="s">
        <v>93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workbookViewId="0">
      <selection activeCell="Q75" sqref="Q75:Q82"/>
    </sheetView>
  </sheetViews>
  <sheetFormatPr defaultRowHeight="15" x14ac:dyDescent="0.25"/>
  <cols>
    <col min="1" max="1" width="4.140625" customWidth="1"/>
    <col min="2" max="2" width="14.28515625" customWidth="1"/>
    <col min="3" max="15" width="8.5703125" customWidth="1"/>
  </cols>
  <sheetData>
    <row r="2" spans="1:17" ht="18.75" x14ac:dyDescent="0.3">
      <c r="A2" s="178" t="s">
        <v>49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7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179" t="s">
        <v>2</v>
      </c>
      <c r="B6" s="179" t="s">
        <v>3</v>
      </c>
      <c r="C6" s="181" t="s">
        <v>4</v>
      </c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79" t="s">
        <v>5</v>
      </c>
    </row>
    <row r="7" spans="1:17" x14ac:dyDescent="0.25">
      <c r="A7" s="180"/>
      <c r="B7" s="1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182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5</v>
      </c>
      <c r="O9" s="29">
        <f>SUM(C9:N9)</f>
        <v>5</v>
      </c>
      <c r="Q9" s="124">
        <f>SUM(F9:K9)</f>
        <v>0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1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1</v>
      </c>
      <c r="O10" s="18">
        <f t="shared" ref="O10:O16" si="0">SUM(C10:N10)</f>
        <v>2</v>
      </c>
      <c r="Q10" s="124">
        <f t="shared" ref="Q10:Q17" si="1">SUM(F10:K10)</f>
        <v>0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0</v>
      </c>
      <c r="Q11" s="124">
        <f t="shared" si="1"/>
        <v>0</v>
      </c>
    </row>
    <row r="12" spans="1:17" ht="18.75" customHeight="1" x14ac:dyDescent="0.25">
      <c r="A12" s="14">
        <v>4</v>
      </c>
      <c r="B12" s="15" t="s">
        <v>21</v>
      </c>
      <c r="C12" s="16">
        <v>1</v>
      </c>
      <c r="D12" s="16">
        <v>1</v>
      </c>
      <c r="E12" s="16">
        <v>0</v>
      </c>
      <c r="F12" s="16">
        <v>0</v>
      </c>
      <c r="G12" s="16">
        <v>1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1</v>
      </c>
      <c r="O12" s="18">
        <f t="shared" si="0"/>
        <v>5</v>
      </c>
      <c r="Q12" s="124">
        <f t="shared" si="1"/>
        <v>2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1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2</v>
      </c>
      <c r="Q13" s="124">
        <f t="shared" si="1"/>
        <v>1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2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1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1</v>
      </c>
      <c r="Q15" s="124">
        <f t="shared" si="1"/>
        <v>0</v>
      </c>
    </row>
    <row r="16" spans="1:17" ht="18.75" customHeight="1" thickBot="1" x14ac:dyDescent="0.3">
      <c r="A16" s="56">
        <v>8</v>
      </c>
      <c r="B16" s="15" t="s">
        <v>25</v>
      </c>
      <c r="C16" s="57">
        <v>0</v>
      </c>
      <c r="D16" s="57">
        <v>0</v>
      </c>
      <c r="E16" s="57">
        <v>1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7">
        <v>0</v>
      </c>
      <c r="N16" s="57">
        <v>0</v>
      </c>
      <c r="O16" s="58">
        <f t="shared" si="0"/>
        <v>1</v>
      </c>
      <c r="Q16" s="124">
        <f t="shared" si="1"/>
        <v>0</v>
      </c>
    </row>
    <row r="17" spans="1:17" ht="18.75" customHeight="1" thickTop="1" x14ac:dyDescent="0.25">
      <c r="A17" s="176" t="s">
        <v>26</v>
      </c>
      <c r="B17" s="177"/>
      <c r="C17" s="22">
        <f t="shared" ref="C17:O17" si="2">SUM(C9:C16)</f>
        <v>1</v>
      </c>
      <c r="D17" s="22">
        <f t="shared" si="2"/>
        <v>3</v>
      </c>
      <c r="E17" s="22">
        <f t="shared" si="2"/>
        <v>2</v>
      </c>
      <c r="F17" s="22">
        <f t="shared" si="2"/>
        <v>0</v>
      </c>
      <c r="G17" s="22">
        <f t="shared" si="2"/>
        <v>1</v>
      </c>
      <c r="H17" s="22">
        <f t="shared" si="2"/>
        <v>1</v>
      </c>
      <c r="I17" s="22">
        <f t="shared" si="2"/>
        <v>0</v>
      </c>
      <c r="J17" s="22">
        <f t="shared" si="2"/>
        <v>1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7</v>
      </c>
      <c r="O17" s="22">
        <f t="shared" si="2"/>
        <v>16</v>
      </c>
      <c r="Q17" s="124">
        <f t="shared" si="1"/>
        <v>3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L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7" ht="15.7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28" t="s">
        <v>93</v>
      </c>
      <c r="M27" s="23"/>
      <c r="N27" s="23"/>
      <c r="O27" s="23"/>
    </row>
    <row r="28" spans="1:17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178" t="s">
        <v>50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7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7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28">
        <v>0</v>
      </c>
      <c r="D42" s="28">
        <v>5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5</v>
      </c>
      <c r="Q42" s="124">
        <f>SUM(F42:K42)</f>
        <v>0</v>
      </c>
    </row>
    <row r="43" spans="1:17" ht="18.75" customHeight="1" x14ac:dyDescent="0.25">
      <c r="A43" s="14">
        <v>2</v>
      </c>
      <c r="B43" s="12" t="s">
        <v>19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1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3">SUM(C43:N43)</f>
        <v>1</v>
      </c>
      <c r="Q43" s="124">
        <f t="shared" ref="Q43:Q50" si="4">SUM(F43:K43)</f>
        <v>1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8">
        <f t="shared" si="3"/>
        <v>0</v>
      </c>
      <c r="Q44" s="124">
        <f t="shared" si="4"/>
        <v>0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1</v>
      </c>
      <c r="G45" s="16">
        <v>1</v>
      </c>
      <c r="H45" s="16">
        <v>0</v>
      </c>
      <c r="I45" s="16">
        <v>1</v>
      </c>
      <c r="J45" s="16">
        <v>0</v>
      </c>
      <c r="K45" s="16">
        <v>0</v>
      </c>
      <c r="L45" s="16">
        <v>1</v>
      </c>
      <c r="M45" s="16">
        <v>1</v>
      </c>
      <c r="N45" s="16">
        <v>0</v>
      </c>
      <c r="O45" s="18">
        <f t="shared" si="3"/>
        <v>5</v>
      </c>
      <c r="Q45" s="124">
        <f t="shared" si="4"/>
        <v>3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4</v>
      </c>
      <c r="J46" s="16">
        <v>0</v>
      </c>
      <c r="K46" s="16">
        <v>0</v>
      </c>
      <c r="L46" s="16">
        <v>0</v>
      </c>
      <c r="M46" s="16">
        <v>0</v>
      </c>
      <c r="N46" s="16">
        <v>1</v>
      </c>
      <c r="O46" s="18">
        <f t="shared" si="3"/>
        <v>5</v>
      </c>
      <c r="Q46" s="124">
        <f t="shared" si="4"/>
        <v>4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2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1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2</v>
      </c>
      <c r="Q48" s="124">
        <f t="shared" si="4"/>
        <v>1</v>
      </c>
    </row>
    <row r="49" spans="1:17" ht="18.75" customHeight="1" thickBot="1" x14ac:dyDescent="0.3">
      <c r="A49" s="56">
        <v>8</v>
      </c>
      <c r="B49" s="15" t="s">
        <v>25</v>
      </c>
      <c r="C49" s="57">
        <v>0</v>
      </c>
      <c r="D49" s="57">
        <v>0</v>
      </c>
      <c r="E49" s="57">
        <v>1</v>
      </c>
      <c r="F49" s="57">
        <v>0</v>
      </c>
      <c r="G49" s="57">
        <v>0</v>
      </c>
      <c r="H49" s="57">
        <v>0</v>
      </c>
      <c r="I49" s="57">
        <v>0</v>
      </c>
      <c r="J49" s="57">
        <v>0</v>
      </c>
      <c r="K49" s="57">
        <v>1</v>
      </c>
      <c r="L49" s="57">
        <v>0</v>
      </c>
      <c r="M49" s="57">
        <v>0</v>
      </c>
      <c r="N49" s="57">
        <v>0</v>
      </c>
      <c r="O49" s="58">
        <f t="shared" si="3"/>
        <v>2</v>
      </c>
      <c r="Q49" s="124">
        <f t="shared" si="4"/>
        <v>1</v>
      </c>
    </row>
    <row r="50" spans="1:17" ht="18.75" customHeight="1" thickTop="1" x14ac:dyDescent="0.25">
      <c r="A50" s="176" t="s">
        <v>26</v>
      </c>
      <c r="B50" s="177"/>
      <c r="C50" s="22">
        <f t="shared" ref="C50:O50" si="5">SUM(C42:C49)</f>
        <v>0</v>
      </c>
      <c r="D50" s="22">
        <f t="shared" si="5"/>
        <v>6</v>
      </c>
      <c r="E50" s="22">
        <f t="shared" si="5"/>
        <v>1</v>
      </c>
      <c r="F50" s="22">
        <f t="shared" si="5"/>
        <v>1</v>
      </c>
      <c r="G50" s="22">
        <f t="shared" si="5"/>
        <v>1</v>
      </c>
      <c r="H50" s="22">
        <f t="shared" si="5"/>
        <v>0</v>
      </c>
      <c r="I50" s="22">
        <f t="shared" si="5"/>
        <v>5</v>
      </c>
      <c r="J50" s="22">
        <f t="shared" si="5"/>
        <v>2</v>
      </c>
      <c r="K50" s="22">
        <f t="shared" si="5"/>
        <v>1</v>
      </c>
      <c r="L50" s="22">
        <f t="shared" si="5"/>
        <v>1</v>
      </c>
      <c r="M50" s="22">
        <f t="shared" si="5"/>
        <v>1</v>
      </c>
      <c r="N50" s="22">
        <f t="shared" si="5"/>
        <v>1</v>
      </c>
      <c r="O50" s="22">
        <f t="shared" si="5"/>
        <v>20</v>
      </c>
      <c r="Q50" s="124">
        <f t="shared" si="4"/>
        <v>10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ht="15.75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128" t="s">
        <v>93</v>
      </c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178" t="s">
        <v>51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7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179" t="s">
        <v>2</v>
      </c>
      <c r="B72" s="179" t="s">
        <v>3</v>
      </c>
      <c r="C72" s="181" t="s">
        <v>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79" t="s">
        <v>5</v>
      </c>
    </row>
    <row r="73" spans="1:17" x14ac:dyDescent="0.25">
      <c r="A73" s="180"/>
      <c r="B73" s="1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182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28">
        <v>0</v>
      </c>
      <c r="D75" s="28">
        <v>27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27</v>
      </c>
      <c r="Q75" s="124">
        <f>SUM(F75:K75)</f>
        <v>0</v>
      </c>
    </row>
    <row r="76" spans="1:17" ht="18.75" customHeight="1" x14ac:dyDescent="0.25">
      <c r="A76" s="14">
        <v>2</v>
      </c>
      <c r="B76" s="12" t="s">
        <v>19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10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10</v>
      </c>
      <c r="Q76" s="124">
        <f t="shared" ref="Q76:Q83" si="7">SUM(F76:K76)</f>
        <v>10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8">
        <f t="shared" si="6"/>
        <v>0</v>
      </c>
      <c r="Q77" s="124">
        <f t="shared" si="7"/>
        <v>0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12</v>
      </c>
      <c r="G78" s="16">
        <v>10</v>
      </c>
      <c r="H78" s="16">
        <v>0</v>
      </c>
      <c r="I78" s="73">
        <v>10</v>
      </c>
      <c r="J78" s="16">
        <v>0</v>
      </c>
      <c r="K78" s="16">
        <v>0</v>
      </c>
      <c r="L78" s="16">
        <v>11</v>
      </c>
      <c r="M78" s="16">
        <v>11</v>
      </c>
      <c r="N78" s="16">
        <v>0</v>
      </c>
      <c r="O78" s="18">
        <f t="shared" si="6"/>
        <v>54</v>
      </c>
      <c r="Q78" s="124">
        <f t="shared" si="7"/>
        <v>32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40</v>
      </c>
      <c r="J79" s="16">
        <v>0</v>
      </c>
      <c r="K79" s="16">
        <v>0</v>
      </c>
      <c r="L79" s="16">
        <v>0</v>
      </c>
      <c r="M79" s="16">
        <v>0</v>
      </c>
      <c r="N79" s="16">
        <v>11</v>
      </c>
      <c r="O79" s="18">
        <f t="shared" si="6"/>
        <v>51</v>
      </c>
      <c r="Q79" s="124">
        <f t="shared" si="7"/>
        <v>40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2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12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8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20</v>
      </c>
      <c r="Q81" s="124">
        <f t="shared" si="7"/>
        <v>8</v>
      </c>
    </row>
    <row r="82" spans="1:17" ht="18.75" customHeight="1" thickBot="1" x14ac:dyDescent="0.3">
      <c r="A82" s="20">
        <v>8</v>
      </c>
      <c r="B82" s="15" t="s">
        <v>25</v>
      </c>
      <c r="C82" s="57">
        <v>0</v>
      </c>
      <c r="D82" s="57">
        <v>0</v>
      </c>
      <c r="E82" s="57">
        <v>21</v>
      </c>
      <c r="F82" s="57">
        <v>0</v>
      </c>
      <c r="G82" s="57">
        <v>0</v>
      </c>
      <c r="H82" s="57">
        <v>0</v>
      </c>
      <c r="I82" s="57">
        <v>0</v>
      </c>
      <c r="J82" s="57">
        <v>0</v>
      </c>
      <c r="K82" s="57">
        <v>24</v>
      </c>
      <c r="L82" s="57">
        <v>0</v>
      </c>
      <c r="M82" s="57">
        <v>0</v>
      </c>
      <c r="N82" s="57">
        <v>0</v>
      </c>
      <c r="O82" s="55">
        <f t="shared" si="6"/>
        <v>45</v>
      </c>
      <c r="Q82" s="124">
        <f t="shared" si="7"/>
        <v>24</v>
      </c>
    </row>
    <row r="83" spans="1:17" ht="18.75" customHeight="1" thickTop="1" x14ac:dyDescent="0.25">
      <c r="A83" s="176" t="s">
        <v>26</v>
      </c>
      <c r="B83" s="177"/>
      <c r="C83" s="22">
        <f t="shared" ref="C83:O83" si="8">SUM(C75:C82)</f>
        <v>0</v>
      </c>
      <c r="D83" s="22">
        <f t="shared" si="8"/>
        <v>39</v>
      </c>
      <c r="E83" s="22">
        <f t="shared" si="8"/>
        <v>21</v>
      </c>
      <c r="F83" s="22">
        <f t="shared" si="8"/>
        <v>12</v>
      </c>
      <c r="G83" s="22">
        <f t="shared" si="8"/>
        <v>10</v>
      </c>
      <c r="H83" s="22">
        <f t="shared" si="8"/>
        <v>0</v>
      </c>
      <c r="I83" s="22">
        <f t="shared" si="8"/>
        <v>50</v>
      </c>
      <c r="J83" s="22">
        <f t="shared" si="8"/>
        <v>18</v>
      </c>
      <c r="K83" s="22">
        <f t="shared" si="8"/>
        <v>24</v>
      </c>
      <c r="L83" s="22">
        <f t="shared" si="8"/>
        <v>11</v>
      </c>
      <c r="M83" s="22">
        <f t="shared" si="8"/>
        <v>11</v>
      </c>
      <c r="N83" s="22">
        <f t="shared" si="8"/>
        <v>11</v>
      </c>
      <c r="O83" s="22">
        <f t="shared" si="8"/>
        <v>207</v>
      </c>
      <c r="Q83" s="124">
        <f t="shared" si="7"/>
        <v>114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121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128" t="s">
        <v>93</v>
      </c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178" t="s">
        <v>52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5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5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28">
        <v>0</v>
      </c>
      <c r="D108" s="32">
        <v>55</v>
      </c>
      <c r="E108" s="28">
        <v>0</v>
      </c>
      <c r="F108" s="32">
        <v>0</v>
      </c>
      <c r="G108" s="32">
        <v>0</v>
      </c>
      <c r="H108" s="28">
        <v>0</v>
      </c>
      <c r="I108" s="28">
        <v>0</v>
      </c>
      <c r="J108" s="32">
        <v>0</v>
      </c>
      <c r="K108" s="32">
        <v>0</v>
      </c>
      <c r="L108" s="32">
        <v>0</v>
      </c>
      <c r="M108" s="28">
        <v>0</v>
      </c>
      <c r="N108" s="28">
        <v>0</v>
      </c>
      <c r="O108" s="33">
        <v>55</v>
      </c>
    </row>
    <row r="109" spans="1:15" ht="18.75" customHeight="1" x14ac:dyDescent="0.25">
      <c r="A109" s="14">
        <v>2</v>
      </c>
      <c r="B109" s="12" t="s">
        <v>19</v>
      </c>
      <c r="C109" s="16">
        <v>0</v>
      </c>
      <c r="D109" s="34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34">
        <v>100.12</v>
      </c>
      <c r="K109" s="34">
        <v>0</v>
      </c>
      <c r="L109" s="34">
        <v>0</v>
      </c>
      <c r="M109" s="16">
        <v>0</v>
      </c>
      <c r="N109" s="16">
        <v>0</v>
      </c>
      <c r="O109" s="60">
        <v>100.12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34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34">
        <v>0</v>
      </c>
      <c r="K110" s="34">
        <v>0</v>
      </c>
      <c r="L110" s="34">
        <v>0</v>
      </c>
      <c r="M110" s="16">
        <v>0</v>
      </c>
      <c r="N110" s="16">
        <v>0</v>
      </c>
      <c r="O110" s="60">
        <v>0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34">
        <v>0</v>
      </c>
      <c r="E111" s="16">
        <v>0</v>
      </c>
      <c r="F111" s="34">
        <v>123.56</v>
      </c>
      <c r="G111" s="34">
        <v>98.76</v>
      </c>
      <c r="H111" s="16">
        <v>0</v>
      </c>
      <c r="I111" s="34">
        <v>110</v>
      </c>
      <c r="J111" s="34">
        <v>0</v>
      </c>
      <c r="K111" s="34">
        <v>0</v>
      </c>
      <c r="L111" s="34">
        <v>115.6</v>
      </c>
      <c r="M111" s="34">
        <v>112.25</v>
      </c>
      <c r="N111" s="16">
        <v>0</v>
      </c>
      <c r="O111" s="60">
        <f t="shared" ref="O111:O112" si="9">O78/O45*10</f>
        <v>108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34">
        <v>0</v>
      </c>
      <c r="E112" s="16">
        <v>0</v>
      </c>
      <c r="F112" s="16">
        <v>0</v>
      </c>
      <c r="G112" s="16">
        <v>0</v>
      </c>
      <c r="H112" s="16">
        <v>0</v>
      </c>
      <c r="I112" s="34">
        <v>100</v>
      </c>
      <c r="J112" s="34">
        <v>0</v>
      </c>
      <c r="K112" s="34">
        <v>0</v>
      </c>
      <c r="L112" s="34">
        <v>0</v>
      </c>
      <c r="M112" s="16">
        <v>0</v>
      </c>
      <c r="N112" s="34">
        <v>109.1</v>
      </c>
      <c r="O112" s="60">
        <f t="shared" si="9"/>
        <v>102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34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34">
        <v>0</v>
      </c>
      <c r="K113" s="34">
        <v>0</v>
      </c>
      <c r="L113" s="34">
        <v>0</v>
      </c>
      <c r="M113" s="16">
        <v>0</v>
      </c>
      <c r="N113" s="16">
        <v>0</v>
      </c>
      <c r="O113" s="60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34">
        <v>125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34">
        <v>80.05</v>
      </c>
      <c r="K114" s="34">
        <v>0</v>
      </c>
      <c r="L114" s="34">
        <v>0</v>
      </c>
      <c r="M114" s="16">
        <v>0</v>
      </c>
      <c r="N114" s="16">
        <v>0</v>
      </c>
      <c r="O114" s="35">
        <f>O81/O48*10</f>
        <v>100</v>
      </c>
    </row>
    <row r="115" spans="1:15" ht="18.75" customHeight="1" thickBot="1" x14ac:dyDescent="0.3">
      <c r="A115" s="20">
        <v>8</v>
      </c>
      <c r="B115" s="15" t="s">
        <v>25</v>
      </c>
      <c r="C115" s="57">
        <v>0</v>
      </c>
      <c r="D115" s="59">
        <v>0</v>
      </c>
      <c r="E115" s="59">
        <v>208</v>
      </c>
      <c r="F115" s="57">
        <v>0</v>
      </c>
      <c r="G115" s="57">
        <v>0</v>
      </c>
      <c r="H115" s="57">
        <v>0</v>
      </c>
      <c r="I115" s="59">
        <v>0</v>
      </c>
      <c r="J115" s="59">
        <v>0</v>
      </c>
      <c r="K115" s="59">
        <v>240</v>
      </c>
      <c r="L115" s="59">
        <v>0</v>
      </c>
      <c r="M115" s="57">
        <v>0</v>
      </c>
      <c r="N115" s="57">
        <v>0</v>
      </c>
      <c r="O115" s="35">
        <f>O82/O49*10</f>
        <v>225</v>
      </c>
    </row>
    <row r="116" spans="1:15" ht="18.75" customHeight="1" thickTop="1" x14ac:dyDescent="0.25">
      <c r="A116" s="176" t="s">
        <v>26</v>
      </c>
      <c r="B116" s="177"/>
      <c r="C116" s="38">
        <v>0</v>
      </c>
      <c r="D116" s="38">
        <f>D83/D50*10</f>
        <v>65</v>
      </c>
      <c r="E116" s="38">
        <v>208</v>
      </c>
      <c r="F116" s="38">
        <v>123.56</v>
      </c>
      <c r="G116" s="38">
        <v>98.76</v>
      </c>
      <c r="H116" s="38">
        <v>0</v>
      </c>
      <c r="I116" s="38">
        <f>I83/I50*10</f>
        <v>100</v>
      </c>
      <c r="J116" s="38">
        <f t="shared" ref="J116:K116" si="10">J83/J50*10</f>
        <v>90</v>
      </c>
      <c r="K116" s="38">
        <f t="shared" si="10"/>
        <v>240</v>
      </c>
      <c r="L116" s="38">
        <v>115.6</v>
      </c>
      <c r="M116" s="38">
        <v>112.25</v>
      </c>
      <c r="N116" s="38">
        <v>109.1</v>
      </c>
      <c r="O116" s="38">
        <f>O83/O50*10</f>
        <v>103.5</v>
      </c>
    </row>
    <row r="126" spans="1:15" ht="15.75" x14ac:dyDescent="0.3">
      <c r="L126" s="128" t="s">
        <v>93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workbookViewId="0">
      <selection activeCell="Q9" sqref="Q9:Q16"/>
    </sheetView>
  </sheetViews>
  <sheetFormatPr defaultRowHeight="15" x14ac:dyDescent="0.25"/>
  <cols>
    <col min="1" max="1" width="4" customWidth="1"/>
    <col min="2" max="2" width="14.140625" customWidth="1"/>
    <col min="3" max="15" width="8.5703125" customWidth="1"/>
  </cols>
  <sheetData>
    <row r="2" spans="1:17" ht="18.75" x14ac:dyDescent="0.3">
      <c r="A2" s="178" t="s">
        <v>53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</row>
    <row r="3" spans="1:17" ht="18.75" x14ac:dyDescent="0.3">
      <c r="A3" s="178" t="s">
        <v>61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</row>
    <row r="4" spans="1:17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 t="s">
        <v>1</v>
      </c>
    </row>
    <row r="6" spans="1:17" x14ac:dyDescent="0.25">
      <c r="A6" s="179" t="s">
        <v>2</v>
      </c>
      <c r="B6" s="179" t="s">
        <v>3</v>
      </c>
      <c r="C6" s="188" t="s">
        <v>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79" t="s">
        <v>5</v>
      </c>
    </row>
    <row r="7" spans="1:17" x14ac:dyDescent="0.25">
      <c r="A7" s="180"/>
      <c r="B7" s="180"/>
      <c r="C7" s="25" t="s">
        <v>6</v>
      </c>
      <c r="D7" s="25" t="s">
        <v>7</v>
      </c>
      <c r="E7" s="25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5" t="s">
        <v>13</v>
      </c>
      <c r="K7" s="25" t="s">
        <v>14</v>
      </c>
      <c r="L7" s="25" t="s">
        <v>15</v>
      </c>
      <c r="M7" s="25" t="s">
        <v>16</v>
      </c>
      <c r="N7" s="25" t="s">
        <v>17</v>
      </c>
      <c r="O7" s="182"/>
    </row>
    <row r="8" spans="1:17" ht="15.75" thickBot="1" x14ac:dyDescent="0.3">
      <c r="A8" s="26">
        <v>1</v>
      </c>
      <c r="B8" s="26">
        <v>2</v>
      </c>
      <c r="C8" s="26">
        <v>3</v>
      </c>
      <c r="D8" s="26">
        <v>4</v>
      </c>
      <c r="E8" s="26">
        <v>5</v>
      </c>
      <c r="F8" s="26">
        <v>6</v>
      </c>
      <c r="G8" s="26">
        <v>7</v>
      </c>
      <c r="H8" s="26">
        <v>8</v>
      </c>
      <c r="I8" s="26">
        <v>9</v>
      </c>
      <c r="J8" s="26">
        <v>10</v>
      </c>
      <c r="K8" s="26">
        <v>11</v>
      </c>
      <c r="L8" s="26">
        <v>12</v>
      </c>
      <c r="M8" s="26">
        <v>13</v>
      </c>
      <c r="N8" s="26">
        <v>14</v>
      </c>
      <c r="O8" s="26">
        <v>15</v>
      </c>
    </row>
    <row r="9" spans="1:17" ht="18.75" customHeight="1" thickTop="1" x14ac:dyDescent="0.25">
      <c r="A9" s="27">
        <v>1</v>
      </c>
      <c r="B9" s="7" t="s">
        <v>18</v>
      </c>
      <c r="C9" s="28">
        <v>6</v>
      </c>
      <c r="D9" s="28">
        <v>0</v>
      </c>
      <c r="E9" s="28">
        <v>0</v>
      </c>
      <c r="F9" s="70">
        <v>1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2</v>
      </c>
      <c r="O9" s="29">
        <f>SUM(C9:N9)</f>
        <v>9</v>
      </c>
      <c r="Q9" s="124">
        <f>SUM(F9:K9)</f>
        <v>1</v>
      </c>
    </row>
    <row r="10" spans="1:17" ht="18.75" customHeight="1" x14ac:dyDescent="0.25">
      <c r="A10" s="14">
        <v>2</v>
      </c>
      <c r="B10" s="12" t="s">
        <v>19</v>
      </c>
      <c r="C10" s="16">
        <v>0</v>
      </c>
      <c r="D10" s="16">
        <v>0</v>
      </c>
      <c r="E10" s="16">
        <v>0</v>
      </c>
      <c r="F10" s="48">
        <v>0</v>
      </c>
      <c r="G10" s="16">
        <v>1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8">
        <f t="shared" ref="O10:O16" si="0">SUM(C10:N10)</f>
        <v>1</v>
      </c>
      <c r="Q10" s="124">
        <f t="shared" ref="Q10:Q16" si="1">SUM(F10:K10)</f>
        <v>1</v>
      </c>
    </row>
    <row r="11" spans="1:17" ht="18.75" customHeight="1" x14ac:dyDescent="0.25">
      <c r="A11" s="14">
        <v>3</v>
      </c>
      <c r="B11" s="7" t="s">
        <v>20</v>
      </c>
      <c r="C11" s="16">
        <v>0</v>
      </c>
      <c r="D11" s="16">
        <v>0</v>
      </c>
      <c r="E11" s="16">
        <v>0</v>
      </c>
      <c r="F11" s="16">
        <v>0</v>
      </c>
      <c r="G11" s="16">
        <v>4</v>
      </c>
      <c r="H11" s="16">
        <v>2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8">
        <f t="shared" si="0"/>
        <v>6</v>
      </c>
      <c r="Q11" s="124">
        <f t="shared" si="1"/>
        <v>6</v>
      </c>
    </row>
    <row r="12" spans="1:17" ht="18.75" customHeight="1" x14ac:dyDescent="0.25">
      <c r="A12" s="14">
        <v>4</v>
      </c>
      <c r="B12" s="15" t="s">
        <v>21</v>
      </c>
      <c r="C12" s="16">
        <v>0</v>
      </c>
      <c r="D12" s="16">
        <v>0</v>
      </c>
      <c r="E12" s="16">
        <v>1</v>
      </c>
      <c r="F12" s="16">
        <v>0</v>
      </c>
      <c r="G12" s="16">
        <v>0</v>
      </c>
      <c r="H12" s="16">
        <v>2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8">
        <f t="shared" si="0"/>
        <v>3</v>
      </c>
      <c r="Q12" s="124">
        <f t="shared" si="1"/>
        <v>2</v>
      </c>
    </row>
    <row r="13" spans="1:17" ht="18.75" customHeight="1" x14ac:dyDescent="0.25">
      <c r="A13" s="14">
        <v>5</v>
      </c>
      <c r="B13" s="19" t="s">
        <v>22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10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8">
        <f t="shared" si="0"/>
        <v>10</v>
      </c>
      <c r="Q13" s="124">
        <f t="shared" si="1"/>
        <v>10</v>
      </c>
    </row>
    <row r="14" spans="1:17" ht="18.75" customHeight="1" x14ac:dyDescent="0.25">
      <c r="A14" s="14">
        <v>6</v>
      </c>
      <c r="B14" s="19" t="s">
        <v>23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8">
        <f t="shared" si="0"/>
        <v>0</v>
      </c>
      <c r="Q14" s="124">
        <f t="shared" si="1"/>
        <v>0</v>
      </c>
    </row>
    <row r="15" spans="1:17" ht="18.75" customHeight="1" x14ac:dyDescent="0.25">
      <c r="A15" s="14">
        <v>7</v>
      </c>
      <c r="B15" s="19" t="s">
        <v>24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8">
        <f t="shared" si="0"/>
        <v>0</v>
      </c>
      <c r="Q15" s="124">
        <f t="shared" si="1"/>
        <v>0</v>
      </c>
    </row>
    <row r="16" spans="1:17" ht="18.75" customHeight="1" thickBot="1" x14ac:dyDescent="0.3">
      <c r="A16" s="20">
        <v>8</v>
      </c>
      <c r="B16" s="15" t="s">
        <v>25</v>
      </c>
      <c r="C16" s="17">
        <v>0</v>
      </c>
      <c r="D16" s="17">
        <v>0</v>
      </c>
      <c r="E16" s="17">
        <v>1</v>
      </c>
      <c r="F16" s="17">
        <v>0</v>
      </c>
      <c r="G16" s="17">
        <v>0</v>
      </c>
      <c r="H16" s="17">
        <v>0</v>
      </c>
      <c r="I16" s="17">
        <v>1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21">
        <f t="shared" si="0"/>
        <v>2</v>
      </c>
      <c r="Q16" s="124">
        <f t="shared" si="1"/>
        <v>1</v>
      </c>
    </row>
    <row r="17" spans="1:17" ht="18.75" customHeight="1" thickTop="1" x14ac:dyDescent="0.25">
      <c r="A17" s="176" t="s">
        <v>26</v>
      </c>
      <c r="B17" s="177"/>
      <c r="C17" s="22">
        <f t="shared" ref="C17:O17" si="2">SUM(C9:C16)</f>
        <v>6</v>
      </c>
      <c r="D17" s="22">
        <f t="shared" si="2"/>
        <v>0</v>
      </c>
      <c r="E17" s="22">
        <f t="shared" si="2"/>
        <v>2</v>
      </c>
      <c r="F17" s="22">
        <f t="shared" si="2"/>
        <v>1</v>
      </c>
      <c r="G17" s="22">
        <f t="shared" si="2"/>
        <v>5</v>
      </c>
      <c r="H17" s="22">
        <f t="shared" si="2"/>
        <v>14</v>
      </c>
      <c r="I17" s="22">
        <f t="shared" si="2"/>
        <v>1</v>
      </c>
      <c r="J17" s="22">
        <f t="shared" si="2"/>
        <v>0</v>
      </c>
      <c r="K17" s="22">
        <f t="shared" si="2"/>
        <v>0</v>
      </c>
      <c r="L17" s="22">
        <f t="shared" si="2"/>
        <v>0</v>
      </c>
      <c r="M17" s="22">
        <f t="shared" si="2"/>
        <v>0</v>
      </c>
      <c r="N17" s="22">
        <f t="shared" si="2"/>
        <v>2</v>
      </c>
      <c r="O17" s="22">
        <f t="shared" si="2"/>
        <v>31</v>
      </c>
      <c r="Q17" s="124">
        <f>SUM(F17:K17)</f>
        <v>21</v>
      </c>
    </row>
    <row r="18" spans="1:1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1:1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M21" s="23"/>
      <c r="N21" s="23"/>
      <c r="O21" s="23"/>
    </row>
    <row r="22" spans="1:1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M26" s="23"/>
      <c r="N26" s="23"/>
      <c r="O26" s="23"/>
    </row>
    <row r="27" spans="1:1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7" ht="15.7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128" t="s">
        <v>93</v>
      </c>
      <c r="M28" s="23"/>
      <c r="N28" s="23"/>
      <c r="O28" s="23"/>
    </row>
    <row r="29" spans="1:17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1:17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7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7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1:17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7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1:17" ht="18.75" x14ac:dyDescent="0.3">
      <c r="A35" s="178" t="s">
        <v>54</v>
      </c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</row>
    <row r="36" spans="1:17" ht="18.75" x14ac:dyDescent="0.3">
      <c r="A36" s="178" t="s">
        <v>61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</row>
    <row r="37" spans="1:17" ht="18.7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 t="s">
        <v>1</v>
      </c>
    </row>
    <row r="39" spans="1:17" x14ac:dyDescent="0.25">
      <c r="A39" s="179" t="s">
        <v>2</v>
      </c>
      <c r="B39" s="179" t="s">
        <v>3</v>
      </c>
      <c r="C39" s="181" t="s">
        <v>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79" t="s">
        <v>5</v>
      </c>
    </row>
    <row r="40" spans="1:17" x14ac:dyDescent="0.25">
      <c r="A40" s="180"/>
      <c r="B40" s="180"/>
      <c r="C40" s="25" t="s">
        <v>6</v>
      </c>
      <c r="D40" s="25" t="s">
        <v>7</v>
      </c>
      <c r="E40" s="25" t="s">
        <v>8</v>
      </c>
      <c r="F40" s="25" t="s">
        <v>9</v>
      </c>
      <c r="G40" s="25" t="s">
        <v>10</v>
      </c>
      <c r="H40" s="25" t="s">
        <v>11</v>
      </c>
      <c r="I40" s="25" t="s">
        <v>12</v>
      </c>
      <c r="J40" s="25" t="s">
        <v>13</v>
      </c>
      <c r="K40" s="25" t="s">
        <v>14</v>
      </c>
      <c r="L40" s="25" t="s">
        <v>15</v>
      </c>
      <c r="M40" s="25" t="s">
        <v>16</v>
      </c>
      <c r="N40" s="25" t="s">
        <v>17</v>
      </c>
      <c r="O40" s="182"/>
    </row>
    <row r="41" spans="1:17" ht="15.75" thickBot="1" x14ac:dyDescent="0.3">
      <c r="A41" s="26">
        <v>1</v>
      </c>
      <c r="B41" s="26">
        <v>2</v>
      </c>
      <c r="C41" s="26">
        <v>3</v>
      </c>
      <c r="D41" s="26">
        <v>4</v>
      </c>
      <c r="E41" s="26">
        <v>5</v>
      </c>
      <c r="F41" s="26">
        <v>6</v>
      </c>
      <c r="G41" s="26">
        <v>7</v>
      </c>
      <c r="H41" s="26">
        <v>8</v>
      </c>
      <c r="I41" s="26">
        <v>9</v>
      </c>
      <c r="J41" s="26">
        <v>10</v>
      </c>
      <c r="K41" s="26">
        <v>11</v>
      </c>
      <c r="L41" s="26">
        <v>12</v>
      </c>
      <c r="M41" s="26">
        <v>13</v>
      </c>
      <c r="N41" s="26">
        <v>14</v>
      </c>
      <c r="O41" s="26">
        <v>15</v>
      </c>
    </row>
    <row r="42" spans="1:17" ht="18.75" customHeight="1" thickTop="1" x14ac:dyDescent="0.25">
      <c r="A42" s="27">
        <v>1</v>
      </c>
      <c r="B42" s="7" t="s">
        <v>18</v>
      </c>
      <c r="C42" s="70">
        <v>0</v>
      </c>
      <c r="D42" s="70">
        <v>7</v>
      </c>
      <c r="E42" s="28">
        <v>6</v>
      </c>
      <c r="F42" s="70">
        <v>0</v>
      </c>
      <c r="G42" s="70">
        <v>0</v>
      </c>
      <c r="H42" s="70">
        <v>0</v>
      </c>
      <c r="I42" s="28">
        <v>1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9">
        <f>SUM(C42:N42)</f>
        <v>14</v>
      </c>
      <c r="Q42" s="124">
        <f>SUM(F42:K42)</f>
        <v>1</v>
      </c>
    </row>
    <row r="43" spans="1:17" ht="18.75" customHeight="1" x14ac:dyDescent="0.25">
      <c r="A43" s="14">
        <v>2</v>
      </c>
      <c r="B43" s="12" t="s">
        <v>19</v>
      </c>
      <c r="C43" s="48">
        <v>0</v>
      </c>
      <c r="D43" s="48">
        <v>0</v>
      </c>
      <c r="E43" s="16">
        <v>0</v>
      </c>
      <c r="F43" s="48">
        <v>0</v>
      </c>
      <c r="G43" s="48">
        <v>0</v>
      </c>
      <c r="H43" s="48">
        <v>0</v>
      </c>
      <c r="I43" s="16">
        <v>0</v>
      </c>
      <c r="J43" s="16">
        <v>1</v>
      </c>
      <c r="K43" s="16">
        <v>0</v>
      </c>
      <c r="L43" s="16">
        <v>0</v>
      </c>
      <c r="M43" s="16">
        <v>0</v>
      </c>
      <c r="N43" s="16">
        <v>0</v>
      </c>
      <c r="O43" s="18">
        <f t="shared" ref="O43:O49" si="3">SUM(C43:N43)</f>
        <v>1</v>
      </c>
      <c r="Q43" s="124">
        <f t="shared" ref="Q43:Q50" si="4">SUM(F43:K43)</f>
        <v>1</v>
      </c>
    </row>
    <row r="44" spans="1:17" ht="18.75" customHeight="1" x14ac:dyDescent="0.25">
      <c r="A44" s="14">
        <v>3</v>
      </c>
      <c r="B44" s="7" t="s">
        <v>20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4</v>
      </c>
      <c r="K44" s="16">
        <v>0</v>
      </c>
      <c r="L44" s="16">
        <v>2</v>
      </c>
      <c r="M44" s="16">
        <v>0</v>
      </c>
      <c r="N44" s="16">
        <v>0</v>
      </c>
      <c r="O44" s="18">
        <f t="shared" si="3"/>
        <v>6</v>
      </c>
      <c r="Q44" s="124">
        <f t="shared" si="4"/>
        <v>4</v>
      </c>
    </row>
    <row r="45" spans="1:17" ht="18.75" customHeight="1" x14ac:dyDescent="0.25">
      <c r="A45" s="14">
        <v>4</v>
      </c>
      <c r="B45" s="15" t="s">
        <v>21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1</v>
      </c>
      <c r="J45" s="16">
        <v>2</v>
      </c>
      <c r="K45" s="16">
        <v>0</v>
      </c>
      <c r="L45" s="16">
        <v>0</v>
      </c>
      <c r="M45" s="16">
        <v>0</v>
      </c>
      <c r="N45" s="16">
        <v>0</v>
      </c>
      <c r="O45" s="18">
        <f t="shared" si="3"/>
        <v>3</v>
      </c>
      <c r="Q45" s="124">
        <f t="shared" si="4"/>
        <v>3</v>
      </c>
    </row>
    <row r="46" spans="1:17" ht="18.75" customHeight="1" x14ac:dyDescent="0.25">
      <c r="A46" s="14">
        <v>5</v>
      </c>
      <c r="B46" s="19" t="s">
        <v>22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10</v>
      </c>
      <c r="K46" s="16">
        <v>0</v>
      </c>
      <c r="L46" s="16">
        <v>0</v>
      </c>
      <c r="M46" s="16">
        <v>0</v>
      </c>
      <c r="N46" s="16">
        <v>0</v>
      </c>
      <c r="O46" s="18">
        <f t="shared" si="3"/>
        <v>10</v>
      </c>
      <c r="Q46" s="124">
        <f t="shared" si="4"/>
        <v>10</v>
      </c>
    </row>
    <row r="47" spans="1:17" ht="18.75" customHeight="1" x14ac:dyDescent="0.25">
      <c r="A47" s="14">
        <v>6</v>
      </c>
      <c r="B47" s="19" t="s">
        <v>23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8">
        <f t="shared" si="3"/>
        <v>0</v>
      </c>
      <c r="Q47" s="124">
        <f t="shared" si="4"/>
        <v>0</v>
      </c>
    </row>
    <row r="48" spans="1:17" ht="18.75" customHeight="1" x14ac:dyDescent="0.25">
      <c r="A48" s="14">
        <v>7</v>
      </c>
      <c r="B48" s="19" t="s">
        <v>24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8">
        <f t="shared" si="3"/>
        <v>0</v>
      </c>
      <c r="Q48" s="124">
        <f t="shared" si="4"/>
        <v>0</v>
      </c>
    </row>
    <row r="49" spans="1:17" ht="18.75" customHeight="1" thickBot="1" x14ac:dyDescent="0.3">
      <c r="A49" s="20">
        <v>8</v>
      </c>
      <c r="B49" s="15" t="s">
        <v>25</v>
      </c>
      <c r="C49" s="17">
        <v>0</v>
      </c>
      <c r="D49" s="17">
        <v>0</v>
      </c>
      <c r="E49" s="17">
        <v>2</v>
      </c>
      <c r="F49" s="17">
        <v>0</v>
      </c>
      <c r="G49" s="17">
        <v>0</v>
      </c>
      <c r="H49" s="17">
        <v>1</v>
      </c>
      <c r="I49" s="17">
        <v>0</v>
      </c>
      <c r="J49" s="17">
        <v>0</v>
      </c>
      <c r="K49" s="17">
        <v>0</v>
      </c>
      <c r="L49" s="17">
        <v>1</v>
      </c>
      <c r="M49" s="17">
        <v>0</v>
      </c>
      <c r="N49" s="17">
        <v>0</v>
      </c>
      <c r="O49" s="21">
        <f t="shared" si="3"/>
        <v>4</v>
      </c>
      <c r="Q49" s="124">
        <f t="shared" si="4"/>
        <v>1</v>
      </c>
    </row>
    <row r="50" spans="1:17" ht="18.75" customHeight="1" thickTop="1" x14ac:dyDescent="0.25">
      <c r="A50" s="176" t="s">
        <v>26</v>
      </c>
      <c r="B50" s="177"/>
      <c r="C50" s="22">
        <f t="shared" ref="C50:O50" si="5">SUM(C42:C49)</f>
        <v>0</v>
      </c>
      <c r="D50" s="22">
        <f t="shared" si="5"/>
        <v>7</v>
      </c>
      <c r="E50" s="22">
        <f t="shared" si="5"/>
        <v>8</v>
      </c>
      <c r="F50" s="22">
        <f t="shared" si="5"/>
        <v>0</v>
      </c>
      <c r="G50" s="22">
        <f t="shared" si="5"/>
        <v>0</v>
      </c>
      <c r="H50" s="22">
        <f t="shared" si="5"/>
        <v>1</v>
      </c>
      <c r="I50" s="22">
        <f t="shared" si="5"/>
        <v>2</v>
      </c>
      <c r="J50" s="22">
        <f t="shared" si="5"/>
        <v>17</v>
      </c>
      <c r="K50" s="22">
        <f t="shared" si="5"/>
        <v>0</v>
      </c>
      <c r="L50" s="22">
        <f t="shared" si="5"/>
        <v>3</v>
      </c>
      <c r="M50" s="22">
        <f t="shared" si="5"/>
        <v>0</v>
      </c>
      <c r="N50" s="22">
        <f t="shared" si="5"/>
        <v>0</v>
      </c>
      <c r="O50" s="22">
        <f t="shared" si="5"/>
        <v>38</v>
      </c>
      <c r="Q50" s="124">
        <f t="shared" si="4"/>
        <v>20</v>
      </c>
    </row>
    <row r="51" spans="1:17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</row>
    <row r="52" spans="1:17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</row>
    <row r="53" spans="1:17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</row>
    <row r="54" spans="1:17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L54" s="24"/>
      <c r="M54" s="24"/>
      <c r="N54" s="24"/>
      <c r="O54" s="24"/>
    </row>
    <row r="55" spans="1:17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</row>
    <row r="56" spans="1:17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</row>
    <row r="57" spans="1:17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</row>
    <row r="58" spans="1:17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</row>
    <row r="59" spans="1:17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</row>
    <row r="60" spans="1:17" ht="15.75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L60" s="128" t="s">
        <v>93</v>
      </c>
      <c r="M60" s="24"/>
      <c r="N60" s="24"/>
      <c r="O60" s="24"/>
    </row>
    <row r="61" spans="1:17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</row>
    <row r="62" spans="1:17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</row>
    <row r="63" spans="1:17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</row>
    <row r="64" spans="1:17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</row>
    <row r="65" spans="1:17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7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</row>
    <row r="67" spans="1:17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1:17" ht="18.75" x14ac:dyDescent="0.3">
      <c r="A68" s="178" t="s">
        <v>55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</row>
    <row r="69" spans="1:17" ht="18.75" x14ac:dyDescent="0.3">
      <c r="A69" s="178" t="s">
        <v>61</v>
      </c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7" ht="18.7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 t="s">
        <v>29</v>
      </c>
    </row>
    <row r="72" spans="1:17" x14ac:dyDescent="0.25">
      <c r="A72" s="179" t="s">
        <v>2</v>
      </c>
      <c r="B72" s="179" t="s">
        <v>3</v>
      </c>
      <c r="C72" s="181" t="s">
        <v>4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79" t="s">
        <v>5</v>
      </c>
    </row>
    <row r="73" spans="1:17" x14ac:dyDescent="0.25">
      <c r="A73" s="180"/>
      <c r="B73" s="180"/>
      <c r="C73" s="25" t="s">
        <v>6</v>
      </c>
      <c r="D73" s="25" t="s">
        <v>7</v>
      </c>
      <c r="E73" s="25" t="s">
        <v>8</v>
      </c>
      <c r="F73" s="25" t="s">
        <v>9</v>
      </c>
      <c r="G73" s="25" t="s">
        <v>10</v>
      </c>
      <c r="H73" s="25" t="s">
        <v>11</v>
      </c>
      <c r="I73" s="25" t="s">
        <v>12</v>
      </c>
      <c r="J73" s="25" t="s">
        <v>13</v>
      </c>
      <c r="K73" s="25" t="s">
        <v>14</v>
      </c>
      <c r="L73" s="25" t="s">
        <v>15</v>
      </c>
      <c r="M73" s="25" t="s">
        <v>16</v>
      </c>
      <c r="N73" s="25" t="s">
        <v>17</v>
      </c>
      <c r="O73" s="182"/>
    </row>
    <row r="74" spans="1:17" ht="15.75" thickBot="1" x14ac:dyDescent="0.3">
      <c r="A74" s="26">
        <v>1</v>
      </c>
      <c r="B74" s="26">
        <v>2</v>
      </c>
      <c r="C74" s="26">
        <v>3</v>
      </c>
      <c r="D74" s="26">
        <v>4</v>
      </c>
      <c r="E74" s="26">
        <v>5</v>
      </c>
      <c r="F74" s="26">
        <v>6</v>
      </c>
      <c r="G74" s="26">
        <v>7</v>
      </c>
      <c r="H74" s="26">
        <v>8</v>
      </c>
      <c r="I74" s="26">
        <v>9</v>
      </c>
      <c r="J74" s="26">
        <v>10</v>
      </c>
      <c r="K74" s="26">
        <v>11</v>
      </c>
      <c r="L74" s="26">
        <v>12</v>
      </c>
      <c r="M74" s="26">
        <v>13</v>
      </c>
      <c r="N74" s="26">
        <v>14</v>
      </c>
      <c r="O74" s="26">
        <v>15</v>
      </c>
    </row>
    <row r="75" spans="1:17" ht="18.75" customHeight="1" thickTop="1" x14ac:dyDescent="0.25">
      <c r="A75" s="27">
        <v>1</v>
      </c>
      <c r="B75" s="7" t="s">
        <v>18</v>
      </c>
      <c r="C75" s="70">
        <v>0</v>
      </c>
      <c r="D75" s="71">
        <v>11</v>
      </c>
      <c r="E75" s="28">
        <v>7</v>
      </c>
      <c r="F75" s="70">
        <v>0</v>
      </c>
      <c r="G75" s="70">
        <v>0</v>
      </c>
      <c r="H75" s="70">
        <v>0</v>
      </c>
      <c r="I75" s="28">
        <v>1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9">
        <f>SUM(C75:N75)</f>
        <v>19</v>
      </c>
      <c r="Q75" s="124">
        <f>SUM(F75:K75)</f>
        <v>1</v>
      </c>
    </row>
    <row r="76" spans="1:17" ht="18.75" customHeight="1" x14ac:dyDescent="0.25">
      <c r="A76" s="14">
        <v>2</v>
      </c>
      <c r="B76" s="12" t="s">
        <v>19</v>
      </c>
      <c r="C76" s="48">
        <v>0</v>
      </c>
      <c r="D76" s="48">
        <v>0</v>
      </c>
      <c r="E76" s="16">
        <v>0</v>
      </c>
      <c r="F76" s="48">
        <v>0</v>
      </c>
      <c r="G76" s="48">
        <v>0</v>
      </c>
      <c r="H76" s="48">
        <v>0</v>
      </c>
      <c r="I76" s="16">
        <v>0</v>
      </c>
      <c r="J76" s="16">
        <v>1</v>
      </c>
      <c r="K76" s="16">
        <v>0</v>
      </c>
      <c r="L76" s="16">
        <v>0</v>
      </c>
      <c r="M76" s="16">
        <v>0</v>
      </c>
      <c r="N76" s="16">
        <v>0</v>
      </c>
      <c r="O76" s="18">
        <f t="shared" ref="O76:O82" si="6">SUM(C76:N76)</f>
        <v>1</v>
      </c>
      <c r="Q76" s="124">
        <f t="shared" ref="Q76:Q83" si="7">SUM(F76:K76)</f>
        <v>1</v>
      </c>
    </row>
    <row r="77" spans="1:17" ht="18.75" customHeight="1" x14ac:dyDescent="0.25">
      <c r="A77" s="14">
        <v>3</v>
      </c>
      <c r="B77" s="7" t="s">
        <v>20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5</v>
      </c>
      <c r="K77" s="16">
        <v>0</v>
      </c>
      <c r="L77" s="16">
        <v>2</v>
      </c>
      <c r="M77" s="16">
        <v>0</v>
      </c>
      <c r="N77" s="16">
        <v>0</v>
      </c>
      <c r="O77" s="18">
        <f t="shared" si="6"/>
        <v>7</v>
      </c>
      <c r="Q77" s="124">
        <f t="shared" si="7"/>
        <v>5</v>
      </c>
    </row>
    <row r="78" spans="1:17" ht="18.75" customHeight="1" x14ac:dyDescent="0.25">
      <c r="A78" s="14">
        <v>4</v>
      </c>
      <c r="B78" s="15" t="s">
        <v>21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1</v>
      </c>
      <c r="J78" s="16">
        <v>2</v>
      </c>
      <c r="K78" s="16">
        <v>0</v>
      </c>
      <c r="L78" s="16">
        <v>0</v>
      </c>
      <c r="M78" s="16">
        <v>0</v>
      </c>
      <c r="N78" s="16">
        <v>0</v>
      </c>
      <c r="O78" s="18">
        <f t="shared" si="6"/>
        <v>3</v>
      </c>
      <c r="Q78" s="124">
        <f t="shared" si="7"/>
        <v>3</v>
      </c>
    </row>
    <row r="79" spans="1:17" ht="18.75" customHeight="1" x14ac:dyDescent="0.25">
      <c r="A79" s="14">
        <v>5</v>
      </c>
      <c r="B79" s="19" t="s">
        <v>22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11</v>
      </c>
      <c r="K79" s="16">
        <v>0</v>
      </c>
      <c r="L79" s="16">
        <v>0</v>
      </c>
      <c r="M79" s="16">
        <v>0</v>
      </c>
      <c r="N79" s="16">
        <v>0</v>
      </c>
      <c r="O79" s="18">
        <f t="shared" si="6"/>
        <v>11</v>
      </c>
      <c r="Q79" s="124">
        <f t="shared" si="7"/>
        <v>11</v>
      </c>
    </row>
    <row r="80" spans="1:17" ht="18.75" customHeight="1" x14ac:dyDescent="0.25">
      <c r="A80" s="14">
        <v>6</v>
      </c>
      <c r="B80" s="19" t="s">
        <v>23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8">
        <f t="shared" si="6"/>
        <v>0</v>
      </c>
      <c r="Q80" s="124">
        <f t="shared" si="7"/>
        <v>0</v>
      </c>
    </row>
    <row r="81" spans="1:17" ht="18.75" customHeight="1" x14ac:dyDescent="0.25">
      <c r="A81" s="14">
        <v>7</v>
      </c>
      <c r="B81" s="19" t="s">
        <v>24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8">
        <f t="shared" si="6"/>
        <v>0</v>
      </c>
      <c r="Q81" s="124">
        <f t="shared" si="7"/>
        <v>0</v>
      </c>
    </row>
    <row r="82" spans="1:17" ht="18.75" customHeight="1" thickBot="1" x14ac:dyDescent="0.3">
      <c r="A82" s="20">
        <v>8</v>
      </c>
      <c r="B82" s="15" t="s">
        <v>25</v>
      </c>
      <c r="C82" s="17">
        <v>0</v>
      </c>
      <c r="D82" s="17">
        <v>0</v>
      </c>
      <c r="E82" s="17">
        <v>2</v>
      </c>
      <c r="F82" s="17">
        <v>0</v>
      </c>
      <c r="G82" s="17">
        <v>0</v>
      </c>
      <c r="H82" s="17">
        <v>1</v>
      </c>
      <c r="I82" s="17">
        <v>0</v>
      </c>
      <c r="J82" s="17">
        <v>0</v>
      </c>
      <c r="K82" s="17">
        <v>0</v>
      </c>
      <c r="L82" s="17">
        <v>1</v>
      </c>
      <c r="M82" s="17">
        <v>0</v>
      </c>
      <c r="N82" s="17">
        <v>0</v>
      </c>
      <c r="O82" s="21">
        <f t="shared" si="6"/>
        <v>4</v>
      </c>
      <c r="Q82" s="124">
        <f t="shared" si="7"/>
        <v>1</v>
      </c>
    </row>
    <row r="83" spans="1:17" ht="18.75" customHeight="1" thickTop="1" x14ac:dyDescent="0.25">
      <c r="A83" s="176" t="s">
        <v>26</v>
      </c>
      <c r="B83" s="177"/>
      <c r="C83" s="22">
        <f t="shared" ref="C83:O83" si="8">SUM(C75:C82)</f>
        <v>0</v>
      </c>
      <c r="D83" s="22">
        <f t="shared" si="8"/>
        <v>11</v>
      </c>
      <c r="E83" s="22">
        <f t="shared" si="8"/>
        <v>9</v>
      </c>
      <c r="F83" s="22">
        <f t="shared" si="8"/>
        <v>0</v>
      </c>
      <c r="G83" s="22">
        <f t="shared" si="8"/>
        <v>0</v>
      </c>
      <c r="H83" s="22">
        <f t="shared" si="8"/>
        <v>1</v>
      </c>
      <c r="I83" s="22">
        <f t="shared" si="8"/>
        <v>2</v>
      </c>
      <c r="J83" s="22">
        <f t="shared" si="8"/>
        <v>19</v>
      </c>
      <c r="K83" s="22">
        <f t="shared" si="8"/>
        <v>0</v>
      </c>
      <c r="L83" s="22">
        <f t="shared" si="8"/>
        <v>3</v>
      </c>
      <c r="M83" s="22">
        <f t="shared" si="8"/>
        <v>0</v>
      </c>
      <c r="N83" s="22">
        <f t="shared" si="8"/>
        <v>0</v>
      </c>
      <c r="O83" s="22">
        <f t="shared" si="8"/>
        <v>45</v>
      </c>
      <c r="Q83" s="124">
        <f t="shared" si="7"/>
        <v>22</v>
      </c>
    </row>
    <row r="84" spans="1:17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7" x14ac:dyDescent="0.2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1:17" x14ac:dyDescent="0.2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</row>
    <row r="87" spans="1:17" x14ac:dyDescent="0.25">
      <c r="A87" s="24"/>
      <c r="B87" s="24"/>
      <c r="C87" s="24"/>
      <c r="D87" s="24"/>
      <c r="E87" s="24"/>
      <c r="F87" s="24"/>
      <c r="G87" s="24"/>
      <c r="H87" s="24"/>
      <c r="I87" s="24"/>
      <c r="J87" s="24"/>
      <c r="L87" s="24"/>
      <c r="M87" s="24"/>
      <c r="N87" s="24"/>
      <c r="O87" s="24"/>
    </row>
    <row r="88" spans="1:17" x14ac:dyDescent="0.2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</row>
    <row r="89" spans="1:17" x14ac:dyDescent="0.2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</row>
    <row r="90" spans="1:17" x14ac:dyDescent="0.2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</row>
    <row r="91" spans="1:17" x14ac:dyDescent="0.2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</row>
    <row r="92" spans="1:17" x14ac:dyDescent="0.2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</row>
    <row r="93" spans="1:17" ht="15.75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L93" s="128" t="s">
        <v>93</v>
      </c>
      <c r="M93" s="24"/>
      <c r="N93" s="24"/>
      <c r="O93" s="24"/>
    </row>
    <row r="94" spans="1:17" x14ac:dyDescent="0.2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</row>
    <row r="95" spans="1:17" x14ac:dyDescent="0.2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</row>
    <row r="96" spans="1:17" x14ac:dyDescent="0.2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8.75" x14ac:dyDescent="0.3">
      <c r="A101" s="178" t="s">
        <v>56</v>
      </c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</row>
    <row r="102" spans="1:15" ht="18.75" x14ac:dyDescent="0.3">
      <c r="A102" s="178" t="s">
        <v>61</v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</row>
    <row r="103" spans="1:15" ht="18.7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 t="s">
        <v>31</v>
      </c>
    </row>
    <row r="105" spans="1:15" x14ac:dyDescent="0.25">
      <c r="A105" s="179" t="s">
        <v>2</v>
      </c>
      <c r="B105" s="179" t="s">
        <v>3</v>
      </c>
      <c r="C105" s="181" t="s">
        <v>4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79" t="s">
        <v>5</v>
      </c>
    </row>
    <row r="106" spans="1:15" x14ac:dyDescent="0.25">
      <c r="A106" s="180"/>
      <c r="B106" s="180"/>
      <c r="C106" s="25" t="s">
        <v>6</v>
      </c>
      <c r="D106" s="25" t="s">
        <v>7</v>
      </c>
      <c r="E106" s="25" t="s">
        <v>8</v>
      </c>
      <c r="F106" s="25" t="s">
        <v>9</v>
      </c>
      <c r="G106" s="25" t="s">
        <v>10</v>
      </c>
      <c r="H106" s="25" t="s">
        <v>11</v>
      </c>
      <c r="I106" s="25" t="s">
        <v>12</v>
      </c>
      <c r="J106" s="25" t="s">
        <v>13</v>
      </c>
      <c r="K106" s="25" t="s">
        <v>14</v>
      </c>
      <c r="L106" s="25" t="s">
        <v>15</v>
      </c>
      <c r="M106" s="25" t="s">
        <v>16</v>
      </c>
      <c r="N106" s="25" t="s">
        <v>17</v>
      </c>
      <c r="O106" s="182"/>
    </row>
    <row r="107" spans="1:15" ht="15.75" thickBot="1" x14ac:dyDescent="0.3">
      <c r="A107" s="26">
        <v>1</v>
      </c>
      <c r="B107" s="26">
        <v>2</v>
      </c>
      <c r="C107" s="26">
        <v>3</v>
      </c>
      <c r="D107" s="26">
        <v>4</v>
      </c>
      <c r="E107" s="26">
        <v>5</v>
      </c>
      <c r="F107" s="26">
        <v>6</v>
      </c>
      <c r="G107" s="26">
        <v>7</v>
      </c>
      <c r="H107" s="26">
        <v>8</v>
      </c>
      <c r="I107" s="26">
        <v>9</v>
      </c>
      <c r="J107" s="26">
        <v>10</v>
      </c>
      <c r="K107" s="26">
        <v>11</v>
      </c>
      <c r="L107" s="26">
        <v>12</v>
      </c>
      <c r="M107" s="26">
        <v>13</v>
      </c>
      <c r="N107" s="26">
        <v>14</v>
      </c>
      <c r="O107" s="26">
        <v>15</v>
      </c>
    </row>
    <row r="108" spans="1:15" ht="18.75" customHeight="1" thickTop="1" x14ac:dyDescent="0.25">
      <c r="A108" s="27">
        <v>1</v>
      </c>
      <c r="B108" s="7" t="s">
        <v>18</v>
      </c>
      <c r="C108" s="70">
        <v>0</v>
      </c>
      <c r="D108" s="50">
        <v>15.71</v>
      </c>
      <c r="E108" s="50">
        <v>11</v>
      </c>
      <c r="F108" s="70">
        <v>0</v>
      </c>
      <c r="G108" s="70">
        <v>0</v>
      </c>
      <c r="H108" s="70">
        <v>0</v>
      </c>
      <c r="I108" s="32">
        <v>10</v>
      </c>
      <c r="J108" s="32">
        <v>0</v>
      </c>
      <c r="K108" s="28">
        <v>0</v>
      </c>
      <c r="L108" s="32">
        <v>0</v>
      </c>
      <c r="M108" s="28">
        <v>0</v>
      </c>
      <c r="N108" s="28">
        <v>0</v>
      </c>
      <c r="O108" s="33">
        <f>O75/O42*10</f>
        <v>13.571428571428573</v>
      </c>
    </row>
    <row r="109" spans="1:15" ht="18.75" customHeight="1" x14ac:dyDescent="0.25">
      <c r="A109" s="14">
        <v>2</v>
      </c>
      <c r="B109" s="12" t="s">
        <v>19</v>
      </c>
      <c r="C109" s="48">
        <v>0</v>
      </c>
      <c r="D109" s="48">
        <v>0</v>
      </c>
      <c r="E109" s="48">
        <v>0</v>
      </c>
      <c r="F109" s="48">
        <v>0</v>
      </c>
      <c r="G109" s="48">
        <v>0</v>
      </c>
      <c r="H109" s="48">
        <v>0</v>
      </c>
      <c r="I109" s="16">
        <v>0</v>
      </c>
      <c r="J109" s="34">
        <v>10</v>
      </c>
      <c r="K109" s="16">
        <v>0</v>
      </c>
      <c r="L109" s="34">
        <v>0</v>
      </c>
      <c r="M109" s="16">
        <v>0</v>
      </c>
      <c r="N109" s="16">
        <v>0</v>
      </c>
      <c r="O109" s="35">
        <f>O76/O43*10</f>
        <v>10</v>
      </c>
    </row>
    <row r="110" spans="1:15" ht="18.75" customHeight="1" x14ac:dyDescent="0.25">
      <c r="A110" s="14">
        <v>3</v>
      </c>
      <c r="B110" s="7" t="s">
        <v>20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34">
        <v>12</v>
      </c>
      <c r="K110" s="16">
        <v>0</v>
      </c>
      <c r="L110" s="34">
        <v>10.11</v>
      </c>
      <c r="M110" s="16">
        <v>0</v>
      </c>
      <c r="N110" s="16">
        <v>0</v>
      </c>
      <c r="O110" s="35">
        <f>O77/O44*10</f>
        <v>11.666666666666668</v>
      </c>
    </row>
    <row r="111" spans="1:15" ht="18.75" customHeight="1" x14ac:dyDescent="0.25">
      <c r="A111" s="14">
        <v>4</v>
      </c>
      <c r="B111" s="15" t="s">
        <v>21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34">
        <v>10.33</v>
      </c>
      <c r="J111" s="34">
        <v>10.15</v>
      </c>
      <c r="K111" s="16">
        <v>0</v>
      </c>
      <c r="L111" s="34">
        <v>0</v>
      </c>
      <c r="M111" s="16">
        <v>0</v>
      </c>
      <c r="N111" s="16">
        <v>0</v>
      </c>
      <c r="O111" s="35">
        <f>O78/O45*10</f>
        <v>10</v>
      </c>
    </row>
    <row r="112" spans="1:15" ht="18.75" customHeight="1" x14ac:dyDescent="0.25">
      <c r="A112" s="14">
        <v>5</v>
      </c>
      <c r="B112" s="19" t="s">
        <v>22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34">
        <v>10.85</v>
      </c>
      <c r="K112" s="16">
        <v>0</v>
      </c>
      <c r="L112" s="34">
        <v>0</v>
      </c>
      <c r="M112" s="16">
        <v>0</v>
      </c>
      <c r="N112" s="16">
        <v>0</v>
      </c>
      <c r="O112" s="35">
        <f>O79/O46*10</f>
        <v>11</v>
      </c>
    </row>
    <row r="113" spans="1:15" ht="18.75" customHeight="1" x14ac:dyDescent="0.25">
      <c r="A113" s="14">
        <v>6</v>
      </c>
      <c r="B113" s="19" t="s">
        <v>23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34">
        <v>0</v>
      </c>
      <c r="M113" s="16">
        <v>0</v>
      </c>
      <c r="N113" s="16">
        <v>0</v>
      </c>
      <c r="O113" s="35">
        <v>0</v>
      </c>
    </row>
    <row r="114" spans="1:15" ht="18.75" customHeight="1" x14ac:dyDescent="0.25">
      <c r="A114" s="14">
        <v>7</v>
      </c>
      <c r="B114" s="19" t="s">
        <v>24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34">
        <v>0</v>
      </c>
      <c r="M114" s="16">
        <v>0</v>
      </c>
      <c r="N114" s="16">
        <v>0</v>
      </c>
      <c r="O114" s="35">
        <v>0</v>
      </c>
    </row>
    <row r="115" spans="1:15" ht="18.75" customHeight="1" thickBot="1" x14ac:dyDescent="0.3">
      <c r="A115" s="20">
        <v>8</v>
      </c>
      <c r="B115" s="15" t="s">
        <v>25</v>
      </c>
      <c r="C115" s="17">
        <v>0</v>
      </c>
      <c r="D115" s="17">
        <v>0</v>
      </c>
      <c r="E115" s="36">
        <v>10</v>
      </c>
      <c r="F115" s="17">
        <v>0</v>
      </c>
      <c r="G115" s="17">
        <v>0</v>
      </c>
      <c r="H115" s="36">
        <v>6</v>
      </c>
      <c r="I115" s="17">
        <v>0</v>
      </c>
      <c r="J115" s="36">
        <v>0</v>
      </c>
      <c r="K115" s="17">
        <v>0</v>
      </c>
      <c r="L115" s="36">
        <v>10.09</v>
      </c>
      <c r="M115" s="17">
        <v>0</v>
      </c>
      <c r="N115" s="17">
        <v>0</v>
      </c>
      <c r="O115" s="35">
        <f>O82/O49*10</f>
        <v>10</v>
      </c>
    </row>
    <row r="116" spans="1:15" ht="18.75" customHeight="1" thickTop="1" x14ac:dyDescent="0.25">
      <c r="A116" s="176" t="s">
        <v>26</v>
      </c>
      <c r="B116" s="177"/>
      <c r="C116" s="38">
        <v>0</v>
      </c>
      <c r="D116" s="38">
        <f>D83/D50*10</f>
        <v>15.714285714285714</v>
      </c>
      <c r="E116" s="38">
        <f t="shared" ref="E116:L116" si="9">E83/E50*10</f>
        <v>11.25</v>
      </c>
      <c r="F116" s="38">
        <v>0</v>
      </c>
      <c r="G116" s="38">
        <v>0</v>
      </c>
      <c r="H116" s="38">
        <v>6</v>
      </c>
      <c r="I116" s="38">
        <f t="shared" si="9"/>
        <v>10</v>
      </c>
      <c r="J116" s="38">
        <f t="shared" si="9"/>
        <v>11.176470588235293</v>
      </c>
      <c r="K116" s="38">
        <v>0</v>
      </c>
      <c r="L116" s="38">
        <f t="shared" si="9"/>
        <v>10</v>
      </c>
      <c r="M116" s="38">
        <v>0</v>
      </c>
      <c r="N116" s="38">
        <v>0</v>
      </c>
      <c r="O116" s="38">
        <f>O83/O50*10</f>
        <v>11.842105263157894</v>
      </c>
    </row>
    <row r="117" spans="1:1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x14ac:dyDescent="0.25">
      <c r="E118" s="75"/>
    </row>
    <row r="126" spans="1:15" ht="15.75" x14ac:dyDescent="0.3">
      <c r="L126" s="128" t="s">
        <v>93</v>
      </c>
    </row>
  </sheetData>
  <mergeCells count="28">
    <mergeCell ref="A2:O2"/>
    <mergeCell ref="A3:O3"/>
    <mergeCell ref="A6:A7"/>
    <mergeCell ref="B6:B7"/>
    <mergeCell ref="C6:N6"/>
    <mergeCell ref="O6:O7"/>
    <mergeCell ref="A17:B17"/>
    <mergeCell ref="A35:O35"/>
    <mergeCell ref="A36:O36"/>
    <mergeCell ref="A39:A40"/>
    <mergeCell ref="B39:B40"/>
    <mergeCell ref="C39:N39"/>
    <mergeCell ref="O39:O40"/>
    <mergeCell ref="A50:B50"/>
    <mergeCell ref="A68:O68"/>
    <mergeCell ref="A69:O69"/>
    <mergeCell ref="A72:A73"/>
    <mergeCell ref="B72:B73"/>
    <mergeCell ref="C72:N72"/>
    <mergeCell ref="O72:O73"/>
    <mergeCell ref="A116:B116"/>
    <mergeCell ref="A83:B83"/>
    <mergeCell ref="A101:O101"/>
    <mergeCell ref="A102:O102"/>
    <mergeCell ref="A105:A106"/>
    <mergeCell ref="B105:B106"/>
    <mergeCell ref="C105:N105"/>
    <mergeCell ref="O105:O106"/>
  </mergeCells>
  <pageMargins left="1.5748031496062993" right="0.39370078740157483" top="0.94488188976377963" bottom="0.74803149606299213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"/>
  <sheetViews>
    <sheetView topLeftCell="H18" zoomScale="90" zoomScaleNormal="90" workbookViewId="0">
      <selection activeCell="L18" sqref="L18"/>
    </sheetView>
  </sheetViews>
  <sheetFormatPr defaultRowHeight="15" x14ac:dyDescent="0.25"/>
  <cols>
    <col min="1" max="1" width="3.7109375" customWidth="1"/>
    <col min="2" max="2" width="17" customWidth="1"/>
    <col min="3" max="6" width="15.140625" customWidth="1"/>
    <col min="7" max="7" width="9.7109375" customWidth="1"/>
    <col min="8" max="8" width="4.42578125" customWidth="1"/>
    <col min="9" max="9" width="17.28515625" customWidth="1"/>
    <col min="10" max="13" width="15.5703125" customWidth="1"/>
    <col min="14" max="14" width="9.5703125" bestFit="1" customWidth="1"/>
    <col min="16" max="20" width="9.140625" customWidth="1"/>
  </cols>
  <sheetData>
    <row r="1" spans="1:20" x14ac:dyDescent="0.25">
      <c r="A1" s="82" t="s">
        <v>79</v>
      </c>
      <c r="H1" s="82" t="s">
        <v>79</v>
      </c>
    </row>
    <row r="2" spans="1:20" x14ac:dyDescent="0.25">
      <c r="A2" s="82" t="s">
        <v>80</v>
      </c>
      <c r="H2" s="82" t="s">
        <v>83</v>
      </c>
    </row>
    <row r="3" spans="1:20" ht="12" customHeight="1" x14ac:dyDescent="0.25">
      <c r="A3" s="82"/>
      <c r="H3" s="82"/>
    </row>
    <row r="4" spans="1:20" ht="15.75" thickBot="1" x14ac:dyDescent="0.3">
      <c r="A4" s="82" t="s">
        <v>71</v>
      </c>
      <c r="H4" s="82" t="s">
        <v>71</v>
      </c>
    </row>
    <row r="5" spans="1:20" x14ac:dyDescent="0.25">
      <c r="A5" s="192" t="s">
        <v>2</v>
      </c>
      <c r="B5" s="194" t="s">
        <v>3</v>
      </c>
      <c r="C5" s="84" t="s">
        <v>68</v>
      </c>
      <c r="D5" s="84" t="s">
        <v>69</v>
      </c>
      <c r="E5" s="84" t="s">
        <v>70</v>
      </c>
      <c r="F5" s="85" t="s">
        <v>67</v>
      </c>
      <c r="H5" s="192" t="s">
        <v>2</v>
      </c>
      <c r="I5" s="194" t="s">
        <v>3</v>
      </c>
      <c r="J5" s="84" t="s">
        <v>68</v>
      </c>
      <c r="K5" s="84" t="s">
        <v>69</v>
      </c>
      <c r="L5" s="84" t="s">
        <v>70</v>
      </c>
      <c r="M5" s="85" t="s">
        <v>67</v>
      </c>
    </row>
    <row r="6" spans="1:20" x14ac:dyDescent="0.25">
      <c r="A6" s="193"/>
      <c r="B6" s="180"/>
      <c r="C6" s="86" t="s">
        <v>1</v>
      </c>
      <c r="D6" s="86" t="s">
        <v>1</v>
      </c>
      <c r="E6" s="86" t="s">
        <v>29</v>
      </c>
      <c r="F6" s="87" t="s">
        <v>31</v>
      </c>
      <c r="H6" s="193"/>
      <c r="I6" s="180"/>
      <c r="J6" s="86" t="s">
        <v>1</v>
      </c>
      <c r="K6" s="86" t="s">
        <v>1</v>
      </c>
      <c r="L6" s="86" t="s">
        <v>29</v>
      </c>
      <c r="M6" s="87" t="s">
        <v>31</v>
      </c>
    </row>
    <row r="7" spans="1:20" ht="15.75" thickBot="1" x14ac:dyDescent="0.3">
      <c r="A7" s="88">
        <v>1</v>
      </c>
      <c r="B7" s="83">
        <v>2</v>
      </c>
      <c r="C7" s="83">
        <v>3</v>
      </c>
      <c r="D7" s="83">
        <v>4</v>
      </c>
      <c r="E7" s="83">
        <v>5</v>
      </c>
      <c r="F7" s="89">
        <v>6</v>
      </c>
      <c r="H7" s="88">
        <v>1</v>
      </c>
      <c r="I7" s="83">
        <v>2</v>
      </c>
      <c r="J7" s="83">
        <v>3</v>
      </c>
      <c r="K7" s="83">
        <v>4</v>
      </c>
      <c r="L7" s="83">
        <v>5</v>
      </c>
      <c r="M7" s="89">
        <v>6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</row>
    <row r="8" spans="1:20" ht="15.75" thickTop="1" x14ac:dyDescent="0.25">
      <c r="A8" s="90">
        <v>1</v>
      </c>
      <c r="B8" s="7" t="s">
        <v>18</v>
      </c>
      <c r="C8" s="94">
        <v>115</v>
      </c>
      <c r="D8" s="94">
        <v>117</v>
      </c>
      <c r="E8" s="94">
        <v>526</v>
      </c>
      <c r="F8" s="98">
        <v>44.957264957264954</v>
      </c>
      <c r="H8" s="90">
        <v>1</v>
      </c>
      <c r="I8" s="7" t="s">
        <v>18</v>
      </c>
      <c r="J8" s="94">
        <v>117</v>
      </c>
      <c r="K8" s="94">
        <v>124</v>
      </c>
      <c r="L8" s="94">
        <v>564</v>
      </c>
      <c r="M8" s="98">
        <v>45.483870967741936</v>
      </c>
      <c r="O8">
        <f>L8/K8*10</f>
        <v>45.483870967741936</v>
      </c>
    </row>
    <row r="9" spans="1:20" x14ac:dyDescent="0.25">
      <c r="A9" s="91">
        <v>2</v>
      </c>
      <c r="B9" s="12" t="s">
        <v>19</v>
      </c>
      <c r="C9" s="95">
        <v>246</v>
      </c>
      <c r="D9" s="95">
        <v>215</v>
      </c>
      <c r="E9" s="95">
        <v>2032</v>
      </c>
      <c r="F9" s="99">
        <v>94.511627906976742</v>
      </c>
      <c r="H9" s="91">
        <v>2</v>
      </c>
      <c r="I9" s="12" t="s">
        <v>19</v>
      </c>
      <c r="J9" s="95">
        <v>399</v>
      </c>
      <c r="K9" s="95">
        <v>266</v>
      </c>
      <c r="L9" s="95">
        <v>2437</v>
      </c>
      <c r="M9" s="99">
        <v>91.616541353383454</v>
      </c>
      <c r="O9">
        <f t="shared" ref="O9:O15" si="0">L9/K9*10</f>
        <v>91.616541353383454</v>
      </c>
    </row>
    <row r="10" spans="1:20" x14ac:dyDescent="0.25">
      <c r="A10" s="91">
        <v>3</v>
      </c>
      <c r="B10" s="7" t="s">
        <v>20</v>
      </c>
      <c r="C10" s="95">
        <v>73</v>
      </c>
      <c r="D10" s="95">
        <v>48</v>
      </c>
      <c r="E10" s="95">
        <v>304</v>
      </c>
      <c r="F10" s="99">
        <v>63.333333333333329</v>
      </c>
      <c r="H10" s="91">
        <v>3</v>
      </c>
      <c r="I10" s="7" t="s">
        <v>20</v>
      </c>
      <c r="J10" s="95">
        <v>83</v>
      </c>
      <c r="K10" s="95">
        <v>73</v>
      </c>
      <c r="L10" s="95">
        <v>446</v>
      </c>
      <c r="M10" s="99">
        <v>61.095890410958908</v>
      </c>
      <c r="O10">
        <f t="shared" si="0"/>
        <v>61.095890410958908</v>
      </c>
    </row>
    <row r="11" spans="1:20" x14ac:dyDescent="0.25">
      <c r="A11" s="92">
        <v>4</v>
      </c>
      <c r="B11" s="15" t="s">
        <v>21</v>
      </c>
      <c r="C11" s="95">
        <v>239</v>
      </c>
      <c r="D11" s="95">
        <v>268</v>
      </c>
      <c r="E11" s="95">
        <v>1668</v>
      </c>
      <c r="F11" s="99">
        <v>62.238805970149258</v>
      </c>
      <c r="H11" s="92">
        <v>4</v>
      </c>
      <c r="I11" s="15" t="s">
        <v>21</v>
      </c>
      <c r="J11" s="95">
        <v>409</v>
      </c>
      <c r="K11" s="95">
        <v>271</v>
      </c>
      <c r="L11" s="95">
        <v>1683</v>
      </c>
      <c r="M11" s="99">
        <v>62.103321033210328</v>
      </c>
      <c r="O11">
        <f t="shared" si="0"/>
        <v>62.103321033210328</v>
      </c>
    </row>
    <row r="12" spans="1:20" x14ac:dyDescent="0.25">
      <c r="A12" s="92">
        <v>5</v>
      </c>
      <c r="B12" s="19" t="s">
        <v>22</v>
      </c>
      <c r="C12" s="95">
        <v>230</v>
      </c>
      <c r="D12" s="95">
        <v>217</v>
      </c>
      <c r="E12" s="95">
        <v>1215</v>
      </c>
      <c r="F12" s="99">
        <v>55.990783410138249</v>
      </c>
      <c r="H12" s="92">
        <v>5</v>
      </c>
      <c r="I12" s="19" t="s">
        <v>22</v>
      </c>
      <c r="J12" s="95">
        <v>260</v>
      </c>
      <c r="K12" s="95">
        <v>247</v>
      </c>
      <c r="L12" s="95">
        <v>1378</v>
      </c>
      <c r="M12" s="99">
        <v>55.78947368421052</v>
      </c>
      <c r="O12">
        <f t="shared" si="0"/>
        <v>55.78947368421052</v>
      </c>
    </row>
    <row r="13" spans="1:20" x14ac:dyDescent="0.25">
      <c r="A13" s="92">
        <v>6</v>
      </c>
      <c r="B13" s="19" t="s">
        <v>23</v>
      </c>
      <c r="C13" s="95">
        <v>63</v>
      </c>
      <c r="D13" s="95">
        <v>74</v>
      </c>
      <c r="E13" s="95">
        <v>340</v>
      </c>
      <c r="F13" s="99">
        <v>45.945945945945951</v>
      </c>
      <c r="H13" s="92">
        <v>6</v>
      </c>
      <c r="I13" s="19" t="s">
        <v>23</v>
      </c>
      <c r="J13" s="95">
        <v>107</v>
      </c>
      <c r="K13" s="95">
        <v>97</v>
      </c>
      <c r="L13" s="95">
        <v>526</v>
      </c>
      <c r="M13" s="99">
        <v>54.226804123711347</v>
      </c>
      <c r="O13">
        <f t="shared" si="0"/>
        <v>54.226804123711347</v>
      </c>
    </row>
    <row r="14" spans="1:20" x14ac:dyDescent="0.25">
      <c r="A14" s="92">
        <v>7</v>
      </c>
      <c r="B14" s="19" t="s">
        <v>24</v>
      </c>
      <c r="C14" s="95">
        <v>362</v>
      </c>
      <c r="D14" s="95">
        <v>394</v>
      </c>
      <c r="E14" s="95">
        <v>2064</v>
      </c>
      <c r="F14" s="99">
        <v>52.385786802030452</v>
      </c>
      <c r="H14" s="92">
        <v>7</v>
      </c>
      <c r="I14" s="19" t="s">
        <v>24</v>
      </c>
      <c r="J14" s="95">
        <v>514</v>
      </c>
      <c r="K14" s="95">
        <v>649</v>
      </c>
      <c r="L14" s="95">
        <v>3454</v>
      </c>
      <c r="M14" s="99">
        <v>53.220338983050851</v>
      </c>
      <c r="O14">
        <f t="shared" si="0"/>
        <v>53.220338983050851</v>
      </c>
    </row>
    <row r="15" spans="1:20" ht="15.75" thickBot="1" x14ac:dyDescent="0.3">
      <c r="A15" s="93">
        <v>8</v>
      </c>
      <c r="B15" s="15" t="s">
        <v>25</v>
      </c>
      <c r="C15" s="96">
        <v>432</v>
      </c>
      <c r="D15" s="96">
        <v>348</v>
      </c>
      <c r="E15" s="96">
        <v>2176</v>
      </c>
      <c r="F15" s="100">
        <v>62.52873563218391</v>
      </c>
      <c r="H15" s="93">
        <v>8</v>
      </c>
      <c r="I15" s="15" t="s">
        <v>25</v>
      </c>
      <c r="J15" s="96">
        <v>593</v>
      </c>
      <c r="K15" s="96">
        <v>537</v>
      </c>
      <c r="L15" s="96">
        <v>3374</v>
      </c>
      <c r="M15" s="100">
        <v>62.830540037243949</v>
      </c>
      <c r="O15">
        <f t="shared" si="0"/>
        <v>62.830540037243949</v>
      </c>
    </row>
    <row r="16" spans="1:20" ht="16.5" thickTop="1" thickBot="1" x14ac:dyDescent="0.3">
      <c r="A16" s="190" t="s">
        <v>26</v>
      </c>
      <c r="B16" s="191"/>
      <c r="C16" s="97">
        <f>SUM(C8:C15)</f>
        <v>1760</v>
      </c>
      <c r="D16" s="97">
        <f t="shared" ref="D16:E16" si="1">SUM(D8:D15)</f>
        <v>1681</v>
      </c>
      <c r="E16" s="97">
        <f t="shared" si="1"/>
        <v>10325</v>
      </c>
      <c r="F16" s="101">
        <f>E16/D16*10</f>
        <v>61.421772754312912</v>
      </c>
      <c r="H16" s="190" t="s">
        <v>26</v>
      </c>
      <c r="I16" s="191"/>
      <c r="J16" s="97">
        <f>SUM(J8:J15)</f>
        <v>2482</v>
      </c>
      <c r="K16" s="97">
        <f t="shared" ref="K16:L16" si="2">SUM(K8:K15)</f>
        <v>2264</v>
      </c>
      <c r="L16" s="97">
        <f t="shared" si="2"/>
        <v>13862</v>
      </c>
      <c r="M16" s="101">
        <v>60.795847574188912</v>
      </c>
      <c r="P16" s="124">
        <f>J16*200/1000</f>
        <v>496.4</v>
      </c>
      <c r="Q16" s="124">
        <f>J16*150/1000</f>
        <v>372.3</v>
      </c>
      <c r="R16" s="124">
        <f>J16*100/1000</f>
        <v>248.2</v>
      </c>
      <c r="S16" s="124">
        <f>J16*150/1000</f>
        <v>372.3</v>
      </c>
      <c r="T16" s="124">
        <f>J16*2000/1000</f>
        <v>4964</v>
      </c>
    </row>
    <row r="17" spans="1:20" ht="12" customHeight="1" x14ac:dyDescent="0.25"/>
    <row r="18" spans="1:20" ht="15.75" thickBot="1" x14ac:dyDescent="0.3">
      <c r="A18" s="82" t="s">
        <v>72</v>
      </c>
      <c r="H18" s="82" t="s">
        <v>72</v>
      </c>
    </row>
    <row r="19" spans="1:20" x14ac:dyDescent="0.25">
      <c r="A19" s="192" t="s">
        <v>2</v>
      </c>
      <c r="B19" s="194" t="s">
        <v>3</v>
      </c>
      <c r="C19" s="84" t="s">
        <v>68</v>
      </c>
      <c r="D19" s="84" t="s">
        <v>69</v>
      </c>
      <c r="E19" s="84" t="s">
        <v>70</v>
      </c>
      <c r="F19" s="85" t="s">
        <v>67</v>
      </c>
      <c r="H19" s="192" t="s">
        <v>2</v>
      </c>
      <c r="I19" s="194" t="s">
        <v>3</v>
      </c>
      <c r="J19" s="84" t="s">
        <v>68</v>
      </c>
      <c r="K19" s="84" t="s">
        <v>69</v>
      </c>
      <c r="L19" s="84" t="s">
        <v>70</v>
      </c>
      <c r="M19" s="85" t="s">
        <v>67</v>
      </c>
    </row>
    <row r="20" spans="1:20" x14ac:dyDescent="0.25">
      <c r="A20" s="193"/>
      <c r="B20" s="180"/>
      <c r="C20" s="86" t="s">
        <v>1</v>
      </c>
      <c r="D20" s="86" t="s">
        <v>1</v>
      </c>
      <c r="E20" s="86" t="s">
        <v>29</v>
      </c>
      <c r="F20" s="87" t="s">
        <v>31</v>
      </c>
      <c r="H20" s="193"/>
      <c r="I20" s="180"/>
      <c r="J20" s="86" t="s">
        <v>1</v>
      </c>
      <c r="K20" s="86" t="s">
        <v>1</v>
      </c>
      <c r="L20" s="86" t="s">
        <v>29</v>
      </c>
      <c r="M20" s="87" t="s">
        <v>31</v>
      </c>
    </row>
    <row r="21" spans="1:20" ht="15.75" thickBot="1" x14ac:dyDescent="0.3">
      <c r="A21" s="88">
        <v>1</v>
      </c>
      <c r="B21" s="83">
        <v>2</v>
      </c>
      <c r="C21" s="83">
        <v>3</v>
      </c>
      <c r="D21" s="83">
        <v>4</v>
      </c>
      <c r="E21" s="83">
        <v>5</v>
      </c>
      <c r="F21" s="89">
        <v>6</v>
      </c>
      <c r="H21" s="88">
        <v>1</v>
      </c>
      <c r="I21" s="83">
        <v>2</v>
      </c>
      <c r="J21" s="83">
        <v>3</v>
      </c>
      <c r="K21" s="83">
        <v>4</v>
      </c>
      <c r="L21" s="83">
        <v>5</v>
      </c>
      <c r="M21" s="89">
        <v>6</v>
      </c>
      <c r="P21" t="s">
        <v>94</v>
      </c>
      <c r="Q21" t="s">
        <v>95</v>
      </c>
      <c r="R21" t="s">
        <v>96</v>
      </c>
      <c r="S21" t="s">
        <v>97</v>
      </c>
      <c r="T21" t="s">
        <v>98</v>
      </c>
    </row>
    <row r="22" spans="1:20" ht="15.75" thickTop="1" x14ac:dyDescent="0.25">
      <c r="A22" s="90">
        <v>1</v>
      </c>
      <c r="B22" s="7" t="s">
        <v>18</v>
      </c>
      <c r="C22" s="94">
        <v>0</v>
      </c>
      <c r="D22" s="94">
        <v>0</v>
      </c>
      <c r="E22" s="94">
        <v>0</v>
      </c>
      <c r="F22" s="103">
        <v>0</v>
      </c>
      <c r="H22" s="90">
        <v>1</v>
      </c>
      <c r="I22" s="7" t="s">
        <v>18</v>
      </c>
      <c r="J22" s="94">
        <v>0</v>
      </c>
      <c r="K22" s="94">
        <v>0</v>
      </c>
      <c r="L22" s="94">
        <v>0</v>
      </c>
      <c r="M22" s="114">
        <v>0</v>
      </c>
    </row>
    <row r="23" spans="1:20" x14ac:dyDescent="0.25">
      <c r="A23" s="91">
        <v>2</v>
      </c>
      <c r="B23" s="12" t="s">
        <v>19</v>
      </c>
      <c r="C23" s="95">
        <v>0</v>
      </c>
      <c r="D23" s="95">
        <v>0</v>
      </c>
      <c r="E23" s="95">
        <v>0</v>
      </c>
      <c r="F23" s="34">
        <v>0</v>
      </c>
      <c r="H23" s="91">
        <v>2</v>
      </c>
      <c r="I23" s="12" t="s">
        <v>19</v>
      </c>
      <c r="J23" s="95">
        <v>0</v>
      </c>
      <c r="K23" s="95">
        <v>0</v>
      </c>
      <c r="L23" s="95">
        <v>0</v>
      </c>
      <c r="M23" s="115">
        <v>0</v>
      </c>
    </row>
    <row r="24" spans="1:20" x14ac:dyDescent="0.25">
      <c r="A24" s="91">
        <v>3</v>
      </c>
      <c r="B24" s="7" t="s">
        <v>20</v>
      </c>
      <c r="C24" s="95">
        <v>25</v>
      </c>
      <c r="D24" s="95">
        <v>25</v>
      </c>
      <c r="E24" s="95">
        <v>93</v>
      </c>
      <c r="F24" s="34">
        <v>37.5</v>
      </c>
      <c r="H24" s="91">
        <v>3</v>
      </c>
      <c r="I24" s="7" t="s">
        <v>20</v>
      </c>
      <c r="J24" s="95">
        <v>40</v>
      </c>
      <c r="K24" s="95">
        <v>25</v>
      </c>
      <c r="L24" s="95">
        <v>93</v>
      </c>
      <c r="M24" s="115">
        <v>37.5</v>
      </c>
    </row>
    <row r="25" spans="1:20" x14ac:dyDescent="0.25">
      <c r="A25" s="92">
        <v>4</v>
      </c>
      <c r="B25" s="15" t="s">
        <v>21</v>
      </c>
      <c r="C25" s="95">
        <v>0</v>
      </c>
      <c r="D25" s="95">
        <v>0</v>
      </c>
      <c r="E25" s="95">
        <v>0</v>
      </c>
      <c r="F25" s="34">
        <v>0</v>
      </c>
      <c r="H25" s="92">
        <v>4</v>
      </c>
      <c r="I25" s="15" t="s">
        <v>21</v>
      </c>
      <c r="J25" s="95">
        <v>0</v>
      </c>
      <c r="K25" s="95">
        <v>0</v>
      </c>
      <c r="L25" s="95">
        <v>0</v>
      </c>
      <c r="M25" s="115">
        <v>0</v>
      </c>
    </row>
    <row r="26" spans="1:20" x14ac:dyDescent="0.25">
      <c r="A26" s="92">
        <v>5</v>
      </c>
      <c r="B26" s="19" t="s">
        <v>22</v>
      </c>
      <c r="C26" s="95">
        <v>0</v>
      </c>
      <c r="D26" s="95">
        <v>0</v>
      </c>
      <c r="E26" s="95">
        <v>0</v>
      </c>
      <c r="F26" s="34">
        <v>0</v>
      </c>
      <c r="H26" s="92">
        <v>5</v>
      </c>
      <c r="I26" s="19" t="s">
        <v>22</v>
      </c>
      <c r="J26" s="95">
        <v>0</v>
      </c>
      <c r="K26" s="95">
        <v>0</v>
      </c>
      <c r="L26" s="95">
        <v>0</v>
      </c>
      <c r="M26" s="115">
        <v>0</v>
      </c>
    </row>
    <row r="27" spans="1:20" x14ac:dyDescent="0.25">
      <c r="A27" s="92">
        <v>6</v>
      </c>
      <c r="B27" s="19" t="s">
        <v>23</v>
      </c>
      <c r="C27" s="95">
        <v>0</v>
      </c>
      <c r="D27" s="95">
        <v>0</v>
      </c>
      <c r="E27" s="95">
        <v>0</v>
      </c>
      <c r="F27" s="34">
        <v>0</v>
      </c>
      <c r="H27" s="92">
        <v>6</v>
      </c>
      <c r="I27" s="19" t="s">
        <v>23</v>
      </c>
      <c r="J27" s="95">
        <v>0</v>
      </c>
      <c r="K27" s="95">
        <v>0</v>
      </c>
      <c r="L27" s="95">
        <v>0</v>
      </c>
      <c r="M27" s="115">
        <v>0</v>
      </c>
    </row>
    <row r="28" spans="1:20" x14ac:dyDescent="0.25">
      <c r="A28" s="92">
        <v>7</v>
      </c>
      <c r="B28" s="19" t="s">
        <v>24</v>
      </c>
      <c r="C28" s="95">
        <v>0</v>
      </c>
      <c r="D28" s="95">
        <v>0</v>
      </c>
      <c r="E28" s="95">
        <v>0</v>
      </c>
      <c r="F28" s="34">
        <v>0</v>
      </c>
      <c r="H28" s="92">
        <v>7</v>
      </c>
      <c r="I28" s="19" t="s">
        <v>24</v>
      </c>
      <c r="J28" s="95">
        <v>0</v>
      </c>
      <c r="K28" s="95">
        <v>0</v>
      </c>
      <c r="L28" s="95">
        <v>0</v>
      </c>
      <c r="M28" s="115">
        <v>0</v>
      </c>
    </row>
    <row r="29" spans="1:20" ht="15.75" thickBot="1" x14ac:dyDescent="0.3">
      <c r="A29" s="93">
        <v>8</v>
      </c>
      <c r="B29" s="15" t="s">
        <v>25</v>
      </c>
      <c r="C29" s="96">
        <v>0</v>
      </c>
      <c r="D29" s="96">
        <v>0</v>
      </c>
      <c r="E29" s="96">
        <v>0</v>
      </c>
      <c r="F29" s="104">
        <v>0</v>
      </c>
      <c r="H29" s="93">
        <v>8</v>
      </c>
      <c r="I29" s="15" t="s">
        <v>25</v>
      </c>
      <c r="J29" s="96">
        <v>0</v>
      </c>
      <c r="K29" s="96">
        <v>0</v>
      </c>
      <c r="L29" s="96">
        <v>0</v>
      </c>
      <c r="M29" s="116">
        <v>0</v>
      </c>
    </row>
    <row r="30" spans="1:20" ht="16.5" thickTop="1" thickBot="1" x14ac:dyDescent="0.3">
      <c r="A30" s="190" t="s">
        <v>26</v>
      </c>
      <c r="B30" s="191"/>
      <c r="C30" s="97">
        <f>SUM(C22:C29)</f>
        <v>25</v>
      </c>
      <c r="D30" s="97">
        <f t="shared" ref="D30" si="3">SUM(D22:D29)</f>
        <v>25</v>
      </c>
      <c r="E30" s="97">
        <f t="shared" ref="E30" si="4">SUM(E22:E29)</f>
        <v>93</v>
      </c>
      <c r="F30" s="101">
        <f>E30/D30*10</f>
        <v>37.200000000000003</v>
      </c>
      <c r="H30" s="190" t="s">
        <v>26</v>
      </c>
      <c r="I30" s="191"/>
      <c r="J30" s="97">
        <f>SUM(J22:J29)</f>
        <v>40</v>
      </c>
      <c r="K30" s="97">
        <f t="shared" ref="K30:L30" si="5">SUM(K22:K29)</f>
        <v>25</v>
      </c>
      <c r="L30" s="97">
        <f t="shared" si="5"/>
        <v>93</v>
      </c>
      <c r="M30" s="101">
        <v>37.5</v>
      </c>
      <c r="P30" s="124">
        <f>J30*200/1000</f>
        <v>8</v>
      </c>
      <c r="Q30" s="124">
        <f>J30*150/1000</f>
        <v>6</v>
      </c>
      <c r="R30" s="124">
        <f>J30*100/1000</f>
        <v>4</v>
      </c>
      <c r="S30" s="124">
        <f>J30*150/1000</f>
        <v>6</v>
      </c>
      <c r="T30" s="124">
        <f>J30*2000/1000</f>
        <v>80</v>
      </c>
    </row>
    <row r="31" spans="1:20" ht="12" customHeight="1" x14ac:dyDescent="0.25">
      <c r="P31" s="124">
        <f>SUM(P16,P30)</f>
        <v>504.4</v>
      </c>
      <c r="Q31" s="124">
        <f t="shared" ref="Q31:T31" si="6">SUM(Q16,Q30)</f>
        <v>378.3</v>
      </c>
      <c r="R31" s="124">
        <f t="shared" si="6"/>
        <v>252.2</v>
      </c>
      <c r="S31" s="124">
        <f t="shared" si="6"/>
        <v>378.3</v>
      </c>
      <c r="T31" s="124">
        <f t="shared" si="6"/>
        <v>5044</v>
      </c>
    </row>
    <row r="32" spans="1:20" ht="15.75" thickBot="1" x14ac:dyDescent="0.3">
      <c r="A32" s="82" t="s">
        <v>73</v>
      </c>
      <c r="H32" s="82" t="s">
        <v>73</v>
      </c>
    </row>
    <row r="33" spans="1:20" x14ac:dyDescent="0.25">
      <c r="A33" s="192" t="s">
        <v>2</v>
      </c>
      <c r="B33" s="194" t="s">
        <v>3</v>
      </c>
      <c r="C33" s="84" t="s">
        <v>68</v>
      </c>
      <c r="D33" s="84" t="s">
        <v>69</v>
      </c>
      <c r="E33" s="84" t="s">
        <v>70</v>
      </c>
      <c r="F33" s="85" t="s">
        <v>67</v>
      </c>
      <c r="H33" s="192" t="s">
        <v>2</v>
      </c>
      <c r="I33" s="194" t="s">
        <v>3</v>
      </c>
      <c r="J33" s="84" t="s">
        <v>68</v>
      </c>
      <c r="K33" s="84" t="s">
        <v>69</v>
      </c>
      <c r="L33" s="84" t="s">
        <v>70</v>
      </c>
      <c r="M33" s="85" t="s">
        <v>67</v>
      </c>
    </row>
    <row r="34" spans="1:20" x14ac:dyDescent="0.25">
      <c r="A34" s="193"/>
      <c r="B34" s="180"/>
      <c r="C34" s="86" t="s">
        <v>1</v>
      </c>
      <c r="D34" s="86" t="s">
        <v>1</v>
      </c>
      <c r="E34" s="86" t="s">
        <v>29</v>
      </c>
      <c r="F34" s="87" t="s">
        <v>31</v>
      </c>
      <c r="H34" s="193"/>
      <c r="I34" s="180"/>
      <c r="J34" s="86" t="s">
        <v>1</v>
      </c>
      <c r="K34" s="86" t="s">
        <v>1</v>
      </c>
      <c r="L34" s="86" t="s">
        <v>29</v>
      </c>
      <c r="M34" s="87" t="s">
        <v>31</v>
      </c>
    </row>
    <row r="35" spans="1:20" ht="15.75" thickBot="1" x14ac:dyDescent="0.3">
      <c r="A35" s="88">
        <v>1</v>
      </c>
      <c r="B35" s="83">
        <v>2</v>
      </c>
      <c r="C35" s="83">
        <v>3</v>
      </c>
      <c r="D35" s="83">
        <v>4</v>
      </c>
      <c r="E35" s="83">
        <v>5</v>
      </c>
      <c r="F35" s="89">
        <v>6</v>
      </c>
      <c r="H35" s="88">
        <v>1</v>
      </c>
      <c r="I35" s="83">
        <v>2</v>
      </c>
      <c r="J35" s="83">
        <v>3</v>
      </c>
      <c r="K35" s="83">
        <v>4</v>
      </c>
      <c r="L35" s="83">
        <v>5</v>
      </c>
      <c r="M35" s="89">
        <v>6</v>
      </c>
      <c r="P35" t="s">
        <v>94</v>
      </c>
      <c r="Q35" t="s">
        <v>95</v>
      </c>
      <c r="R35" t="s">
        <v>96</v>
      </c>
      <c r="S35" t="s">
        <v>97</v>
      </c>
      <c r="T35" t="s">
        <v>98</v>
      </c>
    </row>
    <row r="36" spans="1:20" ht="15.75" thickTop="1" x14ac:dyDescent="0.25">
      <c r="A36" s="90">
        <v>1</v>
      </c>
      <c r="B36" s="7" t="s">
        <v>18</v>
      </c>
      <c r="C36" s="94">
        <v>13</v>
      </c>
      <c r="D36" s="102" t="s">
        <v>66</v>
      </c>
      <c r="E36" s="94">
        <v>0</v>
      </c>
      <c r="F36" s="103">
        <v>0</v>
      </c>
      <c r="H36" s="90">
        <v>1</v>
      </c>
      <c r="I36" s="7" t="s">
        <v>18</v>
      </c>
      <c r="J36" s="94">
        <v>18</v>
      </c>
      <c r="K36" s="102" t="s">
        <v>66</v>
      </c>
      <c r="L36" s="94">
        <v>0</v>
      </c>
      <c r="M36" s="114">
        <v>0</v>
      </c>
    </row>
    <row r="37" spans="1:20" x14ac:dyDescent="0.25">
      <c r="A37" s="91">
        <v>2</v>
      </c>
      <c r="B37" s="12" t="s">
        <v>19</v>
      </c>
      <c r="C37" s="95">
        <v>0</v>
      </c>
      <c r="D37" s="95">
        <v>0</v>
      </c>
      <c r="E37" s="95">
        <v>0</v>
      </c>
      <c r="F37" s="34">
        <v>0</v>
      </c>
      <c r="H37" s="91">
        <v>2</v>
      </c>
      <c r="I37" s="12" t="s">
        <v>19</v>
      </c>
      <c r="J37" s="95">
        <v>1</v>
      </c>
      <c r="K37" s="131" t="s">
        <v>65</v>
      </c>
      <c r="L37" s="95">
        <v>0</v>
      </c>
      <c r="M37" s="115">
        <v>0</v>
      </c>
    </row>
    <row r="38" spans="1:20" x14ac:dyDescent="0.25">
      <c r="A38" s="91">
        <v>3</v>
      </c>
      <c r="B38" s="7" t="s">
        <v>20</v>
      </c>
      <c r="C38" s="95">
        <v>4</v>
      </c>
      <c r="D38" s="95">
        <v>2</v>
      </c>
      <c r="E38" s="95">
        <v>3</v>
      </c>
      <c r="F38" s="34">
        <v>15</v>
      </c>
      <c r="H38" s="91">
        <v>3</v>
      </c>
      <c r="I38" s="7" t="s">
        <v>20</v>
      </c>
      <c r="J38" s="95">
        <v>6</v>
      </c>
      <c r="K38" s="95">
        <v>4</v>
      </c>
      <c r="L38" s="95">
        <v>6</v>
      </c>
      <c r="M38" s="115">
        <v>17</v>
      </c>
    </row>
    <row r="39" spans="1:20" x14ac:dyDescent="0.25">
      <c r="A39" s="92">
        <v>4</v>
      </c>
      <c r="B39" s="15" t="s">
        <v>21</v>
      </c>
      <c r="C39" s="95">
        <v>1</v>
      </c>
      <c r="D39" s="95">
        <v>1</v>
      </c>
      <c r="E39" s="95">
        <v>2</v>
      </c>
      <c r="F39" s="34">
        <v>20</v>
      </c>
      <c r="H39" s="92">
        <v>4</v>
      </c>
      <c r="I39" s="15" t="s">
        <v>21</v>
      </c>
      <c r="J39" s="95">
        <v>1</v>
      </c>
      <c r="K39" s="95">
        <v>1</v>
      </c>
      <c r="L39" s="95">
        <v>2</v>
      </c>
      <c r="M39" s="115">
        <v>24.55</v>
      </c>
    </row>
    <row r="40" spans="1:20" x14ac:dyDescent="0.25">
      <c r="A40" s="92">
        <v>5</v>
      </c>
      <c r="B40" s="19" t="s">
        <v>22</v>
      </c>
      <c r="C40" s="95">
        <v>2</v>
      </c>
      <c r="D40" s="95">
        <v>2</v>
      </c>
      <c r="E40" s="95">
        <v>4</v>
      </c>
      <c r="F40" s="34">
        <v>20</v>
      </c>
      <c r="H40" s="92">
        <v>5</v>
      </c>
      <c r="I40" s="19" t="s">
        <v>22</v>
      </c>
      <c r="J40" s="95">
        <v>2</v>
      </c>
      <c r="K40" s="95">
        <v>2</v>
      </c>
      <c r="L40" s="95">
        <v>4</v>
      </c>
      <c r="M40" s="115">
        <v>19</v>
      </c>
    </row>
    <row r="41" spans="1:20" x14ac:dyDescent="0.25">
      <c r="A41" s="92">
        <v>6</v>
      </c>
      <c r="B41" s="19" t="s">
        <v>23</v>
      </c>
      <c r="C41" s="95">
        <v>0</v>
      </c>
      <c r="D41" s="95">
        <v>0</v>
      </c>
      <c r="E41" s="95">
        <v>0</v>
      </c>
      <c r="F41" s="34">
        <v>0</v>
      </c>
      <c r="H41" s="92">
        <v>6</v>
      </c>
      <c r="I41" s="19" t="s">
        <v>23</v>
      </c>
      <c r="J41" s="95">
        <v>0</v>
      </c>
      <c r="K41" s="95">
        <v>0</v>
      </c>
      <c r="L41" s="95">
        <v>0</v>
      </c>
      <c r="M41" s="115">
        <v>0</v>
      </c>
    </row>
    <row r="42" spans="1:20" x14ac:dyDescent="0.25">
      <c r="A42" s="92">
        <v>7</v>
      </c>
      <c r="B42" s="19" t="s">
        <v>24</v>
      </c>
      <c r="C42" s="95">
        <v>0</v>
      </c>
      <c r="D42" s="95">
        <v>0</v>
      </c>
      <c r="E42" s="95">
        <v>0</v>
      </c>
      <c r="F42" s="34">
        <v>0</v>
      </c>
      <c r="H42" s="92">
        <v>7</v>
      </c>
      <c r="I42" s="19" t="s">
        <v>24</v>
      </c>
      <c r="J42" s="95">
        <v>0</v>
      </c>
      <c r="K42" s="95">
        <v>0</v>
      </c>
      <c r="L42" s="95">
        <v>0</v>
      </c>
      <c r="M42" s="115">
        <v>0</v>
      </c>
    </row>
    <row r="43" spans="1:20" ht="15.75" thickBot="1" x14ac:dyDescent="0.3">
      <c r="A43" s="93">
        <v>8</v>
      </c>
      <c r="B43" s="15" t="s">
        <v>25</v>
      </c>
      <c r="C43" s="96">
        <v>2</v>
      </c>
      <c r="D43" s="96">
        <v>1</v>
      </c>
      <c r="E43" s="96">
        <v>2</v>
      </c>
      <c r="F43" s="104">
        <v>20</v>
      </c>
      <c r="H43" s="93">
        <v>8</v>
      </c>
      <c r="I43" s="15" t="s">
        <v>25</v>
      </c>
      <c r="J43" s="96">
        <v>4</v>
      </c>
      <c r="K43" s="96">
        <v>3</v>
      </c>
      <c r="L43" s="96">
        <v>4</v>
      </c>
      <c r="M43" s="116">
        <v>20</v>
      </c>
    </row>
    <row r="44" spans="1:20" ht="16.5" thickTop="1" thickBot="1" x14ac:dyDescent="0.3">
      <c r="A44" s="190" t="s">
        <v>26</v>
      </c>
      <c r="B44" s="191"/>
      <c r="C44" s="97">
        <f>SUM(C36:C43)</f>
        <v>22</v>
      </c>
      <c r="D44" s="97">
        <v>21</v>
      </c>
      <c r="E44" s="97">
        <f t="shared" ref="E44" si="7">SUM(E36:E43)</f>
        <v>11</v>
      </c>
      <c r="F44" s="101">
        <f>E44/6*10</f>
        <v>18.333333333333332</v>
      </c>
      <c r="H44" s="190" t="s">
        <v>26</v>
      </c>
      <c r="I44" s="191"/>
      <c r="J44" s="97">
        <f>SUM(J36:J43)</f>
        <v>32</v>
      </c>
      <c r="K44" s="97">
        <v>26</v>
      </c>
      <c r="L44" s="97">
        <f t="shared" ref="L44" si="8">SUM(L36:L43)</f>
        <v>16</v>
      </c>
      <c r="M44" s="101">
        <f>SUM(M36:M43)/4</f>
        <v>20.137499999999999</v>
      </c>
      <c r="P44" s="124">
        <f>J44*100/1000</f>
        <v>3.2</v>
      </c>
      <c r="Q44" s="124">
        <f>J44*150/1000</f>
        <v>4.8</v>
      </c>
      <c r="R44" s="124">
        <f>J44*50/1000</f>
        <v>1.6</v>
      </c>
      <c r="S44" s="124">
        <f>J44*100/1000</f>
        <v>3.2</v>
      </c>
      <c r="T44" s="124">
        <f>J44*2000/1000</f>
        <v>64</v>
      </c>
    </row>
    <row r="45" spans="1:20" x14ac:dyDescent="0.25">
      <c r="A45" s="111" t="s">
        <v>81</v>
      </c>
      <c r="C45" s="109"/>
      <c r="D45" s="109"/>
      <c r="E45" s="109"/>
      <c r="F45" s="110"/>
      <c r="H45" s="111" t="s">
        <v>81</v>
      </c>
      <c r="J45" s="109"/>
      <c r="K45" s="109"/>
      <c r="L45" s="109"/>
      <c r="M45" s="110"/>
    </row>
    <row r="46" spans="1:20" ht="12" customHeight="1" x14ac:dyDescent="0.25"/>
    <row r="47" spans="1:20" ht="15.75" thickBot="1" x14ac:dyDescent="0.3">
      <c r="A47" s="82" t="s">
        <v>74</v>
      </c>
      <c r="H47" s="113" t="s">
        <v>74</v>
      </c>
    </row>
    <row r="48" spans="1:20" x14ac:dyDescent="0.25">
      <c r="A48" s="192" t="s">
        <v>2</v>
      </c>
      <c r="B48" s="194" t="s">
        <v>3</v>
      </c>
      <c r="C48" s="84" t="s">
        <v>68</v>
      </c>
      <c r="D48" s="84" t="s">
        <v>69</v>
      </c>
      <c r="E48" s="84" t="s">
        <v>70</v>
      </c>
      <c r="F48" s="85" t="s">
        <v>67</v>
      </c>
      <c r="H48" s="192" t="s">
        <v>2</v>
      </c>
      <c r="I48" s="194" t="s">
        <v>3</v>
      </c>
      <c r="J48" s="84" t="s">
        <v>68</v>
      </c>
      <c r="K48" s="84" t="s">
        <v>69</v>
      </c>
      <c r="L48" s="84" t="s">
        <v>70</v>
      </c>
      <c r="M48" s="85" t="s">
        <v>67</v>
      </c>
    </row>
    <row r="49" spans="1:20" x14ac:dyDescent="0.25">
      <c r="A49" s="193"/>
      <c r="B49" s="180"/>
      <c r="C49" s="86" t="s">
        <v>1</v>
      </c>
      <c r="D49" s="86" t="s">
        <v>1</v>
      </c>
      <c r="E49" s="86" t="s">
        <v>29</v>
      </c>
      <c r="F49" s="87" t="s">
        <v>31</v>
      </c>
      <c r="H49" s="193"/>
      <c r="I49" s="180"/>
      <c r="J49" s="86" t="s">
        <v>1</v>
      </c>
      <c r="K49" s="86" t="s">
        <v>1</v>
      </c>
      <c r="L49" s="86" t="s">
        <v>29</v>
      </c>
      <c r="M49" s="87" t="s">
        <v>31</v>
      </c>
    </row>
    <row r="50" spans="1:20" ht="15.75" thickBot="1" x14ac:dyDescent="0.3">
      <c r="A50" s="88">
        <v>1</v>
      </c>
      <c r="B50" s="83">
        <v>2</v>
      </c>
      <c r="C50" s="83">
        <v>3</v>
      </c>
      <c r="D50" s="83">
        <v>4</v>
      </c>
      <c r="E50" s="83">
        <v>5</v>
      </c>
      <c r="F50" s="89">
        <v>6</v>
      </c>
      <c r="H50" s="88">
        <v>1</v>
      </c>
      <c r="I50" s="83">
        <v>2</v>
      </c>
      <c r="J50" s="83">
        <v>3</v>
      </c>
      <c r="K50" s="83">
        <v>4</v>
      </c>
      <c r="L50" s="83">
        <v>5</v>
      </c>
      <c r="M50" s="89">
        <v>6</v>
      </c>
      <c r="P50" t="s">
        <v>94</v>
      </c>
      <c r="Q50" t="s">
        <v>95</v>
      </c>
      <c r="R50" t="s">
        <v>96</v>
      </c>
      <c r="S50" t="s">
        <v>97</v>
      </c>
      <c r="T50" t="s">
        <v>98</v>
      </c>
    </row>
    <row r="51" spans="1:20" ht="15.75" thickTop="1" x14ac:dyDescent="0.25">
      <c r="A51" s="90">
        <v>1</v>
      </c>
      <c r="B51" s="7" t="s">
        <v>18</v>
      </c>
      <c r="C51" s="94">
        <v>3</v>
      </c>
      <c r="D51" s="102">
        <v>0</v>
      </c>
      <c r="E51" s="102">
        <v>0</v>
      </c>
      <c r="F51" s="102">
        <v>0</v>
      </c>
      <c r="H51" s="90">
        <v>1</v>
      </c>
      <c r="I51" s="7" t="s">
        <v>84</v>
      </c>
      <c r="J51" s="94">
        <v>10</v>
      </c>
      <c r="K51" s="102">
        <v>0</v>
      </c>
      <c r="L51" s="102">
        <v>0</v>
      </c>
      <c r="M51" s="117">
        <v>0</v>
      </c>
    </row>
    <row r="52" spans="1:20" x14ac:dyDescent="0.25">
      <c r="A52" s="91">
        <v>2</v>
      </c>
      <c r="B52" s="12" t="s">
        <v>19</v>
      </c>
      <c r="C52" s="95">
        <v>1</v>
      </c>
      <c r="D52" s="95">
        <v>0</v>
      </c>
      <c r="E52" s="95">
        <v>0</v>
      </c>
      <c r="F52" s="95">
        <v>0</v>
      </c>
      <c r="H52" s="91">
        <v>2</v>
      </c>
      <c r="I52" s="12" t="s">
        <v>85</v>
      </c>
      <c r="J52" s="95">
        <v>30</v>
      </c>
      <c r="K52" s="95">
        <v>8</v>
      </c>
      <c r="L52" s="95">
        <v>9</v>
      </c>
      <c r="M52" s="125">
        <v>11.25</v>
      </c>
    </row>
    <row r="53" spans="1:20" x14ac:dyDescent="0.25">
      <c r="A53" s="91">
        <v>3</v>
      </c>
      <c r="B53" s="7" t="s">
        <v>20</v>
      </c>
      <c r="C53" s="95">
        <v>44</v>
      </c>
      <c r="D53" s="95">
        <v>0</v>
      </c>
      <c r="E53" s="95">
        <v>0</v>
      </c>
      <c r="F53" s="95">
        <v>0</v>
      </c>
      <c r="H53" s="91">
        <v>3</v>
      </c>
      <c r="I53" s="7" t="s">
        <v>20</v>
      </c>
      <c r="J53" s="95">
        <v>73</v>
      </c>
      <c r="K53" s="95">
        <v>63</v>
      </c>
      <c r="L53" s="95">
        <v>57</v>
      </c>
      <c r="M53" s="99">
        <v>9.0476190476190474</v>
      </c>
    </row>
    <row r="54" spans="1:20" x14ac:dyDescent="0.25">
      <c r="A54" s="92">
        <v>4</v>
      </c>
      <c r="B54" s="15" t="s">
        <v>21</v>
      </c>
      <c r="C54" s="95">
        <v>10</v>
      </c>
      <c r="D54" s="95">
        <v>0</v>
      </c>
      <c r="E54" s="95">
        <v>0</v>
      </c>
      <c r="F54" s="95">
        <v>0</v>
      </c>
      <c r="H54" s="92">
        <v>4</v>
      </c>
      <c r="I54" s="15" t="s">
        <v>21</v>
      </c>
      <c r="J54" s="95">
        <v>10</v>
      </c>
      <c r="K54" s="95">
        <v>10</v>
      </c>
      <c r="L54" s="95">
        <v>9</v>
      </c>
      <c r="M54" s="99">
        <v>9.4</v>
      </c>
    </row>
    <row r="55" spans="1:20" x14ac:dyDescent="0.25">
      <c r="A55" s="92">
        <v>5</v>
      </c>
      <c r="B55" s="19" t="s">
        <v>22</v>
      </c>
      <c r="C55" s="95">
        <v>77</v>
      </c>
      <c r="D55" s="95">
        <v>0</v>
      </c>
      <c r="E55" s="95">
        <v>0</v>
      </c>
      <c r="F55" s="95">
        <v>0</v>
      </c>
      <c r="H55" s="92">
        <v>5</v>
      </c>
      <c r="I55" s="19" t="s">
        <v>22</v>
      </c>
      <c r="J55" s="95">
        <v>77</v>
      </c>
      <c r="K55" s="95">
        <v>77</v>
      </c>
      <c r="L55" s="95">
        <v>77</v>
      </c>
      <c r="M55" s="99">
        <v>10</v>
      </c>
    </row>
    <row r="56" spans="1:20" x14ac:dyDescent="0.25">
      <c r="A56" s="92">
        <v>6</v>
      </c>
      <c r="B56" s="19" t="s">
        <v>23</v>
      </c>
      <c r="C56" s="95">
        <v>0</v>
      </c>
      <c r="D56" s="95">
        <v>0</v>
      </c>
      <c r="E56" s="95">
        <v>0</v>
      </c>
      <c r="F56" s="95">
        <v>0</v>
      </c>
      <c r="H56" s="92">
        <v>6</v>
      </c>
      <c r="I56" s="19" t="s">
        <v>23</v>
      </c>
      <c r="J56" s="95">
        <v>0</v>
      </c>
      <c r="K56" s="95">
        <v>0</v>
      </c>
      <c r="L56" s="95">
        <v>0</v>
      </c>
      <c r="M56" s="99">
        <v>0</v>
      </c>
    </row>
    <row r="57" spans="1:20" x14ac:dyDescent="0.25">
      <c r="A57" s="92">
        <v>7</v>
      </c>
      <c r="B57" s="19" t="s">
        <v>24</v>
      </c>
      <c r="C57" s="95">
        <v>0</v>
      </c>
      <c r="D57" s="95">
        <v>0</v>
      </c>
      <c r="E57" s="95">
        <v>0</v>
      </c>
      <c r="F57" s="95">
        <v>0</v>
      </c>
      <c r="H57" s="92">
        <v>7</v>
      </c>
      <c r="I57" s="19" t="s">
        <v>24</v>
      </c>
      <c r="J57" s="95">
        <v>0</v>
      </c>
      <c r="K57" s="95">
        <v>0</v>
      </c>
      <c r="L57" s="95">
        <v>0</v>
      </c>
      <c r="M57" s="99">
        <v>0</v>
      </c>
    </row>
    <row r="58" spans="1:20" ht="15.75" thickBot="1" x14ac:dyDescent="0.3">
      <c r="A58" s="93">
        <v>8</v>
      </c>
      <c r="B58" s="15" t="s">
        <v>25</v>
      </c>
      <c r="C58" s="96">
        <v>7</v>
      </c>
      <c r="D58" s="96">
        <v>0</v>
      </c>
      <c r="E58" s="96">
        <v>0</v>
      </c>
      <c r="F58" s="96">
        <v>0</v>
      </c>
      <c r="H58" s="93">
        <v>8</v>
      </c>
      <c r="I58" s="15" t="s">
        <v>25</v>
      </c>
      <c r="J58" s="96">
        <v>50</v>
      </c>
      <c r="K58" s="96">
        <v>35</v>
      </c>
      <c r="L58" s="96">
        <v>29</v>
      </c>
      <c r="M58" s="100">
        <v>8.2857142857142865</v>
      </c>
    </row>
    <row r="59" spans="1:20" ht="16.5" thickTop="1" thickBot="1" x14ac:dyDescent="0.3">
      <c r="A59" s="190" t="s">
        <v>26</v>
      </c>
      <c r="B59" s="191"/>
      <c r="C59" s="97">
        <f>SUM(C51:C58)</f>
        <v>142</v>
      </c>
      <c r="D59" s="97">
        <f>SUM(D51:D58)</f>
        <v>0</v>
      </c>
      <c r="E59" s="97">
        <f t="shared" ref="E59" si="9">SUM(E51:E58)</f>
        <v>0</v>
      </c>
      <c r="F59" s="101">
        <f>E59/6*10</f>
        <v>0</v>
      </c>
      <c r="H59" s="190" t="s">
        <v>26</v>
      </c>
      <c r="I59" s="191"/>
      <c r="J59" s="97">
        <f>SUM(J51:J58)</f>
        <v>250</v>
      </c>
      <c r="K59" s="97">
        <f>SUM(K51:K58)</f>
        <v>193</v>
      </c>
      <c r="L59" s="97">
        <f t="shared" ref="L59" si="10">SUM(L51:L58)</f>
        <v>181</v>
      </c>
      <c r="M59" s="101">
        <f>L59/K59*10</f>
        <v>9.3782383419689115</v>
      </c>
      <c r="N59" s="75"/>
      <c r="P59" s="124">
        <f>J59*50/1000</f>
        <v>12.5</v>
      </c>
      <c r="Q59" s="124">
        <f>J59*150/1000</f>
        <v>37.5</v>
      </c>
      <c r="R59" s="124">
        <f>J59*50/1000</f>
        <v>12.5</v>
      </c>
      <c r="S59" s="124">
        <f>J59*100/1000</f>
        <v>25</v>
      </c>
      <c r="T59" s="124">
        <f>J59*2000/1000</f>
        <v>500</v>
      </c>
    </row>
    <row r="60" spans="1:20" x14ac:dyDescent="0.25">
      <c r="H60" t="s">
        <v>86</v>
      </c>
    </row>
    <row r="66" spans="1:20" ht="15.75" thickBot="1" x14ac:dyDescent="0.3">
      <c r="A66" s="82" t="s">
        <v>75</v>
      </c>
      <c r="H66" s="113" t="s">
        <v>75</v>
      </c>
    </row>
    <row r="67" spans="1:20" x14ac:dyDescent="0.25">
      <c r="A67" s="192" t="s">
        <v>2</v>
      </c>
      <c r="B67" s="194" t="s">
        <v>3</v>
      </c>
      <c r="C67" s="84" t="s">
        <v>68</v>
      </c>
      <c r="D67" s="84" t="s">
        <v>69</v>
      </c>
      <c r="E67" s="84" t="s">
        <v>70</v>
      </c>
      <c r="F67" s="85" t="s">
        <v>67</v>
      </c>
      <c r="H67" s="192" t="s">
        <v>2</v>
      </c>
      <c r="I67" s="194" t="s">
        <v>3</v>
      </c>
      <c r="J67" s="84" t="s">
        <v>68</v>
      </c>
      <c r="K67" s="84" t="s">
        <v>69</v>
      </c>
      <c r="L67" s="84" t="s">
        <v>70</v>
      </c>
      <c r="M67" s="85" t="s">
        <v>67</v>
      </c>
    </row>
    <row r="68" spans="1:20" x14ac:dyDescent="0.25">
      <c r="A68" s="193"/>
      <c r="B68" s="180"/>
      <c r="C68" s="86" t="s">
        <v>1</v>
      </c>
      <c r="D68" s="86" t="s">
        <v>1</v>
      </c>
      <c r="E68" s="86" t="s">
        <v>29</v>
      </c>
      <c r="F68" s="87" t="s">
        <v>31</v>
      </c>
      <c r="H68" s="193"/>
      <c r="I68" s="180"/>
      <c r="J68" s="86" t="s">
        <v>1</v>
      </c>
      <c r="K68" s="86" t="s">
        <v>1</v>
      </c>
      <c r="L68" s="86" t="s">
        <v>29</v>
      </c>
      <c r="M68" s="87" t="s">
        <v>31</v>
      </c>
    </row>
    <row r="69" spans="1:20" ht="15.75" thickBot="1" x14ac:dyDescent="0.3">
      <c r="A69" s="88">
        <v>1</v>
      </c>
      <c r="B69" s="83">
        <v>2</v>
      </c>
      <c r="C69" s="83">
        <v>3</v>
      </c>
      <c r="D69" s="83">
        <v>4</v>
      </c>
      <c r="E69" s="83">
        <v>5</v>
      </c>
      <c r="F69" s="89">
        <v>6</v>
      </c>
      <c r="H69" s="88">
        <v>1</v>
      </c>
      <c r="I69" s="83">
        <v>2</v>
      </c>
      <c r="J69" s="83">
        <v>3</v>
      </c>
      <c r="K69" s="83">
        <v>4</v>
      </c>
      <c r="L69" s="83">
        <v>5</v>
      </c>
      <c r="M69" s="89">
        <v>6</v>
      </c>
      <c r="P69" t="s">
        <v>94</v>
      </c>
      <c r="Q69" t="s">
        <v>95</v>
      </c>
      <c r="R69" t="s">
        <v>96</v>
      </c>
      <c r="S69" t="s">
        <v>97</v>
      </c>
      <c r="T69" t="s">
        <v>98</v>
      </c>
    </row>
    <row r="70" spans="1:20" ht="15.75" thickTop="1" x14ac:dyDescent="0.25">
      <c r="A70" s="90">
        <v>1</v>
      </c>
      <c r="B70" s="7" t="s">
        <v>18</v>
      </c>
      <c r="C70" s="94">
        <v>87</v>
      </c>
      <c r="D70" s="102">
        <v>85</v>
      </c>
      <c r="E70" s="102">
        <v>194</v>
      </c>
      <c r="F70" s="105">
        <v>22.823529411764703</v>
      </c>
      <c r="H70" s="90">
        <v>1</v>
      </c>
      <c r="I70" s="7" t="s">
        <v>18</v>
      </c>
      <c r="J70" s="94">
        <v>226</v>
      </c>
      <c r="K70" s="102">
        <v>87</v>
      </c>
      <c r="L70" s="102">
        <v>197</v>
      </c>
      <c r="M70" s="117">
        <v>22.643678160919542</v>
      </c>
    </row>
    <row r="71" spans="1:20" x14ac:dyDescent="0.25">
      <c r="A71" s="91">
        <v>2</v>
      </c>
      <c r="B71" s="12" t="s">
        <v>19</v>
      </c>
      <c r="C71" s="95">
        <v>224</v>
      </c>
      <c r="D71" s="95">
        <v>259</v>
      </c>
      <c r="E71" s="95">
        <v>667</v>
      </c>
      <c r="F71" s="106">
        <v>25.752895752895753</v>
      </c>
      <c r="H71" s="91">
        <v>2</v>
      </c>
      <c r="I71" s="12" t="s">
        <v>19</v>
      </c>
      <c r="J71" s="95">
        <v>280</v>
      </c>
      <c r="K71" s="95">
        <v>260</v>
      </c>
      <c r="L71" s="95">
        <v>668</v>
      </c>
      <c r="M71" s="99">
        <v>25.692307692307693</v>
      </c>
    </row>
    <row r="72" spans="1:20" x14ac:dyDescent="0.25">
      <c r="A72" s="91">
        <v>3</v>
      </c>
      <c r="B72" s="7" t="s">
        <v>20</v>
      </c>
      <c r="C72" s="95">
        <v>275</v>
      </c>
      <c r="D72" s="95">
        <v>700</v>
      </c>
      <c r="E72" s="95">
        <v>2337</v>
      </c>
      <c r="F72" s="106">
        <v>33.385714285714286</v>
      </c>
      <c r="H72" s="91">
        <v>3</v>
      </c>
      <c r="I72" s="7" t="s">
        <v>20</v>
      </c>
      <c r="J72" s="95">
        <v>540</v>
      </c>
      <c r="K72" s="95">
        <v>700</v>
      </c>
      <c r="L72" s="95">
        <v>2337</v>
      </c>
      <c r="M72" s="99">
        <v>33.385714285714286</v>
      </c>
    </row>
    <row r="73" spans="1:20" x14ac:dyDescent="0.25">
      <c r="A73" s="92">
        <v>4</v>
      </c>
      <c r="B73" s="15" t="s">
        <v>21</v>
      </c>
      <c r="C73" s="95">
        <v>40</v>
      </c>
      <c r="D73" s="95">
        <v>109</v>
      </c>
      <c r="E73" s="95">
        <v>160</v>
      </c>
      <c r="F73" s="106">
        <v>14.678899082568808</v>
      </c>
      <c r="H73" s="92">
        <v>4</v>
      </c>
      <c r="I73" s="15" t="s">
        <v>21</v>
      </c>
      <c r="J73" s="95">
        <v>279</v>
      </c>
      <c r="K73" s="95">
        <v>109</v>
      </c>
      <c r="L73" s="95">
        <v>160</v>
      </c>
      <c r="M73" s="99">
        <v>14.678899082568808</v>
      </c>
    </row>
    <row r="74" spans="1:20" x14ac:dyDescent="0.25">
      <c r="A74" s="92">
        <v>5</v>
      </c>
      <c r="B74" s="19" t="s">
        <v>22</v>
      </c>
      <c r="C74" s="95">
        <v>111</v>
      </c>
      <c r="D74" s="95">
        <v>394</v>
      </c>
      <c r="E74" s="95">
        <v>1526</v>
      </c>
      <c r="F74" s="106">
        <v>38.730964467005073</v>
      </c>
      <c r="H74" s="92">
        <v>5</v>
      </c>
      <c r="I74" s="19" t="s">
        <v>22</v>
      </c>
      <c r="J74" s="95">
        <v>371</v>
      </c>
      <c r="K74" s="95">
        <v>394</v>
      </c>
      <c r="L74" s="95">
        <v>1526</v>
      </c>
      <c r="M74" s="99">
        <v>38.730964467005073</v>
      </c>
    </row>
    <row r="75" spans="1:20" x14ac:dyDescent="0.25">
      <c r="A75" s="92">
        <v>6</v>
      </c>
      <c r="B75" s="19" t="s">
        <v>23</v>
      </c>
      <c r="C75" s="95">
        <v>101</v>
      </c>
      <c r="D75" s="95">
        <v>172</v>
      </c>
      <c r="E75" s="95">
        <v>296</v>
      </c>
      <c r="F75" s="106">
        <v>17.209302325581394</v>
      </c>
      <c r="H75" s="92">
        <v>6</v>
      </c>
      <c r="I75" s="19" t="s">
        <v>23</v>
      </c>
      <c r="J75" s="95">
        <v>177</v>
      </c>
      <c r="K75" s="95">
        <v>188</v>
      </c>
      <c r="L75" s="95">
        <v>325</v>
      </c>
      <c r="M75" s="99">
        <v>17.287234042553191</v>
      </c>
    </row>
    <row r="76" spans="1:20" x14ac:dyDescent="0.25">
      <c r="A76" s="92">
        <v>7</v>
      </c>
      <c r="B76" s="19" t="s">
        <v>24</v>
      </c>
      <c r="C76" s="95">
        <v>4</v>
      </c>
      <c r="D76" s="95">
        <v>4</v>
      </c>
      <c r="E76" s="95">
        <v>7</v>
      </c>
      <c r="F76" s="106">
        <v>17.5</v>
      </c>
      <c r="H76" s="92">
        <v>7</v>
      </c>
      <c r="I76" s="19" t="s">
        <v>24</v>
      </c>
      <c r="J76" s="95">
        <v>5</v>
      </c>
      <c r="K76" s="95">
        <v>5</v>
      </c>
      <c r="L76" s="95">
        <v>8</v>
      </c>
      <c r="M76" s="99">
        <v>16</v>
      </c>
    </row>
    <row r="77" spans="1:20" ht="15.75" thickBot="1" x14ac:dyDescent="0.3">
      <c r="A77" s="93">
        <v>8</v>
      </c>
      <c r="B77" s="15" t="s">
        <v>25</v>
      </c>
      <c r="C77" s="96">
        <v>367</v>
      </c>
      <c r="D77" s="96">
        <v>475</v>
      </c>
      <c r="E77" s="96">
        <v>1072</v>
      </c>
      <c r="F77" s="107">
        <v>22.568421052631578</v>
      </c>
      <c r="H77" s="93">
        <v>8</v>
      </c>
      <c r="I77" s="15" t="s">
        <v>25</v>
      </c>
      <c r="J77" s="96">
        <v>604</v>
      </c>
      <c r="K77" s="96">
        <v>645</v>
      </c>
      <c r="L77" s="96">
        <v>1466</v>
      </c>
      <c r="M77" s="100">
        <v>22.728682170542637</v>
      </c>
    </row>
    <row r="78" spans="1:20" ht="16.5" thickTop="1" thickBot="1" x14ac:dyDescent="0.3">
      <c r="A78" s="190" t="s">
        <v>26</v>
      </c>
      <c r="B78" s="191"/>
      <c r="C78" s="97">
        <f>SUM(C70:C77)</f>
        <v>1209</v>
      </c>
      <c r="D78" s="97">
        <f>SUM(D70:D77)</f>
        <v>2198</v>
      </c>
      <c r="E78" s="97">
        <f t="shared" ref="E78" si="11">SUM(E70:E77)</f>
        <v>6259</v>
      </c>
      <c r="F78" s="101">
        <f>E78/D78*10</f>
        <v>28.475887170154689</v>
      </c>
      <c r="H78" s="190" t="s">
        <v>26</v>
      </c>
      <c r="I78" s="191"/>
      <c r="J78" s="97">
        <f>SUM(J70:J77)</f>
        <v>2482</v>
      </c>
      <c r="K78" s="97">
        <f>SUM(K70:K77)</f>
        <v>2388</v>
      </c>
      <c r="L78" s="97">
        <f t="shared" ref="L78" si="12">SUM(L70:L77)</f>
        <v>6687</v>
      </c>
      <c r="M78" s="101">
        <f>L78/K78*10</f>
        <v>28.002512562814069</v>
      </c>
      <c r="N78" s="75"/>
      <c r="P78" s="124">
        <f>J78*100/1000</f>
        <v>248.2</v>
      </c>
      <c r="Q78" s="124">
        <f>J78*150/1000</f>
        <v>372.3</v>
      </c>
      <c r="R78" s="124">
        <f>J78*50/1000</f>
        <v>124.1</v>
      </c>
      <c r="S78" s="124">
        <f>J78*100/1000</f>
        <v>248.2</v>
      </c>
      <c r="T78" s="124">
        <f>J78*2000/1000</f>
        <v>4964</v>
      </c>
    </row>
    <row r="80" spans="1:20" ht="15.75" thickBot="1" x14ac:dyDescent="0.3">
      <c r="A80" s="82" t="s">
        <v>76</v>
      </c>
      <c r="H80" s="82" t="s">
        <v>76</v>
      </c>
    </row>
    <row r="81" spans="1:20" x14ac:dyDescent="0.25">
      <c r="A81" s="192" t="s">
        <v>2</v>
      </c>
      <c r="B81" s="194" t="s">
        <v>3</v>
      </c>
      <c r="C81" s="84" t="s">
        <v>68</v>
      </c>
      <c r="D81" s="84" t="s">
        <v>69</v>
      </c>
      <c r="E81" s="84" t="s">
        <v>70</v>
      </c>
      <c r="F81" s="85" t="s">
        <v>67</v>
      </c>
      <c r="H81" s="192" t="s">
        <v>2</v>
      </c>
      <c r="I81" s="194" t="s">
        <v>3</v>
      </c>
      <c r="J81" s="84" t="s">
        <v>68</v>
      </c>
      <c r="K81" s="84" t="s">
        <v>69</v>
      </c>
      <c r="L81" s="84" t="s">
        <v>70</v>
      </c>
      <c r="M81" s="85" t="s">
        <v>67</v>
      </c>
    </row>
    <row r="82" spans="1:20" x14ac:dyDescent="0.25">
      <c r="A82" s="193"/>
      <c r="B82" s="180"/>
      <c r="C82" s="86" t="s">
        <v>1</v>
      </c>
      <c r="D82" s="86" t="s">
        <v>1</v>
      </c>
      <c r="E82" s="86" t="s">
        <v>29</v>
      </c>
      <c r="F82" s="87" t="s">
        <v>31</v>
      </c>
      <c r="H82" s="193"/>
      <c r="I82" s="180"/>
      <c r="J82" s="86" t="s">
        <v>1</v>
      </c>
      <c r="K82" s="86" t="s">
        <v>1</v>
      </c>
      <c r="L82" s="86" t="s">
        <v>29</v>
      </c>
      <c r="M82" s="87" t="s">
        <v>31</v>
      </c>
    </row>
    <row r="83" spans="1:20" ht="15.75" thickBot="1" x14ac:dyDescent="0.3">
      <c r="A83" s="88">
        <v>1</v>
      </c>
      <c r="B83" s="83">
        <v>2</v>
      </c>
      <c r="C83" s="83">
        <v>3</v>
      </c>
      <c r="D83" s="83">
        <v>4</v>
      </c>
      <c r="E83" s="83">
        <v>5</v>
      </c>
      <c r="F83" s="89">
        <v>6</v>
      </c>
      <c r="H83" s="88">
        <v>1</v>
      </c>
      <c r="I83" s="83">
        <v>2</v>
      </c>
      <c r="J83" s="83">
        <v>3</v>
      </c>
      <c r="K83" s="83">
        <v>4</v>
      </c>
      <c r="L83" s="83">
        <v>5</v>
      </c>
      <c r="M83" s="89">
        <v>6</v>
      </c>
      <c r="P83" t="s">
        <v>94</v>
      </c>
      <c r="Q83" t="s">
        <v>95</v>
      </c>
      <c r="R83" t="s">
        <v>96</v>
      </c>
      <c r="S83" t="s">
        <v>97</v>
      </c>
      <c r="T83" t="s">
        <v>98</v>
      </c>
    </row>
    <row r="84" spans="1:20" ht="15.75" thickTop="1" x14ac:dyDescent="0.25">
      <c r="A84" s="90">
        <v>1</v>
      </c>
      <c r="B84" s="7" t="s">
        <v>18</v>
      </c>
      <c r="C84" s="94">
        <v>16</v>
      </c>
      <c r="D84" s="102">
        <v>12</v>
      </c>
      <c r="E84" s="102">
        <v>126</v>
      </c>
      <c r="F84" s="105">
        <v>105</v>
      </c>
      <c r="H84" s="90">
        <v>1</v>
      </c>
      <c r="I84" s="7" t="s">
        <v>18</v>
      </c>
      <c r="J84" s="94">
        <v>19</v>
      </c>
      <c r="K84" s="102">
        <v>51</v>
      </c>
      <c r="L84" s="102">
        <v>457</v>
      </c>
      <c r="M84" s="117">
        <v>89.607843137254903</v>
      </c>
    </row>
    <row r="85" spans="1:20" x14ac:dyDescent="0.25">
      <c r="A85" s="91">
        <v>2</v>
      </c>
      <c r="B85" s="12" t="s">
        <v>19</v>
      </c>
      <c r="C85" s="95">
        <v>0</v>
      </c>
      <c r="D85" s="95">
        <v>0</v>
      </c>
      <c r="E85" s="95">
        <v>0</v>
      </c>
      <c r="F85" s="106">
        <v>0</v>
      </c>
      <c r="H85" s="91">
        <v>2</v>
      </c>
      <c r="I85" s="12" t="s">
        <v>19</v>
      </c>
      <c r="J85" s="95">
        <v>0</v>
      </c>
      <c r="K85" s="95">
        <v>0</v>
      </c>
      <c r="L85" s="95">
        <v>0</v>
      </c>
      <c r="M85" s="99">
        <v>0</v>
      </c>
    </row>
    <row r="86" spans="1:20" x14ac:dyDescent="0.25">
      <c r="A86" s="91">
        <v>3</v>
      </c>
      <c r="B86" s="7" t="s">
        <v>20</v>
      </c>
      <c r="C86" s="95">
        <v>5</v>
      </c>
      <c r="D86" s="95">
        <v>0</v>
      </c>
      <c r="E86" s="95">
        <v>0</v>
      </c>
      <c r="F86" s="106">
        <v>0</v>
      </c>
      <c r="H86" s="91">
        <v>3</v>
      </c>
      <c r="I86" s="7" t="s">
        <v>20</v>
      </c>
      <c r="J86" s="95">
        <v>8</v>
      </c>
      <c r="K86" s="95">
        <v>5</v>
      </c>
      <c r="L86" s="95">
        <v>123</v>
      </c>
      <c r="M86" s="99">
        <v>246</v>
      </c>
    </row>
    <row r="87" spans="1:20" x14ac:dyDescent="0.25">
      <c r="A87" s="92">
        <v>4</v>
      </c>
      <c r="B87" s="15" t="s">
        <v>21</v>
      </c>
      <c r="C87" s="95">
        <v>8</v>
      </c>
      <c r="D87" s="95">
        <v>5</v>
      </c>
      <c r="E87" s="95">
        <v>35</v>
      </c>
      <c r="F87" s="106">
        <v>70</v>
      </c>
      <c r="H87" s="92">
        <v>4</v>
      </c>
      <c r="I87" s="15" t="s">
        <v>21</v>
      </c>
      <c r="J87" s="95">
        <v>10</v>
      </c>
      <c r="K87" s="95">
        <v>9</v>
      </c>
      <c r="L87" s="95">
        <v>108</v>
      </c>
      <c r="M87" s="99">
        <v>120.33333333333333</v>
      </c>
    </row>
    <row r="88" spans="1:20" x14ac:dyDescent="0.25">
      <c r="A88" s="92">
        <v>5</v>
      </c>
      <c r="B88" s="19" t="s">
        <v>22</v>
      </c>
      <c r="C88" s="95">
        <v>2</v>
      </c>
      <c r="D88" s="95">
        <v>0</v>
      </c>
      <c r="E88" s="95">
        <v>0</v>
      </c>
      <c r="F88" s="106">
        <v>0</v>
      </c>
      <c r="H88" s="92">
        <v>5</v>
      </c>
      <c r="I88" s="19" t="s">
        <v>22</v>
      </c>
      <c r="J88" s="95">
        <v>2</v>
      </c>
      <c r="K88" s="95">
        <v>2</v>
      </c>
      <c r="L88" s="95">
        <v>24</v>
      </c>
      <c r="M88" s="99">
        <v>120</v>
      </c>
    </row>
    <row r="89" spans="1:20" x14ac:dyDescent="0.25">
      <c r="A89" s="92">
        <v>6</v>
      </c>
      <c r="B89" s="19" t="s">
        <v>23</v>
      </c>
      <c r="C89" s="95">
        <v>3</v>
      </c>
      <c r="D89" s="95">
        <v>0</v>
      </c>
      <c r="E89" s="95">
        <v>0</v>
      </c>
      <c r="F89" s="106">
        <v>0</v>
      </c>
      <c r="H89" s="92">
        <v>6</v>
      </c>
      <c r="I89" s="19" t="s">
        <v>23</v>
      </c>
      <c r="J89" s="95">
        <v>5</v>
      </c>
      <c r="K89" s="95">
        <v>6</v>
      </c>
      <c r="L89" s="95">
        <v>84</v>
      </c>
      <c r="M89" s="99">
        <v>140</v>
      </c>
    </row>
    <row r="90" spans="1:20" x14ac:dyDescent="0.25">
      <c r="A90" s="92">
        <v>7</v>
      </c>
      <c r="B90" s="19" t="s">
        <v>24</v>
      </c>
      <c r="C90" s="95">
        <v>1</v>
      </c>
      <c r="D90" s="95">
        <v>3</v>
      </c>
      <c r="E90" s="95">
        <v>22</v>
      </c>
      <c r="F90" s="106">
        <v>73.333333333333329</v>
      </c>
      <c r="H90" s="92">
        <v>7</v>
      </c>
      <c r="I90" s="19" t="s">
        <v>24</v>
      </c>
      <c r="J90" s="95">
        <v>1</v>
      </c>
      <c r="K90" s="95">
        <v>3</v>
      </c>
      <c r="L90" s="95">
        <v>22</v>
      </c>
      <c r="M90" s="99">
        <v>73.3333333333333</v>
      </c>
    </row>
    <row r="91" spans="1:20" ht="15.75" thickBot="1" x14ac:dyDescent="0.3">
      <c r="A91" s="93">
        <v>8</v>
      </c>
      <c r="B91" s="15" t="s">
        <v>25</v>
      </c>
      <c r="C91" s="96">
        <v>0</v>
      </c>
      <c r="D91" s="96">
        <v>0</v>
      </c>
      <c r="E91" s="96">
        <v>0</v>
      </c>
      <c r="F91" s="107">
        <v>0</v>
      </c>
      <c r="H91" s="93">
        <v>8</v>
      </c>
      <c r="I91" s="15" t="s">
        <v>25</v>
      </c>
      <c r="J91" s="96">
        <v>3</v>
      </c>
      <c r="K91" s="96">
        <v>12</v>
      </c>
      <c r="L91" s="96">
        <v>132</v>
      </c>
      <c r="M91" s="100">
        <v>110</v>
      </c>
    </row>
    <row r="92" spans="1:20" ht="16.5" thickTop="1" thickBot="1" x14ac:dyDescent="0.3">
      <c r="A92" s="190" t="s">
        <v>26</v>
      </c>
      <c r="B92" s="191"/>
      <c r="C92" s="97">
        <f>SUM(C84:C91)</f>
        <v>35</v>
      </c>
      <c r="D92" s="97">
        <f>SUM(D84:D91)</f>
        <v>20</v>
      </c>
      <c r="E92" s="97">
        <f t="shared" ref="E92" si="13">SUM(E84:E91)</f>
        <v>183</v>
      </c>
      <c r="F92" s="101">
        <f>E92/D92*10</f>
        <v>91.5</v>
      </c>
      <c r="H92" s="190" t="s">
        <v>26</v>
      </c>
      <c r="I92" s="191"/>
      <c r="J92" s="97">
        <f>SUM(J84:J91)</f>
        <v>48</v>
      </c>
      <c r="K92" s="97">
        <f>SUM(K84:K91)</f>
        <v>88</v>
      </c>
      <c r="L92" s="97">
        <f t="shared" ref="L92" si="14">SUM(L84:L91)</f>
        <v>950</v>
      </c>
      <c r="M92" s="101">
        <f>L92/K92*10</f>
        <v>107.95454545454545</v>
      </c>
      <c r="N92" s="75"/>
      <c r="O92" s="132">
        <f>SUM(M84:M91)/7</f>
        <v>128.46778711484595</v>
      </c>
      <c r="P92" s="124">
        <f>J92*100/1000</f>
        <v>4.8</v>
      </c>
      <c r="Q92" s="124">
        <f>J92*100/1000</f>
        <v>4.8</v>
      </c>
      <c r="R92" s="124">
        <f>J92*50/1000</f>
        <v>2.4</v>
      </c>
      <c r="S92" s="124">
        <f>J92*100/1000</f>
        <v>4.8</v>
      </c>
      <c r="T92" s="124">
        <f>J92*2000/1000</f>
        <v>96</v>
      </c>
    </row>
    <row r="94" spans="1:20" ht="15.75" thickBot="1" x14ac:dyDescent="0.3">
      <c r="A94" s="82" t="s">
        <v>77</v>
      </c>
      <c r="H94" s="82" t="s">
        <v>77</v>
      </c>
    </row>
    <row r="95" spans="1:20" x14ac:dyDescent="0.25">
      <c r="A95" s="192" t="s">
        <v>2</v>
      </c>
      <c r="B95" s="194" t="s">
        <v>3</v>
      </c>
      <c r="C95" s="84" t="s">
        <v>68</v>
      </c>
      <c r="D95" s="84" t="s">
        <v>69</v>
      </c>
      <c r="E95" s="84" t="s">
        <v>70</v>
      </c>
      <c r="F95" s="85" t="s">
        <v>67</v>
      </c>
      <c r="H95" s="192" t="s">
        <v>2</v>
      </c>
      <c r="I95" s="194" t="s">
        <v>3</v>
      </c>
      <c r="J95" s="84" t="s">
        <v>68</v>
      </c>
      <c r="K95" s="84" t="s">
        <v>69</v>
      </c>
      <c r="L95" s="84" t="s">
        <v>70</v>
      </c>
      <c r="M95" s="85" t="s">
        <v>67</v>
      </c>
    </row>
    <row r="96" spans="1:20" x14ac:dyDescent="0.25">
      <c r="A96" s="193"/>
      <c r="B96" s="180"/>
      <c r="C96" s="86" t="s">
        <v>1</v>
      </c>
      <c r="D96" s="86" t="s">
        <v>1</v>
      </c>
      <c r="E96" s="86" t="s">
        <v>29</v>
      </c>
      <c r="F96" s="87" t="s">
        <v>31</v>
      </c>
      <c r="H96" s="193"/>
      <c r="I96" s="180"/>
      <c r="J96" s="86" t="s">
        <v>1</v>
      </c>
      <c r="K96" s="86" t="s">
        <v>1</v>
      </c>
      <c r="L96" s="86" t="s">
        <v>29</v>
      </c>
      <c r="M96" s="87" t="s">
        <v>31</v>
      </c>
    </row>
    <row r="97" spans="1:20" ht="15.75" thickBot="1" x14ac:dyDescent="0.3">
      <c r="A97" s="88">
        <v>1</v>
      </c>
      <c r="B97" s="83">
        <v>2</v>
      </c>
      <c r="C97" s="83">
        <v>3</v>
      </c>
      <c r="D97" s="83">
        <v>4</v>
      </c>
      <c r="E97" s="83">
        <v>5</v>
      </c>
      <c r="F97" s="89">
        <v>6</v>
      </c>
      <c r="H97" s="88">
        <v>1</v>
      </c>
      <c r="I97" s="83">
        <v>2</v>
      </c>
      <c r="J97" s="83">
        <v>3</v>
      </c>
      <c r="K97" s="83">
        <v>4</v>
      </c>
      <c r="L97" s="83">
        <v>5</v>
      </c>
      <c r="M97" s="89">
        <v>6</v>
      </c>
      <c r="P97" t="s">
        <v>94</v>
      </c>
      <c r="Q97" t="s">
        <v>95</v>
      </c>
      <c r="R97" t="s">
        <v>96</v>
      </c>
      <c r="S97" t="s">
        <v>97</v>
      </c>
      <c r="T97" t="s">
        <v>98</v>
      </c>
    </row>
    <row r="98" spans="1:20" ht="15.75" thickTop="1" x14ac:dyDescent="0.25">
      <c r="A98" s="90">
        <v>1</v>
      </c>
      <c r="B98" s="7" t="s">
        <v>18</v>
      </c>
      <c r="C98" s="94">
        <v>0</v>
      </c>
      <c r="D98" s="102">
        <v>5</v>
      </c>
      <c r="E98" s="102">
        <v>27</v>
      </c>
      <c r="F98" s="105">
        <v>54</v>
      </c>
      <c r="H98" s="90">
        <v>1</v>
      </c>
      <c r="I98" s="7" t="s">
        <v>18</v>
      </c>
      <c r="J98" s="94">
        <v>5</v>
      </c>
      <c r="K98" s="102">
        <v>5</v>
      </c>
      <c r="L98" s="102">
        <v>27</v>
      </c>
      <c r="M98" s="117">
        <v>54</v>
      </c>
    </row>
    <row r="99" spans="1:20" x14ac:dyDescent="0.25">
      <c r="A99" s="91">
        <v>2</v>
      </c>
      <c r="B99" s="12" t="s">
        <v>19</v>
      </c>
      <c r="C99" s="95">
        <v>1</v>
      </c>
      <c r="D99" s="95">
        <v>0</v>
      </c>
      <c r="E99" s="95">
        <v>0</v>
      </c>
      <c r="F99" s="106">
        <v>0</v>
      </c>
      <c r="H99" s="91">
        <v>2</v>
      </c>
      <c r="I99" s="12" t="s">
        <v>19</v>
      </c>
      <c r="J99" s="95">
        <v>2</v>
      </c>
      <c r="K99" s="95">
        <v>1</v>
      </c>
      <c r="L99" s="95">
        <v>10</v>
      </c>
      <c r="M99" s="99">
        <v>100</v>
      </c>
    </row>
    <row r="100" spans="1:20" x14ac:dyDescent="0.25">
      <c r="A100" s="91">
        <v>3</v>
      </c>
      <c r="B100" s="7" t="s">
        <v>20</v>
      </c>
      <c r="C100" s="95">
        <v>0</v>
      </c>
      <c r="D100" s="95">
        <v>0</v>
      </c>
      <c r="E100" s="95">
        <v>0</v>
      </c>
      <c r="F100" s="106">
        <v>0</v>
      </c>
      <c r="H100" s="91">
        <v>3</v>
      </c>
      <c r="I100" s="7" t="s">
        <v>20</v>
      </c>
      <c r="J100" s="95">
        <v>0</v>
      </c>
      <c r="K100" s="95">
        <v>0</v>
      </c>
      <c r="L100" s="95">
        <v>0</v>
      </c>
      <c r="M100" s="99">
        <v>0</v>
      </c>
    </row>
    <row r="101" spans="1:20" x14ac:dyDescent="0.25">
      <c r="A101" s="92">
        <v>4</v>
      </c>
      <c r="B101" s="15" t="s">
        <v>21</v>
      </c>
      <c r="C101" s="95">
        <v>4</v>
      </c>
      <c r="D101" s="95">
        <v>3</v>
      </c>
      <c r="E101" s="95">
        <v>32</v>
      </c>
      <c r="F101" s="106">
        <v>106.66666666666666</v>
      </c>
      <c r="H101" s="92">
        <v>4</v>
      </c>
      <c r="I101" s="15" t="s">
        <v>21</v>
      </c>
      <c r="J101" s="95">
        <v>5</v>
      </c>
      <c r="K101" s="95">
        <v>5</v>
      </c>
      <c r="L101" s="95">
        <v>54</v>
      </c>
      <c r="M101" s="99">
        <v>108</v>
      </c>
    </row>
    <row r="102" spans="1:20" x14ac:dyDescent="0.25">
      <c r="A102" s="92">
        <v>5</v>
      </c>
      <c r="B102" s="19" t="s">
        <v>22</v>
      </c>
      <c r="C102" s="95">
        <v>1</v>
      </c>
      <c r="D102" s="95">
        <v>4</v>
      </c>
      <c r="E102" s="95">
        <v>40</v>
      </c>
      <c r="F102" s="106">
        <v>100</v>
      </c>
      <c r="H102" s="92">
        <v>5</v>
      </c>
      <c r="I102" s="19" t="s">
        <v>22</v>
      </c>
      <c r="J102" s="95">
        <v>2</v>
      </c>
      <c r="K102" s="95">
        <v>5</v>
      </c>
      <c r="L102" s="95">
        <v>51</v>
      </c>
      <c r="M102" s="99">
        <v>102</v>
      </c>
    </row>
    <row r="103" spans="1:20" x14ac:dyDescent="0.25">
      <c r="A103" s="92">
        <v>6</v>
      </c>
      <c r="B103" s="19" t="s">
        <v>23</v>
      </c>
      <c r="C103" s="95">
        <v>0</v>
      </c>
      <c r="D103" s="95">
        <v>0</v>
      </c>
      <c r="E103" s="95">
        <v>0</v>
      </c>
      <c r="F103" s="106">
        <v>0</v>
      </c>
      <c r="H103" s="92">
        <v>6</v>
      </c>
      <c r="I103" s="19" t="s">
        <v>23</v>
      </c>
      <c r="J103" s="95">
        <v>0</v>
      </c>
      <c r="K103" s="95">
        <v>0</v>
      </c>
      <c r="L103" s="95">
        <v>0</v>
      </c>
      <c r="M103" s="99">
        <v>0</v>
      </c>
    </row>
    <row r="104" spans="1:20" x14ac:dyDescent="0.25">
      <c r="A104" s="92">
        <v>7</v>
      </c>
      <c r="B104" s="19" t="s">
        <v>24</v>
      </c>
      <c r="C104" s="95">
        <v>1</v>
      </c>
      <c r="D104" s="95">
        <v>1</v>
      </c>
      <c r="E104" s="95">
        <v>12</v>
      </c>
      <c r="F104" s="106">
        <v>120</v>
      </c>
      <c r="H104" s="92">
        <v>7</v>
      </c>
      <c r="I104" s="19" t="s">
        <v>24</v>
      </c>
      <c r="J104" s="95">
        <v>1</v>
      </c>
      <c r="K104" s="95">
        <v>2</v>
      </c>
      <c r="L104" s="95">
        <v>20</v>
      </c>
      <c r="M104" s="99">
        <v>100</v>
      </c>
    </row>
    <row r="105" spans="1:20" ht="15.75" thickBot="1" x14ac:dyDescent="0.3">
      <c r="A105" s="93">
        <v>8</v>
      </c>
      <c r="B105" s="15" t="s">
        <v>25</v>
      </c>
      <c r="C105" s="96">
        <v>1</v>
      </c>
      <c r="D105" s="96">
        <v>1</v>
      </c>
      <c r="E105" s="96">
        <v>21</v>
      </c>
      <c r="F105" s="107">
        <v>210</v>
      </c>
      <c r="H105" s="93">
        <v>8</v>
      </c>
      <c r="I105" s="15" t="s">
        <v>25</v>
      </c>
      <c r="J105" s="96">
        <v>1</v>
      </c>
      <c r="K105" s="96">
        <v>2</v>
      </c>
      <c r="L105" s="96">
        <v>45</v>
      </c>
      <c r="M105" s="100">
        <v>225</v>
      </c>
    </row>
    <row r="106" spans="1:20" ht="16.5" thickTop="1" thickBot="1" x14ac:dyDescent="0.3">
      <c r="A106" s="190" t="s">
        <v>26</v>
      </c>
      <c r="B106" s="191"/>
      <c r="C106" s="97">
        <f>SUM(C98:C105)</f>
        <v>8</v>
      </c>
      <c r="D106" s="97">
        <f>SUM(D98:D105)</f>
        <v>14</v>
      </c>
      <c r="E106" s="97">
        <f t="shared" ref="E106" si="15">SUM(E98:E105)</f>
        <v>132</v>
      </c>
      <c r="F106" s="101">
        <f>E106/D106*10</f>
        <v>94.285714285714292</v>
      </c>
      <c r="H106" s="190" t="s">
        <v>26</v>
      </c>
      <c r="I106" s="191"/>
      <c r="J106" s="97">
        <f>SUM(J98:J105)</f>
        <v>16</v>
      </c>
      <c r="K106" s="97">
        <f>SUM(K98:K105)</f>
        <v>20</v>
      </c>
      <c r="L106" s="97">
        <f t="shared" ref="L106" si="16">SUM(L98:L105)</f>
        <v>207</v>
      </c>
      <c r="M106" s="101">
        <f>L106/K106*10</f>
        <v>103.5</v>
      </c>
      <c r="N106" s="75"/>
      <c r="P106" s="124">
        <f>J106*100/1000</f>
        <v>1.6</v>
      </c>
      <c r="Q106" s="124">
        <f>J106*100/1000</f>
        <v>1.6</v>
      </c>
      <c r="R106" s="124">
        <f>J106*50/1000</f>
        <v>0.8</v>
      </c>
      <c r="S106" s="124">
        <f>J106*100/1000</f>
        <v>1.6</v>
      </c>
      <c r="T106" s="124">
        <f>J106*2000/1000</f>
        <v>32</v>
      </c>
    </row>
    <row r="108" spans="1:20" ht="15.75" thickBot="1" x14ac:dyDescent="0.3">
      <c r="A108" s="82" t="s">
        <v>78</v>
      </c>
      <c r="H108" s="82" t="s">
        <v>78</v>
      </c>
    </row>
    <row r="109" spans="1:20" x14ac:dyDescent="0.25">
      <c r="A109" s="192" t="s">
        <v>2</v>
      </c>
      <c r="B109" s="194" t="s">
        <v>3</v>
      </c>
      <c r="C109" s="84" t="s">
        <v>68</v>
      </c>
      <c r="D109" s="84" t="s">
        <v>69</v>
      </c>
      <c r="E109" s="84" t="s">
        <v>70</v>
      </c>
      <c r="F109" s="85" t="s">
        <v>67</v>
      </c>
      <c r="H109" s="192" t="s">
        <v>2</v>
      </c>
      <c r="I109" s="194" t="s">
        <v>3</v>
      </c>
      <c r="J109" s="84" t="s">
        <v>68</v>
      </c>
      <c r="K109" s="84" t="s">
        <v>69</v>
      </c>
      <c r="L109" s="84" t="s">
        <v>70</v>
      </c>
      <c r="M109" s="85" t="s">
        <v>67</v>
      </c>
    </row>
    <row r="110" spans="1:20" x14ac:dyDescent="0.25">
      <c r="A110" s="193"/>
      <c r="B110" s="180"/>
      <c r="C110" s="86" t="s">
        <v>1</v>
      </c>
      <c r="D110" s="86" t="s">
        <v>1</v>
      </c>
      <c r="E110" s="86" t="s">
        <v>29</v>
      </c>
      <c r="F110" s="87" t="s">
        <v>31</v>
      </c>
      <c r="H110" s="193"/>
      <c r="I110" s="180"/>
      <c r="J110" s="86" t="s">
        <v>1</v>
      </c>
      <c r="K110" s="86" t="s">
        <v>1</v>
      </c>
      <c r="L110" s="86" t="s">
        <v>29</v>
      </c>
      <c r="M110" s="87" t="s">
        <v>31</v>
      </c>
    </row>
    <row r="111" spans="1:20" ht="15.75" thickBot="1" x14ac:dyDescent="0.3">
      <c r="A111" s="88">
        <v>1</v>
      </c>
      <c r="B111" s="83">
        <v>2</v>
      </c>
      <c r="C111" s="83">
        <v>3</v>
      </c>
      <c r="D111" s="83">
        <v>4</v>
      </c>
      <c r="E111" s="83">
        <v>5</v>
      </c>
      <c r="F111" s="89">
        <v>6</v>
      </c>
      <c r="H111" s="88">
        <v>1</v>
      </c>
      <c r="I111" s="83">
        <v>2</v>
      </c>
      <c r="J111" s="83">
        <v>3</v>
      </c>
      <c r="K111" s="83">
        <v>4</v>
      </c>
      <c r="L111" s="83">
        <v>5</v>
      </c>
      <c r="M111" s="89">
        <v>6</v>
      </c>
      <c r="P111" t="s">
        <v>94</v>
      </c>
      <c r="Q111" t="s">
        <v>95</v>
      </c>
      <c r="R111" t="s">
        <v>96</v>
      </c>
      <c r="S111" t="s">
        <v>97</v>
      </c>
      <c r="T111" t="s">
        <v>98</v>
      </c>
    </row>
    <row r="112" spans="1:20" ht="15.75" thickTop="1" x14ac:dyDescent="0.25">
      <c r="A112" s="90">
        <v>1</v>
      </c>
      <c r="B112" s="7" t="s">
        <v>18</v>
      </c>
      <c r="C112" s="94">
        <v>7</v>
      </c>
      <c r="D112" s="102">
        <v>14</v>
      </c>
      <c r="E112" s="102">
        <v>19</v>
      </c>
      <c r="F112" s="105">
        <v>13.571428571428573</v>
      </c>
      <c r="H112" s="90">
        <v>1</v>
      </c>
      <c r="I112" s="7" t="s">
        <v>18</v>
      </c>
      <c r="J112" s="94">
        <v>9</v>
      </c>
      <c r="K112" s="102">
        <v>14</v>
      </c>
      <c r="L112" s="102">
        <v>19</v>
      </c>
      <c r="M112" s="117">
        <v>13.571428571428573</v>
      </c>
    </row>
    <row r="113" spans="1:20" x14ac:dyDescent="0.25">
      <c r="A113" s="91">
        <v>2</v>
      </c>
      <c r="B113" s="12" t="s">
        <v>19</v>
      </c>
      <c r="C113" s="95">
        <v>1</v>
      </c>
      <c r="D113" s="95">
        <v>0</v>
      </c>
      <c r="E113" s="95">
        <v>0</v>
      </c>
      <c r="F113" s="106">
        <v>0</v>
      </c>
      <c r="H113" s="91">
        <v>2</v>
      </c>
      <c r="I113" s="12" t="s">
        <v>19</v>
      </c>
      <c r="J113" s="95">
        <v>1</v>
      </c>
      <c r="K113" s="95">
        <v>1</v>
      </c>
      <c r="L113" s="95">
        <v>1</v>
      </c>
      <c r="M113" s="99">
        <v>10</v>
      </c>
    </row>
    <row r="114" spans="1:20" x14ac:dyDescent="0.25">
      <c r="A114" s="91">
        <v>3</v>
      </c>
      <c r="B114" s="7" t="s">
        <v>20</v>
      </c>
      <c r="C114" s="95">
        <v>6</v>
      </c>
      <c r="D114" s="95">
        <v>0</v>
      </c>
      <c r="E114" s="95">
        <v>0</v>
      </c>
      <c r="F114" s="106">
        <v>0</v>
      </c>
      <c r="H114" s="91">
        <v>3</v>
      </c>
      <c r="I114" s="7" t="s">
        <v>20</v>
      </c>
      <c r="J114" s="95">
        <v>6</v>
      </c>
      <c r="K114" s="95">
        <v>6</v>
      </c>
      <c r="L114" s="95">
        <v>7</v>
      </c>
      <c r="M114" s="99">
        <v>11.666666666666668</v>
      </c>
    </row>
    <row r="115" spans="1:20" x14ac:dyDescent="0.25">
      <c r="A115" s="92">
        <v>4</v>
      </c>
      <c r="B115" s="15" t="s">
        <v>21</v>
      </c>
      <c r="C115" s="95">
        <v>3</v>
      </c>
      <c r="D115" s="95">
        <v>1</v>
      </c>
      <c r="E115" s="95">
        <v>1</v>
      </c>
      <c r="F115" s="106">
        <v>10</v>
      </c>
      <c r="H115" s="92">
        <v>4</v>
      </c>
      <c r="I115" s="15" t="s">
        <v>21</v>
      </c>
      <c r="J115" s="95">
        <v>3</v>
      </c>
      <c r="K115" s="95">
        <v>3</v>
      </c>
      <c r="L115" s="95">
        <v>3</v>
      </c>
      <c r="M115" s="99">
        <v>10</v>
      </c>
    </row>
    <row r="116" spans="1:20" x14ac:dyDescent="0.25">
      <c r="A116" s="92">
        <v>5</v>
      </c>
      <c r="B116" s="19" t="s">
        <v>22</v>
      </c>
      <c r="C116" s="95">
        <v>10</v>
      </c>
      <c r="D116" s="95">
        <v>0</v>
      </c>
      <c r="E116" s="95">
        <v>0</v>
      </c>
      <c r="F116" s="106">
        <v>0</v>
      </c>
      <c r="H116" s="92">
        <v>5</v>
      </c>
      <c r="I116" s="19" t="s">
        <v>22</v>
      </c>
      <c r="J116" s="95">
        <v>10</v>
      </c>
      <c r="K116" s="95">
        <v>10</v>
      </c>
      <c r="L116" s="95">
        <v>11</v>
      </c>
      <c r="M116" s="99">
        <v>11</v>
      </c>
    </row>
    <row r="117" spans="1:20" x14ac:dyDescent="0.25">
      <c r="A117" s="92">
        <v>6</v>
      </c>
      <c r="B117" s="19" t="s">
        <v>23</v>
      </c>
      <c r="C117" s="95">
        <v>0</v>
      </c>
      <c r="D117" s="95">
        <v>0</v>
      </c>
      <c r="E117" s="95">
        <v>0</v>
      </c>
      <c r="F117" s="106">
        <v>0</v>
      </c>
      <c r="H117" s="92">
        <v>6</v>
      </c>
      <c r="I117" s="19" t="s">
        <v>23</v>
      </c>
      <c r="J117" s="95">
        <v>0</v>
      </c>
      <c r="K117" s="95">
        <v>0</v>
      </c>
      <c r="L117" s="95">
        <v>0</v>
      </c>
      <c r="M117" s="99">
        <v>0</v>
      </c>
    </row>
    <row r="118" spans="1:20" x14ac:dyDescent="0.25">
      <c r="A118" s="92">
        <v>7</v>
      </c>
      <c r="B118" s="19" t="s">
        <v>24</v>
      </c>
      <c r="C118" s="95">
        <v>0</v>
      </c>
      <c r="D118" s="95">
        <v>0</v>
      </c>
      <c r="E118" s="95">
        <v>0</v>
      </c>
      <c r="F118" s="106">
        <v>0</v>
      </c>
      <c r="H118" s="92">
        <v>7</v>
      </c>
      <c r="I118" s="19" t="s">
        <v>24</v>
      </c>
      <c r="J118" s="95">
        <v>0</v>
      </c>
      <c r="K118" s="95">
        <v>0</v>
      </c>
      <c r="L118" s="95">
        <v>0</v>
      </c>
      <c r="M118" s="99">
        <v>0</v>
      </c>
    </row>
    <row r="119" spans="1:20" ht="15.75" thickBot="1" x14ac:dyDescent="0.3">
      <c r="A119" s="93">
        <v>8</v>
      </c>
      <c r="B119" s="15" t="s">
        <v>25</v>
      </c>
      <c r="C119" s="96">
        <v>2</v>
      </c>
      <c r="D119" s="96">
        <v>3</v>
      </c>
      <c r="E119" s="96">
        <v>3</v>
      </c>
      <c r="F119" s="107">
        <v>10</v>
      </c>
      <c r="H119" s="93">
        <v>8</v>
      </c>
      <c r="I119" s="15" t="s">
        <v>25</v>
      </c>
      <c r="J119" s="96">
        <v>2</v>
      </c>
      <c r="K119" s="96">
        <v>4</v>
      </c>
      <c r="L119" s="96">
        <v>4</v>
      </c>
      <c r="M119" s="100">
        <v>10</v>
      </c>
    </row>
    <row r="120" spans="1:20" ht="16.5" thickTop="1" thickBot="1" x14ac:dyDescent="0.3">
      <c r="A120" s="190" t="s">
        <v>26</v>
      </c>
      <c r="B120" s="191"/>
      <c r="C120" s="97">
        <f>SUM(C112:C119)</f>
        <v>29</v>
      </c>
      <c r="D120" s="97">
        <f>SUM(D112:D119)</f>
        <v>18</v>
      </c>
      <c r="E120" s="97">
        <f t="shared" ref="E120" si="17">SUM(E112:E119)</f>
        <v>23</v>
      </c>
      <c r="F120" s="101">
        <f>E120/D120*10</f>
        <v>12.777777777777777</v>
      </c>
      <c r="H120" s="190" t="s">
        <v>26</v>
      </c>
      <c r="I120" s="191"/>
      <c r="J120" s="97">
        <f>SUM(J112:J119)</f>
        <v>31</v>
      </c>
      <c r="K120" s="97">
        <f>SUM(K112:K119)</f>
        <v>38</v>
      </c>
      <c r="L120" s="97">
        <f t="shared" ref="L120" si="18">SUM(L112:L119)</f>
        <v>45</v>
      </c>
      <c r="M120" s="101">
        <f>L120/K120*10</f>
        <v>11.842105263157894</v>
      </c>
      <c r="N120" s="75"/>
      <c r="P120" s="124">
        <f>J120*100/1000</f>
        <v>3.1</v>
      </c>
      <c r="Q120" s="124">
        <f>J120*100/1000</f>
        <v>3.1</v>
      </c>
      <c r="R120" s="124">
        <f>J120*50/1000</f>
        <v>1.55</v>
      </c>
      <c r="S120" s="124">
        <f>J120*100/1000</f>
        <v>3.1</v>
      </c>
      <c r="T120" s="124">
        <f>J120*2000/1000</f>
        <v>62</v>
      </c>
    </row>
  </sheetData>
  <mergeCells count="48">
    <mergeCell ref="H120:I120"/>
    <mergeCell ref="H92:I92"/>
    <mergeCell ref="H95:H96"/>
    <mergeCell ref="I95:I96"/>
    <mergeCell ref="H106:I106"/>
    <mergeCell ref="H109:H110"/>
    <mergeCell ref="I109:I110"/>
    <mergeCell ref="H59:I59"/>
    <mergeCell ref="H67:H68"/>
    <mergeCell ref="I67:I68"/>
    <mergeCell ref="H78:I78"/>
    <mergeCell ref="H81:H82"/>
    <mergeCell ref="I81:I82"/>
    <mergeCell ref="H30:I30"/>
    <mergeCell ref="H33:H34"/>
    <mergeCell ref="I33:I34"/>
    <mergeCell ref="H44:I44"/>
    <mergeCell ref="H48:H49"/>
    <mergeCell ref="I48:I49"/>
    <mergeCell ref="H5:H6"/>
    <mergeCell ref="I5:I6"/>
    <mergeCell ref="H16:I16"/>
    <mergeCell ref="H19:H20"/>
    <mergeCell ref="I19:I20"/>
    <mergeCell ref="A59:B59"/>
    <mergeCell ref="A5:A6"/>
    <mergeCell ref="B5:B6"/>
    <mergeCell ref="A16:B16"/>
    <mergeCell ref="A19:A20"/>
    <mergeCell ref="B19:B20"/>
    <mergeCell ref="A30:B30"/>
    <mergeCell ref="A33:A34"/>
    <mergeCell ref="B33:B34"/>
    <mergeCell ref="A44:B44"/>
    <mergeCell ref="A48:A49"/>
    <mergeCell ref="B48:B49"/>
    <mergeCell ref="A120:B120"/>
    <mergeCell ref="A67:A68"/>
    <mergeCell ref="B67:B68"/>
    <mergeCell ref="A78:B78"/>
    <mergeCell ref="A81:A82"/>
    <mergeCell ref="B81:B82"/>
    <mergeCell ref="A92:B92"/>
    <mergeCell ref="A95:A96"/>
    <mergeCell ref="B95:B96"/>
    <mergeCell ref="A106:B106"/>
    <mergeCell ref="A109:A110"/>
    <mergeCell ref="B109:B110"/>
  </mergeCells>
  <pageMargins left="1.1200000000000001" right="0.51181102362204722" top="0.6692913385826772" bottom="0.59055118110236227" header="0.31496062992125984" footer="0.31496062992125984"/>
  <pageSetup paperSize="5" scale="95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opLeftCell="A31" zoomScale="80" zoomScaleNormal="80" workbookViewId="0">
      <selection activeCell="H19" sqref="H19"/>
    </sheetView>
  </sheetViews>
  <sheetFormatPr defaultRowHeight="15" x14ac:dyDescent="0.25"/>
  <cols>
    <col min="1" max="1" width="5.85546875" customWidth="1"/>
    <col min="2" max="2" width="18.7109375" customWidth="1"/>
    <col min="3" max="6" width="16.7109375" customWidth="1"/>
  </cols>
  <sheetData>
    <row r="1" spans="1:7" x14ac:dyDescent="0.25">
      <c r="A1" s="82" t="s">
        <v>79</v>
      </c>
    </row>
    <row r="2" spans="1:7" x14ac:dyDescent="0.25">
      <c r="A2" s="82" t="s">
        <v>87</v>
      </c>
    </row>
    <row r="3" spans="1:7" x14ac:dyDescent="0.25">
      <c r="A3" s="82"/>
    </row>
    <row r="4" spans="1:7" ht="15.75" thickBot="1" x14ac:dyDescent="0.3">
      <c r="A4" s="82" t="s">
        <v>71</v>
      </c>
    </row>
    <row r="5" spans="1:7" x14ac:dyDescent="0.25">
      <c r="A5" s="192" t="s">
        <v>2</v>
      </c>
      <c r="B5" s="194" t="s">
        <v>3</v>
      </c>
      <c r="C5" s="84" t="s">
        <v>68</v>
      </c>
      <c r="D5" s="84" t="s">
        <v>69</v>
      </c>
      <c r="E5" s="84" t="s">
        <v>70</v>
      </c>
      <c r="F5" s="85" t="s">
        <v>67</v>
      </c>
    </row>
    <row r="6" spans="1:7" x14ac:dyDescent="0.25">
      <c r="A6" s="193"/>
      <c r="B6" s="180"/>
      <c r="C6" s="86" t="s">
        <v>1</v>
      </c>
      <c r="D6" s="86" t="s">
        <v>1</v>
      </c>
      <c r="E6" s="86" t="s">
        <v>29</v>
      </c>
      <c r="F6" s="87" t="s">
        <v>31</v>
      </c>
    </row>
    <row r="7" spans="1:7" ht="15.75" thickBot="1" x14ac:dyDescent="0.3">
      <c r="A7" s="88">
        <v>1</v>
      </c>
      <c r="B7" s="83">
        <v>2</v>
      </c>
      <c r="C7" s="83">
        <v>3</v>
      </c>
      <c r="D7" s="83">
        <v>4</v>
      </c>
      <c r="E7" s="83">
        <v>5</v>
      </c>
      <c r="F7" s="89">
        <v>6</v>
      </c>
    </row>
    <row r="8" spans="1:7" ht="15.75" thickTop="1" x14ac:dyDescent="0.25">
      <c r="A8" s="90">
        <v>1</v>
      </c>
      <c r="B8" s="7" t="s">
        <v>18</v>
      </c>
      <c r="C8" s="94">
        <v>43</v>
      </c>
      <c r="D8" s="94">
        <v>104</v>
      </c>
      <c r="E8" s="94">
        <v>446</v>
      </c>
      <c r="F8" s="98">
        <v>42.884615384615387</v>
      </c>
    </row>
    <row r="9" spans="1:7" x14ac:dyDescent="0.25">
      <c r="A9" s="91">
        <v>2</v>
      </c>
      <c r="B9" s="12" t="s">
        <v>19</v>
      </c>
      <c r="C9" s="95">
        <v>169</v>
      </c>
      <c r="D9" s="95">
        <v>159</v>
      </c>
      <c r="E9" s="95">
        <v>848</v>
      </c>
      <c r="F9" s="99">
        <v>53.333333333333329</v>
      </c>
    </row>
    <row r="10" spans="1:7" x14ac:dyDescent="0.25">
      <c r="A10" s="91">
        <v>3</v>
      </c>
      <c r="B10" s="7" t="s">
        <v>20</v>
      </c>
      <c r="C10" s="95">
        <v>49</v>
      </c>
      <c r="D10" s="95">
        <v>74</v>
      </c>
      <c r="E10" s="95">
        <v>438</v>
      </c>
      <c r="F10" s="99">
        <v>59.189189189189193</v>
      </c>
    </row>
    <row r="11" spans="1:7" x14ac:dyDescent="0.25">
      <c r="A11" s="92">
        <v>4</v>
      </c>
      <c r="B11" s="15" t="s">
        <v>21</v>
      </c>
      <c r="C11" s="95">
        <v>382</v>
      </c>
      <c r="D11" s="95">
        <v>359</v>
      </c>
      <c r="E11" s="95">
        <v>1875</v>
      </c>
      <c r="F11" s="99">
        <v>52.228412256267411</v>
      </c>
    </row>
    <row r="12" spans="1:7" x14ac:dyDescent="0.25">
      <c r="A12" s="92">
        <v>5</v>
      </c>
      <c r="B12" s="19" t="s">
        <v>22</v>
      </c>
      <c r="C12" s="95">
        <v>332</v>
      </c>
      <c r="D12" s="95">
        <v>324</v>
      </c>
      <c r="E12" s="95">
        <v>1630</v>
      </c>
      <c r="F12" s="99">
        <v>50.308641975308639</v>
      </c>
    </row>
    <row r="13" spans="1:7" x14ac:dyDescent="0.25">
      <c r="A13" s="92">
        <v>6</v>
      </c>
      <c r="B13" s="19" t="s">
        <v>23</v>
      </c>
      <c r="C13" s="95">
        <v>107</v>
      </c>
      <c r="D13" s="95">
        <v>89</v>
      </c>
      <c r="E13" s="95">
        <v>457</v>
      </c>
      <c r="F13" s="99">
        <v>51.348314606741575</v>
      </c>
    </row>
    <row r="14" spans="1:7" x14ac:dyDescent="0.25">
      <c r="A14" s="92">
        <v>7</v>
      </c>
      <c r="B14" s="19" t="s">
        <v>24</v>
      </c>
      <c r="C14" s="95">
        <v>661</v>
      </c>
      <c r="D14" s="95">
        <v>525</v>
      </c>
      <c r="E14" s="95">
        <v>2852</v>
      </c>
      <c r="F14" s="99">
        <v>54.323809523809523</v>
      </c>
    </row>
    <row r="15" spans="1:7" ht="15.75" thickBot="1" x14ac:dyDescent="0.3">
      <c r="A15" s="93">
        <v>8</v>
      </c>
      <c r="B15" s="15" t="s">
        <v>25</v>
      </c>
      <c r="C15" s="96">
        <v>408</v>
      </c>
      <c r="D15" s="96">
        <v>465</v>
      </c>
      <c r="E15" s="96">
        <v>2508</v>
      </c>
      <c r="F15" s="100">
        <v>53.935483870967744</v>
      </c>
    </row>
    <row r="16" spans="1:7" ht="16.5" thickTop="1" thickBot="1" x14ac:dyDescent="0.3">
      <c r="A16" s="190" t="s">
        <v>26</v>
      </c>
      <c r="B16" s="191"/>
      <c r="C16" s="97">
        <f>SUM(C8:C15)</f>
        <v>2151</v>
      </c>
      <c r="D16" s="97">
        <f t="shared" ref="D16:E16" si="0">SUM(D8:D15)</f>
        <v>2099</v>
      </c>
      <c r="E16" s="97">
        <f t="shared" si="0"/>
        <v>11054</v>
      </c>
      <c r="F16" s="101">
        <f>SUM(F8:F15)/8</f>
        <v>52.193975017529098</v>
      </c>
      <c r="G16">
        <f>E16/D16*10</f>
        <v>52.663172939494991</v>
      </c>
    </row>
    <row r="18" spans="1:6" ht="15.75" thickBot="1" x14ac:dyDescent="0.3">
      <c r="A18" s="82" t="s">
        <v>72</v>
      </c>
    </row>
    <row r="19" spans="1:6" x14ac:dyDescent="0.25">
      <c r="A19" s="192" t="s">
        <v>2</v>
      </c>
      <c r="B19" s="194" t="s">
        <v>3</v>
      </c>
      <c r="C19" s="84" t="s">
        <v>68</v>
      </c>
      <c r="D19" s="84" t="s">
        <v>69</v>
      </c>
      <c r="E19" s="84" t="s">
        <v>70</v>
      </c>
      <c r="F19" s="85" t="s">
        <v>67</v>
      </c>
    </row>
    <row r="20" spans="1:6" x14ac:dyDescent="0.25">
      <c r="A20" s="193"/>
      <c r="B20" s="180"/>
      <c r="C20" s="86" t="s">
        <v>1</v>
      </c>
      <c r="D20" s="86" t="s">
        <v>1</v>
      </c>
      <c r="E20" s="86" t="s">
        <v>29</v>
      </c>
      <c r="F20" s="87" t="s">
        <v>31</v>
      </c>
    </row>
    <row r="21" spans="1:6" ht="15.75" thickBot="1" x14ac:dyDescent="0.3">
      <c r="A21" s="88">
        <v>1</v>
      </c>
      <c r="B21" s="83">
        <v>2</v>
      </c>
      <c r="C21" s="83">
        <v>3</v>
      </c>
      <c r="D21" s="83">
        <v>4</v>
      </c>
      <c r="E21" s="83">
        <v>5</v>
      </c>
      <c r="F21" s="89">
        <v>6</v>
      </c>
    </row>
    <row r="22" spans="1:6" ht="15.75" thickTop="1" x14ac:dyDescent="0.25">
      <c r="A22" s="90">
        <v>1</v>
      </c>
      <c r="B22" s="7" t="s">
        <v>18</v>
      </c>
      <c r="C22" s="94">
        <v>0</v>
      </c>
      <c r="D22" s="94">
        <v>0</v>
      </c>
      <c r="E22" s="94">
        <v>0</v>
      </c>
      <c r="F22" s="114">
        <v>0</v>
      </c>
    </row>
    <row r="23" spans="1:6" x14ac:dyDescent="0.25">
      <c r="A23" s="91">
        <v>2</v>
      </c>
      <c r="B23" s="12" t="s">
        <v>19</v>
      </c>
      <c r="C23" s="95">
        <v>0</v>
      </c>
      <c r="D23" s="95">
        <v>0</v>
      </c>
      <c r="E23" s="95">
        <v>0</v>
      </c>
      <c r="F23" s="115">
        <v>0</v>
      </c>
    </row>
    <row r="24" spans="1:6" x14ac:dyDescent="0.25">
      <c r="A24" s="91">
        <v>3</v>
      </c>
      <c r="B24" s="7" t="s">
        <v>20</v>
      </c>
      <c r="C24" s="95">
        <v>0</v>
      </c>
      <c r="D24" s="95">
        <v>21</v>
      </c>
      <c r="E24" s="95">
        <v>55</v>
      </c>
      <c r="F24" s="115">
        <v>26</v>
      </c>
    </row>
    <row r="25" spans="1:6" x14ac:dyDescent="0.25">
      <c r="A25" s="92">
        <v>4</v>
      </c>
      <c r="B25" s="15" t="s">
        <v>21</v>
      </c>
      <c r="C25" s="95">
        <v>0</v>
      </c>
      <c r="D25" s="95">
        <v>0</v>
      </c>
      <c r="E25" s="95">
        <v>0</v>
      </c>
      <c r="F25" s="115">
        <v>0</v>
      </c>
    </row>
    <row r="26" spans="1:6" x14ac:dyDescent="0.25">
      <c r="A26" s="92">
        <v>5</v>
      </c>
      <c r="B26" s="19" t="s">
        <v>22</v>
      </c>
      <c r="C26" s="95">
        <v>0</v>
      </c>
      <c r="D26" s="95">
        <v>0</v>
      </c>
      <c r="E26" s="95">
        <v>0</v>
      </c>
      <c r="F26" s="115">
        <v>0</v>
      </c>
    </row>
    <row r="27" spans="1:6" x14ac:dyDescent="0.25">
      <c r="A27" s="92">
        <v>6</v>
      </c>
      <c r="B27" s="19" t="s">
        <v>23</v>
      </c>
      <c r="C27" s="95">
        <v>0</v>
      </c>
      <c r="D27" s="95">
        <v>0</v>
      </c>
      <c r="E27" s="95">
        <v>0</v>
      </c>
      <c r="F27" s="115">
        <v>0</v>
      </c>
    </row>
    <row r="28" spans="1:6" x14ac:dyDescent="0.25">
      <c r="A28" s="92">
        <v>7</v>
      </c>
      <c r="B28" s="19" t="s">
        <v>24</v>
      </c>
      <c r="C28" s="95">
        <v>0</v>
      </c>
      <c r="D28" s="95">
        <v>0</v>
      </c>
      <c r="E28" s="95">
        <v>0</v>
      </c>
      <c r="F28" s="115">
        <v>0</v>
      </c>
    </row>
    <row r="29" spans="1:6" ht="15.75" thickBot="1" x14ac:dyDescent="0.3">
      <c r="A29" s="93">
        <v>8</v>
      </c>
      <c r="B29" s="15" t="s">
        <v>25</v>
      </c>
      <c r="C29" s="96">
        <v>0</v>
      </c>
      <c r="D29" s="96">
        <v>0</v>
      </c>
      <c r="E29" s="96">
        <v>0</v>
      </c>
      <c r="F29" s="116">
        <v>0</v>
      </c>
    </row>
    <row r="30" spans="1:6" ht="16.5" thickTop="1" thickBot="1" x14ac:dyDescent="0.3">
      <c r="A30" s="190" t="s">
        <v>26</v>
      </c>
      <c r="B30" s="191"/>
      <c r="C30" s="97">
        <f>SUM(C22:C29)</f>
        <v>0</v>
      </c>
      <c r="D30" s="97">
        <f t="shared" ref="D30:E30" si="1">SUM(D22:D29)</f>
        <v>21</v>
      </c>
      <c r="E30" s="97">
        <f t="shared" si="1"/>
        <v>55</v>
      </c>
      <c r="F30" s="101">
        <v>26</v>
      </c>
    </row>
    <row r="32" spans="1:6" ht="15.75" thickBot="1" x14ac:dyDescent="0.3">
      <c r="A32" s="82" t="s">
        <v>73</v>
      </c>
    </row>
    <row r="33" spans="1:7" x14ac:dyDescent="0.25">
      <c r="A33" s="192" t="s">
        <v>2</v>
      </c>
      <c r="B33" s="194" t="s">
        <v>3</v>
      </c>
      <c r="C33" s="84" t="s">
        <v>68</v>
      </c>
      <c r="D33" s="84" t="s">
        <v>69</v>
      </c>
      <c r="E33" s="84" t="s">
        <v>70</v>
      </c>
      <c r="F33" s="85" t="s">
        <v>67</v>
      </c>
    </row>
    <row r="34" spans="1:7" x14ac:dyDescent="0.25">
      <c r="A34" s="193"/>
      <c r="B34" s="180"/>
      <c r="C34" s="86" t="s">
        <v>1</v>
      </c>
      <c r="D34" s="86" t="s">
        <v>1</v>
      </c>
      <c r="E34" s="86" t="s">
        <v>29</v>
      </c>
      <c r="F34" s="87" t="s">
        <v>31</v>
      </c>
    </row>
    <row r="35" spans="1:7" ht="15.75" thickBot="1" x14ac:dyDescent="0.3">
      <c r="A35" s="88">
        <v>1</v>
      </c>
      <c r="B35" s="83">
        <v>2</v>
      </c>
      <c r="C35" s="83">
        <v>3</v>
      </c>
      <c r="D35" s="83">
        <v>4</v>
      </c>
      <c r="E35" s="83">
        <v>5</v>
      </c>
      <c r="F35" s="89">
        <v>6</v>
      </c>
    </row>
    <row r="36" spans="1:7" ht="15.75" thickTop="1" x14ac:dyDescent="0.25">
      <c r="A36" s="90">
        <v>1</v>
      </c>
      <c r="B36" s="7" t="s">
        <v>18</v>
      </c>
      <c r="C36" s="94">
        <v>3</v>
      </c>
      <c r="D36" s="102">
        <v>2</v>
      </c>
      <c r="E36" s="94">
        <v>4</v>
      </c>
      <c r="F36" s="114">
        <v>20</v>
      </c>
    </row>
    <row r="37" spans="1:7" x14ac:dyDescent="0.25">
      <c r="A37" s="91">
        <v>2</v>
      </c>
      <c r="B37" s="12" t="s">
        <v>19</v>
      </c>
      <c r="C37" s="95">
        <v>3</v>
      </c>
      <c r="D37" s="95">
        <v>2</v>
      </c>
      <c r="E37" s="95">
        <v>3</v>
      </c>
      <c r="F37" s="115">
        <v>15</v>
      </c>
    </row>
    <row r="38" spans="1:7" x14ac:dyDescent="0.25">
      <c r="A38" s="91">
        <v>3</v>
      </c>
      <c r="B38" s="7" t="s">
        <v>20</v>
      </c>
      <c r="C38" s="95">
        <v>11</v>
      </c>
      <c r="D38" s="95">
        <v>23</v>
      </c>
      <c r="E38" s="95">
        <v>43</v>
      </c>
      <c r="F38" s="115">
        <v>18.695652173913043</v>
      </c>
    </row>
    <row r="39" spans="1:7" x14ac:dyDescent="0.25">
      <c r="A39" s="92">
        <v>4</v>
      </c>
      <c r="B39" s="15" t="s">
        <v>21</v>
      </c>
      <c r="C39" s="95">
        <v>2</v>
      </c>
      <c r="D39" s="95">
        <v>3</v>
      </c>
      <c r="E39" s="95">
        <v>6</v>
      </c>
      <c r="F39" s="115">
        <v>20</v>
      </c>
    </row>
    <row r="40" spans="1:7" x14ac:dyDescent="0.25">
      <c r="A40" s="92">
        <v>5</v>
      </c>
      <c r="B40" s="19" t="s">
        <v>22</v>
      </c>
      <c r="C40" s="95">
        <v>4</v>
      </c>
      <c r="D40" s="95">
        <v>6</v>
      </c>
      <c r="E40" s="95">
        <v>12</v>
      </c>
      <c r="F40" s="115">
        <v>20</v>
      </c>
    </row>
    <row r="41" spans="1:7" x14ac:dyDescent="0.25">
      <c r="A41" s="92">
        <v>6</v>
      </c>
      <c r="B41" s="19" t="s">
        <v>23</v>
      </c>
      <c r="C41" s="95">
        <v>0</v>
      </c>
      <c r="D41" s="95">
        <v>1</v>
      </c>
      <c r="E41" s="95">
        <v>2</v>
      </c>
      <c r="F41" s="115">
        <v>20</v>
      </c>
    </row>
    <row r="42" spans="1:7" x14ac:dyDescent="0.25">
      <c r="A42" s="92">
        <v>7</v>
      </c>
      <c r="B42" s="19" t="s">
        <v>24</v>
      </c>
      <c r="C42" s="95">
        <v>0</v>
      </c>
      <c r="D42" s="95">
        <v>0</v>
      </c>
      <c r="E42" s="95">
        <v>0</v>
      </c>
      <c r="F42" s="115">
        <v>0</v>
      </c>
    </row>
    <row r="43" spans="1:7" ht="15.75" thickBot="1" x14ac:dyDescent="0.3">
      <c r="A43" s="93">
        <v>8</v>
      </c>
      <c r="B43" s="15" t="s">
        <v>25</v>
      </c>
      <c r="C43" s="96">
        <v>1</v>
      </c>
      <c r="D43" s="96">
        <v>4</v>
      </c>
      <c r="E43" s="96">
        <v>10</v>
      </c>
      <c r="F43" s="116">
        <v>25</v>
      </c>
    </row>
    <row r="44" spans="1:7" ht="16.5" thickTop="1" thickBot="1" x14ac:dyDescent="0.3">
      <c r="A44" s="190" t="s">
        <v>26</v>
      </c>
      <c r="B44" s="191"/>
      <c r="C44" s="97">
        <f>SUM(C36:C43)</f>
        <v>24</v>
      </c>
      <c r="D44" s="97">
        <f t="shared" ref="D44:E44" si="2">SUM(D36:D43)</f>
        <v>41</v>
      </c>
      <c r="E44" s="97">
        <f t="shared" si="2"/>
        <v>80</v>
      </c>
      <c r="F44" s="101">
        <f>SUM(F36:F43)/7</f>
        <v>19.813664596273295</v>
      </c>
      <c r="G44">
        <f>E44/D44*10</f>
        <v>19.512195121951219</v>
      </c>
    </row>
    <row r="45" spans="1:7" x14ac:dyDescent="0.25">
      <c r="A45" s="111"/>
      <c r="C45" s="109"/>
      <c r="D45" s="109"/>
      <c r="E45" s="109"/>
      <c r="F45" s="110"/>
    </row>
    <row r="46" spans="1:7" x14ac:dyDescent="0.25">
      <c r="A46" s="108"/>
      <c r="B46" s="108"/>
      <c r="C46" s="109"/>
      <c r="D46" s="109"/>
      <c r="E46" s="109"/>
      <c r="F46" s="110"/>
    </row>
    <row r="47" spans="1:7" x14ac:dyDescent="0.25">
      <c r="A47" s="108"/>
      <c r="B47" s="108"/>
      <c r="C47" s="109"/>
      <c r="D47" s="109"/>
      <c r="E47" s="109"/>
      <c r="F47" s="110"/>
    </row>
    <row r="48" spans="1:7" x14ac:dyDescent="0.25">
      <c r="A48" s="108"/>
      <c r="B48" s="108"/>
      <c r="C48" s="109"/>
      <c r="D48" s="109"/>
      <c r="E48" s="109"/>
      <c r="F48" s="110"/>
    </row>
    <row r="49" spans="1:6" x14ac:dyDescent="0.25">
      <c r="A49" s="108"/>
      <c r="B49" s="108"/>
      <c r="C49" s="109"/>
      <c r="D49" s="109"/>
      <c r="E49" s="109"/>
      <c r="F49" s="110"/>
    </row>
    <row r="50" spans="1:6" x14ac:dyDescent="0.25">
      <c r="A50" s="108"/>
      <c r="B50" s="108"/>
      <c r="C50" s="109"/>
      <c r="D50" s="109"/>
      <c r="E50" s="109"/>
      <c r="F50" s="110"/>
    </row>
    <row r="51" spans="1:6" x14ac:dyDescent="0.25">
      <c r="A51" s="108"/>
      <c r="B51" s="108"/>
      <c r="C51" s="109"/>
      <c r="D51" s="109"/>
      <c r="E51" s="109"/>
      <c r="F51" s="110"/>
    </row>
    <row r="52" spans="1:6" x14ac:dyDescent="0.25">
      <c r="A52" s="108"/>
      <c r="B52" s="108"/>
      <c r="C52" s="109"/>
      <c r="D52" s="109"/>
      <c r="E52" s="109"/>
      <c r="F52" s="110"/>
    </row>
    <row r="53" spans="1:6" x14ac:dyDescent="0.25">
      <c r="A53" s="108"/>
      <c r="B53" s="108"/>
      <c r="C53" s="109"/>
      <c r="D53" s="109"/>
      <c r="E53" s="109"/>
      <c r="F53" s="110"/>
    </row>
    <row r="55" spans="1:6" ht="15.75" thickBot="1" x14ac:dyDescent="0.3">
      <c r="A55" s="113" t="s">
        <v>88</v>
      </c>
    </row>
    <row r="56" spans="1:6" x14ac:dyDescent="0.25">
      <c r="A56" s="192" t="s">
        <v>2</v>
      </c>
      <c r="B56" s="194" t="s">
        <v>3</v>
      </c>
      <c r="C56" s="84" t="s">
        <v>68</v>
      </c>
      <c r="D56" s="84" t="s">
        <v>69</v>
      </c>
      <c r="E56" s="84" t="s">
        <v>70</v>
      </c>
      <c r="F56" s="85" t="s">
        <v>67</v>
      </c>
    </row>
    <row r="57" spans="1:6" x14ac:dyDescent="0.25">
      <c r="A57" s="193"/>
      <c r="B57" s="180"/>
      <c r="C57" s="86" t="s">
        <v>1</v>
      </c>
      <c r="D57" s="86" t="s">
        <v>1</v>
      </c>
      <c r="E57" s="86" t="s">
        <v>29</v>
      </c>
      <c r="F57" s="87" t="s">
        <v>31</v>
      </c>
    </row>
    <row r="58" spans="1:6" ht="15.75" thickBot="1" x14ac:dyDescent="0.3">
      <c r="A58" s="88">
        <v>1</v>
      </c>
      <c r="B58" s="83">
        <v>2</v>
      </c>
      <c r="C58" s="83">
        <v>3</v>
      </c>
      <c r="D58" s="83">
        <v>4</v>
      </c>
      <c r="E58" s="83">
        <v>5</v>
      </c>
      <c r="F58" s="89">
        <v>6</v>
      </c>
    </row>
    <row r="59" spans="1:6" ht="15.75" thickTop="1" x14ac:dyDescent="0.25">
      <c r="A59" s="90">
        <v>1</v>
      </c>
      <c r="B59" s="7" t="s">
        <v>18</v>
      </c>
      <c r="C59" s="94">
        <v>82</v>
      </c>
      <c r="D59" s="102">
        <v>180</v>
      </c>
      <c r="E59" s="102">
        <v>286</v>
      </c>
      <c r="F59" s="117">
        <v>15.888888888888888</v>
      </c>
    </row>
    <row r="60" spans="1:6" x14ac:dyDescent="0.25">
      <c r="A60" s="91">
        <v>2</v>
      </c>
      <c r="B60" s="12" t="s">
        <v>19</v>
      </c>
      <c r="C60" s="95">
        <v>47</v>
      </c>
      <c r="D60" s="95">
        <v>29</v>
      </c>
      <c r="E60" s="95">
        <v>51</v>
      </c>
      <c r="F60" s="99">
        <v>17.586206896551722</v>
      </c>
    </row>
    <row r="61" spans="1:6" x14ac:dyDescent="0.25">
      <c r="A61" s="91">
        <v>3</v>
      </c>
      <c r="B61" s="7" t="s">
        <v>20</v>
      </c>
      <c r="C61" s="95">
        <v>700</v>
      </c>
      <c r="D61" s="95">
        <v>732</v>
      </c>
      <c r="E61" s="95">
        <v>1335</v>
      </c>
      <c r="F61" s="99">
        <v>18.237704918032787</v>
      </c>
    </row>
    <row r="62" spans="1:6" x14ac:dyDescent="0.25">
      <c r="A62" s="92">
        <v>4</v>
      </c>
      <c r="B62" s="15" t="s">
        <v>21</v>
      </c>
      <c r="C62" s="95">
        <v>328</v>
      </c>
      <c r="D62" s="95">
        <v>540</v>
      </c>
      <c r="E62" s="95">
        <v>789</v>
      </c>
      <c r="F62" s="99">
        <v>14.611111111111111</v>
      </c>
    </row>
    <row r="63" spans="1:6" x14ac:dyDescent="0.25">
      <c r="A63" s="92">
        <v>5</v>
      </c>
      <c r="B63" s="19" t="s">
        <v>22</v>
      </c>
      <c r="C63" s="95">
        <v>432</v>
      </c>
      <c r="D63" s="95">
        <v>201</v>
      </c>
      <c r="E63" s="95">
        <v>395</v>
      </c>
      <c r="F63" s="99">
        <v>19.651741293532339</v>
      </c>
    </row>
    <row r="64" spans="1:6" x14ac:dyDescent="0.25">
      <c r="A64" s="92">
        <v>6</v>
      </c>
      <c r="B64" s="19" t="s">
        <v>23</v>
      </c>
      <c r="C64" s="95">
        <v>212</v>
      </c>
      <c r="D64" s="95">
        <v>263</v>
      </c>
      <c r="E64" s="95">
        <v>481</v>
      </c>
      <c r="F64" s="99">
        <v>18.288973384030417</v>
      </c>
    </row>
    <row r="65" spans="1:7" x14ac:dyDescent="0.25">
      <c r="A65" s="92">
        <v>7</v>
      </c>
      <c r="B65" s="19" t="s">
        <v>24</v>
      </c>
      <c r="C65" s="95">
        <v>8</v>
      </c>
      <c r="D65" s="95">
        <v>13</v>
      </c>
      <c r="E65" s="95">
        <v>19</v>
      </c>
      <c r="F65" s="99">
        <v>14.615384615384615</v>
      </c>
    </row>
    <row r="66" spans="1:7" ht="15.75" thickBot="1" x14ac:dyDescent="0.3">
      <c r="A66" s="93">
        <v>8</v>
      </c>
      <c r="B66" s="15" t="s">
        <v>25</v>
      </c>
      <c r="C66" s="96">
        <v>575</v>
      </c>
      <c r="D66" s="96">
        <v>630</v>
      </c>
      <c r="E66" s="96">
        <v>1674</v>
      </c>
      <c r="F66" s="100">
        <v>26.571428571428569</v>
      </c>
    </row>
    <row r="67" spans="1:7" ht="16.5" thickTop="1" thickBot="1" x14ac:dyDescent="0.3">
      <c r="A67" s="190" t="s">
        <v>26</v>
      </c>
      <c r="B67" s="191"/>
      <c r="C67" s="97">
        <f>SUM(C59:C66)</f>
        <v>2384</v>
      </c>
      <c r="D67" s="97">
        <f>SUM(D59:D66)</f>
        <v>2588</v>
      </c>
      <c r="E67" s="97">
        <f t="shared" ref="E67" si="3">SUM(E59:E66)</f>
        <v>5030</v>
      </c>
      <c r="F67" s="101">
        <f>E67/D67*10</f>
        <v>19.435857805255022</v>
      </c>
      <c r="G67">
        <f>E67/D67*10</f>
        <v>19.435857805255022</v>
      </c>
    </row>
    <row r="69" spans="1:7" ht="15.75" thickBot="1" x14ac:dyDescent="0.3">
      <c r="A69" s="82" t="s">
        <v>89</v>
      </c>
    </row>
    <row r="70" spans="1:7" x14ac:dyDescent="0.25">
      <c r="A70" s="192" t="s">
        <v>2</v>
      </c>
      <c r="B70" s="194" t="s">
        <v>3</v>
      </c>
      <c r="C70" s="84" t="s">
        <v>68</v>
      </c>
      <c r="D70" s="84" t="s">
        <v>69</v>
      </c>
      <c r="E70" s="84" t="s">
        <v>70</v>
      </c>
      <c r="F70" s="85" t="s">
        <v>67</v>
      </c>
    </row>
    <row r="71" spans="1:7" x14ac:dyDescent="0.25">
      <c r="A71" s="193"/>
      <c r="B71" s="180"/>
      <c r="C71" s="86" t="s">
        <v>1</v>
      </c>
      <c r="D71" s="86" t="s">
        <v>1</v>
      </c>
      <c r="E71" s="86" t="s">
        <v>29</v>
      </c>
      <c r="F71" s="87" t="s">
        <v>31</v>
      </c>
    </row>
    <row r="72" spans="1:7" ht="15.75" thickBot="1" x14ac:dyDescent="0.3">
      <c r="A72" s="88">
        <v>1</v>
      </c>
      <c r="B72" s="83">
        <v>2</v>
      </c>
      <c r="C72" s="83">
        <v>3</v>
      </c>
      <c r="D72" s="83">
        <v>4</v>
      </c>
      <c r="E72" s="83">
        <v>5</v>
      </c>
      <c r="F72" s="89">
        <v>6</v>
      </c>
    </row>
    <row r="73" spans="1:7" ht="15.75" thickTop="1" x14ac:dyDescent="0.25">
      <c r="A73" s="90">
        <v>1</v>
      </c>
      <c r="B73" s="7" t="s">
        <v>18</v>
      </c>
      <c r="C73" s="94">
        <v>38</v>
      </c>
      <c r="D73" s="102">
        <v>4</v>
      </c>
      <c r="E73" s="102">
        <v>54</v>
      </c>
      <c r="F73" s="117">
        <v>135</v>
      </c>
    </row>
    <row r="74" spans="1:7" x14ac:dyDescent="0.25">
      <c r="A74" s="91">
        <v>2</v>
      </c>
      <c r="B74" s="12" t="s">
        <v>19</v>
      </c>
      <c r="C74" s="95">
        <v>0</v>
      </c>
      <c r="D74" s="95">
        <v>0</v>
      </c>
      <c r="E74" s="95">
        <v>0</v>
      </c>
      <c r="F74" s="99">
        <v>0</v>
      </c>
    </row>
    <row r="75" spans="1:7" x14ac:dyDescent="0.25">
      <c r="A75" s="91">
        <v>3</v>
      </c>
      <c r="B75" s="7" t="s">
        <v>20</v>
      </c>
      <c r="C75" s="95">
        <v>1</v>
      </c>
      <c r="D75" s="95">
        <v>9</v>
      </c>
      <c r="E75" s="95">
        <v>136</v>
      </c>
      <c r="F75" s="99">
        <v>151.11111111111111</v>
      </c>
    </row>
    <row r="76" spans="1:7" x14ac:dyDescent="0.25">
      <c r="A76" s="92">
        <v>4</v>
      </c>
      <c r="B76" s="15" t="s">
        <v>21</v>
      </c>
      <c r="C76" s="95">
        <v>7</v>
      </c>
      <c r="D76" s="95">
        <v>10</v>
      </c>
      <c r="E76" s="95">
        <v>116</v>
      </c>
      <c r="F76" s="99">
        <v>116</v>
      </c>
    </row>
    <row r="77" spans="1:7" x14ac:dyDescent="0.25">
      <c r="A77" s="92">
        <v>5</v>
      </c>
      <c r="B77" s="19" t="s">
        <v>22</v>
      </c>
      <c r="C77" s="95">
        <v>5</v>
      </c>
      <c r="D77" s="95">
        <v>6</v>
      </c>
      <c r="E77" s="95">
        <v>72</v>
      </c>
      <c r="F77" s="99">
        <v>120</v>
      </c>
    </row>
    <row r="78" spans="1:7" x14ac:dyDescent="0.25">
      <c r="A78" s="92">
        <v>6</v>
      </c>
      <c r="B78" s="19" t="s">
        <v>23</v>
      </c>
      <c r="C78" s="95">
        <v>5</v>
      </c>
      <c r="D78" s="95">
        <v>9</v>
      </c>
      <c r="E78" s="95">
        <v>94</v>
      </c>
      <c r="F78" s="99">
        <v>104.44444444444444</v>
      </c>
    </row>
    <row r="79" spans="1:7" x14ac:dyDescent="0.25">
      <c r="A79" s="92">
        <v>7</v>
      </c>
      <c r="B79" s="19" t="s">
        <v>24</v>
      </c>
      <c r="C79" s="95">
        <v>4</v>
      </c>
      <c r="D79" s="95">
        <v>3</v>
      </c>
      <c r="E79" s="95">
        <v>30</v>
      </c>
      <c r="F79" s="99">
        <v>100</v>
      </c>
    </row>
    <row r="80" spans="1:7" ht="15.75" thickBot="1" x14ac:dyDescent="0.3">
      <c r="A80" s="93">
        <v>8</v>
      </c>
      <c r="B80" s="15" t="s">
        <v>25</v>
      </c>
      <c r="C80" s="96">
        <v>12</v>
      </c>
      <c r="D80" s="96">
        <v>12</v>
      </c>
      <c r="E80" s="96">
        <v>360</v>
      </c>
      <c r="F80" s="100">
        <v>300</v>
      </c>
    </row>
    <row r="81" spans="1:7" ht="16.5" thickTop="1" thickBot="1" x14ac:dyDescent="0.3">
      <c r="A81" s="190" t="s">
        <v>26</v>
      </c>
      <c r="B81" s="191"/>
      <c r="C81" s="97">
        <f>SUM(C73:C80)</f>
        <v>72</v>
      </c>
      <c r="D81" s="97">
        <f>SUM(D73:D80)</f>
        <v>53</v>
      </c>
      <c r="E81" s="97">
        <f t="shared" ref="E81" si="4">SUM(E73:E80)</f>
        <v>862</v>
      </c>
      <c r="F81" s="101">
        <f>E81/D81*10</f>
        <v>162.64150943396228</v>
      </c>
      <c r="G81">
        <f>E81/D81*10</f>
        <v>162.64150943396228</v>
      </c>
    </row>
    <row r="92" spans="1:7" ht="15.75" thickBot="1" x14ac:dyDescent="0.3">
      <c r="A92" s="82" t="s">
        <v>90</v>
      </c>
    </row>
    <row r="93" spans="1:7" x14ac:dyDescent="0.25">
      <c r="A93" s="192" t="s">
        <v>2</v>
      </c>
      <c r="B93" s="194" t="s">
        <v>3</v>
      </c>
      <c r="C93" s="84" t="s">
        <v>68</v>
      </c>
      <c r="D93" s="84" t="s">
        <v>69</v>
      </c>
      <c r="E93" s="84" t="s">
        <v>70</v>
      </c>
      <c r="F93" s="85" t="s">
        <v>67</v>
      </c>
    </row>
    <row r="94" spans="1:7" x14ac:dyDescent="0.25">
      <c r="A94" s="193"/>
      <c r="B94" s="180"/>
      <c r="C94" s="86" t="s">
        <v>1</v>
      </c>
      <c r="D94" s="86" t="s">
        <v>1</v>
      </c>
      <c r="E94" s="86" t="s">
        <v>29</v>
      </c>
      <c r="F94" s="87" t="s">
        <v>31</v>
      </c>
    </row>
    <row r="95" spans="1:7" ht="15.75" thickBot="1" x14ac:dyDescent="0.3">
      <c r="A95" s="88">
        <v>1</v>
      </c>
      <c r="B95" s="83">
        <v>2</v>
      </c>
      <c r="C95" s="83">
        <v>3</v>
      </c>
      <c r="D95" s="83">
        <v>4</v>
      </c>
      <c r="E95" s="83">
        <v>5</v>
      </c>
      <c r="F95" s="89">
        <v>6</v>
      </c>
    </row>
    <row r="96" spans="1:7" ht="15.75" thickTop="1" x14ac:dyDescent="0.25">
      <c r="A96" s="90">
        <v>1</v>
      </c>
      <c r="B96" s="7" t="s">
        <v>18</v>
      </c>
      <c r="C96" s="94">
        <v>6</v>
      </c>
      <c r="D96" s="102">
        <v>1</v>
      </c>
      <c r="E96" s="102">
        <v>10</v>
      </c>
      <c r="F96" s="117">
        <v>100</v>
      </c>
    </row>
    <row r="97" spans="1:7" x14ac:dyDescent="0.25">
      <c r="A97" s="91">
        <v>2</v>
      </c>
      <c r="B97" s="12" t="s">
        <v>19</v>
      </c>
      <c r="C97" s="95">
        <v>2</v>
      </c>
      <c r="D97" s="95">
        <v>4</v>
      </c>
      <c r="E97" s="95">
        <v>24</v>
      </c>
      <c r="F97" s="99">
        <v>60</v>
      </c>
    </row>
    <row r="98" spans="1:7" x14ac:dyDescent="0.25">
      <c r="A98" s="91">
        <v>3</v>
      </c>
      <c r="B98" s="7" t="s">
        <v>20</v>
      </c>
      <c r="C98" s="95">
        <v>0</v>
      </c>
      <c r="D98" s="95">
        <v>0</v>
      </c>
      <c r="E98" s="95">
        <v>0</v>
      </c>
      <c r="F98" s="99">
        <v>0</v>
      </c>
    </row>
    <row r="99" spans="1:7" x14ac:dyDescent="0.25">
      <c r="A99" s="92">
        <v>4</v>
      </c>
      <c r="B99" s="15" t="s">
        <v>21</v>
      </c>
      <c r="C99" s="95">
        <v>9</v>
      </c>
      <c r="D99" s="95">
        <v>10</v>
      </c>
      <c r="E99" s="95">
        <v>106</v>
      </c>
      <c r="F99" s="99">
        <v>106</v>
      </c>
    </row>
    <row r="100" spans="1:7" x14ac:dyDescent="0.25">
      <c r="A100" s="92">
        <v>5</v>
      </c>
      <c r="B100" s="19" t="s">
        <v>22</v>
      </c>
      <c r="C100" s="95">
        <v>4</v>
      </c>
      <c r="D100" s="95">
        <v>2</v>
      </c>
      <c r="E100" s="95">
        <v>23</v>
      </c>
      <c r="F100" s="99">
        <v>115</v>
      </c>
    </row>
    <row r="101" spans="1:7" x14ac:dyDescent="0.25">
      <c r="A101" s="92">
        <v>6</v>
      </c>
      <c r="B101" s="19" t="s">
        <v>23</v>
      </c>
      <c r="C101" s="95">
        <v>0</v>
      </c>
      <c r="D101" s="95">
        <v>0</v>
      </c>
      <c r="E101" s="95">
        <v>0</v>
      </c>
      <c r="F101" s="99">
        <v>0</v>
      </c>
    </row>
    <row r="102" spans="1:7" x14ac:dyDescent="0.25">
      <c r="A102" s="92">
        <v>7</v>
      </c>
      <c r="B102" s="19" t="s">
        <v>24</v>
      </c>
      <c r="C102" s="95">
        <v>3</v>
      </c>
      <c r="D102" s="95">
        <v>3</v>
      </c>
      <c r="E102" s="95">
        <v>20</v>
      </c>
      <c r="F102" s="99">
        <v>66.666666666666671</v>
      </c>
    </row>
    <row r="103" spans="1:7" ht="15.75" thickBot="1" x14ac:dyDescent="0.3">
      <c r="A103" s="93">
        <v>8</v>
      </c>
      <c r="B103" s="15" t="s">
        <v>25</v>
      </c>
      <c r="C103" s="96">
        <v>5</v>
      </c>
      <c r="D103" s="96">
        <v>6</v>
      </c>
      <c r="E103" s="96">
        <v>139</v>
      </c>
      <c r="F103" s="100">
        <v>231.66666666666669</v>
      </c>
    </row>
    <row r="104" spans="1:7" ht="16.5" thickTop="1" thickBot="1" x14ac:dyDescent="0.3">
      <c r="A104" s="190" t="s">
        <v>26</v>
      </c>
      <c r="B104" s="191"/>
      <c r="C104" s="97">
        <f>SUM(C96:C103)</f>
        <v>29</v>
      </c>
      <c r="D104" s="97">
        <f>SUM(D96:D103)</f>
        <v>26</v>
      </c>
      <c r="E104" s="97">
        <f t="shared" ref="E104" si="5">SUM(E96:E103)</f>
        <v>322</v>
      </c>
      <c r="F104" s="101">
        <f>E104/D104*10</f>
        <v>123.84615384615385</v>
      </c>
      <c r="G104">
        <f>E104/D104*10</f>
        <v>123.84615384615385</v>
      </c>
    </row>
    <row r="106" spans="1:7" ht="15.75" thickBot="1" x14ac:dyDescent="0.3">
      <c r="A106" s="82" t="s">
        <v>91</v>
      </c>
    </row>
    <row r="107" spans="1:7" x14ac:dyDescent="0.25">
      <c r="A107" s="192" t="s">
        <v>2</v>
      </c>
      <c r="B107" s="194" t="s">
        <v>3</v>
      </c>
      <c r="C107" s="84" t="s">
        <v>68</v>
      </c>
      <c r="D107" s="84" t="s">
        <v>69</v>
      </c>
      <c r="E107" s="84" t="s">
        <v>70</v>
      </c>
      <c r="F107" s="85" t="s">
        <v>67</v>
      </c>
    </row>
    <row r="108" spans="1:7" x14ac:dyDescent="0.25">
      <c r="A108" s="193"/>
      <c r="B108" s="180"/>
      <c r="C108" s="86" t="s">
        <v>1</v>
      </c>
      <c r="D108" s="86" t="s">
        <v>1</v>
      </c>
      <c r="E108" s="86" t="s">
        <v>29</v>
      </c>
      <c r="F108" s="87" t="s">
        <v>31</v>
      </c>
    </row>
    <row r="109" spans="1:7" ht="15.75" thickBot="1" x14ac:dyDescent="0.3">
      <c r="A109" s="88">
        <v>1</v>
      </c>
      <c r="B109" s="83">
        <v>2</v>
      </c>
      <c r="C109" s="83">
        <v>3</v>
      </c>
      <c r="D109" s="83">
        <v>4</v>
      </c>
      <c r="E109" s="83">
        <v>5</v>
      </c>
      <c r="F109" s="89">
        <v>6</v>
      </c>
    </row>
    <row r="110" spans="1:7" ht="15.75" thickTop="1" x14ac:dyDescent="0.25">
      <c r="A110" s="90">
        <v>1</v>
      </c>
      <c r="B110" s="7" t="s">
        <v>18</v>
      </c>
      <c r="C110" s="94">
        <v>21</v>
      </c>
      <c r="D110" s="102">
        <v>15</v>
      </c>
      <c r="E110" s="102">
        <v>14</v>
      </c>
      <c r="F110" s="117">
        <v>9.3333333333333339</v>
      </c>
    </row>
    <row r="111" spans="1:7" x14ac:dyDescent="0.25">
      <c r="A111" s="91">
        <v>2</v>
      </c>
      <c r="B111" s="12" t="s">
        <v>19</v>
      </c>
      <c r="C111" s="95">
        <v>0</v>
      </c>
      <c r="D111" s="95">
        <v>0</v>
      </c>
      <c r="E111" s="95">
        <v>0</v>
      </c>
      <c r="F111" s="99">
        <v>0</v>
      </c>
    </row>
    <row r="112" spans="1:7" x14ac:dyDescent="0.25">
      <c r="A112" s="91">
        <v>3</v>
      </c>
      <c r="B112" s="7" t="s">
        <v>20</v>
      </c>
      <c r="C112" s="95">
        <v>5</v>
      </c>
      <c r="D112" s="95">
        <v>5</v>
      </c>
      <c r="E112" s="95">
        <v>5</v>
      </c>
      <c r="F112" s="99">
        <v>10</v>
      </c>
    </row>
    <row r="113" spans="1:7" x14ac:dyDescent="0.25">
      <c r="A113" s="92">
        <v>4</v>
      </c>
      <c r="B113" s="15" t="s">
        <v>21</v>
      </c>
      <c r="C113" s="95">
        <v>1</v>
      </c>
      <c r="D113" s="95">
        <v>1</v>
      </c>
      <c r="E113" s="95">
        <v>1</v>
      </c>
      <c r="F113" s="99">
        <v>10</v>
      </c>
    </row>
    <row r="114" spans="1:7" x14ac:dyDescent="0.25">
      <c r="A114" s="92">
        <v>5</v>
      </c>
      <c r="B114" s="19" t="s">
        <v>22</v>
      </c>
      <c r="C114" s="95">
        <v>5</v>
      </c>
      <c r="D114" s="95">
        <v>5</v>
      </c>
      <c r="E114" s="95">
        <v>4</v>
      </c>
      <c r="F114" s="99">
        <v>8</v>
      </c>
    </row>
    <row r="115" spans="1:7" x14ac:dyDescent="0.25">
      <c r="A115" s="92">
        <v>6</v>
      </c>
      <c r="B115" s="19" t="s">
        <v>23</v>
      </c>
      <c r="C115" s="95">
        <v>0</v>
      </c>
      <c r="D115" s="95">
        <v>0</v>
      </c>
      <c r="E115" s="95">
        <v>0</v>
      </c>
      <c r="F115" s="99">
        <v>0</v>
      </c>
    </row>
    <row r="116" spans="1:7" x14ac:dyDescent="0.25">
      <c r="A116" s="92">
        <v>7</v>
      </c>
      <c r="B116" s="19" t="s">
        <v>24</v>
      </c>
      <c r="C116" s="95">
        <v>0</v>
      </c>
      <c r="D116" s="95">
        <v>0</v>
      </c>
      <c r="E116" s="95">
        <v>0</v>
      </c>
      <c r="F116" s="99">
        <v>0</v>
      </c>
    </row>
    <row r="117" spans="1:7" ht="15.75" thickBot="1" x14ac:dyDescent="0.3">
      <c r="A117" s="93">
        <v>8</v>
      </c>
      <c r="B117" s="15" t="s">
        <v>25</v>
      </c>
      <c r="C117" s="96">
        <v>7</v>
      </c>
      <c r="D117" s="96">
        <v>8</v>
      </c>
      <c r="E117" s="96">
        <v>8</v>
      </c>
      <c r="F117" s="100">
        <v>10</v>
      </c>
    </row>
    <row r="118" spans="1:7" ht="16.5" thickTop="1" thickBot="1" x14ac:dyDescent="0.3">
      <c r="A118" s="190" t="s">
        <v>26</v>
      </c>
      <c r="B118" s="191"/>
      <c r="C118" s="97">
        <f>SUM(C110:C117)</f>
        <v>39</v>
      </c>
      <c r="D118" s="97">
        <f>SUM(D110:D117)</f>
        <v>34</v>
      </c>
      <c r="E118" s="97">
        <f t="shared" ref="E118" si="6">SUM(E110:E117)</f>
        <v>32</v>
      </c>
      <c r="F118" s="101">
        <f>E118/D118*10</f>
        <v>9.4117647058823533</v>
      </c>
      <c r="G118">
        <f>E118/D118*10</f>
        <v>9.4117647058823533</v>
      </c>
    </row>
  </sheetData>
  <mergeCells count="21">
    <mergeCell ref="A33:A34"/>
    <mergeCell ref="B33:B34"/>
    <mergeCell ref="A44:B44"/>
    <mergeCell ref="A5:A6"/>
    <mergeCell ref="B5:B6"/>
    <mergeCell ref="A16:B16"/>
    <mergeCell ref="A19:A20"/>
    <mergeCell ref="B19:B20"/>
    <mergeCell ref="A30:B30"/>
    <mergeCell ref="A118:B118"/>
    <mergeCell ref="A56:A57"/>
    <mergeCell ref="B56:B57"/>
    <mergeCell ref="A67:B67"/>
    <mergeCell ref="A70:A71"/>
    <mergeCell ref="B70:B71"/>
    <mergeCell ref="A81:B81"/>
    <mergeCell ref="A93:A94"/>
    <mergeCell ref="B93:B94"/>
    <mergeCell ref="A104:B104"/>
    <mergeCell ref="A107:A108"/>
    <mergeCell ref="B107:B108"/>
  </mergeCells>
  <pageMargins left="0.7" right="0.7" top="0.75" bottom="0.75" header="0.3" footer="0.3"/>
  <pageSetup paperSize="9" scale="95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E14"/>
    </sheetView>
  </sheetViews>
  <sheetFormatPr defaultRowHeight="15" x14ac:dyDescent="0.25"/>
  <cols>
    <col min="1" max="1" width="4.7109375" customWidth="1"/>
    <col min="2" max="2" width="16.140625" customWidth="1"/>
  </cols>
  <sheetData>
    <row r="1" spans="1:5" x14ac:dyDescent="0.25">
      <c r="A1" t="s">
        <v>119</v>
      </c>
    </row>
    <row r="3" spans="1:5" x14ac:dyDescent="0.25">
      <c r="A3" s="179" t="s">
        <v>2</v>
      </c>
      <c r="B3" s="179" t="s">
        <v>3</v>
      </c>
      <c r="C3" s="197" t="s">
        <v>4</v>
      </c>
      <c r="D3" s="197"/>
      <c r="E3" s="197"/>
    </row>
    <row r="4" spans="1:5" x14ac:dyDescent="0.25">
      <c r="A4" s="180"/>
      <c r="B4" s="180"/>
      <c r="C4" s="165">
        <v>41974</v>
      </c>
      <c r="D4" s="165">
        <v>42005</v>
      </c>
      <c r="E4" s="165">
        <v>42036</v>
      </c>
    </row>
    <row r="5" spans="1:5" ht="15.75" thickBot="1" x14ac:dyDescent="0.3">
      <c r="A5" s="5">
        <v>1</v>
      </c>
      <c r="B5" s="5">
        <v>2</v>
      </c>
      <c r="C5" s="5">
        <v>3</v>
      </c>
      <c r="D5" s="5">
        <v>4</v>
      </c>
      <c r="E5" s="5">
        <v>5</v>
      </c>
    </row>
    <row r="6" spans="1:5" ht="21" customHeight="1" thickTop="1" x14ac:dyDescent="0.25">
      <c r="A6" s="167">
        <v>1</v>
      </c>
      <c r="B6" s="12" t="s">
        <v>18</v>
      </c>
      <c r="C6" s="94">
        <v>0</v>
      </c>
      <c r="D6" s="94">
        <v>204</v>
      </c>
      <c r="E6" s="94">
        <v>0</v>
      </c>
    </row>
    <row r="7" spans="1:5" ht="21" customHeight="1" x14ac:dyDescent="0.25">
      <c r="A7" s="168">
        <v>2</v>
      </c>
      <c r="B7" s="169" t="s">
        <v>19</v>
      </c>
      <c r="C7" s="170">
        <v>125</v>
      </c>
      <c r="D7" s="170">
        <v>114</v>
      </c>
      <c r="E7" s="170">
        <v>0</v>
      </c>
    </row>
    <row r="8" spans="1:5" ht="21" customHeight="1" x14ac:dyDescent="0.25">
      <c r="A8" s="168">
        <v>3</v>
      </c>
      <c r="B8" s="169" t="s">
        <v>20</v>
      </c>
      <c r="C8" s="170">
        <v>10</v>
      </c>
      <c r="D8" s="170">
        <v>38</v>
      </c>
      <c r="E8" s="170">
        <v>0</v>
      </c>
    </row>
    <row r="9" spans="1:5" ht="21" customHeight="1" x14ac:dyDescent="0.25">
      <c r="A9" s="171">
        <v>4</v>
      </c>
      <c r="B9" s="172" t="s">
        <v>21</v>
      </c>
      <c r="C9" s="170">
        <v>165</v>
      </c>
      <c r="D9" s="170">
        <v>16</v>
      </c>
      <c r="E9" s="170">
        <v>0</v>
      </c>
    </row>
    <row r="10" spans="1:5" ht="21" customHeight="1" x14ac:dyDescent="0.25">
      <c r="A10" s="171">
        <v>5</v>
      </c>
      <c r="B10" s="172" t="s">
        <v>22</v>
      </c>
      <c r="C10" s="170">
        <v>25</v>
      </c>
      <c r="D10" s="170">
        <v>225</v>
      </c>
      <c r="E10" s="170">
        <v>0</v>
      </c>
    </row>
    <row r="11" spans="1:5" ht="21" customHeight="1" x14ac:dyDescent="0.25">
      <c r="A11" s="171">
        <v>6</v>
      </c>
      <c r="B11" s="172" t="s">
        <v>23</v>
      </c>
      <c r="C11" s="170">
        <v>36</v>
      </c>
      <c r="D11" s="170">
        <v>0</v>
      </c>
      <c r="E11" s="170">
        <v>0</v>
      </c>
    </row>
    <row r="12" spans="1:5" ht="21" customHeight="1" x14ac:dyDescent="0.25">
      <c r="A12" s="171">
        <v>7</v>
      </c>
      <c r="B12" s="172" t="s">
        <v>24</v>
      </c>
      <c r="C12" s="170">
        <v>144</v>
      </c>
      <c r="D12" s="170">
        <v>133</v>
      </c>
      <c r="E12" s="170">
        <v>0</v>
      </c>
    </row>
    <row r="13" spans="1:5" ht="21" customHeight="1" thickBot="1" x14ac:dyDescent="0.3">
      <c r="A13" s="173">
        <v>8</v>
      </c>
      <c r="B13" s="174" t="s">
        <v>25</v>
      </c>
      <c r="C13" s="175">
        <v>73</v>
      </c>
      <c r="D13" s="175">
        <v>201</v>
      </c>
      <c r="E13" s="175">
        <v>0</v>
      </c>
    </row>
    <row r="14" spans="1:5" ht="21" customHeight="1" thickTop="1" x14ac:dyDescent="0.25">
      <c r="A14" s="195" t="s">
        <v>26</v>
      </c>
      <c r="B14" s="196"/>
      <c r="C14" s="166">
        <f>SUM(C6:C13)</f>
        <v>578</v>
      </c>
      <c r="D14" s="166">
        <f t="shared" ref="D14:E14" si="0">SUM(D6:D13)</f>
        <v>931</v>
      </c>
      <c r="E14" s="166">
        <f t="shared" si="0"/>
        <v>0</v>
      </c>
    </row>
  </sheetData>
  <mergeCells count="4">
    <mergeCell ref="A3:A4"/>
    <mergeCell ref="B3:B4"/>
    <mergeCell ref="A14:B14"/>
    <mergeCell ref="C3:E3"/>
  </mergeCells>
  <pageMargins left="0.99" right="0.7" top="1.07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4"/>
  <sheetViews>
    <sheetView topLeftCell="A4" workbookViewId="0">
      <selection activeCell="D2" sqref="D2"/>
    </sheetView>
  </sheetViews>
  <sheetFormatPr defaultRowHeight="15" x14ac:dyDescent="0.25"/>
  <cols>
    <col min="1" max="1" width="4.85546875" customWidth="1"/>
    <col min="2" max="2" width="14.140625" customWidth="1"/>
    <col min="3" max="10" width="10" customWidth="1"/>
  </cols>
  <sheetData>
    <row r="1" spans="1:20" ht="15.75" x14ac:dyDescent="0.25">
      <c r="A1" s="164" t="s">
        <v>118</v>
      </c>
    </row>
    <row r="2" spans="1:20" ht="12" customHeight="1" x14ac:dyDescent="0.25"/>
    <row r="3" spans="1:20" ht="15.75" thickBot="1" x14ac:dyDescent="0.3">
      <c r="A3" s="82" t="s">
        <v>106</v>
      </c>
      <c r="N3">
        <v>2010</v>
      </c>
      <c r="O3">
        <v>2011</v>
      </c>
      <c r="P3">
        <v>2012</v>
      </c>
      <c r="Q3">
        <v>2013</v>
      </c>
      <c r="R3">
        <v>2014</v>
      </c>
    </row>
    <row r="4" spans="1:20" x14ac:dyDescent="0.25">
      <c r="A4" s="201" t="s">
        <v>100</v>
      </c>
      <c r="B4" s="198" t="s">
        <v>101</v>
      </c>
      <c r="C4" s="198" t="s">
        <v>103</v>
      </c>
      <c r="D4" s="198"/>
      <c r="E4" s="198"/>
      <c r="F4" s="198"/>
      <c r="G4" s="198" t="s">
        <v>109</v>
      </c>
      <c r="H4" s="198"/>
      <c r="I4" s="198"/>
      <c r="J4" s="204"/>
    </row>
    <row r="5" spans="1:20" x14ac:dyDescent="0.25">
      <c r="A5" s="202"/>
      <c r="B5" s="199"/>
      <c r="C5" s="153" t="s">
        <v>68</v>
      </c>
      <c r="D5" s="153" t="s">
        <v>69</v>
      </c>
      <c r="E5" s="153" t="s">
        <v>70</v>
      </c>
      <c r="F5" s="153" t="s">
        <v>102</v>
      </c>
      <c r="G5" s="153" t="s">
        <v>68</v>
      </c>
      <c r="H5" s="153" t="s">
        <v>69</v>
      </c>
      <c r="I5" s="153" t="s">
        <v>70</v>
      </c>
      <c r="J5" s="154" t="s">
        <v>102</v>
      </c>
      <c r="L5" t="s">
        <v>99</v>
      </c>
      <c r="N5" s="133">
        <v>52.975761612021863</v>
      </c>
      <c r="O5" s="133">
        <v>51.926056338028168</v>
      </c>
      <c r="P5" s="133">
        <v>55.532544378698219</v>
      </c>
      <c r="Q5" s="133">
        <v>52.663172939494991</v>
      </c>
      <c r="R5" s="133">
        <v>60.795847574188912</v>
      </c>
      <c r="S5" s="133">
        <f>SUM(N5:R5)/5</f>
        <v>54.778676568486432</v>
      </c>
      <c r="T5">
        <v>54.78</v>
      </c>
    </row>
    <row r="6" spans="1:20" ht="15.75" thickBot="1" x14ac:dyDescent="0.3">
      <c r="A6" s="203"/>
      <c r="B6" s="200"/>
      <c r="C6" s="155" t="s">
        <v>1</v>
      </c>
      <c r="D6" s="155" t="s">
        <v>1</v>
      </c>
      <c r="E6" s="155" t="s">
        <v>29</v>
      </c>
      <c r="F6" s="155" t="s">
        <v>31</v>
      </c>
      <c r="G6" s="155" t="s">
        <v>1</v>
      </c>
      <c r="H6" s="155" t="s">
        <v>1</v>
      </c>
      <c r="I6" s="155" t="s">
        <v>29</v>
      </c>
      <c r="J6" s="156" t="s">
        <v>31</v>
      </c>
    </row>
    <row r="7" spans="1:20" ht="15.75" thickTop="1" x14ac:dyDescent="0.25">
      <c r="A7" s="136">
        <v>1</v>
      </c>
      <c r="B7" s="137" t="s">
        <v>18</v>
      </c>
      <c r="C7" s="141">
        <v>9</v>
      </c>
      <c r="D7" s="141">
        <v>115</v>
      </c>
      <c r="E7" s="141">
        <v>526</v>
      </c>
      <c r="F7" s="145">
        <f>E7/D7*10</f>
        <v>45.739130434782609</v>
      </c>
      <c r="G7" s="141">
        <v>29</v>
      </c>
      <c r="H7" s="141">
        <v>226</v>
      </c>
      <c r="I7" s="141">
        <v>1427</v>
      </c>
      <c r="J7" s="149">
        <f>I7/H7*10</f>
        <v>63.141592920353986</v>
      </c>
    </row>
    <row r="8" spans="1:20" x14ac:dyDescent="0.25">
      <c r="A8" s="138">
        <v>2</v>
      </c>
      <c r="B8" s="7" t="s">
        <v>19</v>
      </c>
      <c r="C8" s="142">
        <v>51</v>
      </c>
      <c r="D8" s="142">
        <v>240</v>
      </c>
      <c r="E8" s="142">
        <v>2216</v>
      </c>
      <c r="F8" s="146">
        <f t="shared" ref="F8:F14" si="0">E8/D8*10</f>
        <v>92.333333333333329</v>
      </c>
      <c r="G8" s="142">
        <v>106</v>
      </c>
      <c r="H8" s="142">
        <v>278</v>
      </c>
      <c r="I8" s="142">
        <v>2144</v>
      </c>
      <c r="J8" s="150">
        <f t="shared" ref="J8:J15" si="1">I8/H8*10</f>
        <v>77.122302158273385</v>
      </c>
    </row>
    <row r="9" spans="1:20" x14ac:dyDescent="0.25">
      <c r="A9" s="138">
        <v>3</v>
      </c>
      <c r="B9" s="7" t="s">
        <v>20</v>
      </c>
      <c r="C9" s="142">
        <v>25</v>
      </c>
      <c r="D9" s="142">
        <v>73</v>
      </c>
      <c r="E9" s="142">
        <v>446</v>
      </c>
      <c r="F9" s="146">
        <f t="shared" si="0"/>
        <v>61.095890410958908</v>
      </c>
      <c r="G9" s="142">
        <v>15</v>
      </c>
      <c r="H9" s="142">
        <v>53</v>
      </c>
      <c r="I9" s="142">
        <v>289</v>
      </c>
      <c r="J9" s="150">
        <f t="shared" si="1"/>
        <v>54.528301886792448</v>
      </c>
    </row>
    <row r="10" spans="1:20" x14ac:dyDescent="0.25">
      <c r="A10" s="138">
        <v>4</v>
      </c>
      <c r="B10" s="19" t="s">
        <v>21</v>
      </c>
      <c r="C10" s="142">
        <v>3</v>
      </c>
      <c r="D10" s="142">
        <v>238</v>
      </c>
      <c r="E10" s="142">
        <v>1501</v>
      </c>
      <c r="F10" s="146">
        <f t="shared" si="0"/>
        <v>63.067226890756302</v>
      </c>
      <c r="G10" s="142">
        <v>16</v>
      </c>
      <c r="H10" s="142">
        <v>23</v>
      </c>
      <c r="I10" s="142">
        <v>141</v>
      </c>
      <c r="J10" s="150">
        <f t="shared" si="1"/>
        <v>61.304347826086953</v>
      </c>
    </row>
    <row r="11" spans="1:20" x14ac:dyDescent="0.25">
      <c r="A11" s="138">
        <v>5</v>
      </c>
      <c r="B11" s="19" t="s">
        <v>22</v>
      </c>
      <c r="C11" s="142">
        <v>30</v>
      </c>
      <c r="D11" s="142">
        <v>220</v>
      </c>
      <c r="E11" s="142">
        <v>1231</v>
      </c>
      <c r="F11" s="146">
        <f t="shared" si="0"/>
        <v>55.954545454545453</v>
      </c>
      <c r="G11" s="142">
        <v>20</v>
      </c>
      <c r="H11" s="142">
        <v>235</v>
      </c>
      <c r="I11" s="142">
        <v>1406</v>
      </c>
      <c r="J11" s="150">
        <f t="shared" si="1"/>
        <v>59.829787234042556</v>
      </c>
    </row>
    <row r="12" spans="1:20" x14ac:dyDescent="0.25">
      <c r="A12" s="138">
        <v>6</v>
      </c>
      <c r="B12" s="19" t="s">
        <v>23</v>
      </c>
      <c r="C12" s="142">
        <v>23</v>
      </c>
      <c r="D12" s="142">
        <v>78</v>
      </c>
      <c r="E12" s="142">
        <v>441</v>
      </c>
      <c r="F12" s="146">
        <f t="shared" si="0"/>
        <v>56.53846153846154</v>
      </c>
      <c r="G12" s="142">
        <v>38</v>
      </c>
      <c r="H12" s="142">
        <v>16</v>
      </c>
      <c r="I12" s="142">
        <v>112</v>
      </c>
      <c r="J12" s="150">
        <f t="shared" si="1"/>
        <v>70</v>
      </c>
    </row>
    <row r="13" spans="1:20" x14ac:dyDescent="0.25">
      <c r="A13" s="138">
        <v>7</v>
      </c>
      <c r="B13" s="19" t="s">
        <v>24</v>
      </c>
      <c r="C13" s="142">
        <v>255</v>
      </c>
      <c r="D13" s="142">
        <v>313</v>
      </c>
      <c r="E13" s="142">
        <v>1677</v>
      </c>
      <c r="F13" s="146">
        <f t="shared" si="0"/>
        <v>53.578274760383387</v>
      </c>
      <c r="G13" s="142">
        <v>307</v>
      </c>
      <c r="H13" s="142">
        <v>217</v>
      </c>
      <c r="I13" s="142">
        <v>1344</v>
      </c>
      <c r="J13" s="150">
        <f t="shared" si="1"/>
        <v>61.935483870967744</v>
      </c>
    </row>
    <row r="14" spans="1:20" ht="15.75" thickBot="1" x14ac:dyDescent="0.3">
      <c r="A14" s="139">
        <v>8</v>
      </c>
      <c r="B14" s="140" t="s">
        <v>25</v>
      </c>
      <c r="C14" s="143">
        <v>193</v>
      </c>
      <c r="D14" s="143">
        <v>430</v>
      </c>
      <c r="E14" s="143">
        <v>2659</v>
      </c>
      <c r="F14" s="147">
        <f t="shared" si="0"/>
        <v>61.837209302325576</v>
      </c>
      <c r="G14" s="143">
        <v>164</v>
      </c>
      <c r="H14" s="143">
        <v>219</v>
      </c>
      <c r="I14" s="143">
        <v>1308</v>
      </c>
      <c r="J14" s="151">
        <f t="shared" si="1"/>
        <v>59.726027397260275</v>
      </c>
    </row>
    <row r="15" spans="1:20" ht="16.5" thickTop="1" thickBot="1" x14ac:dyDescent="0.3">
      <c r="A15" s="205" t="s">
        <v>26</v>
      </c>
      <c r="B15" s="206"/>
      <c r="C15" s="144">
        <f>SUM(C7:C14)</f>
        <v>589</v>
      </c>
      <c r="D15" s="144">
        <f t="shared" ref="D15:I15" si="2">SUM(D7:D14)</f>
        <v>1707</v>
      </c>
      <c r="E15" s="144">
        <f t="shared" si="2"/>
        <v>10697</v>
      </c>
      <c r="F15" s="148">
        <f>E15/D15*10</f>
        <v>62.665495020503812</v>
      </c>
      <c r="G15" s="144">
        <f t="shared" si="2"/>
        <v>695</v>
      </c>
      <c r="H15" s="144">
        <f t="shared" si="2"/>
        <v>1267</v>
      </c>
      <c r="I15" s="144">
        <f t="shared" si="2"/>
        <v>8171</v>
      </c>
      <c r="J15" s="152">
        <f t="shared" si="1"/>
        <v>64.490923441199683</v>
      </c>
    </row>
    <row r="16" spans="1:20" x14ac:dyDescent="0.25">
      <c r="A16" s="162" t="s">
        <v>110</v>
      </c>
      <c r="B16" s="159"/>
      <c r="C16" s="160"/>
      <c r="D16" s="160"/>
      <c r="E16" s="160"/>
      <c r="F16" s="161"/>
      <c r="G16" s="160"/>
      <c r="H16" s="160"/>
      <c r="I16" s="160"/>
      <c r="J16" s="161"/>
    </row>
    <row r="17" spans="1:10" ht="12" customHeight="1" x14ac:dyDescent="0.25"/>
    <row r="18" spans="1:10" ht="15.75" thickBot="1" x14ac:dyDescent="0.3">
      <c r="A18" s="82" t="s">
        <v>107</v>
      </c>
    </row>
    <row r="19" spans="1:10" x14ac:dyDescent="0.25">
      <c r="A19" s="201" t="s">
        <v>100</v>
      </c>
      <c r="B19" s="198" t="s">
        <v>101</v>
      </c>
      <c r="C19" s="198" t="s">
        <v>103</v>
      </c>
      <c r="D19" s="198"/>
      <c r="E19" s="198"/>
      <c r="F19" s="198"/>
      <c r="G19" s="198" t="s">
        <v>109</v>
      </c>
      <c r="H19" s="198"/>
      <c r="I19" s="198"/>
      <c r="J19" s="204"/>
    </row>
    <row r="20" spans="1:10" x14ac:dyDescent="0.25">
      <c r="A20" s="202"/>
      <c r="B20" s="199"/>
      <c r="C20" s="153" t="s">
        <v>68</v>
      </c>
      <c r="D20" s="153" t="s">
        <v>69</v>
      </c>
      <c r="E20" s="153" t="s">
        <v>70</v>
      </c>
      <c r="F20" s="153" t="s">
        <v>102</v>
      </c>
      <c r="G20" s="153" t="s">
        <v>68</v>
      </c>
      <c r="H20" s="153" t="s">
        <v>69</v>
      </c>
      <c r="I20" s="153" t="s">
        <v>70</v>
      </c>
      <c r="J20" s="154" t="s">
        <v>102</v>
      </c>
    </row>
    <row r="21" spans="1:10" ht="15.75" thickBot="1" x14ac:dyDescent="0.3">
      <c r="A21" s="203"/>
      <c r="B21" s="200"/>
      <c r="C21" s="155" t="s">
        <v>1</v>
      </c>
      <c r="D21" s="155" t="s">
        <v>1</v>
      </c>
      <c r="E21" s="155" t="s">
        <v>29</v>
      </c>
      <c r="F21" s="155" t="s">
        <v>31</v>
      </c>
      <c r="G21" s="155" t="s">
        <v>1</v>
      </c>
      <c r="H21" s="155" t="s">
        <v>1</v>
      </c>
      <c r="I21" s="155" t="s">
        <v>29</v>
      </c>
      <c r="J21" s="156" t="s">
        <v>31</v>
      </c>
    </row>
    <row r="22" spans="1:10" ht="15.75" thickTop="1" x14ac:dyDescent="0.25">
      <c r="A22" s="136">
        <v>1</v>
      </c>
      <c r="B22" s="137" t="s">
        <v>18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9">
        <v>0</v>
      </c>
    </row>
    <row r="23" spans="1:10" x14ac:dyDescent="0.25">
      <c r="A23" s="138">
        <v>2</v>
      </c>
      <c r="B23" s="7" t="s">
        <v>19</v>
      </c>
      <c r="C23" s="142">
        <v>0</v>
      </c>
      <c r="D23" s="142"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v>0</v>
      </c>
      <c r="J23" s="150">
        <v>0</v>
      </c>
    </row>
    <row r="24" spans="1:10" x14ac:dyDescent="0.25">
      <c r="A24" s="138">
        <v>3</v>
      </c>
      <c r="B24" s="7" t="s">
        <v>20</v>
      </c>
      <c r="C24" s="142">
        <v>0</v>
      </c>
      <c r="D24" s="142">
        <v>0</v>
      </c>
      <c r="E24" s="142">
        <v>0</v>
      </c>
      <c r="F24" s="142">
        <v>0</v>
      </c>
      <c r="G24" s="142">
        <v>0</v>
      </c>
      <c r="H24" s="142">
        <v>10</v>
      </c>
      <c r="I24" s="142">
        <v>30</v>
      </c>
      <c r="J24" s="150">
        <v>30.15</v>
      </c>
    </row>
    <row r="25" spans="1:10" x14ac:dyDescent="0.25">
      <c r="A25" s="138">
        <v>4</v>
      </c>
      <c r="B25" s="19" t="s">
        <v>21</v>
      </c>
      <c r="C25" s="142">
        <v>0</v>
      </c>
      <c r="D25" s="142">
        <v>0</v>
      </c>
      <c r="E25" s="142">
        <v>0</v>
      </c>
      <c r="F25" s="142">
        <v>0</v>
      </c>
      <c r="G25" s="142">
        <v>0</v>
      </c>
      <c r="H25" s="142">
        <v>0</v>
      </c>
      <c r="I25" s="142">
        <v>0</v>
      </c>
      <c r="J25" s="150">
        <v>0</v>
      </c>
    </row>
    <row r="26" spans="1:10" x14ac:dyDescent="0.25">
      <c r="A26" s="138">
        <v>5</v>
      </c>
      <c r="B26" s="19" t="s">
        <v>22</v>
      </c>
      <c r="C26" s="142">
        <v>0</v>
      </c>
      <c r="D26" s="142">
        <v>0</v>
      </c>
      <c r="E26" s="142">
        <v>0</v>
      </c>
      <c r="F26" s="142">
        <v>0</v>
      </c>
      <c r="G26" s="142">
        <v>0</v>
      </c>
      <c r="H26" s="142">
        <v>0</v>
      </c>
      <c r="I26" s="142">
        <v>0</v>
      </c>
      <c r="J26" s="150">
        <v>0</v>
      </c>
    </row>
    <row r="27" spans="1:10" x14ac:dyDescent="0.25">
      <c r="A27" s="138">
        <v>6</v>
      </c>
      <c r="B27" s="19" t="s">
        <v>23</v>
      </c>
      <c r="C27" s="142">
        <v>0</v>
      </c>
      <c r="D27" s="142">
        <v>0</v>
      </c>
      <c r="E27" s="142">
        <v>0</v>
      </c>
      <c r="F27" s="142">
        <v>0</v>
      </c>
      <c r="G27" s="142">
        <v>0</v>
      </c>
      <c r="H27" s="142">
        <v>0</v>
      </c>
      <c r="I27" s="142">
        <v>0</v>
      </c>
      <c r="J27" s="150">
        <v>0</v>
      </c>
    </row>
    <row r="28" spans="1:10" x14ac:dyDescent="0.25">
      <c r="A28" s="138">
        <v>7</v>
      </c>
      <c r="B28" s="19" t="s">
        <v>24</v>
      </c>
      <c r="C28" s="142">
        <v>0</v>
      </c>
      <c r="D28" s="142">
        <v>0</v>
      </c>
      <c r="E28" s="142">
        <v>0</v>
      </c>
      <c r="F28" s="142">
        <v>0</v>
      </c>
      <c r="G28" s="142">
        <v>0</v>
      </c>
      <c r="H28" s="142">
        <v>0</v>
      </c>
      <c r="I28" s="142">
        <v>0</v>
      </c>
      <c r="J28" s="150">
        <v>0</v>
      </c>
    </row>
    <row r="29" spans="1:10" ht="15.75" thickBot="1" x14ac:dyDescent="0.3">
      <c r="A29" s="139">
        <v>8</v>
      </c>
      <c r="B29" s="140" t="s">
        <v>25</v>
      </c>
      <c r="C29" s="143">
        <v>0</v>
      </c>
      <c r="D29" s="143">
        <v>0</v>
      </c>
      <c r="E29" s="143">
        <v>0</v>
      </c>
      <c r="F29" s="143">
        <v>0</v>
      </c>
      <c r="G29" s="143">
        <v>0</v>
      </c>
      <c r="H29" s="143">
        <v>0</v>
      </c>
      <c r="I29" s="143">
        <v>0</v>
      </c>
      <c r="J29" s="151">
        <v>0</v>
      </c>
    </row>
    <row r="30" spans="1:10" ht="16.5" thickTop="1" thickBot="1" x14ac:dyDescent="0.3">
      <c r="A30" s="205" t="s">
        <v>26</v>
      </c>
      <c r="B30" s="206"/>
      <c r="C30" s="144">
        <f>SUM(C22:C29)</f>
        <v>0</v>
      </c>
      <c r="D30" s="144">
        <f t="shared" ref="D30" si="3">SUM(D22:D29)</f>
        <v>0</v>
      </c>
      <c r="E30" s="144">
        <f t="shared" ref="E30" si="4">SUM(E22:E29)</f>
        <v>0</v>
      </c>
      <c r="F30" s="148">
        <v>0</v>
      </c>
      <c r="G30" s="144">
        <f t="shared" ref="G30" si="5">SUM(G22:G29)</f>
        <v>0</v>
      </c>
      <c r="H30" s="144">
        <f t="shared" ref="H30" si="6">SUM(H22:H29)</f>
        <v>10</v>
      </c>
      <c r="I30" s="144">
        <f t="shared" ref="I30" si="7">SUM(I22:I29)</f>
        <v>30</v>
      </c>
      <c r="J30" s="152">
        <v>30.15</v>
      </c>
    </row>
    <row r="31" spans="1:10" x14ac:dyDescent="0.25">
      <c r="A31" s="162" t="s">
        <v>110</v>
      </c>
    </row>
    <row r="32" spans="1:10" ht="12" customHeight="1" x14ac:dyDescent="0.25">
      <c r="A32" s="162"/>
    </row>
    <row r="33" spans="1:10" ht="15.75" thickBot="1" x14ac:dyDescent="0.3">
      <c r="A33" s="82" t="s">
        <v>105</v>
      </c>
    </row>
    <row r="34" spans="1:10" x14ac:dyDescent="0.25">
      <c r="A34" s="201" t="s">
        <v>100</v>
      </c>
      <c r="B34" s="198" t="s">
        <v>101</v>
      </c>
      <c r="C34" s="198" t="s">
        <v>103</v>
      </c>
      <c r="D34" s="198"/>
      <c r="E34" s="198"/>
      <c r="F34" s="198"/>
      <c r="G34" s="198" t="s">
        <v>109</v>
      </c>
      <c r="H34" s="198"/>
      <c r="I34" s="198"/>
      <c r="J34" s="204"/>
    </row>
    <row r="35" spans="1:10" x14ac:dyDescent="0.25">
      <c r="A35" s="202"/>
      <c r="B35" s="199"/>
      <c r="C35" s="153" t="s">
        <v>68</v>
      </c>
      <c r="D35" s="153" t="s">
        <v>69</v>
      </c>
      <c r="E35" s="153" t="s">
        <v>70</v>
      </c>
      <c r="F35" s="153" t="s">
        <v>102</v>
      </c>
      <c r="G35" s="153" t="s">
        <v>68</v>
      </c>
      <c r="H35" s="153" t="s">
        <v>69</v>
      </c>
      <c r="I35" s="153" t="s">
        <v>70</v>
      </c>
      <c r="J35" s="154" t="s">
        <v>102</v>
      </c>
    </row>
    <row r="36" spans="1:10" ht="15.75" thickBot="1" x14ac:dyDescent="0.3">
      <c r="A36" s="203"/>
      <c r="B36" s="200"/>
      <c r="C36" s="155" t="s">
        <v>1</v>
      </c>
      <c r="D36" s="155" t="s">
        <v>1</v>
      </c>
      <c r="E36" s="155" t="s">
        <v>29</v>
      </c>
      <c r="F36" s="155" t="s">
        <v>31</v>
      </c>
      <c r="G36" s="155" t="s">
        <v>1</v>
      </c>
      <c r="H36" s="155" t="s">
        <v>1</v>
      </c>
      <c r="I36" s="155" t="s">
        <v>29</v>
      </c>
      <c r="J36" s="156" t="s">
        <v>31</v>
      </c>
    </row>
    <row r="37" spans="1:10" ht="15.75" thickTop="1" x14ac:dyDescent="0.25">
      <c r="A37" s="136">
        <v>1</v>
      </c>
      <c r="B37" s="137" t="s">
        <v>18</v>
      </c>
      <c r="C37" s="141">
        <v>1</v>
      </c>
      <c r="D37" s="158" t="s">
        <v>65</v>
      </c>
      <c r="E37" s="141">
        <v>0</v>
      </c>
      <c r="F37" s="145">
        <v>0</v>
      </c>
      <c r="G37" s="141">
        <v>0</v>
      </c>
      <c r="H37" s="141">
        <v>0</v>
      </c>
      <c r="I37" s="141">
        <v>0</v>
      </c>
      <c r="J37" s="149">
        <v>0</v>
      </c>
    </row>
    <row r="38" spans="1:10" x14ac:dyDescent="0.25">
      <c r="A38" s="138">
        <v>2</v>
      </c>
      <c r="B38" s="7" t="s">
        <v>19</v>
      </c>
      <c r="C38" s="142">
        <v>1</v>
      </c>
      <c r="D38" s="157" t="s">
        <v>65</v>
      </c>
      <c r="E38" s="142">
        <v>0</v>
      </c>
      <c r="F38" s="146">
        <v>0</v>
      </c>
      <c r="G38" s="142">
        <v>1</v>
      </c>
      <c r="H38" s="157" t="s">
        <v>62</v>
      </c>
      <c r="I38" s="142">
        <v>0</v>
      </c>
      <c r="J38" s="150">
        <v>0</v>
      </c>
    </row>
    <row r="39" spans="1:10" x14ac:dyDescent="0.25">
      <c r="A39" s="138">
        <v>3</v>
      </c>
      <c r="B39" s="7" t="s">
        <v>20</v>
      </c>
      <c r="C39" s="142">
        <v>2</v>
      </c>
      <c r="D39" s="142">
        <v>4</v>
      </c>
      <c r="E39" s="142">
        <v>6</v>
      </c>
      <c r="F39" s="146">
        <f t="shared" ref="F39:F44" si="8">E39/D39*10</f>
        <v>15</v>
      </c>
      <c r="G39" s="142">
        <v>2</v>
      </c>
      <c r="H39" s="142">
        <v>5</v>
      </c>
      <c r="I39" s="142">
        <v>14</v>
      </c>
      <c r="J39" s="150">
        <f t="shared" ref="J39:J45" si="9">I39/H39*10</f>
        <v>28</v>
      </c>
    </row>
    <row r="40" spans="1:10" x14ac:dyDescent="0.25">
      <c r="A40" s="138">
        <v>4</v>
      </c>
      <c r="B40" s="19" t="s">
        <v>21</v>
      </c>
      <c r="C40" s="142">
        <v>0</v>
      </c>
      <c r="D40" s="142">
        <v>1</v>
      </c>
      <c r="E40" s="142">
        <v>2</v>
      </c>
      <c r="F40" s="146">
        <f t="shared" si="8"/>
        <v>20</v>
      </c>
      <c r="G40" s="142">
        <v>4</v>
      </c>
      <c r="H40" s="142">
        <v>2</v>
      </c>
      <c r="I40" s="142">
        <v>4</v>
      </c>
      <c r="J40" s="150">
        <f t="shared" si="9"/>
        <v>20</v>
      </c>
    </row>
    <row r="41" spans="1:10" x14ac:dyDescent="0.25">
      <c r="A41" s="138">
        <v>5</v>
      </c>
      <c r="B41" s="19" t="s">
        <v>22</v>
      </c>
      <c r="C41" s="142">
        <v>2</v>
      </c>
      <c r="D41" s="142">
        <v>2</v>
      </c>
      <c r="E41" s="142">
        <v>4</v>
      </c>
      <c r="F41" s="146">
        <f t="shared" si="8"/>
        <v>20</v>
      </c>
      <c r="G41" s="142">
        <v>2</v>
      </c>
      <c r="H41" s="142">
        <v>2</v>
      </c>
      <c r="I41" s="142">
        <v>5</v>
      </c>
      <c r="J41" s="150">
        <f t="shared" si="9"/>
        <v>25</v>
      </c>
    </row>
    <row r="42" spans="1:10" x14ac:dyDescent="0.25">
      <c r="A42" s="138">
        <v>6</v>
      </c>
      <c r="B42" s="19" t="s">
        <v>23</v>
      </c>
      <c r="C42" s="142">
        <v>0</v>
      </c>
      <c r="D42" s="142">
        <v>0</v>
      </c>
      <c r="E42" s="142">
        <v>0</v>
      </c>
      <c r="F42" s="146">
        <v>0</v>
      </c>
      <c r="G42" s="142">
        <v>0</v>
      </c>
      <c r="H42" s="142">
        <v>0</v>
      </c>
      <c r="I42" s="142">
        <v>0</v>
      </c>
      <c r="J42" s="150">
        <v>0</v>
      </c>
    </row>
    <row r="43" spans="1:10" x14ac:dyDescent="0.25">
      <c r="A43" s="138">
        <v>7</v>
      </c>
      <c r="B43" s="19" t="s">
        <v>24</v>
      </c>
      <c r="C43" s="142">
        <v>0</v>
      </c>
      <c r="D43" s="142">
        <v>0</v>
      </c>
      <c r="E43" s="142">
        <v>0</v>
      </c>
      <c r="F43" s="146">
        <v>0</v>
      </c>
      <c r="G43" s="142">
        <v>0</v>
      </c>
      <c r="H43" s="142">
        <v>0</v>
      </c>
      <c r="I43" s="142">
        <v>0</v>
      </c>
      <c r="J43" s="150">
        <v>0</v>
      </c>
    </row>
    <row r="44" spans="1:10" ht="15.75" thickBot="1" x14ac:dyDescent="0.3">
      <c r="A44" s="139">
        <v>8</v>
      </c>
      <c r="B44" s="140" t="s">
        <v>25</v>
      </c>
      <c r="C44" s="143">
        <v>2</v>
      </c>
      <c r="D44" s="143">
        <v>2</v>
      </c>
      <c r="E44" s="143">
        <v>2</v>
      </c>
      <c r="F44" s="147">
        <f t="shared" si="8"/>
        <v>10</v>
      </c>
      <c r="G44" s="143">
        <v>1</v>
      </c>
      <c r="H44" s="143">
        <v>2</v>
      </c>
      <c r="I44" s="143">
        <v>6</v>
      </c>
      <c r="J44" s="151">
        <f t="shared" si="9"/>
        <v>30</v>
      </c>
    </row>
    <row r="45" spans="1:10" ht="16.5" thickTop="1" thickBot="1" x14ac:dyDescent="0.3">
      <c r="A45" s="205" t="s">
        <v>26</v>
      </c>
      <c r="B45" s="206"/>
      <c r="C45" s="144">
        <f>SUM(C37:C44)</f>
        <v>8</v>
      </c>
      <c r="D45" s="144">
        <f t="shared" ref="D45" si="10">SUM(D37:D44)</f>
        <v>9</v>
      </c>
      <c r="E45" s="144">
        <f t="shared" ref="E45" si="11">SUM(E37:E44)</f>
        <v>14</v>
      </c>
      <c r="F45" s="148">
        <f>E45/D45*10</f>
        <v>15.555555555555555</v>
      </c>
      <c r="G45" s="144">
        <f t="shared" ref="G45" si="12">SUM(G37:G44)</f>
        <v>10</v>
      </c>
      <c r="H45" s="144">
        <v>13</v>
      </c>
      <c r="I45" s="144">
        <f>SUM(I37:I44)</f>
        <v>29</v>
      </c>
      <c r="J45" s="152">
        <f t="shared" si="9"/>
        <v>22.307692307692307</v>
      </c>
    </row>
    <row r="46" spans="1:10" x14ac:dyDescent="0.25">
      <c r="A46" s="162" t="s">
        <v>110</v>
      </c>
      <c r="B46" s="163"/>
    </row>
    <row r="47" spans="1:10" x14ac:dyDescent="0.25">
      <c r="A47" s="163"/>
      <c r="B47" s="163" t="s">
        <v>111</v>
      </c>
    </row>
    <row r="48" spans="1:10" ht="12" customHeight="1" x14ac:dyDescent="0.25"/>
    <row r="49" spans="1:10" ht="15.75" thickBot="1" x14ac:dyDescent="0.3">
      <c r="A49" s="82" t="s">
        <v>108</v>
      </c>
    </row>
    <row r="50" spans="1:10" x14ac:dyDescent="0.25">
      <c r="A50" s="207" t="s">
        <v>100</v>
      </c>
      <c r="B50" s="209" t="s">
        <v>101</v>
      </c>
      <c r="C50" s="211" t="s">
        <v>103</v>
      </c>
      <c r="D50" s="212"/>
      <c r="E50" s="212"/>
      <c r="F50" s="213"/>
      <c r="G50" s="198" t="s">
        <v>109</v>
      </c>
      <c r="H50" s="198"/>
      <c r="I50" s="198"/>
      <c r="J50" s="204"/>
    </row>
    <row r="51" spans="1:10" x14ac:dyDescent="0.25">
      <c r="A51" s="202"/>
      <c r="B51" s="199"/>
      <c r="C51" s="153" t="s">
        <v>68</v>
      </c>
      <c r="D51" s="153" t="s">
        <v>69</v>
      </c>
      <c r="E51" s="153" t="s">
        <v>70</v>
      </c>
      <c r="F51" s="153" t="s">
        <v>102</v>
      </c>
      <c r="G51" s="153" t="s">
        <v>68</v>
      </c>
      <c r="H51" s="153" t="s">
        <v>69</v>
      </c>
      <c r="I51" s="153" t="s">
        <v>70</v>
      </c>
      <c r="J51" s="154" t="s">
        <v>102</v>
      </c>
    </row>
    <row r="52" spans="1:10" ht="15.75" thickBot="1" x14ac:dyDescent="0.3">
      <c r="A52" s="208"/>
      <c r="B52" s="210"/>
      <c r="C52" s="155" t="s">
        <v>1</v>
      </c>
      <c r="D52" s="155" t="s">
        <v>1</v>
      </c>
      <c r="E52" s="155" t="s">
        <v>29</v>
      </c>
      <c r="F52" s="155" t="s">
        <v>31</v>
      </c>
      <c r="G52" s="155" t="s">
        <v>1</v>
      </c>
      <c r="H52" s="155" t="s">
        <v>1</v>
      </c>
      <c r="I52" s="155" t="s">
        <v>29</v>
      </c>
      <c r="J52" s="156" t="s">
        <v>31</v>
      </c>
    </row>
    <row r="53" spans="1:10" ht="15.75" thickTop="1" x14ac:dyDescent="0.25">
      <c r="A53" s="136">
        <v>1</v>
      </c>
      <c r="B53" s="137" t="s">
        <v>18</v>
      </c>
      <c r="C53" s="141">
        <v>8</v>
      </c>
      <c r="D53" s="158" t="s">
        <v>112</v>
      </c>
      <c r="E53" s="141">
        <v>0</v>
      </c>
      <c r="F53" s="145">
        <v>0</v>
      </c>
      <c r="G53" s="141">
        <v>0</v>
      </c>
      <c r="H53" s="141">
        <v>0</v>
      </c>
      <c r="I53" s="141">
        <v>0</v>
      </c>
      <c r="J53" s="149">
        <v>0</v>
      </c>
    </row>
    <row r="54" spans="1:10" x14ac:dyDescent="0.25">
      <c r="A54" s="138">
        <v>2</v>
      </c>
      <c r="B54" s="7" t="s">
        <v>19</v>
      </c>
      <c r="C54" s="142">
        <v>8</v>
      </c>
      <c r="D54" s="142">
        <v>1</v>
      </c>
      <c r="E54" s="142">
        <v>1</v>
      </c>
      <c r="F54" s="146">
        <v>12</v>
      </c>
      <c r="G54" s="142">
        <v>0</v>
      </c>
      <c r="H54" s="142">
        <v>0</v>
      </c>
      <c r="I54" s="142">
        <v>0</v>
      </c>
      <c r="J54" s="150">
        <v>0</v>
      </c>
    </row>
    <row r="55" spans="1:10" x14ac:dyDescent="0.25">
      <c r="A55" s="138">
        <v>3</v>
      </c>
      <c r="B55" s="7" t="s">
        <v>20</v>
      </c>
      <c r="C55" s="142">
        <v>63</v>
      </c>
      <c r="D55" s="142">
        <v>44</v>
      </c>
      <c r="E55" s="142">
        <v>41</v>
      </c>
      <c r="F55" s="146">
        <f t="shared" ref="F55:F60" si="13">E55/D55*10</f>
        <v>9.3181818181818183</v>
      </c>
      <c r="G55" s="142">
        <v>0</v>
      </c>
      <c r="H55" s="142">
        <v>0</v>
      </c>
      <c r="I55" s="142">
        <v>0</v>
      </c>
      <c r="J55" s="150">
        <v>0</v>
      </c>
    </row>
    <row r="56" spans="1:10" x14ac:dyDescent="0.25">
      <c r="A56" s="138">
        <v>4</v>
      </c>
      <c r="B56" s="19" t="s">
        <v>21</v>
      </c>
      <c r="C56" s="142">
        <v>10</v>
      </c>
      <c r="D56" s="142">
        <v>10</v>
      </c>
      <c r="E56" s="142">
        <v>9</v>
      </c>
      <c r="F56" s="146">
        <f t="shared" si="13"/>
        <v>9</v>
      </c>
      <c r="G56" s="142">
        <v>0</v>
      </c>
      <c r="H56" s="142">
        <v>0</v>
      </c>
      <c r="I56" s="142">
        <v>0</v>
      </c>
      <c r="J56" s="150">
        <v>0</v>
      </c>
    </row>
    <row r="57" spans="1:10" x14ac:dyDescent="0.25">
      <c r="A57" s="138">
        <v>5</v>
      </c>
      <c r="B57" s="19" t="s">
        <v>22</v>
      </c>
      <c r="C57" s="142">
        <v>77</v>
      </c>
      <c r="D57" s="142">
        <v>77</v>
      </c>
      <c r="E57" s="142">
        <v>77</v>
      </c>
      <c r="F57" s="146">
        <f t="shared" si="13"/>
        <v>10</v>
      </c>
      <c r="G57" s="142">
        <v>0</v>
      </c>
      <c r="H57" s="142">
        <v>0</v>
      </c>
      <c r="I57" s="142">
        <v>0</v>
      </c>
      <c r="J57" s="150">
        <v>0</v>
      </c>
    </row>
    <row r="58" spans="1:10" x14ac:dyDescent="0.25">
      <c r="A58" s="138">
        <v>6</v>
      </c>
      <c r="B58" s="19" t="s">
        <v>23</v>
      </c>
      <c r="C58" s="142">
        <v>0</v>
      </c>
      <c r="D58" s="142">
        <v>0</v>
      </c>
      <c r="E58" s="142">
        <v>0</v>
      </c>
      <c r="F58" s="146">
        <v>0</v>
      </c>
      <c r="G58" s="142">
        <v>0</v>
      </c>
      <c r="H58" s="142">
        <v>0</v>
      </c>
      <c r="I58" s="142">
        <v>0</v>
      </c>
      <c r="J58" s="150">
        <v>0</v>
      </c>
    </row>
    <row r="59" spans="1:10" x14ac:dyDescent="0.25">
      <c r="A59" s="138">
        <v>7</v>
      </c>
      <c r="B59" s="19" t="s">
        <v>24</v>
      </c>
      <c r="C59" s="142">
        <v>0</v>
      </c>
      <c r="D59" s="142">
        <v>0</v>
      </c>
      <c r="E59" s="142">
        <v>0</v>
      </c>
      <c r="F59" s="146">
        <v>0</v>
      </c>
      <c r="G59" s="142">
        <v>0</v>
      </c>
      <c r="H59" s="142">
        <v>0</v>
      </c>
      <c r="I59" s="142">
        <v>0</v>
      </c>
      <c r="J59" s="150">
        <v>0</v>
      </c>
    </row>
    <row r="60" spans="1:10" ht="15.75" thickBot="1" x14ac:dyDescent="0.3">
      <c r="A60" s="139">
        <v>8</v>
      </c>
      <c r="B60" s="140" t="s">
        <v>25</v>
      </c>
      <c r="C60" s="143">
        <v>35</v>
      </c>
      <c r="D60" s="143">
        <v>7</v>
      </c>
      <c r="E60" s="143">
        <v>7</v>
      </c>
      <c r="F60" s="147">
        <f t="shared" si="13"/>
        <v>10</v>
      </c>
      <c r="G60" s="143">
        <v>0</v>
      </c>
      <c r="H60" s="143">
        <v>0</v>
      </c>
      <c r="I60" s="143">
        <v>0</v>
      </c>
      <c r="J60" s="151">
        <v>0</v>
      </c>
    </row>
    <row r="61" spans="1:10" ht="16.5" thickTop="1" thickBot="1" x14ac:dyDescent="0.3">
      <c r="A61" s="205" t="s">
        <v>26</v>
      </c>
      <c r="B61" s="206"/>
      <c r="C61" s="144">
        <f>SUM(C53:C60)</f>
        <v>201</v>
      </c>
      <c r="D61" s="144">
        <f t="shared" ref="D61" si="14">SUM(D53:D60)</f>
        <v>139</v>
      </c>
      <c r="E61" s="144">
        <f t="shared" ref="E61" si="15">SUM(E53:E60)</f>
        <v>135</v>
      </c>
      <c r="F61" s="148">
        <f>E61/D61*10</f>
        <v>9.7122302158273381</v>
      </c>
      <c r="G61" s="144">
        <f t="shared" ref="G61" si="16">SUM(G53:G60)</f>
        <v>0</v>
      </c>
      <c r="H61" s="144">
        <f t="shared" ref="H61" si="17">SUM(H53:H60)</f>
        <v>0</v>
      </c>
      <c r="I61" s="144">
        <f t="shared" ref="I61" si="18">SUM(I53:I60)</f>
        <v>0</v>
      </c>
      <c r="J61" s="152">
        <v>0</v>
      </c>
    </row>
    <row r="62" spans="1:10" x14ac:dyDescent="0.25">
      <c r="A62" s="162" t="s">
        <v>110</v>
      </c>
    </row>
    <row r="63" spans="1:10" x14ac:dyDescent="0.25">
      <c r="B63" t="s">
        <v>113</v>
      </c>
    </row>
    <row r="66" spans="1:12" ht="15.75" thickBot="1" x14ac:dyDescent="0.3">
      <c r="A66" s="82" t="s">
        <v>114</v>
      </c>
    </row>
    <row r="67" spans="1:12" x14ac:dyDescent="0.25">
      <c r="A67" s="201" t="s">
        <v>100</v>
      </c>
      <c r="B67" s="198" t="s">
        <v>101</v>
      </c>
      <c r="C67" s="198" t="s">
        <v>103</v>
      </c>
      <c r="D67" s="198"/>
      <c r="E67" s="198"/>
      <c r="F67" s="198"/>
      <c r="G67" s="198" t="s">
        <v>109</v>
      </c>
      <c r="H67" s="198"/>
      <c r="I67" s="198"/>
      <c r="J67" s="204"/>
    </row>
    <row r="68" spans="1:12" x14ac:dyDescent="0.25">
      <c r="A68" s="202"/>
      <c r="B68" s="199"/>
      <c r="C68" s="153" t="s">
        <v>68</v>
      </c>
      <c r="D68" s="153" t="s">
        <v>69</v>
      </c>
      <c r="E68" s="153" t="s">
        <v>70</v>
      </c>
      <c r="F68" s="153" t="s">
        <v>102</v>
      </c>
      <c r="G68" s="153" t="s">
        <v>68</v>
      </c>
      <c r="H68" s="153" t="s">
        <v>69</v>
      </c>
      <c r="I68" s="153" t="s">
        <v>70</v>
      </c>
      <c r="J68" s="154" t="s">
        <v>102</v>
      </c>
    </row>
    <row r="69" spans="1:12" ht="15.75" thickBot="1" x14ac:dyDescent="0.3">
      <c r="A69" s="203"/>
      <c r="B69" s="200"/>
      <c r="C69" s="155" t="s">
        <v>1</v>
      </c>
      <c r="D69" s="155" t="s">
        <v>1</v>
      </c>
      <c r="E69" s="155" t="s">
        <v>29</v>
      </c>
      <c r="F69" s="155" t="s">
        <v>31</v>
      </c>
      <c r="G69" s="155" t="s">
        <v>1</v>
      </c>
      <c r="H69" s="155" t="s">
        <v>1</v>
      </c>
      <c r="I69" s="155" t="s">
        <v>29</v>
      </c>
      <c r="J69" s="156" t="s">
        <v>31</v>
      </c>
    </row>
    <row r="70" spans="1:12" ht="15.75" thickTop="1" x14ac:dyDescent="0.25">
      <c r="A70" s="136">
        <v>1</v>
      </c>
      <c r="B70" s="137" t="s">
        <v>18</v>
      </c>
      <c r="C70" s="141">
        <v>7</v>
      </c>
      <c r="D70" s="141">
        <v>22</v>
      </c>
      <c r="E70" s="141">
        <f>48*0.32</f>
        <v>15.36</v>
      </c>
      <c r="F70" s="145">
        <f>E70/D70*10</f>
        <v>6.9818181818181815</v>
      </c>
      <c r="G70" s="141">
        <v>0</v>
      </c>
      <c r="H70" s="141">
        <v>82</v>
      </c>
      <c r="I70" s="141">
        <v>68</v>
      </c>
      <c r="J70" s="149">
        <f>I70/H70*10</f>
        <v>8.2926829268292686</v>
      </c>
      <c r="L70" s="133">
        <v>7.2459770114942534</v>
      </c>
    </row>
    <row r="71" spans="1:12" x14ac:dyDescent="0.25">
      <c r="A71" s="138">
        <v>2</v>
      </c>
      <c r="B71" s="7" t="s">
        <v>19</v>
      </c>
      <c r="C71" s="142">
        <v>1</v>
      </c>
      <c r="D71" s="142">
        <v>5</v>
      </c>
      <c r="E71" s="142">
        <f>8*0.32</f>
        <v>2.56</v>
      </c>
      <c r="F71" s="146">
        <f t="shared" ref="F71:F77" si="19">E71/D71*10</f>
        <v>5.12</v>
      </c>
      <c r="G71" s="142">
        <v>25</v>
      </c>
      <c r="H71" s="142">
        <v>76</v>
      </c>
      <c r="I71" s="142">
        <v>104</v>
      </c>
      <c r="J71" s="150">
        <f t="shared" ref="J71:J78" si="20">I71/H71*10</f>
        <v>13.684210526315789</v>
      </c>
      <c r="L71" s="133">
        <v>8.2215384615384615</v>
      </c>
    </row>
    <row r="72" spans="1:12" x14ac:dyDescent="0.25">
      <c r="A72" s="138">
        <v>3</v>
      </c>
      <c r="B72" s="7" t="s">
        <v>20</v>
      </c>
      <c r="C72" s="142">
        <v>0</v>
      </c>
      <c r="D72" s="142">
        <v>275</v>
      </c>
      <c r="E72" s="142">
        <f>467*0.32</f>
        <v>149.44</v>
      </c>
      <c r="F72" s="146">
        <f t="shared" si="19"/>
        <v>5.434181818181818</v>
      </c>
      <c r="G72" s="142">
        <v>57</v>
      </c>
      <c r="H72" s="142">
        <v>314</v>
      </c>
      <c r="I72" s="142">
        <v>215</v>
      </c>
      <c r="J72" s="150">
        <f t="shared" si="20"/>
        <v>6.8471337579617835</v>
      </c>
      <c r="L72" s="133">
        <v>10.683428571428571</v>
      </c>
    </row>
    <row r="73" spans="1:12" x14ac:dyDescent="0.25">
      <c r="A73" s="138">
        <v>4</v>
      </c>
      <c r="B73" s="19" t="s">
        <v>21</v>
      </c>
      <c r="C73" s="142">
        <v>1</v>
      </c>
      <c r="D73" s="142">
        <v>40</v>
      </c>
      <c r="E73" s="142">
        <f>59*0.32</f>
        <v>18.88</v>
      </c>
      <c r="F73" s="146">
        <f t="shared" si="19"/>
        <v>4.72</v>
      </c>
      <c r="G73" s="142">
        <v>31</v>
      </c>
      <c r="H73" s="142">
        <v>42</v>
      </c>
      <c r="I73" s="142">
        <v>34</v>
      </c>
      <c r="J73" s="150">
        <f t="shared" si="20"/>
        <v>8.0952380952380949</v>
      </c>
      <c r="L73" s="133">
        <v>4.6972477064220186</v>
      </c>
    </row>
    <row r="74" spans="1:12" x14ac:dyDescent="0.25">
      <c r="A74" s="138">
        <v>5</v>
      </c>
      <c r="B74" s="19" t="s">
        <v>22</v>
      </c>
      <c r="C74" s="142">
        <v>0</v>
      </c>
      <c r="D74" s="142">
        <v>111</v>
      </c>
      <c r="E74" s="142">
        <f>444*0.32</f>
        <v>142.08000000000001</v>
      </c>
      <c r="F74" s="146">
        <f t="shared" si="19"/>
        <v>12.8</v>
      </c>
      <c r="G74" s="142">
        <v>68</v>
      </c>
      <c r="H74" s="142">
        <v>243</v>
      </c>
      <c r="I74" s="142">
        <v>233</v>
      </c>
      <c r="J74" s="150">
        <f t="shared" si="20"/>
        <v>9.5884773662551446</v>
      </c>
      <c r="L74" s="133">
        <v>12.393908629441624</v>
      </c>
    </row>
    <row r="75" spans="1:12" x14ac:dyDescent="0.25">
      <c r="A75" s="138">
        <v>6</v>
      </c>
      <c r="B75" s="19" t="s">
        <v>23</v>
      </c>
      <c r="C75" s="142">
        <v>16</v>
      </c>
      <c r="D75" s="142">
        <v>101</v>
      </c>
      <c r="E75" s="142">
        <f>142*0.32</f>
        <v>45.44</v>
      </c>
      <c r="F75" s="146">
        <f t="shared" si="19"/>
        <v>4.4990099009900986</v>
      </c>
      <c r="G75" s="142">
        <v>30</v>
      </c>
      <c r="H75" s="142">
        <v>68</v>
      </c>
      <c r="I75" s="142">
        <v>61</v>
      </c>
      <c r="J75" s="150">
        <f t="shared" si="20"/>
        <v>8.9705882352941178</v>
      </c>
      <c r="L75" s="133">
        <v>5.5319148936170208</v>
      </c>
    </row>
    <row r="76" spans="1:12" x14ac:dyDescent="0.25">
      <c r="A76" s="138">
        <v>7</v>
      </c>
      <c r="B76" s="19" t="s">
        <v>24</v>
      </c>
      <c r="C76" s="142">
        <v>1</v>
      </c>
      <c r="D76" s="142">
        <v>2</v>
      </c>
      <c r="E76" s="142">
        <f>3*0.32</f>
        <v>0.96</v>
      </c>
      <c r="F76" s="146">
        <f t="shared" si="19"/>
        <v>4.8</v>
      </c>
      <c r="G76" s="142">
        <v>2</v>
      </c>
      <c r="H76" s="142">
        <v>0</v>
      </c>
      <c r="I76" s="142">
        <v>0</v>
      </c>
      <c r="J76" s="150">
        <v>0</v>
      </c>
      <c r="L76" s="133">
        <v>5.12</v>
      </c>
    </row>
    <row r="77" spans="1:12" ht="15.75" thickBot="1" x14ac:dyDescent="0.3">
      <c r="A77" s="139">
        <v>8</v>
      </c>
      <c r="B77" s="140" t="s">
        <v>25</v>
      </c>
      <c r="C77" s="143">
        <v>170</v>
      </c>
      <c r="D77" s="143">
        <v>367</v>
      </c>
      <c r="E77" s="143">
        <f>784*0.32</f>
        <v>250.88</v>
      </c>
      <c r="F77" s="147">
        <f t="shared" si="19"/>
        <v>6.8359673024523158</v>
      </c>
      <c r="G77" s="143">
        <v>350</v>
      </c>
      <c r="H77" s="143">
        <v>387</v>
      </c>
      <c r="I77" s="143">
        <v>305</v>
      </c>
      <c r="J77" s="151">
        <f t="shared" si="20"/>
        <v>7.8811369509043931</v>
      </c>
      <c r="L77" s="133">
        <v>7.2979844961240303</v>
      </c>
    </row>
    <row r="78" spans="1:12" ht="16.5" thickTop="1" thickBot="1" x14ac:dyDescent="0.3">
      <c r="A78" s="205" t="s">
        <v>26</v>
      </c>
      <c r="B78" s="206"/>
      <c r="C78" s="144">
        <f>SUM(C70:C77)</f>
        <v>196</v>
      </c>
      <c r="D78" s="144">
        <f t="shared" ref="D78" si="21">SUM(D70:D77)</f>
        <v>923</v>
      </c>
      <c r="E78" s="144">
        <f t="shared" ref="E78" si="22">SUM(E70:E77)</f>
        <v>625.59999999999991</v>
      </c>
      <c r="F78" s="148">
        <f>E78/D78*10</f>
        <v>6.7778981581798465</v>
      </c>
      <c r="G78" s="144">
        <f t="shared" ref="G78" si="23">SUM(G70:G77)</f>
        <v>563</v>
      </c>
      <c r="H78" s="144">
        <f t="shared" ref="H78" si="24">SUM(H70:H77)</f>
        <v>1212</v>
      </c>
      <c r="I78" s="144">
        <f t="shared" ref="I78" si="25">SUM(I70:I77)</f>
        <v>1020</v>
      </c>
      <c r="J78" s="152">
        <f t="shared" si="20"/>
        <v>8.4158415841584162</v>
      </c>
      <c r="L78" s="133">
        <v>8.9675041876046908</v>
      </c>
    </row>
    <row r="79" spans="1:12" x14ac:dyDescent="0.25">
      <c r="A79" s="162" t="s">
        <v>110</v>
      </c>
      <c r="B79" s="159"/>
      <c r="C79" s="160"/>
      <c r="D79" s="160"/>
      <c r="E79" s="160"/>
      <c r="F79" s="161"/>
      <c r="G79" s="160"/>
      <c r="H79" s="160"/>
      <c r="I79" s="160"/>
      <c r="J79" s="161"/>
    </row>
    <row r="81" spans="1:10" ht="15.75" thickBot="1" x14ac:dyDescent="0.3">
      <c r="A81" s="82" t="s">
        <v>115</v>
      </c>
    </row>
    <row r="82" spans="1:10" x14ac:dyDescent="0.25">
      <c r="A82" s="201" t="s">
        <v>100</v>
      </c>
      <c r="B82" s="198" t="s">
        <v>101</v>
      </c>
      <c r="C82" s="198" t="s">
        <v>103</v>
      </c>
      <c r="D82" s="198"/>
      <c r="E82" s="198"/>
      <c r="F82" s="198"/>
      <c r="G82" s="198" t="s">
        <v>109</v>
      </c>
      <c r="H82" s="198"/>
      <c r="I82" s="198"/>
      <c r="J82" s="204"/>
    </row>
    <row r="83" spans="1:10" x14ac:dyDescent="0.25">
      <c r="A83" s="202"/>
      <c r="B83" s="199"/>
      <c r="C83" s="153" t="s">
        <v>68</v>
      </c>
      <c r="D83" s="153" t="s">
        <v>69</v>
      </c>
      <c r="E83" s="153" t="s">
        <v>70</v>
      </c>
      <c r="F83" s="153" t="s">
        <v>102</v>
      </c>
      <c r="G83" s="153" t="s">
        <v>68</v>
      </c>
      <c r="H83" s="153" t="s">
        <v>69</v>
      </c>
      <c r="I83" s="153" t="s">
        <v>70</v>
      </c>
      <c r="J83" s="154" t="s">
        <v>102</v>
      </c>
    </row>
    <row r="84" spans="1:10" ht="15.75" thickBot="1" x14ac:dyDescent="0.3">
      <c r="A84" s="203"/>
      <c r="B84" s="200"/>
      <c r="C84" s="155" t="s">
        <v>1</v>
      </c>
      <c r="D84" s="155" t="s">
        <v>1</v>
      </c>
      <c r="E84" s="155" t="s">
        <v>29</v>
      </c>
      <c r="F84" s="155" t="s">
        <v>31</v>
      </c>
      <c r="G84" s="155" t="s">
        <v>1</v>
      </c>
      <c r="H84" s="155" t="s">
        <v>1</v>
      </c>
      <c r="I84" s="155" t="s">
        <v>29</v>
      </c>
      <c r="J84" s="156" t="s">
        <v>31</v>
      </c>
    </row>
    <row r="85" spans="1:10" ht="15.75" thickTop="1" x14ac:dyDescent="0.25">
      <c r="A85" s="136">
        <v>1</v>
      </c>
      <c r="B85" s="137" t="s">
        <v>18</v>
      </c>
      <c r="C85" s="141">
        <v>0</v>
      </c>
      <c r="D85" s="141">
        <v>31</v>
      </c>
      <c r="E85" s="141">
        <v>297</v>
      </c>
      <c r="F85" s="145">
        <f>E85/D85*10</f>
        <v>95.806451612903217</v>
      </c>
      <c r="G85" s="141">
        <v>0</v>
      </c>
      <c r="H85" s="141">
        <v>4</v>
      </c>
      <c r="I85" s="141">
        <v>37</v>
      </c>
      <c r="J85" s="149">
        <f>I85/H85*10</f>
        <v>92.5</v>
      </c>
    </row>
    <row r="86" spans="1:10" x14ac:dyDescent="0.25">
      <c r="A86" s="138">
        <v>2</v>
      </c>
      <c r="B86" s="7" t="s">
        <v>19</v>
      </c>
      <c r="C86" s="142">
        <v>0</v>
      </c>
      <c r="D86" s="142">
        <v>0</v>
      </c>
      <c r="E86" s="142">
        <v>0</v>
      </c>
      <c r="F86" s="146">
        <v>0</v>
      </c>
      <c r="G86" s="142">
        <v>0</v>
      </c>
      <c r="H86" s="142">
        <v>0</v>
      </c>
      <c r="I86" s="142">
        <v>0</v>
      </c>
      <c r="J86" s="150">
        <v>0</v>
      </c>
    </row>
    <row r="87" spans="1:10" x14ac:dyDescent="0.25">
      <c r="A87" s="138">
        <v>3</v>
      </c>
      <c r="B87" s="7" t="s">
        <v>20</v>
      </c>
      <c r="C87" s="142">
        <v>3</v>
      </c>
      <c r="D87" s="142">
        <v>0</v>
      </c>
      <c r="E87" s="142">
        <v>0</v>
      </c>
      <c r="F87" s="146">
        <v>0</v>
      </c>
      <c r="G87" s="142">
        <v>0</v>
      </c>
      <c r="H87" s="142">
        <v>0</v>
      </c>
      <c r="I87" s="142">
        <v>0</v>
      </c>
      <c r="J87" s="150">
        <v>0</v>
      </c>
    </row>
    <row r="88" spans="1:10" x14ac:dyDescent="0.25">
      <c r="A88" s="138">
        <v>4</v>
      </c>
      <c r="B88" s="19" t="s">
        <v>21</v>
      </c>
      <c r="C88" s="142">
        <v>2</v>
      </c>
      <c r="D88" s="142">
        <v>2</v>
      </c>
      <c r="E88" s="142">
        <v>22</v>
      </c>
      <c r="F88" s="146">
        <f t="shared" ref="F88" si="26">E88/D88*10</f>
        <v>110</v>
      </c>
      <c r="G88" s="142">
        <v>3</v>
      </c>
      <c r="H88" s="142">
        <v>3</v>
      </c>
      <c r="I88" s="142">
        <v>37</v>
      </c>
      <c r="J88" s="150">
        <f t="shared" ref="J88:J93" si="27">I88/H88*10</f>
        <v>123.33333333333334</v>
      </c>
    </row>
    <row r="89" spans="1:10" x14ac:dyDescent="0.25">
      <c r="A89" s="138">
        <v>5</v>
      </c>
      <c r="B89" s="19" t="s">
        <v>22</v>
      </c>
      <c r="C89" s="142">
        <v>0</v>
      </c>
      <c r="D89" s="142">
        <v>0</v>
      </c>
      <c r="E89" s="142">
        <v>0</v>
      </c>
      <c r="F89" s="146">
        <v>0</v>
      </c>
      <c r="G89" s="142">
        <v>0</v>
      </c>
      <c r="H89" s="142">
        <v>0</v>
      </c>
      <c r="I89" s="142">
        <v>0</v>
      </c>
      <c r="J89" s="150">
        <v>0</v>
      </c>
    </row>
    <row r="90" spans="1:10" x14ac:dyDescent="0.25">
      <c r="A90" s="138">
        <v>6</v>
      </c>
      <c r="B90" s="19" t="s">
        <v>23</v>
      </c>
      <c r="C90" s="142">
        <v>0</v>
      </c>
      <c r="D90" s="142">
        <v>0</v>
      </c>
      <c r="E90" s="142">
        <v>0</v>
      </c>
      <c r="F90" s="146">
        <v>0</v>
      </c>
      <c r="G90" s="142">
        <v>2</v>
      </c>
      <c r="H90" s="142">
        <v>0</v>
      </c>
      <c r="I90" s="142">
        <v>0</v>
      </c>
      <c r="J90" s="150">
        <v>0</v>
      </c>
    </row>
    <row r="91" spans="1:10" x14ac:dyDescent="0.25">
      <c r="A91" s="138">
        <v>7</v>
      </c>
      <c r="B91" s="19" t="s">
        <v>24</v>
      </c>
      <c r="C91" s="142">
        <v>0</v>
      </c>
      <c r="D91" s="142">
        <v>0</v>
      </c>
      <c r="E91" s="142">
        <v>0</v>
      </c>
      <c r="F91" s="146">
        <v>0</v>
      </c>
      <c r="G91" s="142">
        <v>0</v>
      </c>
      <c r="H91" s="142">
        <v>0</v>
      </c>
      <c r="I91" s="142">
        <v>0</v>
      </c>
      <c r="J91" s="150">
        <v>0</v>
      </c>
    </row>
    <row r="92" spans="1:10" ht="15.75" thickBot="1" x14ac:dyDescent="0.3">
      <c r="A92" s="139">
        <v>8</v>
      </c>
      <c r="B92" s="140" t="s">
        <v>25</v>
      </c>
      <c r="C92" s="143">
        <v>1</v>
      </c>
      <c r="D92" s="143">
        <v>0</v>
      </c>
      <c r="E92" s="143">
        <v>0</v>
      </c>
      <c r="F92" s="147">
        <v>0</v>
      </c>
      <c r="G92" s="143">
        <v>1</v>
      </c>
      <c r="H92" s="143">
        <v>0</v>
      </c>
      <c r="I92" s="143">
        <v>0</v>
      </c>
      <c r="J92" s="151">
        <v>0</v>
      </c>
    </row>
    <row r="93" spans="1:10" ht="16.5" thickTop="1" thickBot="1" x14ac:dyDescent="0.3">
      <c r="A93" s="205" t="s">
        <v>26</v>
      </c>
      <c r="B93" s="206"/>
      <c r="C93" s="144">
        <f>SUM(C85:C92)</f>
        <v>6</v>
      </c>
      <c r="D93" s="144">
        <f t="shared" ref="D93" si="28">SUM(D85:D92)</f>
        <v>33</v>
      </c>
      <c r="E93" s="144">
        <f t="shared" ref="E93" si="29">SUM(E85:E92)</f>
        <v>319</v>
      </c>
      <c r="F93" s="148">
        <f>E93/D93*10</f>
        <v>96.666666666666657</v>
      </c>
      <c r="G93" s="144">
        <f t="shared" ref="G93" si="30">SUM(G85:G92)</f>
        <v>6</v>
      </c>
      <c r="H93" s="144">
        <f t="shared" ref="H93" si="31">SUM(H85:H92)</f>
        <v>7</v>
      </c>
      <c r="I93" s="144">
        <f t="shared" ref="I93" si="32">SUM(I85:I92)</f>
        <v>74</v>
      </c>
      <c r="J93" s="152">
        <f t="shared" si="27"/>
        <v>105.71428571428571</v>
      </c>
    </row>
    <row r="94" spans="1:10" x14ac:dyDescent="0.25">
      <c r="A94" s="162" t="s">
        <v>110</v>
      </c>
      <c r="B94" s="159"/>
      <c r="C94" s="160"/>
      <c r="D94" s="160"/>
      <c r="E94" s="160"/>
      <c r="F94" s="161"/>
      <c r="G94" s="160"/>
      <c r="H94" s="160"/>
      <c r="I94" s="160"/>
      <c r="J94" s="161"/>
    </row>
    <row r="96" spans="1:10" ht="15.75" thickBot="1" x14ac:dyDescent="0.3">
      <c r="A96" s="82" t="s">
        <v>116</v>
      </c>
    </row>
    <row r="97" spans="1:10" x14ac:dyDescent="0.25">
      <c r="A97" s="201" t="s">
        <v>100</v>
      </c>
      <c r="B97" s="198" t="s">
        <v>101</v>
      </c>
      <c r="C97" s="198" t="s">
        <v>103</v>
      </c>
      <c r="D97" s="198"/>
      <c r="E97" s="198"/>
      <c r="F97" s="198"/>
      <c r="G97" s="198" t="s">
        <v>109</v>
      </c>
      <c r="H97" s="198"/>
      <c r="I97" s="198"/>
      <c r="J97" s="204"/>
    </row>
    <row r="98" spans="1:10" x14ac:dyDescent="0.25">
      <c r="A98" s="202"/>
      <c r="B98" s="199"/>
      <c r="C98" s="153" t="s">
        <v>68</v>
      </c>
      <c r="D98" s="153" t="s">
        <v>69</v>
      </c>
      <c r="E98" s="153" t="s">
        <v>70</v>
      </c>
      <c r="F98" s="153" t="s">
        <v>102</v>
      </c>
      <c r="G98" s="153" t="s">
        <v>68</v>
      </c>
      <c r="H98" s="153" t="s">
        <v>69</v>
      </c>
      <c r="I98" s="153" t="s">
        <v>70</v>
      </c>
      <c r="J98" s="154" t="s">
        <v>102</v>
      </c>
    </row>
    <row r="99" spans="1:10" ht="15.75" thickBot="1" x14ac:dyDescent="0.3">
      <c r="A99" s="203"/>
      <c r="B99" s="200"/>
      <c r="C99" s="155" t="s">
        <v>1</v>
      </c>
      <c r="D99" s="155" t="s">
        <v>1</v>
      </c>
      <c r="E99" s="155" t="s">
        <v>29</v>
      </c>
      <c r="F99" s="155" t="s">
        <v>31</v>
      </c>
      <c r="G99" s="155" t="s">
        <v>1</v>
      </c>
      <c r="H99" s="155" t="s">
        <v>1</v>
      </c>
      <c r="I99" s="155" t="s">
        <v>29</v>
      </c>
      <c r="J99" s="156" t="s">
        <v>31</v>
      </c>
    </row>
    <row r="100" spans="1:10" ht="15.75" thickTop="1" x14ac:dyDescent="0.25">
      <c r="A100" s="136">
        <v>1</v>
      </c>
      <c r="B100" s="137" t="s">
        <v>18</v>
      </c>
      <c r="C100" s="141">
        <v>0</v>
      </c>
      <c r="D100" s="141">
        <v>0</v>
      </c>
      <c r="E100" s="141">
        <v>0</v>
      </c>
      <c r="F100" s="145">
        <v>0</v>
      </c>
      <c r="G100" s="141">
        <v>0</v>
      </c>
      <c r="H100" s="141">
        <v>5</v>
      </c>
      <c r="I100" s="141">
        <v>42</v>
      </c>
      <c r="J100" s="149">
        <f>I100/H100*10</f>
        <v>84</v>
      </c>
    </row>
    <row r="101" spans="1:10" x14ac:dyDescent="0.25">
      <c r="A101" s="138">
        <v>2</v>
      </c>
      <c r="B101" s="7" t="s">
        <v>19</v>
      </c>
      <c r="C101" s="142">
        <v>0</v>
      </c>
      <c r="D101" s="142">
        <v>1</v>
      </c>
      <c r="E101" s="142">
        <v>10</v>
      </c>
      <c r="F101" s="146">
        <f t="shared" ref="F101:F107" si="33">E101/D101*10</f>
        <v>100</v>
      </c>
      <c r="G101" s="142">
        <v>0</v>
      </c>
      <c r="H101" s="142">
        <v>0</v>
      </c>
      <c r="I101" s="142">
        <v>0</v>
      </c>
      <c r="J101" s="150">
        <v>0</v>
      </c>
    </row>
    <row r="102" spans="1:10" x14ac:dyDescent="0.25">
      <c r="A102" s="138">
        <v>3</v>
      </c>
      <c r="B102" s="7" t="s">
        <v>20</v>
      </c>
      <c r="C102" s="142">
        <v>0</v>
      </c>
      <c r="D102" s="142">
        <v>0</v>
      </c>
      <c r="E102" s="142">
        <v>0</v>
      </c>
      <c r="F102" s="146">
        <v>0</v>
      </c>
      <c r="G102" s="142">
        <v>0</v>
      </c>
      <c r="H102" s="142">
        <v>0</v>
      </c>
      <c r="I102" s="142">
        <v>0</v>
      </c>
      <c r="J102" s="150">
        <v>0</v>
      </c>
    </row>
    <row r="103" spans="1:10" x14ac:dyDescent="0.25">
      <c r="A103" s="138">
        <v>4</v>
      </c>
      <c r="B103" s="19" t="s">
        <v>21</v>
      </c>
      <c r="C103" s="142">
        <v>2</v>
      </c>
      <c r="D103" s="142">
        <v>3</v>
      </c>
      <c r="E103" s="142">
        <v>32</v>
      </c>
      <c r="F103" s="146">
        <f t="shared" si="33"/>
        <v>106.66666666666666</v>
      </c>
      <c r="G103" s="142">
        <v>0</v>
      </c>
      <c r="H103" s="142">
        <v>3</v>
      </c>
      <c r="I103" s="142">
        <v>32</v>
      </c>
      <c r="J103" s="150">
        <f t="shared" ref="J103:J108" si="34">I103/H103*10</f>
        <v>106.66666666666666</v>
      </c>
    </row>
    <row r="104" spans="1:10" x14ac:dyDescent="0.25">
      <c r="A104" s="138">
        <v>5</v>
      </c>
      <c r="B104" s="19" t="s">
        <v>22</v>
      </c>
      <c r="C104" s="142">
        <v>1</v>
      </c>
      <c r="D104" s="142">
        <v>4</v>
      </c>
      <c r="E104" s="142">
        <v>40</v>
      </c>
      <c r="F104" s="146">
        <f t="shared" si="33"/>
        <v>100</v>
      </c>
      <c r="G104" s="142">
        <v>1</v>
      </c>
      <c r="H104" s="142">
        <v>0</v>
      </c>
      <c r="I104" s="142">
        <v>0</v>
      </c>
      <c r="J104" s="150">
        <v>0</v>
      </c>
    </row>
    <row r="105" spans="1:10" x14ac:dyDescent="0.25">
      <c r="A105" s="138">
        <v>6</v>
      </c>
      <c r="B105" s="19" t="s">
        <v>23</v>
      </c>
      <c r="C105" s="142">
        <v>0</v>
      </c>
      <c r="D105" s="142">
        <v>0</v>
      </c>
      <c r="E105" s="142">
        <v>0</v>
      </c>
      <c r="F105" s="146">
        <v>0</v>
      </c>
      <c r="G105" s="142">
        <v>0</v>
      </c>
      <c r="H105" s="142">
        <v>0</v>
      </c>
      <c r="I105" s="142">
        <v>0</v>
      </c>
      <c r="J105" s="150">
        <v>0</v>
      </c>
    </row>
    <row r="106" spans="1:10" x14ac:dyDescent="0.25">
      <c r="A106" s="138">
        <v>7</v>
      </c>
      <c r="B106" s="19" t="s">
        <v>24</v>
      </c>
      <c r="C106" s="142">
        <v>0</v>
      </c>
      <c r="D106" s="142">
        <v>1</v>
      </c>
      <c r="E106" s="142">
        <v>8</v>
      </c>
      <c r="F106" s="146">
        <f t="shared" si="33"/>
        <v>80</v>
      </c>
      <c r="G106" s="142">
        <v>2</v>
      </c>
      <c r="H106" s="142">
        <v>0</v>
      </c>
      <c r="I106" s="142">
        <v>0</v>
      </c>
      <c r="J106" s="150">
        <v>0</v>
      </c>
    </row>
    <row r="107" spans="1:10" ht="15.75" thickBot="1" x14ac:dyDescent="0.3">
      <c r="A107" s="139">
        <v>8</v>
      </c>
      <c r="B107" s="140" t="s">
        <v>25</v>
      </c>
      <c r="C107" s="143">
        <v>0</v>
      </c>
      <c r="D107" s="143">
        <v>1</v>
      </c>
      <c r="E107" s="143">
        <v>24</v>
      </c>
      <c r="F107" s="147">
        <f t="shared" si="33"/>
        <v>240</v>
      </c>
      <c r="G107" s="143">
        <v>2</v>
      </c>
      <c r="H107" s="143">
        <v>2</v>
      </c>
      <c r="I107" s="143">
        <v>13</v>
      </c>
      <c r="J107" s="151">
        <f t="shared" si="34"/>
        <v>65</v>
      </c>
    </row>
    <row r="108" spans="1:10" ht="16.5" thickTop="1" thickBot="1" x14ac:dyDescent="0.3">
      <c r="A108" s="205" t="s">
        <v>26</v>
      </c>
      <c r="B108" s="206"/>
      <c r="C108" s="144">
        <f>SUM(C100:C107)</f>
        <v>3</v>
      </c>
      <c r="D108" s="144">
        <f t="shared" ref="D108" si="35">SUM(D100:D107)</f>
        <v>10</v>
      </c>
      <c r="E108" s="144">
        <f t="shared" ref="E108" si="36">SUM(E100:E107)</f>
        <v>114</v>
      </c>
      <c r="F108" s="148">
        <f>E108/D108*10</f>
        <v>114</v>
      </c>
      <c r="G108" s="144">
        <f t="shared" ref="G108" si="37">SUM(G100:G107)</f>
        <v>5</v>
      </c>
      <c r="H108" s="144">
        <f t="shared" ref="H108" si="38">SUM(H100:H107)</f>
        <v>10</v>
      </c>
      <c r="I108" s="144">
        <f t="shared" ref="I108" si="39">SUM(I100:I107)</f>
        <v>87</v>
      </c>
      <c r="J108" s="152">
        <f t="shared" si="34"/>
        <v>87</v>
      </c>
    </row>
    <row r="109" spans="1:10" x14ac:dyDescent="0.25">
      <c r="A109" s="162" t="s">
        <v>110</v>
      </c>
      <c r="B109" s="159"/>
      <c r="C109" s="160"/>
      <c r="D109" s="160"/>
      <c r="E109" s="160"/>
      <c r="F109" s="161"/>
      <c r="G109" s="160"/>
      <c r="H109" s="160"/>
      <c r="I109" s="160"/>
      <c r="J109" s="161"/>
    </row>
    <row r="111" spans="1:10" ht="15.75" thickBot="1" x14ac:dyDescent="0.3">
      <c r="A111" s="82" t="s">
        <v>117</v>
      </c>
    </row>
    <row r="112" spans="1:10" x14ac:dyDescent="0.25">
      <c r="A112" s="201" t="s">
        <v>100</v>
      </c>
      <c r="B112" s="198" t="s">
        <v>101</v>
      </c>
      <c r="C112" s="198" t="s">
        <v>103</v>
      </c>
      <c r="D112" s="198"/>
      <c r="E112" s="198"/>
      <c r="F112" s="198"/>
      <c r="G112" s="198" t="s">
        <v>109</v>
      </c>
      <c r="H112" s="198"/>
      <c r="I112" s="198"/>
      <c r="J112" s="204"/>
    </row>
    <row r="113" spans="1:10" x14ac:dyDescent="0.25">
      <c r="A113" s="202"/>
      <c r="B113" s="199"/>
      <c r="C113" s="153" t="s">
        <v>68</v>
      </c>
      <c r="D113" s="153" t="s">
        <v>69</v>
      </c>
      <c r="E113" s="153" t="s">
        <v>70</v>
      </c>
      <c r="F113" s="153" t="s">
        <v>102</v>
      </c>
      <c r="G113" s="153" t="s">
        <v>68</v>
      </c>
      <c r="H113" s="153" t="s">
        <v>69</v>
      </c>
      <c r="I113" s="153" t="s">
        <v>70</v>
      </c>
      <c r="J113" s="154" t="s">
        <v>102</v>
      </c>
    </row>
    <row r="114" spans="1:10" ht="15.75" thickBot="1" x14ac:dyDescent="0.3">
      <c r="A114" s="203"/>
      <c r="B114" s="200"/>
      <c r="C114" s="155" t="s">
        <v>1</v>
      </c>
      <c r="D114" s="155" t="s">
        <v>1</v>
      </c>
      <c r="E114" s="155" t="s">
        <v>29</v>
      </c>
      <c r="F114" s="155" t="s">
        <v>31</v>
      </c>
      <c r="G114" s="155" t="s">
        <v>1</v>
      </c>
      <c r="H114" s="155" t="s">
        <v>1</v>
      </c>
      <c r="I114" s="155" t="s">
        <v>29</v>
      </c>
      <c r="J114" s="156" t="s">
        <v>31</v>
      </c>
    </row>
    <row r="115" spans="1:10" ht="15.75" thickTop="1" x14ac:dyDescent="0.25">
      <c r="A115" s="136">
        <v>1</v>
      </c>
      <c r="B115" s="137" t="s">
        <v>18</v>
      </c>
      <c r="C115" s="141">
        <v>1</v>
      </c>
      <c r="D115" s="141">
        <v>1</v>
      </c>
      <c r="E115" s="141">
        <v>1</v>
      </c>
      <c r="F115" s="145">
        <f>E115/D115*10</f>
        <v>10</v>
      </c>
      <c r="G115" s="141">
        <v>0</v>
      </c>
      <c r="H115" s="141">
        <v>0</v>
      </c>
      <c r="I115" s="141">
        <v>0</v>
      </c>
      <c r="J115" s="149">
        <v>0</v>
      </c>
    </row>
    <row r="116" spans="1:10" x14ac:dyDescent="0.25">
      <c r="A116" s="138">
        <v>2</v>
      </c>
      <c r="B116" s="7" t="s">
        <v>19</v>
      </c>
      <c r="C116" s="142">
        <v>1</v>
      </c>
      <c r="D116" s="142">
        <v>1</v>
      </c>
      <c r="E116" s="142">
        <v>1</v>
      </c>
      <c r="F116" s="146">
        <f t="shared" ref="F116:F122" si="40">E116/D116*10</f>
        <v>10</v>
      </c>
      <c r="G116" s="142">
        <v>0</v>
      </c>
      <c r="H116" s="142">
        <v>0</v>
      </c>
      <c r="I116" s="142">
        <v>0</v>
      </c>
      <c r="J116" s="150">
        <v>0</v>
      </c>
    </row>
    <row r="117" spans="1:10" x14ac:dyDescent="0.25">
      <c r="A117" s="138">
        <v>3</v>
      </c>
      <c r="B117" s="7" t="s">
        <v>20</v>
      </c>
      <c r="C117" s="142">
        <v>6</v>
      </c>
      <c r="D117" s="142">
        <v>4</v>
      </c>
      <c r="E117" s="142">
        <v>5</v>
      </c>
      <c r="F117" s="146">
        <f t="shared" si="40"/>
        <v>12.5</v>
      </c>
      <c r="G117" s="142">
        <v>3</v>
      </c>
      <c r="H117" s="142">
        <v>3</v>
      </c>
      <c r="I117" s="142">
        <v>3</v>
      </c>
      <c r="J117" s="150">
        <f t="shared" ref="J117:J123" si="41">I117/H117*10</f>
        <v>10</v>
      </c>
    </row>
    <row r="118" spans="1:10" x14ac:dyDescent="0.25">
      <c r="A118" s="138">
        <v>4</v>
      </c>
      <c r="B118" s="19" t="s">
        <v>21</v>
      </c>
      <c r="C118" s="142">
        <v>2</v>
      </c>
      <c r="D118" s="142">
        <v>3</v>
      </c>
      <c r="E118" s="142">
        <v>3</v>
      </c>
      <c r="F118" s="146">
        <f t="shared" si="40"/>
        <v>10</v>
      </c>
      <c r="G118" s="142">
        <v>18</v>
      </c>
      <c r="H118" s="142">
        <v>18</v>
      </c>
      <c r="I118" s="142">
        <v>16</v>
      </c>
      <c r="J118" s="150">
        <f t="shared" si="41"/>
        <v>8.8888888888888893</v>
      </c>
    </row>
    <row r="119" spans="1:10" x14ac:dyDescent="0.25">
      <c r="A119" s="138">
        <v>5</v>
      </c>
      <c r="B119" s="19" t="s">
        <v>22</v>
      </c>
      <c r="C119" s="142">
        <v>10</v>
      </c>
      <c r="D119" s="142">
        <v>10</v>
      </c>
      <c r="E119" s="142">
        <v>11</v>
      </c>
      <c r="F119" s="146">
        <f t="shared" si="40"/>
        <v>11</v>
      </c>
      <c r="G119" s="142">
        <v>12</v>
      </c>
      <c r="H119" s="142">
        <v>12</v>
      </c>
      <c r="I119" s="142">
        <v>10</v>
      </c>
      <c r="J119" s="150">
        <f t="shared" si="41"/>
        <v>8.3333333333333339</v>
      </c>
    </row>
    <row r="120" spans="1:10" x14ac:dyDescent="0.25">
      <c r="A120" s="138">
        <v>6</v>
      </c>
      <c r="B120" s="19" t="s">
        <v>23</v>
      </c>
      <c r="C120" s="142">
        <v>0</v>
      </c>
      <c r="D120" s="142">
        <v>0</v>
      </c>
      <c r="E120" s="142">
        <v>0</v>
      </c>
      <c r="F120" s="146">
        <v>0</v>
      </c>
      <c r="G120" s="142">
        <v>0</v>
      </c>
      <c r="H120" s="142">
        <v>0</v>
      </c>
      <c r="I120" s="142">
        <v>0</v>
      </c>
      <c r="J120" s="150">
        <v>0</v>
      </c>
    </row>
    <row r="121" spans="1:10" x14ac:dyDescent="0.25">
      <c r="A121" s="138">
        <v>7</v>
      </c>
      <c r="B121" s="19" t="s">
        <v>24</v>
      </c>
      <c r="C121" s="142">
        <v>0</v>
      </c>
      <c r="D121" s="142">
        <v>0</v>
      </c>
      <c r="E121" s="142">
        <v>0</v>
      </c>
      <c r="F121" s="146">
        <v>0</v>
      </c>
      <c r="G121" s="142">
        <v>0</v>
      </c>
      <c r="H121" s="142">
        <v>0</v>
      </c>
      <c r="I121" s="142">
        <v>0</v>
      </c>
      <c r="J121" s="150">
        <v>0</v>
      </c>
    </row>
    <row r="122" spans="1:10" ht="15.75" thickBot="1" x14ac:dyDescent="0.3">
      <c r="A122" s="139">
        <v>8</v>
      </c>
      <c r="B122" s="140" t="s">
        <v>25</v>
      </c>
      <c r="C122" s="143">
        <v>1</v>
      </c>
      <c r="D122" s="143">
        <v>1</v>
      </c>
      <c r="E122" s="143">
        <v>1</v>
      </c>
      <c r="F122" s="147">
        <f t="shared" si="40"/>
        <v>10</v>
      </c>
      <c r="G122" s="143">
        <v>1</v>
      </c>
      <c r="H122" s="143">
        <v>2</v>
      </c>
      <c r="I122" s="143">
        <v>2</v>
      </c>
      <c r="J122" s="151">
        <f t="shared" si="41"/>
        <v>10</v>
      </c>
    </row>
    <row r="123" spans="1:10" ht="16.5" thickTop="1" thickBot="1" x14ac:dyDescent="0.3">
      <c r="A123" s="205" t="s">
        <v>26</v>
      </c>
      <c r="B123" s="206"/>
      <c r="C123" s="144">
        <f>SUM(C115:C122)</f>
        <v>21</v>
      </c>
      <c r="D123" s="144">
        <f t="shared" ref="D123" si="42">SUM(D115:D122)</f>
        <v>20</v>
      </c>
      <c r="E123" s="144">
        <f t="shared" ref="E123" si="43">SUM(E115:E122)</f>
        <v>22</v>
      </c>
      <c r="F123" s="148">
        <f>E123/D123*10</f>
        <v>11</v>
      </c>
      <c r="G123" s="144">
        <f t="shared" ref="G123" si="44">SUM(G115:G122)</f>
        <v>34</v>
      </c>
      <c r="H123" s="144">
        <f t="shared" ref="H123" si="45">SUM(H115:H122)</f>
        <v>35</v>
      </c>
      <c r="I123" s="144">
        <f t="shared" ref="I123" si="46">SUM(I115:I122)</f>
        <v>31</v>
      </c>
      <c r="J123" s="152">
        <f t="shared" si="41"/>
        <v>8.8571428571428577</v>
      </c>
    </row>
    <row r="124" spans="1:10" x14ac:dyDescent="0.25">
      <c r="A124" s="162" t="s">
        <v>110</v>
      </c>
      <c r="B124" s="159"/>
      <c r="C124" s="160"/>
      <c r="D124" s="160"/>
      <c r="E124" s="160"/>
      <c r="F124" s="161"/>
      <c r="G124" s="160"/>
      <c r="H124" s="160"/>
      <c r="I124" s="160"/>
      <c r="J124" s="161"/>
    </row>
  </sheetData>
  <mergeCells count="40">
    <mergeCell ref="A112:A114"/>
    <mergeCell ref="B112:B114"/>
    <mergeCell ref="C112:F112"/>
    <mergeCell ref="G112:J112"/>
    <mergeCell ref="A123:B123"/>
    <mergeCell ref="A108:B108"/>
    <mergeCell ref="A67:A69"/>
    <mergeCell ref="B67:B69"/>
    <mergeCell ref="C67:F67"/>
    <mergeCell ref="G67:J67"/>
    <mergeCell ref="A78:B78"/>
    <mergeCell ref="A82:A84"/>
    <mergeCell ref="B82:B84"/>
    <mergeCell ref="C82:F82"/>
    <mergeCell ref="G82:J82"/>
    <mergeCell ref="A93:B93"/>
    <mergeCell ref="A97:A99"/>
    <mergeCell ref="B97:B99"/>
    <mergeCell ref="C97:F97"/>
    <mergeCell ref="G97:J97"/>
    <mergeCell ref="A50:A52"/>
    <mergeCell ref="B50:B52"/>
    <mergeCell ref="C50:F50"/>
    <mergeCell ref="G50:J50"/>
    <mergeCell ref="A61:B61"/>
    <mergeCell ref="A45:B45"/>
    <mergeCell ref="A19:A21"/>
    <mergeCell ref="B19:B21"/>
    <mergeCell ref="C19:F19"/>
    <mergeCell ref="G19:J19"/>
    <mergeCell ref="A30:B30"/>
    <mergeCell ref="A34:A36"/>
    <mergeCell ref="B34:B36"/>
    <mergeCell ref="C34:F34"/>
    <mergeCell ref="G34:J34"/>
    <mergeCell ref="B4:B6"/>
    <mergeCell ref="A4:A6"/>
    <mergeCell ref="G4:J4"/>
    <mergeCell ref="C4:F4"/>
    <mergeCell ref="A15:B15"/>
  </mergeCells>
  <pageMargins left="0.70866141732283472" right="0.39370078740157483" top="0.78740157480314965" bottom="0.98425196850393704" header="0.31496062992125984" footer="0.31496062992125984"/>
  <pageSetup paperSize="5" scale="9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padi sawah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2014</vt:lpstr>
      <vt:lpstr>2013</vt:lpstr>
      <vt:lpstr>Sheet1</vt:lpstr>
      <vt:lpstr>ARAM II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2015-12-23T02:47:00Z</cp:lastPrinted>
  <dcterms:created xsi:type="dcterms:W3CDTF">2014-02-11T04:21:26Z</dcterms:created>
  <dcterms:modified xsi:type="dcterms:W3CDTF">2017-09-18T08:26:25Z</dcterms:modified>
</cp:coreProperties>
</file>