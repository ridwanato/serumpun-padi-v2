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ANLIN - RKA COVID\DATA STATISTIK TAN PANGAN\PADI &amp; PALAWIJA\"/>
    </mc:Choice>
  </mc:AlternateContent>
  <xr:revisionPtr revIDLastSave="0" documentId="13_ncr:1_{2F440480-33E5-4FB4-872A-853622BE972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adi sawah" sheetId="1" r:id="rId1"/>
    <sheet name="puso" sheetId="2" r:id="rId2"/>
    <sheet name="padi ladang" sheetId="3" r:id="rId3"/>
    <sheet name="jagung" sheetId="4" r:id="rId4"/>
    <sheet name="kedelai" sheetId="9" r:id="rId5"/>
    <sheet name="kc tanah" sheetId="5" r:id="rId6"/>
    <sheet name="ubi kayu" sheetId="6" r:id="rId7"/>
    <sheet name="ubi jalar" sheetId="7" r:id="rId8"/>
    <sheet name="kc ijo" sheetId="8" r:id="rId9"/>
    <sheet name="talas" sheetId="21" r:id="rId10"/>
    <sheet name="sorgum" sheetId="24" r:id="rId11"/>
    <sheet name="rekap" sheetId="10" r:id="rId12"/>
    <sheet name="jag&amp;kc" sheetId="27" r:id="rId13"/>
    <sheet name="okt-mar" sheetId="19" r:id="rId14"/>
    <sheet name="okt-mar'19-20" sheetId="26" r:id="rId15"/>
  </sheets>
  <externalReferences>
    <externalReference r:id="rId16"/>
  </externalReferences>
  <calcPr calcId="181029"/>
</workbook>
</file>

<file path=xl/calcChain.xml><?xml version="1.0" encoding="utf-8"?>
<calcChain xmlns="http://schemas.openxmlformats.org/spreadsheetml/2006/main">
  <c r="F60" i="27" l="1"/>
  <c r="E60" i="27"/>
  <c r="D60" i="27"/>
  <c r="C60" i="27"/>
  <c r="F59" i="27"/>
  <c r="E59" i="27"/>
  <c r="D59" i="27"/>
  <c r="C59" i="27"/>
  <c r="F58" i="27"/>
  <c r="E58" i="27"/>
  <c r="D58" i="27"/>
  <c r="C58" i="27"/>
  <c r="F57" i="27"/>
  <c r="E57" i="27"/>
  <c r="D57" i="27"/>
  <c r="C57" i="27"/>
  <c r="F56" i="27"/>
  <c r="E56" i="27"/>
  <c r="D56" i="27"/>
  <c r="C56" i="27"/>
  <c r="F55" i="27"/>
  <c r="E55" i="27"/>
  <c r="D55" i="27"/>
  <c r="C55" i="27"/>
  <c r="F54" i="27"/>
  <c r="E54" i="27"/>
  <c r="D54" i="27"/>
  <c r="C54" i="27"/>
  <c r="F53" i="27"/>
  <c r="E53" i="27"/>
  <c r="D53" i="27"/>
  <c r="C53" i="27"/>
  <c r="F47" i="27"/>
  <c r="F46" i="27"/>
  <c r="E46" i="27"/>
  <c r="D46" i="27"/>
  <c r="C46" i="27"/>
  <c r="F45" i="27"/>
  <c r="E45" i="27"/>
  <c r="D45" i="27"/>
  <c r="C45" i="27"/>
  <c r="F44" i="27"/>
  <c r="E44" i="27"/>
  <c r="D44" i="27"/>
  <c r="C44" i="27"/>
  <c r="F43" i="27"/>
  <c r="E43" i="27"/>
  <c r="D43" i="27"/>
  <c r="C43" i="27"/>
  <c r="F42" i="27"/>
  <c r="E42" i="27"/>
  <c r="D42" i="27"/>
  <c r="C42" i="27"/>
  <c r="F41" i="27"/>
  <c r="E41" i="27"/>
  <c r="D41" i="27"/>
  <c r="C41" i="27"/>
  <c r="F40" i="27"/>
  <c r="E40" i="27"/>
  <c r="D40" i="27"/>
  <c r="C40" i="27"/>
  <c r="F39" i="27"/>
  <c r="E39" i="27"/>
  <c r="D39" i="27"/>
  <c r="C39" i="27"/>
  <c r="C47" i="27" l="1"/>
  <c r="D47" i="27"/>
  <c r="E61" i="27"/>
  <c r="E47" i="27"/>
  <c r="C61" i="27"/>
  <c r="D61" i="27"/>
  <c r="O109" i="8"/>
  <c r="N116" i="8"/>
  <c r="O116" i="7"/>
  <c r="O116" i="4"/>
  <c r="O111" i="4"/>
  <c r="O108" i="4"/>
  <c r="O115" i="4"/>
  <c r="Q50" i="4"/>
  <c r="O50" i="4"/>
  <c r="K50" i="4"/>
  <c r="F61" i="27" l="1"/>
  <c r="O115" i="21"/>
  <c r="F143" i="10" s="1"/>
  <c r="O110" i="21"/>
  <c r="F138" i="10" s="1"/>
  <c r="O111" i="21"/>
  <c r="F139" i="10" s="1"/>
  <c r="O112" i="21"/>
  <c r="F140" i="10" s="1"/>
  <c r="O113" i="21"/>
  <c r="F141" i="10" s="1"/>
  <c r="O114" i="21"/>
  <c r="F142" i="10" s="1"/>
  <c r="O109" i="21"/>
  <c r="F136" i="10"/>
  <c r="M116" i="8"/>
  <c r="M50" i="7"/>
  <c r="L116" i="4"/>
  <c r="L116" i="8" l="1"/>
  <c r="L116" i="7"/>
  <c r="K116" i="7"/>
  <c r="L111" i="6"/>
  <c r="K116" i="8" l="1"/>
  <c r="K111" i="6"/>
  <c r="K116" i="4"/>
  <c r="J116" i="8" l="1"/>
  <c r="I116" i="8" l="1"/>
  <c r="I116" i="7"/>
  <c r="H116" i="7" l="1"/>
  <c r="H116" i="1"/>
  <c r="G116" i="8" l="1"/>
  <c r="G116" i="4"/>
  <c r="C31" i="26" l="1"/>
  <c r="D31" i="26"/>
  <c r="E31" i="26"/>
  <c r="F116" i="4" l="1"/>
  <c r="F111" i="6"/>
  <c r="F116" i="8"/>
  <c r="E111" i="6" l="1"/>
  <c r="D116" i="7" l="1"/>
  <c r="D111" i="6"/>
  <c r="D116" i="4"/>
  <c r="C116" i="8" l="1"/>
  <c r="C111" i="6"/>
  <c r="C116" i="4"/>
  <c r="N83" i="1" l="1"/>
  <c r="C56" i="26" l="1"/>
  <c r="D56" i="26"/>
  <c r="E56" i="26"/>
  <c r="C57" i="26"/>
  <c r="D57" i="26"/>
  <c r="E57" i="26"/>
  <c r="C58" i="26"/>
  <c r="D58" i="26"/>
  <c r="I58" i="26" s="1"/>
  <c r="E58" i="26"/>
  <c r="C59" i="26"/>
  <c r="D59" i="26"/>
  <c r="E59" i="26"/>
  <c r="C60" i="26"/>
  <c r="D60" i="26"/>
  <c r="I60" i="26" s="1"/>
  <c r="E60" i="26"/>
  <c r="C61" i="26"/>
  <c r="I61" i="26" s="1"/>
  <c r="D61" i="26"/>
  <c r="E61" i="26"/>
  <c r="C62" i="26"/>
  <c r="D62" i="26"/>
  <c r="E62" i="26"/>
  <c r="D55" i="26"/>
  <c r="E55" i="26"/>
  <c r="C55" i="26"/>
  <c r="I27" i="26"/>
  <c r="F9" i="26"/>
  <c r="O592" i="26"/>
  <c r="N592" i="26"/>
  <c r="M592" i="26"/>
  <c r="L592" i="26"/>
  <c r="K592" i="26"/>
  <c r="J592" i="26"/>
  <c r="H592" i="26"/>
  <c r="G592" i="26"/>
  <c r="F592" i="26"/>
  <c r="E592" i="26"/>
  <c r="D592" i="26"/>
  <c r="C592" i="26"/>
  <c r="O591" i="26"/>
  <c r="N591" i="26"/>
  <c r="M591" i="26"/>
  <c r="L591" i="26"/>
  <c r="K591" i="26"/>
  <c r="J591" i="26"/>
  <c r="H591" i="26"/>
  <c r="G591" i="26"/>
  <c r="F591" i="26"/>
  <c r="E591" i="26"/>
  <c r="D591" i="26"/>
  <c r="C591" i="26"/>
  <c r="O590" i="26"/>
  <c r="N590" i="26"/>
  <c r="M590" i="26"/>
  <c r="L590" i="26"/>
  <c r="K590" i="26"/>
  <c r="J590" i="26"/>
  <c r="H590" i="26"/>
  <c r="G590" i="26"/>
  <c r="F590" i="26"/>
  <c r="E590" i="26"/>
  <c r="D590" i="26"/>
  <c r="C590" i="26"/>
  <c r="O589" i="26"/>
  <c r="N589" i="26"/>
  <c r="M589" i="26"/>
  <c r="L589" i="26"/>
  <c r="K589" i="26"/>
  <c r="J589" i="26"/>
  <c r="H589" i="26"/>
  <c r="G589" i="26"/>
  <c r="F589" i="26"/>
  <c r="E589" i="26"/>
  <c r="D589" i="26"/>
  <c r="C589" i="26"/>
  <c r="O588" i="26"/>
  <c r="N588" i="26"/>
  <c r="M588" i="26"/>
  <c r="L588" i="26"/>
  <c r="K588" i="26"/>
  <c r="J588" i="26"/>
  <c r="H588" i="26"/>
  <c r="G588" i="26"/>
  <c r="F588" i="26"/>
  <c r="E588" i="26"/>
  <c r="D588" i="26"/>
  <c r="C588" i="26"/>
  <c r="O587" i="26"/>
  <c r="N587" i="26"/>
  <c r="M587" i="26"/>
  <c r="L587" i="26"/>
  <c r="K587" i="26"/>
  <c r="J587" i="26"/>
  <c r="H587" i="26"/>
  <c r="G587" i="26"/>
  <c r="F587" i="26"/>
  <c r="E587" i="26"/>
  <c r="D587" i="26"/>
  <c r="C587" i="26"/>
  <c r="O586" i="26"/>
  <c r="N586" i="26"/>
  <c r="M586" i="26"/>
  <c r="L586" i="26"/>
  <c r="K586" i="26"/>
  <c r="J586" i="26"/>
  <c r="H586" i="26"/>
  <c r="G586" i="26"/>
  <c r="F586" i="26"/>
  <c r="E586" i="26"/>
  <c r="D586" i="26"/>
  <c r="C586" i="26"/>
  <c r="O585" i="26"/>
  <c r="O593" i="26" s="1"/>
  <c r="N585" i="26"/>
  <c r="N593" i="26" s="1"/>
  <c r="M585" i="26"/>
  <c r="L585" i="26"/>
  <c r="K585" i="26"/>
  <c r="J585" i="26"/>
  <c r="H585" i="26"/>
  <c r="H593" i="26" s="1"/>
  <c r="G585" i="26"/>
  <c r="G593" i="26" s="1"/>
  <c r="F585" i="26"/>
  <c r="F593" i="26" s="1"/>
  <c r="E585" i="26"/>
  <c r="D585" i="26"/>
  <c r="C585" i="26"/>
  <c r="E575" i="26"/>
  <c r="D575" i="26"/>
  <c r="C575" i="26"/>
  <c r="O574" i="26"/>
  <c r="N574" i="26"/>
  <c r="M574" i="26"/>
  <c r="L574" i="26"/>
  <c r="K574" i="26"/>
  <c r="J574" i="26"/>
  <c r="H574" i="26"/>
  <c r="G574" i="26"/>
  <c r="F574" i="26"/>
  <c r="O573" i="26"/>
  <c r="N573" i="26"/>
  <c r="M573" i="26"/>
  <c r="L573" i="26"/>
  <c r="K573" i="26"/>
  <c r="J573" i="26"/>
  <c r="H573" i="26"/>
  <c r="G573" i="26"/>
  <c r="F573" i="26"/>
  <c r="O572" i="26"/>
  <c r="N572" i="26"/>
  <c r="M572" i="26"/>
  <c r="L572" i="26"/>
  <c r="K572" i="26"/>
  <c r="J572" i="26"/>
  <c r="H572" i="26"/>
  <c r="G572" i="26"/>
  <c r="F572" i="26"/>
  <c r="O571" i="26"/>
  <c r="N571" i="26"/>
  <c r="M571" i="26"/>
  <c r="L571" i="26"/>
  <c r="K571" i="26"/>
  <c r="J571" i="26"/>
  <c r="H571" i="26"/>
  <c r="G571" i="26"/>
  <c r="F571" i="26"/>
  <c r="O570" i="26"/>
  <c r="N570" i="26"/>
  <c r="M570" i="26"/>
  <c r="L570" i="26"/>
  <c r="K570" i="26"/>
  <c r="J570" i="26"/>
  <c r="H570" i="26"/>
  <c r="G570" i="26"/>
  <c r="F570" i="26"/>
  <c r="O569" i="26"/>
  <c r="N569" i="26"/>
  <c r="M569" i="26"/>
  <c r="L569" i="26"/>
  <c r="K569" i="26"/>
  <c r="J569" i="26"/>
  <c r="H569" i="26"/>
  <c r="G569" i="26"/>
  <c r="F569" i="26"/>
  <c r="O568" i="26"/>
  <c r="N568" i="26"/>
  <c r="M568" i="26"/>
  <c r="L568" i="26"/>
  <c r="K568" i="26"/>
  <c r="J568" i="26"/>
  <c r="H568" i="26"/>
  <c r="G568" i="26"/>
  <c r="F568" i="26"/>
  <c r="O567" i="26"/>
  <c r="N567" i="26"/>
  <c r="M567" i="26"/>
  <c r="L567" i="26"/>
  <c r="K567" i="26"/>
  <c r="J567" i="26"/>
  <c r="H567" i="26"/>
  <c r="G567" i="26"/>
  <c r="F567" i="26"/>
  <c r="E559" i="26"/>
  <c r="D559" i="26"/>
  <c r="O558" i="26"/>
  <c r="N558" i="26"/>
  <c r="M558" i="26"/>
  <c r="L558" i="26"/>
  <c r="K558" i="26"/>
  <c r="J558" i="26"/>
  <c r="H558" i="26"/>
  <c r="G558" i="26"/>
  <c r="F558" i="26"/>
  <c r="O557" i="26"/>
  <c r="N557" i="26"/>
  <c r="M557" i="26"/>
  <c r="L557" i="26"/>
  <c r="K557" i="26"/>
  <c r="J557" i="26"/>
  <c r="H557" i="26"/>
  <c r="G557" i="26"/>
  <c r="F557" i="26"/>
  <c r="O556" i="26"/>
  <c r="N556" i="26"/>
  <c r="M556" i="26"/>
  <c r="L556" i="26"/>
  <c r="K556" i="26"/>
  <c r="J556" i="26"/>
  <c r="H556" i="26"/>
  <c r="G556" i="26"/>
  <c r="F556" i="26"/>
  <c r="O555" i="26"/>
  <c r="N555" i="26"/>
  <c r="M555" i="26"/>
  <c r="L555" i="26"/>
  <c r="K555" i="26"/>
  <c r="J555" i="26"/>
  <c r="H555" i="26"/>
  <c r="G555" i="26"/>
  <c r="F555" i="26"/>
  <c r="O554" i="26"/>
  <c r="N554" i="26"/>
  <c r="M554" i="26"/>
  <c r="L554" i="26"/>
  <c r="K554" i="26"/>
  <c r="J554" i="26"/>
  <c r="H554" i="26"/>
  <c r="G554" i="26"/>
  <c r="F554" i="26"/>
  <c r="O553" i="26"/>
  <c r="N553" i="26"/>
  <c r="M553" i="26"/>
  <c r="L553" i="26"/>
  <c r="K553" i="26"/>
  <c r="J553" i="26"/>
  <c r="H553" i="26"/>
  <c r="G553" i="26"/>
  <c r="F553" i="26"/>
  <c r="O552" i="26"/>
  <c r="N552" i="26"/>
  <c r="M552" i="26"/>
  <c r="L552" i="26"/>
  <c r="K552" i="26"/>
  <c r="J552" i="26"/>
  <c r="H552" i="26"/>
  <c r="G552" i="26"/>
  <c r="F552" i="26"/>
  <c r="O551" i="26"/>
  <c r="N551" i="26"/>
  <c r="M551" i="26"/>
  <c r="L551" i="26"/>
  <c r="K551" i="26"/>
  <c r="J551" i="26"/>
  <c r="H551" i="26"/>
  <c r="G551" i="26"/>
  <c r="F551" i="26"/>
  <c r="O542" i="26"/>
  <c r="N542" i="26"/>
  <c r="M542" i="26"/>
  <c r="L542" i="26"/>
  <c r="K542" i="26"/>
  <c r="J542" i="26"/>
  <c r="H542" i="26"/>
  <c r="G542" i="26"/>
  <c r="F542" i="26"/>
  <c r="O541" i="26"/>
  <c r="N541" i="26"/>
  <c r="M541" i="26"/>
  <c r="L541" i="26"/>
  <c r="K541" i="26"/>
  <c r="J541" i="26"/>
  <c r="H541" i="26"/>
  <c r="G541" i="26"/>
  <c r="F541" i="26"/>
  <c r="O540" i="26"/>
  <c r="N540" i="26"/>
  <c r="M540" i="26"/>
  <c r="L540" i="26"/>
  <c r="K540" i="26"/>
  <c r="J540" i="26"/>
  <c r="H540" i="26"/>
  <c r="G540" i="26"/>
  <c r="F540" i="26"/>
  <c r="O539" i="26"/>
  <c r="N539" i="26"/>
  <c r="M539" i="26"/>
  <c r="L539" i="26"/>
  <c r="K539" i="26"/>
  <c r="J539" i="26"/>
  <c r="H539" i="26"/>
  <c r="G539" i="26"/>
  <c r="F539" i="26"/>
  <c r="O538" i="26"/>
  <c r="N538" i="26"/>
  <c r="M538" i="26"/>
  <c r="L538" i="26"/>
  <c r="K538" i="26"/>
  <c r="J538" i="26"/>
  <c r="H538" i="26"/>
  <c r="G538" i="26"/>
  <c r="F538" i="26"/>
  <c r="O537" i="26"/>
  <c r="N537" i="26"/>
  <c r="M537" i="26"/>
  <c r="L537" i="26"/>
  <c r="K537" i="26"/>
  <c r="J537" i="26"/>
  <c r="H537" i="26"/>
  <c r="G537" i="26"/>
  <c r="F537" i="26"/>
  <c r="O536" i="26"/>
  <c r="N536" i="26"/>
  <c r="M536" i="26"/>
  <c r="L536" i="26"/>
  <c r="K536" i="26"/>
  <c r="J536" i="26"/>
  <c r="H536" i="26"/>
  <c r="G536" i="26"/>
  <c r="F536" i="26"/>
  <c r="O535" i="26"/>
  <c r="N535" i="26"/>
  <c r="M535" i="26"/>
  <c r="L535" i="26"/>
  <c r="K535" i="26"/>
  <c r="J535" i="26"/>
  <c r="H535" i="26"/>
  <c r="G535" i="26"/>
  <c r="F535" i="26"/>
  <c r="O526" i="26"/>
  <c r="N526" i="26"/>
  <c r="M526" i="26"/>
  <c r="L526" i="26"/>
  <c r="K526" i="26"/>
  <c r="J526" i="26"/>
  <c r="H526" i="26"/>
  <c r="G526" i="26"/>
  <c r="F526" i="26"/>
  <c r="O525" i="26"/>
  <c r="N525" i="26"/>
  <c r="M525" i="26"/>
  <c r="L525" i="26"/>
  <c r="K525" i="26"/>
  <c r="J525" i="26"/>
  <c r="H525" i="26"/>
  <c r="G525" i="26"/>
  <c r="F525" i="26"/>
  <c r="O524" i="26"/>
  <c r="N524" i="26"/>
  <c r="M524" i="26"/>
  <c r="L524" i="26"/>
  <c r="K524" i="26"/>
  <c r="J524" i="26"/>
  <c r="H524" i="26"/>
  <c r="G524" i="26"/>
  <c r="F524" i="26"/>
  <c r="O523" i="26"/>
  <c r="N523" i="26"/>
  <c r="M523" i="26"/>
  <c r="L523" i="26"/>
  <c r="K523" i="26"/>
  <c r="J523" i="26"/>
  <c r="H523" i="26"/>
  <c r="G523" i="26"/>
  <c r="F523" i="26"/>
  <c r="O522" i="26"/>
  <c r="N522" i="26"/>
  <c r="M522" i="26"/>
  <c r="L522" i="26"/>
  <c r="K522" i="26"/>
  <c r="J522" i="26"/>
  <c r="H522" i="26"/>
  <c r="G522" i="26"/>
  <c r="F522" i="26"/>
  <c r="O521" i="26"/>
  <c r="N521" i="26"/>
  <c r="M521" i="26"/>
  <c r="L521" i="26"/>
  <c r="K521" i="26"/>
  <c r="J521" i="26"/>
  <c r="H521" i="26"/>
  <c r="G521" i="26"/>
  <c r="F521" i="26"/>
  <c r="O520" i="26"/>
  <c r="N520" i="26"/>
  <c r="M520" i="26"/>
  <c r="L520" i="26"/>
  <c r="K520" i="26"/>
  <c r="J520" i="26"/>
  <c r="H520" i="26"/>
  <c r="G520" i="26"/>
  <c r="F520" i="26"/>
  <c r="O519" i="26"/>
  <c r="N519" i="26"/>
  <c r="M519" i="26"/>
  <c r="L519" i="26"/>
  <c r="K519" i="26"/>
  <c r="J519" i="26"/>
  <c r="H519" i="26"/>
  <c r="G519" i="26"/>
  <c r="F519" i="26"/>
  <c r="L511" i="26"/>
  <c r="K511" i="26"/>
  <c r="J511" i="26"/>
  <c r="E511" i="26"/>
  <c r="D511" i="26"/>
  <c r="C511" i="26"/>
  <c r="O510" i="26"/>
  <c r="N510" i="26"/>
  <c r="M510" i="26"/>
  <c r="H510" i="26"/>
  <c r="G510" i="26"/>
  <c r="F510" i="26"/>
  <c r="O509" i="26"/>
  <c r="N509" i="26"/>
  <c r="M509" i="26"/>
  <c r="H509" i="26"/>
  <c r="G509" i="26"/>
  <c r="I509" i="26" s="1"/>
  <c r="F509" i="26"/>
  <c r="O508" i="26"/>
  <c r="N508" i="26"/>
  <c r="M508" i="26"/>
  <c r="H508" i="26"/>
  <c r="G508" i="26"/>
  <c r="F508" i="26"/>
  <c r="O507" i="26"/>
  <c r="N507" i="26"/>
  <c r="M507" i="26"/>
  <c r="H507" i="26"/>
  <c r="G507" i="26"/>
  <c r="I507" i="26" s="1"/>
  <c r="F507" i="26"/>
  <c r="O506" i="26"/>
  <c r="N506" i="26"/>
  <c r="M506" i="26"/>
  <c r="H506" i="26"/>
  <c r="G506" i="26"/>
  <c r="F506" i="26"/>
  <c r="O505" i="26"/>
  <c r="N505" i="26"/>
  <c r="M505" i="26"/>
  <c r="H505" i="26"/>
  <c r="G505" i="26"/>
  <c r="I505" i="26" s="1"/>
  <c r="F505" i="26"/>
  <c r="O504" i="26"/>
  <c r="N504" i="26"/>
  <c r="M504" i="26"/>
  <c r="P504" i="26" s="1"/>
  <c r="H504" i="26"/>
  <c r="G504" i="26"/>
  <c r="F504" i="26"/>
  <c r="O503" i="26"/>
  <c r="N503" i="26"/>
  <c r="M503" i="26"/>
  <c r="H503" i="26"/>
  <c r="H511" i="26" s="1"/>
  <c r="G503" i="26"/>
  <c r="F503" i="26"/>
  <c r="E495" i="26"/>
  <c r="C495" i="26"/>
  <c r="O494" i="26"/>
  <c r="N494" i="26"/>
  <c r="M494" i="26"/>
  <c r="L494" i="26"/>
  <c r="K494" i="26"/>
  <c r="J494" i="26"/>
  <c r="H494" i="26"/>
  <c r="G494" i="26"/>
  <c r="F494" i="26"/>
  <c r="O493" i="26"/>
  <c r="N493" i="26"/>
  <c r="M493" i="26"/>
  <c r="L493" i="26"/>
  <c r="K493" i="26"/>
  <c r="J493" i="26"/>
  <c r="H493" i="26"/>
  <c r="G493" i="26"/>
  <c r="F493" i="26"/>
  <c r="O492" i="26"/>
  <c r="N492" i="26"/>
  <c r="M492" i="26"/>
  <c r="L492" i="26"/>
  <c r="K492" i="26"/>
  <c r="J492" i="26"/>
  <c r="H492" i="26"/>
  <c r="G492" i="26"/>
  <c r="F492" i="26"/>
  <c r="O491" i="26"/>
  <c r="N491" i="26"/>
  <c r="M491" i="26"/>
  <c r="L491" i="26"/>
  <c r="K491" i="26"/>
  <c r="J491" i="26"/>
  <c r="H491" i="26"/>
  <c r="G491" i="26"/>
  <c r="F491" i="26"/>
  <c r="O490" i="26"/>
  <c r="N490" i="26"/>
  <c r="M490" i="26"/>
  <c r="L490" i="26"/>
  <c r="K490" i="26"/>
  <c r="J490" i="26"/>
  <c r="H490" i="26"/>
  <c r="G490" i="26"/>
  <c r="F490" i="26"/>
  <c r="O489" i="26"/>
  <c r="N489" i="26"/>
  <c r="M489" i="26"/>
  <c r="L489" i="26"/>
  <c r="K489" i="26"/>
  <c r="J489" i="26"/>
  <c r="H489" i="26"/>
  <c r="G489" i="26"/>
  <c r="F489" i="26"/>
  <c r="O488" i="26"/>
  <c r="N488" i="26"/>
  <c r="M488" i="26"/>
  <c r="L488" i="26"/>
  <c r="K488" i="26"/>
  <c r="J488" i="26"/>
  <c r="H488" i="26"/>
  <c r="G488" i="26"/>
  <c r="F488" i="26"/>
  <c r="O487" i="26"/>
  <c r="N487" i="26"/>
  <c r="M487" i="26"/>
  <c r="L487" i="26"/>
  <c r="K487" i="26"/>
  <c r="J487" i="26"/>
  <c r="H487" i="26"/>
  <c r="G487" i="26"/>
  <c r="F487" i="26"/>
  <c r="E479" i="26"/>
  <c r="D479" i="26"/>
  <c r="C479" i="26"/>
  <c r="O478" i="26"/>
  <c r="N478" i="26"/>
  <c r="M478" i="26"/>
  <c r="L478" i="26"/>
  <c r="K478" i="26"/>
  <c r="J478" i="26"/>
  <c r="H478" i="26"/>
  <c r="G478" i="26"/>
  <c r="I478" i="26" s="1"/>
  <c r="F478" i="26"/>
  <c r="O477" i="26"/>
  <c r="N477" i="26"/>
  <c r="M477" i="26"/>
  <c r="L477" i="26"/>
  <c r="K477" i="26"/>
  <c r="J477" i="26"/>
  <c r="H477" i="26"/>
  <c r="G477" i="26"/>
  <c r="F477" i="26"/>
  <c r="O476" i="26"/>
  <c r="N476" i="26"/>
  <c r="M476" i="26"/>
  <c r="L476" i="26"/>
  <c r="K476" i="26"/>
  <c r="J476" i="26"/>
  <c r="H476" i="26"/>
  <c r="G476" i="26"/>
  <c r="I476" i="26" s="1"/>
  <c r="F476" i="26"/>
  <c r="O475" i="26"/>
  <c r="N475" i="26"/>
  <c r="M475" i="26"/>
  <c r="L475" i="26"/>
  <c r="K475" i="26"/>
  <c r="J475" i="26"/>
  <c r="H475" i="26"/>
  <c r="G475" i="26"/>
  <c r="F475" i="26"/>
  <c r="O474" i="26"/>
  <c r="N474" i="26"/>
  <c r="M474" i="26"/>
  <c r="L474" i="26"/>
  <c r="K474" i="26"/>
  <c r="J474" i="26"/>
  <c r="H474" i="26"/>
  <c r="G474" i="26"/>
  <c r="F474" i="26"/>
  <c r="O473" i="26"/>
  <c r="N473" i="26"/>
  <c r="M473" i="26"/>
  <c r="L473" i="26"/>
  <c r="K473" i="26"/>
  <c r="J473" i="26"/>
  <c r="H473" i="26"/>
  <c r="G473" i="26"/>
  <c r="F473" i="26"/>
  <c r="O472" i="26"/>
  <c r="N472" i="26"/>
  <c r="M472" i="26"/>
  <c r="L472" i="26"/>
  <c r="K472" i="26"/>
  <c r="J472" i="26"/>
  <c r="H472" i="26"/>
  <c r="G472" i="26"/>
  <c r="I472" i="26" s="1"/>
  <c r="F472" i="26"/>
  <c r="O471" i="26"/>
  <c r="N471" i="26"/>
  <c r="M471" i="26"/>
  <c r="L471" i="26"/>
  <c r="K471" i="26"/>
  <c r="J471" i="26"/>
  <c r="H471" i="26"/>
  <c r="G471" i="26"/>
  <c r="F471" i="26"/>
  <c r="O462" i="26"/>
  <c r="N462" i="26"/>
  <c r="M462" i="26"/>
  <c r="L462" i="26"/>
  <c r="K462" i="26"/>
  <c r="J462" i="26"/>
  <c r="H462" i="26"/>
  <c r="G462" i="26"/>
  <c r="F462" i="26"/>
  <c r="O461" i="26"/>
  <c r="N461" i="26"/>
  <c r="M461" i="26"/>
  <c r="L461" i="26"/>
  <c r="K461" i="26"/>
  <c r="J461" i="26"/>
  <c r="H461" i="26"/>
  <c r="G461" i="26"/>
  <c r="F461" i="26"/>
  <c r="O460" i="26"/>
  <c r="N460" i="26"/>
  <c r="M460" i="26"/>
  <c r="L460" i="26"/>
  <c r="K460" i="26"/>
  <c r="J460" i="26"/>
  <c r="H460" i="26"/>
  <c r="G460" i="26"/>
  <c r="F460" i="26"/>
  <c r="O459" i="26"/>
  <c r="N459" i="26"/>
  <c r="M459" i="26"/>
  <c r="L459" i="26"/>
  <c r="K459" i="26"/>
  <c r="J459" i="26"/>
  <c r="H459" i="26"/>
  <c r="G459" i="26"/>
  <c r="F459" i="26"/>
  <c r="O458" i="26"/>
  <c r="N458" i="26"/>
  <c r="M458" i="26"/>
  <c r="L458" i="26"/>
  <c r="K458" i="26"/>
  <c r="J458" i="26"/>
  <c r="H458" i="26"/>
  <c r="G458" i="26"/>
  <c r="F458" i="26"/>
  <c r="O457" i="26"/>
  <c r="N457" i="26"/>
  <c r="M457" i="26"/>
  <c r="L457" i="26"/>
  <c r="K457" i="26"/>
  <c r="J457" i="26"/>
  <c r="H457" i="26"/>
  <c r="G457" i="26"/>
  <c r="F457" i="26"/>
  <c r="O456" i="26"/>
  <c r="N456" i="26"/>
  <c r="M456" i="26"/>
  <c r="L456" i="26"/>
  <c r="K456" i="26"/>
  <c r="J456" i="26"/>
  <c r="H456" i="26"/>
  <c r="G456" i="26"/>
  <c r="F456" i="26"/>
  <c r="O455" i="26"/>
  <c r="N455" i="26"/>
  <c r="M455" i="26"/>
  <c r="L455" i="26"/>
  <c r="K455" i="26"/>
  <c r="J455" i="26"/>
  <c r="H455" i="26"/>
  <c r="G455" i="26"/>
  <c r="F455" i="26"/>
  <c r="E431" i="26"/>
  <c r="D431" i="26"/>
  <c r="C431" i="26"/>
  <c r="O430" i="26"/>
  <c r="N430" i="26"/>
  <c r="M430" i="26"/>
  <c r="L430" i="26"/>
  <c r="K430" i="26"/>
  <c r="J430" i="26"/>
  <c r="H430" i="26"/>
  <c r="G430" i="26"/>
  <c r="F430" i="26"/>
  <c r="O429" i="26"/>
  <c r="N429" i="26"/>
  <c r="M429" i="26"/>
  <c r="L429" i="26"/>
  <c r="K429" i="26"/>
  <c r="J429" i="26"/>
  <c r="H429" i="26"/>
  <c r="G429" i="26"/>
  <c r="F429" i="26"/>
  <c r="O428" i="26"/>
  <c r="N428" i="26"/>
  <c r="M428" i="26"/>
  <c r="L428" i="26"/>
  <c r="K428" i="26"/>
  <c r="J428" i="26"/>
  <c r="H428" i="26"/>
  <c r="G428" i="26"/>
  <c r="F428" i="26"/>
  <c r="O427" i="26"/>
  <c r="N427" i="26"/>
  <c r="M427" i="26"/>
  <c r="L427" i="26"/>
  <c r="K427" i="26"/>
  <c r="J427" i="26"/>
  <c r="H427" i="26"/>
  <c r="G427" i="26"/>
  <c r="F427" i="26"/>
  <c r="O426" i="26"/>
  <c r="N426" i="26"/>
  <c r="M426" i="26"/>
  <c r="L426" i="26"/>
  <c r="K426" i="26"/>
  <c r="J426" i="26"/>
  <c r="H426" i="26"/>
  <c r="G426" i="26"/>
  <c r="F426" i="26"/>
  <c r="O425" i="26"/>
  <c r="N425" i="26"/>
  <c r="M425" i="26"/>
  <c r="L425" i="26"/>
  <c r="K425" i="26"/>
  <c r="J425" i="26"/>
  <c r="H425" i="26"/>
  <c r="G425" i="26"/>
  <c r="F425" i="26"/>
  <c r="O424" i="26"/>
  <c r="N424" i="26"/>
  <c r="M424" i="26"/>
  <c r="L424" i="26"/>
  <c r="K424" i="26"/>
  <c r="J424" i="26"/>
  <c r="H424" i="26"/>
  <c r="G424" i="26"/>
  <c r="F424" i="26"/>
  <c r="O423" i="26"/>
  <c r="N423" i="26"/>
  <c r="M423" i="26"/>
  <c r="L423" i="26"/>
  <c r="K423" i="26"/>
  <c r="J423" i="26"/>
  <c r="H423" i="26"/>
  <c r="G423" i="26"/>
  <c r="F423" i="26"/>
  <c r="E415" i="26"/>
  <c r="D415" i="26"/>
  <c r="C415" i="26"/>
  <c r="O414" i="26"/>
  <c r="N414" i="26"/>
  <c r="M414" i="26"/>
  <c r="L414" i="26"/>
  <c r="K414" i="26"/>
  <c r="J414" i="26"/>
  <c r="H414" i="26"/>
  <c r="G414" i="26"/>
  <c r="F414" i="26"/>
  <c r="O413" i="26"/>
  <c r="N413" i="26"/>
  <c r="M413" i="26"/>
  <c r="L413" i="26"/>
  <c r="K413" i="26"/>
  <c r="J413" i="26"/>
  <c r="H413" i="26"/>
  <c r="G413" i="26"/>
  <c r="F413" i="26"/>
  <c r="O412" i="26"/>
  <c r="N412" i="26"/>
  <c r="M412" i="26"/>
  <c r="L412" i="26"/>
  <c r="K412" i="26"/>
  <c r="J412" i="26"/>
  <c r="H412" i="26"/>
  <c r="G412" i="26"/>
  <c r="F412" i="26"/>
  <c r="O411" i="26"/>
  <c r="N411" i="26"/>
  <c r="M411" i="26"/>
  <c r="L411" i="26"/>
  <c r="K411" i="26"/>
  <c r="J411" i="26"/>
  <c r="H411" i="26"/>
  <c r="G411" i="26"/>
  <c r="F411" i="26"/>
  <c r="O410" i="26"/>
  <c r="N410" i="26"/>
  <c r="M410" i="26"/>
  <c r="L410" i="26"/>
  <c r="K410" i="26"/>
  <c r="J410" i="26"/>
  <c r="H410" i="26"/>
  <c r="G410" i="26"/>
  <c r="F410" i="26"/>
  <c r="O409" i="26"/>
  <c r="N409" i="26"/>
  <c r="M409" i="26"/>
  <c r="L409" i="26"/>
  <c r="K409" i="26"/>
  <c r="J409" i="26"/>
  <c r="H409" i="26"/>
  <c r="G409" i="26"/>
  <c r="F409" i="26"/>
  <c r="O408" i="26"/>
  <c r="N408" i="26"/>
  <c r="M408" i="26"/>
  <c r="L408" i="26"/>
  <c r="K408" i="26"/>
  <c r="J408" i="26"/>
  <c r="H408" i="26"/>
  <c r="G408" i="26"/>
  <c r="F408" i="26"/>
  <c r="O407" i="26"/>
  <c r="N407" i="26"/>
  <c r="M407" i="26"/>
  <c r="L407" i="26"/>
  <c r="K407" i="26"/>
  <c r="J407" i="26"/>
  <c r="H407" i="26"/>
  <c r="G407" i="26"/>
  <c r="F407" i="26"/>
  <c r="E399" i="26"/>
  <c r="D399" i="26"/>
  <c r="C399" i="26"/>
  <c r="O398" i="26"/>
  <c r="N398" i="26"/>
  <c r="M398" i="26"/>
  <c r="L398" i="26"/>
  <c r="K398" i="26"/>
  <c r="J398" i="26"/>
  <c r="H398" i="26"/>
  <c r="G398" i="26"/>
  <c r="F398" i="26"/>
  <c r="O397" i="26"/>
  <c r="N397" i="26"/>
  <c r="M397" i="26"/>
  <c r="L397" i="26"/>
  <c r="K397" i="26"/>
  <c r="J397" i="26"/>
  <c r="H397" i="26"/>
  <c r="G397" i="26"/>
  <c r="F397" i="26"/>
  <c r="O396" i="26"/>
  <c r="N396" i="26"/>
  <c r="M396" i="26"/>
  <c r="L396" i="26"/>
  <c r="K396" i="26"/>
  <c r="J396" i="26"/>
  <c r="H396" i="26"/>
  <c r="G396" i="26"/>
  <c r="F396" i="26"/>
  <c r="O395" i="26"/>
  <c r="N395" i="26"/>
  <c r="M395" i="26"/>
  <c r="L395" i="26"/>
  <c r="K395" i="26"/>
  <c r="J395" i="26"/>
  <c r="H395" i="26"/>
  <c r="G395" i="26"/>
  <c r="F395" i="26"/>
  <c r="O394" i="26"/>
  <c r="N394" i="26"/>
  <c r="M394" i="26"/>
  <c r="L394" i="26"/>
  <c r="K394" i="26"/>
  <c r="J394" i="26"/>
  <c r="H394" i="26"/>
  <c r="G394" i="26"/>
  <c r="F394" i="26"/>
  <c r="O393" i="26"/>
  <c r="N393" i="26"/>
  <c r="M393" i="26"/>
  <c r="L393" i="26"/>
  <c r="K393" i="26"/>
  <c r="J393" i="26"/>
  <c r="H393" i="26"/>
  <c r="G393" i="26"/>
  <c r="I393" i="26" s="1"/>
  <c r="F393" i="26"/>
  <c r="O392" i="26"/>
  <c r="N392" i="26"/>
  <c r="M392" i="26"/>
  <c r="L392" i="26"/>
  <c r="K392" i="26"/>
  <c r="J392" i="26"/>
  <c r="H392" i="26"/>
  <c r="G392" i="26"/>
  <c r="F392" i="26"/>
  <c r="O391" i="26"/>
  <c r="N391" i="26"/>
  <c r="M391" i="26"/>
  <c r="L391" i="26"/>
  <c r="K391" i="26"/>
  <c r="J391" i="26"/>
  <c r="H391" i="26"/>
  <c r="G391" i="26"/>
  <c r="F391" i="26"/>
  <c r="E383" i="26"/>
  <c r="D383" i="26"/>
  <c r="C383" i="26"/>
  <c r="O382" i="26"/>
  <c r="N382" i="26"/>
  <c r="M382" i="26"/>
  <c r="L382" i="26"/>
  <c r="K382" i="26"/>
  <c r="J382" i="26"/>
  <c r="H382" i="26"/>
  <c r="G382" i="26"/>
  <c r="F382" i="26"/>
  <c r="O381" i="26"/>
  <c r="N381" i="26"/>
  <c r="M381" i="26"/>
  <c r="L381" i="26"/>
  <c r="K381" i="26"/>
  <c r="J381" i="26"/>
  <c r="H381" i="26"/>
  <c r="G381" i="26"/>
  <c r="F381" i="26"/>
  <c r="O380" i="26"/>
  <c r="N380" i="26"/>
  <c r="M380" i="26"/>
  <c r="L380" i="26"/>
  <c r="K380" i="26"/>
  <c r="J380" i="26"/>
  <c r="H380" i="26"/>
  <c r="G380" i="26"/>
  <c r="F380" i="26"/>
  <c r="O379" i="26"/>
  <c r="N379" i="26"/>
  <c r="M379" i="26"/>
  <c r="L379" i="26"/>
  <c r="K379" i="26"/>
  <c r="J379" i="26"/>
  <c r="H379" i="26"/>
  <c r="G379" i="26"/>
  <c r="F379" i="26"/>
  <c r="O378" i="26"/>
  <c r="N378" i="26"/>
  <c r="M378" i="26"/>
  <c r="L378" i="26"/>
  <c r="K378" i="26"/>
  <c r="J378" i="26"/>
  <c r="H378" i="26"/>
  <c r="G378" i="26"/>
  <c r="F378" i="26"/>
  <c r="O377" i="26"/>
  <c r="N377" i="26"/>
  <c r="M377" i="26"/>
  <c r="L377" i="26"/>
  <c r="K377" i="26"/>
  <c r="J377" i="26"/>
  <c r="H377" i="26"/>
  <c r="G377" i="26"/>
  <c r="F377" i="26"/>
  <c r="O376" i="26"/>
  <c r="N376" i="26"/>
  <c r="M376" i="26"/>
  <c r="L376" i="26"/>
  <c r="K376" i="26"/>
  <c r="J376" i="26"/>
  <c r="H376" i="26"/>
  <c r="G376" i="26"/>
  <c r="F376" i="26"/>
  <c r="O375" i="26"/>
  <c r="N375" i="26"/>
  <c r="M375" i="26"/>
  <c r="L375" i="26"/>
  <c r="K375" i="26"/>
  <c r="J375" i="26"/>
  <c r="H375" i="26"/>
  <c r="G375" i="26"/>
  <c r="F375" i="26"/>
  <c r="L367" i="26"/>
  <c r="K367" i="26"/>
  <c r="J367" i="26"/>
  <c r="E367" i="26"/>
  <c r="D367" i="26"/>
  <c r="C367" i="26"/>
  <c r="O366" i="26"/>
  <c r="N366" i="26"/>
  <c r="M366" i="26"/>
  <c r="H366" i="26"/>
  <c r="G366" i="26"/>
  <c r="F366" i="26"/>
  <c r="O365" i="26"/>
  <c r="N365" i="26"/>
  <c r="M365" i="26"/>
  <c r="H365" i="26"/>
  <c r="G365" i="26"/>
  <c r="F365" i="26"/>
  <c r="O364" i="26"/>
  <c r="N364" i="26"/>
  <c r="M364" i="26"/>
  <c r="H364" i="26"/>
  <c r="G364" i="26"/>
  <c r="F364" i="26"/>
  <c r="O363" i="26"/>
  <c r="N363" i="26"/>
  <c r="M363" i="26"/>
  <c r="H363" i="26"/>
  <c r="G363" i="26"/>
  <c r="F363" i="26"/>
  <c r="I363" i="26" s="1"/>
  <c r="O362" i="26"/>
  <c r="N362" i="26"/>
  <c r="M362" i="26"/>
  <c r="H362" i="26"/>
  <c r="G362" i="26"/>
  <c r="F362" i="26"/>
  <c r="O361" i="26"/>
  <c r="N361" i="26"/>
  <c r="M361" i="26"/>
  <c r="H361" i="26"/>
  <c r="G361" i="26"/>
  <c r="F361" i="26"/>
  <c r="O360" i="26"/>
  <c r="N360" i="26"/>
  <c r="M360" i="26"/>
  <c r="H360" i="26"/>
  <c r="G360" i="26"/>
  <c r="F360" i="26"/>
  <c r="O359" i="26"/>
  <c r="N359" i="26"/>
  <c r="M359" i="26"/>
  <c r="H359" i="26"/>
  <c r="G359" i="26"/>
  <c r="F359" i="26"/>
  <c r="E351" i="26"/>
  <c r="D351" i="26"/>
  <c r="C351" i="26"/>
  <c r="O350" i="26"/>
  <c r="N350" i="26"/>
  <c r="M350" i="26"/>
  <c r="L350" i="26"/>
  <c r="K350" i="26"/>
  <c r="J350" i="26"/>
  <c r="H350" i="26"/>
  <c r="G350" i="26"/>
  <c r="F350" i="26"/>
  <c r="O349" i="26"/>
  <c r="N349" i="26"/>
  <c r="M349" i="26"/>
  <c r="L349" i="26"/>
  <c r="K349" i="26"/>
  <c r="J349" i="26"/>
  <c r="H349" i="26"/>
  <c r="G349" i="26"/>
  <c r="I349" i="26" s="1"/>
  <c r="F349" i="26"/>
  <c r="O348" i="26"/>
  <c r="N348" i="26"/>
  <c r="M348" i="26"/>
  <c r="L348" i="26"/>
  <c r="K348" i="26"/>
  <c r="J348" i="26"/>
  <c r="H348" i="26"/>
  <c r="G348" i="26"/>
  <c r="F348" i="26"/>
  <c r="O347" i="26"/>
  <c r="N347" i="26"/>
  <c r="M347" i="26"/>
  <c r="L347" i="26"/>
  <c r="K347" i="26"/>
  <c r="J347" i="26"/>
  <c r="H347" i="26"/>
  <c r="G347" i="26"/>
  <c r="F347" i="26"/>
  <c r="O346" i="26"/>
  <c r="N346" i="26"/>
  <c r="M346" i="26"/>
  <c r="L346" i="26"/>
  <c r="K346" i="26"/>
  <c r="J346" i="26"/>
  <c r="H346" i="26"/>
  <c r="G346" i="26"/>
  <c r="F346" i="26"/>
  <c r="O345" i="26"/>
  <c r="N345" i="26"/>
  <c r="M345" i="26"/>
  <c r="L345" i="26"/>
  <c r="K345" i="26"/>
  <c r="J345" i="26"/>
  <c r="H345" i="26"/>
  <c r="G345" i="26"/>
  <c r="F345" i="26"/>
  <c r="O344" i="26"/>
  <c r="N344" i="26"/>
  <c r="M344" i="26"/>
  <c r="L344" i="26"/>
  <c r="K344" i="26"/>
  <c r="J344" i="26"/>
  <c r="H344" i="26"/>
  <c r="G344" i="26"/>
  <c r="F344" i="26"/>
  <c r="O343" i="26"/>
  <c r="N343" i="26"/>
  <c r="M343" i="26"/>
  <c r="L343" i="26"/>
  <c r="K343" i="26"/>
  <c r="J343" i="26"/>
  <c r="H343" i="26"/>
  <c r="G343" i="26"/>
  <c r="F343" i="26"/>
  <c r="E335" i="26"/>
  <c r="D335" i="26"/>
  <c r="C335" i="26"/>
  <c r="O334" i="26"/>
  <c r="N334" i="26"/>
  <c r="M334" i="26"/>
  <c r="L334" i="26"/>
  <c r="K334" i="26"/>
  <c r="J334" i="26"/>
  <c r="H334" i="26"/>
  <c r="G334" i="26"/>
  <c r="F334" i="26"/>
  <c r="O333" i="26"/>
  <c r="N333" i="26"/>
  <c r="M333" i="26"/>
  <c r="L333" i="26"/>
  <c r="K333" i="26"/>
  <c r="J333" i="26"/>
  <c r="H333" i="26"/>
  <c r="G333" i="26"/>
  <c r="F333" i="26"/>
  <c r="I333" i="26" s="1"/>
  <c r="O332" i="26"/>
  <c r="N332" i="26"/>
  <c r="M332" i="26"/>
  <c r="L332" i="26"/>
  <c r="K332" i="26"/>
  <c r="J332" i="26"/>
  <c r="H332" i="26"/>
  <c r="G332" i="26"/>
  <c r="F332" i="26"/>
  <c r="O331" i="26"/>
  <c r="O299" i="26" s="1"/>
  <c r="N331" i="26"/>
  <c r="M331" i="26"/>
  <c r="L331" i="26"/>
  <c r="K331" i="26"/>
  <c r="J331" i="26"/>
  <c r="H331" i="26"/>
  <c r="G331" i="26"/>
  <c r="F331" i="26"/>
  <c r="O330" i="26"/>
  <c r="N330" i="26"/>
  <c r="M330" i="26"/>
  <c r="L330" i="26"/>
  <c r="K330" i="26"/>
  <c r="J330" i="26"/>
  <c r="H330" i="26"/>
  <c r="G330" i="26"/>
  <c r="F330" i="26"/>
  <c r="O329" i="26"/>
  <c r="N329" i="26"/>
  <c r="M329" i="26"/>
  <c r="L329" i="26"/>
  <c r="K329" i="26"/>
  <c r="J329" i="26"/>
  <c r="H329" i="26"/>
  <c r="G329" i="26"/>
  <c r="F329" i="26"/>
  <c r="O328" i="26"/>
  <c r="N328" i="26"/>
  <c r="M328" i="26"/>
  <c r="L328" i="26"/>
  <c r="K328" i="26"/>
  <c r="J328" i="26"/>
  <c r="H328" i="26"/>
  <c r="G328" i="26"/>
  <c r="I328" i="26" s="1"/>
  <c r="F328" i="26"/>
  <c r="O327" i="26"/>
  <c r="N327" i="26"/>
  <c r="M327" i="26"/>
  <c r="L327" i="26"/>
  <c r="K327" i="26"/>
  <c r="J327" i="26"/>
  <c r="H327" i="26"/>
  <c r="G327" i="26"/>
  <c r="F327" i="26"/>
  <c r="E319" i="26"/>
  <c r="D319" i="26"/>
  <c r="C319" i="26"/>
  <c r="O318" i="26"/>
  <c r="O302" i="26" s="1"/>
  <c r="N318" i="26"/>
  <c r="M318" i="26"/>
  <c r="M302" i="26" s="1"/>
  <c r="L318" i="26"/>
  <c r="K318" i="26"/>
  <c r="J318" i="26"/>
  <c r="H318" i="26"/>
  <c r="H302" i="26" s="1"/>
  <c r="G318" i="26"/>
  <c r="G302" i="26" s="1"/>
  <c r="F318" i="26"/>
  <c r="O317" i="26"/>
  <c r="N317" i="26"/>
  <c r="M317" i="26"/>
  <c r="L317" i="26"/>
  <c r="L301" i="26" s="1"/>
  <c r="K317" i="26"/>
  <c r="J317" i="26"/>
  <c r="J301" i="26" s="1"/>
  <c r="H317" i="26"/>
  <c r="H301" i="26" s="1"/>
  <c r="G317" i="26"/>
  <c r="G301" i="26" s="1"/>
  <c r="F317" i="26"/>
  <c r="O316" i="26"/>
  <c r="O300" i="26" s="1"/>
  <c r="N316" i="26"/>
  <c r="M316" i="26"/>
  <c r="L316" i="26"/>
  <c r="K316" i="26"/>
  <c r="K300" i="26" s="1"/>
  <c r="J316" i="26"/>
  <c r="J300" i="26" s="1"/>
  <c r="H316" i="26"/>
  <c r="H300" i="26" s="1"/>
  <c r="G316" i="26"/>
  <c r="F316" i="26"/>
  <c r="O315" i="26"/>
  <c r="N315" i="26"/>
  <c r="N299" i="26" s="1"/>
  <c r="M315" i="26"/>
  <c r="L315" i="26"/>
  <c r="L299" i="26" s="1"/>
  <c r="K315" i="26"/>
  <c r="K299" i="26" s="1"/>
  <c r="J315" i="26"/>
  <c r="J299" i="26" s="1"/>
  <c r="H315" i="26"/>
  <c r="G315" i="26"/>
  <c r="G299" i="26" s="1"/>
  <c r="F315" i="26"/>
  <c r="O314" i="26"/>
  <c r="O298" i="26" s="1"/>
  <c r="N314" i="26"/>
  <c r="M314" i="26"/>
  <c r="M298" i="26" s="1"/>
  <c r="L314" i="26"/>
  <c r="L298" i="26" s="1"/>
  <c r="K314" i="26"/>
  <c r="K298" i="26" s="1"/>
  <c r="J314" i="26"/>
  <c r="H314" i="26"/>
  <c r="G314" i="26"/>
  <c r="F314" i="26"/>
  <c r="O313" i="26"/>
  <c r="N313" i="26"/>
  <c r="N297" i="26" s="1"/>
  <c r="M313" i="26"/>
  <c r="M297" i="26" s="1"/>
  <c r="L313" i="26"/>
  <c r="L297" i="26" s="1"/>
  <c r="K313" i="26"/>
  <c r="J313" i="26"/>
  <c r="H313" i="26"/>
  <c r="G313" i="26"/>
  <c r="G297" i="26" s="1"/>
  <c r="F313" i="26"/>
  <c r="O312" i="26"/>
  <c r="O296" i="26" s="1"/>
  <c r="N312" i="26"/>
  <c r="N296" i="26" s="1"/>
  <c r="M312" i="26"/>
  <c r="M296" i="26" s="1"/>
  <c r="L312" i="26"/>
  <c r="K312" i="26"/>
  <c r="J312" i="26"/>
  <c r="H312" i="26"/>
  <c r="H296" i="26" s="1"/>
  <c r="G312" i="26"/>
  <c r="F312" i="26"/>
  <c r="O311" i="26"/>
  <c r="N311" i="26"/>
  <c r="M311" i="26"/>
  <c r="L311" i="26"/>
  <c r="K311" i="26"/>
  <c r="J311" i="26"/>
  <c r="H311" i="26"/>
  <c r="G311" i="26"/>
  <c r="G295" i="26" s="1"/>
  <c r="F311" i="26"/>
  <c r="E303" i="26"/>
  <c r="E447" i="26" s="1"/>
  <c r="D303" i="26"/>
  <c r="D447" i="26" s="1"/>
  <c r="C303" i="26"/>
  <c r="C447" i="26" s="1"/>
  <c r="K302" i="26"/>
  <c r="O301" i="26"/>
  <c r="M300" i="26"/>
  <c r="M299" i="26"/>
  <c r="K297" i="26"/>
  <c r="G296" i="26"/>
  <c r="E287" i="26"/>
  <c r="D287" i="26"/>
  <c r="C287" i="26"/>
  <c r="O286" i="26"/>
  <c r="N286" i="26"/>
  <c r="M286" i="26"/>
  <c r="L286" i="26"/>
  <c r="K286" i="26"/>
  <c r="J286" i="26"/>
  <c r="H286" i="26"/>
  <c r="G286" i="26"/>
  <c r="F286" i="26"/>
  <c r="O285" i="26"/>
  <c r="N285" i="26"/>
  <c r="M285" i="26"/>
  <c r="L285" i="26"/>
  <c r="K285" i="26"/>
  <c r="J285" i="26"/>
  <c r="H285" i="26"/>
  <c r="G285" i="26"/>
  <c r="F285" i="26"/>
  <c r="O284" i="26"/>
  <c r="N284" i="26"/>
  <c r="M284" i="26"/>
  <c r="L284" i="26"/>
  <c r="K284" i="26"/>
  <c r="J284" i="26"/>
  <c r="H284" i="26"/>
  <c r="G284" i="26"/>
  <c r="F284" i="26"/>
  <c r="O283" i="26"/>
  <c r="N283" i="26"/>
  <c r="M283" i="26"/>
  <c r="L283" i="26"/>
  <c r="K283" i="26"/>
  <c r="J283" i="26"/>
  <c r="H283" i="26"/>
  <c r="G283" i="26"/>
  <c r="F283" i="26"/>
  <c r="O282" i="26"/>
  <c r="N282" i="26"/>
  <c r="M282" i="26"/>
  <c r="L282" i="26"/>
  <c r="K282" i="26"/>
  <c r="J282" i="26"/>
  <c r="H282" i="26"/>
  <c r="G282" i="26"/>
  <c r="F282" i="26"/>
  <c r="O281" i="26"/>
  <c r="N281" i="26"/>
  <c r="M281" i="26"/>
  <c r="L281" i="26"/>
  <c r="K281" i="26"/>
  <c r="J281" i="26"/>
  <c r="H281" i="26"/>
  <c r="G281" i="26"/>
  <c r="F281" i="26"/>
  <c r="O280" i="26"/>
  <c r="N280" i="26"/>
  <c r="M280" i="26"/>
  <c r="L280" i="26"/>
  <c r="K280" i="26"/>
  <c r="J280" i="26"/>
  <c r="H280" i="26"/>
  <c r="G280" i="26"/>
  <c r="F280" i="26"/>
  <c r="O279" i="26"/>
  <c r="N279" i="26"/>
  <c r="M279" i="26"/>
  <c r="L279" i="26"/>
  <c r="K279" i="26"/>
  <c r="J279" i="26"/>
  <c r="H279" i="26"/>
  <c r="G279" i="26"/>
  <c r="F279" i="26"/>
  <c r="E271" i="26"/>
  <c r="D271" i="26"/>
  <c r="C271" i="26"/>
  <c r="O270" i="26"/>
  <c r="N270" i="26"/>
  <c r="M270" i="26"/>
  <c r="L270" i="26"/>
  <c r="K270" i="26"/>
  <c r="J270" i="26"/>
  <c r="H270" i="26"/>
  <c r="G270" i="26"/>
  <c r="F270" i="26"/>
  <c r="O269" i="26"/>
  <c r="N269" i="26"/>
  <c r="M269" i="26"/>
  <c r="L269" i="26"/>
  <c r="K269" i="26"/>
  <c r="J269" i="26"/>
  <c r="H269" i="26"/>
  <c r="G269" i="26"/>
  <c r="F269" i="26"/>
  <c r="O268" i="26"/>
  <c r="N268" i="26"/>
  <c r="M268" i="26"/>
  <c r="L268" i="26"/>
  <c r="K268" i="26"/>
  <c r="J268" i="26"/>
  <c r="H268" i="26"/>
  <c r="G268" i="26"/>
  <c r="F268" i="26"/>
  <c r="O267" i="26"/>
  <c r="N267" i="26"/>
  <c r="M267" i="26"/>
  <c r="L267" i="26"/>
  <c r="K267" i="26"/>
  <c r="J267" i="26"/>
  <c r="H267" i="26"/>
  <c r="G267" i="26"/>
  <c r="F267" i="26"/>
  <c r="O266" i="26"/>
  <c r="N266" i="26"/>
  <c r="M266" i="26"/>
  <c r="L266" i="26"/>
  <c r="K266" i="26"/>
  <c r="J266" i="26"/>
  <c r="H266" i="26"/>
  <c r="G266" i="26"/>
  <c r="F266" i="26"/>
  <c r="O265" i="26"/>
  <c r="N265" i="26"/>
  <c r="M265" i="26"/>
  <c r="L265" i="26"/>
  <c r="K265" i="26"/>
  <c r="J265" i="26"/>
  <c r="H265" i="26"/>
  <c r="G265" i="26"/>
  <c r="F265" i="26"/>
  <c r="O264" i="26"/>
  <c r="N264" i="26"/>
  <c r="M264" i="26"/>
  <c r="L264" i="26"/>
  <c r="K264" i="26"/>
  <c r="J264" i="26"/>
  <c r="H264" i="26"/>
  <c r="G264" i="26"/>
  <c r="F264" i="26"/>
  <c r="O263" i="26"/>
  <c r="N263" i="26"/>
  <c r="M263" i="26"/>
  <c r="L263" i="26"/>
  <c r="K263" i="26"/>
  <c r="J263" i="26"/>
  <c r="H263" i="26"/>
  <c r="G263" i="26"/>
  <c r="F263" i="26"/>
  <c r="E255" i="26"/>
  <c r="D255" i="26"/>
  <c r="C255" i="26"/>
  <c r="O254" i="26"/>
  <c r="N254" i="26"/>
  <c r="M254" i="26"/>
  <c r="L254" i="26"/>
  <c r="K254" i="26"/>
  <c r="J254" i="26"/>
  <c r="H254" i="26"/>
  <c r="G254" i="26"/>
  <c r="F254" i="26"/>
  <c r="O253" i="26"/>
  <c r="N253" i="26"/>
  <c r="M253" i="26"/>
  <c r="L253" i="26"/>
  <c r="K253" i="26"/>
  <c r="J253" i="26"/>
  <c r="H253" i="26"/>
  <c r="G253" i="26"/>
  <c r="F253" i="26"/>
  <c r="O252" i="26"/>
  <c r="N252" i="26"/>
  <c r="M252" i="26"/>
  <c r="L252" i="26"/>
  <c r="K252" i="26"/>
  <c r="J252" i="26"/>
  <c r="H252" i="26"/>
  <c r="G252" i="26"/>
  <c r="F252" i="26"/>
  <c r="O251" i="26"/>
  <c r="N251" i="26"/>
  <c r="M251" i="26"/>
  <c r="L251" i="26"/>
  <c r="K251" i="26"/>
  <c r="J251" i="26"/>
  <c r="H251" i="26"/>
  <c r="G251" i="26"/>
  <c r="F251" i="26"/>
  <c r="O250" i="26"/>
  <c r="N250" i="26"/>
  <c r="M250" i="26"/>
  <c r="L250" i="26"/>
  <c r="K250" i="26"/>
  <c r="J250" i="26"/>
  <c r="H250" i="26"/>
  <c r="G250" i="26"/>
  <c r="F250" i="26"/>
  <c r="O249" i="26"/>
  <c r="N249" i="26"/>
  <c r="M249" i="26"/>
  <c r="L249" i="26"/>
  <c r="K249" i="26"/>
  <c r="J249" i="26"/>
  <c r="H249" i="26"/>
  <c r="G249" i="26"/>
  <c r="F249" i="26"/>
  <c r="O248" i="26"/>
  <c r="N248" i="26"/>
  <c r="M248" i="26"/>
  <c r="L248" i="26"/>
  <c r="K248" i="26"/>
  <c r="J248" i="26"/>
  <c r="H248" i="26"/>
  <c r="G248" i="26"/>
  <c r="F248" i="26"/>
  <c r="O247" i="26"/>
  <c r="N247" i="26"/>
  <c r="M247" i="26"/>
  <c r="L247" i="26"/>
  <c r="K247" i="26"/>
  <c r="J247" i="26"/>
  <c r="H247" i="26"/>
  <c r="G247" i="26"/>
  <c r="F247" i="26"/>
  <c r="E239" i="26"/>
  <c r="D239" i="26"/>
  <c r="C239" i="26"/>
  <c r="O238" i="26"/>
  <c r="N238" i="26"/>
  <c r="M238" i="26"/>
  <c r="L238" i="26"/>
  <c r="K238" i="26"/>
  <c r="J238" i="26"/>
  <c r="H238" i="26"/>
  <c r="G238" i="26"/>
  <c r="F238" i="26"/>
  <c r="O237" i="26"/>
  <c r="N237" i="26"/>
  <c r="M237" i="26"/>
  <c r="L237" i="26"/>
  <c r="K237" i="26"/>
  <c r="J237" i="26"/>
  <c r="H237" i="26"/>
  <c r="G237" i="26"/>
  <c r="F237" i="26"/>
  <c r="O236" i="26"/>
  <c r="N236" i="26"/>
  <c r="M236" i="26"/>
  <c r="L236" i="26"/>
  <c r="K236" i="26"/>
  <c r="J236" i="26"/>
  <c r="H236" i="26"/>
  <c r="G236" i="26"/>
  <c r="F236" i="26"/>
  <c r="O235" i="26"/>
  <c r="N235" i="26"/>
  <c r="M235" i="26"/>
  <c r="L235" i="26"/>
  <c r="K235" i="26"/>
  <c r="J235" i="26"/>
  <c r="H235" i="26"/>
  <c r="G235" i="26"/>
  <c r="F235" i="26"/>
  <c r="O234" i="26"/>
  <c r="N234" i="26"/>
  <c r="M234" i="26"/>
  <c r="L234" i="26"/>
  <c r="K234" i="26"/>
  <c r="J234" i="26"/>
  <c r="H234" i="26"/>
  <c r="G234" i="26"/>
  <c r="F234" i="26"/>
  <c r="O233" i="26"/>
  <c r="N233" i="26"/>
  <c r="M233" i="26"/>
  <c r="L233" i="26"/>
  <c r="K233" i="26"/>
  <c r="J233" i="26"/>
  <c r="H233" i="26"/>
  <c r="G233" i="26"/>
  <c r="F233" i="26"/>
  <c r="O232" i="26"/>
  <c r="N232" i="26"/>
  <c r="M232" i="26"/>
  <c r="L232" i="26"/>
  <c r="K232" i="26"/>
  <c r="J232" i="26"/>
  <c r="H232" i="26"/>
  <c r="G232" i="26"/>
  <c r="F232" i="26"/>
  <c r="O231" i="26"/>
  <c r="N231" i="26"/>
  <c r="M231" i="26"/>
  <c r="L231" i="26"/>
  <c r="K231" i="26"/>
  <c r="J231" i="26"/>
  <c r="H231" i="26"/>
  <c r="G231" i="26"/>
  <c r="F231" i="26"/>
  <c r="L223" i="26"/>
  <c r="K223" i="26"/>
  <c r="J223" i="26"/>
  <c r="E223" i="26"/>
  <c r="D223" i="26"/>
  <c r="C223" i="26"/>
  <c r="O222" i="26"/>
  <c r="N222" i="26"/>
  <c r="M222" i="26"/>
  <c r="H222" i="26"/>
  <c r="G222" i="26"/>
  <c r="F222" i="26"/>
  <c r="O221" i="26"/>
  <c r="N221" i="26"/>
  <c r="M221" i="26"/>
  <c r="H221" i="26"/>
  <c r="G221" i="26"/>
  <c r="F221" i="26"/>
  <c r="O220" i="26"/>
  <c r="N220" i="26"/>
  <c r="M220" i="26"/>
  <c r="H220" i="26"/>
  <c r="G220" i="26"/>
  <c r="F220" i="26"/>
  <c r="O219" i="26"/>
  <c r="N219" i="26"/>
  <c r="M219" i="26"/>
  <c r="H219" i="26"/>
  <c r="G219" i="26"/>
  <c r="F219" i="26"/>
  <c r="O218" i="26"/>
  <c r="N218" i="26"/>
  <c r="M218" i="26"/>
  <c r="H218" i="26"/>
  <c r="G218" i="26"/>
  <c r="F218" i="26"/>
  <c r="O217" i="26"/>
  <c r="N217" i="26"/>
  <c r="M217" i="26"/>
  <c r="H217" i="26"/>
  <c r="G217" i="26"/>
  <c r="F217" i="26"/>
  <c r="O216" i="26"/>
  <c r="N216" i="26"/>
  <c r="M216" i="26"/>
  <c r="H216" i="26"/>
  <c r="G216" i="26"/>
  <c r="F216" i="26"/>
  <c r="O215" i="26"/>
  <c r="O223" i="26" s="1"/>
  <c r="N215" i="26"/>
  <c r="M215" i="26"/>
  <c r="H215" i="26"/>
  <c r="G215" i="26"/>
  <c r="F215" i="26"/>
  <c r="E207" i="26"/>
  <c r="D207" i="26"/>
  <c r="C207" i="26"/>
  <c r="O206" i="26"/>
  <c r="N206" i="26"/>
  <c r="M206" i="26"/>
  <c r="L206" i="26"/>
  <c r="K206" i="26"/>
  <c r="J206" i="26"/>
  <c r="H206" i="26"/>
  <c r="G206" i="26"/>
  <c r="F206" i="26"/>
  <c r="O205" i="26"/>
  <c r="N205" i="26"/>
  <c r="M205" i="26"/>
  <c r="L205" i="26"/>
  <c r="K205" i="26"/>
  <c r="J205" i="26"/>
  <c r="H205" i="26"/>
  <c r="G205" i="26"/>
  <c r="F205" i="26"/>
  <c r="O204" i="26"/>
  <c r="N204" i="26"/>
  <c r="M204" i="26"/>
  <c r="L204" i="26"/>
  <c r="K204" i="26"/>
  <c r="J204" i="26"/>
  <c r="H204" i="26"/>
  <c r="G204" i="26"/>
  <c r="F204" i="26"/>
  <c r="O203" i="26"/>
  <c r="N203" i="26"/>
  <c r="M203" i="26"/>
  <c r="L203" i="26"/>
  <c r="K203" i="26"/>
  <c r="J203" i="26"/>
  <c r="H203" i="26"/>
  <c r="G203" i="26"/>
  <c r="F203" i="26"/>
  <c r="O202" i="26"/>
  <c r="N202" i="26"/>
  <c r="M202" i="26"/>
  <c r="L202" i="26"/>
  <c r="K202" i="26"/>
  <c r="J202" i="26"/>
  <c r="H202" i="26"/>
  <c r="G202" i="26"/>
  <c r="F202" i="26"/>
  <c r="O201" i="26"/>
  <c r="N201" i="26"/>
  <c r="M201" i="26"/>
  <c r="L201" i="26"/>
  <c r="K201" i="26"/>
  <c r="J201" i="26"/>
  <c r="H201" i="26"/>
  <c r="G201" i="26"/>
  <c r="F201" i="26"/>
  <c r="O200" i="26"/>
  <c r="N200" i="26"/>
  <c r="M200" i="26"/>
  <c r="L200" i="26"/>
  <c r="K200" i="26"/>
  <c r="J200" i="26"/>
  <c r="H200" i="26"/>
  <c r="G200" i="26"/>
  <c r="F200" i="26"/>
  <c r="O199" i="26"/>
  <c r="N199" i="26"/>
  <c r="M199" i="26"/>
  <c r="L199" i="26"/>
  <c r="K199" i="26"/>
  <c r="J199" i="26"/>
  <c r="H199" i="26"/>
  <c r="G199" i="26"/>
  <c r="F199" i="26"/>
  <c r="E191" i="26"/>
  <c r="D191" i="26"/>
  <c r="C191" i="26"/>
  <c r="O190" i="26"/>
  <c r="N190" i="26"/>
  <c r="M190" i="26"/>
  <c r="L190" i="26"/>
  <c r="K190" i="26"/>
  <c r="J190" i="26"/>
  <c r="H190" i="26"/>
  <c r="G190" i="26"/>
  <c r="F190" i="26"/>
  <c r="O189" i="26"/>
  <c r="N189" i="26"/>
  <c r="M189" i="26"/>
  <c r="L189" i="26"/>
  <c r="K189" i="26"/>
  <c r="J189" i="26"/>
  <c r="H189" i="26"/>
  <c r="G189" i="26"/>
  <c r="F189" i="26"/>
  <c r="O188" i="26"/>
  <c r="N188" i="26"/>
  <c r="M188" i="26"/>
  <c r="L188" i="26"/>
  <c r="K188" i="26"/>
  <c r="J188" i="26"/>
  <c r="H188" i="26"/>
  <c r="G188" i="26"/>
  <c r="F188" i="26"/>
  <c r="O187" i="26"/>
  <c r="N187" i="26"/>
  <c r="M187" i="26"/>
  <c r="L187" i="26"/>
  <c r="K187" i="26"/>
  <c r="J187" i="26"/>
  <c r="H187" i="26"/>
  <c r="G187" i="26"/>
  <c r="F187" i="26"/>
  <c r="O186" i="26"/>
  <c r="N186" i="26"/>
  <c r="M186" i="26"/>
  <c r="L186" i="26"/>
  <c r="K186" i="26"/>
  <c r="J186" i="26"/>
  <c r="H186" i="26"/>
  <c r="G186" i="26"/>
  <c r="F186" i="26"/>
  <c r="O185" i="26"/>
  <c r="N185" i="26"/>
  <c r="M185" i="26"/>
  <c r="L185" i="26"/>
  <c r="K185" i="26"/>
  <c r="J185" i="26"/>
  <c r="H185" i="26"/>
  <c r="H153" i="26" s="1"/>
  <c r="G185" i="26"/>
  <c r="F185" i="26"/>
  <c r="O184" i="26"/>
  <c r="N184" i="26"/>
  <c r="M184" i="26"/>
  <c r="L184" i="26"/>
  <c r="K184" i="26"/>
  <c r="J184" i="26"/>
  <c r="H184" i="26"/>
  <c r="G184" i="26"/>
  <c r="F184" i="26"/>
  <c r="O183" i="26"/>
  <c r="N183" i="26"/>
  <c r="M183" i="26"/>
  <c r="L183" i="26"/>
  <c r="K183" i="26"/>
  <c r="J183" i="26"/>
  <c r="H183" i="26"/>
  <c r="G183" i="26"/>
  <c r="F183" i="26"/>
  <c r="E175" i="26"/>
  <c r="D175" i="26"/>
  <c r="C175" i="26"/>
  <c r="O174" i="26"/>
  <c r="N174" i="26"/>
  <c r="M174" i="26"/>
  <c r="L174" i="26"/>
  <c r="K174" i="26"/>
  <c r="J174" i="26"/>
  <c r="H174" i="26"/>
  <c r="G174" i="26"/>
  <c r="F174" i="26"/>
  <c r="O173" i="26"/>
  <c r="N173" i="26"/>
  <c r="M173" i="26"/>
  <c r="L173" i="26"/>
  <c r="K173" i="26"/>
  <c r="J173" i="26"/>
  <c r="H173" i="26"/>
  <c r="G173" i="26"/>
  <c r="F173" i="26"/>
  <c r="O172" i="26"/>
  <c r="N172" i="26"/>
  <c r="M172" i="26"/>
  <c r="L172" i="26"/>
  <c r="K172" i="26"/>
  <c r="J172" i="26"/>
  <c r="H172" i="26"/>
  <c r="G172" i="26"/>
  <c r="F172" i="26"/>
  <c r="O171" i="26"/>
  <c r="N171" i="26"/>
  <c r="M171" i="26"/>
  <c r="L171" i="26"/>
  <c r="K171" i="26"/>
  <c r="J171" i="26"/>
  <c r="H171" i="26"/>
  <c r="G171" i="26"/>
  <c r="F171" i="26"/>
  <c r="O170" i="26"/>
  <c r="N170" i="26"/>
  <c r="M170" i="26"/>
  <c r="L170" i="26"/>
  <c r="K170" i="26"/>
  <c r="J170" i="26"/>
  <c r="H170" i="26"/>
  <c r="G170" i="26"/>
  <c r="F170" i="26"/>
  <c r="I170" i="26" s="1"/>
  <c r="O169" i="26"/>
  <c r="N169" i="26"/>
  <c r="M169" i="26"/>
  <c r="L169" i="26"/>
  <c r="K169" i="26"/>
  <c r="J169" i="26"/>
  <c r="H169" i="26"/>
  <c r="G169" i="26"/>
  <c r="F169" i="26"/>
  <c r="O168" i="26"/>
  <c r="N168" i="26"/>
  <c r="M168" i="26"/>
  <c r="L168" i="26"/>
  <c r="K168" i="26"/>
  <c r="J168" i="26"/>
  <c r="H168" i="26"/>
  <c r="G168" i="26"/>
  <c r="F168" i="26"/>
  <c r="O167" i="26"/>
  <c r="N167" i="26"/>
  <c r="M167" i="26"/>
  <c r="L167" i="26"/>
  <c r="K167" i="26"/>
  <c r="J167" i="26"/>
  <c r="H167" i="26"/>
  <c r="G167" i="26"/>
  <c r="F167" i="26"/>
  <c r="E159" i="26"/>
  <c r="D159" i="26"/>
  <c r="C159" i="26"/>
  <c r="O158" i="26"/>
  <c r="N158" i="26"/>
  <c r="M158" i="26"/>
  <c r="L158" i="26"/>
  <c r="K158" i="26"/>
  <c r="J158" i="26"/>
  <c r="H158" i="26"/>
  <c r="G158" i="26"/>
  <c r="F158" i="26"/>
  <c r="O157" i="26"/>
  <c r="N157" i="26"/>
  <c r="M157" i="26"/>
  <c r="L157" i="26"/>
  <c r="K157" i="26"/>
  <c r="J157" i="26"/>
  <c r="H157" i="26"/>
  <c r="G157" i="26"/>
  <c r="F157" i="26"/>
  <c r="O156" i="26"/>
  <c r="N156" i="26"/>
  <c r="M156" i="26"/>
  <c r="L156" i="26"/>
  <c r="K156" i="26"/>
  <c r="J156" i="26"/>
  <c r="H156" i="26"/>
  <c r="G156" i="26"/>
  <c r="I156" i="26" s="1"/>
  <c r="F156" i="26"/>
  <c r="O155" i="26"/>
  <c r="N155" i="26"/>
  <c r="M155" i="26"/>
  <c r="L155" i="26"/>
  <c r="K155" i="26"/>
  <c r="J155" i="26"/>
  <c r="H155" i="26"/>
  <c r="G155" i="26"/>
  <c r="F155" i="26"/>
  <c r="O154" i="26"/>
  <c r="N154" i="26"/>
  <c r="M154" i="26"/>
  <c r="L154" i="26"/>
  <c r="K154" i="26"/>
  <c r="J154" i="26"/>
  <c r="H154" i="26"/>
  <c r="G154" i="26"/>
  <c r="F154" i="26"/>
  <c r="O153" i="26"/>
  <c r="N153" i="26"/>
  <c r="M153" i="26"/>
  <c r="L153" i="26"/>
  <c r="K153" i="26"/>
  <c r="J153" i="26"/>
  <c r="F153" i="26"/>
  <c r="O152" i="26"/>
  <c r="N152" i="26"/>
  <c r="M152" i="26"/>
  <c r="L152" i="26"/>
  <c r="K152" i="26"/>
  <c r="J152" i="26"/>
  <c r="H152" i="26"/>
  <c r="G152" i="26"/>
  <c r="F152" i="26"/>
  <c r="O151" i="26"/>
  <c r="N151" i="26"/>
  <c r="M151" i="26"/>
  <c r="L151" i="26"/>
  <c r="K151" i="26"/>
  <c r="J151" i="26"/>
  <c r="H151" i="26"/>
  <c r="G151" i="26"/>
  <c r="F151" i="26"/>
  <c r="E143" i="26"/>
  <c r="D143" i="26"/>
  <c r="C143" i="26"/>
  <c r="O142" i="26"/>
  <c r="N142" i="26"/>
  <c r="M142" i="26"/>
  <c r="L142" i="26"/>
  <c r="K142" i="26"/>
  <c r="J142" i="26"/>
  <c r="H142" i="26"/>
  <c r="G142" i="26"/>
  <c r="F142" i="26"/>
  <c r="O141" i="26"/>
  <c r="N141" i="26"/>
  <c r="M141" i="26"/>
  <c r="L141" i="26"/>
  <c r="K141" i="26"/>
  <c r="J141" i="26"/>
  <c r="H141" i="26"/>
  <c r="G141" i="26"/>
  <c r="F141" i="26"/>
  <c r="O140" i="26"/>
  <c r="N140" i="26"/>
  <c r="M140" i="26"/>
  <c r="L140" i="26"/>
  <c r="K140" i="26"/>
  <c r="J140" i="26"/>
  <c r="H140" i="26"/>
  <c r="G140" i="26"/>
  <c r="F140" i="26"/>
  <c r="O139" i="26"/>
  <c r="N139" i="26"/>
  <c r="M139" i="26"/>
  <c r="L139" i="26"/>
  <c r="K139" i="26"/>
  <c r="J139" i="26"/>
  <c r="H139" i="26"/>
  <c r="G139" i="26"/>
  <c r="F139" i="26"/>
  <c r="O138" i="26"/>
  <c r="N138" i="26"/>
  <c r="M138" i="26"/>
  <c r="L138" i="26"/>
  <c r="K138" i="26"/>
  <c r="J138" i="26"/>
  <c r="H138" i="26"/>
  <c r="G138" i="26"/>
  <c r="F138" i="26"/>
  <c r="O137" i="26"/>
  <c r="N137" i="26"/>
  <c r="M137" i="26"/>
  <c r="L137" i="26"/>
  <c r="K137" i="26"/>
  <c r="J137" i="26"/>
  <c r="H137" i="26"/>
  <c r="G137" i="26"/>
  <c r="F137" i="26"/>
  <c r="O136" i="26"/>
  <c r="N136" i="26"/>
  <c r="M136" i="26"/>
  <c r="L136" i="26"/>
  <c r="K136" i="26"/>
  <c r="J136" i="26"/>
  <c r="H136" i="26"/>
  <c r="G136" i="26"/>
  <c r="F136" i="26"/>
  <c r="O135" i="26"/>
  <c r="N135" i="26"/>
  <c r="M135" i="26"/>
  <c r="L135" i="26"/>
  <c r="K135" i="26"/>
  <c r="J135" i="26"/>
  <c r="H135" i="26"/>
  <c r="G135" i="26"/>
  <c r="F135" i="26"/>
  <c r="E127" i="26"/>
  <c r="D127" i="26"/>
  <c r="C127" i="26"/>
  <c r="O126" i="26"/>
  <c r="N126" i="26"/>
  <c r="M126" i="26"/>
  <c r="L126" i="26"/>
  <c r="K126" i="26"/>
  <c r="J126" i="26"/>
  <c r="H126" i="26"/>
  <c r="G126" i="26"/>
  <c r="F126" i="26"/>
  <c r="O125" i="26"/>
  <c r="N125" i="26"/>
  <c r="M125" i="26"/>
  <c r="L125" i="26"/>
  <c r="K125" i="26"/>
  <c r="J125" i="26"/>
  <c r="H125" i="26"/>
  <c r="G125" i="26"/>
  <c r="F125" i="26"/>
  <c r="O124" i="26"/>
  <c r="N124" i="26"/>
  <c r="M124" i="26"/>
  <c r="L124" i="26"/>
  <c r="K124" i="26"/>
  <c r="J124" i="26"/>
  <c r="H124" i="26"/>
  <c r="G124" i="26"/>
  <c r="F124" i="26"/>
  <c r="O123" i="26"/>
  <c r="N123" i="26"/>
  <c r="M123" i="26"/>
  <c r="L123" i="26"/>
  <c r="K123" i="26"/>
  <c r="J123" i="26"/>
  <c r="H123" i="26"/>
  <c r="G123" i="26"/>
  <c r="F123" i="26"/>
  <c r="O122" i="26"/>
  <c r="N122" i="26"/>
  <c r="M122" i="26"/>
  <c r="L122" i="26"/>
  <c r="K122" i="26"/>
  <c r="J122" i="26"/>
  <c r="H122" i="26"/>
  <c r="G122" i="26"/>
  <c r="F122" i="26"/>
  <c r="O121" i="26"/>
  <c r="N121" i="26"/>
  <c r="M121" i="26"/>
  <c r="L121" i="26"/>
  <c r="K121" i="26"/>
  <c r="J121" i="26"/>
  <c r="H121" i="26"/>
  <c r="G121" i="26"/>
  <c r="F121" i="26"/>
  <c r="O120" i="26"/>
  <c r="N120" i="26"/>
  <c r="M120" i="26"/>
  <c r="L120" i="26"/>
  <c r="K120" i="26"/>
  <c r="J120" i="26"/>
  <c r="H120" i="26"/>
  <c r="G120" i="26"/>
  <c r="F120" i="26"/>
  <c r="O119" i="26"/>
  <c r="N119" i="26"/>
  <c r="M119" i="26"/>
  <c r="L119" i="26"/>
  <c r="K119" i="26"/>
  <c r="J119" i="26"/>
  <c r="H119" i="26"/>
  <c r="G119" i="26"/>
  <c r="F119" i="26"/>
  <c r="E111" i="26"/>
  <c r="D111" i="26"/>
  <c r="C111" i="26"/>
  <c r="O110" i="26"/>
  <c r="N110" i="26"/>
  <c r="M110" i="26"/>
  <c r="L110" i="26"/>
  <c r="K110" i="26"/>
  <c r="J110" i="26"/>
  <c r="H110" i="26"/>
  <c r="G110" i="26"/>
  <c r="F110" i="26"/>
  <c r="O109" i="26"/>
  <c r="N109" i="26"/>
  <c r="M109" i="26"/>
  <c r="L109" i="26"/>
  <c r="K109" i="26"/>
  <c r="J109" i="26"/>
  <c r="H109" i="26"/>
  <c r="G109" i="26"/>
  <c r="F109" i="26"/>
  <c r="O108" i="26"/>
  <c r="N108" i="26"/>
  <c r="M108" i="26"/>
  <c r="L108" i="26"/>
  <c r="K108" i="26"/>
  <c r="J108" i="26"/>
  <c r="H108" i="26"/>
  <c r="G108" i="26"/>
  <c r="F108" i="26"/>
  <c r="O107" i="26"/>
  <c r="N107" i="26"/>
  <c r="M107" i="26"/>
  <c r="L107" i="26"/>
  <c r="K107" i="26"/>
  <c r="J107" i="26"/>
  <c r="H107" i="26"/>
  <c r="G107" i="26"/>
  <c r="F107" i="26"/>
  <c r="O106" i="26"/>
  <c r="N106" i="26"/>
  <c r="M106" i="26"/>
  <c r="L106" i="26"/>
  <c r="K106" i="26"/>
  <c r="J106" i="26"/>
  <c r="H106" i="26"/>
  <c r="G106" i="26"/>
  <c r="F106" i="26"/>
  <c r="O105" i="26"/>
  <c r="N105" i="26"/>
  <c r="M105" i="26"/>
  <c r="L105" i="26"/>
  <c r="K105" i="26"/>
  <c r="J105" i="26"/>
  <c r="H105" i="26"/>
  <c r="G105" i="26"/>
  <c r="F105" i="26"/>
  <c r="O104" i="26"/>
  <c r="N104" i="26"/>
  <c r="M104" i="26"/>
  <c r="L104" i="26"/>
  <c r="K104" i="26"/>
  <c r="J104" i="26"/>
  <c r="H104" i="26"/>
  <c r="G104" i="26"/>
  <c r="F104" i="26"/>
  <c r="O103" i="26"/>
  <c r="N103" i="26"/>
  <c r="M103" i="26"/>
  <c r="L103" i="26"/>
  <c r="K103" i="26"/>
  <c r="J103" i="26"/>
  <c r="H103" i="26"/>
  <c r="G103" i="26"/>
  <c r="F103" i="26"/>
  <c r="E95" i="26"/>
  <c r="D95" i="26"/>
  <c r="C95" i="26"/>
  <c r="O94" i="26"/>
  <c r="N94" i="26"/>
  <c r="M94" i="26"/>
  <c r="L94" i="26"/>
  <c r="K94" i="26"/>
  <c r="J94" i="26"/>
  <c r="H94" i="26"/>
  <c r="G94" i="26"/>
  <c r="F94" i="26"/>
  <c r="O93" i="26"/>
  <c r="N93" i="26"/>
  <c r="M93" i="26"/>
  <c r="L93" i="26"/>
  <c r="K93" i="26"/>
  <c r="J93" i="26"/>
  <c r="H93" i="26"/>
  <c r="G93" i="26"/>
  <c r="F93" i="26"/>
  <c r="O92" i="26"/>
  <c r="N92" i="26"/>
  <c r="M92" i="26"/>
  <c r="L92" i="26"/>
  <c r="K92" i="26"/>
  <c r="J92" i="26"/>
  <c r="H92" i="26"/>
  <c r="G92" i="26"/>
  <c r="F92" i="26"/>
  <c r="O91" i="26"/>
  <c r="N91" i="26"/>
  <c r="M91" i="26"/>
  <c r="L91" i="26"/>
  <c r="K91" i="26"/>
  <c r="J91" i="26"/>
  <c r="H91" i="26"/>
  <c r="G91" i="26"/>
  <c r="F91" i="26"/>
  <c r="O90" i="26"/>
  <c r="N90" i="26"/>
  <c r="M90" i="26"/>
  <c r="L90" i="26"/>
  <c r="K90" i="26"/>
  <c r="J90" i="26"/>
  <c r="H90" i="26"/>
  <c r="G90" i="26"/>
  <c r="F90" i="26"/>
  <c r="O89" i="26"/>
  <c r="N89" i="26"/>
  <c r="M89" i="26"/>
  <c r="L89" i="26"/>
  <c r="K89" i="26"/>
  <c r="J89" i="26"/>
  <c r="H89" i="26"/>
  <c r="G89" i="26"/>
  <c r="F89" i="26"/>
  <c r="O88" i="26"/>
  <c r="N88" i="26"/>
  <c r="M88" i="26"/>
  <c r="L88" i="26"/>
  <c r="K88" i="26"/>
  <c r="J88" i="26"/>
  <c r="H88" i="26"/>
  <c r="G88" i="26"/>
  <c r="F88" i="26"/>
  <c r="O87" i="26"/>
  <c r="N87" i="26"/>
  <c r="M87" i="26"/>
  <c r="L87" i="26"/>
  <c r="K87" i="26"/>
  <c r="J87" i="26"/>
  <c r="H87" i="26"/>
  <c r="G87" i="26"/>
  <c r="F87" i="26"/>
  <c r="L79" i="26"/>
  <c r="K79" i="26"/>
  <c r="J79" i="26"/>
  <c r="E79" i="26"/>
  <c r="D79" i="26"/>
  <c r="C79" i="26"/>
  <c r="O78" i="26"/>
  <c r="N78" i="26"/>
  <c r="M78" i="26"/>
  <c r="H78" i="26"/>
  <c r="G78" i="26"/>
  <c r="F78" i="26"/>
  <c r="O77" i="26"/>
  <c r="N77" i="26"/>
  <c r="M77" i="26"/>
  <c r="H77" i="26"/>
  <c r="G77" i="26"/>
  <c r="F77" i="26"/>
  <c r="O76" i="26"/>
  <c r="N76" i="26"/>
  <c r="M76" i="26"/>
  <c r="H76" i="26"/>
  <c r="G76" i="26"/>
  <c r="F76" i="26"/>
  <c r="O75" i="26"/>
  <c r="N75" i="26"/>
  <c r="M75" i="26"/>
  <c r="H75" i="26"/>
  <c r="G75" i="26"/>
  <c r="F75" i="26"/>
  <c r="O74" i="26"/>
  <c r="N74" i="26"/>
  <c r="M74" i="26"/>
  <c r="H74" i="26"/>
  <c r="G74" i="26"/>
  <c r="F74" i="26"/>
  <c r="O73" i="26"/>
  <c r="N73" i="26"/>
  <c r="M73" i="26"/>
  <c r="H73" i="26"/>
  <c r="G73" i="26"/>
  <c r="F73" i="26"/>
  <c r="O72" i="26"/>
  <c r="N72" i="26"/>
  <c r="M72" i="26"/>
  <c r="H72" i="26"/>
  <c r="G72" i="26"/>
  <c r="F72" i="26"/>
  <c r="O71" i="26"/>
  <c r="N71" i="26"/>
  <c r="M71" i="26"/>
  <c r="M79" i="26" s="1"/>
  <c r="H71" i="26"/>
  <c r="G71" i="26"/>
  <c r="F71" i="26"/>
  <c r="N63" i="26"/>
  <c r="L63" i="26"/>
  <c r="J63" i="26"/>
  <c r="H63" i="26"/>
  <c r="F63" i="26"/>
  <c r="E63" i="26"/>
  <c r="P62" i="26"/>
  <c r="I62" i="26"/>
  <c r="P61" i="26"/>
  <c r="P60" i="26"/>
  <c r="P59" i="26"/>
  <c r="I59" i="26"/>
  <c r="Q59" i="26" s="1"/>
  <c r="P58" i="26"/>
  <c r="P57" i="26"/>
  <c r="P56" i="26"/>
  <c r="I56" i="26"/>
  <c r="O63" i="26"/>
  <c r="M63" i="26"/>
  <c r="K63" i="26"/>
  <c r="P55" i="26"/>
  <c r="E47" i="26"/>
  <c r="D47" i="26"/>
  <c r="C47" i="26"/>
  <c r="O46" i="26"/>
  <c r="O14" i="26" s="1"/>
  <c r="N46" i="26"/>
  <c r="N14" i="26" s="1"/>
  <c r="M46" i="26"/>
  <c r="M14" i="26" s="1"/>
  <c r="L46" i="26"/>
  <c r="L14" i="26" s="1"/>
  <c r="K46" i="26"/>
  <c r="K14" i="26" s="1"/>
  <c r="J46" i="26"/>
  <c r="J14" i="26" s="1"/>
  <c r="H46" i="26"/>
  <c r="H14" i="26" s="1"/>
  <c r="G46" i="26"/>
  <c r="G14" i="26" s="1"/>
  <c r="F46" i="26"/>
  <c r="F14" i="26" s="1"/>
  <c r="O45" i="26"/>
  <c r="O13" i="26" s="1"/>
  <c r="N45" i="26"/>
  <c r="N13" i="26" s="1"/>
  <c r="M45" i="26"/>
  <c r="M13" i="26" s="1"/>
  <c r="L45" i="26"/>
  <c r="L13" i="26" s="1"/>
  <c r="K45" i="26"/>
  <c r="K13" i="26" s="1"/>
  <c r="J45" i="26"/>
  <c r="H45" i="26"/>
  <c r="H13" i="26" s="1"/>
  <c r="G45" i="26"/>
  <c r="F45" i="26"/>
  <c r="F13" i="26" s="1"/>
  <c r="O44" i="26"/>
  <c r="O12" i="26" s="1"/>
  <c r="N44" i="26"/>
  <c r="N12" i="26" s="1"/>
  <c r="M44" i="26"/>
  <c r="M12" i="26" s="1"/>
  <c r="L44" i="26"/>
  <c r="L12" i="26" s="1"/>
  <c r="K44" i="26"/>
  <c r="K12" i="26" s="1"/>
  <c r="J44" i="26"/>
  <c r="J12" i="26" s="1"/>
  <c r="H44" i="26"/>
  <c r="H12" i="26" s="1"/>
  <c r="G44" i="26"/>
  <c r="F44" i="26"/>
  <c r="F12" i="26" s="1"/>
  <c r="O43" i="26"/>
  <c r="O11" i="26" s="1"/>
  <c r="N43" i="26"/>
  <c r="N11" i="26" s="1"/>
  <c r="M43" i="26"/>
  <c r="M11" i="26" s="1"/>
  <c r="L43" i="26"/>
  <c r="L11" i="26" s="1"/>
  <c r="K43" i="26"/>
  <c r="K11" i="26" s="1"/>
  <c r="J43" i="26"/>
  <c r="H43" i="26"/>
  <c r="H11" i="26" s="1"/>
  <c r="G43" i="26"/>
  <c r="F43" i="26"/>
  <c r="F11" i="26" s="1"/>
  <c r="O42" i="26"/>
  <c r="O10" i="26" s="1"/>
  <c r="N42" i="26"/>
  <c r="N10" i="26" s="1"/>
  <c r="M42" i="26"/>
  <c r="M10" i="26" s="1"/>
  <c r="L42" i="26"/>
  <c r="L10" i="26" s="1"/>
  <c r="K42" i="26"/>
  <c r="K10" i="26" s="1"/>
  <c r="J42" i="26"/>
  <c r="J10" i="26" s="1"/>
  <c r="H42" i="26"/>
  <c r="H10" i="26" s="1"/>
  <c r="G42" i="26"/>
  <c r="F42" i="26"/>
  <c r="F10" i="26" s="1"/>
  <c r="O41" i="26"/>
  <c r="O9" i="26" s="1"/>
  <c r="N41" i="26"/>
  <c r="N9" i="26" s="1"/>
  <c r="M41" i="26"/>
  <c r="M9" i="26" s="1"/>
  <c r="L41" i="26"/>
  <c r="L9" i="26" s="1"/>
  <c r="K41" i="26"/>
  <c r="K9" i="26" s="1"/>
  <c r="J41" i="26"/>
  <c r="H41" i="26"/>
  <c r="H9" i="26" s="1"/>
  <c r="G41" i="26"/>
  <c r="O40" i="26"/>
  <c r="O8" i="26" s="1"/>
  <c r="N40" i="26"/>
  <c r="N8" i="26" s="1"/>
  <c r="M40" i="26"/>
  <c r="M8" i="26" s="1"/>
  <c r="L40" i="26"/>
  <c r="L8" i="26" s="1"/>
  <c r="K40" i="26"/>
  <c r="K8" i="26" s="1"/>
  <c r="J40" i="26"/>
  <c r="J8" i="26" s="1"/>
  <c r="H40" i="26"/>
  <c r="H8" i="26" s="1"/>
  <c r="G40" i="26"/>
  <c r="G8" i="26" s="1"/>
  <c r="F40" i="26"/>
  <c r="I40" i="26" s="1"/>
  <c r="O39" i="26"/>
  <c r="O7" i="26" s="1"/>
  <c r="N39" i="26"/>
  <c r="N7" i="26" s="1"/>
  <c r="M39" i="26"/>
  <c r="M7" i="26" s="1"/>
  <c r="L39" i="26"/>
  <c r="K39" i="26"/>
  <c r="K7" i="26" s="1"/>
  <c r="J39" i="26"/>
  <c r="H39" i="26"/>
  <c r="H7" i="26" s="1"/>
  <c r="G39" i="26"/>
  <c r="G7" i="26" s="1"/>
  <c r="F39" i="26"/>
  <c r="F7" i="26" s="1"/>
  <c r="N31" i="26"/>
  <c r="L31" i="26"/>
  <c r="J31" i="26"/>
  <c r="H31" i="26"/>
  <c r="F31" i="26"/>
  <c r="I30" i="26"/>
  <c r="P29" i="26"/>
  <c r="P27" i="26"/>
  <c r="I26" i="26"/>
  <c r="P25" i="26"/>
  <c r="I25" i="26"/>
  <c r="I24" i="26"/>
  <c r="P23" i="26"/>
  <c r="S19" i="26"/>
  <c r="W18" i="26"/>
  <c r="E14" i="26"/>
  <c r="D14" i="26"/>
  <c r="C14" i="26"/>
  <c r="E13" i="26"/>
  <c r="D13" i="26"/>
  <c r="C13" i="26"/>
  <c r="E12" i="26"/>
  <c r="D12" i="26"/>
  <c r="C12" i="26"/>
  <c r="D11" i="26"/>
  <c r="C11" i="26"/>
  <c r="E10" i="26"/>
  <c r="D10" i="26"/>
  <c r="C10" i="26"/>
  <c r="E9" i="26"/>
  <c r="D9" i="26"/>
  <c r="C9" i="26"/>
  <c r="E8" i="26"/>
  <c r="D8" i="26"/>
  <c r="C8" i="26"/>
  <c r="D7" i="26"/>
  <c r="C7" i="26"/>
  <c r="E593" i="26" l="1"/>
  <c r="F79" i="26"/>
  <c r="N367" i="26"/>
  <c r="I361" i="26"/>
  <c r="I365" i="26"/>
  <c r="I381" i="26"/>
  <c r="H479" i="26"/>
  <c r="P478" i="26"/>
  <c r="O511" i="26"/>
  <c r="P506" i="26"/>
  <c r="P510" i="26"/>
  <c r="I217" i="26"/>
  <c r="I221" i="26"/>
  <c r="P222" i="26"/>
  <c r="I504" i="26"/>
  <c r="I508" i="26"/>
  <c r="I74" i="26"/>
  <c r="I78" i="26"/>
  <c r="L95" i="26"/>
  <c r="I125" i="26"/>
  <c r="K143" i="26"/>
  <c r="I57" i="26"/>
  <c r="K593" i="26"/>
  <c r="I190" i="26"/>
  <c r="K295" i="26"/>
  <c r="K439" i="26" s="1"/>
  <c r="J296" i="26"/>
  <c r="H297" i="26"/>
  <c r="G298" i="26"/>
  <c r="N300" i="26"/>
  <c r="M301" i="26"/>
  <c r="L302" i="26"/>
  <c r="M593" i="26"/>
  <c r="I592" i="26"/>
  <c r="Q592" i="26" s="1"/>
  <c r="D593" i="26"/>
  <c r="C63" i="26"/>
  <c r="C593" i="26"/>
  <c r="O319" i="26"/>
  <c r="S12" i="26"/>
  <c r="P45" i="26"/>
  <c r="Q57" i="26"/>
  <c r="Q61" i="26"/>
  <c r="N191" i="26"/>
  <c r="I203" i="26"/>
  <c r="P329" i="26"/>
  <c r="I331" i="26"/>
  <c r="I332" i="26"/>
  <c r="H351" i="26"/>
  <c r="P361" i="26"/>
  <c r="P365" i="26"/>
  <c r="Q365" i="26" s="1"/>
  <c r="M399" i="26"/>
  <c r="I410" i="26"/>
  <c r="F431" i="26"/>
  <c r="O431" i="26"/>
  <c r="F511" i="26"/>
  <c r="M295" i="26"/>
  <c r="G300" i="26"/>
  <c r="I377" i="26"/>
  <c r="I521" i="26" s="1"/>
  <c r="P508" i="26"/>
  <c r="I55" i="26"/>
  <c r="I136" i="26"/>
  <c r="I510" i="26"/>
  <c r="P183" i="26"/>
  <c r="H191" i="26"/>
  <c r="I185" i="26"/>
  <c r="F191" i="26"/>
  <c r="L593" i="26"/>
  <c r="I44" i="26"/>
  <c r="N511" i="26"/>
  <c r="O297" i="26"/>
  <c r="K301" i="26"/>
  <c r="P586" i="26"/>
  <c r="P588" i="26"/>
  <c r="P590" i="26"/>
  <c r="P592" i="26"/>
  <c r="I73" i="26"/>
  <c r="I77" i="26"/>
  <c r="L191" i="26"/>
  <c r="H223" i="26"/>
  <c r="G287" i="26"/>
  <c r="N127" i="26"/>
  <c r="S13" i="26"/>
  <c r="S8" i="26"/>
  <c r="S9" i="26"/>
  <c r="P10" i="26"/>
  <c r="S10" i="26"/>
  <c r="N15" i="26"/>
  <c r="S11" i="26"/>
  <c r="N79" i="26"/>
  <c r="I152" i="26"/>
  <c r="P171" i="26"/>
  <c r="P184" i="26"/>
  <c r="J47" i="26"/>
  <c r="I42" i="26"/>
  <c r="Q58" i="26"/>
  <c r="Q62" i="26"/>
  <c r="P74" i="26"/>
  <c r="P78" i="26"/>
  <c r="Q78" i="26" s="1"/>
  <c r="F95" i="26"/>
  <c r="O95" i="26"/>
  <c r="P105" i="26"/>
  <c r="N143" i="26"/>
  <c r="K159" i="26"/>
  <c r="P152" i="26"/>
  <c r="I154" i="26"/>
  <c r="G175" i="26"/>
  <c r="I168" i="26"/>
  <c r="M191" i="26"/>
  <c r="P186" i="26"/>
  <c r="I188" i="26"/>
  <c r="Q188" i="26" s="1"/>
  <c r="I205" i="26"/>
  <c r="I493" i="26" s="1"/>
  <c r="M223" i="26"/>
  <c r="N271" i="26"/>
  <c r="K287" i="26"/>
  <c r="F335" i="26"/>
  <c r="P332" i="26"/>
  <c r="Q332" i="26" s="1"/>
  <c r="L351" i="26"/>
  <c r="H367" i="26"/>
  <c r="I362" i="26"/>
  <c r="I366" i="26"/>
  <c r="I379" i="26"/>
  <c r="F479" i="26"/>
  <c r="O479" i="26"/>
  <c r="P476" i="26"/>
  <c r="Q476" i="26" s="1"/>
  <c r="Q478" i="26"/>
  <c r="M511" i="26"/>
  <c r="I587" i="26"/>
  <c r="I589" i="26"/>
  <c r="I591" i="26"/>
  <c r="P8" i="26"/>
  <c r="P41" i="26"/>
  <c r="I43" i="26"/>
  <c r="G79" i="26"/>
  <c r="I76" i="26"/>
  <c r="O143" i="26"/>
  <c r="P187" i="26"/>
  <c r="I189" i="26"/>
  <c r="N207" i="26"/>
  <c r="N223" i="26"/>
  <c r="M239" i="26"/>
  <c r="P234" i="26"/>
  <c r="I237" i="26"/>
  <c r="I249" i="26"/>
  <c r="I537" i="26" s="1"/>
  <c r="I270" i="26"/>
  <c r="O295" i="26"/>
  <c r="O439" i="26" s="1"/>
  <c r="P333" i="26"/>
  <c r="Q333" i="26" s="1"/>
  <c r="M367" i="26"/>
  <c r="P363" i="26"/>
  <c r="Q363" i="26" s="1"/>
  <c r="N415" i="26"/>
  <c r="K431" i="26"/>
  <c r="P424" i="26"/>
  <c r="I426" i="26"/>
  <c r="G479" i="26"/>
  <c r="P477" i="26"/>
  <c r="P490" i="26"/>
  <c r="P507" i="26"/>
  <c r="Q507" i="26" s="1"/>
  <c r="P538" i="26"/>
  <c r="P554" i="26"/>
  <c r="I570" i="26"/>
  <c r="G11" i="26"/>
  <c r="N111" i="26"/>
  <c r="O191" i="26"/>
  <c r="P188" i="26"/>
  <c r="F207" i="26"/>
  <c r="F495" i="26" s="1"/>
  <c r="K296" i="26"/>
  <c r="H298" i="26"/>
  <c r="N301" i="26"/>
  <c r="P301" i="26" s="1"/>
  <c r="H335" i="26"/>
  <c r="P334" i="26"/>
  <c r="P347" i="26"/>
  <c r="J13" i="26"/>
  <c r="P13" i="26" s="1"/>
  <c r="J9" i="26"/>
  <c r="P9" i="26" s="1"/>
  <c r="P43" i="26"/>
  <c r="I45" i="26"/>
  <c r="Q45" i="26" s="1"/>
  <c r="D63" i="26"/>
  <c r="O111" i="26"/>
  <c r="I123" i="26"/>
  <c r="P142" i="26"/>
  <c r="I183" i="26"/>
  <c r="P189" i="26"/>
  <c r="P205" i="26"/>
  <c r="F223" i="26"/>
  <c r="I220" i="26"/>
  <c r="F239" i="26"/>
  <c r="O239" i="26"/>
  <c r="P236" i="26"/>
  <c r="Q236" i="26" s="1"/>
  <c r="H271" i="26"/>
  <c r="N287" i="26"/>
  <c r="M319" i="26"/>
  <c r="L296" i="26"/>
  <c r="P296" i="26" s="1"/>
  <c r="J298" i="26"/>
  <c r="H299" i="26"/>
  <c r="N302" i="26"/>
  <c r="I329" i="26"/>
  <c r="Q329" i="26" s="1"/>
  <c r="F351" i="26"/>
  <c r="O351" i="26"/>
  <c r="O495" i="26" s="1"/>
  <c r="O367" i="26"/>
  <c r="P362" i="26"/>
  <c r="Q362" i="26" s="1"/>
  <c r="P366" i="26"/>
  <c r="G415" i="26"/>
  <c r="I408" i="26"/>
  <c r="M431" i="26"/>
  <c r="I428" i="26"/>
  <c r="P471" i="26"/>
  <c r="I473" i="26"/>
  <c r="P492" i="26"/>
  <c r="P524" i="26"/>
  <c r="P540" i="26"/>
  <c r="M575" i="26"/>
  <c r="I572" i="26"/>
  <c r="G13" i="26"/>
  <c r="F8" i="26"/>
  <c r="T8" i="26" s="1"/>
  <c r="U8" i="26" s="1"/>
  <c r="L47" i="26"/>
  <c r="P107" i="26"/>
  <c r="P120" i="26"/>
  <c r="G143" i="26"/>
  <c r="M159" i="26"/>
  <c r="P154" i="26"/>
  <c r="O207" i="26"/>
  <c r="J297" i="26"/>
  <c r="J441" i="26" s="1"/>
  <c r="N351" i="26"/>
  <c r="N47" i="26"/>
  <c r="I46" i="26"/>
  <c r="Q56" i="26"/>
  <c r="Q60" i="26"/>
  <c r="H79" i="26"/>
  <c r="P72" i="26"/>
  <c r="P76" i="26"/>
  <c r="Q76" i="26" s="1"/>
  <c r="I90" i="26"/>
  <c r="I104" i="26"/>
  <c r="P109" i="26"/>
  <c r="M127" i="26"/>
  <c r="I138" i="26"/>
  <c r="F159" i="26"/>
  <c r="O159" i="26"/>
  <c r="P156" i="26"/>
  <c r="Q156" i="26" s="1"/>
  <c r="I158" i="26"/>
  <c r="P169" i="26"/>
  <c r="I172" i="26"/>
  <c r="I184" i="26"/>
  <c r="P190" i="26"/>
  <c r="Q190" i="26" s="1"/>
  <c r="I201" i="26"/>
  <c r="I489" i="26" s="1"/>
  <c r="O287" i="26"/>
  <c r="I330" i="26"/>
  <c r="I360" i="26"/>
  <c r="I364" i="26"/>
  <c r="O383" i="26"/>
  <c r="I395" i="26"/>
  <c r="K479" i="26"/>
  <c r="P472" i="26"/>
  <c r="Q472" i="26" s="1"/>
  <c r="I474" i="26"/>
  <c r="I586" i="26"/>
  <c r="Q586" i="26" s="1"/>
  <c r="I588" i="26"/>
  <c r="Q588" i="26" s="1"/>
  <c r="I590" i="26"/>
  <c r="L7" i="26"/>
  <c r="G10" i="26"/>
  <c r="L479" i="26"/>
  <c r="P473" i="26"/>
  <c r="I475" i="26"/>
  <c r="P494" i="26"/>
  <c r="P505" i="26"/>
  <c r="Q505" i="26" s="1"/>
  <c r="P509" i="26"/>
  <c r="Q509" i="26" s="1"/>
  <c r="P526" i="26"/>
  <c r="P542" i="26"/>
  <c r="F575" i="26"/>
  <c r="O575" i="26"/>
  <c r="Q185" i="26"/>
  <c r="P46" i="26"/>
  <c r="P103" i="26"/>
  <c r="O127" i="26"/>
  <c r="N175" i="26"/>
  <c r="K191" i="26"/>
  <c r="K207" i="26"/>
  <c r="L271" i="26"/>
  <c r="M479" i="26"/>
  <c r="P474" i="26"/>
  <c r="G511" i="26"/>
  <c r="J593" i="26"/>
  <c r="P587" i="26"/>
  <c r="P589" i="26"/>
  <c r="P591" i="26"/>
  <c r="J11" i="26"/>
  <c r="J7" i="26"/>
  <c r="P7" i="26" s="1"/>
  <c r="G12" i="26"/>
  <c r="G47" i="26"/>
  <c r="P124" i="26"/>
  <c r="H159" i="26"/>
  <c r="P158" i="26"/>
  <c r="I186" i="26"/>
  <c r="Q186" i="26" s="1"/>
  <c r="I215" i="26"/>
  <c r="F271" i="26"/>
  <c r="I345" i="26"/>
  <c r="F367" i="26"/>
  <c r="N399" i="26"/>
  <c r="H47" i="26"/>
  <c r="I41" i="26"/>
  <c r="Q41" i="26" s="1"/>
  <c r="O79" i="26"/>
  <c r="N95" i="26"/>
  <c r="F127" i="26"/>
  <c r="M143" i="26"/>
  <c r="G153" i="26"/>
  <c r="I153" i="26" s="1"/>
  <c r="P185" i="26"/>
  <c r="I187" i="26"/>
  <c r="Q187" i="26" s="1"/>
  <c r="J191" i="26"/>
  <c r="I218" i="26"/>
  <c r="I222" i="26"/>
  <c r="K239" i="26"/>
  <c r="I235" i="26"/>
  <c r="P253" i="26"/>
  <c r="N298" i="26"/>
  <c r="P298" i="26" s="1"/>
  <c r="L300" i="26"/>
  <c r="P300" i="26" s="1"/>
  <c r="J302" i="26"/>
  <c r="P331" i="26"/>
  <c r="Q331" i="26" s="1"/>
  <c r="I334" i="26"/>
  <c r="Q334" i="26" s="1"/>
  <c r="K351" i="26"/>
  <c r="G367" i="26"/>
  <c r="P360" i="26"/>
  <c r="P364" i="26"/>
  <c r="Q364" i="26" s="1"/>
  <c r="F399" i="26"/>
  <c r="O399" i="26"/>
  <c r="L415" i="26"/>
  <c r="L559" i="26" s="1"/>
  <c r="I412" i="26"/>
  <c r="I424" i="26"/>
  <c r="N479" i="26"/>
  <c r="P475" i="26"/>
  <c r="I477" i="26"/>
  <c r="P488" i="26"/>
  <c r="I506" i="26"/>
  <c r="P520" i="26"/>
  <c r="P536" i="26"/>
  <c r="P552" i="26"/>
  <c r="H575" i="26"/>
  <c r="G9" i="26"/>
  <c r="G15" i="26" s="1"/>
  <c r="M287" i="26"/>
  <c r="P280" i="26"/>
  <c r="P282" i="26"/>
  <c r="P284" i="26"/>
  <c r="P286" i="26"/>
  <c r="P267" i="26"/>
  <c r="P393" i="26"/>
  <c r="Q393" i="26" s="1"/>
  <c r="P395" i="26"/>
  <c r="Q395" i="26" s="1"/>
  <c r="P252" i="26"/>
  <c r="P254" i="26"/>
  <c r="M383" i="26"/>
  <c r="P376" i="26"/>
  <c r="Q376" i="26" s="1"/>
  <c r="P380" i="26"/>
  <c r="P382" i="26"/>
  <c r="P237" i="26"/>
  <c r="Q237" i="26" s="1"/>
  <c r="M95" i="26"/>
  <c r="M351" i="26"/>
  <c r="M207" i="26"/>
  <c r="P200" i="26"/>
  <c r="P206" i="26"/>
  <c r="L287" i="26"/>
  <c r="L143" i="26"/>
  <c r="L399" i="26"/>
  <c r="M111" i="26"/>
  <c r="L127" i="26"/>
  <c r="L207" i="26"/>
  <c r="L15" i="26"/>
  <c r="L16" i="26" s="1"/>
  <c r="S14" i="26"/>
  <c r="L175" i="26"/>
  <c r="K575" i="26"/>
  <c r="P568" i="26"/>
  <c r="P570" i="26"/>
  <c r="Q570" i="26" s="1"/>
  <c r="P572" i="26"/>
  <c r="P574" i="26"/>
  <c r="P426" i="26"/>
  <c r="P428" i="26"/>
  <c r="Q428" i="26" s="1"/>
  <c r="P430" i="26"/>
  <c r="P283" i="26"/>
  <c r="P285" i="26"/>
  <c r="P556" i="26"/>
  <c r="P558" i="26"/>
  <c r="P409" i="26"/>
  <c r="P411" i="26"/>
  <c r="P413" i="26"/>
  <c r="Q413" i="26" s="1"/>
  <c r="P265" i="26"/>
  <c r="P263" i="26"/>
  <c r="P391" i="26"/>
  <c r="K399" i="26"/>
  <c r="P398" i="26"/>
  <c r="P397" i="26"/>
  <c r="P251" i="26"/>
  <c r="P250" i="26"/>
  <c r="P135" i="26"/>
  <c r="P137" i="26"/>
  <c r="P139" i="26"/>
  <c r="P141" i="26"/>
  <c r="P126" i="26"/>
  <c r="P522" i="26"/>
  <c r="K383" i="26"/>
  <c r="P378" i="26"/>
  <c r="P238" i="26"/>
  <c r="P232" i="26"/>
  <c r="K95" i="26"/>
  <c r="P88" i="26"/>
  <c r="P90" i="26"/>
  <c r="Q90" i="26" s="1"/>
  <c r="P92" i="26"/>
  <c r="P94" i="26"/>
  <c r="P344" i="26"/>
  <c r="P350" i="26"/>
  <c r="P349" i="26"/>
  <c r="Q349" i="26" s="1"/>
  <c r="P204" i="26"/>
  <c r="P202" i="26"/>
  <c r="P199" i="26"/>
  <c r="P456" i="26"/>
  <c r="P458" i="26"/>
  <c r="P460" i="26"/>
  <c r="P462" i="26"/>
  <c r="K319" i="26"/>
  <c r="P173" i="26"/>
  <c r="P167" i="26"/>
  <c r="H15" i="26"/>
  <c r="J351" i="26"/>
  <c r="L111" i="26"/>
  <c r="K127" i="26"/>
  <c r="P122" i="26"/>
  <c r="K111" i="26"/>
  <c r="J415" i="26"/>
  <c r="J287" i="26"/>
  <c r="I568" i="26"/>
  <c r="H431" i="26"/>
  <c r="I430" i="26"/>
  <c r="H287" i="26"/>
  <c r="I267" i="26"/>
  <c r="I265" i="26"/>
  <c r="H127" i="26"/>
  <c r="I121" i="26"/>
  <c r="I119" i="26"/>
  <c r="H399" i="26"/>
  <c r="H255" i="26"/>
  <c r="H383" i="26"/>
  <c r="H527" i="26" s="1"/>
  <c r="H239" i="26"/>
  <c r="H95" i="26"/>
  <c r="I344" i="26"/>
  <c r="I346" i="26"/>
  <c r="H207" i="26"/>
  <c r="H495" i="26" s="1"/>
  <c r="I285" i="26"/>
  <c r="Q285" i="26" s="1"/>
  <c r="I283" i="26"/>
  <c r="I281" i="26"/>
  <c r="I142" i="26"/>
  <c r="I140" i="26"/>
  <c r="I414" i="26"/>
  <c r="G399" i="26"/>
  <c r="G255" i="26"/>
  <c r="G111" i="26"/>
  <c r="I110" i="26"/>
  <c r="I108" i="26"/>
  <c r="I106" i="26"/>
  <c r="I233" i="26"/>
  <c r="G239" i="26"/>
  <c r="G207" i="26"/>
  <c r="G303" i="26"/>
  <c r="I174" i="26"/>
  <c r="I567" i="26"/>
  <c r="J575" i="26"/>
  <c r="L575" i="26"/>
  <c r="N575" i="26"/>
  <c r="I569" i="26"/>
  <c r="P569" i="26"/>
  <c r="I571" i="26"/>
  <c r="P571" i="26"/>
  <c r="I573" i="26"/>
  <c r="P573" i="26"/>
  <c r="I574" i="26"/>
  <c r="G431" i="26"/>
  <c r="P423" i="26"/>
  <c r="L431" i="26"/>
  <c r="N431" i="26"/>
  <c r="I425" i="26"/>
  <c r="P425" i="26"/>
  <c r="I427" i="26"/>
  <c r="P427" i="26"/>
  <c r="I429" i="26"/>
  <c r="P429" i="26"/>
  <c r="I280" i="26"/>
  <c r="P281" i="26"/>
  <c r="I282" i="26"/>
  <c r="I284" i="26"/>
  <c r="I286" i="26"/>
  <c r="Q286" i="26" s="1"/>
  <c r="H143" i="26"/>
  <c r="P136" i="26"/>
  <c r="Q136" i="26" s="1"/>
  <c r="I137" i="26"/>
  <c r="P138" i="26"/>
  <c r="Q138" i="26" s="1"/>
  <c r="I139" i="26"/>
  <c r="P140" i="26"/>
  <c r="I141" i="26"/>
  <c r="F143" i="26"/>
  <c r="P551" i="26"/>
  <c r="P553" i="26"/>
  <c r="P555" i="26"/>
  <c r="P557" i="26"/>
  <c r="F415" i="26"/>
  <c r="H415" i="26"/>
  <c r="H559" i="26" s="1"/>
  <c r="K415" i="26"/>
  <c r="M415" i="26"/>
  <c r="O415" i="26"/>
  <c r="P408" i="26"/>
  <c r="I409" i="26"/>
  <c r="P410" i="26"/>
  <c r="I411" i="26"/>
  <c r="P412" i="26"/>
  <c r="Q412" i="26" s="1"/>
  <c r="I413" i="26"/>
  <c r="P414" i="26"/>
  <c r="I264" i="26"/>
  <c r="I266" i="26"/>
  <c r="J271" i="26"/>
  <c r="I269" i="26"/>
  <c r="P269" i="26"/>
  <c r="I268" i="26"/>
  <c r="I120" i="26"/>
  <c r="I122" i="26"/>
  <c r="I124" i="26"/>
  <c r="I126" i="26"/>
  <c r="P535" i="26"/>
  <c r="P537" i="26"/>
  <c r="P539" i="26"/>
  <c r="P541" i="26"/>
  <c r="I397" i="26"/>
  <c r="I398" i="26"/>
  <c r="I542" i="26" s="1"/>
  <c r="I392" i="26"/>
  <c r="P392" i="26"/>
  <c r="Q392" i="26" s="1"/>
  <c r="I394" i="26"/>
  <c r="P394" i="26"/>
  <c r="I396" i="26"/>
  <c r="P396" i="26"/>
  <c r="F255" i="26"/>
  <c r="K255" i="26"/>
  <c r="M255" i="26"/>
  <c r="O255" i="26"/>
  <c r="P248" i="26"/>
  <c r="I251" i="26"/>
  <c r="Q251" i="26" s="1"/>
  <c r="I253" i="26"/>
  <c r="P249" i="26"/>
  <c r="Q249" i="26" s="1"/>
  <c r="I252" i="26"/>
  <c r="I254" i="26"/>
  <c r="I248" i="26"/>
  <c r="F111" i="26"/>
  <c r="H111" i="26"/>
  <c r="P104" i="26"/>
  <c r="Q104" i="26" s="1"/>
  <c r="I105" i="26"/>
  <c r="Q105" i="26" s="1"/>
  <c r="P106" i="26"/>
  <c r="I107" i="26"/>
  <c r="P108" i="26"/>
  <c r="Q108" i="26" s="1"/>
  <c r="I109" i="26"/>
  <c r="Q109" i="26" s="1"/>
  <c r="P110" i="26"/>
  <c r="Q110" i="26" s="1"/>
  <c r="P119" i="26"/>
  <c r="P121" i="26"/>
  <c r="Q121" i="26" s="1"/>
  <c r="P123" i="26"/>
  <c r="Q123" i="26" s="1"/>
  <c r="P125" i="26"/>
  <c r="Q125" i="26" s="1"/>
  <c r="J127" i="26"/>
  <c r="P519" i="26"/>
  <c r="P521" i="26"/>
  <c r="P523" i="26"/>
  <c r="P525" i="26"/>
  <c r="F383" i="26"/>
  <c r="F527" i="26" s="1"/>
  <c r="G383" i="26"/>
  <c r="J383" i="26"/>
  <c r="L383" i="26"/>
  <c r="N383" i="26"/>
  <c r="I376" i="26"/>
  <c r="P377" i="26"/>
  <c r="I378" i="26"/>
  <c r="P379" i="26"/>
  <c r="I380" i="26"/>
  <c r="P381" i="26"/>
  <c r="Q381" i="26" s="1"/>
  <c r="I382" i="26"/>
  <c r="P231" i="26"/>
  <c r="L239" i="26"/>
  <c r="N239" i="26"/>
  <c r="I232" i="26"/>
  <c r="P233" i="26"/>
  <c r="I234" i="26"/>
  <c r="P235" i="26"/>
  <c r="Q235" i="26" s="1"/>
  <c r="I236" i="26"/>
  <c r="I238" i="26"/>
  <c r="I526" i="26" s="1"/>
  <c r="I94" i="26"/>
  <c r="I92" i="26"/>
  <c r="Q92" i="26" s="1"/>
  <c r="I88" i="26"/>
  <c r="I87" i="26"/>
  <c r="P87" i="26"/>
  <c r="I89" i="26"/>
  <c r="P89" i="26"/>
  <c r="I91" i="26"/>
  <c r="P91" i="26"/>
  <c r="I93" i="26"/>
  <c r="P93" i="26"/>
  <c r="J95" i="26"/>
  <c r="I219" i="26"/>
  <c r="I75" i="26"/>
  <c r="P487" i="26"/>
  <c r="P489" i="26"/>
  <c r="P491" i="26"/>
  <c r="P493" i="26"/>
  <c r="I347" i="26"/>
  <c r="I343" i="26"/>
  <c r="P345" i="26"/>
  <c r="Q345" i="26" s="1"/>
  <c r="I350" i="26"/>
  <c r="P346" i="26"/>
  <c r="I348" i="26"/>
  <c r="P348" i="26"/>
  <c r="I200" i="26"/>
  <c r="P201" i="26"/>
  <c r="I202" i="26"/>
  <c r="Q202" i="26" s="1"/>
  <c r="P203" i="26"/>
  <c r="I204" i="26"/>
  <c r="I206" i="26"/>
  <c r="F175" i="26"/>
  <c r="G319" i="26"/>
  <c r="L159" i="26"/>
  <c r="N159" i="26"/>
  <c r="H175" i="26"/>
  <c r="K175" i="26"/>
  <c r="M175" i="26"/>
  <c r="O175" i="26"/>
  <c r="P168" i="26"/>
  <c r="Q168" i="26" s="1"/>
  <c r="I169" i="26"/>
  <c r="P170" i="26"/>
  <c r="I171" i="26"/>
  <c r="P172" i="26"/>
  <c r="Q172" i="26" s="1"/>
  <c r="I173" i="26"/>
  <c r="P174" i="26"/>
  <c r="Q174" i="26" s="1"/>
  <c r="P455" i="26"/>
  <c r="P457" i="26"/>
  <c r="P459" i="26"/>
  <c r="P461" i="26"/>
  <c r="I151" i="26"/>
  <c r="P151" i="26"/>
  <c r="P153" i="26"/>
  <c r="I155" i="26"/>
  <c r="P155" i="26"/>
  <c r="I157" i="26"/>
  <c r="P157" i="26"/>
  <c r="J159" i="26"/>
  <c r="P217" i="26"/>
  <c r="Q217" i="26" s="1"/>
  <c r="P219" i="26"/>
  <c r="P221" i="26"/>
  <c r="Q221" i="26" s="1"/>
  <c r="Q222" i="26"/>
  <c r="P216" i="26"/>
  <c r="P218" i="26"/>
  <c r="P220" i="26"/>
  <c r="Q220" i="26" s="1"/>
  <c r="P73" i="26"/>
  <c r="P75" i="26"/>
  <c r="P77" i="26"/>
  <c r="Q77" i="26" s="1"/>
  <c r="E7" i="26"/>
  <c r="T7" i="26" s="1"/>
  <c r="D15" i="26"/>
  <c r="Q27" i="26"/>
  <c r="Q25" i="26"/>
  <c r="T10" i="26"/>
  <c r="U10" i="26" s="1"/>
  <c r="I11" i="26"/>
  <c r="T12" i="26"/>
  <c r="U12" i="26" s="1"/>
  <c r="T14" i="26"/>
  <c r="S7" i="26"/>
  <c r="I10" i="26"/>
  <c r="Q10" i="26" s="1"/>
  <c r="W10" i="26" s="1"/>
  <c r="P11" i="26"/>
  <c r="P12" i="26"/>
  <c r="I14" i="26"/>
  <c r="I28" i="26"/>
  <c r="P39" i="26"/>
  <c r="P40" i="26"/>
  <c r="Q40" i="26" s="1"/>
  <c r="Q183" i="26"/>
  <c r="C15" i="26"/>
  <c r="K15" i="26"/>
  <c r="K16" i="26" s="1"/>
  <c r="M15" i="26"/>
  <c r="M16" i="26" s="1"/>
  <c r="O15" i="26"/>
  <c r="I9" i="26"/>
  <c r="I12" i="26"/>
  <c r="T13" i="26"/>
  <c r="P14" i="26"/>
  <c r="G31" i="26"/>
  <c r="I23" i="26"/>
  <c r="K31" i="26"/>
  <c r="M31" i="26"/>
  <c r="O31" i="26"/>
  <c r="P24" i="26"/>
  <c r="P26" i="26"/>
  <c r="Q26" i="26" s="1"/>
  <c r="P28" i="26"/>
  <c r="I29" i="26"/>
  <c r="Q29" i="26" s="1"/>
  <c r="P30" i="26"/>
  <c r="Q30" i="26" s="1"/>
  <c r="I39" i="26"/>
  <c r="F47" i="26"/>
  <c r="K47" i="26"/>
  <c r="M47" i="26"/>
  <c r="O47" i="26"/>
  <c r="P42" i="26"/>
  <c r="Q42" i="26" s="1"/>
  <c r="P44" i="26"/>
  <c r="P63" i="26"/>
  <c r="Q232" i="26"/>
  <c r="Q234" i="26"/>
  <c r="G63" i="26"/>
  <c r="I71" i="26"/>
  <c r="P71" i="26"/>
  <c r="G95" i="26"/>
  <c r="I103" i="26"/>
  <c r="J111" i="26"/>
  <c r="G127" i="26"/>
  <c r="I135" i="26"/>
  <c r="J143" i="26"/>
  <c r="I167" i="26"/>
  <c r="J175" i="26"/>
  <c r="G191" i="26"/>
  <c r="I199" i="26"/>
  <c r="J207" i="26"/>
  <c r="J495" i="26" s="1"/>
  <c r="I216" i="26"/>
  <c r="Q216" i="26" s="1"/>
  <c r="G223" i="26"/>
  <c r="I231" i="26"/>
  <c r="J239" i="26"/>
  <c r="J255" i="26"/>
  <c r="L255" i="26"/>
  <c r="L543" i="26" s="1"/>
  <c r="N255" i="26"/>
  <c r="P247" i="26"/>
  <c r="I250" i="26"/>
  <c r="G271" i="26"/>
  <c r="G559" i="26" s="1"/>
  <c r="I263" i="26"/>
  <c r="K271" i="26"/>
  <c r="K559" i="26" s="1"/>
  <c r="M271" i="26"/>
  <c r="O271" i="26"/>
  <c r="P264" i="26"/>
  <c r="P266" i="26"/>
  <c r="P268" i="26"/>
  <c r="P270" i="26"/>
  <c r="F287" i="26"/>
  <c r="I279" i="26"/>
  <c r="Q282" i="26"/>
  <c r="M439" i="26"/>
  <c r="M303" i="26"/>
  <c r="M447" i="26" s="1"/>
  <c r="M440" i="26"/>
  <c r="M441" i="26"/>
  <c r="M442" i="26"/>
  <c r="M443" i="26"/>
  <c r="M444" i="26"/>
  <c r="M445" i="26"/>
  <c r="M446" i="26"/>
  <c r="F319" i="26"/>
  <c r="I311" i="26"/>
  <c r="F295" i="26"/>
  <c r="H319" i="26"/>
  <c r="H295" i="26"/>
  <c r="I312" i="26"/>
  <c r="F296" i="26"/>
  <c r="H440" i="26"/>
  <c r="I313" i="26"/>
  <c r="F297" i="26"/>
  <c r="I297" i="26" s="1"/>
  <c r="H441" i="26"/>
  <c r="I314" i="26"/>
  <c r="F298" i="26"/>
  <c r="H442" i="26"/>
  <c r="I315" i="26"/>
  <c r="F299" i="26"/>
  <c r="I299" i="26" s="1"/>
  <c r="H443" i="26"/>
  <c r="I316" i="26"/>
  <c r="F300" i="26"/>
  <c r="I317" i="26"/>
  <c r="F301" i="26"/>
  <c r="H445" i="26"/>
  <c r="I318" i="26"/>
  <c r="F302" i="26"/>
  <c r="H446" i="26"/>
  <c r="C463" i="26"/>
  <c r="E463" i="26"/>
  <c r="M463" i="26"/>
  <c r="G335" i="26"/>
  <c r="I327" i="26"/>
  <c r="K335" i="26"/>
  <c r="M335" i="26"/>
  <c r="O335" i="26"/>
  <c r="P328" i="26"/>
  <c r="Q328" i="26" s="1"/>
  <c r="P330" i="26"/>
  <c r="I13" i="26"/>
  <c r="Q13" i="26" s="1"/>
  <c r="W13" i="26" s="1"/>
  <c r="I72" i="26"/>
  <c r="Q72" i="26" s="1"/>
  <c r="P215" i="26"/>
  <c r="I247" i="26"/>
  <c r="P279" i="26"/>
  <c r="G440" i="26"/>
  <c r="K440" i="26"/>
  <c r="O440" i="26"/>
  <c r="G441" i="26"/>
  <c r="O441" i="26"/>
  <c r="K442" i="26"/>
  <c r="O442" i="26"/>
  <c r="G443" i="26"/>
  <c r="O443" i="26"/>
  <c r="G444" i="26"/>
  <c r="K444" i="26"/>
  <c r="O444" i="26"/>
  <c r="G445" i="26"/>
  <c r="K445" i="26"/>
  <c r="O445" i="26"/>
  <c r="G446" i="26"/>
  <c r="K446" i="26"/>
  <c r="O446" i="26"/>
  <c r="J319" i="26"/>
  <c r="J295" i="26"/>
  <c r="L319" i="26"/>
  <c r="L295" i="26"/>
  <c r="N319" i="26"/>
  <c r="N295" i="26"/>
  <c r="P311" i="26"/>
  <c r="J440" i="26"/>
  <c r="N440" i="26"/>
  <c r="P312" i="26"/>
  <c r="L441" i="26"/>
  <c r="N441" i="26"/>
  <c r="P313" i="26"/>
  <c r="J442" i="26"/>
  <c r="L442" i="26"/>
  <c r="P314" i="26"/>
  <c r="J443" i="26"/>
  <c r="P299" i="26"/>
  <c r="L443" i="26"/>
  <c r="N443" i="26"/>
  <c r="P315" i="26"/>
  <c r="N444" i="26"/>
  <c r="P316" i="26"/>
  <c r="J445" i="26"/>
  <c r="L445" i="26"/>
  <c r="P317" i="26"/>
  <c r="L446" i="26"/>
  <c r="P318" i="26"/>
  <c r="I488" i="26"/>
  <c r="G527" i="26"/>
  <c r="I522" i="26"/>
  <c r="I524" i="26"/>
  <c r="H543" i="26"/>
  <c r="M543" i="26"/>
  <c r="O543" i="26"/>
  <c r="I552" i="26"/>
  <c r="Q408" i="26"/>
  <c r="I554" i="26"/>
  <c r="D463" i="26"/>
  <c r="J335" i="26"/>
  <c r="L335" i="26"/>
  <c r="N335" i="26"/>
  <c r="P327" i="26"/>
  <c r="L495" i="26"/>
  <c r="I494" i="26"/>
  <c r="Q360" i="26"/>
  <c r="Q361" i="26"/>
  <c r="Q366" i="26"/>
  <c r="K527" i="26"/>
  <c r="I525" i="26"/>
  <c r="F559" i="26"/>
  <c r="I555" i="26"/>
  <c r="Q411" i="26"/>
  <c r="P343" i="26"/>
  <c r="G351" i="26"/>
  <c r="G495" i="26" s="1"/>
  <c r="I359" i="26"/>
  <c r="P359" i="26"/>
  <c r="P375" i="26"/>
  <c r="C527" i="26"/>
  <c r="E527" i="26"/>
  <c r="I391" i="26"/>
  <c r="D543" i="26"/>
  <c r="J399" i="26"/>
  <c r="J543" i="26" s="1"/>
  <c r="P407" i="26"/>
  <c r="C559" i="26"/>
  <c r="I423" i="26"/>
  <c r="J431" i="26"/>
  <c r="D495" i="26"/>
  <c r="I375" i="26"/>
  <c r="D527" i="26"/>
  <c r="C543" i="26"/>
  <c r="E543" i="26"/>
  <c r="I407" i="26"/>
  <c r="Q504" i="26"/>
  <c r="Q506" i="26"/>
  <c r="Q508" i="26"/>
  <c r="Q510" i="26"/>
  <c r="I471" i="26"/>
  <c r="J479" i="26"/>
  <c r="I503" i="26"/>
  <c r="P503" i="26"/>
  <c r="P511" i="26" s="1"/>
  <c r="P567" i="26"/>
  <c r="G575" i="26"/>
  <c r="P585" i="26"/>
  <c r="I585" i="26"/>
  <c r="I63" i="26" l="1"/>
  <c r="Q74" i="26"/>
  <c r="I540" i="26"/>
  <c r="G543" i="26"/>
  <c r="Q572" i="26"/>
  <c r="Q477" i="26"/>
  <c r="U13" i="26"/>
  <c r="Q590" i="26"/>
  <c r="N495" i="26"/>
  <c r="K303" i="26"/>
  <c r="Q377" i="26"/>
  <c r="Q382" i="26"/>
  <c r="Q475" i="26"/>
  <c r="M527" i="26"/>
  <c r="P479" i="26"/>
  <c r="I487" i="26"/>
  <c r="Q380" i="26"/>
  <c r="Q524" i="26" s="1"/>
  <c r="O559" i="26"/>
  <c r="Q265" i="26"/>
  <c r="O527" i="26"/>
  <c r="O463" i="26"/>
  <c r="P442" i="26"/>
  <c r="P440" i="26"/>
  <c r="Q73" i="26"/>
  <c r="Q55" i="26"/>
  <c r="Q63" i="26" s="1"/>
  <c r="Q250" i="26"/>
  <c r="Q44" i="26"/>
  <c r="F15" i="26"/>
  <c r="Q348" i="26"/>
  <c r="L527" i="26"/>
  <c r="Q350" i="26"/>
  <c r="I8" i="26"/>
  <c r="Q8" i="26" s="1"/>
  <c r="W8" i="26" s="1"/>
  <c r="Q284" i="26"/>
  <c r="Q474" i="26"/>
  <c r="Q398" i="26"/>
  <c r="S15" i="26"/>
  <c r="I492" i="26"/>
  <c r="Q140" i="26"/>
  <c r="Q409" i="26"/>
  <c r="Q553" i="26" s="1"/>
  <c r="M495" i="26"/>
  <c r="F543" i="26"/>
  <c r="K495" i="26"/>
  <c r="P335" i="26"/>
  <c r="M559" i="26"/>
  <c r="Q203" i="26"/>
  <c r="Q281" i="26"/>
  <c r="Q119" i="26"/>
  <c r="Q252" i="26"/>
  <c r="P191" i="26"/>
  <c r="P302" i="26"/>
  <c r="P446" i="26" s="1"/>
  <c r="Q189" i="26"/>
  <c r="I523" i="26"/>
  <c r="Q154" i="26"/>
  <c r="P223" i="26"/>
  <c r="Q9" i="26"/>
  <c r="W9" i="26" s="1"/>
  <c r="Q233" i="26"/>
  <c r="Q521" i="26" s="1"/>
  <c r="Q410" i="26"/>
  <c r="Q141" i="26"/>
  <c r="Q184" i="26"/>
  <c r="T11" i="26"/>
  <c r="U11" i="26" s="1"/>
  <c r="P297" i="26"/>
  <c r="P441" i="26" s="1"/>
  <c r="Q151" i="26"/>
  <c r="Q344" i="26"/>
  <c r="K463" i="26"/>
  <c r="Q283" i="26"/>
  <c r="Q142" i="26"/>
  <c r="Q137" i="26"/>
  <c r="Q414" i="26"/>
  <c r="P415" i="26"/>
  <c r="N559" i="26"/>
  <c r="Q394" i="26"/>
  <c r="N543" i="26"/>
  <c r="Q122" i="26"/>
  <c r="Q120" i="26"/>
  <c r="Q238" i="26"/>
  <c r="Q526" i="26" s="1"/>
  <c r="Q346" i="26"/>
  <c r="Q490" i="26" s="1"/>
  <c r="P351" i="26"/>
  <c r="Q200" i="26"/>
  <c r="Q201" i="26"/>
  <c r="Q489" i="26" s="1"/>
  <c r="N446" i="26"/>
  <c r="P445" i="26"/>
  <c r="P444" i="26"/>
  <c r="Q171" i="26"/>
  <c r="P443" i="26"/>
  <c r="P159" i="26"/>
  <c r="Q525" i="26"/>
  <c r="Q379" i="26"/>
  <c r="Q523" i="26" s="1"/>
  <c r="I351" i="26"/>
  <c r="Q280" i="26"/>
  <c r="Q473" i="26"/>
  <c r="Q589" i="26"/>
  <c r="Q191" i="26"/>
  <c r="O303" i="26"/>
  <c r="O447" i="26" s="1"/>
  <c r="L444" i="26"/>
  <c r="N463" i="26"/>
  <c r="Q330" i="26"/>
  <c r="Q270" i="26"/>
  <c r="Q205" i="26"/>
  <c r="Q493" i="26" s="1"/>
  <c r="I7" i="26"/>
  <c r="T9" i="26"/>
  <c r="U9" i="26" s="1"/>
  <c r="Q218" i="26"/>
  <c r="Q169" i="26"/>
  <c r="I520" i="26"/>
  <c r="Q248" i="26"/>
  <c r="Q536" i="26" s="1"/>
  <c r="Q124" i="26"/>
  <c r="I539" i="26"/>
  <c r="Q126" i="26"/>
  <c r="P593" i="26"/>
  <c r="I558" i="26"/>
  <c r="Q347" i="26"/>
  <c r="Q491" i="26" s="1"/>
  <c r="K447" i="26"/>
  <c r="G159" i="26"/>
  <c r="G447" i="26" s="1"/>
  <c r="U14" i="26"/>
  <c r="N527" i="26"/>
  <c r="Q254" i="26"/>
  <c r="Q542" i="26" s="1"/>
  <c r="K543" i="26"/>
  <c r="Q424" i="26"/>
  <c r="H463" i="26"/>
  <c r="Q587" i="26"/>
  <c r="N442" i="26"/>
  <c r="I491" i="26"/>
  <c r="N445" i="26"/>
  <c r="L463" i="26"/>
  <c r="F463" i="26"/>
  <c r="Q266" i="26"/>
  <c r="E15" i="26"/>
  <c r="Q206" i="26"/>
  <c r="Q107" i="26"/>
  <c r="Q397" i="26"/>
  <c r="Q46" i="26"/>
  <c r="Q43" i="26"/>
  <c r="Q520" i="26"/>
  <c r="L440" i="26"/>
  <c r="Q204" i="26"/>
  <c r="Q378" i="26"/>
  <c r="Q522" i="26" s="1"/>
  <c r="J15" i="26"/>
  <c r="Q591" i="26"/>
  <c r="P95" i="26"/>
  <c r="I490" i="26"/>
  <c r="I159" i="26"/>
  <c r="P367" i="26"/>
  <c r="J463" i="26"/>
  <c r="P255" i="26"/>
  <c r="I191" i="26"/>
  <c r="Q173" i="26"/>
  <c r="Q253" i="26"/>
  <c r="Q426" i="26"/>
  <c r="Q158" i="26"/>
  <c r="Q152" i="26"/>
  <c r="Q568" i="26"/>
  <c r="Q139" i="26"/>
  <c r="Q267" i="26"/>
  <c r="Q555" i="26" s="1"/>
  <c r="P239" i="26"/>
  <c r="Q88" i="26"/>
  <c r="P575" i="26"/>
  <c r="Q574" i="26"/>
  <c r="Q573" i="26"/>
  <c r="Q571" i="26"/>
  <c r="Q569" i="26"/>
  <c r="P287" i="26"/>
  <c r="P143" i="26"/>
  <c r="Q539" i="26"/>
  <c r="Q94" i="26"/>
  <c r="Q430" i="26"/>
  <c r="Q91" i="26"/>
  <c r="J527" i="26"/>
  <c r="Q93" i="26"/>
  <c r="Q89" i="26"/>
  <c r="Q87" i="26"/>
  <c r="P207" i="26"/>
  <c r="P175" i="26"/>
  <c r="Q170" i="26"/>
  <c r="P399" i="26"/>
  <c r="Q537" i="26"/>
  <c r="P111" i="26"/>
  <c r="Q106" i="26"/>
  <c r="Q429" i="26"/>
  <c r="Q427" i="26"/>
  <c r="Q425" i="26"/>
  <c r="Q268" i="26"/>
  <c r="Q556" i="26" s="1"/>
  <c r="I538" i="26"/>
  <c r="Q396" i="26"/>
  <c r="Q540" i="26" s="1"/>
  <c r="I536" i="26"/>
  <c r="Q538" i="26"/>
  <c r="Q567" i="26"/>
  <c r="P431" i="26"/>
  <c r="Q269" i="26"/>
  <c r="Q557" i="26" s="1"/>
  <c r="P271" i="26"/>
  <c r="I127" i="26"/>
  <c r="P127" i="26"/>
  <c r="P383" i="26"/>
  <c r="I95" i="26"/>
  <c r="Q219" i="26"/>
  <c r="Q75" i="26"/>
  <c r="Q157" i="26"/>
  <c r="Q155" i="26"/>
  <c r="Q153" i="26"/>
  <c r="Q11" i="26"/>
  <c r="W11" i="26" s="1"/>
  <c r="P79" i="26"/>
  <c r="P31" i="26"/>
  <c r="Q12" i="26"/>
  <c r="W12" i="26" s="1"/>
  <c r="I431" i="26"/>
  <c r="Q423" i="26"/>
  <c r="I367" i="26"/>
  <c r="Q359" i="26"/>
  <c r="Q367" i="26" s="1"/>
  <c r="P319" i="26"/>
  <c r="P463" i="26" s="1"/>
  <c r="I335" i="26"/>
  <c r="Q327" i="26"/>
  <c r="Q335" i="26" s="1"/>
  <c r="F446" i="26"/>
  <c r="I302" i="26"/>
  <c r="I461" i="26"/>
  <c r="Q317" i="26"/>
  <c r="I460" i="26"/>
  <c r="Q316" i="26"/>
  <c r="Q460" i="26" s="1"/>
  <c r="I443" i="26"/>
  <c r="Q299" i="26"/>
  <c r="I458" i="26"/>
  <c r="Q314" i="26"/>
  <c r="I441" i="26"/>
  <c r="Q297" i="26"/>
  <c r="I456" i="26"/>
  <c r="Q312" i="26"/>
  <c r="Q456" i="26" s="1"/>
  <c r="I455" i="26"/>
  <c r="Q311" i="26"/>
  <c r="I319" i="26"/>
  <c r="Q279" i="26"/>
  <c r="I287" i="26"/>
  <c r="I175" i="26"/>
  <c r="Q167" i="26"/>
  <c r="I111" i="26"/>
  <c r="Q103" i="26"/>
  <c r="Q215" i="26"/>
  <c r="I31" i="26"/>
  <c r="Q23" i="26"/>
  <c r="Q264" i="26"/>
  <c r="Q552" i="26" s="1"/>
  <c r="P47" i="26"/>
  <c r="Q14" i="26"/>
  <c r="W14" i="26" s="1"/>
  <c r="P15" i="26"/>
  <c r="I593" i="26"/>
  <c r="Q585" i="26"/>
  <c r="I511" i="26"/>
  <c r="Q503" i="26"/>
  <c r="Q511" i="26" s="1"/>
  <c r="I479" i="26"/>
  <c r="Q471" i="26"/>
  <c r="I551" i="26"/>
  <c r="Q407" i="26"/>
  <c r="I415" i="26"/>
  <c r="I519" i="26"/>
  <c r="Q375" i="26"/>
  <c r="I383" i="26"/>
  <c r="I535" i="26"/>
  <c r="I399" i="26"/>
  <c r="Q391" i="26"/>
  <c r="Q343" i="26"/>
  <c r="N439" i="26"/>
  <c r="N303" i="26"/>
  <c r="N447" i="26" s="1"/>
  <c r="L439" i="26"/>
  <c r="L303" i="26"/>
  <c r="L447" i="26" s="1"/>
  <c r="J439" i="26"/>
  <c r="P295" i="26"/>
  <c r="J303" i="26"/>
  <c r="J447" i="26" s="1"/>
  <c r="Q247" i="26"/>
  <c r="I255" i="26"/>
  <c r="I462" i="26"/>
  <c r="Q318" i="26"/>
  <c r="F445" i="26"/>
  <c r="I301" i="26"/>
  <c r="F444" i="26"/>
  <c r="I300" i="26"/>
  <c r="I459" i="26"/>
  <c r="Q315" i="26"/>
  <c r="F442" i="26"/>
  <c r="I298" i="26"/>
  <c r="I457" i="26"/>
  <c r="Q313" i="26"/>
  <c r="F440" i="26"/>
  <c r="I296" i="26"/>
  <c r="H439" i="26"/>
  <c r="H303" i="26"/>
  <c r="H447" i="26" s="1"/>
  <c r="F439" i="26"/>
  <c r="F303" i="26"/>
  <c r="F447" i="26" s="1"/>
  <c r="I295" i="26"/>
  <c r="I271" i="26"/>
  <c r="Q263" i="26"/>
  <c r="I239" i="26"/>
  <c r="Q231" i="26"/>
  <c r="I207" i="26"/>
  <c r="I495" i="26" s="1"/>
  <c r="Q199" i="26"/>
  <c r="I143" i="26"/>
  <c r="Q135" i="26"/>
  <c r="I79" i="26"/>
  <c r="Q71" i="26"/>
  <c r="I223" i="26"/>
  <c r="I47" i="26"/>
  <c r="Q39" i="26"/>
  <c r="Q47" i="26" s="1"/>
  <c r="U7" i="26"/>
  <c r="Q28" i="26"/>
  <c r="Q24" i="26"/>
  <c r="L50" i="1"/>
  <c r="G463" i="26" l="1"/>
  <c r="I15" i="26"/>
  <c r="U21" i="26" s="1"/>
  <c r="Q541" i="26"/>
  <c r="Q554" i="26"/>
  <c r="Q558" i="26"/>
  <c r="Q239" i="26"/>
  <c r="Q492" i="26"/>
  <c r="Q494" i="26"/>
  <c r="Q458" i="26"/>
  <c r="I463" i="26"/>
  <c r="Q488" i="26"/>
  <c r="U15" i="26"/>
  <c r="T15" i="26"/>
  <c r="Q223" i="26"/>
  <c r="Q287" i="26"/>
  <c r="Q143" i="26"/>
  <c r="P559" i="26"/>
  <c r="P543" i="26"/>
  <c r="Q111" i="26"/>
  <c r="Q127" i="26"/>
  <c r="P495" i="26"/>
  <c r="Q462" i="26"/>
  <c r="Q255" i="26"/>
  <c r="Q207" i="26"/>
  <c r="Q79" i="26"/>
  <c r="Q593" i="26"/>
  <c r="Q7" i="26"/>
  <c r="Q15" i="26" s="1"/>
  <c r="Q175" i="26"/>
  <c r="P527" i="26"/>
  <c r="Q479" i="26"/>
  <c r="Q575" i="26"/>
  <c r="Q95" i="26"/>
  <c r="Q461" i="26"/>
  <c r="Q431" i="26"/>
  <c r="Q457" i="26"/>
  <c r="Q441" i="26"/>
  <c r="Q159" i="26"/>
  <c r="Q271" i="26"/>
  <c r="Q459" i="26"/>
  <c r="Q443" i="26"/>
  <c r="I439" i="26"/>
  <c r="I303" i="26"/>
  <c r="I447" i="26" s="1"/>
  <c r="Q295" i="26"/>
  <c r="P439" i="26"/>
  <c r="P303" i="26"/>
  <c r="P447" i="26" s="1"/>
  <c r="Q487" i="26"/>
  <c r="Q351" i="26"/>
  <c r="Q535" i="26"/>
  <c r="Q399" i="26"/>
  <c r="Q519" i="26"/>
  <c r="Q383" i="26"/>
  <c r="I559" i="26"/>
  <c r="W7" i="26"/>
  <c r="I440" i="26"/>
  <c r="Q296" i="26"/>
  <c r="Q440" i="26" s="1"/>
  <c r="I442" i="26"/>
  <c r="Q298" i="26"/>
  <c r="Q442" i="26" s="1"/>
  <c r="I444" i="26"/>
  <c r="Q300" i="26"/>
  <c r="Q444" i="26" s="1"/>
  <c r="I445" i="26"/>
  <c r="Q301" i="26"/>
  <c r="Q445" i="26" s="1"/>
  <c r="I543" i="26"/>
  <c r="I527" i="26"/>
  <c r="Q551" i="26"/>
  <c r="Q415" i="26"/>
  <c r="Q31" i="26"/>
  <c r="Q455" i="26"/>
  <c r="Q319" i="26"/>
  <c r="I446" i="26"/>
  <c r="Q302" i="26"/>
  <c r="Q446" i="26" s="1"/>
  <c r="I575" i="26"/>
  <c r="Q543" i="26" l="1"/>
  <c r="Q527" i="26"/>
  <c r="Q495" i="26"/>
  <c r="Q463" i="26"/>
  <c r="Q559" i="26"/>
  <c r="S17" i="26"/>
  <c r="W15" i="26"/>
  <c r="Q439" i="26"/>
  <c r="Q303" i="26"/>
  <c r="Q447" i="26" s="1"/>
  <c r="Q111" i="1" l="1"/>
  <c r="J116" i="4" l="1"/>
  <c r="Q10" i="1" l="1"/>
  <c r="Q11" i="1"/>
  <c r="Q12" i="1"/>
  <c r="Q13" i="1"/>
  <c r="Q14" i="1"/>
  <c r="Q15" i="1"/>
  <c r="Q16" i="1"/>
  <c r="Q9" i="1"/>
  <c r="Q17" i="1" l="1"/>
  <c r="S19" i="19"/>
  <c r="D50" i="5" l="1"/>
  <c r="C116" i="7" l="1"/>
  <c r="D83" i="6"/>
  <c r="E83" i="6"/>
  <c r="F83" i="6"/>
  <c r="G83" i="6"/>
  <c r="H83" i="6"/>
  <c r="I83" i="6"/>
  <c r="J83" i="6"/>
  <c r="K83" i="6"/>
  <c r="L83" i="6"/>
  <c r="M83" i="6"/>
  <c r="N83" i="6"/>
  <c r="O77" i="6"/>
  <c r="O78" i="6"/>
  <c r="O79" i="6"/>
  <c r="O80" i="6"/>
  <c r="O81" i="6"/>
  <c r="O82" i="6"/>
  <c r="O76" i="6"/>
  <c r="O75" i="6"/>
  <c r="O83" i="6" l="1"/>
  <c r="D207" i="19"/>
  <c r="E207" i="19"/>
  <c r="C207" i="19"/>
  <c r="O56" i="19"/>
  <c r="O57" i="19"/>
  <c r="O58" i="19"/>
  <c r="O59" i="19"/>
  <c r="O60" i="19"/>
  <c r="O61" i="19"/>
  <c r="O62" i="19"/>
  <c r="N56" i="19"/>
  <c r="N57" i="19"/>
  <c r="N58" i="19"/>
  <c r="N59" i="19"/>
  <c r="N60" i="19"/>
  <c r="N61" i="19"/>
  <c r="N62" i="19"/>
  <c r="M56" i="19"/>
  <c r="M57" i="19"/>
  <c r="M58" i="19"/>
  <c r="M59" i="19"/>
  <c r="M60" i="19"/>
  <c r="M61" i="19"/>
  <c r="M62" i="19"/>
  <c r="L56" i="19"/>
  <c r="L57" i="19"/>
  <c r="L58" i="19"/>
  <c r="L59" i="19"/>
  <c r="L60" i="19"/>
  <c r="L61" i="19"/>
  <c r="L62" i="19"/>
  <c r="K56" i="19"/>
  <c r="K57" i="19"/>
  <c r="K58" i="19"/>
  <c r="K59" i="19"/>
  <c r="K60" i="19"/>
  <c r="K61" i="19"/>
  <c r="K62" i="19"/>
  <c r="J56" i="19"/>
  <c r="J57" i="19"/>
  <c r="J58" i="19"/>
  <c r="J59" i="19"/>
  <c r="J60" i="19"/>
  <c r="J61" i="19"/>
  <c r="J62" i="19"/>
  <c r="K55" i="19"/>
  <c r="L55" i="19"/>
  <c r="M55" i="19"/>
  <c r="N55" i="19"/>
  <c r="O55" i="19"/>
  <c r="J55" i="19"/>
  <c r="H56" i="19"/>
  <c r="H57" i="19"/>
  <c r="H58" i="19"/>
  <c r="H59" i="19"/>
  <c r="H60" i="19"/>
  <c r="H61" i="19"/>
  <c r="H62" i="19"/>
  <c r="G56" i="19"/>
  <c r="G57" i="19"/>
  <c r="G58" i="19"/>
  <c r="G59" i="19"/>
  <c r="G60" i="19"/>
  <c r="G61" i="19"/>
  <c r="G62" i="19"/>
  <c r="F56" i="19"/>
  <c r="F57" i="19"/>
  <c r="F58" i="19"/>
  <c r="F59" i="19"/>
  <c r="F60" i="19"/>
  <c r="F61" i="19"/>
  <c r="F62" i="19"/>
  <c r="G55" i="19"/>
  <c r="H55" i="19"/>
  <c r="F55" i="19"/>
  <c r="O24" i="19"/>
  <c r="O25" i="19"/>
  <c r="O26" i="19"/>
  <c r="O27" i="19"/>
  <c r="O28" i="19"/>
  <c r="O29" i="19"/>
  <c r="O30" i="19"/>
  <c r="N24" i="19"/>
  <c r="N25" i="19"/>
  <c r="N26" i="19"/>
  <c r="N27" i="19"/>
  <c r="N28" i="19"/>
  <c r="N29" i="19"/>
  <c r="N30" i="19"/>
  <c r="M24" i="19"/>
  <c r="M25" i="19"/>
  <c r="M26" i="19"/>
  <c r="M27" i="19"/>
  <c r="M28" i="19"/>
  <c r="M29" i="19"/>
  <c r="M30" i="19"/>
  <c r="L24" i="19"/>
  <c r="L25" i="19"/>
  <c r="L26" i="19"/>
  <c r="L27" i="19"/>
  <c r="L28" i="19"/>
  <c r="L29" i="19"/>
  <c r="L30" i="19"/>
  <c r="K24" i="19"/>
  <c r="K25" i="19"/>
  <c r="K26" i="19"/>
  <c r="K27" i="19"/>
  <c r="K28" i="19"/>
  <c r="K29" i="19"/>
  <c r="K30" i="19"/>
  <c r="J24" i="19"/>
  <c r="J25" i="19"/>
  <c r="J26" i="19"/>
  <c r="J27" i="19"/>
  <c r="J28" i="19"/>
  <c r="J29" i="19"/>
  <c r="J30" i="19"/>
  <c r="M23" i="19"/>
  <c r="N23" i="19"/>
  <c r="O23" i="19"/>
  <c r="K23" i="19"/>
  <c r="L23" i="19"/>
  <c r="J23" i="19"/>
  <c r="H24" i="19"/>
  <c r="H25" i="19"/>
  <c r="H26" i="19"/>
  <c r="H27" i="19"/>
  <c r="H28" i="19"/>
  <c r="H29" i="19"/>
  <c r="H30" i="19"/>
  <c r="G24" i="19"/>
  <c r="G25" i="19"/>
  <c r="G26" i="19"/>
  <c r="G27" i="19"/>
  <c r="G28" i="19"/>
  <c r="G29" i="19"/>
  <c r="G30" i="19"/>
  <c r="F24" i="19"/>
  <c r="F25" i="19"/>
  <c r="F26" i="19"/>
  <c r="F27" i="19"/>
  <c r="F28" i="19"/>
  <c r="F29" i="19"/>
  <c r="F30" i="19"/>
  <c r="G23" i="19"/>
  <c r="H23" i="19"/>
  <c r="F23" i="19"/>
  <c r="C7" i="19"/>
  <c r="D7" i="19"/>
  <c r="E7" i="19"/>
  <c r="C8" i="19"/>
  <c r="D8" i="19"/>
  <c r="E8" i="19"/>
  <c r="C9" i="19"/>
  <c r="D9" i="19"/>
  <c r="E9" i="19"/>
  <c r="C10" i="19"/>
  <c r="D10" i="19"/>
  <c r="E10" i="19"/>
  <c r="C11" i="19"/>
  <c r="D11" i="19"/>
  <c r="C12" i="19"/>
  <c r="D12" i="19"/>
  <c r="E12" i="19"/>
  <c r="C13" i="19"/>
  <c r="D13" i="19"/>
  <c r="E13" i="19"/>
  <c r="C14" i="19"/>
  <c r="D14" i="19"/>
  <c r="E14" i="19"/>
  <c r="N17" i="1" l="1"/>
  <c r="N20" i="1" s="1"/>
  <c r="M17" i="1" l="1"/>
  <c r="M20" i="1" s="1"/>
  <c r="W18" i="19" l="1"/>
  <c r="J116" i="5" l="1"/>
  <c r="R109" i="5" l="1"/>
  <c r="S109" i="5" s="1"/>
  <c r="R110" i="5"/>
  <c r="S110" i="5" s="1"/>
  <c r="R111" i="5"/>
  <c r="S111" i="5" s="1"/>
  <c r="R112" i="5"/>
  <c r="S112" i="5" s="1"/>
  <c r="R113" i="5"/>
  <c r="S113" i="5" s="1"/>
  <c r="R114" i="5"/>
  <c r="S114" i="5" s="1"/>
  <c r="R115" i="5"/>
  <c r="S115" i="5" s="1"/>
  <c r="R108" i="5"/>
  <c r="S108" i="5" s="1"/>
  <c r="E50" i="24" l="1"/>
  <c r="D50" i="21"/>
  <c r="E50" i="21"/>
  <c r="F50" i="21"/>
  <c r="G50" i="21"/>
  <c r="H50" i="21"/>
  <c r="I50" i="21"/>
  <c r="J50" i="21"/>
  <c r="K50" i="21"/>
  <c r="L50" i="21"/>
  <c r="M50" i="21"/>
  <c r="D50" i="4"/>
  <c r="H50" i="4"/>
  <c r="J50" i="4"/>
  <c r="C50" i="4"/>
  <c r="E50" i="9" l="1"/>
  <c r="P16" i="5" l="1"/>
  <c r="P15" i="5"/>
  <c r="P14" i="5"/>
  <c r="P13" i="5"/>
  <c r="P12" i="5"/>
  <c r="P11" i="5"/>
  <c r="P10" i="5"/>
  <c r="P9" i="5"/>
  <c r="Q17" i="5"/>
  <c r="P17" i="5" l="1"/>
  <c r="I17" i="24" l="1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Q82" i="24"/>
  <c r="O82" i="24"/>
  <c r="Q81" i="24"/>
  <c r="O81" i="24"/>
  <c r="Q80" i="24"/>
  <c r="O80" i="24"/>
  <c r="Q79" i="24"/>
  <c r="O79" i="24"/>
  <c r="Q78" i="24"/>
  <c r="O78" i="24"/>
  <c r="Q77" i="24"/>
  <c r="O77" i="24"/>
  <c r="Q76" i="24"/>
  <c r="O76" i="24"/>
  <c r="Q75" i="24"/>
  <c r="O75" i="24"/>
  <c r="P50" i="24"/>
  <c r="N50" i="24"/>
  <c r="M50" i="24"/>
  <c r="L50" i="24"/>
  <c r="K50" i="24"/>
  <c r="J50" i="24"/>
  <c r="I50" i="24"/>
  <c r="H50" i="24"/>
  <c r="G50" i="24"/>
  <c r="F50" i="24"/>
  <c r="D50" i="24"/>
  <c r="C50" i="24"/>
  <c r="Q49" i="24"/>
  <c r="O49" i="24"/>
  <c r="Q48" i="24"/>
  <c r="O48" i="24"/>
  <c r="Q47" i="24"/>
  <c r="O47" i="24"/>
  <c r="Q46" i="24"/>
  <c r="O46" i="24"/>
  <c r="Q45" i="24"/>
  <c r="O45" i="24"/>
  <c r="Q44" i="24"/>
  <c r="O44" i="24"/>
  <c r="Q43" i="24"/>
  <c r="O43" i="24"/>
  <c r="Q42" i="24"/>
  <c r="O42" i="24"/>
  <c r="N17" i="24"/>
  <c r="M17" i="24"/>
  <c r="L17" i="24"/>
  <c r="K17" i="24"/>
  <c r="J17" i="24"/>
  <c r="H17" i="24"/>
  <c r="G17" i="24"/>
  <c r="F17" i="24"/>
  <c r="E17" i="24"/>
  <c r="D17" i="24"/>
  <c r="C17" i="24"/>
  <c r="Q16" i="24"/>
  <c r="O16" i="24"/>
  <c r="Q15" i="24"/>
  <c r="O15" i="24"/>
  <c r="Q14" i="24"/>
  <c r="O14" i="24"/>
  <c r="Q13" i="24"/>
  <c r="O13" i="24"/>
  <c r="Q12" i="24"/>
  <c r="O12" i="24"/>
  <c r="Q11" i="24"/>
  <c r="O11" i="24"/>
  <c r="Q10" i="24"/>
  <c r="O10" i="24"/>
  <c r="Q9" i="24"/>
  <c r="O9" i="24"/>
  <c r="O17" i="24" l="1"/>
  <c r="O50" i="24"/>
  <c r="O83" i="24"/>
  <c r="J168" i="19"/>
  <c r="K168" i="19"/>
  <c r="L168" i="19"/>
  <c r="M168" i="19"/>
  <c r="N168" i="19"/>
  <c r="O168" i="19"/>
  <c r="J169" i="19"/>
  <c r="K169" i="19"/>
  <c r="L169" i="19"/>
  <c r="M169" i="19"/>
  <c r="N169" i="19"/>
  <c r="O169" i="19"/>
  <c r="J170" i="19"/>
  <c r="K170" i="19"/>
  <c r="L170" i="19"/>
  <c r="M170" i="19"/>
  <c r="N170" i="19"/>
  <c r="O170" i="19"/>
  <c r="J171" i="19"/>
  <c r="K171" i="19"/>
  <c r="L171" i="19"/>
  <c r="M171" i="19"/>
  <c r="N171" i="19"/>
  <c r="O171" i="19"/>
  <c r="J172" i="19"/>
  <c r="K172" i="19"/>
  <c r="L172" i="19"/>
  <c r="M172" i="19"/>
  <c r="N172" i="19"/>
  <c r="O172" i="19"/>
  <c r="J173" i="19"/>
  <c r="K173" i="19"/>
  <c r="L173" i="19"/>
  <c r="M173" i="19"/>
  <c r="N173" i="19"/>
  <c r="O173" i="19"/>
  <c r="J174" i="19"/>
  <c r="K174" i="19"/>
  <c r="L174" i="19"/>
  <c r="M174" i="19"/>
  <c r="N174" i="19"/>
  <c r="O174" i="19"/>
  <c r="K167" i="19"/>
  <c r="L167" i="19"/>
  <c r="M167" i="19"/>
  <c r="N167" i="19"/>
  <c r="O167" i="19"/>
  <c r="J167" i="19"/>
  <c r="F168" i="19"/>
  <c r="G168" i="19"/>
  <c r="H168" i="19"/>
  <c r="I168" i="19" s="1"/>
  <c r="F169" i="19"/>
  <c r="G169" i="19"/>
  <c r="H169" i="19"/>
  <c r="F170" i="19"/>
  <c r="G170" i="19"/>
  <c r="H170" i="19"/>
  <c r="F171" i="19"/>
  <c r="G171" i="19"/>
  <c r="H171" i="19"/>
  <c r="F172" i="19"/>
  <c r="G172" i="19"/>
  <c r="H172" i="19"/>
  <c r="F173" i="19"/>
  <c r="G173" i="19"/>
  <c r="H173" i="19"/>
  <c r="F174" i="19"/>
  <c r="G174" i="19"/>
  <c r="H174" i="19"/>
  <c r="G167" i="19"/>
  <c r="H167" i="19"/>
  <c r="F167" i="19"/>
  <c r="E175" i="19"/>
  <c r="D175" i="19"/>
  <c r="C175" i="19"/>
  <c r="H175" i="19" l="1"/>
  <c r="I173" i="19"/>
  <c r="I171" i="19"/>
  <c r="I170" i="19"/>
  <c r="F175" i="19"/>
  <c r="G175" i="19"/>
  <c r="I169" i="19"/>
  <c r="I172" i="19"/>
  <c r="I174" i="19"/>
  <c r="I167" i="19"/>
  <c r="N116" i="21"/>
  <c r="M116" i="21"/>
  <c r="L116" i="21"/>
  <c r="K116" i="21"/>
  <c r="J116" i="21"/>
  <c r="I116" i="21"/>
  <c r="H116" i="21"/>
  <c r="G116" i="21"/>
  <c r="F116" i="21"/>
  <c r="E116" i="21"/>
  <c r="D116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Q82" i="21"/>
  <c r="O82" i="21"/>
  <c r="E143" i="10" s="1"/>
  <c r="Q81" i="21"/>
  <c r="O81" i="21"/>
  <c r="E142" i="10" s="1"/>
  <c r="Q80" i="21"/>
  <c r="O80" i="21"/>
  <c r="E141" i="10" s="1"/>
  <c r="Q79" i="21"/>
  <c r="O79" i="21"/>
  <c r="E140" i="10" s="1"/>
  <c r="Q78" i="21"/>
  <c r="O78" i="21"/>
  <c r="E139" i="10" s="1"/>
  <c r="Q77" i="21"/>
  <c r="O77" i="21"/>
  <c r="E138" i="10" s="1"/>
  <c r="Q76" i="21"/>
  <c r="O76" i="21"/>
  <c r="E137" i="10" s="1"/>
  <c r="Q75" i="21"/>
  <c r="O75" i="21"/>
  <c r="E136" i="10" s="1"/>
  <c r="P50" i="21"/>
  <c r="N50" i="21"/>
  <c r="C50" i="21"/>
  <c r="Q49" i="21"/>
  <c r="O49" i="21"/>
  <c r="D143" i="10" s="1"/>
  <c r="Q48" i="21"/>
  <c r="O48" i="21"/>
  <c r="D142" i="10" s="1"/>
  <c r="Q47" i="21"/>
  <c r="O47" i="21"/>
  <c r="D141" i="10" s="1"/>
  <c r="Q46" i="21"/>
  <c r="O46" i="21"/>
  <c r="D140" i="10" s="1"/>
  <c r="Q45" i="21"/>
  <c r="O45" i="21"/>
  <c r="D139" i="10" s="1"/>
  <c r="Q44" i="21"/>
  <c r="O44" i="21"/>
  <c r="D138" i="10" s="1"/>
  <c r="Q43" i="21"/>
  <c r="O43" i="21"/>
  <c r="D137" i="10" s="1"/>
  <c r="Q42" i="21"/>
  <c r="O42" i="21"/>
  <c r="D136" i="10" s="1"/>
  <c r="N17" i="21"/>
  <c r="M17" i="21"/>
  <c r="L17" i="21"/>
  <c r="K17" i="21"/>
  <c r="J17" i="21"/>
  <c r="I17" i="21"/>
  <c r="H17" i="21"/>
  <c r="G17" i="21"/>
  <c r="F17" i="21"/>
  <c r="E17" i="21"/>
  <c r="D17" i="21"/>
  <c r="C17" i="21"/>
  <c r="Q16" i="21"/>
  <c r="O16" i="21"/>
  <c r="C143" i="10" s="1"/>
  <c r="Q15" i="21"/>
  <c r="O15" i="21"/>
  <c r="C142" i="10" s="1"/>
  <c r="Q14" i="21"/>
  <c r="O14" i="21"/>
  <c r="C141" i="10" s="1"/>
  <c r="Q13" i="21"/>
  <c r="O13" i="21"/>
  <c r="C140" i="10" s="1"/>
  <c r="Q12" i="21"/>
  <c r="O12" i="21"/>
  <c r="C139" i="10" s="1"/>
  <c r="Q11" i="21"/>
  <c r="O11" i="21"/>
  <c r="C138" i="10" s="1"/>
  <c r="Q10" i="21"/>
  <c r="O10" i="21"/>
  <c r="C137" i="10" s="1"/>
  <c r="Q9" i="21"/>
  <c r="O9" i="21"/>
  <c r="C136" i="10" s="1"/>
  <c r="E144" i="10" l="1"/>
  <c r="C144" i="10"/>
  <c r="D144" i="10"/>
  <c r="O50" i="21"/>
  <c r="O83" i="21"/>
  <c r="O17" i="21"/>
  <c r="I175" i="19"/>
  <c r="J568" i="19" l="1"/>
  <c r="K568" i="19"/>
  <c r="L568" i="19"/>
  <c r="M568" i="19"/>
  <c r="N568" i="19"/>
  <c r="O568" i="19"/>
  <c r="J569" i="19"/>
  <c r="K569" i="19"/>
  <c r="L569" i="19"/>
  <c r="M569" i="19"/>
  <c r="N569" i="19"/>
  <c r="O569" i="19"/>
  <c r="J570" i="19"/>
  <c r="K570" i="19"/>
  <c r="L570" i="19"/>
  <c r="M570" i="19"/>
  <c r="N570" i="19"/>
  <c r="O570" i="19"/>
  <c r="J571" i="19"/>
  <c r="K571" i="19"/>
  <c r="L571" i="19"/>
  <c r="M571" i="19"/>
  <c r="N571" i="19"/>
  <c r="O571" i="19"/>
  <c r="J572" i="19"/>
  <c r="K572" i="19"/>
  <c r="L572" i="19"/>
  <c r="M572" i="19"/>
  <c r="N572" i="19"/>
  <c r="O572" i="19"/>
  <c r="J573" i="19"/>
  <c r="K573" i="19"/>
  <c r="L573" i="19"/>
  <c r="M573" i="19"/>
  <c r="N573" i="19"/>
  <c r="O573" i="19"/>
  <c r="J574" i="19"/>
  <c r="K574" i="19"/>
  <c r="L574" i="19"/>
  <c r="M574" i="19"/>
  <c r="N574" i="19"/>
  <c r="O574" i="19"/>
  <c r="K567" i="19"/>
  <c r="L567" i="19"/>
  <c r="M567" i="19"/>
  <c r="N567" i="19"/>
  <c r="O567" i="19"/>
  <c r="J567" i="19"/>
  <c r="J552" i="19"/>
  <c r="K552" i="19"/>
  <c r="L552" i="19"/>
  <c r="M552" i="19"/>
  <c r="N552" i="19"/>
  <c r="O552" i="19"/>
  <c r="J553" i="19"/>
  <c r="K553" i="19"/>
  <c r="L553" i="19"/>
  <c r="M553" i="19"/>
  <c r="N553" i="19"/>
  <c r="O553" i="19"/>
  <c r="J554" i="19"/>
  <c r="K554" i="19"/>
  <c r="L554" i="19"/>
  <c r="M554" i="19"/>
  <c r="N554" i="19"/>
  <c r="O554" i="19"/>
  <c r="J555" i="19"/>
  <c r="K555" i="19"/>
  <c r="L555" i="19"/>
  <c r="M555" i="19"/>
  <c r="N555" i="19"/>
  <c r="O555" i="19"/>
  <c r="J556" i="19"/>
  <c r="K556" i="19"/>
  <c r="L556" i="19"/>
  <c r="M556" i="19"/>
  <c r="N556" i="19"/>
  <c r="O556" i="19"/>
  <c r="J557" i="19"/>
  <c r="K557" i="19"/>
  <c r="L557" i="19"/>
  <c r="M557" i="19"/>
  <c r="N557" i="19"/>
  <c r="O557" i="19"/>
  <c r="J558" i="19"/>
  <c r="K558" i="19"/>
  <c r="L558" i="19"/>
  <c r="M558" i="19"/>
  <c r="N558" i="19"/>
  <c r="O558" i="19"/>
  <c r="K551" i="19"/>
  <c r="L551" i="19"/>
  <c r="M551" i="19"/>
  <c r="N551" i="19"/>
  <c r="O551" i="19"/>
  <c r="J551" i="19"/>
  <c r="J536" i="19"/>
  <c r="K536" i="19"/>
  <c r="L536" i="19"/>
  <c r="M536" i="19"/>
  <c r="N536" i="19"/>
  <c r="O536" i="19"/>
  <c r="J537" i="19"/>
  <c r="K537" i="19"/>
  <c r="L537" i="19"/>
  <c r="M537" i="19"/>
  <c r="N537" i="19"/>
  <c r="O537" i="19"/>
  <c r="J538" i="19"/>
  <c r="K538" i="19"/>
  <c r="L538" i="19"/>
  <c r="M538" i="19"/>
  <c r="N538" i="19"/>
  <c r="O538" i="19"/>
  <c r="J539" i="19"/>
  <c r="K539" i="19"/>
  <c r="L539" i="19"/>
  <c r="M539" i="19"/>
  <c r="N539" i="19"/>
  <c r="O539" i="19"/>
  <c r="J540" i="19"/>
  <c r="K540" i="19"/>
  <c r="L540" i="19"/>
  <c r="M540" i="19"/>
  <c r="N540" i="19"/>
  <c r="O540" i="19"/>
  <c r="J541" i="19"/>
  <c r="K541" i="19"/>
  <c r="L541" i="19"/>
  <c r="M541" i="19"/>
  <c r="N541" i="19"/>
  <c r="O541" i="19"/>
  <c r="J542" i="19"/>
  <c r="K542" i="19"/>
  <c r="L542" i="19"/>
  <c r="M542" i="19"/>
  <c r="N542" i="19"/>
  <c r="O542" i="19"/>
  <c r="K535" i="19"/>
  <c r="L535" i="19"/>
  <c r="M535" i="19"/>
  <c r="N535" i="19"/>
  <c r="O535" i="19"/>
  <c r="J535" i="19"/>
  <c r="J520" i="19"/>
  <c r="K520" i="19"/>
  <c r="L520" i="19"/>
  <c r="M520" i="19"/>
  <c r="N520" i="19"/>
  <c r="O520" i="19"/>
  <c r="J521" i="19"/>
  <c r="K521" i="19"/>
  <c r="L521" i="19"/>
  <c r="M521" i="19"/>
  <c r="N521" i="19"/>
  <c r="O521" i="19"/>
  <c r="J522" i="19"/>
  <c r="K522" i="19"/>
  <c r="L522" i="19"/>
  <c r="M522" i="19"/>
  <c r="N522" i="19"/>
  <c r="O522" i="19"/>
  <c r="J523" i="19"/>
  <c r="K523" i="19"/>
  <c r="L523" i="19"/>
  <c r="M523" i="19"/>
  <c r="N523" i="19"/>
  <c r="O523" i="19"/>
  <c r="J524" i="19"/>
  <c r="K524" i="19"/>
  <c r="L524" i="19"/>
  <c r="M524" i="19"/>
  <c r="N524" i="19"/>
  <c r="O524" i="19"/>
  <c r="J525" i="19"/>
  <c r="K525" i="19"/>
  <c r="L525" i="19"/>
  <c r="M525" i="19"/>
  <c r="N525" i="19"/>
  <c r="O525" i="19"/>
  <c r="J526" i="19"/>
  <c r="K526" i="19"/>
  <c r="L526" i="19"/>
  <c r="M526" i="19"/>
  <c r="N526" i="19"/>
  <c r="O526" i="19"/>
  <c r="K519" i="19"/>
  <c r="L519" i="19"/>
  <c r="M519" i="19"/>
  <c r="N519" i="19"/>
  <c r="O519" i="19"/>
  <c r="J519" i="19"/>
  <c r="O510" i="19"/>
  <c r="N510" i="19"/>
  <c r="M510" i="19"/>
  <c r="O509" i="19"/>
  <c r="N509" i="19"/>
  <c r="M509" i="19"/>
  <c r="O508" i="19"/>
  <c r="N508" i="19"/>
  <c r="M508" i="19"/>
  <c r="O507" i="19"/>
  <c r="N507" i="19"/>
  <c r="M507" i="19"/>
  <c r="O506" i="19"/>
  <c r="N506" i="19"/>
  <c r="M506" i="19"/>
  <c r="O505" i="19"/>
  <c r="N505" i="19"/>
  <c r="M505" i="19"/>
  <c r="O504" i="19"/>
  <c r="N504" i="19"/>
  <c r="M504" i="19"/>
  <c r="O503" i="19"/>
  <c r="N503" i="19"/>
  <c r="M503" i="19"/>
  <c r="J488" i="19"/>
  <c r="K488" i="19"/>
  <c r="L488" i="19"/>
  <c r="M488" i="19"/>
  <c r="N488" i="19"/>
  <c r="O488" i="19"/>
  <c r="J489" i="19"/>
  <c r="K489" i="19"/>
  <c r="L489" i="19"/>
  <c r="M489" i="19"/>
  <c r="N489" i="19"/>
  <c r="O489" i="19"/>
  <c r="J490" i="19"/>
  <c r="K490" i="19"/>
  <c r="L490" i="19"/>
  <c r="M490" i="19"/>
  <c r="N490" i="19"/>
  <c r="O490" i="19"/>
  <c r="J491" i="19"/>
  <c r="K491" i="19"/>
  <c r="L491" i="19"/>
  <c r="M491" i="19"/>
  <c r="N491" i="19"/>
  <c r="O491" i="19"/>
  <c r="J492" i="19"/>
  <c r="K492" i="19"/>
  <c r="L492" i="19"/>
  <c r="M492" i="19"/>
  <c r="N492" i="19"/>
  <c r="O492" i="19"/>
  <c r="J493" i="19"/>
  <c r="K493" i="19"/>
  <c r="L493" i="19"/>
  <c r="M493" i="19"/>
  <c r="N493" i="19"/>
  <c r="O493" i="19"/>
  <c r="J494" i="19"/>
  <c r="K494" i="19"/>
  <c r="L494" i="19"/>
  <c r="M494" i="19"/>
  <c r="N494" i="19"/>
  <c r="O494" i="19"/>
  <c r="K487" i="19"/>
  <c r="L487" i="19"/>
  <c r="M487" i="19"/>
  <c r="N487" i="19"/>
  <c r="O487" i="19"/>
  <c r="J487" i="19"/>
  <c r="J472" i="19"/>
  <c r="K472" i="19"/>
  <c r="L472" i="19"/>
  <c r="M472" i="19"/>
  <c r="N472" i="19"/>
  <c r="O472" i="19"/>
  <c r="J473" i="19"/>
  <c r="K473" i="19"/>
  <c r="L473" i="19"/>
  <c r="M473" i="19"/>
  <c r="N473" i="19"/>
  <c r="O473" i="19"/>
  <c r="J474" i="19"/>
  <c r="K474" i="19"/>
  <c r="L474" i="19"/>
  <c r="M474" i="19"/>
  <c r="N474" i="19"/>
  <c r="O474" i="19"/>
  <c r="J475" i="19"/>
  <c r="K475" i="19"/>
  <c r="L475" i="19"/>
  <c r="M475" i="19"/>
  <c r="N475" i="19"/>
  <c r="O475" i="19"/>
  <c r="J476" i="19"/>
  <c r="K476" i="19"/>
  <c r="L476" i="19"/>
  <c r="M476" i="19"/>
  <c r="N476" i="19"/>
  <c r="O476" i="19"/>
  <c r="J477" i="19"/>
  <c r="K477" i="19"/>
  <c r="L477" i="19"/>
  <c r="M477" i="19"/>
  <c r="N477" i="19"/>
  <c r="O477" i="19"/>
  <c r="J478" i="19"/>
  <c r="K478" i="19"/>
  <c r="L478" i="19"/>
  <c r="M478" i="19"/>
  <c r="N478" i="19"/>
  <c r="O478" i="19"/>
  <c r="K471" i="19"/>
  <c r="L471" i="19"/>
  <c r="M471" i="19"/>
  <c r="N471" i="19"/>
  <c r="O471" i="19"/>
  <c r="J471" i="19"/>
  <c r="F472" i="19"/>
  <c r="G472" i="19"/>
  <c r="H472" i="19"/>
  <c r="F473" i="19"/>
  <c r="G473" i="19"/>
  <c r="H473" i="19"/>
  <c r="F474" i="19"/>
  <c r="G474" i="19"/>
  <c r="H474" i="19"/>
  <c r="F475" i="19"/>
  <c r="G475" i="19"/>
  <c r="H475" i="19"/>
  <c r="F476" i="19"/>
  <c r="G476" i="19"/>
  <c r="H476" i="19"/>
  <c r="F477" i="19"/>
  <c r="G477" i="19"/>
  <c r="H477" i="19"/>
  <c r="F478" i="19"/>
  <c r="G478" i="19"/>
  <c r="H478" i="19"/>
  <c r="G471" i="19"/>
  <c r="H471" i="19"/>
  <c r="F471" i="19"/>
  <c r="F456" i="19"/>
  <c r="G456" i="19"/>
  <c r="H456" i="19"/>
  <c r="F457" i="19"/>
  <c r="G457" i="19"/>
  <c r="H457" i="19"/>
  <c r="F458" i="19"/>
  <c r="G458" i="19"/>
  <c r="H458" i="19"/>
  <c r="F459" i="19"/>
  <c r="G459" i="19"/>
  <c r="H459" i="19"/>
  <c r="F460" i="19"/>
  <c r="G460" i="19"/>
  <c r="H460" i="19"/>
  <c r="F461" i="19"/>
  <c r="G461" i="19"/>
  <c r="H461" i="19"/>
  <c r="F462" i="19"/>
  <c r="G462" i="19"/>
  <c r="H462" i="19"/>
  <c r="G455" i="19"/>
  <c r="H455" i="19"/>
  <c r="F455" i="19"/>
  <c r="J456" i="19"/>
  <c r="K456" i="19"/>
  <c r="L456" i="19"/>
  <c r="M456" i="19"/>
  <c r="N456" i="19"/>
  <c r="O456" i="19"/>
  <c r="J457" i="19"/>
  <c r="K457" i="19"/>
  <c r="L457" i="19"/>
  <c r="M457" i="19"/>
  <c r="N457" i="19"/>
  <c r="O457" i="19"/>
  <c r="J458" i="19"/>
  <c r="K458" i="19"/>
  <c r="L458" i="19"/>
  <c r="M458" i="19"/>
  <c r="N458" i="19"/>
  <c r="O458" i="19"/>
  <c r="J459" i="19"/>
  <c r="K459" i="19"/>
  <c r="L459" i="19"/>
  <c r="M459" i="19"/>
  <c r="N459" i="19"/>
  <c r="O459" i="19"/>
  <c r="J460" i="19"/>
  <c r="K460" i="19"/>
  <c r="L460" i="19"/>
  <c r="M460" i="19"/>
  <c r="N460" i="19"/>
  <c r="O460" i="19"/>
  <c r="J461" i="19"/>
  <c r="K461" i="19"/>
  <c r="L461" i="19"/>
  <c r="M461" i="19"/>
  <c r="N461" i="19"/>
  <c r="O461" i="19"/>
  <c r="J462" i="19"/>
  <c r="K462" i="19"/>
  <c r="L462" i="19"/>
  <c r="M462" i="19"/>
  <c r="N462" i="19"/>
  <c r="O462" i="19"/>
  <c r="K455" i="19"/>
  <c r="L455" i="19"/>
  <c r="M455" i="19"/>
  <c r="N455" i="19"/>
  <c r="O455" i="19"/>
  <c r="J455" i="19"/>
  <c r="J424" i="19"/>
  <c r="K424" i="19"/>
  <c r="L424" i="19"/>
  <c r="M424" i="19"/>
  <c r="N424" i="19"/>
  <c r="O424" i="19"/>
  <c r="J425" i="19"/>
  <c r="K425" i="19"/>
  <c r="L425" i="19"/>
  <c r="M425" i="19"/>
  <c r="N425" i="19"/>
  <c r="O425" i="19"/>
  <c r="J426" i="19"/>
  <c r="K426" i="19"/>
  <c r="L426" i="19"/>
  <c r="M426" i="19"/>
  <c r="N426" i="19"/>
  <c r="O426" i="19"/>
  <c r="J427" i="19"/>
  <c r="K427" i="19"/>
  <c r="L427" i="19"/>
  <c r="M427" i="19"/>
  <c r="N427" i="19"/>
  <c r="O427" i="19"/>
  <c r="J428" i="19"/>
  <c r="K428" i="19"/>
  <c r="L428" i="19"/>
  <c r="M428" i="19"/>
  <c r="N428" i="19"/>
  <c r="O428" i="19"/>
  <c r="J429" i="19"/>
  <c r="K429" i="19"/>
  <c r="L429" i="19"/>
  <c r="M429" i="19"/>
  <c r="N429" i="19"/>
  <c r="O429" i="19"/>
  <c r="J430" i="19"/>
  <c r="K430" i="19"/>
  <c r="L430" i="19"/>
  <c r="M430" i="19"/>
  <c r="N430" i="19"/>
  <c r="O430" i="19"/>
  <c r="K423" i="19"/>
  <c r="L423" i="19"/>
  <c r="M423" i="19"/>
  <c r="N423" i="19"/>
  <c r="O423" i="19"/>
  <c r="J423" i="19"/>
  <c r="J408" i="19"/>
  <c r="K408" i="19"/>
  <c r="L408" i="19"/>
  <c r="M408" i="19"/>
  <c r="N408" i="19"/>
  <c r="O408" i="19"/>
  <c r="J409" i="19"/>
  <c r="K409" i="19"/>
  <c r="L409" i="19"/>
  <c r="M409" i="19"/>
  <c r="N409" i="19"/>
  <c r="O409" i="19"/>
  <c r="J410" i="19"/>
  <c r="K410" i="19"/>
  <c r="L410" i="19"/>
  <c r="M410" i="19"/>
  <c r="N410" i="19"/>
  <c r="O410" i="19"/>
  <c r="J411" i="19"/>
  <c r="K411" i="19"/>
  <c r="L411" i="19"/>
  <c r="M411" i="19"/>
  <c r="N411" i="19"/>
  <c r="O411" i="19"/>
  <c r="J412" i="19"/>
  <c r="K412" i="19"/>
  <c r="L412" i="19"/>
  <c r="M412" i="19"/>
  <c r="N412" i="19"/>
  <c r="O412" i="19"/>
  <c r="J413" i="19"/>
  <c r="K413" i="19"/>
  <c r="L413" i="19"/>
  <c r="M413" i="19"/>
  <c r="N413" i="19"/>
  <c r="O413" i="19"/>
  <c r="J414" i="19"/>
  <c r="K414" i="19"/>
  <c r="L414" i="19"/>
  <c r="M414" i="19"/>
  <c r="N414" i="19"/>
  <c r="O414" i="19"/>
  <c r="K407" i="19"/>
  <c r="L407" i="19"/>
  <c r="M407" i="19"/>
  <c r="N407" i="19"/>
  <c r="O407" i="19"/>
  <c r="J407" i="19"/>
  <c r="J392" i="19"/>
  <c r="K392" i="19"/>
  <c r="L392" i="19"/>
  <c r="M392" i="19"/>
  <c r="N392" i="19"/>
  <c r="O392" i="19"/>
  <c r="J393" i="19"/>
  <c r="K393" i="19"/>
  <c r="L393" i="19"/>
  <c r="M393" i="19"/>
  <c r="N393" i="19"/>
  <c r="O393" i="19"/>
  <c r="J394" i="19"/>
  <c r="K394" i="19"/>
  <c r="L394" i="19"/>
  <c r="M394" i="19"/>
  <c r="N394" i="19"/>
  <c r="O394" i="19"/>
  <c r="J395" i="19"/>
  <c r="K395" i="19"/>
  <c r="L395" i="19"/>
  <c r="M395" i="19"/>
  <c r="N395" i="19"/>
  <c r="O395" i="19"/>
  <c r="J396" i="19"/>
  <c r="K396" i="19"/>
  <c r="L396" i="19"/>
  <c r="M396" i="19"/>
  <c r="N396" i="19"/>
  <c r="O396" i="19"/>
  <c r="J397" i="19"/>
  <c r="K397" i="19"/>
  <c r="L397" i="19"/>
  <c r="M397" i="19"/>
  <c r="N397" i="19"/>
  <c r="O397" i="19"/>
  <c r="J398" i="19"/>
  <c r="K398" i="19"/>
  <c r="L398" i="19"/>
  <c r="M398" i="19"/>
  <c r="N398" i="19"/>
  <c r="O398" i="19"/>
  <c r="K391" i="19"/>
  <c r="L391" i="19"/>
  <c r="M391" i="19"/>
  <c r="N391" i="19"/>
  <c r="O391" i="19"/>
  <c r="J391" i="19"/>
  <c r="J376" i="19"/>
  <c r="K376" i="19"/>
  <c r="L376" i="19"/>
  <c r="M376" i="19"/>
  <c r="N376" i="19"/>
  <c r="O376" i="19"/>
  <c r="J377" i="19"/>
  <c r="K377" i="19"/>
  <c r="L377" i="19"/>
  <c r="M377" i="19"/>
  <c r="N377" i="19"/>
  <c r="O377" i="19"/>
  <c r="J378" i="19"/>
  <c r="K378" i="19"/>
  <c r="L378" i="19"/>
  <c r="M378" i="19"/>
  <c r="N378" i="19"/>
  <c r="O378" i="19"/>
  <c r="J379" i="19"/>
  <c r="K379" i="19"/>
  <c r="L379" i="19"/>
  <c r="M379" i="19"/>
  <c r="N379" i="19"/>
  <c r="O379" i="19"/>
  <c r="J380" i="19"/>
  <c r="K380" i="19"/>
  <c r="L380" i="19"/>
  <c r="M380" i="19"/>
  <c r="N380" i="19"/>
  <c r="O380" i="19"/>
  <c r="J381" i="19"/>
  <c r="K381" i="19"/>
  <c r="L381" i="19"/>
  <c r="M381" i="19"/>
  <c r="N381" i="19"/>
  <c r="O381" i="19"/>
  <c r="J382" i="19"/>
  <c r="K382" i="19"/>
  <c r="L382" i="19"/>
  <c r="M382" i="19"/>
  <c r="N382" i="19"/>
  <c r="O382" i="19"/>
  <c r="K375" i="19"/>
  <c r="L375" i="19"/>
  <c r="M375" i="19"/>
  <c r="N375" i="19"/>
  <c r="O375" i="19"/>
  <c r="J375" i="19"/>
  <c r="O366" i="19"/>
  <c r="N366" i="19"/>
  <c r="M366" i="19"/>
  <c r="O365" i="19"/>
  <c r="N365" i="19"/>
  <c r="M365" i="19"/>
  <c r="O364" i="19"/>
  <c r="N364" i="19"/>
  <c r="M364" i="19"/>
  <c r="O363" i="19"/>
  <c r="N363" i="19"/>
  <c r="M363" i="19"/>
  <c r="O362" i="19"/>
  <c r="N362" i="19"/>
  <c r="M362" i="19"/>
  <c r="O361" i="19"/>
  <c r="N361" i="19"/>
  <c r="M361" i="19"/>
  <c r="O360" i="19"/>
  <c r="N360" i="19"/>
  <c r="M360" i="19"/>
  <c r="O359" i="19"/>
  <c r="N359" i="19"/>
  <c r="M359" i="19"/>
  <c r="J344" i="19"/>
  <c r="K344" i="19"/>
  <c r="L344" i="19"/>
  <c r="M344" i="19"/>
  <c r="N344" i="19"/>
  <c r="O344" i="19"/>
  <c r="J345" i="19"/>
  <c r="K345" i="19"/>
  <c r="L345" i="19"/>
  <c r="M345" i="19"/>
  <c r="N345" i="19"/>
  <c r="O345" i="19"/>
  <c r="J346" i="19"/>
  <c r="K346" i="19"/>
  <c r="L346" i="19"/>
  <c r="M346" i="19"/>
  <c r="N346" i="19"/>
  <c r="O346" i="19"/>
  <c r="J347" i="19"/>
  <c r="K347" i="19"/>
  <c r="L347" i="19"/>
  <c r="M347" i="19"/>
  <c r="N347" i="19"/>
  <c r="O347" i="19"/>
  <c r="J348" i="19"/>
  <c r="K348" i="19"/>
  <c r="L348" i="19"/>
  <c r="M348" i="19"/>
  <c r="N348" i="19"/>
  <c r="O348" i="19"/>
  <c r="J349" i="19"/>
  <c r="K349" i="19"/>
  <c r="L349" i="19"/>
  <c r="M349" i="19"/>
  <c r="N349" i="19"/>
  <c r="O349" i="19"/>
  <c r="J350" i="19"/>
  <c r="K350" i="19"/>
  <c r="L350" i="19"/>
  <c r="M350" i="19"/>
  <c r="N350" i="19"/>
  <c r="O350" i="19"/>
  <c r="K343" i="19"/>
  <c r="L343" i="19"/>
  <c r="M343" i="19"/>
  <c r="N343" i="19"/>
  <c r="O343" i="19"/>
  <c r="J343" i="19"/>
  <c r="J328" i="19"/>
  <c r="K328" i="19"/>
  <c r="L328" i="19"/>
  <c r="M328" i="19"/>
  <c r="N328" i="19"/>
  <c r="O328" i="19"/>
  <c r="J329" i="19"/>
  <c r="K329" i="19"/>
  <c r="L329" i="19"/>
  <c r="M329" i="19"/>
  <c r="N329" i="19"/>
  <c r="O329" i="19"/>
  <c r="J330" i="19"/>
  <c r="K330" i="19"/>
  <c r="L330" i="19"/>
  <c r="M330" i="19"/>
  <c r="N330" i="19"/>
  <c r="O330" i="19"/>
  <c r="J331" i="19"/>
  <c r="K331" i="19"/>
  <c r="L331" i="19"/>
  <c r="M331" i="19"/>
  <c r="N331" i="19"/>
  <c r="O331" i="19"/>
  <c r="J332" i="19"/>
  <c r="K332" i="19"/>
  <c r="L332" i="19"/>
  <c r="M332" i="19"/>
  <c r="N332" i="19"/>
  <c r="O332" i="19"/>
  <c r="J333" i="19"/>
  <c r="K333" i="19"/>
  <c r="L333" i="19"/>
  <c r="M333" i="19"/>
  <c r="N333" i="19"/>
  <c r="O333" i="19"/>
  <c r="J334" i="19"/>
  <c r="K334" i="19"/>
  <c r="L334" i="19"/>
  <c r="M334" i="19"/>
  <c r="N334" i="19"/>
  <c r="O334" i="19"/>
  <c r="K327" i="19"/>
  <c r="L327" i="19"/>
  <c r="M327" i="19"/>
  <c r="N327" i="19"/>
  <c r="O327" i="19"/>
  <c r="J327" i="19"/>
  <c r="J312" i="19"/>
  <c r="K312" i="19"/>
  <c r="L312" i="19"/>
  <c r="M312" i="19"/>
  <c r="N312" i="19"/>
  <c r="O312" i="19"/>
  <c r="J313" i="19"/>
  <c r="K313" i="19"/>
  <c r="L313" i="19"/>
  <c r="M313" i="19"/>
  <c r="N313" i="19"/>
  <c r="O313" i="19"/>
  <c r="J314" i="19"/>
  <c r="K314" i="19"/>
  <c r="L314" i="19"/>
  <c r="M314" i="19"/>
  <c r="N314" i="19"/>
  <c r="O314" i="19"/>
  <c r="J315" i="19"/>
  <c r="K315" i="19"/>
  <c r="L315" i="19"/>
  <c r="M315" i="19"/>
  <c r="N315" i="19"/>
  <c r="O315" i="19"/>
  <c r="J316" i="19"/>
  <c r="K316" i="19"/>
  <c r="L316" i="19"/>
  <c r="M316" i="19"/>
  <c r="N316" i="19"/>
  <c r="O316" i="19"/>
  <c r="O300" i="19" s="1"/>
  <c r="J317" i="19"/>
  <c r="K317" i="19"/>
  <c r="K301" i="19" s="1"/>
  <c r="L317" i="19"/>
  <c r="M317" i="19"/>
  <c r="N317" i="19"/>
  <c r="O317" i="19"/>
  <c r="O301" i="19" s="1"/>
  <c r="J318" i="19"/>
  <c r="K318" i="19"/>
  <c r="L318" i="19"/>
  <c r="M318" i="19"/>
  <c r="M302" i="19" s="1"/>
  <c r="N318" i="19"/>
  <c r="O318" i="19"/>
  <c r="K311" i="19"/>
  <c r="L311" i="19"/>
  <c r="M311" i="19"/>
  <c r="N311" i="19"/>
  <c r="O311" i="19"/>
  <c r="J311" i="19"/>
  <c r="J295" i="19" s="1"/>
  <c r="J296" i="19"/>
  <c r="K296" i="19"/>
  <c r="L296" i="19"/>
  <c r="M296" i="19"/>
  <c r="N296" i="19"/>
  <c r="O296" i="19"/>
  <c r="J297" i="19"/>
  <c r="K297" i="19"/>
  <c r="L297" i="19"/>
  <c r="M297" i="19"/>
  <c r="N297" i="19"/>
  <c r="O297" i="19"/>
  <c r="J298" i="19"/>
  <c r="K298" i="19"/>
  <c r="L298" i="19"/>
  <c r="M298" i="19"/>
  <c r="N298" i="19"/>
  <c r="O298" i="19"/>
  <c r="J299" i="19"/>
  <c r="K299" i="19"/>
  <c r="L299" i="19"/>
  <c r="M299" i="19"/>
  <c r="N299" i="19"/>
  <c r="O299" i="19"/>
  <c r="J300" i="19"/>
  <c r="K300" i="19"/>
  <c r="L300" i="19"/>
  <c r="M300" i="19"/>
  <c r="N300" i="19"/>
  <c r="J301" i="19"/>
  <c r="L301" i="19"/>
  <c r="M301" i="19"/>
  <c r="N301" i="19"/>
  <c r="J302" i="19"/>
  <c r="K302" i="19"/>
  <c r="L302" i="19"/>
  <c r="N302" i="19"/>
  <c r="O302" i="19"/>
  <c r="K295" i="19"/>
  <c r="L295" i="19"/>
  <c r="M295" i="19"/>
  <c r="N295" i="19"/>
  <c r="O295" i="19"/>
  <c r="E303" i="19"/>
  <c r="E447" i="19" s="1"/>
  <c r="D303" i="19"/>
  <c r="D447" i="19" s="1"/>
  <c r="C303" i="19"/>
  <c r="C447" i="19" s="1"/>
  <c r="J280" i="19"/>
  <c r="K280" i="19"/>
  <c r="L280" i="19"/>
  <c r="M280" i="19"/>
  <c r="N280" i="19"/>
  <c r="O280" i="19"/>
  <c r="J281" i="19"/>
  <c r="K281" i="19"/>
  <c r="L281" i="19"/>
  <c r="M281" i="19"/>
  <c r="N281" i="19"/>
  <c r="O281" i="19"/>
  <c r="J282" i="19"/>
  <c r="K282" i="19"/>
  <c r="L282" i="19"/>
  <c r="M282" i="19"/>
  <c r="N282" i="19"/>
  <c r="O282" i="19"/>
  <c r="J283" i="19"/>
  <c r="K283" i="19"/>
  <c r="L283" i="19"/>
  <c r="M283" i="19"/>
  <c r="N283" i="19"/>
  <c r="O283" i="19"/>
  <c r="J284" i="19"/>
  <c r="K284" i="19"/>
  <c r="L284" i="19"/>
  <c r="M284" i="19"/>
  <c r="N284" i="19"/>
  <c r="O284" i="19"/>
  <c r="J285" i="19"/>
  <c r="K285" i="19"/>
  <c r="L285" i="19"/>
  <c r="M285" i="19"/>
  <c r="N285" i="19"/>
  <c r="O285" i="19"/>
  <c r="J286" i="19"/>
  <c r="K286" i="19"/>
  <c r="L286" i="19"/>
  <c r="M286" i="19"/>
  <c r="N286" i="19"/>
  <c r="O286" i="19"/>
  <c r="K279" i="19"/>
  <c r="L279" i="19"/>
  <c r="M279" i="19"/>
  <c r="N279" i="19"/>
  <c r="O279" i="19"/>
  <c r="J279" i="19"/>
  <c r="J264" i="19"/>
  <c r="K264" i="19"/>
  <c r="L264" i="19"/>
  <c r="M264" i="19"/>
  <c r="N264" i="19"/>
  <c r="O264" i="19"/>
  <c r="J265" i="19"/>
  <c r="K265" i="19"/>
  <c r="L265" i="19"/>
  <c r="M265" i="19"/>
  <c r="N265" i="19"/>
  <c r="O265" i="19"/>
  <c r="J266" i="19"/>
  <c r="K266" i="19"/>
  <c r="L266" i="19"/>
  <c r="M266" i="19"/>
  <c r="N266" i="19"/>
  <c r="O266" i="19"/>
  <c r="J267" i="19"/>
  <c r="K267" i="19"/>
  <c r="L267" i="19"/>
  <c r="M267" i="19"/>
  <c r="N267" i="19"/>
  <c r="O267" i="19"/>
  <c r="J268" i="19"/>
  <c r="K268" i="19"/>
  <c r="L268" i="19"/>
  <c r="M268" i="19"/>
  <c r="N268" i="19"/>
  <c r="O268" i="19"/>
  <c r="J269" i="19"/>
  <c r="K269" i="19"/>
  <c r="L269" i="19"/>
  <c r="M269" i="19"/>
  <c r="N269" i="19"/>
  <c r="O269" i="19"/>
  <c r="J270" i="19"/>
  <c r="K270" i="19"/>
  <c r="L270" i="19"/>
  <c r="M270" i="19"/>
  <c r="N270" i="19"/>
  <c r="O270" i="19"/>
  <c r="K263" i="19"/>
  <c r="L263" i="19"/>
  <c r="M263" i="19"/>
  <c r="N263" i="19"/>
  <c r="O263" i="19"/>
  <c r="J263" i="19"/>
  <c r="J248" i="19"/>
  <c r="K248" i="19"/>
  <c r="L248" i="19"/>
  <c r="M248" i="19"/>
  <c r="N248" i="19"/>
  <c r="O248" i="19"/>
  <c r="J249" i="19"/>
  <c r="K249" i="19"/>
  <c r="L249" i="19"/>
  <c r="M249" i="19"/>
  <c r="N249" i="19"/>
  <c r="O249" i="19"/>
  <c r="J250" i="19"/>
  <c r="K250" i="19"/>
  <c r="L250" i="19"/>
  <c r="M250" i="19"/>
  <c r="N250" i="19"/>
  <c r="O250" i="19"/>
  <c r="J251" i="19"/>
  <c r="K251" i="19"/>
  <c r="L251" i="19"/>
  <c r="M251" i="19"/>
  <c r="N251" i="19"/>
  <c r="O251" i="19"/>
  <c r="J252" i="19"/>
  <c r="K252" i="19"/>
  <c r="L252" i="19"/>
  <c r="M252" i="19"/>
  <c r="N252" i="19"/>
  <c r="O252" i="19"/>
  <c r="J253" i="19"/>
  <c r="K253" i="19"/>
  <c r="L253" i="19"/>
  <c r="M253" i="19"/>
  <c r="N253" i="19"/>
  <c r="O253" i="19"/>
  <c r="J254" i="19"/>
  <c r="K254" i="19"/>
  <c r="L254" i="19"/>
  <c r="M254" i="19"/>
  <c r="N254" i="19"/>
  <c r="O254" i="19"/>
  <c r="K247" i="19"/>
  <c r="L247" i="19"/>
  <c r="M247" i="19"/>
  <c r="N247" i="19"/>
  <c r="O247" i="19"/>
  <c r="J247" i="19"/>
  <c r="J232" i="19"/>
  <c r="K232" i="19"/>
  <c r="L232" i="19"/>
  <c r="M232" i="19"/>
  <c r="N232" i="19"/>
  <c r="O232" i="19"/>
  <c r="J233" i="19"/>
  <c r="K233" i="19"/>
  <c r="L233" i="19"/>
  <c r="M233" i="19"/>
  <c r="N233" i="19"/>
  <c r="O233" i="19"/>
  <c r="J234" i="19"/>
  <c r="K234" i="19"/>
  <c r="L234" i="19"/>
  <c r="M234" i="19"/>
  <c r="N234" i="19"/>
  <c r="O234" i="19"/>
  <c r="J235" i="19"/>
  <c r="K235" i="19"/>
  <c r="L235" i="19"/>
  <c r="M235" i="19"/>
  <c r="N235" i="19"/>
  <c r="O235" i="19"/>
  <c r="J236" i="19"/>
  <c r="K236" i="19"/>
  <c r="L236" i="19"/>
  <c r="M236" i="19"/>
  <c r="N236" i="19"/>
  <c r="O236" i="19"/>
  <c r="J237" i="19"/>
  <c r="K237" i="19"/>
  <c r="L237" i="19"/>
  <c r="M237" i="19"/>
  <c r="N237" i="19"/>
  <c r="O237" i="19"/>
  <c r="J238" i="19"/>
  <c r="K238" i="19"/>
  <c r="L238" i="19"/>
  <c r="M238" i="19"/>
  <c r="N238" i="19"/>
  <c r="O238" i="19"/>
  <c r="K231" i="19"/>
  <c r="L231" i="19"/>
  <c r="M231" i="19"/>
  <c r="N231" i="19"/>
  <c r="O231" i="19"/>
  <c r="J231" i="19"/>
  <c r="O222" i="19"/>
  <c r="N222" i="19"/>
  <c r="M222" i="19"/>
  <c r="O221" i="19"/>
  <c r="N221" i="19"/>
  <c r="M221" i="19"/>
  <c r="O220" i="19"/>
  <c r="N220" i="19"/>
  <c r="M220" i="19"/>
  <c r="O219" i="19"/>
  <c r="N219" i="19"/>
  <c r="M219" i="19"/>
  <c r="O218" i="19"/>
  <c r="N218" i="19"/>
  <c r="M218" i="19"/>
  <c r="O217" i="19"/>
  <c r="N217" i="19"/>
  <c r="M217" i="19"/>
  <c r="O216" i="19"/>
  <c r="N216" i="19"/>
  <c r="M216" i="19"/>
  <c r="O215" i="19"/>
  <c r="N215" i="19"/>
  <c r="M215" i="19"/>
  <c r="J200" i="19"/>
  <c r="K200" i="19"/>
  <c r="L200" i="19"/>
  <c r="M200" i="19"/>
  <c r="N200" i="19"/>
  <c r="O200" i="19"/>
  <c r="J201" i="19"/>
  <c r="K201" i="19"/>
  <c r="L201" i="19"/>
  <c r="M201" i="19"/>
  <c r="N201" i="19"/>
  <c r="O201" i="19"/>
  <c r="J202" i="19"/>
  <c r="K202" i="19"/>
  <c r="L202" i="19"/>
  <c r="M202" i="19"/>
  <c r="N202" i="19"/>
  <c r="O202" i="19"/>
  <c r="J203" i="19"/>
  <c r="K203" i="19"/>
  <c r="L203" i="19"/>
  <c r="M203" i="19"/>
  <c r="N203" i="19"/>
  <c r="O203" i="19"/>
  <c r="J204" i="19"/>
  <c r="K204" i="19"/>
  <c r="L204" i="19"/>
  <c r="M204" i="19"/>
  <c r="N204" i="19"/>
  <c r="O204" i="19"/>
  <c r="J205" i="19"/>
  <c r="K205" i="19"/>
  <c r="L205" i="19"/>
  <c r="M205" i="19"/>
  <c r="N205" i="19"/>
  <c r="O205" i="19"/>
  <c r="J206" i="19"/>
  <c r="K206" i="19"/>
  <c r="L206" i="19"/>
  <c r="M206" i="19"/>
  <c r="N206" i="19"/>
  <c r="O206" i="19"/>
  <c r="K199" i="19"/>
  <c r="L199" i="19"/>
  <c r="M199" i="19"/>
  <c r="N199" i="19"/>
  <c r="O199" i="19"/>
  <c r="J199" i="19"/>
  <c r="J184" i="19"/>
  <c r="K184" i="19"/>
  <c r="L184" i="19"/>
  <c r="M184" i="19"/>
  <c r="N184" i="19"/>
  <c r="O184" i="19"/>
  <c r="J185" i="19"/>
  <c r="K185" i="19"/>
  <c r="L185" i="19"/>
  <c r="M185" i="19"/>
  <c r="N185" i="19"/>
  <c r="O185" i="19"/>
  <c r="J186" i="19"/>
  <c r="K186" i="19"/>
  <c r="L186" i="19"/>
  <c r="M186" i="19"/>
  <c r="N186" i="19"/>
  <c r="O186" i="19"/>
  <c r="J187" i="19"/>
  <c r="K187" i="19"/>
  <c r="L187" i="19"/>
  <c r="M187" i="19"/>
  <c r="N187" i="19"/>
  <c r="O187" i="19"/>
  <c r="J188" i="19"/>
  <c r="K188" i="19"/>
  <c r="L188" i="19"/>
  <c r="M188" i="19"/>
  <c r="N188" i="19"/>
  <c r="O188" i="19"/>
  <c r="J189" i="19"/>
  <c r="K189" i="19"/>
  <c r="L189" i="19"/>
  <c r="M189" i="19"/>
  <c r="N189" i="19"/>
  <c r="O189" i="19"/>
  <c r="J190" i="19"/>
  <c r="K190" i="19"/>
  <c r="L190" i="19"/>
  <c r="M190" i="19"/>
  <c r="N190" i="19"/>
  <c r="O190" i="19"/>
  <c r="K183" i="19"/>
  <c r="L183" i="19"/>
  <c r="M183" i="19"/>
  <c r="N183" i="19"/>
  <c r="O183" i="19"/>
  <c r="J183" i="19"/>
  <c r="J152" i="19"/>
  <c r="K152" i="19"/>
  <c r="L152" i="19"/>
  <c r="M152" i="19"/>
  <c r="N152" i="19"/>
  <c r="O152" i="19"/>
  <c r="J153" i="19"/>
  <c r="K153" i="19"/>
  <c r="L153" i="19"/>
  <c r="M153" i="19"/>
  <c r="N153" i="19"/>
  <c r="O153" i="19"/>
  <c r="J154" i="19"/>
  <c r="K154" i="19"/>
  <c r="L154" i="19"/>
  <c r="M154" i="19"/>
  <c r="N154" i="19"/>
  <c r="O154" i="19"/>
  <c r="J155" i="19"/>
  <c r="K155" i="19"/>
  <c r="L155" i="19"/>
  <c r="M155" i="19"/>
  <c r="N155" i="19"/>
  <c r="O155" i="19"/>
  <c r="J156" i="19"/>
  <c r="K156" i="19"/>
  <c r="L156" i="19"/>
  <c r="M156" i="19"/>
  <c r="N156" i="19"/>
  <c r="O156" i="19"/>
  <c r="J157" i="19"/>
  <c r="K157" i="19"/>
  <c r="L157" i="19"/>
  <c r="M157" i="19"/>
  <c r="N157" i="19"/>
  <c r="O157" i="19"/>
  <c r="J158" i="19"/>
  <c r="K158" i="19"/>
  <c r="L158" i="19"/>
  <c r="M158" i="19"/>
  <c r="N158" i="19"/>
  <c r="O158" i="19"/>
  <c r="K151" i="19"/>
  <c r="L151" i="19"/>
  <c r="M151" i="19"/>
  <c r="N151" i="19"/>
  <c r="O151" i="19"/>
  <c r="J151" i="19"/>
  <c r="J136" i="19"/>
  <c r="K136" i="19"/>
  <c r="L136" i="19"/>
  <c r="M136" i="19"/>
  <c r="N136" i="19"/>
  <c r="O136" i="19"/>
  <c r="J137" i="19"/>
  <c r="K137" i="19"/>
  <c r="L137" i="19"/>
  <c r="M137" i="19"/>
  <c r="N137" i="19"/>
  <c r="O137" i="19"/>
  <c r="J138" i="19"/>
  <c r="K138" i="19"/>
  <c r="L138" i="19"/>
  <c r="M138" i="19"/>
  <c r="N138" i="19"/>
  <c r="O138" i="19"/>
  <c r="J139" i="19"/>
  <c r="K139" i="19"/>
  <c r="L139" i="19"/>
  <c r="M139" i="19"/>
  <c r="N139" i="19"/>
  <c r="O139" i="19"/>
  <c r="J140" i="19"/>
  <c r="K140" i="19"/>
  <c r="L140" i="19"/>
  <c r="M140" i="19"/>
  <c r="N140" i="19"/>
  <c r="O140" i="19"/>
  <c r="J141" i="19"/>
  <c r="K141" i="19"/>
  <c r="L141" i="19"/>
  <c r="M141" i="19"/>
  <c r="N141" i="19"/>
  <c r="O141" i="19"/>
  <c r="J142" i="19"/>
  <c r="K142" i="19"/>
  <c r="L142" i="19"/>
  <c r="M142" i="19"/>
  <c r="N142" i="19"/>
  <c r="O142" i="19"/>
  <c r="K135" i="19"/>
  <c r="L135" i="19"/>
  <c r="M135" i="19"/>
  <c r="N135" i="19"/>
  <c r="O135" i="19"/>
  <c r="J135" i="19"/>
  <c r="J120" i="19"/>
  <c r="K120" i="19"/>
  <c r="L120" i="19"/>
  <c r="M120" i="19"/>
  <c r="N120" i="19"/>
  <c r="O120" i="19"/>
  <c r="J121" i="19"/>
  <c r="K121" i="19"/>
  <c r="L121" i="19"/>
  <c r="M121" i="19"/>
  <c r="N121" i="19"/>
  <c r="O121" i="19"/>
  <c r="J122" i="19"/>
  <c r="K122" i="19"/>
  <c r="L122" i="19"/>
  <c r="M122" i="19"/>
  <c r="N122" i="19"/>
  <c r="O122" i="19"/>
  <c r="J123" i="19"/>
  <c r="K123" i="19"/>
  <c r="L123" i="19"/>
  <c r="M123" i="19"/>
  <c r="N123" i="19"/>
  <c r="O123" i="19"/>
  <c r="J124" i="19"/>
  <c r="K124" i="19"/>
  <c r="L124" i="19"/>
  <c r="M124" i="19"/>
  <c r="N124" i="19"/>
  <c r="O124" i="19"/>
  <c r="J125" i="19"/>
  <c r="K125" i="19"/>
  <c r="L125" i="19"/>
  <c r="M125" i="19"/>
  <c r="N125" i="19"/>
  <c r="O125" i="19"/>
  <c r="J126" i="19"/>
  <c r="K126" i="19"/>
  <c r="L126" i="19"/>
  <c r="M126" i="19"/>
  <c r="N126" i="19"/>
  <c r="O126" i="19"/>
  <c r="K119" i="19"/>
  <c r="L119" i="19"/>
  <c r="M119" i="19"/>
  <c r="N119" i="19"/>
  <c r="O119" i="19"/>
  <c r="J119" i="19"/>
  <c r="J104" i="19"/>
  <c r="K104" i="19"/>
  <c r="L104" i="19"/>
  <c r="M104" i="19"/>
  <c r="N104" i="19"/>
  <c r="O104" i="19"/>
  <c r="J105" i="19"/>
  <c r="K105" i="19"/>
  <c r="L105" i="19"/>
  <c r="M105" i="19"/>
  <c r="N105" i="19"/>
  <c r="O105" i="19"/>
  <c r="J106" i="19"/>
  <c r="K106" i="19"/>
  <c r="L106" i="19"/>
  <c r="M106" i="19"/>
  <c r="N106" i="19"/>
  <c r="O106" i="19"/>
  <c r="J107" i="19"/>
  <c r="K107" i="19"/>
  <c r="L107" i="19"/>
  <c r="M107" i="19"/>
  <c r="N107" i="19"/>
  <c r="O107" i="19"/>
  <c r="J108" i="19"/>
  <c r="K108" i="19"/>
  <c r="L108" i="19"/>
  <c r="M108" i="19"/>
  <c r="N108" i="19"/>
  <c r="O108" i="19"/>
  <c r="J109" i="19"/>
  <c r="K109" i="19"/>
  <c r="L109" i="19"/>
  <c r="M109" i="19"/>
  <c r="N109" i="19"/>
  <c r="O109" i="19"/>
  <c r="J110" i="19"/>
  <c r="K110" i="19"/>
  <c r="L110" i="19"/>
  <c r="M110" i="19"/>
  <c r="N110" i="19"/>
  <c r="O110" i="19"/>
  <c r="K103" i="19"/>
  <c r="L103" i="19"/>
  <c r="M103" i="19"/>
  <c r="N103" i="19"/>
  <c r="O103" i="19"/>
  <c r="J103" i="19"/>
  <c r="J88" i="19"/>
  <c r="K88" i="19"/>
  <c r="L88" i="19"/>
  <c r="M88" i="19"/>
  <c r="N88" i="19"/>
  <c r="O88" i="19"/>
  <c r="J89" i="19"/>
  <c r="K89" i="19"/>
  <c r="L89" i="19"/>
  <c r="M89" i="19"/>
  <c r="N89" i="19"/>
  <c r="O89" i="19"/>
  <c r="J90" i="19"/>
  <c r="K90" i="19"/>
  <c r="L90" i="19"/>
  <c r="M90" i="19"/>
  <c r="N90" i="19"/>
  <c r="O90" i="19"/>
  <c r="J91" i="19"/>
  <c r="K91" i="19"/>
  <c r="L91" i="19"/>
  <c r="M91" i="19"/>
  <c r="N91" i="19"/>
  <c r="O91" i="19"/>
  <c r="J92" i="19"/>
  <c r="K92" i="19"/>
  <c r="L92" i="19"/>
  <c r="M92" i="19"/>
  <c r="N92" i="19"/>
  <c r="O92" i="19"/>
  <c r="J93" i="19"/>
  <c r="K93" i="19"/>
  <c r="L93" i="19"/>
  <c r="M93" i="19"/>
  <c r="N93" i="19"/>
  <c r="O93" i="19"/>
  <c r="J94" i="19"/>
  <c r="K94" i="19"/>
  <c r="L94" i="19"/>
  <c r="M94" i="19"/>
  <c r="N94" i="19"/>
  <c r="O94" i="19"/>
  <c r="K87" i="19"/>
  <c r="L87" i="19"/>
  <c r="M87" i="19"/>
  <c r="N87" i="19"/>
  <c r="O87" i="19"/>
  <c r="J87" i="19"/>
  <c r="O78" i="19"/>
  <c r="N78" i="19"/>
  <c r="M78" i="19"/>
  <c r="O77" i="19"/>
  <c r="N77" i="19"/>
  <c r="M77" i="19"/>
  <c r="O76" i="19"/>
  <c r="N76" i="19"/>
  <c r="M76" i="19"/>
  <c r="O75" i="19"/>
  <c r="N75" i="19"/>
  <c r="M75" i="19"/>
  <c r="O74" i="19"/>
  <c r="N74" i="19"/>
  <c r="M74" i="19"/>
  <c r="O73" i="19"/>
  <c r="N73" i="19"/>
  <c r="M73" i="19"/>
  <c r="O72" i="19"/>
  <c r="N72" i="19"/>
  <c r="M72" i="19"/>
  <c r="O71" i="19"/>
  <c r="N71" i="19"/>
  <c r="M71" i="19"/>
  <c r="J40" i="19"/>
  <c r="K40" i="19"/>
  <c r="L40" i="19"/>
  <c r="M40" i="19"/>
  <c r="N40" i="19"/>
  <c r="O40" i="19"/>
  <c r="J41" i="19"/>
  <c r="K41" i="19"/>
  <c r="L41" i="19"/>
  <c r="L9" i="19" s="1"/>
  <c r="M41" i="19"/>
  <c r="M9" i="19" s="1"/>
  <c r="N41" i="19"/>
  <c r="N9" i="19" s="1"/>
  <c r="O41" i="19"/>
  <c r="O9" i="19" s="1"/>
  <c r="J42" i="19"/>
  <c r="J10" i="19" s="1"/>
  <c r="K42" i="19"/>
  <c r="L42" i="19"/>
  <c r="L10" i="19" s="1"/>
  <c r="M42" i="19"/>
  <c r="N42" i="19"/>
  <c r="O42" i="19"/>
  <c r="O10" i="19" s="1"/>
  <c r="J43" i="19"/>
  <c r="J11" i="19" s="1"/>
  <c r="K43" i="19"/>
  <c r="K11" i="19" s="1"/>
  <c r="L43" i="19"/>
  <c r="L11" i="19" s="1"/>
  <c r="M43" i="19"/>
  <c r="N43" i="19"/>
  <c r="N11" i="19" s="1"/>
  <c r="O43" i="19"/>
  <c r="J44" i="19"/>
  <c r="J12" i="19" s="1"/>
  <c r="K44" i="19"/>
  <c r="K12" i="19" s="1"/>
  <c r="L44" i="19"/>
  <c r="L12" i="19" s="1"/>
  <c r="M44" i="19"/>
  <c r="N44" i="19"/>
  <c r="N12" i="19" s="1"/>
  <c r="O44" i="19"/>
  <c r="J45" i="19"/>
  <c r="J13" i="19" s="1"/>
  <c r="K45" i="19"/>
  <c r="K13" i="19" s="1"/>
  <c r="L45" i="19"/>
  <c r="L13" i="19" s="1"/>
  <c r="M45" i="19"/>
  <c r="M13" i="19" s="1"/>
  <c r="N45" i="19"/>
  <c r="N13" i="19" s="1"/>
  <c r="O45" i="19"/>
  <c r="O13" i="19" s="1"/>
  <c r="J46" i="19"/>
  <c r="J14" i="19" s="1"/>
  <c r="K46" i="19"/>
  <c r="K14" i="19" s="1"/>
  <c r="L46" i="19"/>
  <c r="L14" i="19" s="1"/>
  <c r="M46" i="19"/>
  <c r="N46" i="19"/>
  <c r="N14" i="19" s="1"/>
  <c r="O46" i="19"/>
  <c r="O14" i="19" s="1"/>
  <c r="K39" i="19"/>
  <c r="K7" i="19" s="1"/>
  <c r="L39" i="19"/>
  <c r="M39" i="19"/>
  <c r="M7" i="19" s="1"/>
  <c r="N39" i="19"/>
  <c r="O39" i="19"/>
  <c r="O7" i="19" s="1"/>
  <c r="J39" i="19"/>
  <c r="J8" i="19"/>
  <c r="K8" i="19"/>
  <c r="L8" i="19"/>
  <c r="M8" i="19"/>
  <c r="N8" i="19"/>
  <c r="O8" i="19"/>
  <c r="J9" i="19"/>
  <c r="K9" i="19"/>
  <c r="K10" i="19"/>
  <c r="M10" i="19"/>
  <c r="N10" i="19"/>
  <c r="M11" i="19"/>
  <c r="O11" i="19"/>
  <c r="M12" i="19"/>
  <c r="O12" i="19"/>
  <c r="M14" i="19"/>
  <c r="N7" i="19"/>
  <c r="I473" i="19" l="1"/>
  <c r="I474" i="19"/>
  <c r="S14" i="19"/>
  <c r="S13" i="19"/>
  <c r="S12" i="19"/>
  <c r="S11" i="19"/>
  <c r="S10" i="19"/>
  <c r="S9" i="19"/>
  <c r="S8" i="19"/>
  <c r="K303" i="19"/>
  <c r="P301" i="19"/>
  <c r="P296" i="19"/>
  <c r="L7" i="19"/>
  <c r="S7" i="19" s="1"/>
  <c r="P297" i="19"/>
  <c r="P170" i="19"/>
  <c r="Q170" i="19" s="1"/>
  <c r="P173" i="19"/>
  <c r="Q173" i="19" s="1"/>
  <c r="P172" i="19"/>
  <c r="Q172" i="19" s="1"/>
  <c r="P171" i="19"/>
  <c r="Q171" i="19" s="1"/>
  <c r="P169" i="19"/>
  <c r="Q169" i="19" s="1"/>
  <c r="P168" i="19"/>
  <c r="Q168" i="19" s="1"/>
  <c r="P167" i="19"/>
  <c r="O303" i="19"/>
  <c r="M303" i="19"/>
  <c r="J439" i="19"/>
  <c r="N439" i="19"/>
  <c r="L439" i="19"/>
  <c r="O446" i="19"/>
  <c r="M446" i="19"/>
  <c r="O445" i="19"/>
  <c r="M445" i="19"/>
  <c r="O444" i="19"/>
  <c r="M444" i="19"/>
  <c r="O443" i="19"/>
  <c r="M443" i="19"/>
  <c r="O442" i="19"/>
  <c r="M442" i="19"/>
  <c r="O441" i="19"/>
  <c r="M441" i="19"/>
  <c r="O440" i="19"/>
  <c r="M440" i="19"/>
  <c r="O439" i="19"/>
  <c r="N446" i="19"/>
  <c r="L446" i="19"/>
  <c r="N445" i="19"/>
  <c r="L445" i="19"/>
  <c r="J445" i="19"/>
  <c r="N444" i="19"/>
  <c r="L444" i="19"/>
  <c r="N443" i="19"/>
  <c r="L443" i="19"/>
  <c r="J443" i="19"/>
  <c r="N442" i="19"/>
  <c r="L442" i="19"/>
  <c r="J442" i="19"/>
  <c r="N441" i="19"/>
  <c r="L441" i="19"/>
  <c r="J441" i="19"/>
  <c r="N440" i="19"/>
  <c r="L440" i="19"/>
  <c r="J440" i="19"/>
  <c r="P299" i="19"/>
  <c r="K440" i="19"/>
  <c r="M439" i="19"/>
  <c r="K446" i="19"/>
  <c r="K445" i="19"/>
  <c r="K444" i="19"/>
  <c r="K442" i="19"/>
  <c r="K439" i="19"/>
  <c r="P298" i="19"/>
  <c r="P300" i="19"/>
  <c r="P302" i="19"/>
  <c r="J303" i="19"/>
  <c r="N303" i="19"/>
  <c r="L303" i="19"/>
  <c r="P295" i="19"/>
  <c r="S15" i="19" l="1"/>
  <c r="Q167" i="19"/>
  <c r="P303" i="19"/>
  <c r="J7" i="19" l="1"/>
  <c r="P7" i="19" s="1"/>
  <c r="O116" i="9" l="1"/>
  <c r="F568" i="19" l="1"/>
  <c r="G568" i="19"/>
  <c r="H568" i="19"/>
  <c r="F569" i="19"/>
  <c r="G569" i="19"/>
  <c r="H569" i="19"/>
  <c r="F570" i="19"/>
  <c r="G570" i="19"/>
  <c r="H570" i="19"/>
  <c r="F571" i="19"/>
  <c r="G571" i="19"/>
  <c r="H571" i="19"/>
  <c r="F572" i="19"/>
  <c r="G572" i="19"/>
  <c r="H572" i="19"/>
  <c r="F573" i="19"/>
  <c r="G573" i="19"/>
  <c r="H573" i="19"/>
  <c r="F574" i="19"/>
  <c r="G574" i="19"/>
  <c r="H574" i="19"/>
  <c r="G567" i="19"/>
  <c r="H567" i="19"/>
  <c r="F567" i="19"/>
  <c r="F552" i="19"/>
  <c r="G552" i="19"/>
  <c r="H552" i="19"/>
  <c r="F553" i="19"/>
  <c r="G553" i="19"/>
  <c r="H553" i="19"/>
  <c r="F554" i="19"/>
  <c r="G554" i="19"/>
  <c r="H554" i="19"/>
  <c r="F555" i="19"/>
  <c r="G555" i="19"/>
  <c r="H555" i="19"/>
  <c r="F556" i="19"/>
  <c r="G556" i="19"/>
  <c r="H556" i="19"/>
  <c r="F557" i="19"/>
  <c r="G557" i="19"/>
  <c r="H557" i="19"/>
  <c r="F558" i="19"/>
  <c r="G558" i="19"/>
  <c r="H558" i="19"/>
  <c r="G551" i="19"/>
  <c r="H551" i="19"/>
  <c r="F551" i="19"/>
  <c r="F536" i="19"/>
  <c r="G536" i="19"/>
  <c r="H536" i="19"/>
  <c r="F537" i="19"/>
  <c r="G537" i="19"/>
  <c r="H537" i="19"/>
  <c r="F538" i="19"/>
  <c r="G538" i="19"/>
  <c r="H538" i="19"/>
  <c r="F539" i="19"/>
  <c r="G539" i="19"/>
  <c r="H539" i="19"/>
  <c r="F540" i="19"/>
  <c r="G540" i="19"/>
  <c r="H540" i="19"/>
  <c r="F541" i="19"/>
  <c r="G541" i="19"/>
  <c r="H541" i="19"/>
  <c r="F542" i="19"/>
  <c r="G542" i="19"/>
  <c r="H542" i="19"/>
  <c r="G535" i="19"/>
  <c r="H535" i="19"/>
  <c r="F535" i="19"/>
  <c r="F520" i="19"/>
  <c r="G520" i="19"/>
  <c r="H520" i="19"/>
  <c r="F521" i="19"/>
  <c r="G521" i="19"/>
  <c r="H521" i="19"/>
  <c r="F522" i="19"/>
  <c r="G522" i="19"/>
  <c r="H522" i="19"/>
  <c r="F523" i="19"/>
  <c r="G523" i="19"/>
  <c r="H523" i="19"/>
  <c r="F524" i="19"/>
  <c r="G524" i="19"/>
  <c r="H524" i="19"/>
  <c r="F525" i="19"/>
  <c r="G525" i="19"/>
  <c r="H525" i="19"/>
  <c r="F526" i="19"/>
  <c r="G526" i="19"/>
  <c r="H526" i="19"/>
  <c r="G519" i="19"/>
  <c r="H519" i="19"/>
  <c r="F519" i="19"/>
  <c r="F488" i="19"/>
  <c r="G488" i="19"/>
  <c r="H488" i="19"/>
  <c r="F489" i="19"/>
  <c r="G489" i="19"/>
  <c r="H489" i="19"/>
  <c r="F490" i="19"/>
  <c r="G490" i="19"/>
  <c r="H490" i="19"/>
  <c r="F491" i="19"/>
  <c r="G491" i="19"/>
  <c r="H491" i="19"/>
  <c r="F492" i="19"/>
  <c r="G492" i="19"/>
  <c r="H492" i="19"/>
  <c r="F493" i="19"/>
  <c r="G493" i="19"/>
  <c r="H493" i="19"/>
  <c r="F494" i="19"/>
  <c r="G494" i="19"/>
  <c r="H494" i="19"/>
  <c r="G487" i="19"/>
  <c r="H487" i="19"/>
  <c r="F487" i="19"/>
  <c r="P455" i="19"/>
  <c r="F424" i="19"/>
  <c r="G424" i="19"/>
  <c r="H424" i="19"/>
  <c r="F425" i="19"/>
  <c r="G425" i="19"/>
  <c r="H425" i="19"/>
  <c r="F426" i="19"/>
  <c r="G426" i="19"/>
  <c r="H426" i="19"/>
  <c r="F427" i="19"/>
  <c r="G427" i="19"/>
  <c r="H427" i="19"/>
  <c r="F428" i="19"/>
  <c r="G428" i="19"/>
  <c r="H428" i="19"/>
  <c r="F429" i="19"/>
  <c r="G429" i="19"/>
  <c r="H429" i="19"/>
  <c r="F430" i="19"/>
  <c r="G430" i="19"/>
  <c r="H430" i="19"/>
  <c r="G423" i="19"/>
  <c r="H423" i="19"/>
  <c r="F423" i="19"/>
  <c r="F408" i="19"/>
  <c r="G408" i="19"/>
  <c r="H408" i="19"/>
  <c r="F409" i="19"/>
  <c r="G409" i="19"/>
  <c r="H409" i="19"/>
  <c r="F410" i="19"/>
  <c r="G410" i="19"/>
  <c r="H410" i="19"/>
  <c r="F411" i="19"/>
  <c r="G411" i="19"/>
  <c r="H411" i="19"/>
  <c r="F412" i="19"/>
  <c r="G412" i="19"/>
  <c r="H412" i="19"/>
  <c r="F413" i="19"/>
  <c r="G413" i="19"/>
  <c r="H413" i="19"/>
  <c r="F414" i="19"/>
  <c r="G414" i="19"/>
  <c r="H414" i="19"/>
  <c r="G407" i="19"/>
  <c r="H407" i="19"/>
  <c r="F407" i="19"/>
  <c r="F392" i="19"/>
  <c r="G392" i="19"/>
  <c r="H392" i="19"/>
  <c r="F393" i="19"/>
  <c r="G393" i="19"/>
  <c r="H393" i="19"/>
  <c r="F394" i="19"/>
  <c r="G394" i="19"/>
  <c r="H394" i="19"/>
  <c r="F395" i="19"/>
  <c r="G395" i="19"/>
  <c r="H395" i="19"/>
  <c r="F396" i="19"/>
  <c r="G396" i="19"/>
  <c r="H396" i="19"/>
  <c r="F397" i="19"/>
  <c r="G397" i="19"/>
  <c r="H397" i="19"/>
  <c r="F398" i="19"/>
  <c r="G398" i="19"/>
  <c r="H398" i="19"/>
  <c r="G391" i="19"/>
  <c r="H391" i="19"/>
  <c r="F391" i="19"/>
  <c r="F376" i="19"/>
  <c r="G376" i="19"/>
  <c r="H376" i="19"/>
  <c r="F377" i="19"/>
  <c r="G377" i="19"/>
  <c r="H377" i="19"/>
  <c r="F378" i="19"/>
  <c r="G378" i="19"/>
  <c r="H378" i="19"/>
  <c r="F379" i="19"/>
  <c r="G379" i="19"/>
  <c r="H379" i="19"/>
  <c r="F380" i="19"/>
  <c r="G380" i="19"/>
  <c r="H380" i="19"/>
  <c r="F381" i="19"/>
  <c r="G381" i="19"/>
  <c r="H381" i="19"/>
  <c r="F382" i="19"/>
  <c r="G382" i="19"/>
  <c r="H382" i="19"/>
  <c r="G375" i="19"/>
  <c r="H375" i="19"/>
  <c r="F375" i="19"/>
  <c r="F360" i="19"/>
  <c r="G360" i="19"/>
  <c r="H360" i="19"/>
  <c r="F361" i="19"/>
  <c r="G361" i="19"/>
  <c r="H361" i="19"/>
  <c r="F362" i="19"/>
  <c r="G362" i="19"/>
  <c r="H362" i="19"/>
  <c r="F363" i="19"/>
  <c r="G363" i="19"/>
  <c r="H363" i="19"/>
  <c r="F364" i="19"/>
  <c r="G364" i="19"/>
  <c r="H364" i="19"/>
  <c r="F365" i="19"/>
  <c r="G365" i="19"/>
  <c r="H365" i="19"/>
  <c r="F366" i="19"/>
  <c r="G366" i="19"/>
  <c r="H366" i="19"/>
  <c r="G359" i="19"/>
  <c r="H359" i="19"/>
  <c r="F359" i="19"/>
  <c r="F344" i="19"/>
  <c r="G344" i="19"/>
  <c r="H344" i="19"/>
  <c r="F345" i="19"/>
  <c r="G345" i="19"/>
  <c r="H345" i="19"/>
  <c r="F346" i="19"/>
  <c r="I346" i="19" s="1"/>
  <c r="G346" i="19"/>
  <c r="H346" i="19"/>
  <c r="F347" i="19"/>
  <c r="G347" i="19"/>
  <c r="H347" i="19"/>
  <c r="F348" i="19"/>
  <c r="G348" i="19"/>
  <c r="H348" i="19"/>
  <c r="F349" i="19"/>
  <c r="I349" i="19" s="1"/>
  <c r="G349" i="19"/>
  <c r="H349" i="19"/>
  <c r="F350" i="19"/>
  <c r="G350" i="19"/>
  <c r="H350" i="19"/>
  <c r="I350" i="19" s="1"/>
  <c r="G343" i="19"/>
  <c r="H343" i="19"/>
  <c r="F343" i="19"/>
  <c r="F328" i="19"/>
  <c r="G328" i="19"/>
  <c r="H328" i="19"/>
  <c r="F329" i="19"/>
  <c r="G329" i="19"/>
  <c r="H329" i="19"/>
  <c r="F330" i="19"/>
  <c r="G330" i="19"/>
  <c r="H330" i="19"/>
  <c r="F331" i="19"/>
  <c r="G331" i="19"/>
  <c r="H331" i="19"/>
  <c r="F332" i="19"/>
  <c r="G332" i="19"/>
  <c r="H332" i="19"/>
  <c r="F333" i="19"/>
  <c r="G333" i="19"/>
  <c r="H333" i="19"/>
  <c r="F334" i="19"/>
  <c r="G334" i="19"/>
  <c r="H334" i="19"/>
  <c r="G327" i="19"/>
  <c r="H327" i="19"/>
  <c r="F327" i="19"/>
  <c r="F312" i="19"/>
  <c r="F296" i="19" s="1"/>
  <c r="G312" i="19"/>
  <c r="G296" i="19" s="1"/>
  <c r="H312" i="19"/>
  <c r="H296" i="19" s="1"/>
  <c r="F313" i="19"/>
  <c r="F297" i="19" s="1"/>
  <c r="G313" i="19"/>
  <c r="H313" i="19"/>
  <c r="H297" i="19" s="1"/>
  <c r="F314" i="19"/>
  <c r="F298" i="19" s="1"/>
  <c r="G314" i="19"/>
  <c r="G298" i="19" s="1"/>
  <c r="H314" i="19"/>
  <c r="H298" i="19" s="1"/>
  <c r="F315" i="19"/>
  <c r="F299" i="19" s="1"/>
  <c r="G315" i="19"/>
  <c r="H315" i="19"/>
  <c r="H299" i="19" s="1"/>
  <c r="F316" i="19"/>
  <c r="F300" i="19" s="1"/>
  <c r="G316" i="19"/>
  <c r="G300" i="19" s="1"/>
  <c r="H316" i="19"/>
  <c r="H300" i="19" s="1"/>
  <c r="F317" i="19"/>
  <c r="F301" i="19" s="1"/>
  <c r="G317" i="19"/>
  <c r="G301" i="19" s="1"/>
  <c r="H317" i="19"/>
  <c r="H301" i="19" s="1"/>
  <c r="F318" i="19"/>
  <c r="F302" i="19" s="1"/>
  <c r="G318" i="19"/>
  <c r="G302" i="19" s="1"/>
  <c r="H318" i="19"/>
  <c r="H302" i="19" s="1"/>
  <c r="G311" i="19"/>
  <c r="G295" i="19" s="1"/>
  <c r="H311" i="19"/>
  <c r="F311" i="19"/>
  <c r="F295" i="19" s="1"/>
  <c r="F280" i="19"/>
  <c r="G280" i="19"/>
  <c r="H280" i="19"/>
  <c r="F281" i="19"/>
  <c r="G281" i="19"/>
  <c r="H281" i="19"/>
  <c r="F282" i="19"/>
  <c r="G282" i="19"/>
  <c r="H282" i="19"/>
  <c r="F283" i="19"/>
  <c r="G283" i="19"/>
  <c r="H283" i="19"/>
  <c r="F284" i="19"/>
  <c r="G284" i="19"/>
  <c r="H284" i="19"/>
  <c r="F285" i="19"/>
  <c r="G285" i="19"/>
  <c r="H285" i="19"/>
  <c r="F286" i="19"/>
  <c r="G286" i="19"/>
  <c r="H286" i="19"/>
  <c r="G279" i="19"/>
  <c r="H279" i="19"/>
  <c r="F279" i="19"/>
  <c r="F264" i="19"/>
  <c r="G264" i="19"/>
  <c r="H264" i="19"/>
  <c r="F265" i="19"/>
  <c r="G265" i="19"/>
  <c r="H265" i="19"/>
  <c r="F266" i="19"/>
  <c r="G266" i="19"/>
  <c r="H266" i="19"/>
  <c r="F267" i="19"/>
  <c r="G267" i="19"/>
  <c r="H267" i="19"/>
  <c r="F268" i="19"/>
  <c r="G268" i="19"/>
  <c r="H268" i="19"/>
  <c r="F269" i="19"/>
  <c r="G269" i="19"/>
  <c r="H269" i="19"/>
  <c r="F270" i="19"/>
  <c r="G270" i="19"/>
  <c r="H270" i="19"/>
  <c r="G263" i="19"/>
  <c r="H263" i="19"/>
  <c r="F263" i="19"/>
  <c r="F248" i="19"/>
  <c r="G248" i="19"/>
  <c r="H248" i="19"/>
  <c r="F249" i="19"/>
  <c r="G249" i="19"/>
  <c r="H249" i="19"/>
  <c r="F250" i="19"/>
  <c r="G250" i="19"/>
  <c r="H250" i="19"/>
  <c r="F251" i="19"/>
  <c r="G251" i="19"/>
  <c r="H251" i="19"/>
  <c r="F252" i="19"/>
  <c r="G252" i="19"/>
  <c r="H252" i="19"/>
  <c r="F253" i="19"/>
  <c r="G253" i="19"/>
  <c r="H253" i="19"/>
  <c r="F254" i="19"/>
  <c r="G254" i="19"/>
  <c r="H254" i="19"/>
  <c r="G247" i="19"/>
  <c r="H247" i="19"/>
  <c r="F247" i="19"/>
  <c r="F232" i="19"/>
  <c r="G232" i="19"/>
  <c r="H232" i="19"/>
  <c r="F233" i="19"/>
  <c r="G233" i="19"/>
  <c r="H233" i="19"/>
  <c r="F234" i="19"/>
  <c r="G234" i="19"/>
  <c r="H234" i="19"/>
  <c r="F235" i="19"/>
  <c r="G235" i="19"/>
  <c r="H235" i="19"/>
  <c r="F236" i="19"/>
  <c r="G236" i="19"/>
  <c r="H236" i="19"/>
  <c r="F237" i="19"/>
  <c r="I237" i="19" s="1"/>
  <c r="G237" i="19"/>
  <c r="H237" i="19"/>
  <c r="F238" i="19"/>
  <c r="G238" i="19"/>
  <c r="H238" i="19"/>
  <c r="G231" i="19"/>
  <c r="H231" i="19"/>
  <c r="F231" i="19"/>
  <c r="F216" i="19"/>
  <c r="G216" i="19"/>
  <c r="H216" i="19"/>
  <c r="F217" i="19"/>
  <c r="G217" i="19"/>
  <c r="H217" i="19"/>
  <c r="F218" i="19"/>
  <c r="G218" i="19"/>
  <c r="H218" i="19"/>
  <c r="F219" i="19"/>
  <c r="G219" i="19"/>
  <c r="H219" i="19"/>
  <c r="F220" i="19"/>
  <c r="G220" i="19"/>
  <c r="H220" i="19"/>
  <c r="F221" i="19"/>
  <c r="G221" i="19"/>
  <c r="H221" i="19"/>
  <c r="F222" i="19"/>
  <c r="G222" i="19"/>
  <c r="H222" i="19"/>
  <c r="G215" i="19"/>
  <c r="H215" i="19"/>
  <c r="F215" i="19"/>
  <c r="F200" i="19"/>
  <c r="G200" i="19"/>
  <c r="H200" i="19"/>
  <c r="F201" i="19"/>
  <c r="G201" i="19"/>
  <c r="H201" i="19"/>
  <c r="F202" i="19"/>
  <c r="I202" i="19" s="1"/>
  <c r="G202" i="19"/>
  <c r="H202" i="19"/>
  <c r="F203" i="19"/>
  <c r="G203" i="19"/>
  <c r="H203" i="19"/>
  <c r="F204" i="19"/>
  <c r="G204" i="19"/>
  <c r="H204" i="19"/>
  <c r="F205" i="19"/>
  <c r="I205" i="19" s="1"/>
  <c r="G205" i="19"/>
  <c r="H205" i="19"/>
  <c r="F206" i="19"/>
  <c r="G206" i="19"/>
  <c r="H206" i="19"/>
  <c r="G199" i="19"/>
  <c r="H199" i="19"/>
  <c r="F199" i="19"/>
  <c r="F184" i="19"/>
  <c r="G184" i="19"/>
  <c r="H184" i="19"/>
  <c r="F185" i="19"/>
  <c r="G185" i="19"/>
  <c r="G153" i="19" s="1"/>
  <c r="H185" i="19"/>
  <c r="H153" i="19" s="1"/>
  <c r="H441" i="19" s="1"/>
  <c r="F186" i="19"/>
  <c r="I186" i="19" s="1"/>
  <c r="G186" i="19"/>
  <c r="H186" i="19"/>
  <c r="F187" i="19"/>
  <c r="G187" i="19"/>
  <c r="H187" i="19"/>
  <c r="F188" i="19"/>
  <c r="G188" i="19"/>
  <c r="H188" i="19"/>
  <c r="F189" i="19"/>
  <c r="G189" i="19"/>
  <c r="H189" i="19"/>
  <c r="F190" i="19"/>
  <c r="G190" i="19"/>
  <c r="H190" i="19"/>
  <c r="G183" i="19"/>
  <c r="H183" i="19"/>
  <c r="H191" i="19" s="1"/>
  <c r="F183" i="19"/>
  <c r="F152" i="19"/>
  <c r="G152" i="19"/>
  <c r="H152" i="19"/>
  <c r="F153" i="19"/>
  <c r="F154" i="19"/>
  <c r="G154" i="19"/>
  <c r="H154" i="19"/>
  <c r="F155" i="19"/>
  <c r="G155" i="19"/>
  <c r="H155" i="19"/>
  <c r="F156" i="19"/>
  <c r="G156" i="19"/>
  <c r="H156" i="19"/>
  <c r="F157" i="19"/>
  <c r="G157" i="19"/>
  <c r="H157" i="19"/>
  <c r="F158" i="19"/>
  <c r="G158" i="19"/>
  <c r="H158" i="19"/>
  <c r="G151" i="19"/>
  <c r="H151" i="19"/>
  <c r="F151" i="19"/>
  <c r="O575" i="19"/>
  <c r="N575" i="19"/>
  <c r="M575" i="19"/>
  <c r="L575" i="19"/>
  <c r="K575" i="19"/>
  <c r="J575" i="19"/>
  <c r="E575" i="19"/>
  <c r="D575" i="19"/>
  <c r="C575" i="19"/>
  <c r="P574" i="19"/>
  <c r="P573" i="19"/>
  <c r="P572" i="19"/>
  <c r="P571" i="19"/>
  <c r="P570" i="19"/>
  <c r="P569" i="19"/>
  <c r="P568" i="19"/>
  <c r="P567" i="19"/>
  <c r="E559" i="19"/>
  <c r="D559" i="19"/>
  <c r="P558" i="19"/>
  <c r="P557" i="19"/>
  <c r="P556" i="19"/>
  <c r="P555" i="19"/>
  <c r="P554" i="19"/>
  <c r="P553" i="19"/>
  <c r="P552" i="19"/>
  <c r="P551" i="19"/>
  <c r="P542" i="19"/>
  <c r="P541" i="19"/>
  <c r="P540" i="19"/>
  <c r="P539" i="19"/>
  <c r="P538" i="19"/>
  <c r="P537" i="19"/>
  <c r="P536" i="19"/>
  <c r="P535" i="19"/>
  <c r="P526" i="19"/>
  <c r="P525" i="19"/>
  <c r="P524" i="19"/>
  <c r="P523" i="19"/>
  <c r="P522" i="19"/>
  <c r="P521" i="19"/>
  <c r="P520" i="19"/>
  <c r="P519" i="19"/>
  <c r="O511" i="19"/>
  <c r="N511" i="19"/>
  <c r="M511" i="19"/>
  <c r="L511" i="19"/>
  <c r="K511" i="19"/>
  <c r="J511" i="19"/>
  <c r="E511" i="19"/>
  <c r="D511" i="19"/>
  <c r="C511" i="19"/>
  <c r="P510" i="19"/>
  <c r="H510" i="19"/>
  <c r="G510" i="19"/>
  <c r="F510" i="19"/>
  <c r="P509" i="19"/>
  <c r="H509" i="19"/>
  <c r="G509" i="19"/>
  <c r="F509" i="19"/>
  <c r="P508" i="19"/>
  <c r="H508" i="19"/>
  <c r="G508" i="19"/>
  <c r="F508" i="19"/>
  <c r="P507" i="19"/>
  <c r="H507" i="19"/>
  <c r="G507" i="19"/>
  <c r="F507" i="19"/>
  <c r="P506" i="19"/>
  <c r="H506" i="19"/>
  <c r="G506" i="19"/>
  <c r="F506" i="19"/>
  <c r="P505" i="19"/>
  <c r="H505" i="19"/>
  <c r="G505" i="19"/>
  <c r="F505" i="19"/>
  <c r="P504" i="19"/>
  <c r="H504" i="19"/>
  <c r="G504" i="19"/>
  <c r="F504" i="19"/>
  <c r="P503" i="19"/>
  <c r="H503" i="19"/>
  <c r="G503" i="19"/>
  <c r="F503" i="19"/>
  <c r="E495" i="19"/>
  <c r="C495" i="19"/>
  <c r="P494" i="19"/>
  <c r="P493" i="19"/>
  <c r="P492" i="19"/>
  <c r="P491" i="19"/>
  <c r="P490" i="19"/>
  <c r="P489" i="19"/>
  <c r="P488" i="19"/>
  <c r="P487" i="19"/>
  <c r="O479" i="19"/>
  <c r="N479" i="19"/>
  <c r="M479" i="19"/>
  <c r="L479" i="19"/>
  <c r="K479" i="19"/>
  <c r="J479" i="19"/>
  <c r="E479" i="19"/>
  <c r="D479" i="19"/>
  <c r="C479" i="19"/>
  <c r="P478" i="19"/>
  <c r="I478" i="19"/>
  <c r="P477" i="19"/>
  <c r="I477" i="19"/>
  <c r="P476" i="19"/>
  <c r="I476" i="19"/>
  <c r="P475" i="19"/>
  <c r="I475" i="19"/>
  <c r="P474" i="19"/>
  <c r="P473" i="19"/>
  <c r="P472" i="19"/>
  <c r="I472" i="19"/>
  <c r="P471" i="19"/>
  <c r="H479" i="19"/>
  <c r="F479" i="19"/>
  <c r="P462" i="19"/>
  <c r="P461" i="19"/>
  <c r="P460" i="19"/>
  <c r="P459" i="19"/>
  <c r="P458" i="19"/>
  <c r="P457" i="19"/>
  <c r="P456" i="19"/>
  <c r="O431" i="19"/>
  <c r="N431" i="19"/>
  <c r="M431" i="19"/>
  <c r="L431" i="19"/>
  <c r="K431" i="19"/>
  <c r="J431" i="19"/>
  <c r="E431" i="19"/>
  <c r="D431" i="19"/>
  <c r="C431" i="19"/>
  <c r="P430" i="19"/>
  <c r="P429" i="19"/>
  <c r="P428" i="19"/>
  <c r="P427" i="19"/>
  <c r="P426" i="19"/>
  <c r="P425" i="19"/>
  <c r="P424" i="19"/>
  <c r="P423" i="19"/>
  <c r="O415" i="19"/>
  <c r="N415" i="19"/>
  <c r="M415" i="19"/>
  <c r="L415" i="19"/>
  <c r="K415" i="19"/>
  <c r="J415" i="19"/>
  <c r="E415" i="19"/>
  <c r="D415" i="19"/>
  <c r="C415" i="19"/>
  <c r="P414" i="19"/>
  <c r="P413" i="19"/>
  <c r="P412" i="19"/>
  <c r="P411" i="19"/>
  <c r="P410" i="19"/>
  <c r="P409" i="19"/>
  <c r="P408" i="19"/>
  <c r="P407" i="19"/>
  <c r="O399" i="19"/>
  <c r="N399" i="19"/>
  <c r="M399" i="19"/>
  <c r="L399" i="19"/>
  <c r="K399" i="19"/>
  <c r="J399" i="19"/>
  <c r="E399" i="19"/>
  <c r="D399" i="19"/>
  <c r="C399" i="19"/>
  <c r="P398" i="19"/>
  <c r="P397" i="19"/>
  <c r="P396" i="19"/>
  <c r="P395" i="19"/>
  <c r="P394" i="19"/>
  <c r="P393" i="19"/>
  <c r="P392" i="19"/>
  <c r="P391" i="19"/>
  <c r="O383" i="19"/>
  <c r="N383" i="19"/>
  <c r="M383" i="19"/>
  <c r="L383" i="19"/>
  <c r="K383" i="19"/>
  <c r="J383" i="19"/>
  <c r="E383" i="19"/>
  <c r="D383" i="19"/>
  <c r="C383" i="19"/>
  <c r="P382" i="19"/>
  <c r="P381" i="19"/>
  <c r="P380" i="19"/>
  <c r="P379" i="19"/>
  <c r="P378" i="19"/>
  <c r="P377" i="19"/>
  <c r="P376" i="19"/>
  <c r="P375" i="19"/>
  <c r="O367" i="19"/>
  <c r="N367" i="19"/>
  <c r="M367" i="19"/>
  <c r="L367" i="19"/>
  <c r="K367" i="19"/>
  <c r="J367" i="19"/>
  <c r="E367" i="19"/>
  <c r="D367" i="19"/>
  <c r="C367" i="19"/>
  <c r="P366" i="19"/>
  <c r="P365" i="19"/>
  <c r="P364" i="19"/>
  <c r="P363" i="19"/>
  <c r="P362" i="19"/>
  <c r="P361" i="19"/>
  <c r="P360" i="19"/>
  <c r="P359" i="19"/>
  <c r="O351" i="19"/>
  <c r="N351" i="19"/>
  <c r="M351" i="19"/>
  <c r="L351" i="19"/>
  <c r="K351" i="19"/>
  <c r="J351" i="19"/>
  <c r="E351" i="19"/>
  <c r="D351" i="19"/>
  <c r="D495" i="19" s="1"/>
  <c r="C351" i="19"/>
  <c r="P350" i="19"/>
  <c r="P349" i="19"/>
  <c r="P348" i="19"/>
  <c r="P347" i="19"/>
  <c r="P346" i="19"/>
  <c r="P345" i="19"/>
  <c r="P344" i="19"/>
  <c r="I344" i="19"/>
  <c r="P343" i="19"/>
  <c r="O335" i="19"/>
  <c r="N335" i="19"/>
  <c r="M335" i="19"/>
  <c r="L335" i="19"/>
  <c r="K335" i="19"/>
  <c r="J335" i="19"/>
  <c r="E335" i="19"/>
  <c r="D335" i="19"/>
  <c r="C335" i="19"/>
  <c r="P334" i="19"/>
  <c r="P333" i="19"/>
  <c r="P332" i="19"/>
  <c r="P331" i="19"/>
  <c r="P330" i="19"/>
  <c r="P329" i="19"/>
  <c r="P328" i="19"/>
  <c r="P327" i="19"/>
  <c r="O319" i="19"/>
  <c r="N319" i="19"/>
  <c r="M319" i="19"/>
  <c r="L319" i="19"/>
  <c r="K319" i="19"/>
  <c r="J319" i="19"/>
  <c r="E319" i="19"/>
  <c r="D319" i="19"/>
  <c r="C319" i="19"/>
  <c r="P318" i="19"/>
  <c r="P317" i="19"/>
  <c r="P316" i="19"/>
  <c r="P315" i="19"/>
  <c r="P314" i="19"/>
  <c r="P313" i="19"/>
  <c r="P312" i="19"/>
  <c r="P311" i="19"/>
  <c r="O287" i="19"/>
  <c r="N287" i="19"/>
  <c r="M287" i="19"/>
  <c r="L287" i="19"/>
  <c r="K287" i="19"/>
  <c r="J287" i="19"/>
  <c r="E287" i="19"/>
  <c r="D287" i="19"/>
  <c r="C287" i="19"/>
  <c r="P286" i="19"/>
  <c r="P285" i="19"/>
  <c r="P284" i="19"/>
  <c r="P283" i="19"/>
  <c r="P282" i="19"/>
  <c r="P281" i="19"/>
  <c r="P280" i="19"/>
  <c r="P279" i="19"/>
  <c r="O271" i="19"/>
  <c r="N271" i="19"/>
  <c r="M271" i="19"/>
  <c r="L271" i="19"/>
  <c r="K271" i="19"/>
  <c r="J271" i="19"/>
  <c r="E271" i="19"/>
  <c r="D271" i="19"/>
  <c r="C271" i="19"/>
  <c r="P270" i="19"/>
  <c r="P269" i="19"/>
  <c r="P268" i="19"/>
  <c r="P267" i="19"/>
  <c r="P266" i="19"/>
  <c r="P265" i="19"/>
  <c r="P264" i="19"/>
  <c r="P263" i="19"/>
  <c r="O255" i="19"/>
  <c r="N255" i="19"/>
  <c r="M255" i="19"/>
  <c r="L255" i="19"/>
  <c r="K255" i="19"/>
  <c r="J255" i="19"/>
  <c r="E255" i="19"/>
  <c r="D255" i="19"/>
  <c r="C255" i="19"/>
  <c r="P254" i="19"/>
  <c r="P253" i="19"/>
  <c r="P252" i="19"/>
  <c r="P251" i="19"/>
  <c r="P250" i="19"/>
  <c r="P249" i="19"/>
  <c r="P248" i="19"/>
  <c r="P247" i="19"/>
  <c r="O239" i="19"/>
  <c r="N239" i="19"/>
  <c r="M239" i="19"/>
  <c r="L239" i="19"/>
  <c r="K239" i="19"/>
  <c r="J239" i="19"/>
  <c r="E239" i="19"/>
  <c r="D239" i="19"/>
  <c r="C239" i="19"/>
  <c r="P238" i="19"/>
  <c r="P237" i="19"/>
  <c r="P236" i="19"/>
  <c r="P235" i="19"/>
  <c r="P234" i="19"/>
  <c r="P233" i="19"/>
  <c r="P232" i="19"/>
  <c r="P231" i="19"/>
  <c r="O223" i="19"/>
  <c r="N223" i="19"/>
  <c r="M223" i="19"/>
  <c r="L223" i="19"/>
  <c r="K223" i="19"/>
  <c r="J223" i="19"/>
  <c r="E223" i="19"/>
  <c r="D223" i="19"/>
  <c r="C223" i="19"/>
  <c r="P222" i="19"/>
  <c r="P221" i="19"/>
  <c r="P220" i="19"/>
  <c r="P219" i="19"/>
  <c r="P218" i="19"/>
  <c r="P217" i="19"/>
  <c r="P216" i="19"/>
  <c r="P215" i="19"/>
  <c r="O207" i="19"/>
  <c r="N207" i="19"/>
  <c r="M207" i="19"/>
  <c r="L207" i="19"/>
  <c r="K207" i="19"/>
  <c r="J207" i="19"/>
  <c r="P206" i="19"/>
  <c r="P205" i="19"/>
  <c r="P204" i="19"/>
  <c r="P203" i="19"/>
  <c r="P202" i="19"/>
  <c r="P201" i="19"/>
  <c r="P200" i="19"/>
  <c r="I200" i="19"/>
  <c r="P199" i="19"/>
  <c r="O191" i="19"/>
  <c r="O175" i="19" s="1"/>
  <c r="N191" i="19"/>
  <c r="N175" i="19" s="1"/>
  <c r="M191" i="19"/>
  <c r="M175" i="19" s="1"/>
  <c r="L191" i="19"/>
  <c r="L175" i="19" s="1"/>
  <c r="K191" i="19"/>
  <c r="K175" i="19" s="1"/>
  <c r="J191" i="19"/>
  <c r="E191" i="19"/>
  <c r="D191" i="19"/>
  <c r="C191" i="19"/>
  <c r="P190" i="19"/>
  <c r="P189" i="19"/>
  <c r="I189" i="19"/>
  <c r="P188" i="19"/>
  <c r="P187" i="19"/>
  <c r="I187" i="19"/>
  <c r="P186" i="19"/>
  <c r="P185" i="19"/>
  <c r="P184" i="19"/>
  <c r="I184" i="19"/>
  <c r="P183" i="19"/>
  <c r="O159" i="19"/>
  <c r="O447" i="19" s="1"/>
  <c r="N159" i="19"/>
  <c r="N447" i="19" s="1"/>
  <c r="M159" i="19"/>
  <c r="M447" i="19" s="1"/>
  <c r="L159" i="19"/>
  <c r="L447" i="19" s="1"/>
  <c r="K159" i="19"/>
  <c r="K447" i="19" s="1"/>
  <c r="J159" i="19"/>
  <c r="J447" i="19" s="1"/>
  <c r="E159" i="19"/>
  <c r="D159" i="19"/>
  <c r="C159" i="19"/>
  <c r="P158" i="19"/>
  <c r="P446" i="19" s="1"/>
  <c r="P157" i="19"/>
  <c r="P445" i="19" s="1"/>
  <c r="P156" i="19"/>
  <c r="P444" i="19" s="1"/>
  <c r="P155" i="19"/>
  <c r="P443" i="19" s="1"/>
  <c r="P154" i="19"/>
  <c r="P442" i="19" s="1"/>
  <c r="P153" i="19"/>
  <c r="P441" i="19" s="1"/>
  <c r="P152" i="19"/>
  <c r="P440" i="19" s="1"/>
  <c r="P151" i="19"/>
  <c r="P439" i="19" s="1"/>
  <c r="I185" i="19" l="1"/>
  <c r="I201" i="19"/>
  <c r="F383" i="19"/>
  <c r="I188" i="19"/>
  <c r="I204" i="19"/>
  <c r="G335" i="19"/>
  <c r="I348" i="19"/>
  <c r="Q348" i="19" s="1"/>
  <c r="I203" i="19"/>
  <c r="Q203" i="19" s="1"/>
  <c r="I347" i="19"/>
  <c r="F511" i="19"/>
  <c r="P511" i="19"/>
  <c r="G511" i="19"/>
  <c r="I430" i="19"/>
  <c r="H511" i="19"/>
  <c r="F431" i="19"/>
  <c r="I573" i="19"/>
  <c r="Q573" i="19" s="1"/>
  <c r="I571" i="19"/>
  <c r="Q571" i="19" s="1"/>
  <c r="I569" i="19"/>
  <c r="I428" i="19"/>
  <c r="I206" i="19"/>
  <c r="I190" i="19"/>
  <c r="H223" i="19"/>
  <c r="I221" i="19"/>
  <c r="Q221" i="19" s="1"/>
  <c r="I219" i="19"/>
  <c r="Q219" i="19" s="1"/>
  <c r="I217" i="19"/>
  <c r="Q217" i="19" s="1"/>
  <c r="I233" i="19"/>
  <c r="H255" i="19"/>
  <c r="I249" i="19"/>
  <c r="I269" i="19"/>
  <c r="H335" i="19"/>
  <c r="I333" i="19"/>
  <c r="I331" i="19"/>
  <c r="Q331" i="19" s="1"/>
  <c r="I329" i="19"/>
  <c r="Q329" i="19" s="1"/>
  <c r="I345" i="19"/>
  <c r="Q345" i="19" s="1"/>
  <c r="P351" i="19"/>
  <c r="H415" i="19"/>
  <c r="I264" i="19"/>
  <c r="H239" i="19"/>
  <c r="I234" i="19"/>
  <c r="Q234" i="19" s="1"/>
  <c r="G271" i="19"/>
  <c r="I236" i="19"/>
  <c r="Q236" i="19" s="1"/>
  <c r="G351" i="19"/>
  <c r="G207" i="19"/>
  <c r="I574" i="19"/>
  <c r="I426" i="19"/>
  <c r="I251" i="19"/>
  <c r="Q251" i="19" s="1"/>
  <c r="I253" i="19"/>
  <c r="I235" i="19"/>
  <c r="Q235" i="19" s="1"/>
  <c r="H351" i="19"/>
  <c r="F207" i="19"/>
  <c r="H207" i="19"/>
  <c r="P575" i="19"/>
  <c r="I570" i="19"/>
  <c r="I568" i="19"/>
  <c r="Q568" i="19" s="1"/>
  <c r="I424" i="19"/>
  <c r="I238" i="19"/>
  <c r="Q238" i="19" s="1"/>
  <c r="I232" i="19"/>
  <c r="Q232" i="19" s="1"/>
  <c r="I572" i="19"/>
  <c r="Q572" i="19" s="1"/>
  <c r="I429" i="19"/>
  <c r="I427" i="19"/>
  <c r="I425" i="19"/>
  <c r="I377" i="19"/>
  <c r="Q377" i="19" s="1"/>
  <c r="F319" i="19"/>
  <c r="I153" i="19"/>
  <c r="Q153" i="19" s="1"/>
  <c r="G575" i="19"/>
  <c r="H287" i="19"/>
  <c r="I285" i="19"/>
  <c r="Q285" i="19" s="1"/>
  <c r="I283" i="19"/>
  <c r="I281" i="19"/>
  <c r="Q281" i="19" s="1"/>
  <c r="F159" i="19"/>
  <c r="P431" i="19"/>
  <c r="P255" i="19"/>
  <c r="P239" i="19"/>
  <c r="P207" i="19"/>
  <c r="F191" i="19"/>
  <c r="F239" i="19"/>
  <c r="F527" i="19" s="1"/>
  <c r="I254" i="19"/>
  <c r="Q254" i="19" s="1"/>
  <c r="I252" i="19"/>
  <c r="Q252" i="19" s="1"/>
  <c r="I250" i="19"/>
  <c r="Q250" i="19" s="1"/>
  <c r="I248" i="19"/>
  <c r="Q248" i="19" s="1"/>
  <c r="I270" i="19"/>
  <c r="Q270" i="19" s="1"/>
  <c r="I268" i="19"/>
  <c r="Q268" i="19" s="1"/>
  <c r="F287" i="19"/>
  <c r="I378" i="19"/>
  <c r="I376" i="19"/>
  <c r="H575" i="19"/>
  <c r="G223" i="19"/>
  <c r="I317" i="19"/>
  <c r="Q317" i="19" s="1"/>
  <c r="I318" i="19"/>
  <c r="Q318" i="19" s="1"/>
  <c r="G383" i="19"/>
  <c r="P174" i="19"/>
  <c r="J175" i="19"/>
  <c r="H446" i="19"/>
  <c r="G445" i="19"/>
  <c r="H442" i="19"/>
  <c r="H319" i="19"/>
  <c r="H295" i="19"/>
  <c r="I295" i="19" s="1"/>
  <c r="F446" i="19"/>
  <c r="I302" i="19"/>
  <c r="F444" i="19"/>
  <c r="I300" i="19"/>
  <c r="I315" i="19"/>
  <c r="Q315" i="19" s="1"/>
  <c r="G299" i="19"/>
  <c r="G443" i="19" s="1"/>
  <c r="F442" i="19"/>
  <c r="I298" i="19"/>
  <c r="I313" i="19"/>
  <c r="G297" i="19"/>
  <c r="G441" i="19" s="1"/>
  <c r="H440" i="19"/>
  <c r="F440" i="19"/>
  <c r="I296" i="19"/>
  <c r="P191" i="19"/>
  <c r="Q472" i="19"/>
  <c r="H159" i="19"/>
  <c r="I157" i="19"/>
  <c r="Q157" i="19" s="1"/>
  <c r="I155" i="19"/>
  <c r="Q155" i="19" s="1"/>
  <c r="F439" i="19"/>
  <c r="F303" i="19"/>
  <c r="G446" i="19"/>
  <c r="H445" i="19"/>
  <c r="F445" i="19"/>
  <c r="I301" i="19"/>
  <c r="G444" i="19"/>
  <c r="H443" i="19"/>
  <c r="G440" i="19"/>
  <c r="P479" i="19"/>
  <c r="Q473" i="19"/>
  <c r="P335" i="19"/>
  <c r="P399" i="19"/>
  <c r="P319" i="19"/>
  <c r="Q200" i="19"/>
  <c r="Q201" i="19"/>
  <c r="Q202" i="19"/>
  <c r="Q204" i="19"/>
  <c r="Q205" i="19"/>
  <c r="Q206" i="19"/>
  <c r="P287" i="19"/>
  <c r="P367" i="19"/>
  <c r="P383" i="19"/>
  <c r="P415" i="19"/>
  <c r="I158" i="19"/>
  <c r="Q158" i="19" s="1"/>
  <c r="I156" i="19"/>
  <c r="Q156" i="19" s="1"/>
  <c r="I154" i="19"/>
  <c r="Q154" i="19" s="1"/>
  <c r="I152" i="19"/>
  <c r="Q152" i="19" s="1"/>
  <c r="G191" i="19"/>
  <c r="I222" i="19"/>
  <c r="I220" i="19"/>
  <c r="Q220" i="19" s="1"/>
  <c r="I218" i="19"/>
  <c r="Q218" i="19" s="1"/>
  <c r="I216" i="19"/>
  <c r="Q216" i="19" s="1"/>
  <c r="G239" i="19"/>
  <c r="F255" i="19"/>
  <c r="I266" i="19"/>
  <c r="Q266" i="19" s="1"/>
  <c r="F271" i="19"/>
  <c r="I286" i="19"/>
  <c r="Q286" i="19" s="1"/>
  <c r="I284" i="19"/>
  <c r="Q284" i="19" s="1"/>
  <c r="I282" i="19"/>
  <c r="Q282" i="19" s="1"/>
  <c r="I280" i="19"/>
  <c r="I314" i="19"/>
  <c r="Q314" i="19" s="1"/>
  <c r="I312" i="19"/>
  <c r="Q312" i="19" s="1"/>
  <c r="I334" i="19"/>
  <c r="I332" i="19"/>
  <c r="I330" i="19"/>
  <c r="I328" i="19"/>
  <c r="Q328" i="19" s="1"/>
  <c r="F351" i="19"/>
  <c r="I366" i="19"/>
  <c r="Q366" i="19" s="1"/>
  <c r="I365" i="19"/>
  <c r="Q365" i="19" s="1"/>
  <c r="I364" i="19"/>
  <c r="Q364" i="19" s="1"/>
  <c r="I363" i="19"/>
  <c r="Q363" i="19" s="1"/>
  <c r="I362" i="19"/>
  <c r="Q362" i="19" s="1"/>
  <c r="I361" i="19"/>
  <c r="Q361" i="19" s="1"/>
  <c r="I360" i="19"/>
  <c r="Q360" i="19" s="1"/>
  <c r="I382" i="19"/>
  <c r="I381" i="19"/>
  <c r="I525" i="19" s="1"/>
  <c r="I380" i="19"/>
  <c r="Q380" i="19" s="1"/>
  <c r="G399" i="19"/>
  <c r="I414" i="19"/>
  <c r="Q414" i="19" s="1"/>
  <c r="I413" i="19"/>
  <c r="Q413" i="19" s="1"/>
  <c r="I412" i="19"/>
  <c r="Q412" i="19" s="1"/>
  <c r="I411" i="19"/>
  <c r="Q411" i="19" s="1"/>
  <c r="I410" i="19"/>
  <c r="I409" i="19"/>
  <c r="Q409" i="19" s="1"/>
  <c r="I408" i="19"/>
  <c r="I552" i="19" s="1"/>
  <c r="H431" i="19"/>
  <c r="Q474" i="19"/>
  <c r="Q475" i="19"/>
  <c r="Q476" i="19"/>
  <c r="Q477" i="19"/>
  <c r="Q478" i="19"/>
  <c r="Q569" i="19"/>
  <c r="Q570" i="19"/>
  <c r="Q574" i="19"/>
  <c r="P159" i="19"/>
  <c r="P447" i="19" s="1"/>
  <c r="P223" i="19"/>
  <c r="F223" i="19"/>
  <c r="P271" i="19"/>
  <c r="G287" i="19"/>
  <c r="F335" i="19"/>
  <c r="G367" i="19"/>
  <c r="G415" i="19"/>
  <c r="Q233" i="19"/>
  <c r="Q237" i="19"/>
  <c r="Q249" i="19"/>
  <c r="Q253" i="19"/>
  <c r="Q280" i="19"/>
  <c r="Q283" i="19"/>
  <c r="I504" i="19"/>
  <c r="Q504" i="19" s="1"/>
  <c r="I505" i="19"/>
  <c r="Q505" i="19" s="1"/>
  <c r="I506" i="19"/>
  <c r="Q506" i="19" s="1"/>
  <c r="I507" i="19"/>
  <c r="Q507" i="19" s="1"/>
  <c r="I508" i="19"/>
  <c r="Q508" i="19" s="1"/>
  <c r="I267" i="19"/>
  <c r="Q267" i="19" s="1"/>
  <c r="I265" i="19"/>
  <c r="Q265" i="19" s="1"/>
  <c r="I316" i="19"/>
  <c r="Q316" i="19" s="1"/>
  <c r="Q184" i="19"/>
  <c r="Q185" i="19"/>
  <c r="Q186" i="19"/>
  <c r="Q187" i="19"/>
  <c r="Q188" i="19"/>
  <c r="Q189" i="19"/>
  <c r="Q190" i="19"/>
  <c r="H271" i="19"/>
  <c r="H559" i="19" s="1"/>
  <c r="H383" i="19"/>
  <c r="I379" i="19"/>
  <c r="G319" i="19"/>
  <c r="Q222" i="19"/>
  <c r="Q264" i="19"/>
  <c r="Q269" i="19"/>
  <c r="D463" i="19"/>
  <c r="J463" i="19"/>
  <c r="L463" i="19"/>
  <c r="N463" i="19"/>
  <c r="Q330" i="19"/>
  <c r="Q332" i="19"/>
  <c r="Q333" i="19"/>
  <c r="Q334" i="19"/>
  <c r="J495" i="19"/>
  <c r="L495" i="19"/>
  <c r="N495" i="19"/>
  <c r="Q376" i="19"/>
  <c r="Q381" i="19"/>
  <c r="Q382" i="19"/>
  <c r="C527" i="19"/>
  <c r="E527" i="19"/>
  <c r="K527" i="19"/>
  <c r="M527" i="19"/>
  <c r="O527" i="19"/>
  <c r="D543" i="19"/>
  <c r="J543" i="19"/>
  <c r="L543" i="19"/>
  <c r="N543" i="19"/>
  <c r="C559" i="19"/>
  <c r="L559" i="19"/>
  <c r="N559" i="19"/>
  <c r="Q424" i="19"/>
  <c r="Q425" i="19"/>
  <c r="C463" i="19"/>
  <c r="E463" i="19"/>
  <c r="K463" i="19"/>
  <c r="M463" i="19"/>
  <c r="O463" i="19"/>
  <c r="Q344" i="19"/>
  <c r="I488" i="19"/>
  <c r="I489" i="19"/>
  <c r="Q346" i="19"/>
  <c r="I490" i="19"/>
  <c r="Q347" i="19"/>
  <c r="Q349" i="19"/>
  <c r="I493" i="19"/>
  <c r="Q350" i="19"/>
  <c r="I494" i="19"/>
  <c r="H495" i="19"/>
  <c r="K495" i="19"/>
  <c r="M495" i="19"/>
  <c r="O495" i="19"/>
  <c r="D527" i="19"/>
  <c r="J527" i="19"/>
  <c r="L527" i="19"/>
  <c r="N527" i="19"/>
  <c r="C543" i="19"/>
  <c r="E543" i="19"/>
  <c r="K543" i="19"/>
  <c r="M543" i="19"/>
  <c r="O543" i="19"/>
  <c r="K559" i="19"/>
  <c r="M559" i="19"/>
  <c r="O559" i="19"/>
  <c r="Q426" i="19"/>
  <c r="Q427" i="19"/>
  <c r="Q428" i="19"/>
  <c r="Q429" i="19"/>
  <c r="Q430" i="19"/>
  <c r="I509" i="19"/>
  <c r="Q509" i="19" s="1"/>
  <c r="I510" i="19"/>
  <c r="Q510" i="19" s="1"/>
  <c r="G255" i="19"/>
  <c r="F367" i="19"/>
  <c r="I398" i="19"/>
  <c r="I397" i="19"/>
  <c r="I396" i="19"/>
  <c r="I395" i="19"/>
  <c r="I394" i="19"/>
  <c r="H399" i="19"/>
  <c r="H543" i="19" s="1"/>
  <c r="I393" i="19"/>
  <c r="I392" i="19"/>
  <c r="F415" i="19"/>
  <c r="G431" i="19"/>
  <c r="G479" i="19"/>
  <c r="F575" i="19"/>
  <c r="G159" i="19"/>
  <c r="F399" i="19"/>
  <c r="H367" i="19"/>
  <c r="I567" i="19"/>
  <c r="I503" i="19"/>
  <c r="I471" i="19"/>
  <c r="I423" i="19"/>
  <c r="I407" i="19"/>
  <c r="I391" i="19"/>
  <c r="I375" i="19"/>
  <c r="I359" i="19"/>
  <c r="I343" i="19"/>
  <c r="I327" i="19"/>
  <c r="I311" i="19"/>
  <c r="I279" i="19"/>
  <c r="I263" i="19"/>
  <c r="I247" i="19"/>
  <c r="I231" i="19"/>
  <c r="I215" i="19"/>
  <c r="I199" i="19"/>
  <c r="I183" i="19"/>
  <c r="I151" i="19"/>
  <c r="I492" i="19" l="1"/>
  <c r="Q408" i="19"/>
  <c r="H527" i="19"/>
  <c r="I491" i="19"/>
  <c r="I558" i="19"/>
  <c r="I458" i="19"/>
  <c r="I554" i="19"/>
  <c r="I520" i="19"/>
  <c r="G543" i="19"/>
  <c r="P559" i="19"/>
  <c r="I457" i="19"/>
  <c r="I521" i="19"/>
  <c r="I299" i="19"/>
  <c r="I523" i="19"/>
  <c r="I522" i="19"/>
  <c r="Q410" i="19"/>
  <c r="Q554" i="19" s="1"/>
  <c r="F447" i="19"/>
  <c r="P495" i="19"/>
  <c r="H463" i="19"/>
  <c r="Q458" i="19"/>
  <c r="G559" i="19"/>
  <c r="Q378" i="19"/>
  <c r="Q522" i="19" s="1"/>
  <c r="G495" i="19"/>
  <c r="G527" i="19"/>
  <c r="F495" i="19"/>
  <c r="I526" i="19"/>
  <c r="P543" i="19"/>
  <c r="Q524" i="19"/>
  <c r="P527" i="19"/>
  <c r="I461" i="19"/>
  <c r="I524" i="19"/>
  <c r="I462" i="19"/>
  <c r="F559" i="19"/>
  <c r="Q526" i="19"/>
  <c r="F463" i="19"/>
  <c r="Q462" i="19"/>
  <c r="I460" i="19"/>
  <c r="Q456" i="19"/>
  <c r="Q521" i="19"/>
  <c r="I555" i="19"/>
  <c r="F543" i="19"/>
  <c r="I456" i="19"/>
  <c r="I459" i="19"/>
  <c r="Q493" i="19"/>
  <c r="Q491" i="19"/>
  <c r="Q489" i="19"/>
  <c r="Q379" i="19"/>
  <c r="Q523" i="19" s="1"/>
  <c r="Q520" i="19"/>
  <c r="Q313" i="19"/>
  <c r="Q457" i="19" s="1"/>
  <c r="Q174" i="19"/>
  <c r="Q175" i="19" s="1"/>
  <c r="P175" i="19"/>
  <c r="I297" i="19"/>
  <c r="Q297" i="19" s="1"/>
  <c r="Q441" i="19" s="1"/>
  <c r="G303" i="19"/>
  <c r="G447" i="19" s="1"/>
  <c r="I443" i="19"/>
  <c r="Q299" i="19"/>
  <c r="Q443" i="19" s="1"/>
  <c r="I439" i="19"/>
  <c r="Q295" i="19"/>
  <c r="I442" i="19"/>
  <c r="Q298" i="19"/>
  <c r="Q442" i="19" s="1"/>
  <c r="I444" i="19"/>
  <c r="Q300" i="19"/>
  <c r="Q444" i="19" s="1"/>
  <c r="I446" i="19"/>
  <c r="Q302" i="19"/>
  <c r="Q446" i="19" s="1"/>
  <c r="H439" i="19"/>
  <c r="H303" i="19"/>
  <c r="H447" i="19" s="1"/>
  <c r="I445" i="19"/>
  <c r="Q301" i="19"/>
  <c r="Q445" i="19" s="1"/>
  <c r="I440" i="19"/>
  <c r="Q296" i="19"/>
  <c r="Q440" i="19" s="1"/>
  <c r="G463" i="19"/>
  <c r="Q525" i="19"/>
  <c r="Q460" i="19"/>
  <c r="P463" i="19"/>
  <c r="Q494" i="19"/>
  <c r="Q492" i="19"/>
  <c r="Q490" i="19"/>
  <c r="Q488" i="19"/>
  <c r="Q558" i="19"/>
  <c r="Q461" i="19"/>
  <c r="Q459" i="19"/>
  <c r="Q557" i="19"/>
  <c r="Q552" i="19"/>
  <c r="Q555" i="19"/>
  <c r="Q556" i="19"/>
  <c r="I455" i="19"/>
  <c r="Q553" i="19"/>
  <c r="I519" i="19"/>
  <c r="Q393" i="19"/>
  <c r="Q537" i="19" s="1"/>
  <c r="I537" i="19"/>
  <c r="Q396" i="19"/>
  <c r="Q540" i="19" s="1"/>
  <c r="I540" i="19"/>
  <c r="Q398" i="19"/>
  <c r="Q542" i="19" s="1"/>
  <c r="I542" i="19"/>
  <c r="I487" i="19"/>
  <c r="I551" i="19"/>
  <c r="Q394" i="19"/>
  <c r="Q538" i="19" s="1"/>
  <c r="I538" i="19"/>
  <c r="I535" i="19"/>
  <c r="Q392" i="19"/>
  <c r="Q536" i="19" s="1"/>
  <c r="I536" i="19"/>
  <c r="Q395" i="19"/>
  <c r="Q539" i="19" s="1"/>
  <c r="I539" i="19"/>
  <c r="Q397" i="19"/>
  <c r="Q541" i="19" s="1"/>
  <c r="Q567" i="19"/>
  <c r="Q575" i="19" s="1"/>
  <c r="I511" i="19"/>
  <c r="Q503" i="19"/>
  <c r="Q511" i="19" s="1"/>
  <c r="I479" i="19"/>
  <c r="Q471" i="19"/>
  <c r="Q479" i="19" s="1"/>
  <c r="I431" i="19"/>
  <c r="Q423" i="19"/>
  <c r="Q431" i="19" s="1"/>
  <c r="I415" i="19"/>
  <c r="Q407" i="19"/>
  <c r="I399" i="19"/>
  <c r="Q391" i="19"/>
  <c r="I383" i="19"/>
  <c r="Q375" i="19"/>
  <c r="I367" i="19"/>
  <c r="Q359" i="19"/>
  <c r="Q367" i="19" s="1"/>
  <c r="I351" i="19"/>
  <c r="Q343" i="19"/>
  <c r="I335" i="19"/>
  <c r="Q327" i="19"/>
  <c r="Q335" i="19" s="1"/>
  <c r="I319" i="19"/>
  <c r="Q311" i="19"/>
  <c r="I287" i="19"/>
  <c r="Q279" i="19"/>
  <c r="Q287" i="19" s="1"/>
  <c r="I271" i="19"/>
  <c r="Q263" i="19"/>
  <c r="Q271" i="19" s="1"/>
  <c r="I255" i="19"/>
  <c r="Q247" i="19"/>
  <c r="Q255" i="19" s="1"/>
  <c r="I239" i="19"/>
  <c r="Q231" i="19"/>
  <c r="Q239" i="19" s="1"/>
  <c r="I223" i="19"/>
  <c r="Q215" i="19"/>
  <c r="Q223" i="19" s="1"/>
  <c r="I207" i="19"/>
  <c r="Q199" i="19"/>
  <c r="Q207" i="19" s="1"/>
  <c r="I191" i="19"/>
  <c r="Q183" i="19"/>
  <c r="Q191" i="19" s="1"/>
  <c r="I159" i="19"/>
  <c r="Q151" i="19"/>
  <c r="I303" i="19" l="1"/>
  <c r="I447" i="19"/>
  <c r="I441" i="19"/>
  <c r="Q319" i="19"/>
  <c r="Q455" i="19"/>
  <c r="Q439" i="19"/>
  <c r="Q303" i="19"/>
  <c r="I575" i="19"/>
  <c r="I463" i="19"/>
  <c r="Q351" i="19"/>
  <c r="Q495" i="19" s="1"/>
  <c r="Q487" i="19"/>
  <c r="Q383" i="19"/>
  <c r="Q527" i="19" s="1"/>
  <c r="Q519" i="19"/>
  <c r="Q399" i="19"/>
  <c r="Q543" i="19" s="1"/>
  <c r="Q535" i="19"/>
  <c r="Q415" i="19"/>
  <c r="Q559" i="19" s="1"/>
  <c r="Q551" i="19"/>
  <c r="I495" i="19"/>
  <c r="I527" i="19"/>
  <c r="I543" i="19"/>
  <c r="I559" i="19"/>
  <c r="Q159" i="19"/>
  <c r="C83" i="5"/>
  <c r="C87" i="5" s="1"/>
  <c r="E116" i="9"/>
  <c r="F116" i="9"/>
  <c r="G116" i="9"/>
  <c r="H116" i="9"/>
  <c r="I116" i="9"/>
  <c r="J116" i="9"/>
  <c r="K116" i="9"/>
  <c r="L116" i="9"/>
  <c r="M116" i="9"/>
  <c r="N116" i="9"/>
  <c r="D116" i="9"/>
  <c r="O44" i="4"/>
  <c r="O46" i="4"/>
  <c r="O47" i="4"/>
  <c r="O42" i="4"/>
  <c r="F136" i="19"/>
  <c r="G136" i="19"/>
  <c r="H136" i="19"/>
  <c r="F137" i="19"/>
  <c r="G137" i="19"/>
  <c r="H137" i="19"/>
  <c r="F138" i="19"/>
  <c r="G138" i="19"/>
  <c r="H138" i="19"/>
  <c r="F139" i="19"/>
  <c r="G139" i="19"/>
  <c r="H139" i="19"/>
  <c r="F140" i="19"/>
  <c r="G140" i="19"/>
  <c r="H140" i="19"/>
  <c r="F141" i="19"/>
  <c r="G141" i="19"/>
  <c r="H141" i="19"/>
  <c r="F142" i="19"/>
  <c r="G142" i="19"/>
  <c r="H142" i="19"/>
  <c r="G135" i="19"/>
  <c r="H135" i="19"/>
  <c r="F135" i="19"/>
  <c r="F120" i="19"/>
  <c r="G120" i="19"/>
  <c r="H120" i="19"/>
  <c r="F121" i="19"/>
  <c r="G121" i="19"/>
  <c r="H121" i="19"/>
  <c r="F122" i="19"/>
  <c r="G122" i="19"/>
  <c r="H122" i="19"/>
  <c r="F123" i="19"/>
  <c r="G123" i="19"/>
  <c r="H123" i="19"/>
  <c r="F124" i="19"/>
  <c r="G124" i="19"/>
  <c r="H124" i="19"/>
  <c r="F125" i="19"/>
  <c r="G125" i="19"/>
  <c r="H125" i="19"/>
  <c r="F126" i="19"/>
  <c r="G126" i="19"/>
  <c r="H126" i="19"/>
  <c r="G119" i="19"/>
  <c r="H119" i="19"/>
  <c r="F119" i="19"/>
  <c r="F104" i="19"/>
  <c r="G104" i="19"/>
  <c r="H104" i="19"/>
  <c r="F105" i="19"/>
  <c r="G105" i="19"/>
  <c r="H105" i="19"/>
  <c r="F106" i="19"/>
  <c r="G106" i="19"/>
  <c r="H106" i="19"/>
  <c r="F107" i="19"/>
  <c r="G107" i="19"/>
  <c r="H107" i="19"/>
  <c r="F108" i="19"/>
  <c r="G108" i="19"/>
  <c r="H108" i="19"/>
  <c r="F109" i="19"/>
  <c r="G109" i="19"/>
  <c r="H109" i="19"/>
  <c r="F110" i="19"/>
  <c r="G110" i="19"/>
  <c r="H110" i="19"/>
  <c r="G103" i="19"/>
  <c r="H103" i="19"/>
  <c r="F103" i="19"/>
  <c r="F88" i="19"/>
  <c r="G88" i="19"/>
  <c r="H88" i="19"/>
  <c r="F89" i="19"/>
  <c r="G89" i="19"/>
  <c r="H89" i="19"/>
  <c r="F90" i="19"/>
  <c r="G90" i="19"/>
  <c r="H90" i="19"/>
  <c r="F91" i="19"/>
  <c r="G91" i="19"/>
  <c r="H91" i="19"/>
  <c r="F92" i="19"/>
  <c r="G92" i="19"/>
  <c r="H92" i="19"/>
  <c r="F93" i="19"/>
  <c r="G93" i="19"/>
  <c r="H93" i="19"/>
  <c r="F94" i="19"/>
  <c r="G94" i="19"/>
  <c r="H94" i="19"/>
  <c r="G87" i="19"/>
  <c r="H87" i="19"/>
  <c r="F87" i="19"/>
  <c r="F72" i="19"/>
  <c r="G72" i="19"/>
  <c r="H72" i="19"/>
  <c r="F73" i="19"/>
  <c r="G73" i="19"/>
  <c r="H73" i="19"/>
  <c r="F74" i="19"/>
  <c r="G74" i="19"/>
  <c r="H74" i="19"/>
  <c r="F75" i="19"/>
  <c r="G75" i="19"/>
  <c r="H75" i="19"/>
  <c r="F76" i="19"/>
  <c r="G76" i="19"/>
  <c r="H76" i="19"/>
  <c r="F77" i="19"/>
  <c r="G77" i="19"/>
  <c r="H77" i="19"/>
  <c r="F78" i="19"/>
  <c r="G78" i="19"/>
  <c r="H78" i="19"/>
  <c r="G71" i="19"/>
  <c r="H71" i="19"/>
  <c r="F71" i="19"/>
  <c r="F40" i="19"/>
  <c r="G40" i="19"/>
  <c r="H40" i="19"/>
  <c r="H8" i="19" s="1"/>
  <c r="G41" i="19"/>
  <c r="G9" i="19" s="1"/>
  <c r="H41" i="19"/>
  <c r="F42" i="19"/>
  <c r="F10" i="19" s="1"/>
  <c r="G42" i="19"/>
  <c r="H42" i="19"/>
  <c r="H10" i="19" s="1"/>
  <c r="F43" i="19"/>
  <c r="G43" i="19"/>
  <c r="G11" i="19" s="1"/>
  <c r="H43" i="19"/>
  <c r="F44" i="19"/>
  <c r="F12" i="19" s="1"/>
  <c r="G44" i="19"/>
  <c r="G12" i="19" s="1"/>
  <c r="H44" i="19"/>
  <c r="F45" i="19"/>
  <c r="G45" i="19"/>
  <c r="G13" i="19" s="1"/>
  <c r="H45" i="19"/>
  <c r="F46" i="19"/>
  <c r="F14" i="19" s="1"/>
  <c r="G46" i="19"/>
  <c r="H46" i="19"/>
  <c r="G39" i="19"/>
  <c r="H39" i="19"/>
  <c r="F39" i="19"/>
  <c r="F8" i="19"/>
  <c r="F11" i="19"/>
  <c r="D43" i="10" l="1"/>
  <c r="D42" i="10"/>
  <c r="D41" i="10"/>
  <c r="D40" i="10"/>
  <c r="D39" i="10"/>
  <c r="D38" i="10"/>
  <c r="D37" i="10"/>
  <c r="Q463" i="19"/>
  <c r="Q447" i="19"/>
  <c r="D36" i="10"/>
  <c r="F7" i="19"/>
  <c r="G8" i="19"/>
  <c r="H14" i="19"/>
  <c r="H13" i="19"/>
  <c r="H12" i="19"/>
  <c r="T12" i="19" s="1"/>
  <c r="U12" i="19" s="1"/>
  <c r="H9" i="19"/>
  <c r="H7" i="19"/>
  <c r="G7" i="19"/>
  <c r="G14" i="19"/>
  <c r="F13" i="19"/>
  <c r="H11" i="19"/>
  <c r="T11" i="19" s="1"/>
  <c r="U11" i="19" s="1"/>
  <c r="G10" i="19"/>
  <c r="T10" i="19" s="1"/>
  <c r="U10" i="19" s="1"/>
  <c r="F9" i="19"/>
  <c r="T13" i="19" l="1"/>
  <c r="U13" i="19" s="1"/>
  <c r="T14" i="19"/>
  <c r="U14" i="19" s="1"/>
  <c r="T9" i="19"/>
  <c r="U9" i="19" s="1"/>
  <c r="T8" i="19"/>
  <c r="U8" i="19" s="1"/>
  <c r="T7" i="19"/>
  <c r="U7" i="19" s="1"/>
  <c r="T15" i="19" l="1"/>
  <c r="U15" i="19"/>
  <c r="Q116" i="5" l="1"/>
  <c r="O15" i="19" l="1"/>
  <c r="N15" i="19"/>
  <c r="M15" i="19"/>
  <c r="M16" i="19" s="1"/>
  <c r="L15" i="19"/>
  <c r="L16" i="19" s="1"/>
  <c r="K15" i="19"/>
  <c r="K16" i="19" s="1"/>
  <c r="J15" i="19"/>
  <c r="H15" i="19"/>
  <c r="G15" i="19"/>
  <c r="F15" i="19"/>
  <c r="P14" i="19"/>
  <c r="P13" i="19"/>
  <c r="P12" i="19"/>
  <c r="P11" i="19"/>
  <c r="P10" i="19"/>
  <c r="P9" i="19"/>
  <c r="P8" i="19"/>
  <c r="P15" i="19" l="1"/>
  <c r="I13" i="19" l="1"/>
  <c r="Q13" i="19" s="1"/>
  <c r="W13" i="19" s="1"/>
  <c r="E143" i="19"/>
  <c r="D143" i="19"/>
  <c r="P142" i="19"/>
  <c r="P141" i="19"/>
  <c r="I141" i="19"/>
  <c r="P140" i="19"/>
  <c r="I140" i="19"/>
  <c r="P139" i="19"/>
  <c r="P138" i="19"/>
  <c r="I138" i="19"/>
  <c r="P137" i="19"/>
  <c r="I137" i="19"/>
  <c r="P136" i="19"/>
  <c r="I136" i="19"/>
  <c r="O143" i="19"/>
  <c r="N143" i="19"/>
  <c r="M143" i="19"/>
  <c r="L143" i="19"/>
  <c r="K143" i="19"/>
  <c r="J143" i="19"/>
  <c r="H143" i="19"/>
  <c r="G143" i="19"/>
  <c r="F143" i="19"/>
  <c r="D127" i="19"/>
  <c r="C127" i="19"/>
  <c r="P126" i="19"/>
  <c r="I126" i="19"/>
  <c r="P125" i="19"/>
  <c r="P124" i="19"/>
  <c r="I124" i="19"/>
  <c r="P123" i="19"/>
  <c r="I123" i="19"/>
  <c r="P122" i="19"/>
  <c r="I122" i="19"/>
  <c r="I121" i="19"/>
  <c r="P120" i="19"/>
  <c r="I120" i="19"/>
  <c r="O127" i="19"/>
  <c r="N127" i="19"/>
  <c r="M127" i="19"/>
  <c r="L127" i="19"/>
  <c r="K127" i="19"/>
  <c r="J127" i="19"/>
  <c r="H127" i="19"/>
  <c r="G127" i="19"/>
  <c r="F127" i="19"/>
  <c r="C111" i="19"/>
  <c r="P110" i="19"/>
  <c r="I110" i="19"/>
  <c r="P109" i="19"/>
  <c r="I109" i="19"/>
  <c r="P108" i="19"/>
  <c r="I108" i="19"/>
  <c r="P107" i="19"/>
  <c r="I107" i="19"/>
  <c r="P106" i="19"/>
  <c r="I106" i="19"/>
  <c r="P105" i="19"/>
  <c r="I105" i="19"/>
  <c r="P104" i="19"/>
  <c r="I104" i="19"/>
  <c r="O111" i="19"/>
  <c r="N111" i="19"/>
  <c r="M111" i="19"/>
  <c r="L111" i="19"/>
  <c r="K111" i="19"/>
  <c r="P103" i="19"/>
  <c r="H111" i="19"/>
  <c r="G111" i="19"/>
  <c r="F111" i="19"/>
  <c r="E95" i="19"/>
  <c r="C95" i="19"/>
  <c r="P94" i="19"/>
  <c r="I94" i="19"/>
  <c r="P93" i="19"/>
  <c r="I93" i="19"/>
  <c r="P92" i="19"/>
  <c r="I92" i="19"/>
  <c r="P91" i="19"/>
  <c r="I91" i="19"/>
  <c r="P90" i="19"/>
  <c r="I90" i="19"/>
  <c r="P89" i="19"/>
  <c r="P88" i="19"/>
  <c r="I88" i="19"/>
  <c r="O95" i="19"/>
  <c r="N95" i="19"/>
  <c r="M95" i="19"/>
  <c r="L95" i="19"/>
  <c r="K95" i="19"/>
  <c r="J95" i="19"/>
  <c r="H95" i="19"/>
  <c r="G95" i="19"/>
  <c r="F95" i="19"/>
  <c r="E79" i="19"/>
  <c r="D79" i="19"/>
  <c r="C79" i="19"/>
  <c r="P78" i="19"/>
  <c r="I78" i="19"/>
  <c r="P77" i="19"/>
  <c r="I77" i="19"/>
  <c r="P76" i="19"/>
  <c r="I76" i="19"/>
  <c r="P75" i="19"/>
  <c r="I75" i="19"/>
  <c r="P74" i="19"/>
  <c r="I74" i="19"/>
  <c r="P73" i="19"/>
  <c r="I73" i="19"/>
  <c r="P72" i="19"/>
  <c r="I72" i="19"/>
  <c r="O79" i="19"/>
  <c r="N79" i="19"/>
  <c r="M79" i="19"/>
  <c r="L79" i="19"/>
  <c r="K79" i="19"/>
  <c r="P71" i="19"/>
  <c r="H79" i="19"/>
  <c r="G79" i="19"/>
  <c r="F79" i="19"/>
  <c r="E63" i="19"/>
  <c r="C63" i="19"/>
  <c r="P62" i="19"/>
  <c r="P61" i="19"/>
  <c r="I61" i="19"/>
  <c r="P60" i="19"/>
  <c r="I60" i="19"/>
  <c r="P59" i="19"/>
  <c r="I59" i="19"/>
  <c r="P58" i="19"/>
  <c r="P57" i="19"/>
  <c r="I57" i="19"/>
  <c r="P56" i="19"/>
  <c r="O63" i="19"/>
  <c r="N63" i="19"/>
  <c r="M63" i="19"/>
  <c r="L63" i="19"/>
  <c r="K63" i="19"/>
  <c r="J63" i="19"/>
  <c r="H63" i="19"/>
  <c r="I55" i="19"/>
  <c r="F63" i="19"/>
  <c r="E47" i="19"/>
  <c r="D47" i="19"/>
  <c r="C47" i="19"/>
  <c r="P46" i="19"/>
  <c r="I46" i="19"/>
  <c r="P45" i="19"/>
  <c r="I45" i="19"/>
  <c r="P44" i="19"/>
  <c r="I44" i="19"/>
  <c r="P43" i="19"/>
  <c r="I43" i="19"/>
  <c r="P42" i="19"/>
  <c r="I42" i="19"/>
  <c r="P41" i="19"/>
  <c r="I41" i="19"/>
  <c r="P40" i="19"/>
  <c r="I40" i="19"/>
  <c r="O47" i="19"/>
  <c r="N47" i="19"/>
  <c r="M47" i="19"/>
  <c r="L47" i="19"/>
  <c r="K47" i="19"/>
  <c r="P39" i="19"/>
  <c r="H47" i="19"/>
  <c r="G47" i="19"/>
  <c r="F47" i="19"/>
  <c r="C31" i="19"/>
  <c r="P30" i="19"/>
  <c r="P29" i="19"/>
  <c r="I29" i="19"/>
  <c r="P28" i="19"/>
  <c r="I28" i="19"/>
  <c r="P27" i="19"/>
  <c r="P26" i="19"/>
  <c r="I26" i="19"/>
  <c r="P25" i="19"/>
  <c r="I25" i="19"/>
  <c r="P24" i="19"/>
  <c r="I24" i="19"/>
  <c r="O31" i="19"/>
  <c r="N31" i="19"/>
  <c r="M31" i="19"/>
  <c r="L31" i="19"/>
  <c r="K31" i="19"/>
  <c r="P23" i="19"/>
  <c r="H31" i="19"/>
  <c r="G31" i="19"/>
  <c r="F31" i="19"/>
  <c r="Q122" i="19" l="1"/>
  <c r="Q123" i="19"/>
  <c r="Q124" i="19"/>
  <c r="Q137" i="19"/>
  <c r="E15" i="19"/>
  <c r="I14" i="19"/>
  <c r="Q14" i="19" s="1"/>
  <c r="W14" i="19" s="1"/>
  <c r="I12" i="19"/>
  <c r="Q12" i="19" s="1"/>
  <c r="W12" i="19" s="1"/>
  <c r="Q57" i="19"/>
  <c r="I10" i="19"/>
  <c r="Q10" i="19" s="1"/>
  <c r="W10" i="19" s="1"/>
  <c r="I8" i="19"/>
  <c r="Q8" i="19" s="1"/>
  <c r="W8" i="19" s="1"/>
  <c r="I11" i="19"/>
  <c r="Q11" i="19" s="1"/>
  <c r="W11" i="19" s="1"/>
  <c r="I9" i="19"/>
  <c r="Q9" i="19" s="1"/>
  <c r="W9" i="19" s="1"/>
  <c r="Q90" i="19"/>
  <c r="Q92" i="19"/>
  <c r="I7" i="19"/>
  <c r="C15" i="19"/>
  <c r="Q40" i="19"/>
  <c r="Q41" i="19"/>
  <c r="Q42" i="19"/>
  <c r="Q43" i="19"/>
  <c r="Q45" i="19"/>
  <c r="Q60" i="19"/>
  <c r="Q72" i="19"/>
  <c r="Q73" i="19"/>
  <c r="Q74" i="19"/>
  <c r="Q75" i="19"/>
  <c r="Q76" i="19"/>
  <c r="Q77" i="19"/>
  <c r="Q78" i="19"/>
  <c r="Q88" i="19"/>
  <c r="Q104" i="19"/>
  <c r="Q105" i="19"/>
  <c r="Q106" i="19"/>
  <c r="Q107" i="19"/>
  <c r="Q108" i="19"/>
  <c r="Q109" i="19"/>
  <c r="Q110" i="19"/>
  <c r="Q126" i="19"/>
  <c r="Q141" i="19"/>
  <c r="D15" i="19"/>
  <c r="I62" i="19"/>
  <c r="Q62" i="19" s="1"/>
  <c r="I58" i="19"/>
  <c r="Q58" i="19" s="1"/>
  <c r="I56" i="19"/>
  <c r="Q56" i="19" s="1"/>
  <c r="I89" i="19"/>
  <c r="Q89" i="19" s="1"/>
  <c r="I142" i="19"/>
  <c r="Q142" i="19" s="1"/>
  <c r="E127" i="19"/>
  <c r="I125" i="19"/>
  <c r="Q125" i="19" s="1"/>
  <c r="E111" i="19"/>
  <c r="I30" i="19"/>
  <c r="Q30" i="19" s="1"/>
  <c r="E31" i="19"/>
  <c r="D111" i="19"/>
  <c r="D95" i="19"/>
  <c r="D63" i="19"/>
  <c r="D31" i="19"/>
  <c r="C143" i="19"/>
  <c r="I139" i="19"/>
  <c r="Q139" i="19" s="1"/>
  <c r="Q120" i="19"/>
  <c r="Q94" i="19"/>
  <c r="I27" i="19"/>
  <c r="Q27" i="19" s="1"/>
  <c r="Q25" i="19"/>
  <c r="P31" i="19"/>
  <c r="Q24" i="19"/>
  <c r="Q26" i="19"/>
  <c r="Q28" i="19"/>
  <c r="P47" i="19"/>
  <c r="Q44" i="19"/>
  <c r="Q46" i="19"/>
  <c r="Q59" i="19"/>
  <c r="Q61" i="19"/>
  <c r="P79" i="19"/>
  <c r="Q91" i="19"/>
  <c r="Q93" i="19"/>
  <c r="P111" i="19"/>
  <c r="Q29" i="19"/>
  <c r="I23" i="19"/>
  <c r="J31" i="19"/>
  <c r="I39" i="19"/>
  <c r="J47" i="19"/>
  <c r="P55" i="19"/>
  <c r="P63" i="19" s="1"/>
  <c r="G63" i="19"/>
  <c r="I71" i="19"/>
  <c r="J79" i="19"/>
  <c r="P87" i="19"/>
  <c r="P95" i="19" s="1"/>
  <c r="I103" i="19"/>
  <c r="J111" i="19"/>
  <c r="P119" i="19"/>
  <c r="Q136" i="19"/>
  <c r="Q138" i="19"/>
  <c r="Q140" i="19"/>
  <c r="I87" i="19"/>
  <c r="I119" i="19"/>
  <c r="P121" i="19"/>
  <c r="Q121" i="19" s="1"/>
  <c r="P135" i="19"/>
  <c r="P143" i="19" s="1"/>
  <c r="I135" i="19"/>
  <c r="O75" i="1"/>
  <c r="I15" i="19" l="1"/>
  <c r="U21" i="19" s="1"/>
  <c r="Q7" i="19"/>
  <c r="I63" i="19"/>
  <c r="P127" i="19"/>
  <c r="Q55" i="19"/>
  <c r="Q63" i="19" s="1"/>
  <c r="Q87" i="19"/>
  <c r="Q95" i="19" s="1"/>
  <c r="I95" i="19"/>
  <c r="I79" i="19"/>
  <c r="Q71" i="19"/>
  <c r="Q79" i="19" s="1"/>
  <c r="I47" i="19"/>
  <c r="Q39" i="19"/>
  <c r="Q47" i="19" s="1"/>
  <c r="I31" i="19"/>
  <c r="Q23" i="19"/>
  <c r="Q31" i="19" s="1"/>
  <c r="Q135" i="19"/>
  <c r="Q143" i="19" s="1"/>
  <c r="I143" i="19"/>
  <c r="I127" i="19"/>
  <c r="Q119" i="19"/>
  <c r="Q127" i="19" s="1"/>
  <c r="I111" i="19"/>
  <c r="Q103" i="19"/>
  <c r="Q111" i="19" s="1"/>
  <c r="Q15" i="19" l="1"/>
  <c r="W7" i="19"/>
  <c r="W15" i="19" l="1"/>
  <c r="S17" i="19"/>
  <c r="D50" i="9"/>
  <c r="F50" i="9"/>
  <c r="G50" i="9"/>
  <c r="H50" i="9"/>
  <c r="I50" i="9"/>
  <c r="J50" i="9"/>
  <c r="K50" i="9"/>
  <c r="L50" i="9"/>
  <c r="M50" i="9"/>
  <c r="N50" i="9"/>
  <c r="C50" i="9"/>
  <c r="F60" i="10" l="1"/>
  <c r="F62" i="10"/>
  <c r="F63" i="10"/>
  <c r="F57" i="10"/>
  <c r="O12" i="1" l="1"/>
  <c r="C11" i="10" s="1"/>
  <c r="Q10" i="9" l="1"/>
  <c r="Q11" i="9"/>
  <c r="Q12" i="9"/>
  <c r="Q13" i="9"/>
  <c r="Q14" i="9"/>
  <c r="Q15" i="9"/>
  <c r="Q16" i="9"/>
  <c r="Q9" i="9"/>
  <c r="Q76" i="5" l="1"/>
  <c r="Q77" i="5"/>
  <c r="Q78" i="5"/>
  <c r="Q79" i="5"/>
  <c r="Q80" i="5"/>
  <c r="Q81" i="5"/>
  <c r="Q82" i="5"/>
  <c r="Q75" i="5"/>
  <c r="Q43" i="5"/>
  <c r="Q44" i="5"/>
  <c r="Q45" i="5"/>
  <c r="Q46" i="5"/>
  <c r="Q47" i="5"/>
  <c r="Q48" i="5"/>
  <c r="Q49" i="5"/>
  <c r="Q42" i="5"/>
  <c r="Q10" i="5"/>
  <c r="Q11" i="5"/>
  <c r="Q12" i="5"/>
  <c r="Q13" i="5"/>
  <c r="Q14" i="5"/>
  <c r="Q15" i="5"/>
  <c r="Q16" i="5"/>
  <c r="Q9" i="5"/>
  <c r="H83" i="5" l="1"/>
  <c r="H87" i="5" s="1"/>
  <c r="D44" i="10" l="1"/>
  <c r="Q76" i="9" l="1"/>
  <c r="Q77" i="9"/>
  <c r="Q78" i="9"/>
  <c r="Q79" i="9"/>
  <c r="Q80" i="9"/>
  <c r="Q81" i="9"/>
  <c r="Q82" i="9"/>
  <c r="Q75" i="9"/>
  <c r="Q43" i="9"/>
  <c r="Q44" i="9"/>
  <c r="Q45" i="9"/>
  <c r="Q46" i="9"/>
  <c r="Q47" i="9"/>
  <c r="Q48" i="9"/>
  <c r="Q49" i="9"/>
  <c r="Q42" i="9"/>
  <c r="F50" i="3" l="1"/>
  <c r="O109" i="3" l="1"/>
  <c r="F23" i="10" s="1"/>
  <c r="O111" i="3"/>
  <c r="F25" i="10" s="1"/>
  <c r="O112" i="3"/>
  <c r="F26" i="10" s="1"/>
  <c r="O113" i="3"/>
  <c r="F27" i="10" s="1"/>
  <c r="O114" i="3"/>
  <c r="F28" i="10" s="1"/>
  <c r="O115" i="3"/>
  <c r="F29" i="10" s="1"/>
  <c r="O108" i="3"/>
  <c r="F22" i="10" s="1"/>
  <c r="P50" i="9" l="1"/>
  <c r="O49" i="9"/>
  <c r="D64" i="10" s="1"/>
  <c r="O46" i="9" l="1"/>
  <c r="D61" i="10" s="1"/>
  <c r="O44" i="9"/>
  <c r="D59" i="10" s="1"/>
  <c r="O43" i="9"/>
  <c r="D58" i="10" s="1"/>
  <c r="O42" i="9"/>
  <c r="D57" i="10" s="1"/>
  <c r="N32" i="2" l="1"/>
  <c r="M32" i="2"/>
  <c r="L32" i="2"/>
  <c r="K32" i="2"/>
  <c r="J32" i="2"/>
  <c r="I32" i="2"/>
  <c r="H32" i="2"/>
  <c r="G32" i="2"/>
  <c r="F32" i="2"/>
  <c r="E32" i="2"/>
  <c r="D32" i="2"/>
  <c r="C32" i="2"/>
  <c r="O31" i="2"/>
  <c r="O30" i="2"/>
  <c r="O29" i="2"/>
  <c r="O28" i="2"/>
  <c r="O27" i="2"/>
  <c r="O26" i="2"/>
  <c r="O25" i="2"/>
  <c r="O24" i="2"/>
  <c r="O32" i="2" l="1"/>
  <c r="O75" i="8" l="1"/>
  <c r="E122" i="10" s="1"/>
  <c r="O76" i="8"/>
  <c r="E123" i="10" s="1"/>
  <c r="O77" i="8"/>
  <c r="E124" i="10" s="1"/>
  <c r="O78" i="8"/>
  <c r="E125" i="10" s="1"/>
  <c r="O79" i="8"/>
  <c r="E126" i="10" s="1"/>
  <c r="O80" i="8"/>
  <c r="E127" i="10" s="1"/>
  <c r="O81" i="8"/>
  <c r="E128" i="10" s="1"/>
  <c r="O82" i="8"/>
  <c r="E129" i="10" s="1"/>
  <c r="O75" i="5"/>
  <c r="E71" i="10" s="1"/>
  <c r="O76" i="5"/>
  <c r="E72" i="10" s="1"/>
  <c r="O77" i="5"/>
  <c r="E73" i="10" s="1"/>
  <c r="O78" i="5"/>
  <c r="E74" i="10" s="1"/>
  <c r="O79" i="5"/>
  <c r="E75" i="10" s="1"/>
  <c r="O80" i="5"/>
  <c r="E76" i="10" s="1"/>
  <c r="O81" i="5"/>
  <c r="E77" i="10" s="1"/>
  <c r="O82" i="5"/>
  <c r="E78" i="10" s="1"/>
  <c r="E130" i="10" l="1"/>
  <c r="E79" i="10"/>
  <c r="D17" i="5" l="1"/>
  <c r="N83" i="9" l="1"/>
  <c r="M83" i="9"/>
  <c r="L83" i="9"/>
  <c r="K83" i="9"/>
  <c r="J83" i="9"/>
  <c r="I83" i="9"/>
  <c r="H83" i="9"/>
  <c r="G83" i="9"/>
  <c r="F83" i="9"/>
  <c r="E83" i="9"/>
  <c r="D83" i="9"/>
  <c r="C83" i="9"/>
  <c r="O82" i="9"/>
  <c r="E64" i="10" s="1"/>
  <c r="O81" i="9"/>
  <c r="E63" i="10" s="1"/>
  <c r="O80" i="9"/>
  <c r="E62" i="10" s="1"/>
  <c r="O79" i="9"/>
  <c r="E61" i="10" s="1"/>
  <c r="O78" i="9"/>
  <c r="E60" i="10" s="1"/>
  <c r="O77" i="9"/>
  <c r="E59" i="10" s="1"/>
  <c r="O76" i="9"/>
  <c r="O75" i="9"/>
  <c r="E57" i="10" s="1"/>
  <c r="O48" i="9"/>
  <c r="D63" i="10" s="1"/>
  <c r="O47" i="9"/>
  <c r="D62" i="10" s="1"/>
  <c r="O45" i="9"/>
  <c r="D60" i="10" s="1"/>
  <c r="N17" i="9"/>
  <c r="M17" i="9"/>
  <c r="L17" i="9"/>
  <c r="K17" i="9"/>
  <c r="J17" i="9"/>
  <c r="I17" i="9"/>
  <c r="H17" i="9"/>
  <c r="G17" i="9"/>
  <c r="F17" i="9"/>
  <c r="E17" i="9"/>
  <c r="D17" i="9"/>
  <c r="C17" i="9"/>
  <c r="O16" i="9"/>
  <c r="C64" i="10" s="1"/>
  <c r="O15" i="9"/>
  <c r="C63" i="10" s="1"/>
  <c r="O14" i="9"/>
  <c r="C62" i="10" s="1"/>
  <c r="O13" i="9"/>
  <c r="C61" i="10" s="1"/>
  <c r="O12" i="9"/>
  <c r="C60" i="10" s="1"/>
  <c r="O11" i="9"/>
  <c r="C59" i="10" s="1"/>
  <c r="O10" i="9"/>
  <c r="C58" i="10" s="1"/>
  <c r="O9" i="9"/>
  <c r="C57" i="10" s="1"/>
  <c r="N83" i="8"/>
  <c r="M83" i="8"/>
  <c r="L83" i="8"/>
  <c r="K83" i="8"/>
  <c r="J83" i="8"/>
  <c r="I83" i="8"/>
  <c r="H83" i="8"/>
  <c r="G83" i="8"/>
  <c r="F83" i="8"/>
  <c r="E83" i="8"/>
  <c r="D83" i="8"/>
  <c r="C83" i="8"/>
  <c r="N50" i="8"/>
  <c r="M50" i="8"/>
  <c r="L50" i="8"/>
  <c r="K50" i="8"/>
  <c r="J50" i="8"/>
  <c r="I50" i="8"/>
  <c r="H50" i="8"/>
  <c r="H116" i="8" s="1"/>
  <c r="G50" i="8"/>
  <c r="F50" i="8"/>
  <c r="E50" i="8"/>
  <c r="D50" i="8"/>
  <c r="C50" i="8"/>
  <c r="O49" i="8"/>
  <c r="O115" i="8" s="1"/>
  <c r="O48" i="8"/>
  <c r="O47" i="8"/>
  <c r="O46" i="8"/>
  <c r="O45" i="8"/>
  <c r="O111" i="8" s="1"/>
  <c r="O44" i="8"/>
  <c r="O43" i="8"/>
  <c r="O42" i="8"/>
  <c r="O108" i="8" s="1"/>
  <c r="N17" i="8"/>
  <c r="M17" i="8"/>
  <c r="L17" i="8"/>
  <c r="K17" i="8"/>
  <c r="J17" i="8"/>
  <c r="I17" i="8"/>
  <c r="H17" i="8"/>
  <c r="G17" i="8"/>
  <c r="F17" i="8"/>
  <c r="E17" i="8"/>
  <c r="D17" i="8"/>
  <c r="C17" i="8"/>
  <c r="O16" i="8"/>
  <c r="C129" i="10" s="1"/>
  <c r="O15" i="8"/>
  <c r="C128" i="10" s="1"/>
  <c r="O14" i="8"/>
  <c r="C127" i="10" s="1"/>
  <c r="O13" i="8"/>
  <c r="C126" i="10" s="1"/>
  <c r="O12" i="8"/>
  <c r="C125" i="10" s="1"/>
  <c r="O11" i="8"/>
  <c r="C124" i="10" s="1"/>
  <c r="O10" i="8"/>
  <c r="C123" i="10" s="1"/>
  <c r="O9" i="8"/>
  <c r="N83" i="7"/>
  <c r="M83" i="7"/>
  <c r="L83" i="7"/>
  <c r="K83" i="7"/>
  <c r="J83" i="7"/>
  <c r="I83" i="7"/>
  <c r="H83" i="7"/>
  <c r="G83" i="7"/>
  <c r="F83" i="7"/>
  <c r="E83" i="7"/>
  <c r="D83" i="7"/>
  <c r="C83" i="7"/>
  <c r="O82" i="7"/>
  <c r="E115" i="10" s="1"/>
  <c r="O81" i="7"/>
  <c r="E114" i="10" s="1"/>
  <c r="O80" i="7"/>
  <c r="E113" i="10" s="1"/>
  <c r="O79" i="7"/>
  <c r="E112" i="10" s="1"/>
  <c r="O78" i="7"/>
  <c r="E111" i="10" s="1"/>
  <c r="O77" i="7"/>
  <c r="E110" i="10" s="1"/>
  <c r="O76" i="7"/>
  <c r="E109" i="10" s="1"/>
  <c r="O75" i="7"/>
  <c r="E108" i="10" s="1"/>
  <c r="N50" i="7"/>
  <c r="L50" i="7"/>
  <c r="K50" i="7"/>
  <c r="J50" i="7"/>
  <c r="I50" i="7"/>
  <c r="H50" i="7"/>
  <c r="G50" i="7"/>
  <c r="F50" i="7"/>
  <c r="E50" i="7"/>
  <c r="E116" i="7" s="1"/>
  <c r="D50" i="7"/>
  <c r="C50" i="7"/>
  <c r="O49" i="7"/>
  <c r="D115" i="10" s="1"/>
  <c r="O48" i="7"/>
  <c r="O47" i="7"/>
  <c r="O46" i="7"/>
  <c r="O45" i="7"/>
  <c r="O44" i="7"/>
  <c r="O43" i="7"/>
  <c r="O42" i="7"/>
  <c r="D108" i="10" s="1"/>
  <c r="N17" i="7"/>
  <c r="M17" i="7"/>
  <c r="L17" i="7"/>
  <c r="K17" i="7"/>
  <c r="J17" i="7"/>
  <c r="I17" i="7"/>
  <c r="H17" i="7"/>
  <c r="G17" i="7"/>
  <c r="F17" i="7"/>
  <c r="E17" i="7"/>
  <c r="D17" i="7"/>
  <c r="C17" i="7"/>
  <c r="O16" i="7"/>
  <c r="C115" i="10" s="1"/>
  <c r="O15" i="7"/>
  <c r="C114" i="10" s="1"/>
  <c r="O14" i="7"/>
  <c r="C113" i="10" s="1"/>
  <c r="O13" i="7"/>
  <c r="C112" i="10" s="1"/>
  <c r="O12" i="7"/>
  <c r="C111" i="10" s="1"/>
  <c r="O11" i="7"/>
  <c r="C110" i="10" s="1"/>
  <c r="O10" i="7"/>
  <c r="C109" i="10" s="1"/>
  <c r="O9" i="7"/>
  <c r="C108" i="10" s="1"/>
  <c r="C83" i="6"/>
  <c r="E92" i="10"/>
  <c r="E91" i="10"/>
  <c r="E90" i="10"/>
  <c r="E89" i="10"/>
  <c r="E88" i="10"/>
  <c r="E87" i="10"/>
  <c r="E86" i="10"/>
  <c r="E85" i="10"/>
  <c r="N49" i="6"/>
  <c r="N111" i="6" s="1"/>
  <c r="M49" i="6"/>
  <c r="M111" i="6" s="1"/>
  <c r="L49" i="6"/>
  <c r="K49" i="6"/>
  <c r="J49" i="6"/>
  <c r="J111" i="6" s="1"/>
  <c r="I49" i="6"/>
  <c r="I111" i="6" s="1"/>
  <c r="H49" i="6"/>
  <c r="H111" i="6" s="1"/>
  <c r="G49" i="6"/>
  <c r="G111" i="6" s="1"/>
  <c r="F49" i="6"/>
  <c r="E49" i="6"/>
  <c r="D49" i="6"/>
  <c r="C49" i="6"/>
  <c r="O48" i="6"/>
  <c r="O47" i="6"/>
  <c r="O46" i="6"/>
  <c r="O45" i="6"/>
  <c r="O44" i="6"/>
  <c r="O43" i="6"/>
  <c r="O42" i="6"/>
  <c r="O41" i="6"/>
  <c r="D85" i="10" s="1"/>
  <c r="N17" i="6"/>
  <c r="M17" i="6"/>
  <c r="L17" i="6"/>
  <c r="K17" i="6"/>
  <c r="J17" i="6"/>
  <c r="I17" i="6"/>
  <c r="H17" i="6"/>
  <c r="G17" i="6"/>
  <c r="F17" i="6"/>
  <c r="E17" i="6"/>
  <c r="D17" i="6"/>
  <c r="C17" i="6"/>
  <c r="O16" i="6"/>
  <c r="C92" i="10" s="1"/>
  <c r="O15" i="6"/>
  <c r="C91" i="10" s="1"/>
  <c r="O14" i="6"/>
  <c r="C90" i="10" s="1"/>
  <c r="O13" i="6"/>
  <c r="C89" i="10" s="1"/>
  <c r="O12" i="6"/>
  <c r="C88" i="10" s="1"/>
  <c r="O11" i="6"/>
  <c r="C87" i="10" s="1"/>
  <c r="O10" i="6"/>
  <c r="C86" i="10" s="1"/>
  <c r="O9" i="6"/>
  <c r="C85" i="10" s="1"/>
  <c r="N83" i="5"/>
  <c r="M83" i="5"/>
  <c r="M87" i="5" s="1"/>
  <c r="L83" i="5"/>
  <c r="L87" i="5" s="1"/>
  <c r="K83" i="5"/>
  <c r="J83" i="5"/>
  <c r="J87" i="5" s="1"/>
  <c r="I83" i="5"/>
  <c r="I87" i="5" s="1"/>
  <c r="G83" i="5"/>
  <c r="G87" i="5" s="1"/>
  <c r="F83" i="5"/>
  <c r="E83" i="5"/>
  <c r="E87" i="5" s="1"/>
  <c r="D83" i="5"/>
  <c r="D87" i="5" s="1"/>
  <c r="N50" i="5"/>
  <c r="M50" i="5"/>
  <c r="L50" i="5"/>
  <c r="K50" i="5"/>
  <c r="J50" i="5"/>
  <c r="I50" i="5"/>
  <c r="H50" i="5"/>
  <c r="H116" i="5" s="1"/>
  <c r="G50" i="5"/>
  <c r="F50" i="5"/>
  <c r="E50" i="5"/>
  <c r="C50" i="5"/>
  <c r="C116" i="5" s="1"/>
  <c r="O49" i="5"/>
  <c r="D78" i="10" s="1"/>
  <c r="O48" i="5"/>
  <c r="D77" i="10" s="1"/>
  <c r="O47" i="5"/>
  <c r="D76" i="10" s="1"/>
  <c r="O46" i="5"/>
  <c r="D75" i="10" s="1"/>
  <c r="O45" i="5"/>
  <c r="D74" i="10" s="1"/>
  <c r="O44" i="5"/>
  <c r="D73" i="10" s="1"/>
  <c r="O43" i="5"/>
  <c r="D72" i="10" s="1"/>
  <c r="O42" i="5"/>
  <c r="D71" i="10" s="1"/>
  <c r="N17" i="5"/>
  <c r="M17" i="5"/>
  <c r="L17" i="5"/>
  <c r="K17" i="5"/>
  <c r="J17" i="5"/>
  <c r="I17" i="5"/>
  <c r="H17" i="5"/>
  <c r="G17" i="5"/>
  <c r="F17" i="5"/>
  <c r="E17" i="5"/>
  <c r="C17" i="5"/>
  <c r="O16" i="5"/>
  <c r="C78" i="10" s="1"/>
  <c r="O15" i="5"/>
  <c r="C77" i="10" s="1"/>
  <c r="O14" i="5"/>
  <c r="C76" i="10" s="1"/>
  <c r="O13" i="5"/>
  <c r="C75" i="10" s="1"/>
  <c r="O12" i="5"/>
  <c r="C74" i="10" s="1"/>
  <c r="O11" i="5"/>
  <c r="C73" i="10" s="1"/>
  <c r="O10" i="5"/>
  <c r="C72" i="10" s="1"/>
  <c r="O9" i="5"/>
  <c r="C71" i="10" s="1"/>
  <c r="N83" i="4"/>
  <c r="N116" i="4" s="1"/>
  <c r="M83" i="4"/>
  <c r="L83" i="4"/>
  <c r="K83" i="4"/>
  <c r="J83" i="4"/>
  <c r="I83" i="4"/>
  <c r="I116" i="4" s="1"/>
  <c r="H83" i="4"/>
  <c r="H116" i="4" s="1"/>
  <c r="G83" i="4"/>
  <c r="F83" i="4"/>
  <c r="E83" i="4"/>
  <c r="E116" i="4" s="1"/>
  <c r="D83" i="4"/>
  <c r="C83" i="4"/>
  <c r="O82" i="4"/>
  <c r="O81" i="4"/>
  <c r="O114" i="4" s="1"/>
  <c r="O80" i="4"/>
  <c r="O79" i="4"/>
  <c r="O78" i="4"/>
  <c r="O77" i="4"/>
  <c r="O76" i="4"/>
  <c r="O75" i="4"/>
  <c r="N17" i="4"/>
  <c r="M17" i="4"/>
  <c r="L17" i="4"/>
  <c r="K17" i="4"/>
  <c r="J17" i="4"/>
  <c r="I17" i="4"/>
  <c r="H17" i="4"/>
  <c r="G17" i="4"/>
  <c r="F17" i="4"/>
  <c r="E17" i="4"/>
  <c r="D17" i="4"/>
  <c r="C17" i="4"/>
  <c r="O16" i="4"/>
  <c r="C43" i="10" s="1"/>
  <c r="O15" i="4"/>
  <c r="C42" i="10" s="1"/>
  <c r="O14" i="4"/>
  <c r="C41" i="10" s="1"/>
  <c r="O13" i="4"/>
  <c r="C40" i="10" s="1"/>
  <c r="O12" i="4"/>
  <c r="C39" i="10" s="1"/>
  <c r="O11" i="4"/>
  <c r="C38" i="10" s="1"/>
  <c r="O10" i="4"/>
  <c r="C37" i="10" s="1"/>
  <c r="O9" i="4"/>
  <c r="C36" i="10" s="1"/>
  <c r="N116" i="3"/>
  <c r="M116" i="3"/>
  <c r="L116" i="3"/>
  <c r="K116" i="3"/>
  <c r="J116" i="3"/>
  <c r="I116" i="3"/>
  <c r="H116" i="3"/>
  <c r="G116" i="3"/>
  <c r="F116" i="3"/>
  <c r="E116" i="3"/>
  <c r="D116" i="3"/>
  <c r="C116" i="3"/>
  <c r="N83" i="3"/>
  <c r="M83" i="3"/>
  <c r="L83" i="3"/>
  <c r="K83" i="3"/>
  <c r="J83" i="3"/>
  <c r="I83" i="3"/>
  <c r="H83" i="3"/>
  <c r="G83" i="3"/>
  <c r="F83" i="3"/>
  <c r="E83" i="3"/>
  <c r="D83" i="3"/>
  <c r="C83" i="3"/>
  <c r="O82" i="3"/>
  <c r="E29" i="10" s="1"/>
  <c r="O81" i="3"/>
  <c r="E28" i="10" s="1"/>
  <c r="O80" i="3"/>
  <c r="E27" i="10" s="1"/>
  <c r="O79" i="3"/>
  <c r="E26" i="10" s="1"/>
  <c r="O78" i="3"/>
  <c r="E25" i="10" s="1"/>
  <c r="O77" i="3"/>
  <c r="E24" i="10" s="1"/>
  <c r="O76" i="3"/>
  <c r="E23" i="10" s="1"/>
  <c r="O75" i="3"/>
  <c r="E22" i="10" s="1"/>
  <c r="N50" i="3"/>
  <c r="M50" i="3"/>
  <c r="L50" i="3"/>
  <c r="K50" i="3"/>
  <c r="J50" i="3"/>
  <c r="I50" i="3"/>
  <c r="H50" i="3"/>
  <c r="G50" i="3"/>
  <c r="E50" i="3"/>
  <c r="D50" i="3"/>
  <c r="C50" i="3"/>
  <c r="O49" i="3"/>
  <c r="D29" i="10" s="1"/>
  <c r="O48" i="3"/>
  <c r="D28" i="10" s="1"/>
  <c r="O47" i="3"/>
  <c r="D27" i="10" s="1"/>
  <c r="O46" i="3"/>
  <c r="D26" i="10" s="1"/>
  <c r="O45" i="3"/>
  <c r="D25" i="10" s="1"/>
  <c r="O44" i="3"/>
  <c r="D24" i="10" s="1"/>
  <c r="O43" i="3"/>
  <c r="D23" i="10" s="1"/>
  <c r="O42" i="3"/>
  <c r="D22" i="10" s="1"/>
  <c r="N17" i="3"/>
  <c r="M17" i="3"/>
  <c r="L17" i="3"/>
  <c r="K17" i="3"/>
  <c r="J17" i="3"/>
  <c r="I17" i="3"/>
  <c r="H17" i="3"/>
  <c r="G17" i="3"/>
  <c r="F17" i="3"/>
  <c r="E17" i="3"/>
  <c r="D17" i="3"/>
  <c r="C17" i="3"/>
  <c r="O16" i="3"/>
  <c r="C29" i="10" s="1"/>
  <c r="O15" i="3"/>
  <c r="C28" i="10" s="1"/>
  <c r="O14" i="3"/>
  <c r="C27" i="10" s="1"/>
  <c r="O13" i="3"/>
  <c r="C26" i="10" s="1"/>
  <c r="O12" i="3"/>
  <c r="C25" i="10" s="1"/>
  <c r="O11" i="3"/>
  <c r="C24" i="10" s="1"/>
  <c r="O10" i="3"/>
  <c r="C23" i="10" s="1"/>
  <c r="O9" i="3"/>
  <c r="C22" i="10" s="1"/>
  <c r="N15" i="2"/>
  <c r="M15" i="2"/>
  <c r="L15" i="2"/>
  <c r="K15" i="2"/>
  <c r="J15" i="2"/>
  <c r="I15" i="2"/>
  <c r="H15" i="2"/>
  <c r="G15" i="2"/>
  <c r="F15" i="2"/>
  <c r="E15" i="2"/>
  <c r="D15" i="2"/>
  <c r="C15" i="2"/>
  <c r="O14" i="2"/>
  <c r="O13" i="2"/>
  <c r="O12" i="2"/>
  <c r="O11" i="2"/>
  <c r="O10" i="2"/>
  <c r="O9" i="2"/>
  <c r="O8" i="2"/>
  <c r="O7" i="2"/>
  <c r="N86" i="1"/>
  <c r="M83" i="1"/>
  <c r="M86" i="1" s="1"/>
  <c r="L83" i="1"/>
  <c r="L86" i="1" s="1"/>
  <c r="K83" i="1"/>
  <c r="K86" i="1" s="1"/>
  <c r="J83" i="1"/>
  <c r="J86" i="1" s="1"/>
  <c r="I83" i="1"/>
  <c r="I86" i="1" s="1"/>
  <c r="H83" i="1"/>
  <c r="H86" i="1" s="1"/>
  <c r="G83" i="1"/>
  <c r="G86" i="1" s="1"/>
  <c r="F83" i="1"/>
  <c r="F86" i="1" s="1"/>
  <c r="E83" i="1"/>
  <c r="E86" i="1" s="1"/>
  <c r="D83" i="1"/>
  <c r="D86" i="1" s="1"/>
  <c r="C83" i="1"/>
  <c r="C86" i="1" s="1"/>
  <c r="O82" i="1"/>
  <c r="E15" i="10" s="1"/>
  <c r="O81" i="1"/>
  <c r="E14" i="10" s="1"/>
  <c r="O80" i="1"/>
  <c r="E13" i="10" s="1"/>
  <c r="O79" i="1"/>
  <c r="E12" i="10" s="1"/>
  <c r="O78" i="1"/>
  <c r="E11" i="10" s="1"/>
  <c r="O77" i="1"/>
  <c r="E10" i="10" s="1"/>
  <c r="O76" i="1"/>
  <c r="E8" i="10"/>
  <c r="N50" i="1"/>
  <c r="N116" i="1" s="1"/>
  <c r="M50" i="1"/>
  <c r="K50" i="1"/>
  <c r="J50" i="1"/>
  <c r="I50" i="1"/>
  <c r="H50" i="1"/>
  <c r="G50" i="1"/>
  <c r="F50" i="1"/>
  <c r="E50" i="1"/>
  <c r="D50" i="1"/>
  <c r="C50" i="1"/>
  <c r="O49" i="1"/>
  <c r="D15" i="10" s="1"/>
  <c r="O48" i="1"/>
  <c r="D14" i="10" s="1"/>
  <c r="O47" i="1"/>
  <c r="D13" i="10" s="1"/>
  <c r="O46" i="1"/>
  <c r="D12" i="10" s="1"/>
  <c r="O45" i="1"/>
  <c r="D11" i="10" s="1"/>
  <c r="O44" i="1"/>
  <c r="D10" i="10" s="1"/>
  <c r="O43" i="1"/>
  <c r="D9" i="10" s="1"/>
  <c r="O42" i="1"/>
  <c r="D8" i="10" s="1"/>
  <c r="L17" i="1"/>
  <c r="L20" i="1" s="1"/>
  <c r="K17" i="1"/>
  <c r="K20" i="1" s="1"/>
  <c r="J17" i="1"/>
  <c r="J20" i="1" s="1"/>
  <c r="I17" i="1"/>
  <c r="I20" i="1" s="1"/>
  <c r="H17" i="1"/>
  <c r="H20" i="1" s="1"/>
  <c r="G17" i="1"/>
  <c r="F17" i="1"/>
  <c r="F20" i="1" s="1"/>
  <c r="E17" i="1"/>
  <c r="E20" i="1" s="1"/>
  <c r="D17" i="1"/>
  <c r="D20" i="1" s="1"/>
  <c r="C17" i="1"/>
  <c r="C20" i="1" s="1"/>
  <c r="O16" i="1"/>
  <c r="C15" i="10" s="1"/>
  <c r="O15" i="1"/>
  <c r="C14" i="10" s="1"/>
  <c r="O14" i="1"/>
  <c r="C13" i="10" s="1"/>
  <c r="O13" i="1"/>
  <c r="C12" i="10" s="1"/>
  <c r="O11" i="1"/>
  <c r="C10" i="10" s="1"/>
  <c r="O10" i="1"/>
  <c r="C9" i="10" s="1"/>
  <c r="O9" i="1"/>
  <c r="K87" i="5" l="1"/>
  <c r="K116" i="5"/>
  <c r="N87" i="5"/>
  <c r="N116" i="5"/>
  <c r="G116" i="7"/>
  <c r="M116" i="1"/>
  <c r="F116" i="7"/>
  <c r="F87" i="5"/>
  <c r="F116" i="5"/>
  <c r="N116" i="7"/>
  <c r="J116" i="7"/>
  <c r="D116" i="8"/>
  <c r="L116" i="5"/>
  <c r="M116" i="7"/>
  <c r="E116" i="8"/>
  <c r="G20" i="1"/>
  <c r="H19" i="1"/>
  <c r="D129" i="10"/>
  <c r="F129" i="10"/>
  <c r="D128" i="10"/>
  <c r="F128" i="10"/>
  <c r="D126" i="10"/>
  <c r="F126" i="10"/>
  <c r="D125" i="10"/>
  <c r="F125" i="10"/>
  <c r="D124" i="10"/>
  <c r="D123" i="10"/>
  <c r="F123" i="10"/>
  <c r="D114" i="10"/>
  <c r="D113" i="10"/>
  <c r="O113" i="7"/>
  <c r="F113" i="10" s="1"/>
  <c r="D112" i="10"/>
  <c r="F112" i="10"/>
  <c r="D111" i="10"/>
  <c r="O111" i="7"/>
  <c r="F111" i="10" s="1"/>
  <c r="D110" i="10"/>
  <c r="D109" i="10"/>
  <c r="O109" i="7"/>
  <c r="F109" i="10" s="1"/>
  <c r="D92" i="10"/>
  <c r="O110" i="6"/>
  <c r="F92" i="10" s="1"/>
  <c r="D90" i="10"/>
  <c r="O108" i="6"/>
  <c r="F90" i="10" s="1"/>
  <c r="D89" i="10"/>
  <c r="O107" i="6"/>
  <c r="F89" i="10" s="1"/>
  <c r="D88" i="10"/>
  <c r="F88" i="10"/>
  <c r="D87" i="10"/>
  <c r="F87" i="10"/>
  <c r="D91" i="10"/>
  <c r="O109" i="6"/>
  <c r="F91" i="10" s="1"/>
  <c r="N85" i="1"/>
  <c r="J85" i="1"/>
  <c r="D127" i="10"/>
  <c r="F127" i="10"/>
  <c r="D86" i="10"/>
  <c r="O104" i="6"/>
  <c r="F86" i="10" s="1"/>
  <c r="E36" i="10"/>
  <c r="F36" i="10"/>
  <c r="E38" i="10"/>
  <c r="F38" i="10"/>
  <c r="E42" i="10"/>
  <c r="F42" i="10"/>
  <c r="E37" i="10"/>
  <c r="O109" i="4"/>
  <c r="F37" i="10" s="1"/>
  <c r="E41" i="10"/>
  <c r="F41" i="10"/>
  <c r="E43" i="10"/>
  <c r="F43" i="10"/>
  <c r="E40" i="10"/>
  <c r="F40" i="10"/>
  <c r="E39" i="10"/>
  <c r="C122" i="10"/>
  <c r="C130" i="10" s="1"/>
  <c r="O17" i="8"/>
  <c r="C8" i="10"/>
  <c r="C16" i="10" s="1"/>
  <c r="O17" i="1"/>
  <c r="O20" i="1" s="1"/>
  <c r="N19" i="4"/>
  <c r="C116" i="1"/>
  <c r="G116" i="5"/>
  <c r="L116" i="1"/>
  <c r="L56" i="1"/>
  <c r="J52" i="1"/>
  <c r="E9" i="10"/>
  <c r="E16" i="10" s="1"/>
  <c r="O83" i="1"/>
  <c r="O86" i="1" s="1"/>
  <c r="G116" i="1"/>
  <c r="E116" i="1"/>
  <c r="F58" i="10"/>
  <c r="E58" i="10"/>
  <c r="E65" i="10" s="1"/>
  <c r="E30" i="10"/>
  <c r="E93" i="10"/>
  <c r="C44" i="10"/>
  <c r="F122" i="10"/>
  <c r="D122" i="10"/>
  <c r="E116" i="10"/>
  <c r="C116" i="10"/>
  <c r="C93" i="10"/>
  <c r="Q83" i="5"/>
  <c r="Q50" i="5"/>
  <c r="D79" i="10"/>
  <c r="F79" i="10" s="1"/>
  <c r="J19" i="5"/>
  <c r="C79" i="10"/>
  <c r="D65" i="10"/>
  <c r="C65" i="10"/>
  <c r="D30" i="10"/>
  <c r="C30" i="10"/>
  <c r="D16" i="10"/>
  <c r="I116" i="5"/>
  <c r="F39" i="10"/>
  <c r="O115" i="7"/>
  <c r="J116" i="1"/>
  <c r="O109" i="1"/>
  <c r="F9" i="10" s="1"/>
  <c r="O83" i="3"/>
  <c r="O113" i="1"/>
  <c r="F13" i="10" s="1"/>
  <c r="O50" i="8"/>
  <c r="O17" i="6"/>
  <c r="O49" i="6"/>
  <c r="O111" i="6" s="1"/>
  <c r="O103" i="6"/>
  <c r="F85" i="10" s="1"/>
  <c r="O15" i="2"/>
  <c r="O115" i="1"/>
  <c r="F15" i="10" s="1"/>
  <c r="O111" i="1"/>
  <c r="F11" i="10" s="1"/>
  <c r="O50" i="9"/>
  <c r="F61" i="10"/>
  <c r="F59" i="10"/>
  <c r="F64" i="10"/>
  <c r="O17" i="9"/>
  <c r="F124" i="10"/>
  <c r="O50" i="7"/>
  <c r="O108" i="7"/>
  <c r="F108" i="10" s="1"/>
  <c r="O17" i="7"/>
  <c r="O50" i="5"/>
  <c r="O108" i="5"/>
  <c r="O112" i="5"/>
  <c r="O109" i="5"/>
  <c r="O113" i="5"/>
  <c r="D116" i="5"/>
  <c r="O110" i="5"/>
  <c r="O114" i="5"/>
  <c r="E116" i="5"/>
  <c r="O111" i="5"/>
  <c r="O115" i="5"/>
  <c r="O17" i="5"/>
  <c r="O17" i="4"/>
  <c r="O50" i="3"/>
  <c r="O17" i="3"/>
  <c r="O50" i="1"/>
  <c r="O110" i="1"/>
  <c r="F10" i="10" s="1"/>
  <c r="O114" i="1"/>
  <c r="F14" i="10" s="1"/>
  <c r="I116" i="1"/>
  <c r="F116" i="1"/>
  <c r="O108" i="1"/>
  <c r="F8" i="10" s="1"/>
  <c r="O112" i="1"/>
  <c r="F12" i="10" s="1"/>
  <c r="K116" i="1"/>
  <c r="O83" i="9"/>
  <c r="O83" i="8"/>
  <c r="O83" i="7"/>
  <c r="O83" i="5"/>
  <c r="O83" i="4"/>
  <c r="S50" i="1" l="1"/>
  <c r="Q50" i="1"/>
  <c r="R50" i="1" s="1"/>
  <c r="D93" i="10"/>
  <c r="F93" i="10" s="1"/>
  <c r="D116" i="10"/>
  <c r="F116" i="10" s="1"/>
  <c r="O87" i="5"/>
  <c r="O116" i="8"/>
  <c r="D130" i="10"/>
  <c r="F130" i="10" s="1"/>
  <c r="E44" i="10"/>
  <c r="R83" i="5"/>
  <c r="R85" i="5" s="1"/>
  <c r="P83" i="5"/>
  <c r="F74" i="10"/>
  <c r="Q111" i="5"/>
  <c r="F77" i="10"/>
  <c r="Q114" i="5"/>
  <c r="F72" i="10"/>
  <c r="Q109" i="5"/>
  <c r="F71" i="10"/>
  <c r="Q108" i="5"/>
  <c r="F78" i="10"/>
  <c r="Q115" i="5"/>
  <c r="F73" i="10"/>
  <c r="Q110" i="5"/>
  <c r="F76" i="10"/>
  <c r="Q113" i="5"/>
  <c r="F75" i="10"/>
  <c r="Q112" i="5"/>
  <c r="O116" i="3"/>
  <c r="F24" i="10"/>
  <c r="F16" i="10"/>
  <c r="F65" i="10"/>
  <c r="O116" i="5"/>
  <c r="F44" i="10"/>
  <c r="O116" i="1"/>
  <c r="R116" i="1" l="1"/>
  <c r="Q116" i="1"/>
  <c r="P116" i="5"/>
  <c r="R116" i="5"/>
  <c r="F137" i="10"/>
  <c r="O116" i="21"/>
</calcChain>
</file>

<file path=xl/sharedStrings.xml><?xml version="1.0" encoding="utf-8"?>
<sst xmlns="http://schemas.openxmlformats.org/spreadsheetml/2006/main" count="3713" uniqueCount="191">
  <si>
    <t>DATA LUAS TANAM PADI (SAWAH) PER BULAN</t>
  </si>
  <si>
    <t>(Ha)</t>
  </si>
  <si>
    <t>No</t>
  </si>
  <si>
    <t>Kecamatan</t>
  </si>
  <si>
    <t>Bulan</t>
  </si>
  <si>
    <t>Jumlah</t>
  </si>
  <si>
    <t>Jan</t>
  </si>
  <si>
    <t>Feb</t>
  </si>
  <si>
    <t>Maret</t>
  </si>
  <si>
    <t>Apr</t>
  </si>
  <si>
    <t>Mei</t>
  </si>
  <si>
    <t>Juni</t>
  </si>
  <si>
    <t>Juli</t>
  </si>
  <si>
    <t>Agst</t>
  </si>
  <si>
    <t>Sept</t>
  </si>
  <si>
    <t>Okt</t>
  </si>
  <si>
    <t>Nov</t>
  </si>
  <si>
    <t>Des</t>
  </si>
  <si>
    <t>CIWANDAN</t>
  </si>
  <si>
    <t>CITANGKIL</t>
  </si>
  <si>
    <t>PULOMERAK</t>
  </si>
  <si>
    <t>PURWAKARTA</t>
  </si>
  <si>
    <t>GROGOL</t>
  </si>
  <si>
    <t>CILEGON</t>
  </si>
  <si>
    <t>JOMBANG</t>
  </si>
  <si>
    <t>CIBEBER</t>
  </si>
  <si>
    <t>JUMLAH</t>
  </si>
  <si>
    <t>DATA LUAS PANEN PADI (SAWAH) PER BULAN</t>
  </si>
  <si>
    <t>DATA PRODUKSI PADI (SAWAH) PER BULAN</t>
  </si>
  <si>
    <t>(Ton)</t>
  </si>
  <si>
    <t>DATA PRODUKTIVITAS PADI (SAWAH) PER BULAN</t>
  </si>
  <si>
    <t>(Ku/Ha)</t>
  </si>
  <si>
    <t>DATA LUAS PUSO PADI (SAWAH) PER BULAN</t>
  </si>
  <si>
    <t>DATA LUAS TANAM PADI (DARAT) PER BULAN</t>
  </si>
  <si>
    <t>DATA LUAS PANEN PADI (DARAT) PER BULAN</t>
  </si>
  <si>
    <t>DATA PRODUKSI PADI (DARAT) PER BULAN</t>
  </si>
  <si>
    <t>DATA PRODUKTIVITAS PADI (DARAT) PER BULAN</t>
  </si>
  <si>
    <t>DATA LUAS TANAM JAGUNG PER BULAN</t>
  </si>
  <si>
    <t>DATA LUAS PANEN JAGUNG PER BULAN</t>
  </si>
  <si>
    <t>DATA PRODUKSI JAGUNG PER BULAN</t>
  </si>
  <si>
    <t>DATA PRODUKTIVITAS JAGUNG PER BULAN</t>
  </si>
  <si>
    <t>DATA LUAS TANAM KACANG TANAH PER BULAN</t>
  </si>
  <si>
    <t>DATA LUAS PANEN KACANG TANAH PER BULAN</t>
  </si>
  <si>
    <t>DATA PRODUKSI KACANG TANAH PER BULAN</t>
  </si>
  <si>
    <t>DATA PRODUKTIVITAS KACANG TANAH PER BULAN</t>
  </si>
  <si>
    <t>DATA LUAS TANAM UBI KAYU PER BULAN</t>
  </si>
  <si>
    <t>DATA LUAS PANEN UBI KAYU PER BULAN</t>
  </si>
  <si>
    <t>DATA PRODUKSI UBI KAYU PER BULAN</t>
  </si>
  <si>
    <t>DATA PRODUKTIVITAS UBI KAYU PER BULAN</t>
  </si>
  <si>
    <t>DATA LUAS TANAM UBI JALAR PER BULAN</t>
  </si>
  <si>
    <t>DATA LUAS PANEN UBI JALAR PER BULAN</t>
  </si>
  <si>
    <t>DATA PRODUKSI UBI JALAR PER BULAN</t>
  </si>
  <si>
    <t>DATA PRODUKTIVITAS UBI JALAR PER BULAN</t>
  </si>
  <si>
    <t>DATA LUAS TANAM KACANG HIJAU PER BULAN</t>
  </si>
  <si>
    <t>DATA LUAS PANEN KACANG HIJAU PER BULAN</t>
  </si>
  <si>
    <t>DATA PRODUKSI KACANG HIJAU PER BULAN</t>
  </si>
  <si>
    <t>DATA PRODUKTIVITAS KACANG HIJAU PER BULAN</t>
  </si>
  <si>
    <t>DATA LUAS TANAM KEDELAI PER BULAN</t>
  </si>
  <si>
    <t>DATA LUAS PANEN KEDELAI PER BULAN</t>
  </si>
  <si>
    <t>DATA PRODUKSI KEDELAI PER BULAN</t>
  </si>
  <si>
    <t>DATA PRODUKTIVITAS KEDELAI PER BULAN</t>
  </si>
  <si>
    <t>Ket : * : Panen Muda</t>
  </si>
  <si>
    <t>PRODUKTIVITAS</t>
  </si>
  <si>
    <t>TANAM</t>
  </si>
  <si>
    <t>PANEN</t>
  </si>
  <si>
    <t>PRODUKSI</t>
  </si>
  <si>
    <t>1. PADI SAWAH</t>
  </si>
  <si>
    <t>2. PADI LADANG</t>
  </si>
  <si>
    <t>3. JAGUNG</t>
  </si>
  <si>
    <t>4. KEDELAI</t>
  </si>
  <si>
    <t>5. KACANG TANAH</t>
  </si>
  <si>
    <t>6. UBI KAYU</t>
  </si>
  <si>
    <t>7. UBI JALAR</t>
  </si>
  <si>
    <t>8. KACANG HIJAU</t>
  </si>
  <si>
    <t>REALISASI TANAM, PANEN, PRODUKSI DAN PRODUKTIVITAS PADI DAN PALAWIJA</t>
  </si>
  <si>
    <t>DATA LUAS PUSO KEDELAI PER BULAN</t>
  </si>
  <si>
    <t>Peb</t>
  </si>
  <si>
    <t>Mar</t>
  </si>
  <si>
    <t>April</t>
  </si>
  <si>
    <t>Agust</t>
  </si>
  <si>
    <t>Sep</t>
  </si>
  <si>
    <t>KOTA CILEGON</t>
  </si>
  <si>
    <t>Okt-Mar</t>
  </si>
  <si>
    <t>Apr-Sep</t>
  </si>
  <si>
    <t>Kota Cilegon</t>
  </si>
  <si>
    <t>ok-nop</t>
  </si>
  <si>
    <t>Ket : * Panen Muda</t>
  </si>
  <si>
    <t>DATA LUAS TANAM TALAS PER BULAN</t>
  </si>
  <si>
    <t>DATA LUAS PANEN TALAS PER BULAN</t>
  </si>
  <si>
    <t>DATA PRODUKSI TALAS PER BULAN</t>
  </si>
  <si>
    <t>DATA PRODUKTIVITAS TALAS PER BULAN</t>
  </si>
  <si>
    <t>DATA LUAS TANAM SORGUM PER BULAN</t>
  </si>
  <si>
    <t>DATA LUAS PANEN SORGUM PER BULAN</t>
  </si>
  <si>
    <t>DATA PRODUKSI SORGUM PER BULAN</t>
  </si>
  <si>
    <t>DATA PRODUKTIVITAS SORGUM PER BULAN</t>
  </si>
  <si>
    <t>Kepala Dinas Ketahanan Pangan dan Pertanian</t>
  </si>
  <si>
    <t>Ir. Wawan Hermawan, MM</t>
  </si>
  <si>
    <t>NIP. 19600110 198603 1 012</t>
  </si>
  <si>
    <t>Produksi Kacang Hijau dlm bentuk biji</t>
  </si>
  <si>
    <t>REALISASI TANAM PADI SAWAH OKTOBER 2017 S/D MARET 2018 DAN APRIL S/D SEPTEMBER 2018</t>
  </si>
  <si>
    <t>2017 S/D 2018</t>
  </si>
  <si>
    <t xml:space="preserve"> </t>
  </si>
  <si>
    <t>Produksi kacang tanah dlm bentuk polong kering</t>
  </si>
  <si>
    <t>ok-mei</t>
  </si>
  <si>
    <t>g</t>
  </si>
  <si>
    <t>REALISASI TANAM PADI LADANG OKTOBER 2018 S/D MARET 2019 DAN APRIL S/D SEPTEMBER 2019</t>
  </si>
  <si>
    <t>REALISASI TANAM KEDELAI OKTOBER 2018 S/D MARET 2019 DAN APRIL S/D SEPTEMBER 2019</t>
  </si>
  <si>
    <t>REALISASI TANAM KACANG TANAH OKTOBER 2018 S/D MARET 2019 DAN APRIL S/D SEPTEMBER 2019</t>
  </si>
  <si>
    <t>REALISASI TANAM UBI KAYU OKTOBER 2018 S/D MARET 2019 DAN APRIL S/D SEPTEMBER 2019</t>
  </si>
  <si>
    <t>REALISASI TANAM UBI JALAR OKTOBER 2018 S/D MARET 2019 DAN APRIL S/D SEPTEMBER 2019</t>
  </si>
  <si>
    <t>REALISASI TANAM KACANG HIJAU OKTOBER 2018 S/D MARET 2019 DAN APRIL S/D SEPTEMBER 2019</t>
  </si>
  <si>
    <t>REALISASI PANEN PADI TOTAL (SAWAH+LADANG) OKTOBER 2018 S/D MARET 2019 DAN APRIL S/D SEPTEMBER 2019</t>
  </si>
  <si>
    <t>REALISASI PANEN PADI SAWAH OKTOBER 2018 S/D MARET 2019 DAN APRIL S/D SEPTEMBER 2019</t>
  </si>
  <si>
    <t>REALISASI PANEN PADI LADANG OKTOBER 2018 S/D MARET 2019 DAN APRIL S/D SEPTEMBER 2019</t>
  </si>
  <si>
    <t>REALISASI PANEN JAGUNG OKTOBER 2018 S/D MARET 2019 DAN APRIL S/D SEPTEMBER 2019</t>
  </si>
  <si>
    <t>REALISASI PANEN KEDELAI OKTOBER 2018 S/D MARET 2019 DAN APRIL S/D SEPTEMBER 2019</t>
  </si>
  <si>
    <t>REALISASI PANEN KACANG TANAH OKTOBER 2018 S/D MARET 2019 DAN APRIL S/D SEPTEMBER 2019</t>
  </si>
  <si>
    <t>REALISASI PANEN UBI KAYU OKTOBER 2018 S/D MARET 2019 DAN APRIL S/D SEPTEMBER 2019</t>
  </si>
  <si>
    <t>REALISASI PANEN UBI JALAR OKTOBER 2018 S/D MARET 2019 DAN APRIL S/D SEPTEMBER 2019</t>
  </si>
  <si>
    <t>REALISASI PANEN KACANG HIJAU OKTOBER 2018 S/D MARET 2019 DAN APRIL S/D SEPTEMBER 2018</t>
  </si>
  <si>
    <t>REALISASI PRODUKSI PADI TOTAL (SAWAH+LADANG) OKTOBER 2018 S/D MARET 2019 DAN APRIL S/D SEPTEMBER 2019</t>
  </si>
  <si>
    <t>REALISASI PRODUKSI PADI SAWAH OKTOBER 2018 S/D MARET 2019 DAN APRIL S/D SEPTEMBER 2019</t>
  </si>
  <si>
    <t>REALISASI PRODUKSI PADI LADANG OKTOBER 2018 S/D MARET 2019 DAN APRIL S/D SEPTEMBER 2019</t>
  </si>
  <si>
    <t>REALISASI PRODUKSI JAGUNG OKTOBER 2018 S/D MARET 2019 DAN APRIL S/D SEPTEMBER 2019</t>
  </si>
  <si>
    <t>REALISASI PRODUKSI KEDELAI OKTOBER 2018 S/D MARET 2019 DAN APRIL S/D SEPTEMBER 2019</t>
  </si>
  <si>
    <t>REALISASI PRODUKSI KACANG TANAH OKTOBER 2018 S/D MARET 2019 DAN APRIL S/D SEPTEMBER 2019</t>
  </si>
  <si>
    <t>REALISASI PRODUKSI UBI KAYU OKTOBER 2018 S/D MARET 2019 DAN APRIL S/D SEPTEMBER 2019</t>
  </si>
  <si>
    <t>REALISASI PRODUKSI UBI JALAR OKTOBER 2018 S/D MARET 2019 DAN APRIL S/D SEPTEMBER 2019</t>
  </si>
  <si>
    <t>REALISASI PRODUKSI KACANG HIJAU OKTOBER 2018 S/D MARET 2019 DAN APRIL S/D SEPTEMBER 2019</t>
  </si>
  <si>
    <t>REALISASI PRODUKTIVITAS PADI TOTAL (SAWAH+LADANG) OKTOBER 2018 S/D MARET 2019 DAN APRIL S/D SEPTEMBER 2019</t>
  </si>
  <si>
    <t>REALISASI PRODUKTIVITAS PADI SAWAH OKTOBER 2018 S/D MARET 2019 DAN APRIL S/D SEPTEMBER 2019</t>
  </si>
  <si>
    <t>REALISASI PRODUKTIVITAS PADI LADANG OKTOBER 2018 S/D MARET 2019 DAN APRIL S/D SEPTEMBER 2019</t>
  </si>
  <si>
    <t>REALISASI PRODUKTIVITAS JAGUNG OKTOBER 2018 S/D MARET 2019 DAN APRIL S/D SEPTEMBER 2019</t>
  </si>
  <si>
    <t>REALISASI PRODUKTIVITAS KEDELAI OKTOBER 2018 S/D MARET 2019 DAN APRIL S/D SEPTEMBER 2019</t>
  </si>
  <si>
    <t>REALISASI PRODUKTIVITAS KACANG TANAH OKTOBER 2018 S/D MARET 2019 DAN APRIL S/D SEPTEMBER 2019</t>
  </si>
  <si>
    <t>REALISASI PRODUKTIVITAS UBI KAYU OKTOBER 2018 S/D MARET 2019 DAN APRIL S/D SEPTEMBER 2019</t>
  </si>
  <si>
    <t>REALISASI PRODUKTIVITAS UBI JALAR OKTOBER 2018 S/D MARET 2019 DAN APRIL S/D SEPTEMBER 2019</t>
  </si>
  <si>
    <t>REALISASI PRODUKTIVITAS KACANG HIJAU OKTOBER 2018 S/D MARET 2019 DAN APRIL S/D SEPTEMBER 2019</t>
  </si>
  <si>
    <t>2018 S/D 2019</t>
  </si>
  <si>
    <t>apr - juni</t>
  </si>
  <si>
    <t>(Ton GKG)</t>
  </si>
  <si>
    <t>(Ton Pipilan Kering)</t>
  </si>
  <si>
    <t>2019/2020</t>
  </si>
  <si>
    <t>REALISASI TANAM PADI TOTAL (SAWAH+LADANG) OKTOBER 2019 S/D MARET 2020 DAN APRIL S/D SEPTEMBER 2020</t>
  </si>
  <si>
    <t>REALISASI TANAM PADI SAWAH OKTOBER 2019 S/D MARET 2020 DAN APRIL S/D SEPTEMBER 2020</t>
  </si>
  <si>
    <t>REALISASI TANAM JAGUNG OKTOBER 2019 S/D MARET 2020 DAN APRIL S/D SEPTEMBER 2020</t>
  </si>
  <si>
    <t>Mengetahui,</t>
  </si>
  <si>
    <t>Ir. Wawan Hermawan</t>
  </si>
  <si>
    <t>KOTA CILEGON TAHUN 2020</t>
  </si>
  <si>
    <t>KOTA CILEGON 2020</t>
  </si>
  <si>
    <t>REALISASI TANAM PADI LADANG OKTOBER 2019 S/D MARET 2020 DAN APRIL S/D SEPTEMBER 2020</t>
  </si>
  <si>
    <t>REALISASI TANAM KEDELAI OKTOBER 2019 S/D MARET 2020 DAN APRIL S/D SEPTEMBER 2020</t>
  </si>
  <si>
    <t>REALISASI TANAM KACANG TANAH OKTOBER 2019 S/D MARET 2020 DAN APRIL S/D SEPTEMBER 2020</t>
  </si>
  <si>
    <t>REALISASI TANAM UBI KAYU OKTOBER 2019 S/D MARET 2020 DAN APRIL S/D SEPTEMBER 2020</t>
  </si>
  <si>
    <t>REALISASI TANAM UBI JALAR OKTOBER 2019 S/D MARET 2020 DAN APRIL S/D SEPTEMBER 2020</t>
  </si>
  <si>
    <t>REALISASI TANAM KACANG HIJAU OKTOBER 2019 S/D MARET 2020 DAN APRIL S/D SEPTEMBER 2020</t>
  </si>
  <si>
    <t>REALISASI PANEN PADI TOTAL (SAWAH+LADANG) OKTOBER 2019 S/D MARET 2020 DAN APRIL S/D SEPTEMBER 2020</t>
  </si>
  <si>
    <t>REALISASI PANEN PADI SAWAH OKTOBER 2019 S/D MARET 2020 DAN APRIL S/D SEPTEMBER 2020</t>
  </si>
  <si>
    <t>REALISASI PANEN PADI LADANG OKTOBER 2019 S/D MARET 2020 DAN APRIL S/D SEPTEMBER 2020</t>
  </si>
  <si>
    <t>REALISASI PANEN JAGUNG OKTOBER 2019 S/D MARET 2020 DAN APRIL S/D SEPTEMBER 2020</t>
  </si>
  <si>
    <t>REALISASI PANEN KEDELAI OKTOBER 2019 S/D MARET 2020 DAN APRIL S/D SEPTEMBER 2020</t>
  </si>
  <si>
    <t>REALISASI PANEN KACANG TANAH OKTOBER 2019 S/D MARET 2020 DAN APRIL S/D SEPTEMBER 2020</t>
  </si>
  <si>
    <t>REALISASI PANEN UBI KAYU OKTOBER 2019 S/D MARET 2020 DAN APRIL S/D SEPTEMBER 2020</t>
  </si>
  <si>
    <t>REALISASI PANEN UBI JALAR OKTOBER 2019 S/D MARET 2020 DAN APRIL S/D SEPTEMBER 2020</t>
  </si>
  <si>
    <t>REALISASI PANEN KACANG HIJAU OKTOBER 2019 S/D MARET 2020 DAN APRIL S/D SEPTEMBER 2020</t>
  </si>
  <si>
    <t>REALISASI PRODUKSI PADI TOTAL (SAWAH+LADANG) OKTOBER 2019 S/D MARET 2020 DAN APRIL S/D SEPTEMBER 2020</t>
  </si>
  <si>
    <t>REALISASI PRODUKSI PADI SAWAH OKTOBER 2019 S/D MARET 2020 DAN APRIL S/D SEPTEMBER 2020</t>
  </si>
  <si>
    <t>REALISASI PRODUKSI PADI LADANG OKTOBER 2019 S/D MARET 2020 DAN APRIL S/D SEPTEMBER 2020</t>
  </si>
  <si>
    <t>REALISASI PRODUKSI JAGUNG OKTOBER 2019 S/D MARET 2020 DAN APRIL S/D SEPTEMBER 2020</t>
  </si>
  <si>
    <t>REALISASI PRODUKSI KEDELAI OKTOBER 2019 S/D MARET 2020 DAN APRIL S/D SEPTEMBER 2020</t>
  </si>
  <si>
    <t>REALISASI PRODUKSI KACANG TANAH OKTOBER 2019 S/D MARET 2020 DAN APRIL S/D SEPTEMBER 2020</t>
  </si>
  <si>
    <t>REALISASI PRODUKSI UBI KAYU OKTOBER 2019 S/D MARET 2020 DAN APRIL S/D SEPTEMBER 2020</t>
  </si>
  <si>
    <t>REALISASI PRODUKSI UBI JALAR OKTOBER 2019 S/D MARET 2020 DAN APRIL S/D SEPTEMBER 2020</t>
  </si>
  <si>
    <t>REALISASI PRODUKSI KACANG HIJAU OKTOBER 2019 S/D MARET 2020 DAN APRIL S/D SEPTEMBER 2020</t>
  </si>
  <si>
    <t>REALISASI PRODUKTIVITAS PADI TOTAL (SAWAH+LADANG) OKTOBER 2019 S/D MARET 2020 DAN APRIL S/D SEPTEMBER 2020</t>
  </si>
  <si>
    <t>REALISASI PRODUKTIVITAS PADI SAWAH OKTOBER 2019 S/D MARET 2020 DAN APRIL S/D SEPTEMBER 2020</t>
  </si>
  <si>
    <t>REALISASI PRODUKTIVITAS PADI LADANG OKTOBER 2019 S/D MARET 2020 DAN APRIL S/D SEPTEMBER 2020</t>
  </si>
  <si>
    <t>REALISASI PRODUKTIVITAS JAGUNG OKTOBER 2019 S/D MARET 2020 DAN APRIL S/D SEPTEMBER 2020</t>
  </si>
  <si>
    <t>REALISASI PRODUKTIVITAS KEDELAI OKTOBER 2019 S/D MARET 2020 DAN APRIL S/D SEPTEMBER 2020</t>
  </si>
  <si>
    <t>REALISASI PRODUKTIVITAS KACANG TANAH OKTOBER 2019 S/D MARET 2020 DAN APRIL S/D SEPTEMBER 2020</t>
  </si>
  <si>
    <t>REALISASI PRODUKTIVITAS UBI KAYU OKTOBER 2019 S/D MARET 2020 DAN APRIL S/D SEPTEMBER 2020</t>
  </si>
  <si>
    <t>REALISASI PRODUKTIVITAS UBI JALAR OKTOBER 2019 S/D MARET 2020 DAN APRIL S/D SEPTEMBER 2020</t>
  </si>
  <si>
    <t>REALISASI PRODUKTIVITAS KACANG HIJAU OKTOBER 2019 S/D MARET 2020 DAN APRIL S/D SEPTEMBER 2020</t>
  </si>
  <si>
    <t>2019 S/D 2020</t>
  </si>
  <si>
    <t>2*</t>
  </si>
  <si>
    <t>1*</t>
  </si>
  <si>
    <t>60.02</t>
  </si>
  <si>
    <t>9. Talas</t>
  </si>
  <si>
    <t>1. JAGUNG</t>
  </si>
  <si>
    <t>2. KACANG TANAH</t>
  </si>
  <si>
    <t>KOTA CILEGON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</si>
</sst>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_);_(@_)"/>
    <numFmt numFmtId="165" formatCode="_(* #,##0.00_);_(* \(#,##0.00\);_(* &quot;-&quot;??_);_(@_)"/>
    <numFmt numFmtId="166" formatCode="_(* #,##0.00_);_(* \(#,##0.00\);_(* &quot;-&quot;_);_(@_)"/>
    <numFmt numFmtId="167" formatCode="_(* #,##0.0_);_(* \(#,##0.0\);_(* &quot;-&quot;_);_(@_)"/>
    <numFmt numFmtId="168" formatCode="_(* #,##0.0_);_(* \(#,##0.0\);_(* &quot;-&quot;??_);_(@_)"/>
  </numFmts>
  <fonts count="14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4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2"/>
      <name val="Calibri"/>
      <family val="2"/>
      <scheme val="minor"/>
    </font>
    <font>
      <b/>
      <sz val="14"/>
      <color indexed="8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59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4" fillId="2" borderId="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left" vertical="center"/>
    </xf>
    <xf numFmtId="164" fontId="3" fillId="2" borderId="7" xfId="1" applyFont="1" applyFill="1" applyBorder="1" applyAlignment="1">
      <alignment horizontal="center" vertical="center"/>
    </xf>
    <xf numFmtId="164" fontId="3" fillId="2" borderId="6" xfId="1" applyFont="1" applyFill="1" applyBorder="1" applyAlignment="1">
      <alignment horizontal="center" vertical="center"/>
    </xf>
    <xf numFmtId="164" fontId="4" fillId="2" borderId="6" xfId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left" vertical="center"/>
    </xf>
    <xf numFmtId="164" fontId="4" fillId="2" borderId="7" xfId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164" fontId="3" fillId="0" borderId="7" xfId="1" applyFont="1" applyBorder="1" applyAlignment="1">
      <alignment horizontal="center" vertical="center"/>
    </xf>
    <xf numFmtId="164" fontId="3" fillId="0" borderId="8" xfId="1" applyFont="1" applyBorder="1" applyAlignment="1">
      <alignment horizontal="center" vertical="center"/>
    </xf>
    <xf numFmtId="164" fontId="4" fillId="0" borderId="7" xfId="1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164" fontId="4" fillId="0" borderId="9" xfId="1" applyFont="1" applyBorder="1" applyAlignment="1">
      <alignment horizontal="center" vertical="center"/>
    </xf>
    <xf numFmtId="164" fontId="4" fillId="0" borderId="12" xfId="1" applyFont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Font="1"/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164" fontId="3" fillId="0" borderId="6" xfId="1" applyFont="1" applyBorder="1" applyAlignment="1">
      <alignment horizontal="center" vertical="center"/>
    </xf>
    <xf numFmtId="164" fontId="4" fillId="0" borderId="6" xfId="1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66" fontId="5" fillId="0" borderId="6" xfId="1" applyNumberFormat="1" applyFont="1" applyBorder="1" applyAlignment="1">
      <alignment horizontal="center" vertical="center"/>
    </xf>
    <xf numFmtId="166" fontId="3" fillId="0" borderId="6" xfId="1" applyNumberFormat="1" applyFont="1" applyBorder="1" applyAlignment="1">
      <alignment horizontal="center" vertical="center"/>
    </xf>
    <xf numFmtId="166" fontId="4" fillId="0" borderId="6" xfId="1" applyNumberFormat="1" applyFont="1" applyBorder="1" applyAlignment="1">
      <alignment horizontal="center" vertical="center"/>
    </xf>
    <xf numFmtId="166" fontId="3" fillId="0" borderId="7" xfId="1" applyNumberFormat="1" applyFont="1" applyBorder="1" applyAlignment="1">
      <alignment horizontal="center" vertical="center"/>
    </xf>
    <xf numFmtId="166" fontId="4" fillId="0" borderId="7" xfId="1" applyNumberFormat="1" applyFont="1" applyBorder="1" applyAlignment="1">
      <alignment horizontal="center" vertical="center"/>
    </xf>
    <xf numFmtId="166" fontId="3" fillId="0" borderId="8" xfId="1" applyNumberFormat="1" applyFont="1" applyBorder="1" applyAlignment="1">
      <alignment horizontal="center" vertical="center"/>
    </xf>
    <xf numFmtId="166" fontId="4" fillId="0" borderId="9" xfId="1" applyNumberFormat="1" applyFont="1" applyBorder="1" applyAlignment="1">
      <alignment horizontal="center" vertical="center"/>
    </xf>
    <xf numFmtId="166" fontId="4" fillId="0" borderId="12" xfId="1" applyNumberFormat="1" applyFont="1" applyBorder="1" applyAlignment="1">
      <alignment horizontal="center" vertical="center"/>
    </xf>
    <xf numFmtId="2" fontId="0" fillId="0" borderId="0" xfId="0" applyNumberFormat="1" applyFont="1" applyAlignment="1">
      <alignment horizontal="center"/>
    </xf>
    <xf numFmtId="164" fontId="3" fillId="0" borderId="9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164" fontId="4" fillId="0" borderId="13" xfId="1" applyFont="1" applyBorder="1" applyAlignment="1">
      <alignment horizontal="center" vertical="center"/>
    </xf>
    <xf numFmtId="164" fontId="4" fillId="0" borderId="14" xfId="1" applyFont="1" applyBorder="1" applyAlignment="1">
      <alignment horizontal="center" vertical="center"/>
    </xf>
    <xf numFmtId="166" fontId="4" fillId="0" borderId="13" xfId="1" applyNumberFormat="1" applyFont="1" applyBorder="1" applyAlignment="1">
      <alignment horizontal="center" vertical="center"/>
    </xf>
    <xf numFmtId="166" fontId="4" fillId="0" borderId="4" xfId="1" applyNumberFormat="1" applyFont="1" applyBorder="1" applyAlignment="1">
      <alignment horizontal="center" vertical="center"/>
    </xf>
    <xf numFmtId="164" fontId="3" fillId="0" borderId="6" xfId="1" applyFont="1" applyFill="1" applyBorder="1" applyAlignment="1">
      <alignment horizontal="center" vertical="center"/>
    </xf>
    <xf numFmtId="164" fontId="3" fillId="0" borderId="7" xfId="1" applyFont="1" applyFill="1" applyBorder="1" applyAlignment="1">
      <alignment horizontal="center" vertical="center"/>
    </xf>
    <xf numFmtId="164" fontId="7" fillId="0" borderId="7" xfId="1" applyFont="1" applyFill="1" applyBorder="1" applyAlignment="1">
      <alignment horizontal="center" vertical="center"/>
    </xf>
    <xf numFmtId="164" fontId="3" fillId="0" borderId="9" xfId="1" applyFont="1" applyFill="1" applyBorder="1" applyAlignment="1">
      <alignment horizontal="center" vertical="center"/>
    </xf>
    <xf numFmtId="166" fontId="7" fillId="0" borderId="6" xfId="1" applyNumberFormat="1" applyFont="1" applyFill="1" applyBorder="1" applyAlignment="1">
      <alignment horizontal="center" vertical="center"/>
    </xf>
    <xf numFmtId="166" fontId="8" fillId="0" borderId="12" xfId="1" applyNumberFormat="1" applyFont="1" applyFill="1" applyBorder="1" applyAlignment="1">
      <alignment horizontal="center" vertical="center"/>
    </xf>
    <xf numFmtId="164" fontId="4" fillId="0" borderId="8" xfId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64" fontId="3" fillId="0" borderId="15" xfId="1" applyFont="1" applyBorder="1" applyAlignment="1">
      <alignment horizontal="center" vertical="center"/>
    </xf>
    <xf numFmtId="164" fontId="4" fillId="0" borderId="15" xfId="1" applyFont="1" applyBorder="1" applyAlignment="1">
      <alignment horizontal="center" vertical="center"/>
    </xf>
    <xf numFmtId="166" fontId="3" fillId="0" borderId="15" xfId="1" applyNumberFormat="1" applyFont="1" applyBorder="1" applyAlignment="1">
      <alignment horizontal="center" vertical="center"/>
    </xf>
    <xf numFmtId="166" fontId="4" fillId="0" borderId="14" xfId="1" applyNumberFormat="1" applyFont="1" applyBorder="1" applyAlignment="1">
      <alignment horizontal="center" vertical="center"/>
    </xf>
    <xf numFmtId="164" fontId="7" fillId="2" borderId="6" xfId="1" applyFont="1" applyFill="1" applyBorder="1" applyAlignment="1">
      <alignment horizontal="center" vertical="center"/>
    </xf>
    <xf numFmtId="164" fontId="7" fillId="2" borderId="7" xfId="1" applyFont="1" applyFill="1" applyBorder="1" applyAlignment="1">
      <alignment horizontal="center" vertical="center"/>
    </xf>
    <xf numFmtId="164" fontId="7" fillId="0" borderId="7" xfId="1" applyFont="1" applyBorder="1" applyAlignment="1">
      <alignment horizontal="center" vertical="center"/>
    </xf>
    <xf numFmtId="164" fontId="7" fillId="0" borderId="9" xfId="1" applyFont="1" applyBorder="1" applyAlignment="1">
      <alignment horizontal="center" vertical="center"/>
    </xf>
    <xf numFmtId="164" fontId="7" fillId="0" borderId="6" xfId="1" applyFont="1" applyBorder="1" applyAlignment="1">
      <alignment horizontal="center" vertical="center"/>
    </xf>
    <xf numFmtId="166" fontId="7" fillId="0" borderId="6" xfId="1" applyNumberFormat="1" applyFont="1" applyBorder="1" applyAlignment="1">
      <alignment horizontal="center" vertical="center"/>
    </xf>
    <xf numFmtId="166" fontId="7" fillId="2" borderId="6" xfId="1" applyNumberFormat="1" applyFont="1" applyFill="1" applyBorder="1" applyAlignment="1">
      <alignment horizontal="center" vertical="center"/>
    </xf>
    <xf numFmtId="166" fontId="7" fillId="0" borderId="7" xfId="1" applyNumberFormat="1" applyFont="1" applyBorder="1" applyAlignment="1">
      <alignment horizontal="center" vertical="center"/>
    </xf>
    <xf numFmtId="166" fontId="7" fillId="0" borderId="9" xfId="1" applyNumberFormat="1" applyFont="1" applyBorder="1" applyAlignment="1">
      <alignment horizontal="center" vertical="center"/>
    </xf>
    <xf numFmtId="164" fontId="7" fillId="0" borderId="6" xfId="1" applyFont="1" applyFill="1" applyBorder="1" applyAlignment="1">
      <alignment horizontal="center" vertical="center"/>
    </xf>
    <xf numFmtId="166" fontId="3" fillId="2" borderId="6" xfId="1" applyNumberFormat="1" applyFont="1" applyFill="1" applyBorder="1" applyAlignment="1">
      <alignment horizontal="center" vertical="center"/>
    </xf>
    <xf numFmtId="164" fontId="3" fillId="0" borderId="7" xfId="1" applyNumberFormat="1" applyFont="1" applyBorder="1" applyAlignment="1">
      <alignment horizontal="center" vertical="center"/>
    </xf>
    <xf numFmtId="164" fontId="4" fillId="0" borderId="12" xfId="1" applyNumberFormat="1" applyFont="1" applyBorder="1" applyAlignment="1">
      <alignment horizontal="center" vertical="center"/>
    </xf>
    <xf numFmtId="165" fontId="0" fillId="0" borderId="0" xfId="0" applyNumberFormat="1"/>
    <xf numFmtId="165" fontId="0" fillId="0" borderId="0" xfId="0" applyNumberFormat="1" applyFont="1"/>
    <xf numFmtId="164" fontId="3" fillId="0" borderId="6" xfId="1" applyFont="1" applyBorder="1" applyAlignment="1">
      <alignment horizontal="right" vertical="center"/>
    </xf>
    <xf numFmtId="164" fontId="7" fillId="0" borderId="6" xfId="1" applyFont="1" applyBorder="1" applyAlignment="1">
      <alignment horizontal="right" vertical="center"/>
    </xf>
    <xf numFmtId="0" fontId="9" fillId="0" borderId="0" xfId="0" applyFont="1"/>
    <xf numFmtId="0" fontId="4" fillId="2" borderId="5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164" fontId="0" fillId="0" borderId="3" xfId="1" applyFont="1" applyBorder="1"/>
    <xf numFmtId="164" fontId="0" fillId="0" borderId="7" xfId="1" applyFont="1" applyBorder="1"/>
    <xf numFmtId="164" fontId="0" fillId="0" borderId="9" xfId="1" applyFont="1" applyBorder="1"/>
    <xf numFmtId="164" fontId="9" fillId="0" borderId="28" xfId="1" applyFont="1" applyBorder="1"/>
    <xf numFmtId="166" fontId="0" fillId="0" borderId="30" xfId="1" applyNumberFormat="1" applyFont="1" applyBorder="1"/>
    <xf numFmtId="166" fontId="0" fillId="0" borderId="31" xfId="1" applyNumberFormat="1" applyFont="1" applyBorder="1"/>
    <xf numFmtId="166" fontId="9" fillId="0" borderId="29" xfId="1" applyNumberFormat="1" applyFont="1" applyBorder="1"/>
    <xf numFmtId="164" fontId="0" fillId="0" borderId="3" xfId="1" applyFont="1" applyBorder="1" applyAlignment="1">
      <alignment horizontal="right"/>
    </xf>
    <xf numFmtId="0" fontId="4" fillId="0" borderId="0" xfId="0" applyFont="1" applyBorder="1" applyAlignment="1">
      <alignment horizontal="center" vertical="center"/>
    </xf>
    <xf numFmtId="164" fontId="9" fillId="0" borderId="0" xfId="1" applyFont="1" applyBorder="1"/>
    <xf numFmtId="166" fontId="9" fillId="0" borderId="0" xfId="1" applyNumberFormat="1" applyFont="1" applyBorder="1"/>
    <xf numFmtId="0" fontId="3" fillId="0" borderId="0" xfId="0" applyFont="1" applyBorder="1" applyAlignment="1">
      <alignment horizontal="left" vertical="center"/>
    </xf>
    <xf numFmtId="164" fontId="3" fillId="0" borderId="8" xfId="1" applyFont="1" applyBorder="1" applyAlignment="1">
      <alignment horizontal="right" vertical="center"/>
    </xf>
    <xf numFmtId="0" fontId="4" fillId="2" borderId="3" xfId="0" applyFont="1" applyFill="1" applyBorder="1" applyAlignment="1">
      <alignment horizontal="center" vertical="center"/>
    </xf>
    <xf numFmtId="166" fontId="0" fillId="0" borderId="0" xfId="0" applyNumberFormat="1" applyFont="1"/>
    <xf numFmtId="164" fontId="0" fillId="0" borderId="0" xfId="0" applyNumberFormat="1" applyFont="1"/>
    <xf numFmtId="0" fontId="4" fillId="0" borderId="0" xfId="0" applyFont="1" applyFill="1" applyBorder="1" applyAlignment="1">
      <alignment horizontal="center" vertical="center"/>
    </xf>
    <xf numFmtId="164" fontId="0" fillId="0" borderId="0" xfId="0" applyNumberFormat="1"/>
    <xf numFmtId="164" fontId="7" fillId="0" borderId="9" xfId="1" applyFont="1" applyBorder="1" applyAlignment="1">
      <alignment horizontal="right" vertical="center"/>
    </xf>
    <xf numFmtId="164" fontId="4" fillId="0" borderId="3" xfId="1" applyFont="1" applyFill="1" applyBorder="1" applyAlignment="1">
      <alignment horizontal="center" vertical="center"/>
    </xf>
    <xf numFmtId="164" fontId="0" fillId="0" borderId="0" xfId="1" applyFont="1"/>
    <xf numFmtId="166" fontId="4" fillId="0" borderId="3" xfId="1" applyNumberFormat="1" applyFont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164" fontId="4" fillId="0" borderId="27" xfId="1" applyFont="1" applyBorder="1" applyAlignment="1">
      <alignment horizontal="center" vertical="center"/>
    </xf>
    <xf numFmtId="0" fontId="0" fillId="0" borderId="0" xfId="0" applyFont="1" applyAlignment="1">
      <alignment horizontal="left"/>
    </xf>
    <xf numFmtId="164" fontId="7" fillId="0" borderId="8" xfId="1" applyFont="1" applyBorder="1" applyAlignment="1">
      <alignment horizontal="center" vertical="center"/>
    </xf>
    <xf numFmtId="164" fontId="8" fillId="0" borderId="12" xfId="1" applyFont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/>
    </xf>
    <xf numFmtId="166" fontId="3" fillId="0" borderId="30" xfId="1" applyNumberFormat="1" applyFont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/>
    </xf>
    <xf numFmtId="164" fontId="4" fillId="0" borderId="43" xfId="1" applyFont="1" applyBorder="1" applyAlignment="1">
      <alignment horizontal="center" vertical="center"/>
    </xf>
    <xf numFmtId="0" fontId="4" fillId="2" borderId="44" xfId="0" applyFont="1" applyFill="1" applyBorder="1" applyAlignment="1">
      <alignment horizontal="center"/>
    </xf>
    <xf numFmtId="164" fontId="4" fillId="0" borderId="46" xfId="1" applyFont="1" applyBorder="1" applyAlignment="1">
      <alignment horizontal="center" vertical="center"/>
    </xf>
    <xf numFmtId="164" fontId="4" fillId="2" borderId="49" xfId="1" applyFont="1" applyFill="1" applyBorder="1" applyAlignment="1">
      <alignment horizontal="center" vertical="center"/>
    </xf>
    <xf numFmtId="164" fontId="4" fillId="2" borderId="45" xfId="1" applyFont="1" applyFill="1" applyBorder="1" applyAlignment="1">
      <alignment horizontal="center" vertical="center"/>
    </xf>
    <xf numFmtId="164" fontId="4" fillId="2" borderId="50" xfId="1" applyFont="1" applyFill="1" applyBorder="1" applyAlignment="1">
      <alignment horizontal="center" vertical="center"/>
    </xf>
    <xf numFmtId="164" fontId="4" fillId="2" borderId="51" xfId="1" applyFont="1" applyFill="1" applyBorder="1" applyAlignment="1">
      <alignment horizontal="center" vertical="center"/>
    </xf>
    <xf numFmtId="164" fontId="4" fillId="2" borderId="52" xfId="1" applyFont="1" applyFill="1" applyBorder="1" applyAlignment="1">
      <alignment horizontal="center" vertical="center"/>
    </xf>
    <xf numFmtId="164" fontId="4" fillId="2" borderId="53" xfId="1" applyFont="1" applyFill="1" applyBorder="1" applyAlignment="1">
      <alignment horizontal="center" vertical="center"/>
    </xf>
    <xf numFmtId="164" fontId="4" fillId="0" borderId="54" xfId="1" applyFont="1" applyBorder="1" applyAlignment="1">
      <alignment horizontal="center" vertical="center"/>
    </xf>
    <xf numFmtId="0" fontId="4" fillId="2" borderId="57" xfId="0" applyFont="1" applyFill="1" applyBorder="1" applyAlignment="1">
      <alignment horizontal="center"/>
    </xf>
    <xf numFmtId="164" fontId="7" fillId="2" borderId="35" xfId="1" applyFont="1" applyFill="1" applyBorder="1" applyAlignment="1">
      <alignment horizontal="center" vertical="center"/>
    </xf>
    <xf numFmtId="164" fontId="8" fillId="0" borderId="58" xfId="1" applyFont="1" applyBorder="1" applyAlignment="1">
      <alignment horizontal="center" vertical="center"/>
    </xf>
    <xf numFmtId="0" fontId="0" fillId="0" borderId="0" xfId="0" applyFont="1" applyAlignment="1"/>
    <xf numFmtId="164" fontId="7" fillId="0" borderId="7" xfId="1" applyFont="1" applyBorder="1" applyAlignment="1">
      <alignment horizontal="right" vertical="center"/>
    </xf>
    <xf numFmtId="164" fontId="7" fillId="2" borderId="13" xfId="1" applyFont="1" applyFill="1" applyBorder="1" applyAlignment="1">
      <alignment horizontal="center" vertical="center"/>
    </xf>
    <xf numFmtId="164" fontId="7" fillId="2" borderId="3" xfId="1" applyFont="1" applyFill="1" applyBorder="1" applyAlignment="1">
      <alignment horizontal="center" vertical="center"/>
    </xf>
    <xf numFmtId="164" fontId="3" fillId="0" borderId="7" xfId="1" applyFont="1" applyBorder="1" applyAlignment="1">
      <alignment horizontal="right" vertical="center"/>
    </xf>
    <xf numFmtId="164" fontId="0" fillId="0" borderId="0" xfId="0" applyNumberFormat="1" applyFont="1" applyAlignment="1">
      <alignment horizontal="center"/>
    </xf>
    <xf numFmtId="166" fontId="0" fillId="0" borderId="20" xfId="1" applyNumberFormat="1" applyFont="1" applyBorder="1" applyAlignment="1">
      <alignment horizontal="right"/>
    </xf>
    <xf numFmtId="164" fontId="0" fillId="0" borderId="7" xfId="1" applyFont="1" applyBorder="1" applyAlignment="1">
      <alignment horizontal="right"/>
    </xf>
    <xf numFmtId="166" fontId="0" fillId="0" borderId="30" xfId="1" applyNumberFormat="1" applyFont="1" applyBorder="1" applyAlignment="1">
      <alignment horizontal="right"/>
    </xf>
    <xf numFmtId="164" fontId="0" fillId="0" borderId="9" xfId="1" applyFont="1" applyBorder="1" applyAlignment="1">
      <alignment horizontal="right"/>
    </xf>
    <xf numFmtId="166" fontId="0" fillId="0" borderId="31" xfId="1" applyNumberFormat="1" applyFont="1" applyBorder="1" applyAlignment="1">
      <alignment horizontal="right"/>
    </xf>
    <xf numFmtId="164" fontId="0" fillId="0" borderId="6" xfId="1" applyFont="1" applyBorder="1"/>
    <xf numFmtId="164" fontId="0" fillId="0" borderId="6" xfId="1" applyFont="1" applyBorder="1" applyAlignment="1">
      <alignment horizontal="right"/>
    </xf>
    <xf numFmtId="166" fontId="0" fillId="0" borderId="36" xfId="1" applyNumberFormat="1" applyFont="1" applyBorder="1" applyAlignment="1">
      <alignment horizontal="right"/>
    </xf>
    <xf numFmtId="164" fontId="0" fillId="0" borderId="13" xfId="1" applyFont="1" applyBorder="1"/>
    <xf numFmtId="164" fontId="0" fillId="0" borderId="13" xfId="1" applyFont="1" applyBorder="1" applyAlignment="1">
      <alignment horizontal="right"/>
    </xf>
    <xf numFmtId="166" fontId="0" fillId="0" borderId="41" xfId="1" applyNumberFormat="1" applyFont="1" applyBorder="1" applyAlignment="1">
      <alignment horizontal="right"/>
    </xf>
    <xf numFmtId="166" fontId="0" fillId="0" borderId="29" xfId="1" applyNumberFormat="1" applyFont="1" applyBorder="1" applyAlignment="1">
      <alignment horizontal="right"/>
    </xf>
    <xf numFmtId="166" fontId="3" fillId="0" borderId="41" xfId="1" applyNumberFormat="1" applyFont="1" applyBorder="1" applyAlignment="1">
      <alignment horizontal="center" vertical="center"/>
    </xf>
    <xf numFmtId="166" fontId="3" fillId="0" borderId="29" xfId="1" applyNumberFormat="1" applyFont="1" applyBorder="1" applyAlignment="1">
      <alignment horizontal="center" vertical="center"/>
    </xf>
    <xf numFmtId="166" fontId="3" fillId="0" borderId="31" xfId="1" applyNumberFormat="1" applyFont="1" applyBorder="1" applyAlignment="1">
      <alignment horizontal="center" vertical="center"/>
    </xf>
    <xf numFmtId="164" fontId="7" fillId="2" borderId="59" xfId="1" applyFont="1" applyFill="1" applyBorder="1" applyAlignment="1">
      <alignment horizontal="center" vertical="center"/>
    </xf>
    <xf numFmtId="164" fontId="7" fillId="2" borderId="61" xfId="1" applyFont="1" applyFill="1" applyBorder="1" applyAlignment="1">
      <alignment horizontal="center" vertical="center"/>
    </xf>
    <xf numFmtId="164" fontId="7" fillId="2" borderId="60" xfId="1" applyFont="1" applyFill="1" applyBorder="1" applyAlignment="1">
      <alignment horizontal="center" vertical="center"/>
    </xf>
    <xf numFmtId="167" fontId="3" fillId="0" borderId="7" xfId="1" applyNumberFormat="1" applyFont="1" applyBorder="1" applyAlignment="1">
      <alignment horizontal="center" vertical="center"/>
    </xf>
    <xf numFmtId="167" fontId="4" fillId="0" borderId="12" xfId="1" applyNumberFormat="1" applyFont="1" applyBorder="1" applyAlignment="1">
      <alignment horizontal="center" vertical="center"/>
    </xf>
    <xf numFmtId="167" fontId="8" fillId="0" borderId="58" xfId="1" applyNumberFormat="1" applyFont="1" applyBorder="1" applyAlignment="1">
      <alignment horizontal="center" vertical="center"/>
    </xf>
    <xf numFmtId="166" fontId="7" fillId="0" borderId="14" xfId="1" applyNumberFormat="1" applyFont="1" applyFill="1" applyBorder="1" applyAlignment="1">
      <alignment horizontal="center" vertical="center"/>
    </xf>
    <xf numFmtId="167" fontId="3" fillId="0" borderId="8" xfId="1" applyNumberFormat="1" applyFont="1" applyBorder="1" applyAlignment="1">
      <alignment horizontal="center" vertical="center"/>
    </xf>
    <xf numFmtId="166" fontId="3" fillId="0" borderId="6" xfId="1" applyNumberFormat="1" applyFont="1" applyFill="1" applyBorder="1" applyAlignment="1">
      <alignment horizontal="center" vertical="center"/>
    </xf>
    <xf numFmtId="166" fontId="3" fillId="0" borderId="7" xfId="1" applyNumberFormat="1" applyFont="1" applyFill="1" applyBorder="1" applyAlignment="1">
      <alignment horizontal="center" vertical="center"/>
    </xf>
    <xf numFmtId="164" fontId="4" fillId="0" borderId="7" xfId="1" applyFont="1" applyBorder="1" applyAlignment="1">
      <alignment horizontal="right" vertical="center"/>
    </xf>
    <xf numFmtId="167" fontId="4" fillId="0" borderId="7" xfId="1" applyNumberFormat="1" applyFont="1" applyBorder="1" applyAlignment="1">
      <alignment horizontal="center" vertical="center"/>
    </xf>
    <xf numFmtId="167" fontId="4" fillId="0" borderId="9" xfId="1" applyNumberFormat="1" applyFont="1" applyBorder="1" applyAlignment="1">
      <alignment horizontal="center" vertical="center"/>
    </xf>
    <xf numFmtId="167" fontId="4" fillId="0" borderId="6" xfId="1" applyNumberFormat="1" applyFont="1" applyBorder="1" applyAlignment="1">
      <alignment horizontal="center" vertical="center"/>
    </xf>
    <xf numFmtId="164" fontId="7" fillId="2" borderId="7" xfId="1" applyFont="1" applyFill="1" applyBorder="1" applyAlignment="1">
      <alignment horizontal="right" vertical="center"/>
    </xf>
    <xf numFmtId="164" fontId="7" fillId="2" borderId="13" xfId="1" applyFont="1" applyFill="1" applyBorder="1" applyAlignment="1">
      <alignment horizontal="right" vertical="center"/>
    </xf>
    <xf numFmtId="167" fontId="7" fillId="2" borderId="3" xfId="1" applyNumberFormat="1" applyFont="1" applyFill="1" applyBorder="1" applyAlignment="1">
      <alignment horizontal="center" vertical="center"/>
    </xf>
    <xf numFmtId="167" fontId="4" fillId="0" borderId="27" xfId="1" applyNumberFormat="1" applyFont="1" applyBorder="1" applyAlignment="1">
      <alignment horizontal="center" vertical="center"/>
    </xf>
    <xf numFmtId="167" fontId="4" fillId="2" borderId="49" xfId="1" applyNumberFormat="1" applyFont="1" applyFill="1" applyBorder="1" applyAlignment="1">
      <alignment horizontal="center" vertical="center"/>
    </xf>
    <xf numFmtId="167" fontId="4" fillId="2" borderId="45" xfId="1" applyNumberFormat="1" applyFont="1" applyFill="1" applyBorder="1" applyAlignment="1">
      <alignment horizontal="center" vertical="center"/>
    </xf>
    <xf numFmtId="167" fontId="4" fillId="2" borderId="50" xfId="1" applyNumberFormat="1" applyFont="1" applyFill="1" applyBorder="1" applyAlignment="1">
      <alignment horizontal="center" vertical="center"/>
    </xf>
    <xf numFmtId="167" fontId="4" fillId="0" borderId="46" xfId="1" applyNumberFormat="1" applyFont="1" applyBorder="1" applyAlignment="1">
      <alignment horizontal="center" vertical="center"/>
    </xf>
    <xf numFmtId="167" fontId="7" fillId="2" borderId="13" xfId="1" applyNumberFormat="1" applyFont="1" applyFill="1" applyBorder="1" applyAlignment="1">
      <alignment horizontal="center" vertical="center"/>
    </xf>
    <xf numFmtId="167" fontId="7" fillId="2" borderId="7" xfId="1" applyNumberFormat="1" applyFont="1" applyFill="1" applyBorder="1" applyAlignment="1">
      <alignment horizontal="center" vertical="center"/>
    </xf>
    <xf numFmtId="166" fontId="7" fillId="2" borderId="13" xfId="1" applyNumberFormat="1" applyFont="1" applyFill="1" applyBorder="1" applyAlignment="1">
      <alignment horizontal="center" vertical="center"/>
    </xf>
    <xf numFmtId="166" fontId="7" fillId="2" borderId="7" xfId="1" applyNumberFormat="1" applyFont="1" applyFill="1" applyBorder="1" applyAlignment="1">
      <alignment horizontal="center" vertical="center"/>
    </xf>
    <xf numFmtId="166" fontId="7" fillId="2" borderId="3" xfId="1" applyNumberFormat="1" applyFont="1" applyFill="1" applyBorder="1" applyAlignment="1">
      <alignment horizontal="center" vertical="center"/>
    </xf>
    <xf numFmtId="166" fontId="4" fillId="0" borderId="27" xfId="1" applyNumberFormat="1" applyFont="1" applyBorder="1" applyAlignment="1">
      <alignment horizontal="center" vertical="center"/>
    </xf>
    <xf numFmtId="166" fontId="4" fillId="0" borderId="43" xfId="1" applyNumberFormat="1" applyFont="1" applyBorder="1" applyAlignment="1">
      <alignment horizontal="center" vertical="center"/>
    </xf>
    <xf numFmtId="166" fontId="4" fillId="0" borderId="40" xfId="1" applyNumberFormat="1" applyFont="1" applyBorder="1" applyAlignment="1">
      <alignment horizontal="center" vertical="center"/>
    </xf>
    <xf numFmtId="166" fontId="4" fillId="0" borderId="46" xfId="1" applyNumberFormat="1" applyFont="1" applyBorder="1" applyAlignment="1">
      <alignment horizontal="center" vertical="center"/>
    </xf>
    <xf numFmtId="166" fontId="4" fillId="0" borderId="64" xfId="1" applyNumberFormat="1" applyFont="1" applyBorder="1" applyAlignment="1">
      <alignment horizontal="center" vertical="center"/>
    </xf>
    <xf numFmtId="166" fontId="4" fillId="2" borderId="49" xfId="1" applyNumberFormat="1" applyFont="1" applyFill="1" applyBorder="1" applyAlignment="1">
      <alignment horizontal="center" vertical="center"/>
    </xf>
    <xf numFmtId="167" fontId="4" fillId="2" borderId="51" xfId="1" applyNumberFormat="1" applyFont="1" applyFill="1" applyBorder="1" applyAlignment="1">
      <alignment horizontal="center" vertical="center"/>
    </xf>
    <xf numFmtId="167" fontId="4" fillId="2" borderId="52" xfId="1" applyNumberFormat="1" applyFont="1" applyFill="1" applyBorder="1" applyAlignment="1">
      <alignment horizontal="center" vertical="center"/>
    </xf>
    <xf numFmtId="167" fontId="4" fillId="2" borderId="53" xfId="1" applyNumberFormat="1" applyFont="1" applyFill="1" applyBorder="1" applyAlignment="1">
      <alignment horizontal="center" vertical="center"/>
    </xf>
    <xf numFmtId="166" fontId="4" fillId="2" borderId="51" xfId="1" applyNumberFormat="1" applyFont="1" applyFill="1" applyBorder="1" applyAlignment="1">
      <alignment horizontal="center" vertical="center"/>
    </xf>
    <xf numFmtId="166" fontId="4" fillId="2" borderId="52" xfId="1" applyNumberFormat="1" applyFont="1" applyFill="1" applyBorder="1" applyAlignment="1">
      <alignment horizontal="center" vertical="center"/>
    </xf>
    <xf numFmtId="166" fontId="4" fillId="2" borderId="53" xfId="1" applyNumberFormat="1" applyFont="1" applyFill="1" applyBorder="1" applyAlignment="1">
      <alignment horizontal="center" vertical="center"/>
    </xf>
    <xf numFmtId="166" fontId="4" fillId="2" borderId="65" xfId="1" applyNumberFormat="1" applyFont="1" applyFill="1" applyBorder="1" applyAlignment="1">
      <alignment horizontal="center" vertical="center"/>
    </xf>
    <xf numFmtId="166" fontId="4" fillId="2" borderId="62" xfId="1" applyNumberFormat="1" applyFont="1" applyFill="1" applyBorder="1" applyAlignment="1">
      <alignment horizontal="center" vertical="center"/>
    </xf>
    <xf numFmtId="166" fontId="4" fillId="2" borderId="45" xfId="1" applyNumberFormat="1" applyFont="1" applyFill="1" applyBorder="1" applyAlignment="1">
      <alignment horizontal="center" vertical="center"/>
    </xf>
    <xf numFmtId="166" fontId="7" fillId="2" borderId="61" xfId="1" applyNumberFormat="1" applyFont="1" applyFill="1" applyBorder="1" applyAlignment="1">
      <alignment horizontal="center" vertical="center"/>
    </xf>
    <xf numFmtId="166" fontId="7" fillId="2" borderId="35" xfId="1" applyNumberFormat="1" applyFont="1" applyFill="1" applyBorder="1" applyAlignment="1">
      <alignment horizontal="center" vertical="center"/>
    </xf>
    <xf numFmtId="166" fontId="7" fillId="2" borderId="60" xfId="1" applyNumberFormat="1" applyFont="1" applyFill="1" applyBorder="1" applyAlignment="1">
      <alignment horizontal="center" vertical="center"/>
    </xf>
    <xf numFmtId="166" fontId="4" fillId="2" borderId="50" xfId="1" applyNumberFormat="1" applyFont="1" applyFill="1" applyBorder="1" applyAlignment="1">
      <alignment horizontal="center" vertical="center"/>
    </xf>
    <xf numFmtId="166" fontId="8" fillId="0" borderId="58" xfId="1" applyNumberFormat="1" applyFont="1" applyBorder="1" applyAlignment="1">
      <alignment horizontal="center" vertical="center"/>
    </xf>
    <xf numFmtId="166" fontId="4" fillId="0" borderId="54" xfId="1" applyNumberFormat="1" applyFont="1" applyBorder="1" applyAlignment="1">
      <alignment horizontal="center" vertical="center"/>
    </xf>
    <xf numFmtId="167" fontId="4" fillId="0" borderId="54" xfId="1" applyNumberFormat="1" applyFont="1" applyBorder="1" applyAlignment="1">
      <alignment horizontal="center" vertical="center"/>
    </xf>
    <xf numFmtId="166" fontId="7" fillId="2" borderId="59" xfId="1" applyNumberFormat="1" applyFont="1" applyFill="1" applyBorder="1" applyAlignment="1">
      <alignment horizontal="center" vertical="center"/>
    </xf>
    <xf numFmtId="166" fontId="12" fillId="2" borderId="13" xfId="1" applyNumberFormat="1" applyFont="1" applyFill="1" applyBorder="1" applyAlignment="1">
      <alignment horizontal="center" vertical="center"/>
    </xf>
    <xf numFmtId="166" fontId="11" fillId="2" borderId="49" xfId="1" applyNumberFormat="1" applyFont="1" applyFill="1" applyBorder="1" applyAlignment="1">
      <alignment horizontal="center" vertical="center"/>
    </xf>
    <xf numFmtId="166" fontId="12" fillId="2" borderId="61" xfId="1" applyNumberFormat="1" applyFont="1" applyFill="1" applyBorder="1" applyAlignment="1">
      <alignment horizontal="center" vertical="center"/>
    </xf>
    <xf numFmtId="166" fontId="11" fillId="2" borderId="51" xfId="1" applyNumberFormat="1" applyFont="1" applyFill="1" applyBorder="1" applyAlignment="1">
      <alignment horizontal="center" vertical="center"/>
    </xf>
    <xf numFmtId="166" fontId="12" fillId="2" borderId="7" xfId="1" applyNumberFormat="1" applyFont="1" applyFill="1" applyBorder="1" applyAlignment="1">
      <alignment horizontal="center" vertical="center"/>
    </xf>
    <xf numFmtId="166" fontId="11" fillId="2" borderId="45" xfId="1" applyNumberFormat="1" applyFont="1" applyFill="1" applyBorder="1" applyAlignment="1">
      <alignment horizontal="center" vertical="center"/>
    </xf>
    <xf numFmtId="166" fontId="12" fillId="2" borderId="35" xfId="1" applyNumberFormat="1" applyFont="1" applyFill="1" applyBorder="1" applyAlignment="1">
      <alignment horizontal="center" vertical="center"/>
    </xf>
    <xf numFmtId="166" fontId="12" fillId="2" borderId="60" xfId="1" applyNumberFormat="1" applyFont="1" applyFill="1" applyBorder="1" applyAlignment="1">
      <alignment horizontal="center" vertical="center"/>
    </xf>
    <xf numFmtId="166" fontId="11" fillId="2" borderId="52" xfId="1" applyNumberFormat="1" applyFont="1" applyFill="1" applyBorder="1" applyAlignment="1">
      <alignment horizontal="center" vertical="center"/>
    </xf>
    <xf numFmtId="166" fontId="12" fillId="2" borderId="3" xfId="1" applyNumberFormat="1" applyFont="1" applyFill="1" applyBorder="1" applyAlignment="1">
      <alignment horizontal="center" vertical="center"/>
    </xf>
    <xf numFmtId="166" fontId="11" fillId="2" borderId="50" xfId="1" applyNumberFormat="1" applyFont="1" applyFill="1" applyBorder="1" applyAlignment="1">
      <alignment horizontal="center" vertical="center"/>
    </xf>
    <xf numFmtId="166" fontId="11" fillId="0" borderId="27" xfId="1" applyNumberFormat="1" applyFont="1" applyBorder="1" applyAlignment="1">
      <alignment horizontal="center" vertical="center"/>
    </xf>
    <xf numFmtId="166" fontId="11" fillId="0" borderId="43" xfId="1" applyNumberFormat="1" applyFont="1" applyBorder="1" applyAlignment="1">
      <alignment horizontal="center" vertical="center"/>
    </xf>
    <xf numFmtId="166" fontId="11" fillId="0" borderId="46" xfId="1" applyNumberFormat="1" applyFont="1" applyBorder="1" applyAlignment="1">
      <alignment horizontal="center" vertical="center"/>
    </xf>
    <xf numFmtId="166" fontId="11" fillId="2" borderId="65" xfId="1" applyNumberFormat="1" applyFont="1" applyFill="1" applyBorder="1" applyAlignment="1">
      <alignment horizontal="center" vertical="center"/>
    </xf>
    <xf numFmtId="166" fontId="11" fillId="2" borderId="62" xfId="1" applyNumberFormat="1" applyFont="1" applyFill="1" applyBorder="1" applyAlignment="1">
      <alignment horizontal="center" vertical="center"/>
    </xf>
    <xf numFmtId="166" fontId="11" fillId="0" borderId="40" xfId="1" applyNumberFormat="1" applyFont="1" applyBorder="1" applyAlignment="1">
      <alignment horizontal="center" vertical="center"/>
    </xf>
    <xf numFmtId="166" fontId="11" fillId="0" borderId="64" xfId="1" applyNumberFormat="1" applyFont="1" applyBorder="1" applyAlignment="1">
      <alignment horizontal="center" vertical="center"/>
    </xf>
    <xf numFmtId="164" fontId="7" fillId="2" borderId="66" xfId="1" applyFont="1" applyFill="1" applyBorder="1" applyAlignment="1">
      <alignment horizontal="center" vertical="center"/>
    </xf>
    <xf numFmtId="167" fontId="7" fillId="2" borderId="61" xfId="1" applyNumberFormat="1" applyFont="1" applyFill="1" applyBorder="1" applyAlignment="1">
      <alignment horizontal="center" vertical="center"/>
    </xf>
    <xf numFmtId="166" fontId="7" fillId="2" borderId="33" xfId="1" applyNumberFormat="1" applyFont="1" applyFill="1" applyBorder="1" applyAlignment="1">
      <alignment horizontal="center" vertical="center"/>
    </xf>
    <xf numFmtId="166" fontId="12" fillId="2" borderId="33" xfId="1" applyNumberFormat="1" applyFont="1" applyFill="1" applyBorder="1" applyAlignment="1">
      <alignment horizontal="center" vertical="center"/>
    </xf>
    <xf numFmtId="166" fontId="7" fillId="2" borderId="66" xfId="1" applyNumberFormat="1" applyFont="1" applyFill="1" applyBorder="1" applyAlignment="1">
      <alignment horizontal="center" vertical="center"/>
    </xf>
    <xf numFmtId="166" fontId="12" fillId="2" borderId="66" xfId="1" applyNumberFormat="1" applyFont="1" applyFill="1" applyBorder="1" applyAlignment="1">
      <alignment horizontal="center" vertical="center"/>
    </xf>
    <xf numFmtId="167" fontId="7" fillId="2" borderId="33" xfId="1" applyNumberFormat="1" applyFont="1" applyFill="1" applyBorder="1" applyAlignment="1">
      <alignment horizontal="center" vertical="center"/>
    </xf>
    <xf numFmtId="167" fontId="7" fillId="2" borderId="35" xfId="1" applyNumberFormat="1" applyFont="1" applyFill="1" applyBorder="1" applyAlignment="1">
      <alignment horizontal="center" vertical="center"/>
    </xf>
    <xf numFmtId="167" fontId="7" fillId="2" borderId="60" xfId="1" applyNumberFormat="1" applyFont="1" applyFill="1" applyBorder="1" applyAlignment="1">
      <alignment horizontal="center" vertical="center"/>
    </xf>
    <xf numFmtId="164" fontId="7" fillId="2" borderId="33" xfId="1" applyFont="1" applyFill="1" applyBorder="1" applyAlignment="1">
      <alignment horizontal="center" vertical="center"/>
    </xf>
    <xf numFmtId="166" fontId="8" fillId="0" borderId="3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0" fillId="0" borderId="0" xfId="0" applyFont="1" applyAlignment="1">
      <alignment horizontal="left"/>
    </xf>
    <xf numFmtId="167" fontId="3" fillId="0" borderId="6" xfId="1" applyNumberFormat="1" applyFont="1" applyBorder="1" applyAlignment="1">
      <alignment horizontal="center" vertical="center"/>
    </xf>
    <xf numFmtId="167" fontId="7" fillId="0" borderId="6" xfId="1" applyNumberFormat="1" applyFont="1" applyFill="1" applyBorder="1" applyAlignment="1">
      <alignment horizontal="center" vertical="center"/>
    </xf>
    <xf numFmtId="167" fontId="7" fillId="0" borderId="7" xfId="1" applyNumberFormat="1" applyFont="1" applyFill="1" applyBorder="1" applyAlignment="1">
      <alignment horizontal="center" vertical="center"/>
    </xf>
    <xf numFmtId="166" fontId="7" fillId="2" borderId="2" xfId="1" applyNumberFormat="1" applyFont="1" applyFill="1" applyBorder="1" applyAlignment="1">
      <alignment horizontal="center" vertical="center"/>
    </xf>
    <xf numFmtId="166" fontId="4" fillId="2" borderId="67" xfId="1" applyNumberFormat="1" applyFont="1" applyFill="1" applyBorder="1" applyAlignment="1">
      <alignment horizontal="center" vertical="center"/>
    </xf>
    <xf numFmtId="166" fontId="7" fillId="2" borderId="63" xfId="1" applyNumberFormat="1" applyFont="1" applyFill="1" applyBorder="1" applyAlignment="1">
      <alignment horizontal="center" vertical="center"/>
    </xf>
    <xf numFmtId="166" fontId="7" fillId="2" borderId="68" xfId="1" applyNumberFormat="1" applyFont="1" applyFill="1" applyBorder="1" applyAlignment="1">
      <alignment horizontal="center" vertical="center"/>
    </xf>
    <xf numFmtId="164" fontId="4" fillId="0" borderId="0" xfId="1" applyFont="1" applyBorder="1" applyAlignment="1">
      <alignment horizontal="center" vertical="center"/>
    </xf>
    <xf numFmtId="164" fontId="8" fillId="0" borderId="0" xfId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0" fillId="0" borderId="0" xfId="0" applyFont="1" applyAlignment="1">
      <alignment horizontal="left"/>
    </xf>
    <xf numFmtId="0" fontId="3" fillId="0" borderId="8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left" vertical="center"/>
    </xf>
    <xf numFmtId="164" fontId="7" fillId="0" borderId="9" xfId="1" applyFont="1" applyFill="1" applyBorder="1" applyAlignment="1">
      <alignment horizontal="center" vertical="center"/>
    </xf>
    <xf numFmtId="164" fontId="3" fillId="0" borderId="8" xfId="1" applyFont="1" applyFill="1" applyBorder="1" applyAlignment="1">
      <alignment horizontal="center" vertical="center"/>
    </xf>
    <xf numFmtId="164" fontId="7" fillId="0" borderId="8" xfId="1" applyFont="1" applyFill="1" applyBorder="1" applyAlignment="1">
      <alignment horizontal="center" vertical="center"/>
    </xf>
    <xf numFmtId="164" fontId="4" fillId="0" borderId="9" xfId="1" applyFont="1" applyFill="1" applyBorder="1" applyAlignment="1">
      <alignment horizontal="center" vertical="center"/>
    </xf>
    <xf numFmtId="166" fontId="7" fillId="0" borderId="9" xfId="1" applyNumberFormat="1" applyFont="1" applyFill="1" applyBorder="1" applyAlignment="1">
      <alignment horizontal="center" vertical="center"/>
    </xf>
    <xf numFmtId="166" fontId="3" fillId="0" borderId="8" xfId="1" applyNumberFormat="1" applyFont="1" applyFill="1" applyBorder="1" applyAlignment="1">
      <alignment horizontal="center" vertical="center"/>
    </xf>
    <xf numFmtId="166" fontId="4" fillId="0" borderId="9" xfId="1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2" fillId="0" borderId="0" xfId="0" applyFont="1" applyAlignment="1">
      <alignment horizontal="center"/>
    </xf>
    <xf numFmtId="164" fontId="4" fillId="0" borderId="0" xfId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166" fontId="4" fillId="0" borderId="0" xfId="1" applyNumberFormat="1" applyFont="1" applyBorder="1" applyAlignment="1">
      <alignment horizontal="center" vertical="center"/>
    </xf>
    <xf numFmtId="166" fontId="4" fillId="0" borderId="0" xfId="1" applyNumberFormat="1" applyFont="1" applyFill="1" applyBorder="1" applyAlignment="1">
      <alignment horizontal="center" vertical="center"/>
    </xf>
    <xf numFmtId="167" fontId="3" fillId="0" borderId="8" xfId="1" applyNumberFormat="1" applyFont="1" applyBorder="1" applyAlignment="1">
      <alignment horizontal="right" vertical="center"/>
    </xf>
    <xf numFmtId="164" fontId="4" fillId="0" borderId="7" xfId="1" applyNumberFormat="1" applyFont="1" applyBorder="1" applyAlignment="1">
      <alignment horizontal="center" vertical="center"/>
    </xf>
    <xf numFmtId="164" fontId="4" fillId="0" borderId="9" xfId="1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2" fontId="0" fillId="0" borderId="0" xfId="0" applyNumberFormat="1"/>
    <xf numFmtId="167" fontId="3" fillId="0" borderId="6" xfId="1" applyNumberFormat="1" applyFont="1" applyFill="1" applyBorder="1" applyAlignment="1">
      <alignment horizontal="center" vertical="center"/>
    </xf>
    <xf numFmtId="167" fontId="3" fillId="0" borderId="7" xfId="1" applyNumberFormat="1" applyFont="1" applyFill="1" applyBorder="1" applyAlignment="1">
      <alignment horizontal="center" vertical="center"/>
    </xf>
    <xf numFmtId="164" fontId="3" fillId="0" borderId="6" xfId="1" applyNumberFormat="1" applyFont="1" applyBorder="1" applyAlignment="1">
      <alignment horizontal="center" vertical="center"/>
    </xf>
    <xf numFmtId="164" fontId="3" fillId="0" borderId="8" xfId="1" applyNumberFormat="1" applyFont="1" applyBorder="1" applyAlignment="1">
      <alignment horizontal="center" vertical="center"/>
    </xf>
    <xf numFmtId="166" fontId="3" fillId="0" borderId="6" xfId="1" applyNumberFormat="1" applyFont="1" applyBorder="1" applyAlignment="1">
      <alignment horizontal="right" vertical="center"/>
    </xf>
    <xf numFmtId="166" fontId="7" fillId="0" borderId="7" xfId="1" applyNumberFormat="1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67" fontId="3" fillId="0" borderId="15" xfId="1" applyNumberFormat="1" applyFont="1" applyBorder="1" applyAlignment="1">
      <alignment horizontal="center" vertical="center"/>
    </xf>
    <xf numFmtId="164" fontId="4" fillId="0" borderId="32" xfId="1" applyFont="1" applyBorder="1" applyAlignment="1">
      <alignment horizontal="center" vertical="center"/>
    </xf>
    <xf numFmtId="167" fontId="7" fillId="0" borderId="6" xfId="1" applyNumberFormat="1" applyFont="1" applyBorder="1" applyAlignment="1">
      <alignment horizontal="center" vertical="center"/>
    </xf>
    <xf numFmtId="167" fontId="3" fillId="0" borderId="6" xfId="1" applyNumberFormat="1" applyFont="1" applyBorder="1" applyAlignment="1">
      <alignment horizontal="right" vertical="center"/>
    </xf>
    <xf numFmtId="167" fontId="7" fillId="0" borderId="7" xfId="1" applyNumberFormat="1" applyFont="1" applyBorder="1" applyAlignment="1">
      <alignment horizontal="center" vertical="center"/>
    </xf>
    <xf numFmtId="167" fontId="7" fillId="0" borderId="9" xfId="1" applyNumberFormat="1" applyFont="1" applyBorder="1" applyAlignment="1">
      <alignment horizontal="right" vertical="center"/>
    </xf>
    <xf numFmtId="167" fontId="4" fillId="0" borderId="8" xfId="1" applyNumberFormat="1" applyFont="1" applyBorder="1" applyAlignment="1">
      <alignment horizontal="center" vertical="center"/>
    </xf>
    <xf numFmtId="167" fontId="7" fillId="2" borderId="6" xfId="1" applyNumberFormat="1" applyFont="1" applyFill="1" applyBorder="1" applyAlignment="1">
      <alignment horizontal="center" vertical="center"/>
    </xf>
    <xf numFmtId="167" fontId="4" fillId="2" borderId="6" xfId="1" applyNumberFormat="1" applyFont="1" applyFill="1" applyBorder="1" applyAlignment="1">
      <alignment horizontal="center" vertical="center"/>
    </xf>
    <xf numFmtId="167" fontId="7" fillId="0" borderId="9" xfId="1" applyNumberFormat="1" applyFont="1" applyFill="1" applyBorder="1" applyAlignment="1">
      <alignment horizontal="center" vertical="center"/>
    </xf>
    <xf numFmtId="167" fontId="3" fillId="0" borderId="8" xfId="1" applyNumberFormat="1" applyFont="1" applyFill="1" applyBorder="1" applyAlignment="1">
      <alignment horizontal="center" vertical="center"/>
    </xf>
    <xf numFmtId="167" fontId="4" fillId="0" borderId="9" xfId="1" applyNumberFormat="1" applyFont="1" applyFill="1" applyBorder="1" applyAlignment="1">
      <alignment horizontal="center" vertical="center"/>
    </xf>
    <xf numFmtId="167" fontId="7" fillId="0" borderId="6" xfId="1" applyNumberFormat="1" applyFont="1" applyBorder="1" applyAlignment="1">
      <alignment horizontal="right" vertical="center"/>
    </xf>
    <xf numFmtId="167" fontId="7" fillId="0" borderId="7" xfId="1" applyNumberFormat="1" applyFont="1" applyBorder="1" applyAlignment="1">
      <alignment horizontal="right" vertical="center"/>
    </xf>
    <xf numFmtId="167" fontId="7" fillId="0" borderId="9" xfId="1" applyNumberFormat="1" applyFont="1" applyBorder="1" applyAlignment="1">
      <alignment horizontal="center" vertical="center"/>
    </xf>
    <xf numFmtId="164" fontId="0" fillId="0" borderId="0" xfId="0" applyNumberFormat="1" applyBorder="1"/>
    <xf numFmtId="165" fontId="0" fillId="0" borderId="0" xfId="0" applyNumberFormat="1" applyFont="1" applyAlignment="1">
      <alignment horizontal="center"/>
    </xf>
    <xf numFmtId="2" fontId="0" fillId="0" borderId="0" xfId="0" applyNumberFormat="1" applyFont="1"/>
    <xf numFmtId="168" fontId="0" fillId="0" borderId="0" xfId="0" applyNumberFormat="1"/>
    <xf numFmtId="0" fontId="4" fillId="2" borderId="3" xfId="0" applyFont="1" applyFill="1" applyBorder="1" applyAlignment="1">
      <alignment horizontal="center" vertical="center"/>
    </xf>
    <xf numFmtId="164" fontId="3" fillId="0" borderId="13" xfId="1" applyFont="1" applyBorder="1" applyAlignment="1">
      <alignment horizontal="center" vertical="center"/>
    </xf>
    <xf numFmtId="164" fontId="3" fillId="0" borderId="14" xfId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168" fontId="7" fillId="2" borderId="13" xfId="2" applyNumberFormat="1" applyFont="1" applyFill="1" applyBorder="1" applyAlignment="1">
      <alignment horizontal="center" vertical="center"/>
    </xf>
    <xf numFmtId="168" fontId="3" fillId="2" borderId="13" xfId="2" applyNumberFormat="1" applyFont="1" applyFill="1" applyBorder="1" applyAlignment="1">
      <alignment horizontal="center" vertical="center"/>
    </xf>
    <xf numFmtId="168" fontId="7" fillId="2" borderId="7" xfId="2" applyNumberFormat="1" applyFont="1" applyFill="1" applyBorder="1" applyAlignment="1">
      <alignment horizontal="center" vertical="center"/>
    </xf>
    <xf numFmtId="168" fontId="3" fillId="2" borderId="7" xfId="2" applyNumberFormat="1" applyFont="1" applyFill="1" applyBorder="1" applyAlignment="1">
      <alignment horizontal="center" vertical="center"/>
    </xf>
    <xf numFmtId="168" fontId="7" fillId="2" borderId="14" xfId="2" applyNumberFormat="1" applyFont="1" applyFill="1" applyBorder="1" applyAlignment="1">
      <alignment horizontal="center" vertical="center"/>
    </xf>
    <xf numFmtId="168" fontId="3" fillId="2" borderId="14" xfId="2" applyNumberFormat="1" applyFont="1" applyFill="1" applyBorder="1" applyAlignment="1">
      <alignment horizontal="center" vertical="center"/>
    </xf>
    <xf numFmtId="168" fontId="4" fillId="0" borderId="27" xfId="2" applyNumberFormat="1" applyFont="1" applyBorder="1" applyAlignment="1">
      <alignment horizontal="center" vertical="center"/>
    </xf>
    <xf numFmtId="167" fontId="4" fillId="0" borderId="43" xfId="1" applyNumberFormat="1" applyFont="1" applyBorder="1" applyAlignment="1">
      <alignment horizontal="center" vertical="center"/>
    </xf>
    <xf numFmtId="164" fontId="8" fillId="0" borderId="58" xfId="1" applyNumberFormat="1" applyFont="1" applyBorder="1" applyAlignment="1">
      <alignment horizontal="center" vertical="center"/>
    </xf>
    <xf numFmtId="166" fontId="7" fillId="0" borderId="7" xfId="1" applyNumberFormat="1" applyFont="1" applyBorder="1" applyAlignment="1">
      <alignment horizontal="right" vertical="center"/>
    </xf>
    <xf numFmtId="164" fontId="4" fillId="0" borderId="12" xfId="1" applyFont="1" applyFill="1" applyBorder="1" applyAlignment="1">
      <alignment horizontal="center" vertical="center"/>
    </xf>
    <xf numFmtId="167" fontId="4" fillId="0" borderId="14" xfId="1" applyNumberFormat="1" applyFont="1" applyBorder="1" applyAlignment="1">
      <alignment horizontal="center" vertical="center"/>
    </xf>
    <xf numFmtId="167" fontId="0" fillId="0" borderId="3" xfId="1" applyNumberFormat="1" applyFont="1" applyBorder="1" applyAlignment="1">
      <alignment horizontal="right"/>
    </xf>
    <xf numFmtId="167" fontId="9" fillId="0" borderId="28" xfId="1" applyNumberFormat="1" applyFont="1" applyBorder="1"/>
    <xf numFmtId="164" fontId="0" fillId="0" borderId="71" xfId="1" applyFont="1" applyBorder="1"/>
    <xf numFmtId="164" fontId="0" fillId="0" borderId="71" xfId="1" applyFont="1" applyBorder="1" applyAlignment="1">
      <alignment horizontal="right"/>
    </xf>
    <xf numFmtId="167" fontId="0" fillId="0" borderId="71" xfId="1" applyNumberFormat="1" applyFont="1" applyBorder="1" applyAlignment="1">
      <alignment horizontal="right"/>
    </xf>
    <xf numFmtId="166" fontId="0" fillId="0" borderId="72" xfId="1" applyNumberFormat="1" applyFont="1" applyBorder="1" applyAlignment="1">
      <alignment horizontal="right"/>
    </xf>
    <xf numFmtId="167" fontId="0" fillId="0" borderId="7" xfId="1" applyNumberFormat="1" applyFont="1" applyBorder="1" applyAlignment="1">
      <alignment horizontal="right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4" fillId="0" borderId="1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70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6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3" xfId="0" applyBorder="1"/>
    <xf numFmtId="0" fontId="9" fillId="0" borderId="73" xfId="0" applyFont="1" applyBorder="1" applyAlignment="1">
      <alignment horizontal="center"/>
    </xf>
    <xf numFmtId="0" fontId="9" fillId="0" borderId="74" xfId="0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7" xfId="0" applyBorder="1"/>
    <xf numFmtId="166" fontId="0" fillId="0" borderId="20" xfId="1" applyNumberFormat="1" applyFont="1" applyBorder="1"/>
    <xf numFmtId="0" fontId="0" fillId="0" borderId="75" xfId="0" applyBorder="1" applyAlignment="1">
      <alignment horizontal="center"/>
    </xf>
    <xf numFmtId="0" fontId="0" fillId="0" borderId="9" xfId="0" applyBorder="1"/>
  </cellXfs>
  <cellStyles count="3">
    <cellStyle name="Comma" xfId="2" builtinId="3"/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anlin/sasaran%20tan%20pangan/sasaran%20indikatif%202019/FINAL%20SASARAN%20INDIKATIF%20PADI%20JAGUNG%202019%20fix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NAM 2019"/>
      <sheetName val="PANEN 2019"/>
      <sheetName val="produksi 2019"/>
      <sheetName val="LS PANEN &amp; PROD 2019"/>
      <sheetName val="kebutuhan benih 2019"/>
      <sheetName val="Kebutuhan urea 2019"/>
      <sheetName val="kebutuhan  SP-36"/>
      <sheetName val="Kebutuhan NPK 2016"/>
      <sheetName val="kebutuhan ZA"/>
      <sheetName val="kebutuhan organik"/>
    </sheetNames>
    <sheetDataSet>
      <sheetData sheetId="0">
        <row r="17">
          <cell r="Q17">
            <v>2234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5"/>
  <sheetViews>
    <sheetView tabSelected="1" zoomScale="90" zoomScaleNormal="90" workbookViewId="0">
      <selection activeCell="A2" sqref="A2:O2"/>
    </sheetView>
  </sheetViews>
  <sheetFormatPr defaultRowHeight="15" x14ac:dyDescent="0.25"/>
  <cols>
    <col min="1" max="1" width="4" customWidth="1"/>
    <col min="2" max="2" width="14.42578125" customWidth="1"/>
    <col min="3" max="14" width="8.5703125" customWidth="1"/>
    <col min="15" max="15" width="9.7109375" customWidth="1"/>
    <col min="16" max="16" width="8.5703125" customWidth="1"/>
    <col min="18" max="19" width="10" bestFit="1" customWidth="1"/>
  </cols>
  <sheetData>
    <row r="1" spans="1:17" ht="15" customHeight="1" x14ac:dyDescent="0.25"/>
    <row r="2" spans="1:17" ht="18.75" x14ac:dyDescent="0.3">
      <c r="A2" s="322" t="s">
        <v>0</v>
      </c>
      <c r="B2" s="322"/>
      <c r="C2" s="322"/>
      <c r="D2" s="322"/>
      <c r="E2" s="322"/>
      <c r="F2" s="322"/>
      <c r="G2" s="322"/>
      <c r="H2" s="322"/>
      <c r="I2" s="322"/>
      <c r="J2" s="322"/>
      <c r="K2" s="322"/>
      <c r="L2" s="322"/>
      <c r="M2" s="322"/>
      <c r="N2" s="322"/>
      <c r="O2" s="322"/>
      <c r="P2" s="259"/>
    </row>
    <row r="3" spans="1:17" ht="18.75" x14ac:dyDescent="0.3">
      <c r="A3" s="322" t="s">
        <v>148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  <c r="M3" s="322"/>
      <c r="N3" s="322"/>
      <c r="O3" s="322"/>
      <c r="P3" s="259"/>
    </row>
    <row r="4" spans="1:17" ht="18.7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259"/>
    </row>
    <row r="5" spans="1:1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  <c r="P5" s="3"/>
    </row>
    <row r="6" spans="1:17" x14ac:dyDescent="0.25">
      <c r="A6" s="323" t="s">
        <v>2</v>
      </c>
      <c r="B6" s="323" t="s">
        <v>3</v>
      </c>
      <c r="C6" s="325" t="s">
        <v>4</v>
      </c>
      <c r="D6" s="325"/>
      <c r="E6" s="325"/>
      <c r="F6" s="325"/>
      <c r="G6" s="325"/>
      <c r="H6" s="325"/>
      <c r="I6" s="325"/>
      <c r="J6" s="325"/>
      <c r="K6" s="325"/>
      <c r="L6" s="325"/>
      <c r="M6" s="325"/>
      <c r="N6" s="325"/>
      <c r="O6" s="323" t="s">
        <v>5</v>
      </c>
      <c r="P6" s="95"/>
    </row>
    <row r="7" spans="1:17" x14ac:dyDescent="0.25">
      <c r="A7" s="324"/>
      <c r="B7" s="324"/>
      <c r="C7" s="4" t="s">
        <v>6</v>
      </c>
      <c r="D7" s="4" t="s">
        <v>7</v>
      </c>
      <c r="E7" s="4" t="s">
        <v>8</v>
      </c>
      <c r="F7" s="116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  <c r="O7" s="326"/>
      <c r="P7" s="95"/>
      <c r="Q7" s="119" t="s">
        <v>139</v>
      </c>
    </row>
    <row r="8" spans="1:17" ht="15.75" thickBot="1" x14ac:dyDescent="0.3">
      <c r="A8" s="5">
        <v>1</v>
      </c>
      <c r="B8" s="5">
        <v>2</v>
      </c>
      <c r="C8" s="5">
        <v>3</v>
      </c>
      <c r="D8" s="5">
        <v>4</v>
      </c>
      <c r="E8" s="5">
        <v>5</v>
      </c>
      <c r="F8" s="117">
        <v>6</v>
      </c>
      <c r="G8" s="5">
        <v>7</v>
      </c>
      <c r="H8" s="5">
        <v>8</v>
      </c>
      <c r="I8" s="5">
        <v>9</v>
      </c>
      <c r="J8" s="5">
        <v>10</v>
      </c>
      <c r="K8" s="5">
        <v>11</v>
      </c>
      <c r="L8" s="5">
        <v>12</v>
      </c>
      <c r="M8" s="5">
        <v>13</v>
      </c>
      <c r="N8" s="5">
        <v>14</v>
      </c>
      <c r="O8" s="5">
        <v>15</v>
      </c>
      <c r="P8" s="261"/>
    </row>
    <row r="9" spans="1:17" ht="18.75" customHeight="1" thickTop="1" x14ac:dyDescent="0.25">
      <c r="A9" s="6">
        <v>1</v>
      </c>
      <c r="B9" s="7" t="s">
        <v>18</v>
      </c>
      <c r="C9" s="58">
        <v>70</v>
      </c>
      <c r="D9" s="8">
        <v>75</v>
      </c>
      <c r="E9" s="58">
        <v>65</v>
      </c>
      <c r="F9" s="58">
        <v>15</v>
      </c>
      <c r="G9" s="58">
        <v>0</v>
      </c>
      <c r="H9" s="9">
        <v>45</v>
      </c>
      <c r="I9" s="46">
        <v>5</v>
      </c>
      <c r="J9" s="9">
        <v>0</v>
      </c>
      <c r="K9" s="9">
        <v>7</v>
      </c>
      <c r="L9" s="58">
        <v>3</v>
      </c>
      <c r="M9" s="9">
        <v>2</v>
      </c>
      <c r="N9" s="9">
        <v>0</v>
      </c>
      <c r="O9" s="10">
        <f>SUM(C9:N9)</f>
        <v>287</v>
      </c>
      <c r="P9" s="244"/>
      <c r="Q9" s="104">
        <f>SUM(F9:H9)</f>
        <v>60</v>
      </c>
    </row>
    <row r="10" spans="1:17" ht="18.75" customHeight="1" x14ac:dyDescent="0.25">
      <c r="A10" s="11">
        <v>2</v>
      </c>
      <c r="B10" s="12" t="s">
        <v>19</v>
      </c>
      <c r="C10" s="59">
        <v>108</v>
      </c>
      <c r="D10" s="8">
        <v>83</v>
      </c>
      <c r="E10" s="59">
        <v>0</v>
      </c>
      <c r="F10" s="59">
        <v>5</v>
      </c>
      <c r="G10" s="59">
        <v>11</v>
      </c>
      <c r="H10" s="8">
        <v>85</v>
      </c>
      <c r="I10" s="47">
        <v>23</v>
      </c>
      <c r="J10" s="8">
        <v>0</v>
      </c>
      <c r="K10" s="8">
        <v>13</v>
      </c>
      <c r="L10" s="60">
        <v>3</v>
      </c>
      <c r="M10" s="47">
        <v>23</v>
      </c>
      <c r="N10" s="8">
        <v>63</v>
      </c>
      <c r="O10" s="13">
        <f t="shared" ref="O10:O16" si="0">SUM(C10:N10)</f>
        <v>417</v>
      </c>
      <c r="P10" s="244"/>
      <c r="Q10" s="104">
        <f t="shared" ref="Q10:Q16" si="1">SUM(F10:H10)</f>
        <v>101</v>
      </c>
    </row>
    <row r="11" spans="1:17" ht="18.75" customHeight="1" x14ac:dyDescent="0.25">
      <c r="A11" s="11">
        <v>3</v>
      </c>
      <c r="B11" s="7" t="s">
        <v>20</v>
      </c>
      <c r="C11" s="59">
        <v>25</v>
      </c>
      <c r="D11" s="8">
        <v>0</v>
      </c>
      <c r="E11" s="59">
        <v>0</v>
      </c>
      <c r="F11" s="59">
        <v>0</v>
      </c>
      <c r="G11" s="59">
        <v>10</v>
      </c>
      <c r="H11" s="8">
        <v>0</v>
      </c>
      <c r="I11" s="47">
        <v>0</v>
      </c>
      <c r="J11" s="8">
        <v>0</v>
      </c>
      <c r="K11" s="8">
        <v>0</v>
      </c>
      <c r="L11" s="60">
        <v>0</v>
      </c>
      <c r="M11" s="60">
        <v>0</v>
      </c>
      <c r="N11" s="8">
        <v>10</v>
      </c>
      <c r="O11" s="13">
        <f t="shared" si="0"/>
        <v>45</v>
      </c>
      <c r="P11" s="244"/>
      <c r="Q11" s="104">
        <f t="shared" si="1"/>
        <v>10</v>
      </c>
    </row>
    <row r="12" spans="1:17" ht="18.75" customHeight="1" x14ac:dyDescent="0.25">
      <c r="A12" s="14">
        <v>4</v>
      </c>
      <c r="B12" s="15" t="s">
        <v>21</v>
      </c>
      <c r="C12" s="60">
        <v>182</v>
      </c>
      <c r="D12" s="16">
        <v>0</v>
      </c>
      <c r="E12" s="60">
        <v>0</v>
      </c>
      <c r="F12" s="60">
        <v>3</v>
      </c>
      <c r="G12" s="114">
        <v>10</v>
      </c>
      <c r="H12" s="16">
        <v>0</v>
      </c>
      <c r="I12" s="47">
        <v>5</v>
      </c>
      <c r="J12" s="16">
        <v>0</v>
      </c>
      <c r="K12" s="16">
        <v>1</v>
      </c>
      <c r="L12" s="60">
        <v>2</v>
      </c>
      <c r="M12" s="60">
        <v>2</v>
      </c>
      <c r="N12" s="16">
        <v>115</v>
      </c>
      <c r="O12" s="18">
        <f>SUM(C12:N12)</f>
        <v>320</v>
      </c>
      <c r="P12" s="244"/>
      <c r="Q12" s="104">
        <f t="shared" si="1"/>
        <v>13</v>
      </c>
    </row>
    <row r="13" spans="1:17" ht="18.75" customHeight="1" x14ac:dyDescent="0.25">
      <c r="A13" s="14">
        <v>5</v>
      </c>
      <c r="B13" s="19" t="s">
        <v>22</v>
      </c>
      <c r="C13" s="60">
        <v>162</v>
      </c>
      <c r="D13" s="16">
        <v>0</v>
      </c>
      <c r="E13" s="60">
        <v>0</v>
      </c>
      <c r="F13" s="60">
        <v>0</v>
      </c>
      <c r="G13" s="60">
        <v>0</v>
      </c>
      <c r="H13" s="16">
        <v>15</v>
      </c>
      <c r="I13" s="47">
        <v>0</v>
      </c>
      <c r="J13" s="16">
        <v>0</v>
      </c>
      <c r="K13" s="16">
        <v>0</v>
      </c>
      <c r="L13" s="16">
        <v>2</v>
      </c>
      <c r="M13" s="16">
        <v>0</v>
      </c>
      <c r="N13" s="16">
        <v>155</v>
      </c>
      <c r="O13" s="18">
        <f t="shared" si="0"/>
        <v>334</v>
      </c>
      <c r="P13" s="244"/>
      <c r="Q13" s="104">
        <f t="shared" si="1"/>
        <v>15</v>
      </c>
    </row>
    <row r="14" spans="1:17" ht="18.75" customHeight="1" x14ac:dyDescent="0.25">
      <c r="A14" s="14">
        <v>6</v>
      </c>
      <c r="B14" s="19" t="s">
        <v>23</v>
      </c>
      <c r="C14" s="60">
        <v>14</v>
      </c>
      <c r="D14" s="16">
        <v>36</v>
      </c>
      <c r="E14" s="60">
        <v>0</v>
      </c>
      <c r="F14" s="60">
        <v>0</v>
      </c>
      <c r="G14" s="60">
        <v>4</v>
      </c>
      <c r="H14" s="16">
        <v>7</v>
      </c>
      <c r="I14" s="47">
        <v>20</v>
      </c>
      <c r="J14" s="16">
        <v>12</v>
      </c>
      <c r="K14" s="16">
        <v>0</v>
      </c>
      <c r="L14" s="16">
        <v>0</v>
      </c>
      <c r="M14" s="16">
        <v>11</v>
      </c>
      <c r="N14" s="16">
        <v>9</v>
      </c>
      <c r="O14" s="18">
        <f t="shared" si="0"/>
        <v>113</v>
      </c>
      <c r="P14" s="244"/>
      <c r="Q14" s="104">
        <f t="shared" si="1"/>
        <v>11</v>
      </c>
    </row>
    <row r="15" spans="1:17" ht="18.75" customHeight="1" x14ac:dyDescent="0.25">
      <c r="A15" s="14">
        <v>7</v>
      </c>
      <c r="B15" s="19" t="s">
        <v>24</v>
      </c>
      <c r="C15" s="60">
        <v>180</v>
      </c>
      <c r="D15" s="16">
        <v>120</v>
      </c>
      <c r="E15" s="60">
        <v>0</v>
      </c>
      <c r="F15" s="60">
        <v>0</v>
      </c>
      <c r="G15" s="60">
        <v>0</v>
      </c>
      <c r="H15" s="16">
        <v>185</v>
      </c>
      <c r="I15" s="47">
        <v>90</v>
      </c>
      <c r="J15" s="16">
        <v>0</v>
      </c>
      <c r="K15" s="16">
        <v>0</v>
      </c>
      <c r="L15" s="16">
        <v>0</v>
      </c>
      <c r="M15" s="16">
        <v>3</v>
      </c>
      <c r="N15" s="16">
        <v>93</v>
      </c>
      <c r="O15" s="18">
        <f t="shared" si="0"/>
        <v>671</v>
      </c>
      <c r="P15" s="244"/>
      <c r="Q15" s="104">
        <f t="shared" si="1"/>
        <v>185</v>
      </c>
    </row>
    <row r="16" spans="1:17" ht="18.75" customHeight="1" thickBot="1" x14ac:dyDescent="0.3">
      <c r="A16" s="249">
        <v>8</v>
      </c>
      <c r="B16" s="250" t="s">
        <v>25</v>
      </c>
      <c r="C16" s="251">
        <v>44</v>
      </c>
      <c r="D16" s="252">
        <v>20</v>
      </c>
      <c r="E16" s="253">
        <v>25</v>
      </c>
      <c r="F16" s="253">
        <v>5</v>
      </c>
      <c r="G16" s="253">
        <v>42</v>
      </c>
      <c r="H16" s="252">
        <v>167</v>
      </c>
      <c r="I16" s="252">
        <v>0</v>
      </c>
      <c r="J16" s="252">
        <v>18</v>
      </c>
      <c r="K16" s="252">
        <v>5</v>
      </c>
      <c r="L16" s="252">
        <v>6</v>
      </c>
      <c r="M16" s="252">
        <v>11</v>
      </c>
      <c r="N16" s="252">
        <v>142</v>
      </c>
      <c r="O16" s="254">
        <f t="shared" si="0"/>
        <v>485</v>
      </c>
      <c r="P16" s="260"/>
      <c r="Q16" s="104">
        <f t="shared" si="1"/>
        <v>214</v>
      </c>
    </row>
    <row r="17" spans="1:17" ht="18.75" customHeight="1" thickTop="1" x14ac:dyDescent="0.25">
      <c r="A17" s="320" t="s">
        <v>26</v>
      </c>
      <c r="B17" s="321"/>
      <c r="C17" s="22">
        <f t="shared" ref="C17:N17" si="2">SUM(C9:C16)</f>
        <v>785</v>
      </c>
      <c r="D17" s="22">
        <f t="shared" si="2"/>
        <v>334</v>
      </c>
      <c r="E17" s="115">
        <f t="shared" si="2"/>
        <v>90</v>
      </c>
      <c r="F17" s="115">
        <f t="shared" si="2"/>
        <v>28</v>
      </c>
      <c r="G17" s="115">
        <f t="shared" si="2"/>
        <v>77</v>
      </c>
      <c r="H17" s="22">
        <f t="shared" si="2"/>
        <v>504</v>
      </c>
      <c r="I17" s="311">
        <f t="shared" si="2"/>
        <v>143</v>
      </c>
      <c r="J17" s="22">
        <f t="shared" si="2"/>
        <v>30</v>
      </c>
      <c r="K17" s="22">
        <f t="shared" si="2"/>
        <v>26</v>
      </c>
      <c r="L17" s="22">
        <f t="shared" si="2"/>
        <v>16</v>
      </c>
      <c r="M17" s="22">
        <f t="shared" si="2"/>
        <v>52</v>
      </c>
      <c r="N17" s="22">
        <f t="shared" si="2"/>
        <v>587</v>
      </c>
      <c r="O17" s="22">
        <f>SUM(O9:O16)</f>
        <v>2672</v>
      </c>
      <c r="P17" s="278"/>
      <c r="Q17" s="292">
        <f>SUM(Q9:Q16)</f>
        <v>609</v>
      </c>
    </row>
    <row r="18" spans="1:17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17" x14ac:dyDescent="0.25">
      <c r="A19" s="134"/>
      <c r="B19" s="134"/>
      <c r="C19" s="23"/>
      <c r="D19" s="23"/>
      <c r="E19" s="23"/>
      <c r="F19" s="23"/>
      <c r="G19" s="23"/>
      <c r="H19" s="139">
        <f>SUM(G17:H17)</f>
        <v>581</v>
      </c>
      <c r="I19" s="139"/>
      <c r="J19" s="139"/>
      <c r="K19" s="139"/>
      <c r="L19" s="23"/>
      <c r="M19" s="23"/>
      <c r="N19" s="139"/>
      <c r="O19" s="23"/>
      <c r="P19" s="23"/>
    </row>
    <row r="20" spans="1:17" x14ac:dyDescent="0.25">
      <c r="A20" s="23"/>
      <c r="B20" s="23"/>
      <c r="C20" s="293">
        <f>C17*96%</f>
        <v>753.6</v>
      </c>
      <c r="D20" s="293">
        <f t="shared" ref="D20:O20" si="3">D17*96%</f>
        <v>320.64</v>
      </c>
      <c r="E20" s="293">
        <f t="shared" si="3"/>
        <v>86.399999999999991</v>
      </c>
      <c r="F20" s="293">
        <f t="shared" si="3"/>
        <v>26.88</v>
      </c>
      <c r="G20" s="293">
        <f t="shared" si="3"/>
        <v>73.92</v>
      </c>
      <c r="H20" s="293">
        <f t="shared" si="3"/>
        <v>483.84</v>
      </c>
      <c r="I20" s="293">
        <f t="shared" si="3"/>
        <v>137.28</v>
      </c>
      <c r="J20" s="293">
        <f t="shared" si="3"/>
        <v>28.799999999999997</v>
      </c>
      <c r="K20" s="293">
        <f t="shared" si="3"/>
        <v>24.96</v>
      </c>
      <c r="L20" s="293">
        <f t="shared" si="3"/>
        <v>15.36</v>
      </c>
      <c r="M20" s="293">
        <f t="shared" si="3"/>
        <v>49.92</v>
      </c>
      <c r="N20" s="293">
        <f t="shared" si="3"/>
        <v>563.52</v>
      </c>
      <c r="O20" s="293">
        <f t="shared" si="3"/>
        <v>2565.12</v>
      </c>
      <c r="P20" s="23"/>
    </row>
    <row r="21" spans="1:17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17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</row>
    <row r="23" spans="1:17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</row>
    <row r="24" spans="1:17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</row>
    <row r="25" spans="1:17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</row>
    <row r="26" spans="1:17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</row>
    <row r="27" spans="1:17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</row>
    <row r="28" spans="1:17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</row>
    <row r="29" spans="1:17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</row>
    <row r="30" spans="1:17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</row>
    <row r="31" spans="1:17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</row>
    <row r="32" spans="1:17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</row>
    <row r="33" spans="1:16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</row>
    <row r="34" spans="1:16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</row>
    <row r="35" spans="1:16" ht="18.75" x14ac:dyDescent="0.3">
      <c r="A35" s="322" t="s">
        <v>27</v>
      </c>
      <c r="B35" s="322"/>
      <c r="C35" s="322"/>
      <c r="D35" s="322"/>
      <c r="E35" s="322"/>
      <c r="F35" s="322"/>
      <c r="G35" s="322"/>
      <c r="H35" s="322"/>
      <c r="I35" s="322"/>
      <c r="J35" s="322"/>
      <c r="K35" s="322"/>
      <c r="L35" s="322"/>
      <c r="M35" s="322"/>
      <c r="N35" s="322"/>
      <c r="O35" s="322"/>
      <c r="P35" s="259"/>
    </row>
    <row r="36" spans="1:16" ht="18.75" x14ac:dyDescent="0.3">
      <c r="A36" s="322" t="s">
        <v>148</v>
      </c>
      <c r="B36" s="322"/>
      <c r="C36" s="322"/>
      <c r="D36" s="322"/>
      <c r="E36" s="322"/>
      <c r="F36" s="322"/>
      <c r="G36" s="322"/>
      <c r="H36" s="322"/>
      <c r="I36" s="322"/>
      <c r="J36" s="322"/>
      <c r="K36" s="322"/>
      <c r="L36" s="322"/>
      <c r="M36" s="322"/>
      <c r="N36" s="322"/>
      <c r="O36" s="322"/>
      <c r="P36" s="259"/>
    </row>
    <row r="37" spans="1:16" ht="18.7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259"/>
    </row>
    <row r="38" spans="1:1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  <c r="P38" s="3"/>
    </row>
    <row r="39" spans="1:16" x14ac:dyDescent="0.25">
      <c r="A39" s="323" t="s">
        <v>2</v>
      </c>
      <c r="B39" s="323" t="s">
        <v>3</v>
      </c>
      <c r="C39" s="325" t="s">
        <v>4</v>
      </c>
      <c r="D39" s="325"/>
      <c r="E39" s="325"/>
      <c r="F39" s="325"/>
      <c r="G39" s="325"/>
      <c r="H39" s="325"/>
      <c r="I39" s="325"/>
      <c r="J39" s="325"/>
      <c r="K39" s="325"/>
      <c r="L39" s="325"/>
      <c r="M39" s="325"/>
      <c r="N39" s="325"/>
      <c r="O39" s="323" t="s">
        <v>5</v>
      </c>
      <c r="P39" s="95"/>
    </row>
    <row r="40" spans="1:16" x14ac:dyDescent="0.25">
      <c r="A40" s="324"/>
      <c r="B40" s="324"/>
      <c r="C40" s="25" t="s">
        <v>6</v>
      </c>
      <c r="D40" s="25" t="s">
        <v>7</v>
      </c>
      <c r="E40" s="25" t="s">
        <v>8</v>
      </c>
      <c r="F40" s="25" t="s">
        <v>9</v>
      </c>
      <c r="G40" s="25" t="s">
        <v>10</v>
      </c>
      <c r="H40" s="25" t="s">
        <v>11</v>
      </c>
      <c r="I40" s="25" t="s">
        <v>12</v>
      </c>
      <c r="J40" s="25" t="s">
        <v>13</v>
      </c>
      <c r="K40" s="25" t="s">
        <v>14</v>
      </c>
      <c r="L40" s="25" t="s">
        <v>15</v>
      </c>
      <c r="M40" s="25" t="s">
        <v>16</v>
      </c>
      <c r="N40" s="25" t="s">
        <v>17</v>
      </c>
      <c r="O40" s="326"/>
      <c r="P40" s="95"/>
    </row>
    <row r="41" spans="1:16" ht="15.75" thickBot="1" x14ac:dyDescent="0.3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  <c r="P41" s="261"/>
    </row>
    <row r="42" spans="1:16" ht="18.75" customHeight="1" thickTop="1" x14ac:dyDescent="0.25">
      <c r="A42" s="27">
        <v>1</v>
      </c>
      <c r="B42" s="7" t="s">
        <v>18</v>
      </c>
      <c r="C42" s="62">
        <v>0</v>
      </c>
      <c r="D42" s="62">
        <v>0</v>
      </c>
      <c r="E42" s="28">
        <v>0</v>
      </c>
      <c r="F42" s="28">
        <v>145</v>
      </c>
      <c r="G42" s="28">
        <v>65</v>
      </c>
      <c r="H42" s="62">
        <v>0</v>
      </c>
      <c r="I42" s="28">
        <v>0</v>
      </c>
      <c r="J42" s="28">
        <v>20</v>
      </c>
      <c r="K42" s="28">
        <v>45</v>
      </c>
      <c r="L42" s="58">
        <v>0</v>
      </c>
      <c r="M42" s="62">
        <v>0</v>
      </c>
      <c r="N42" s="28">
        <v>0</v>
      </c>
      <c r="O42" s="29">
        <f>SUM(C42:N42)</f>
        <v>275</v>
      </c>
      <c r="P42" s="244"/>
    </row>
    <row r="43" spans="1:16" ht="18.75" customHeight="1" x14ac:dyDescent="0.25">
      <c r="A43" s="14">
        <v>2</v>
      </c>
      <c r="B43" s="12" t="s">
        <v>19</v>
      </c>
      <c r="C43" s="60">
        <v>2</v>
      </c>
      <c r="D43" s="16">
        <v>0</v>
      </c>
      <c r="E43" s="16">
        <v>14</v>
      </c>
      <c r="F43" s="16">
        <v>102</v>
      </c>
      <c r="G43" s="16">
        <v>81</v>
      </c>
      <c r="H43" s="16">
        <v>0</v>
      </c>
      <c r="I43" s="16">
        <v>5</v>
      </c>
      <c r="J43" s="16">
        <v>19</v>
      </c>
      <c r="K43" s="16">
        <v>78</v>
      </c>
      <c r="L43" s="60">
        <v>22</v>
      </c>
      <c r="M43" s="16">
        <v>0</v>
      </c>
      <c r="N43" s="16">
        <v>7</v>
      </c>
      <c r="O43" s="18">
        <f t="shared" ref="O43:O49" si="4">SUM(C43:N43)</f>
        <v>330</v>
      </c>
      <c r="P43" s="244"/>
    </row>
    <row r="44" spans="1:16" ht="18.75" customHeight="1" x14ac:dyDescent="0.25">
      <c r="A44" s="14">
        <v>3</v>
      </c>
      <c r="B44" s="7" t="s">
        <v>20</v>
      </c>
      <c r="C44" s="60">
        <v>0</v>
      </c>
      <c r="D44" s="16">
        <v>0</v>
      </c>
      <c r="E44" s="16">
        <v>0</v>
      </c>
      <c r="F44" s="16">
        <v>25</v>
      </c>
      <c r="G44" s="16">
        <v>0</v>
      </c>
      <c r="H44" s="16">
        <v>0</v>
      </c>
      <c r="I44" s="16">
        <v>0</v>
      </c>
      <c r="J44" s="16">
        <v>10</v>
      </c>
      <c r="K44" s="16">
        <v>0</v>
      </c>
      <c r="L44" s="60">
        <v>0</v>
      </c>
      <c r="M44" s="16">
        <v>0</v>
      </c>
      <c r="N44" s="16">
        <v>0</v>
      </c>
      <c r="O44" s="18">
        <f t="shared" si="4"/>
        <v>35</v>
      </c>
      <c r="P44" s="244"/>
    </row>
    <row r="45" spans="1:16" ht="18.75" customHeight="1" x14ac:dyDescent="0.25">
      <c r="A45" s="14">
        <v>4</v>
      </c>
      <c r="B45" s="15" t="s">
        <v>21</v>
      </c>
      <c r="C45" s="60">
        <v>0</v>
      </c>
      <c r="D45" s="16">
        <v>0</v>
      </c>
      <c r="E45" s="16">
        <v>0</v>
      </c>
      <c r="F45" s="16">
        <v>184</v>
      </c>
      <c r="G45" s="17">
        <v>0</v>
      </c>
      <c r="H45" s="16">
        <v>0</v>
      </c>
      <c r="I45" s="16">
        <v>3</v>
      </c>
      <c r="J45" s="16">
        <v>10</v>
      </c>
      <c r="K45" s="16">
        <v>5</v>
      </c>
      <c r="L45" s="60">
        <v>0</v>
      </c>
      <c r="M45" s="16">
        <v>0</v>
      </c>
      <c r="N45" s="16">
        <v>1</v>
      </c>
      <c r="O45" s="18">
        <f t="shared" si="4"/>
        <v>203</v>
      </c>
      <c r="P45" s="244"/>
    </row>
    <row r="46" spans="1:16" ht="18.75" customHeight="1" x14ac:dyDescent="0.25">
      <c r="A46" s="14">
        <v>5</v>
      </c>
      <c r="B46" s="19" t="s">
        <v>22</v>
      </c>
      <c r="C46" s="60">
        <v>0</v>
      </c>
      <c r="D46" s="16">
        <v>0</v>
      </c>
      <c r="E46" s="16">
        <v>0</v>
      </c>
      <c r="F46" s="16">
        <v>162</v>
      </c>
      <c r="G46" s="16">
        <v>0</v>
      </c>
      <c r="H46" s="16">
        <v>0</v>
      </c>
      <c r="I46" s="16">
        <v>0</v>
      </c>
      <c r="J46" s="16">
        <v>0</v>
      </c>
      <c r="K46" s="16">
        <v>15</v>
      </c>
      <c r="L46" s="16">
        <v>0</v>
      </c>
      <c r="M46" s="16">
        <v>0</v>
      </c>
      <c r="N46" s="16">
        <v>0</v>
      </c>
      <c r="O46" s="18">
        <f t="shared" si="4"/>
        <v>177</v>
      </c>
      <c r="P46" s="244"/>
    </row>
    <row r="47" spans="1:16" ht="18.75" customHeight="1" x14ac:dyDescent="0.25">
      <c r="A47" s="14">
        <v>6</v>
      </c>
      <c r="B47" s="19" t="s">
        <v>23</v>
      </c>
      <c r="C47" s="60">
        <v>5</v>
      </c>
      <c r="D47" s="16">
        <v>0</v>
      </c>
      <c r="E47" s="16">
        <v>0</v>
      </c>
      <c r="F47" s="16">
        <v>14</v>
      </c>
      <c r="G47" s="16">
        <v>36</v>
      </c>
      <c r="H47" s="16">
        <v>0</v>
      </c>
      <c r="I47" s="16">
        <v>0</v>
      </c>
      <c r="J47" s="16">
        <v>4</v>
      </c>
      <c r="K47" s="16">
        <v>7</v>
      </c>
      <c r="L47" s="16">
        <v>20</v>
      </c>
      <c r="M47" s="16">
        <v>12</v>
      </c>
      <c r="N47" s="16">
        <v>0</v>
      </c>
      <c r="O47" s="18">
        <f t="shared" si="4"/>
        <v>98</v>
      </c>
      <c r="P47" s="244"/>
    </row>
    <row r="48" spans="1:16" ht="18.75" customHeight="1" x14ac:dyDescent="0.25">
      <c r="A48" s="14">
        <v>7</v>
      </c>
      <c r="B48" s="19" t="s">
        <v>24</v>
      </c>
      <c r="C48" s="60">
        <v>0</v>
      </c>
      <c r="D48" s="16">
        <v>0</v>
      </c>
      <c r="E48" s="16">
        <v>20</v>
      </c>
      <c r="F48" s="16">
        <v>180</v>
      </c>
      <c r="G48" s="16">
        <v>120</v>
      </c>
      <c r="H48" s="16">
        <v>0</v>
      </c>
      <c r="I48" s="16">
        <v>0</v>
      </c>
      <c r="J48" s="16">
        <v>1</v>
      </c>
      <c r="K48" s="16">
        <v>184</v>
      </c>
      <c r="L48" s="16">
        <v>90</v>
      </c>
      <c r="M48" s="16">
        <v>0</v>
      </c>
      <c r="N48" s="16">
        <v>0</v>
      </c>
      <c r="O48" s="18">
        <f t="shared" si="4"/>
        <v>595</v>
      </c>
      <c r="P48" s="244"/>
    </row>
    <row r="49" spans="1:19" ht="18.75" customHeight="1" thickBot="1" x14ac:dyDescent="0.3">
      <c r="A49" s="249">
        <v>8</v>
      </c>
      <c r="B49" s="250" t="s">
        <v>25</v>
      </c>
      <c r="C49" s="251">
        <v>19</v>
      </c>
      <c r="D49" s="252">
        <v>10</v>
      </c>
      <c r="E49" s="252">
        <v>0</v>
      </c>
      <c r="F49" s="252">
        <v>64</v>
      </c>
      <c r="G49" s="252">
        <v>25</v>
      </c>
      <c r="H49" s="252">
        <v>0</v>
      </c>
      <c r="I49" s="252">
        <v>47</v>
      </c>
      <c r="J49" s="252">
        <v>67</v>
      </c>
      <c r="K49" s="252">
        <v>100</v>
      </c>
      <c r="L49" s="252">
        <v>18</v>
      </c>
      <c r="M49" s="252">
        <v>5</v>
      </c>
      <c r="N49" s="252">
        <v>0</v>
      </c>
      <c r="O49" s="254">
        <f t="shared" si="4"/>
        <v>355</v>
      </c>
      <c r="P49" s="260"/>
    </row>
    <row r="50" spans="1:19" ht="18.75" customHeight="1" thickTop="1" x14ac:dyDescent="0.25">
      <c r="A50" s="320" t="s">
        <v>26</v>
      </c>
      <c r="B50" s="321"/>
      <c r="C50" s="22">
        <f t="shared" ref="C50:O50" si="5">SUM(C42:C49)</f>
        <v>26</v>
      </c>
      <c r="D50" s="22">
        <f t="shared" si="5"/>
        <v>10</v>
      </c>
      <c r="E50" s="22">
        <f t="shared" si="5"/>
        <v>34</v>
      </c>
      <c r="F50" s="22">
        <f t="shared" si="5"/>
        <v>876</v>
      </c>
      <c r="G50" s="22">
        <f t="shared" si="5"/>
        <v>327</v>
      </c>
      <c r="H50" s="22">
        <f t="shared" si="5"/>
        <v>0</v>
      </c>
      <c r="I50" s="22">
        <f t="shared" si="5"/>
        <v>55</v>
      </c>
      <c r="J50" s="22">
        <f t="shared" si="5"/>
        <v>131</v>
      </c>
      <c r="K50" s="22">
        <f t="shared" si="5"/>
        <v>434</v>
      </c>
      <c r="L50" s="22">
        <f>SUM(L42:L49)</f>
        <v>150</v>
      </c>
      <c r="M50" s="22">
        <f t="shared" si="5"/>
        <v>17</v>
      </c>
      <c r="N50" s="22">
        <f t="shared" si="5"/>
        <v>8</v>
      </c>
      <c r="O50" s="22">
        <f t="shared" si="5"/>
        <v>2068</v>
      </c>
      <c r="P50" s="244"/>
      <c r="Q50" s="71">
        <f>O50*5%</f>
        <v>103.4</v>
      </c>
      <c r="R50" s="71">
        <f>O50-Q50</f>
        <v>1964.6</v>
      </c>
      <c r="S50" s="71">
        <f>O50*95%</f>
        <v>1964.6</v>
      </c>
    </row>
    <row r="51" spans="1:19" x14ac:dyDescent="0.2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</row>
    <row r="52" spans="1:19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102">
        <f>SUM(C50:J50)</f>
        <v>1459</v>
      </c>
      <c r="K52" s="24"/>
      <c r="L52" s="24"/>
      <c r="M52" s="24"/>
      <c r="N52" s="24"/>
      <c r="O52" s="24"/>
      <c r="P52" s="24"/>
    </row>
    <row r="53" spans="1:19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</row>
    <row r="54" spans="1:19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</row>
    <row r="55" spans="1:19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</row>
    <row r="56" spans="1:19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102">
        <f>J50*5.8</f>
        <v>759.8</v>
      </c>
      <c r="M56" s="24"/>
      <c r="N56" s="24"/>
      <c r="O56" s="24"/>
      <c r="P56" s="24"/>
    </row>
    <row r="57" spans="1:19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</row>
    <row r="58" spans="1:19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</row>
    <row r="59" spans="1:19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</row>
    <row r="60" spans="1:19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</row>
    <row r="61" spans="1:19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</row>
    <row r="62" spans="1:19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</row>
    <row r="63" spans="1:19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</row>
    <row r="64" spans="1:19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</row>
    <row r="65" spans="1:16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</row>
    <row r="66" spans="1:16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</row>
    <row r="67" spans="1:16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</row>
    <row r="68" spans="1:16" ht="18.75" x14ac:dyDescent="0.3">
      <c r="A68" s="322" t="s">
        <v>28</v>
      </c>
      <c r="B68" s="322"/>
      <c r="C68" s="322"/>
      <c r="D68" s="322"/>
      <c r="E68" s="322"/>
      <c r="F68" s="322"/>
      <c r="G68" s="322"/>
      <c r="H68" s="322"/>
      <c r="I68" s="322"/>
      <c r="J68" s="322"/>
      <c r="K68" s="322"/>
      <c r="L68" s="322"/>
      <c r="M68" s="322"/>
      <c r="N68" s="322"/>
      <c r="O68" s="322"/>
      <c r="P68" s="259"/>
    </row>
    <row r="69" spans="1:16" ht="18.75" x14ac:dyDescent="0.3">
      <c r="A69" s="322" t="s">
        <v>148</v>
      </c>
      <c r="B69" s="322"/>
      <c r="C69" s="322"/>
      <c r="D69" s="322"/>
      <c r="E69" s="322"/>
      <c r="F69" s="322"/>
      <c r="G69" s="322"/>
      <c r="H69" s="322"/>
      <c r="I69" s="322"/>
      <c r="J69" s="322"/>
      <c r="K69" s="322"/>
      <c r="L69" s="322"/>
      <c r="M69" s="322"/>
      <c r="N69" s="322"/>
      <c r="O69" s="322"/>
      <c r="P69" s="259"/>
    </row>
    <row r="70" spans="1:16" ht="18.7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259"/>
    </row>
    <row r="71" spans="1:1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140</v>
      </c>
      <c r="P71" s="3"/>
    </row>
    <row r="72" spans="1:16" x14ac:dyDescent="0.25">
      <c r="A72" s="327" t="s">
        <v>2</v>
      </c>
      <c r="B72" s="327" t="s">
        <v>3</v>
      </c>
      <c r="C72" s="329" t="s">
        <v>4</v>
      </c>
      <c r="D72" s="329"/>
      <c r="E72" s="329"/>
      <c r="F72" s="329"/>
      <c r="G72" s="329"/>
      <c r="H72" s="329"/>
      <c r="I72" s="329"/>
      <c r="J72" s="329"/>
      <c r="K72" s="329"/>
      <c r="L72" s="329"/>
      <c r="M72" s="329"/>
      <c r="N72" s="329"/>
      <c r="O72" s="327" t="s">
        <v>5</v>
      </c>
      <c r="P72" s="95"/>
    </row>
    <row r="73" spans="1:16" x14ac:dyDescent="0.25">
      <c r="A73" s="328"/>
      <c r="B73" s="328"/>
      <c r="C73" s="4" t="s">
        <v>6</v>
      </c>
      <c r="D73" s="4" t="s">
        <v>7</v>
      </c>
      <c r="E73" s="4" t="s">
        <v>8</v>
      </c>
      <c r="F73" s="4" t="s">
        <v>9</v>
      </c>
      <c r="G73" s="4" t="s">
        <v>10</v>
      </c>
      <c r="H73" s="4" t="s">
        <v>11</v>
      </c>
      <c r="I73" s="4" t="s">
        <v>12</v>
      </c>
      <c r="J73" s="4" t="s">
        <v>13</v>
      </c>
      <c r="K73" s="4" t="s">
        <v>14</v>
      </c>
      <c r="L73" s="4" t="s">
        <v>15</v>
      </c>
      <c r="M73" s="4" t="s">
        <v>16</v>
      </c>
      <c r="N73" s="4" t="s">
        <v>17</v>
      </c>
      <c r="O73" s="330"/>
      <c r="P73" s="95"/>
    </row>
    <row r="74" spans="1:16" ht="15.75" thickBot="1" x14ac:dyDescent="0.3">
      <c r="A74" s="5">
        <v>1</v>
      </c>
      <c r="B74" s="5">
        <v>2</v>
      </c>
      <c r="C74" s="5">
        <v>3</v>
      </c>
      <c r="D74" s="5">
        <v>4</v>
      </c>
      <c r="E74" s="5">
        <v>5</v>
      </c>
      <c r="F74" s="5">
        <v>6</v>
      </c>
      <c r="G74" s="5">
        <v>7</v>
      </c>
      <c r="H74" s="5">
        <v>8</v>
      </c>
      <c r="I74" s="5">
        <v>9</v>
      </c>
      <c r="J74" s="5">
        <v>10</v>
      </c>
      <c r="K74" s="5">
        <v>11</v>
      </c>
      <c r="L74" s="5">
        <v>12</v>
      </c>
      <c r="M74" s="5">
        <v>13</v>
      </c>
      <c r="N74" s="5">
        <v>14</v>
      </c>
      <c r="O74" s="5">
        <v>15</v>
      </c>
      <c r="P74" s="261"/>
    </row>
    <row r="75" spans="1:16" ht="18.75" customHeight="1" thickTop="1" x14ac:dyDescent="0.25">
      <c r="A75" s="6">
        <v>1</v>
      </c>
      <c r="B75" s="7" t="s">
        <v>18</v>
      </c>
      <c r="C75" s="279">
        <v>0</v>
      </c>
      <c r="D75" s="279">
        <v>0</v>
      </c>
      <c r="E75" s="28">
        <v>0</v>
      </c>
      <c r="F75" s="237">
        <v>805.2</v>
      </c>
      <c r="G75" s="237">
        <v>371.9</v>
      </c>
      <c r="H75" s="62">
        <v>0</v>
      </c>
      <c r="I75" s="237">
        <v>0</v>
      </c>
      <c r="J75" s="237">
        <v>118.5</v>
      </c>
      <c r="K75" s="237">
        <v>248.7</v>
      </c>
      <c r="L75" s="284">
        <v>0</v>
      </c>
      <c r="M75" s="279">
        <v>0</v>
      </c>
      <c r="N75" s="237">
        <v>0</v>
      </c>
      <c r="O75" s="285">
        <f>SUM(C75:N75)</f>
        <v>1544.3</v>
      </c>
      <c r="P75" s="244"/>
    </row>
    <row r="76" spans="1:16" ht="18.75" customHeight="1" x14ac:dyDescent="0.25">
      <c r="A76" s="14">
        <v>2</v>
      </c>
      <c r="B76" s="12" t="s">
        <v>19</v>
      </c>
      <c r="C76" s="281">
        <v>12.1</v>
      </c>
      <c r="D76" s="158">
        <v>0</v>
      </c>
      <c r="E76" s="158">
        <v>87.5</v>
      </c>
      <c r="F76" s="158">
        <v>670.3</v>
      </c>
      <c r="G76" s="158">
        <v>524.5</v>
      </c>
      <c r="H76" s="16">
        <v>0</v>
      </c>
      <c r="I76" s="158">
        <v>31.2</v>
      </c>
      <c r="J76" s="158">
        <v>123.7</v>
      </c>
      <c r="K76" s="158">
        <v>508.3</v>
      </c>
      <c r="L76" s="281">
        <v>143.5</v>
      </c>
      <c r="M76" s="158">
        <v>0</v>
      </c>
      <c r="N76" s="158">
        <v>43</v>
      </c>
      <c r="O76" s="166">
        <f t="shared" ref="O76:O82" si="6">SUM(C76:N76)</f>
        <v>2144.1000000000004</v>
      </c>
      <c r="P76" s="244"/>
    </row>
    <row r="77" spans="1:16" ht="18.75" customHeight="1" x14ac:dyDescent="0.25">
      <c r="A77" s="14">
        <v>3</v>
      </c>
      <c r="B77" s="7" t="s">
        <v>20</v>
      </c>
      <c r="C77" s="281">
        <v>0</v>
      </c>
      <c r="D77" s="158">
        <v>0</v>
      </c>
      <c r="E77" s="158">
        <v>0</v>
      </c>
      <c r="F77" s="158">
        <v>145</v>
      </c>
      <c r="G77" s="158">
        <v>0</v>
      </c>
      <c r="H77" s="16">
        <v>0</v>
      </c>
      <c r="I77" s="158">
        <v>0</v>
      </c>
      <c r="J77" s="158">
        <v>59.3</v>
      </c>
      <c r="K77" s="158">
        <v>0</v>
      </c>
      <c r="L77" s="281">
        <v>0</v>
      </c>
      <c r="M77" s="158">
        <v>0</v>
      </c>
      <c r="N77" s="158">
        <v>0</v>
      </c>
      <c r="O77" s="166">
        <f t="shared" si="6"/>
        <v>204.3</v>
      </c>
      <c r="P77" s="244"/>
    </row>
    <row r="78" spans="1:16" ht="18.75" customHeight="1" x14ac:dyDescent="0.25">
      <c r="A78" s="14">
        <v>4</v>
      </c>
      <c r="B78" s="15" t="s">
        <v>21</v>
      </c>
      <c r="C78" s="281">
        <v>0</v>
      </c>
      <c r="D78" s="158">
        <v>0</v>
      </c>
      <c r="E78" s="158">
        <v>0</v>
      </c>
      <c r="F78" s="158">
        <v>1044.7</v>
      </c>
      <c r="G78" s="162">
        <v>0</v>
      </c>
      <c r="H78" s="16">
        <v>0</v>
      </c>
      <c r="I78" s="158">
        <v>18.7</v>
      </c>
      <c r="J78" s="158">
        <v>63</v>
      </c>
      <c r="K78" s="158">
        <v>31.7</v>
      </c>
      <c r="L78" s="281">
        <v>0</v>
      </c>
      <c r="M78" s="158">
        <v>0</v>
      </c>
      <c r="N78" s="158">
        <v>6</v>
      </c>
      <c r="O78" s="166">
        <f t="shared" si="6"/>
        <v>1164.1000000000001</v>
      </c>
      <c r="P78" s="244"/>
    </row>
    <row r="79" spans="1:16" ht="18.75" customHeight="1" x14ac:dyDescent="0.25">
      <c r="A79" s="14">
        <v>5</v>
      </c>
      <c r="B79" s="19" t="s">
        <v>22</v>
      </c>
      <c r="C79" s="281">
        <v>0</v>
      </c>
      <c r="D79" s="158">
        <v>0</v>
      </c>
      <c r="E79" s="158">
        <v>0</v>
      </c>
      <c r="F79" s="158">
        <v>911.3</v>
      </c>
      <c r="G79" s="158">
        <v>0</v>
      </c>
      <c r="H79" s="16">
        <v>0</v>
      </c>
      <c r="I79" s="158">
        <v>0</v>
      </c>
      <c r="J79" s="158">
        <v>0</v>
      </c>
      <c r="K79" s="158">
        <v>82.9</v>
      </c>
      <c r="L79" s="158">
        <v>0</v>
      </c>
      <c r="M79" s="158">
        <v>0</v>
      </c>
      <c r="N79" s="158">
        <v>0</v>
      </c>
      <c r="O79" s="166">
        <f t="shared" si="6"/>
        <v>994.19999999999993</v>
      </c>
      <c r="P79" s="244"/>
    </row>
    <row r="80" spans="1:16" ht="18.75" customHeight="1" x14ac:dyDescent="0.25">
      <c r="A80" s="14">
        <v>6</v>
      </c>
      <c r="B80" s="19" t="s">
        <v>23</v>
      </c>
      <c r="C80" s="281">
        <v>30.1</v>
      </c>
      <c r="D80" s="158">
        <v>0</v>
      </c>
      <c r="E80" s="158">
        <v>0</v>
      </c>
      <c r="F80" s="158">
        <v>79.400000000000006</v>
      </c>
      <c r="G80" s="158">
        <v>204</v>
      </c>
      <c r="H80" s="16">
        <v>0</v>
      </c>
      <c r="I80" s="158">
        <v>0</v>
      </c>
      <c r="J80" s="158">
        <v>24.7</v>
      </c>
      <c r="K80" s="158">
        <v>38.700000000000003</v>
      </c>
      <c r="L80" s="158">
        <v>119.9</v>
      </c>
      <c r="M80" s="158">
        <v>67.099999999999994</v>
      </c>
      <c r="N80" s="158">
        <v>0</v>
      </c>
      <c r="O80" s="166">
        <f t="shared" si="6"/>
        <v>563.9</v>
      </c>
      <c r="P80" s="244"/>
    </row>
    <row r="81" spans="1:16" ht="18.75" customHeight="1" x14ac:dyDescent="0.25">
      <c r="A81" s="14">
        <v>7</v>
      </c>
      <c r="B81" s="19" t="s">
        <v>24</v>
      </c>
      <c r="C81" s="281">
        <v>0</v>
      </c>
      <c r="D81" s="158">
        <v>0</v>
      </c>
      <c r="E81" s="158">
        <v>121.3</v>
      </c>
      <c r="F81" s="158">
        <v>1086.3</v>
      </c>
      <c r="G81" s="158">
        <v>780</v>
      </c>
      <c r="H81" s="16">
        <v>0</v>
      </c>
      <c r="I81" s="158">
        <v>0</v>
      </c>
      <c r="J81" s="158">
        <v>6.2</v>
      </c>
      <c r="K81" s="158">
        <v>1101.2</v>
      </c>
      <c r="L81" s="158">
        <v>533.1</v>
      </c>
      <c r="M81" s="158">
        <v>0</v>
      </c>
      <c r="N81" s="158">
        <v>0</v>
      </c>
      <c r="O81" s="166">
        <f t="shared" si="6"/>
        <v>3628.1</v>
      </c>
      <c r="P81" s="244"/>
    </row>
    <row r="82" spans="1:16" ht="18.75" customHeight="1" thickBot="1" x14ac:dyDescent="0.3">
      <c r="A82" s="249">
        <v>8</v>
      </c>
      <c r="B82" s="250" t="s">
        <v>25</v>
      </c>
      <c r="C82" s="286">
        <v>114.5</v>
      </c>
      <c r="D82" s="287">
        <v>60.3</v>
      </c>
      <c r="E82" s="252">
        <v>0</v>
      </c>
      <c r="F82" s="287">
        <v>369.9</v>
      </c>
      <c r="G82" s="287">
        <v>150.5</v>
      </c>
      <c r="H82" s="252">
        <v>0</v>
      </c>
      <c r="I82" s="287">
        <v>289</v>
      </c>
      <c r="J82" s="287">
        <v>410</v>
      </c>
      <c r="K82" s="287">
        <v>641.1</v>
      </c>
      <c r="L82" s="287">
        <v>108.4</v>
      </c>
      <c r="M82" s="287">
        <v>30</v>
      </c>
      <c r="N82" s="287">
        <v>0</v>
      </c>
      <c r="O82" s="288">
        <f t="shared" si="6"/>
        <v>2173.7000000000003</v>
      </c>
      <c r="P82" s="260"/>
    </row>
    <row r="83" spans="1:16" ht="18.75" customHeight="1" thickTop="1" x14ac:dyDescent="0.25">
      <c r="A83" s="320" t="s">
        <v>26</v>
      </c>
      <c r="B83" s="321"/>
      <c r="C83" s="159">
        <f t="shared" ref="C83:M83" si="7">SUM(C75:C82)</f>
        <v>156.69999999999999</v>
      </c>
      <c r="D83" s="159">
        <f t="shared" si="7"/>
        <v>60.3</v>
      </c>
      <c r="E83" s="159">
        <f t="shared" si="7"/>
        <v>208.8</v>
      </c>
      <c r="F83" s="159">
        <f t="shared" si="7"/>
        <v>5112.0999999999995</v>
      </c>
      <c r="G83" s="159">
        <f t="shared" si="7"/>
        <v>2030.9</v>
      </c>
      <c r="H83" s="159">
        <f t="shared" si="7"/>
        <v>0</v>
      </c>
      <c r="I83" s="159">
        <f t="shared" si="7"/>
        <v>338.9</v>
      </c>
      <c r="J83" s="159">
        <f t="shared" si="7"/>
        <v>805.4</v>
      </c>
      <c r="K83" s="159">
        <f t="shared" si="7"/>
        <v>2652.6</v>
      </c>
      <c r="L83" s="159">
        <f t="shared" si="7"/>
        <v>904.9</v>
      </c>
      <c r="M83" s="159">
        <f t="shared" si="7"/>
        <v>97.1</v>
      </c>
      <c r="N83" s="159">
        <f>SUM(N75:N82)</f>
        <v>49</v>
      </c>
      <c r="O83" s="159">
        <f>SUM(O75:O82)</f>
        <v>12416.7</v>
      </c>
      <c r="P83" s="244"/>
    </row>
    <row r="84" spans="1:16" x14ac:dyDescent="0.25">
      <c r="A84" s="23"/>
      <c r="B84" s="23"/>
      <c r="C84" s="139"/>
      <c r="D84" s="30"/>
      <c r="E84" s="23"/>
      <c r="F84" s="139"/>
      <c r="G84" s="23"/>
      <c r="H84" s="23"/>
      <c r="I84" s="139"/>
      <c r="J84" s="23"/>
      <c r="K84" s="23"/>
      <c r="L84" s="139"/>
      <c r="M84" s="23"/>
      <c r="N84" s="23"/>
      <c r="O84" s="139"/>
      <c r="P84" s="139"/>
    </row>
    <row r="85" spans="1:16" x14ac:dyDescent="0.25">
      <c r="A85" s="24"/>
      <c r="B85" s="24"/>
      <c r="C85" s="24"/>
      <c r="E85" s="24"/>
      <c r="F85" s="102"/>
      <c r="G85" s="24"/>
      <c r="H85" s="24"/>
      <c r="I85" s="24"/>
      <c r="J85" s="102">
        <f>SUM(G83:J83)</f>
        <v>3175.2000000000003</v>
      </c>
      <c r="K85" s="24"/>
      <c r="L85" s="24"/>
      <c r="M85" s="24"/>
      <c r="N85" s="102">
        <f>SUM(K83:N83)</f>
        <v>3703.6</v>
      </c>
      <c r="O85" s="24"/>
      <c r="P85" s="24"/>
    </row>
    <row r="86" spans="1:16" x14ac:dyDescent="0.25">
      <c r="A86" s="24"/>
      <c r="B86" s="24"/>
      <c r="C86" s="294">
        <f>C83*0.632</f>
        <v>99.034399999999991</v>
      </c>
      <c r="D86" s="294">
        <f t="shared" ref="D86:O86" si="8">D83*0.632</f>
        <v>38.1096</v>
      </c>
      <c r="E86" s="294">
        <f t="shared" si="8"/>
        <v>131.9616</v>
      </c>
      <c r="F86" s="294">
        <f t="shared" si="8"/>
        <v>3230.8471999999997</v>
      </c>
      <c r="G86" s="294">
        <f t="shared" si="8"/>
        <v>1283.5288</v>
      </c>
      <c r="H86" s="294">
        <f t="shared" si="8"/>
        <v>0</v>
      </c>
      <c r="I86" s="294">
        <f t="shared" si="8"/>
        <v>214.1848</v>
      </c>
      <c r="J86" s="294">
        <f t="shared" si="8"/>
        <v>509.01279999999997</v>
      </c>
      <c r="K86" s="294">
        <f t="shared" si="8"/>
        <v>1676.4431999999999</v>
      </c>
      <c r="L86" s="294">
        <f t="shared" si="8"/>
        <v>571.89679999999998</v>
      </c>
      <c r="M86" s="294">
        <f t="shared" si="8"/>
        <v>61.367199999999997</v>
      </c>
      <c r="N86" s="294">
        <f t="shared" si="8"/>
        <v>30.968</v>
      </c>
      <c r="O86" s="294">
        <f t="shared" si="8"/>
        <v>7847.3544000000002</v>
      </c>
      <c r="P86" s="24"/>
    </row>
    <row r="87" spans="1:16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</row>
    <row r="88" spans="1:16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</row>
    <row r="89" spans="1:16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</row>
    <row r="90" spans="1:16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</row>
    <row r="91" spans="1:16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</row>
    <row r="92" spans="1:16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</row>
    <row r="93" spans="1:16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</row>
    <row r="94" spans="1:16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</row>
    <row r="95" spans="1:16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</row>
    <row r="96" spans="1:16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</row>
    <row r="97" spans="1:17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</row>
    <row r="98" spans="1:17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</row>
    <row r="99" spans="1:17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</row>
    <row r="100" spans="1:17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</row>
    <row r="101" spans="1:17" ht="18.75" x14ac:dyDescent="0.3">
      <c r="A101" s="322" t="s">
        <v>30</v>
      </c>
      <c r="B101" s="322"/>
      <c r="C101" s="322"/>
      <c r="D101" s="322"/>
      <c r="E101" s="322"/>
      <c r="F101" s="322"/>
      <c r="G101" s="322"/>
      <c r="H101" s="322"/>
      <c r="I101" s="322"/>
      <c r="J101" s="322"/>
      <c r="K101" s="322"/>
      <c r="L101" s="322"/>
      <c r="M101" s="322"/>
      <c r="N101" s="322"/>
      <c r="O101" s="322"/>
      <c r="P101" s="259"/>
    </row>
    <row r="102" spans="1:17" ht="18.75" x14ac:dyDescent="0.3">
      <c r="A102" s="322" t="s">
        <v>148</v>
      </c>
      <c r="B102" s="322"/>
      <c r="C102" s="322"/>
      <c r="D102" s="322"/>
      <c r="E102" s="322"/>
      <c r="F102" s="322"/>
      <c r="G102" s="322"/>
      <c r="H102" s="322"/>
      <c r="I102" s="322"/>
      <c r="J102" s="322"/>
      <c r="K102" s="322"/>
      <c r="L102" s="322"/>
      <c r="M102" s="322"/>
      <c r="N102" s="322"/>
      <c r="O102" s="322"/>
      <c r="P102" s="259"/>
    </row>
    <row r="103" spans="1:17" ht="18.7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259"/>
    </row>
    <row r="104" spans="1:17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  <c r="P104" s="3"/>
    </row>
    <row r="105" spans="1:17" x14ac:dyDescent="0.25">
      <c r="A105" s="323" t="s">
        <v>2</v>
      </c>
      <c r="B105" s="323" t="s">
        <v>3</v>
      </c>
      <c r="C105" s="325" t="s">
        <v>4</v>
      </c>
      <c r="D105" s="325"/>
      <c r="E105" s="325"/>
      <c r="F105" s="325"/>
      <c r="G105" s="325"/>
      <c r="H105" s="325"/>
      <c r="I105" s="325"/>
      <c r="J105" s="325"/>
      <c r="K105" s="325"/>
      <c r="L105" s="325"/>
      <c r="M105" s="325"/>
      <c r="N105" s="325"/>
      <c r="O105" s="323" t="s">
        <v>5</v>
      </c>
      <c r="P105" s="95"/>
    </row>
    <row r="106" spans="1:17" x14ac:dyDescent="0.25">
      <c r="A106" s="324"/>
      <c r="B106" s="324"/>
      <c r="C106" s="25" t="s">
        <v>6</v>
      </c>
      <c r="D106" s="25" t="s">
        <v>7</v>
      </c>
      <c r="E106" s="25" t="s">
        <v>8</v>
      </c>
      <c r="F106" s="25" t="s">
        <v>9</v>
      </c>
      <c r="G106" s="25" t="s">
        <v>10</v>
      </c>
      <c r="H106" s="25" t="s">
        <v>11</v>
      </c>
      <c r="I106" s="25" t="s">
        <v>12</v>
      </c>
      <c r="J106" s="25" t="s">
        <v>13</v>
      </c>
      <c r="K106" s="25" t="s">
        <v>14</v>
      </c>
      <c r="L106" s="25" t="s">
        <v>15</v>
      </c>
      <c r="M106" s="25" t="s">
        <v>16</v>
      </c>
      <c r="N106" s="25" t="s">
        <v>17</v>
      </c>
      <c r="O106" s="326"/>
      <c r="P106" s="95"/>
    </row>
    <row r="107" spans="1:17" ht="15.75" thickBot="1" x14ac:dyDescent="0.3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  <c r="P107" s="261"/>
    </row>
    <row r="108" spans="1:17" ht="18.75" customHeight="1" thickTop="1" x14ac:dyDescent="0.25">
      <c r="A108" s="27">
        <v>1</v>
      </c>
      <c r="B108" s="7" t="s">
        <v>18</v>
      </c>
      <c r="C108" s="63">
        <v>0</v>
      </c>
      <c r="D108" s="279">
        <v>0</v>
      </c>
      <c r="E108" s="68">
        <v>0</v>
      </c>
      <c r="F108" s="32">
        <v>55.53</v>
      </c>
      <c r="G108" s="32">
        <v>57.22</v>
      </c>
      <c r="H108" s="62">
        <v>0</v>
      </c>
      <c r="I108" s="32">
        <v>0</v>
      </c>
      <c r="J108" s="32">
        <v>59.25</v>
      </c>
      <c r="K108" s="32">
        <v>55.27</v>
      </c>
      <c r="L108" s="64">
        <v>0</v>
      </c>
      <c r="M108" s="63">
        <v>0</v>
      </c>
      <c r="N108" s="32">
        <v>0</v>
      </c>
      <c r="O108" s="33">
        <f t="shared" ref="O108:O115" si="9">O75/O42*10</f>
        <v>56.156363636363629</v>
      </c>
      <c r="P108" s="262"/>
    </row>
    <row r="109" spans="1:17" ht="18.75" customHeight="1" x14ac:dyDescent="0.25">
      <c r="A109" s="14">
        <v>2</v>
      </c>
      <c r="B109" s="12" t="s">
        <v>19</v>
      </c>
      <c r="C109" s="65">
        <v>60.33</v>
      </c>
      <c r="D109" s="158">
        <v>0</v>
      </c>
      <c r="E109" s="34">
        <v>62.52</v>
      </c>
      <c r="F109" s="34">
        <v>65.72</v>
      </c>
      <c r="G109" s="34">
        <v>64.75</v>
      </c>
      <c r="H109" s="16">
        <v>0</v>
      </c>
      <c r="I109" s="34">
        <v>62.51</v>
      </c>
      <c r="J109" s="34">
        <v>65.12</v>
      </c>
      <c r="K109" s="34">
        <v>65.17</v>
      </c>
      <c r="L109" s="65">
        <v>65.209999999999994</v>
      </c>
      <c r="M109" s="34">
        <v>0</v>
      </c>
      <c r="N109" s="34">
        <v>61.52</v>
      </c>
      <c r="O109" s="35">
        <f t="shared" si="9"/>
        <v>64.972727272727283</v>
      </c>
      <c r="P109" s="262"/>
    </row>
    <row r="110" spans="1:17" ht="18.75" customHeight="1" x14ac:dyDescent="0.25">
      <c r="A110" s="14">
        <v>3</v>
      </c>
      <c r="B110" s="7" t="s">
        <v>20</v>
      </c>
      <c r="C110" s="65">
        <v>0</v>
      </c>
      <c r="D110" s="158">
        <v>0</v>
      </c>
      <c r="E110" s="34">
        <v>0</v>
      </c>
      <c r="F110" s="34">
        <v>58</v>
      </c>
      <c r="G110" s="34">
        <v>0</v>
      </c>
      <c r="H110" s="16">
        <v>0</v>
      </c>
      <c r="I110" s="34">
        <v>0</v>
      </c>
      <c r="J110" s="34">
        <v>59.33</v>
      </c>
      <c r="K110" s="34">
        <v>0</v>
      </c>
      <c r="L110" s="65">
        <v>0</v>
      </c>
      <c r="M110" s="34">
        <v>0</v>
      </c>
      <c r="N110" s="34">
        <v>0</v>
      </c>
      <c r="O110" s="35">
        <f t="shared" si="9"/>
        <v>58.371428571428574</v>
      </c>
      <c r="P110" s="262"/>
    </row>
    <row r="111" spans="1:17" ht="18.75" customHeight="1" x14ac:dyDescent="0.25">
      <c r="A111" s="14">
        <v>4</v>
      </c>
      <c r="B111" s="15" t="s">
        <v>21</v>
      </c>
      <c r="C111" s="65">
        <v>0</v>
      </c>
      <c r="D111" s="158">
        <v>0</v>
      </c>
      <c r="E111" s="34">
        <v>0</v>
      </c>
      <c r="F111" s="34">
        <v>56.78</v>
      </c>
      <c r="G111" s="36">
        <v>0</v>
      </c>
      <c r="H111" s="16">
        <v>0</v>
      </c>
      <c r="I111" s="34">
        <v>62.25</v>
      </c>
      <c r="J111" s="34">
        <v>63.01</v>
      </c>
      <c r="K111" s="34">
        <v>63.32</v>
      </c>
      <c r="L111" s="65">
        <v>0</v>
      </c>
      <c r="M111" s="34">
        <v>0</v>
      </c>
      <c r="N111" s="34">
        <v>60.01</v>
      </c>
      <c r="O111" s="35">
        <f t="shared" si="9"/>
        <v>57.344827586206904</v>
      </c>
      <c r="P111" s="262"/>
      <c r="Q111">
        <f>(I111+J111)/2</f>
        <v>62.629999999999995</v>
      </c>
    </row>
    <row r="112" spans="1:17" ht="18.75" customHeight="1" x14ac:dyDescent="0.25">
      <c r="A112" s="14">
        <v>5</v>
      </c>
      <c r="B112" s="19" t="s">
        <v>22</v>
      </c>
      <c r="C112" s="65">
        <v>0</v>
      </c>
      <c r="D112" s="158">
        <v>0</v>
      </c>
      <c r="E112" s="34">
        <v>0</v>
      </c>
      <c r="F112" s="34">
        <v>56.25</v>
      </c>
      <c r="G112" s="34">
        <v>0</v>
      </c>
      <c r="H112" s="16">
        <v>0</v>
      </c>
      <c r="I112" s="34">
        <v>0</v>
      </c>
      <c r="J112" s="34">
        <v>0</v>
      </c>
      <c r="K112" s="34">
        <v>55.3</v>
      </c>
      <c r="L112" s="34">
        <v>0</v>
      </c>
      <c r="M112" s="34">
        <v>0</v>
      </c>
      <c r="N112" s="34">
        <v>0</v>
      </c>
      <c r="O112" s="35">
        <f t="shared" si="9"/>
        <v>56.169491525423723</v>
      </c>
      <c r="P112" s="262"/>
    </row>
    <row r="113" spans="1:18" ht="18.75" customHeight="1" x14ac:dyDescent="0.25">
      <c r="A113" s="14">
        <v>6</v>
      </c>
      <c r="B113" s="19" t="s">
        <v>23</v>
      </c>
      <c r="C113" s="65">
        <v>60.32</v>
      </c>
      <c r="D113" s="158">
        <v>0</v>
      </c>
      <c r="E113" s="34">
        <v>0</v>
      </c>
      <c r="F113" s="34">
        <v>56.75</v>
      </c>
      <c r="G113" s="34">
        <v>56.67</v>
      </c>
      <c r="H113" s="16">
        <v>0</v>
      </c>
      <c r="I113" s="34">
        <v>0</v>
      </c>
      <c r="J113" s="34">
        <v>61.87</v>
      </c>
      <c r="K113" s="34">
        <v>55.25</v>
      </c>
      <c r="L113" s="34">
        <v>59.95</v>
      </c>
      <c r="M113" s="34">
        <v>55.95</v>
      </c>
      <c r="N113" s="34">
        <v>0</v>
      </c>
      <c r="O113" s="35">
        <f t="shared" si="9"/>
        <v>57.54081632653061</v>
      </c>
      <c r="P113" s="262"/>
    </row>
    <row r="114" spans="1:18" ht="18.75" customHeight="1" x14ac:dyDescent="0.25">
      <c r="A114" s="14">
        <v>7</v>
      </c>
      <c r="B114" s="19" t="s">
        <v>24</v>
      </c>
      <c r="C114" s="65">
        <v>0</v>
      </c>
      <c r="D114" s="158">
        <v>0</v>
      </c>
      <c r="E114" s="34">
        <v>60.65</v>
      </c>
      <c r="F114" s="34">
        <v>60.35</v>
      </c>
      <c r="G114" s="34">
        <v>65</v>
      </c>
      <c r="H114" s="16">
        <v>0</v>
      </c>
      <c r="I114" s="34">
        <v>0</v>
      </c>
      <c r="J114" s="34">
        <v>62.05</v>
      </c>
      <c r="K114" s="34">
        <v>59.85</v>
      </c>
      <c r="L114" s="34">
        <v>59.23</v>
      </c>
      <c r="M114" s="34">
        <v>0</v>
      </c>
      <c r="N114" s="34">
        <v>0</v>
      </c>
      <c r="O114" s="35">
        <f t="shared" si="9"/>
        <v>60.976470588235294</v>
      </c>
      <c r="P114" s="262"/>
    </row>
    <row r="115" spans="1:18" ht="18.75" customHeight="1" thickBot="1" x14ac:dyDescent="0.3">
      <c r="A115" s="249">
        <v>8</v>
      </c>
      <c r="B115" s="250" t="s">
        <v>25</v>
      </c>
      <c r="C115" s="255">
        <v>60.25</v>
      </c>
      <c r="D115" s="256">
        <v>60.29</v>
      </c>
      <c r="E115" s="256">
        <v>0</v>
      </c>
      <c r="F115" s="256">
        <v>57.8</v>
      </c>
      <c r="G115" s="256">
        <v>60.21</v>
      </c>
      <c r="H115" s="252">
        <v>0</v>
      </c>
      <c r="I115" s="256">
        <v>61.5</v>
      </c>
      <c r="J115" s="256">
        <v>61.2</v>
      </c>
      <c r="K115" s="256">
        <v>64.11</v>
      </c>
      <c r="L115" s="256">
        <v>60.22</v>
      </c>
      <c r="M115" s="256" t="s">
        <v>186</v>
      </c>
      <c r="N115" s="256">
        <v>0</v>
      </c>
      <c r="O115" s="257">
        <f t="shared" si="9"/>
        <v>61.230985915492965</v>
      </c>
      <c r="P115" s="263"/>
    </row>
    <row r="116" spans="1:18" ht="18.75" customHeight="1" thickTop="1" x14ac:dyDescent="0.25">
      <c r="A116" s="320" t="s">
        <v>26</v>
      </c>
      <c r="B116" s="321"/>
      <c r="C116" s="38">
        <f>C83/C50*10</f>
        <v>60.269230769230766</v>
      </c>
      <c r="D116" s="38">
        <v>60.29</v>
      </c>
      <c r="E116" s="38">
        <f>E83/E50*10</f>
        <v>61.411764705882355</v>
      </c>
      <c r="F116" s="38">
        <f t="shared" ref="F116:O116" si="10">F83/F50*10</f>
        <v>58.357305936073054</v>
      </c>
      <c r="G116" s="38">
        <f>G83/G50*10</f>
        <v>62.107033639143729</v>
      </c>
      <c r="H116" s="38">
        <f>SUM(H108:H115)</f>
        <v>0</v>
      </c>
      <c r="I116" s="38">
        <f t="shared" si="10"/>
        <v>61.61818181818181</v>
      </c>
      <c r="J116" s="38">
        <f t="shared" si="10"/>
        <v>61.480916030534345</v>
      </c>
      <c r="K116" s="38">
        <f t="shared" si="10"/>
        <v>61.119815668202762</v>
      </c>
      <c r="L116" s="38">
        <f t="shared" si="10"/>
        <v>60.326666666666668</v>
      </c>
      <c r="M116" s="38">
        <f>M83/M50*10</f>
        <v>57.117647058823522</v>
      </c>
      <c r="N116" s="38">
        <f t="shared" si="10"/>
        <v>61.25</v>
      </c>
      <c r="O116" s="38">
        <f t="shared" si="10"/>
        <v>60.042069632495163</v>
      </c>
      <c r="P116" s="262"/>
      <c r="Q116" s="263">
        <f>O116*95%</f>
        <v>57.039966150870406</v>
      </c>
      <c r="R116">
        <f>13*O116/10</f>
        <v>78.054690522243703</v>
      </c>
    </row>
    <row r="117" spans="1:18" x14ac:dyDescent="0.25">
      <c r="A117" s="23"/>
      <c r="B117" s="23"/>
      <c r="C117" s="23"/>
      <c r="D117" s="23"/>
      <c r="E117" s="23"/>
      <c r="F117" s="23"/>
      <c r="G117" s="23"/>
      <c r="H117" s="39"/>
      <c r="I117" s="23"/>
      <c r="J117" s="23"/>
      <c r="K117" s="23"/>
      <c r="L117" s="23"/>
      <c r="M117" s="23"/>
      <c r="N117" s="23"/>
      <c r="O117" s="23"/>
      <c r="P117" s="23"/>
    </row>
    <row r="118" spans="1:18" x14ac:dyDescent="0.25">
      <c r="F118" s="71"/>
      <c r="J118" s="71"/>
      <c r="L118" s="41" t="s">
        <v>146</v>
      </c>
      <c r="N118" s="71"/>
    </row>
    <row r="119" spans="1:18" x14ac:dyDescent="0.25">
      <c r="L119" s="41" t="s">
        <v>95</v>
      </c>
    </row>
    <row r="120" spans="1:18" x14ac:dyDescent="0.25">
      <c r="L120" s="41" t="s">
        <v>84</v>
      </c>
    </row>
    <row r="121" spans="1:18" x14ac:dyDescent="0.25">
      <c r="L121" s="41"/>
    </row>
    <row r="122" spans="1:18" x14ac:dyDescent="0.25">
      <c r="L122" s="41"/>
    </row>
    <row r="123" spans="1:18" x14ac:dyDescent="0.25">
      <c r="L123" s="41"/>
    </row>
    <row r="124" spans="1:18" x14ac:dyDescent="0.25">
      <c r="L124" s="299" t="s">
        <v>147</v>
      </c>
    </row>
    <row r="125" spans="1:18" x14ac:dyDescent="0.25">
      <c r="L125" s="41" t="s">
        <v>97</v>
      </c>
    </row>
  </sheetData>
  <mergeCells count="28">
    <mergeCell ref="A2:O2"/>
    <mergeCell ref="A3:O3"/>
    <mergeCell ref="A6:A7"/>
    <mergeCell ref="B6:B7"/>
    <mergeCell ref="C6:N6"/>
    <mergeCell ref="O6:O7"/>
    <mergeCell ref="A17:B17"/>
    <mergeCell ref="A35:O35"/>
    <mergeCell ref="A36:O36"/>
    <mergeCell ref="A39:A40"/>
    <mergeCell ref="B39:B40"/>
    <mergeCell ref="C39:N39"/>
    <mergeCell ref="O39:O40"/>
    <mergeCell ref="A50:B50"/>
    <mergeCell ref="A68:O68"/>
    <mergeCell ref="A69:O69"/>
    <mergeCell ref="A72:A73"/>
    <mergeCell ref="B72:B73"/>
    <mergeCell ref="C72:N72"/>
    <mergeCell ref="O72:O73"/>
    <mergeCell ref="A116:B116"/>
    <mergeCell ref="A83:B83"/>
    <mergeCell ref="A101:O101"/>
    <mergeCell ref="A102:O102"/>
    <mergeCell ref="A105:A106"/>
    <mergeCell ref="B105:B106"/>
    <mergeCell ref="C105:N105"/>
    <mergeCell ref="O105:O106"/>
  </mergeCells>
  <pageMargins left="1.5748031496062993" right="0.39370078740157483" top="0.94488188976377963" bottom="0.74803149606299213" header="0.31496062992125984" footer="0.31496062992125984"/>
  <pageSetup paperSize="9" scale="90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"/>
  <sheetViews>
    <sheetView zoomScale="90" zoomScaleNormal="90" workbookViewId="0">
      <selection activeCell="L15" sqref="L15"/>
    </sheetView>
  </sheetViews>
  <sheetFormatPr defaultRowHeight="15" x14ac:dyDescent="0.25"/>
  <cols>
    <col min="1" max="1" width="4" customWidth="1"/>
    <col min="2" max="2" width="17.42578125" customWidth="1"/>
    <col min="3" max="15" width="8.5703125" customWidth="1"/>
  </cols>
  <sheetData>
    <row r="1" spans="1:15" ht="18.75" x14ac:dyDescent="0.3">
      <c r="A1" s="322" t="s">
        <v>32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</row>
    <row r="2" spans="1:15" ht="18.75" x14ac:dyDescent="0.3">
      <c r="A2" s="322" t="s">
        <v>148</v>
      </c>
      <c r="B2" s="322"/>
      <c r="C2" s="322"/>
      <c r="D2" s="322"/>
      <c r="E2" s="322"/>
      <c r="F2" s="322"/>
      <c r="G2" s="322"/>
      <c r="H2" s="322"/>
      <c r="I2" s="322"/>
      <c r="J2" s="322"/>
      <c r="K2" s="322"/>
      <c r="L2" s="322"/>
      <c r="M2" s="322"/>
      <c r="N2" s="322"/>
      <c r="O2" s="322"/>
    </row>
    <row r="3" spans="1:1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 t="s">
        <v>1</v>
      </c>
    </row>
    <row r="4" spans="1:15" x14ac:dyDescent="0.25">
      <c r="A4" s="323" t="s">
        <v>2</v>
      </c>
      <c r="B4" s="323" t="s">
        <v>3</v>
      </c>
      <c r="C4" s="325" t="s">
        <v>4</v>
      </c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3" t="s">
        <v>5</v>
      </c>
    </row>
    <row r="5" spans="1:15" x14ac:dyDescent="0.25">
      <c r="A5" s="324"/>
      <c r="B5" s="324"/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326"/>
    </row>
    <row r="6" spans="1:15" ht="15.75" thickBot="1" x14ac:dyDescent="0.3">
      <c r="A6" s="5">
        <v>1</v>
      </c>
      <c r="B6" s="5">
        <v>2</v>
      </c>
      <c r="C6" s="5">
        <v>3</v>
      </c>
      <c r="D6" s="5">
        <v>4</v>
      </c>
      <c r="E6" s="5">
        <v>5</v>
      </c>
      <c r="F6" s="5">
        <v>6</v>
      </c>
      <c r="G6" s="5">
        <v>7</v>
      </c>
      <c r="H6" s="5">
        <v>8</v>
      </c>
      <c r="I6" s="5">
        <v>9</v>
      </c>
      <c r="J6" s="5">
        <v>10</v>
      </c>
      <c r="K6" s="5">
        <v>11</v>
      </c>
      <c r="L6" s="5">
        <v>12</v>
      </c>
      <c r="M6" s="5">
        <v>13</v>
      </c>
      <c r="N6" s="5">
        <v>14</v>
      </c>
      <c r="O6" s="5">
        <v>15</v>
      </c>
    </row>
    <row r="7" spans="1:15" ht="18.75" customHeight="1" thickTop="1" x14ac:dyDescent="0.25">
      <c r="A7" s="6">
        <v>1</v>
      </c>
      <c r="B7" s="7" t="s">
        <v>18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f>SUM(C7:N7)</f>
        <v>0</v>
      </c>
    </row>
    <row r="8" spans="1:15" ht="18.75" customHeight="1" x14ac:dyDescent="0.25">
      <c r="A8" s="11">
        <v>2</v>
      </c>
      <c r="B8" s="12" t="s">
        <v>19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f t="shared" ref="O8:O14" si="0">SUM(C8:N8)</f>
        <v>0</v>
      </c>
    </row>
    <row r="9" spans="1:15" ht="18.75" customHeight="1" x14ac:dyDescent="0.25">
      <c r="A9" s="11">
        <v>3</v>
      </c>
      <c r="B9" s="7" t="s">
        <v>20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f t="shared" si="0"/>
        <v>0</v>
      </c>
    </row>
    <row r="10" spans="1:15" ht="18.75" customHeight="1" x14ac:dyDescent="0.25">
      <c r="A10" s="14">
        <v>4</v>
      </c>
      <c r="B10" s="15" t="s">
        <v>21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6">
        <f t="shared" si="0"/>
        <v>0</v>
      </c>
    </row>
    <row r="11" spans="1:15" ht="18.75" customHeight="1" x14ac:dyDescent="0.25">
      <c r="A11" s="14">
        <v>5</v>
      </c>
      <c r="B11" s="19" t="s">
        <v>22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f t="shared" si="0"/>
        <v>0</v>
      </c>
    </row>
    <row r="12" spans="1:15" ht="18.75" customHeight="1" x14ac:dyDescent="0.25">
      <c r="A12" s="14">
        <v>6</v>
      </c>
      <c r="B12" s="19" t="s">
        <v>23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f t="shared" si="0"/>
        <v>0</v>
      </c>
    </row>
    <row r="13" spans="1:15" ht="18.75" customHeight="1" x14ac:dyDescent="0.25">
      <c r="A13" s="14">
        <v>7</v>
      </c>
      <c r="B13" s="19" t="s">
        <v>24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f t="shared" si="0"/>
        <v>0</v>
      </c>
    </row>
    <row r="14" spans="1:15" ht="18.75" customHeight="1" thickBot="1" x14ac:dyDescent="0.3">
      <c r="A14" s="20">
        <v>8</v>
      </c>
      <c r="B14" s="15" t="s">
        <v>25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40">
        <f t="shared" si="0"/>
        <v>0</v>
      </c>
    </row>
    <row r="15" spans="1:15" ht="18.75" customHeight="1" thickTop="1" x14ac:dyDescent="0.25">
      <c r="A15" s="320" t="s">
        <v>26</v>
      </c>
      <c r="B15" s="321"/>
      <c r="C15" s="22">
        <f t="shared" ref="C15:O15" si="1">SUM(C7:C14)</f>
        <v>0</v>
      </c>
      <c r="D15" s="22">
        <f t="shared" si="1"/>
        <v>0</v>
      </c>
      <c r="E15" s="22">
        <f t="shared" si="1"/>
        <v>0</v>
      </c>
      <c r="F15" s="22">
        <f t="shared" si="1"/>
        <v>0</v>
      </c>
      <c r="G15" s="22">
        <f t="shared" si="1"/>
        <v>0</v>
      </c>
      <c r="H15" s="22">
        <f t="shared" si="1"/>
        <v>0</v>
      </c>
      <c r="I15" s="22">
        <f t="shared" si="1"/>
        <v>0</v>
      </c>
      <c r="J15" s="22">
        <f t="shared" si="1"/>
        <v>0</v>
      </c>
      <c r="K15" s="22">
        <f t="shared" si="1"/>
        <v>0</v>
      </c>
      <c r="L15" s="22">
        <f t="shared" si="1"/>
        <v>0</v>
      </c>
      <c r="M15" s="22">
        <f t="shared" si="1"/>
        <v>0</v>
      </c>
      <c r="N15" s="22">
        <f t="shared" si="1"/>
        <v>0</v>
      </c>
      <c r="O15" s="22">
        <f t="shared" si="1"/>
        <v>0</v>
      </c>
    </row>
    <row r="16" spans="1:15" ht="18.75" customHeight="1" x14ac:dyDescent="0.25">
      <c r="A16" s="267"/>
      <c r="B16" s="98"/>
      <c r="C16" s="244"/>
      <c r="D16" s="244"/>
      <c r="E16" s="244"/>
      <c r="F16" s="244"/>
      <c r="G16" s="244"/>
      <c r="H16" s="244"/>
      <c r="I16" s="244"/>
      <c r="J16" s="244"/>
      <c r="K16" s="244"/>
      <c r="L16" s="244"/>
      <c r="M16" s="244"/>
      <c r="N16" s="244"/>
      <c r="O16" s="244"/>
    </row>
    <row r="17" spans="1:15" x14ac:dyDescent="0.25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</row>
    <row r="18" spans="1:15" ht="18.75" x14ac:dyDescent="0.3">
      <c r="A18" s="322" t="s">
        <v>75</v>
      </c>
      <c r="B18" s="322"/>
      <c r="C18" s="322"/>
      <c r="D18" s="322"/>
      <c r="E18" s="322"/>
      <c r="F18" s="322"/>
      <c r="G18" s="322"/>
      <c r="H18" s="322"/>
      <c r="I18" s="322"/>
      <c r="J18" s="322"/>
      <c r="K18" s="322"/>
      <c r="L18" s="322"/>
      <c r="M18" s="322"/>
      <c r="N18" s="322"/>
      <c r="O18" s="322"/>
    </row>
    <row r="19" spans="1:15" ht="18.75" x14ac:dyDescent="0.3">
      <c r="A19" s="322" t="s">
        <v>148</v>
      </c>
      <c r="B19" s="322"/>
      <c r="C19" s="322"/>
      <c r="D19" s="322"/>
      <c r="E19" s="322"/>
      <c r="F19" s="322"/>
      <c r="G19" s="322"/>
      <c r="H19" s="322"/>
      <c r="I19" s="322"/>
      <c r="J19" s="322"/>
      <c r="K19" s="322"/>
      <c r="L19" s="322"/>
      <c r="M19" s="322"/>
      <c r="N19" s="322"/>
      <c r="O19" s="322"/>
    </row>
    <row r="20" spans="1:15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3" t="s">
        <v>1</v>
      </c>
    </row>
    <row r="21" spans="1:15" x14ac:dyDescent="0.25">
      <c r="A21" s="323" t="s">
        <v>2</v>
      </c>
      <c r="B21" s="323" t="s">
        <v>3</v>
      </c>
      <c r="C21" s="325" t="s">
        <v>4</v>
      </c>
      <c r="D21" s="325"/>
      <c r="E21" s="325"/>
      <c r="F21" s="325"/>
      <c r="G21" s="325"/>
      <c r="H21" s="325"/>
      <c r="I21" s="325"/>
      <c r="J21" s="325"/>
      <c r="K21" s="325"/>
      <c r="L21" s="325"/>
      <c r="M21" s="325"/>
      <c r="N21" s="325"/>
      <c r="O21" s="323" t="s">
        <v>5</v>
      </c>
    </row>
    <row r="22" spans="1:15" x14ac:dyDescent="0.25">
      <c r="A22" s="324"/>
      <c r="B22" s="324"/>
      <c r="C22" s="100" t="s">
        <v>6</v>
      </c>
      <c r="D22" s="100" t="s">
        <v>7</v>
      </c>
      <c r="E22" s="100" t="s">
        <v>8</v>
      </c>
      <c r="F22" s="100" t="s">
        <v>9</v>
      </c>
      <c r="G22" s="100" t="s">
        <v>10</v>
      </c>
      <c r="H22" s="100" t="s">
        <v>11</v>
      </c>
      <c r="I22" s="100" t="s">
        <v>12</v>
      </c>
      <c r="J22" s="100" t="s">
        <v>13</v>
      </c>
      <c r="K22" s="100" t="s">
        <v>14</v>
      </c>
      <c r="L22" s="100" t="s">
        <v>15</v>
      </c>
      <c r="M22" s="100" t="s">
        <v>16</v>
      </c>
      <c r="N22" s="100" t="s">
        <v>17</v>
      </c>
      <c r="O22" s="326"/>
    </row>
    <row r="23" spans="1:15" ht="15.75" thickBot="1" x14ac:dyDescent="0.3">
      <c r="A23" s="5">
        <v>1</v>
      </c>
      <c r="B23" s="5">
        <v>2</v>
      </c>
      <c r="C23" s="5">
        <v>3</v>
      </c>
      <c r="D23" s="5">
        <v>4</v>
      </c>
      <c r="E23" s="5">
        <v>5</v>
      </c>
      <c r="F23" s="5">
        <v>6</v>
      </c>
      <c r="G23" s="5">
        <v>7</v>
      </c>
      <c r="H23" s="5">
        <v>8</v>
      </c>
      <c r="I23" s="5">
        <v>9</v>
      </c>
      <c r="J23" s="5">
        <v>10</v>
      </c>
      <c r="K23" s="5">
        <v>11</v>
      </c>
      <c r="L23" s="5">
        <v>12</v>
      </c>
      <c r="M23" s="5">
        <v>13</v>
      </c>
      <c r="N23" s="5">
        <v>14</v>
      </c>
      <c r="O23" s="5">
        <v>15</v>
      </c>
    </row>
    <row r="24" spans="1:15" ht="18.75" customHeight="1" thickTop="1" x14ac:dyDescent="0.25">
      <c r="A24" s="6">
        <v>1</v>
      </c>
      <c r="B24" s="7" t="s">
        <v>18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f>SUM(C24:N24)</f>
        <v>0</v>
      </c>
    </row>
    <row r="25" spans="1:15" ht="18.75" customHeight="1" x14ac:dyDescent="0.25">
      <c r="A25" s="11">
        <v>2</v>
      </c>
      <c r="B25" s="12" t="s">
        <v>19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f t="shared" ref="O25:O31" si="2">SUM(C25:N25)</f>
        <v>0</v>
      </c>
    </row>
    <row r="26" spans="1:15" ht="18.75" customHeight="1" x14ac:dyDescent="0.25">
      <c r="A26" s="11">
        <v>3</v>
      </c>
      <c r="B26" s="7" t="s">
        <v>20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f t="shared" si="2"/>
        <v>0</v>
      </c>
    </row>
    <row r="27" spans="1:15" ht="18.75" customHeight="1" x14ac:dyDescent="0.25">
      <c r="A27" s="14">
        <v>4</v>
      </c>
      <c r="B27" s="15" t="s">
        <v>21</v>
      </c>
      <c r="C27" s="17">
        <v>0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6">
        <f t="shared" si="2"/>
        <v>0</v>
      </c>
    </row>
    <row r="28" spans="1:15" ht="18.75" customHeight="1" x14ac:dyDescent="0.25">
      <c r="A28" s="14">
        <v>5</v>
      </c>
      <c r="B28" s="19" t="s">
        <v>22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f t="shared" si="2"/>
        <v>0</v>
      </c>
    </row>
    <row r="29" spans="1:15" ht="18.75" customHeight="1" x14ac:dyDescent="0.25">
      <c r="A29" s="14">
        <v>6</v>
      </c>
      <c r="B29" s="19" t="s">
        <v>23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f t="shared" si="2"/>
        <v>0</v>
      </c>
    </row>
    <row r="30" spans="1:15" ht="18.75" customHeight="1" x14ac:dyDescent="0.25">
      <c r="A30" s="14">
        <v>7</v>
      </c>
      <c r="B30" s="19" t="s">
        <v>24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f t="shared" si="2"/>
        <v>0</v>
      </c>
    </row>
    <row r="31" spans="1:15" ht="18.75" customHeight="1" thickBot="1" x14ac:dyDescent="0.3">
      <c r="A31" s="20">
        <v>8</v>
      </c>
      <c r="B31" s="15" t="s">
        <v>25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40">
        <f t="shared" si="2"/>
        <v>0</v>
      </c>
    </row>
    <row r="32" spans="1:15" ht="18.75" customHeight="1" thickTop="1" x14ac:dyDescent="0.25">
      <c r="A32" s="320" t="s">
        <v>26</v>
      </c>
      <c r="B32" s="321"/>
      <c r="C32" s="22">
        <f t="shared" ref="C32:O32" si="3">SUM(C24:C31)</f>
        <v>0</v>
      </c>
      <c r="D32" s="22">
        <f t="shared" si="3"/>
        <v>0</v>
      </c>
      <c r="E32" s="22">
        <f t="shared" si="3"/>
        <v>0</v>
      </c>
      <c r="F32" s="22">
        <f t="shared" si="3"/>
        <v>0</v>
      </c>
      <c r="G32" s="22">
        <f t="shared" si="3"/>
        <v>0</v>
      </c>
      <c r="H32" s="22">
        <f t="shared" si="3"/>
        <v>0</v>
      </c>
      <c r="I32" s="22">
        <f t="shared" si="3"/>
        <v>0</v>
      </c>
      <c r="J32" s="22">
        <f t="shared" si="3"/>
        <v>0</v>
      </c>
      <c r="K32" s="22">
        <f t="shared" si="3"/>
        <v>0</v>
      </c>
      <c r="L32" s="22">
        <f t="shared" si="3"/>
        <v>0</v>
      </c>
      <c r="M32" s="22">
        <f t="shared" si="3"/>
        <v>0</v>
      </c>
      <c r="N32" s="22">
        <f t="shared" si="3"/>
        <v>0</v>
      </c>
      <c r="O32" s="22">
        <f t="shared" si="3"/>
        <v>0</v>
      </c>
    </row>
    <row r="35" spans="12:12" x14ac:dyDescent="0.25">
      <c r="L35" s="41" t="s">
        <v>146</v>
      </c>
    </row>
    <row r="36" spans="12:12" x14ac:dyDescent="0.25">
      <c r="L36" s="41" t="s">
        <v>95</v>
      </c>
    </row>
    <row r="37" spans="12:12" x14ac:dyDescent="0.25">
      <c r="L37" s="41" t="s">
        <v>84</v>
      </c>
    </row>
    <row r="38" spans="12:12" x14ac:dyDescent="0.25">
      <c r="L38" s="41"/>
    </row>
    <row r="39" spans="12:12" x14ac:dyDescent="0.25">
      <c r="L39" s="41"/>
    </row>
    <row r="40" spans="12:12" x14ac:dyDescent="0.25">
      <c r="L40" s="41"/>
    </row>
    <row r="41" spans="12:12" x14ac:dyDescent="0.25">
      <c r="L41" s="299" t="s">
        <v>147</v>
      </c>
    </row>
    <row r="42" spans="12:12" x14ac:dyDescent="0.25">
      <c r="L42" s="41" t="s">
        <v>97</v>
      </c>
    </row>
  </sheetData>
  <mergeCells count="14">
    <mergeCell ref="A15:B15"/>
    <mergeCell ref="A1:O1"/>
    <mergeCell ref="A2:O2"/>
    <mergeCell ref="A4:A5"/>
    <mergeCell ref="B4:B5"/>
    <mergeCell ref="C4:N4"/>
    <mergeCell ref="O4:O5"/>
    <mergeCell ref="A32:B32"/>
    <mergeCell ref="A18:O18"/>
    <mergeCell ref="A19:O19"/>
    <mergeCell ref="A21:A22"/>
    <mergeCell ref="B21:B22"/>
    <mergeCell ref="C21:N21"/>
    <mergeCell ref="O21:O22"/>
  </mergeCells>
  <pageMargins left="1.5748031496062993" right="0.70866141732283472" top="0.94488188976377963" bottom="0.55118110236220474" header="0.31496062992125984" footer="0.31496062992125984"/>
  <pageSetup paperSize="9" scale="90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126"/>
  <sheetViews>
    <sheetView zoomScale="90" zoomScaleNormal="90" workbookViewId="0">
      <selection activeCell="A2" sqref="A2:O2"/>
    </sheetView>
  </sheetViews>
  <sheetFormatPr defaultRowHeight="15" x14ac:dyDescent="0.25"/>
  <cols>
    <col min="1" max="1" width="4" customWidth="1"/>
    <col min="2" max="2" width="14.85546875" customWidth="1"/>
    <col min="3" max="15" width="8.5703125" customWidth="1"/>
  </cols>
  <sheetData>
    <row r="2" spans="1:15" ht="18.75" x14ac:dyDescent="0.3">
      <c r="A2" s="322" t="s">
        <v>33</v>
      </c>
      <c r="B2" s="322"/>
      <c r="C2" s="322"/>
      <c r="D2" s="322"/>
      <c r="E2" s="322"/>
      <c r="F2" s="322"/>
      <c r="G2" s="322"/>
      <c r="H2" s="322"/>
      <c r="I2" s="322"/>
      <c r="J2" s="322"/>
      <c r="K2" s="322"/>
      <c r="L2" s="322"/>
      <c r="M2" s="322"/>
      <c r="N2" s="322"/>
      <c r="O2" s="322"/>
    </row>
    <row r="3" spans="1:15" ht="18.75" x14ac:dyDescent="0.3">
      <c r="A3" s="322" t="s">
        <v>148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  <c r="M3" s="322"/>
      <c r="N3" s="322"/>
      <c r="O3" s="322"/>
    </row>
    <row r="4" spans="1:15" ht="18.7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5" x14ac:dyDescent="0.25">
      <c r="A6" s="323" t="s">
        <v>2</v>
      </c>
      <c r="B6" s="323" t="s">
        <v>3</v>
      </c>
      <c r="C6" s="325" t="s">
        <v>4</v>
      </c>
      <c r="D6" s="325"/>
      <c r="E6" s="325"/>
      <c r="F6" s="325"/>
      <c r="G6" s="325"/>
      <c r="H6" s="325"/>
      <c r="I6" s="325"/>
      <c r="J6" s="325"/>
      <c r="K6" s="325"/>
      <c r="L6" s="325"/>
      <c r="M6" s="325"/>
      <c r="N6" s="325"/>
      <c r="O6" s="323" t="s">
        <v>5</v>
      </c>
    </row>
    <row r="7" spans="1:15" x14ac:dyDescent="0.25">
      <c r="A7" s="324"/>
      <c r="B7" s="324"/>
      <c r="C7" s="25" t="s">
        <v>6</v>
      </c>
      <c r="D7" s="25" t="s">
        <v>7</v>
      </c>
      <c r="E7" s="25" t="s">
        <v>8</v>
      </c>
      <c r="F7" s="25" t="s">
        <v>9</v>
      </c>
      <c r="G7" s="25" t="s">
        <v>10</v>
      </c>
      <c r="H7" s="25" t="s">
        <v>11</v>
      </c>
      <c r="I7" s="25" t="s">
        <v>12</v>
      </c>
      <c r="J7" s="25" t="s">
        <v>13</v>
      </c>
      <c r="K7" s="25" t="s">
        <v>14</v>
      </c>
      <c r="L7" s="25" t="s">
        <v>15</v>
      </c>
      <c r="M7" s="25" t="s">
        <v>16</v>
      </c>
      <c r="N7" s="25" t="s">
        <v>17</v>
      </c>
      <c r="O7" s="326"/>
    </row>
    <row r="8" spans="1:15" ht="15.75" thickBot="1" x14ac:dyDescent="0.3">
      <c r="A8" s="26">
        <v>1</v>
      </c>
      <c r="B8" s="26">
        <v>2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</row>
    <row r="9" spans="1:15" ht="18.75" customHeight="1" thickTop="1" x14ac:dyDescent="0.25">
      <c r="A9" s="27">
        <v>1</v>
      </c>
      <c r="B9" s="7" t="s">
        <v>18</v>
      </c>
      <c r="C9" s="28">
        <v>0</v>
      </c>
      <c r="D9" s="28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42">
        <f>SUM(C9:N9)</f>
        <v>0</v>
      </c>
    </row>
    <row r="10" spans="1:15" ht="18.75" customHeight="1" x14ac:dyDescent="0.25">
      <c r="A10" s="14">
        <v>2</v>
      </c>
      <c r="B10" s="12" t="s">
        <v>19</v>
      </c>
      <c r="C10" s="16">
        <v>0</v>
      </c>
      <c r="D10" s="16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18">
        <f t="shared" ref="O10:O16" si="0">SUM(C10:N10)</f>
        <v>0</v>
      </c>
    </row>
    <row r="11" spans="1:15" ht="18.75" customHeight="1" x14ac:dyDescent="0.25">
      <c r="A11" s="14">
        <v>3</v>
      </c>
      <c r="B11" s="7" t="s">
        <v>20</v>
      </c>
      <c r="C11" s="16">
        <v>0</v>
      </c>
      <c r="D11" s="16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18">
        <f t="shared" si="0"/>
        <v>0</v>
      </c>
    </row>
    <row r="12" spans="1:15" ht="18.75" customHeight="1" x14ac:dyDescent="0.25">
      <c r="A12" s="14">
        <v>4</v>
      </c>
      <c r="B12" s="15" t="s">
        <v>21</v>
      </c>
      <c r="C12" s="16">
        <v>0</v>
      </c>
      <c r="D12" s="16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8">
        <f t="shared" si="0"/>
        <v>0</v>
      </c>
    </row>
    <row r="13" spans="1:15" ht="18.75" customHeight="1" x14ac:dyDescent="0.25">
      <c r="A13" s="14">
        <v>5</v>
      </c>
      <c r="B13" s="19" t="s">
        <v>22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8">
        <f t="shared" si="0"/>
        <v>0</v>
      </c>
    </row>
    <row r="14" spans="1:15" ht="18.75" customHeight="1" x14ac:dyDescent="0.25">
      <c r="A14" s="14">
        <v>6</v>
      </c>
      <c r="B14" s="19" t="s">
        <v>23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8">
        <f t="shared" si="0"/>
        <v>0</v>
      </c>
    </row>
    <row r="15" spans="1:15" ht="18.75" customHeight="1" x14ac:dyDescent="0.25">
      <c r="A15" s="14">
        <v>7</v>
      </c>
      <c r="B15" s="19" t="s">
        <v>24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8">
        <f t="shared" si="0"/>
        <v>0</v>
      </c>
    </row>
    <row r="16" spans="1:15" ht="18.75" customHeight="1" thickBot="1" x14ac:dyDescent="0.3">
      <c r="A16" s="20">
        <v>8</v>
      </c>
      <c r="B16" s="15" t="s">
        <v>25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2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43">
        <f t="shared" si="0"/>
        <v>2</v>
      </c>
    </row>
    <row r="17" spans="1:15" ht="18.75" customHeight="1" thickTop="1" x14ac:dyDescent="0.25">
      <c r="A17" s="320" t="s">
        <v>26</v>
      </c>
      <c r="B17" s="321"/>
      <c r="C17" s="22">
        <f t="shared" ref="C17:O17" si="1">SUM(C9:C16)</f>
        <v>0</v>
      </c>
      <c r="D17" s="22">
        <f t="shared" si="1"/>
        <v>0</v>
      </c>
      <c r="E17" s="22">
        <f t="shared" si="1"/>
        <v>0</v>
      </c>
      <c r="F17" s="22">
        <f t="shared" si="1"/>
        <v>0</v>
      </c>
      <c r="G17" s="22">
        <f t="shared" si="1"/>
        <v>0</v>
      </c>
      <c r="H17" s="22">
        <f t="shared" si="1"/>
        <v>2</v>
      </c>
      <c r="I17" s="22">
        <f t="shared" si="1"/>
        <v>0</v>
      </c>
      <c r="J17" s="22">
        <f t="shared" si="1"/>
        <v>0</v>
      </c>
      <c r="K17" s="22">
        <f t="shared" si="1"/>
        <v>0</v>
      </c>
      <c r="L17" s="22">
        <f t="shared" si="1"/>
        <v>0</v>
      </c>
      <c r="M17" s="22">
        <f t="shared" si="1"/>
        <v>0</v>
      </c>
      <c r="N17" s="22">
        <f t="shared" si="1"/>
        <v>0</v>
      </c>
      <c r="O17" s="22">
        <f t="shared" si="1"/>
        <v>2</v>
      </c>
    </row>
    <row r="18" spans="1:15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5" x14ac:dyDescent="0.25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</row>
    <row r="20" spans="1:15" x14ac:dyDescent="0.25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</row>
    <row r="21" spans="1:15" x14ac:dyDescent="0.25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</row>
    <row r="22" spans="1:15" x14ac:dyDescent="0.25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</row>
    <row r="23" spans="1:15" x14ac:dyDescent="0.25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</row>
    <row r="24" spans="1:15" x14ac:dyDescent="0.25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</row>
    <row r="25" spans="1:15" x14ac:dyDescent="0.25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</row>
    <row r="26" spans="1:15" x14ac:dyDescent="0.25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</row>
    <row r="27" spans="1:15" x14ac:dyDescent="0.25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</row>
    <row r="28" spans="1:15" x14ac:dyDescent="0.25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</row>
    <row r="29" spans="1:15" x14ac:dyDescent="0.25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</row>
    <row r="30" spans="1:15" x14ac:dyDescent="0.25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</row>
    <row r="31" spans="1:15" x14ac:dyDescent="0.25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</row>
    <row r="32" spans="1:15" x14ac:dyDescent="0.25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</row>
    <row r="33" spans="1:15" x14ac:dyDescent="0.25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</row>
    <row r="34" spans="1:15" x14ac:dyDescent="0.25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</row>
    <row r="35" spans="1:15" ht="18.75" x14ac:dyDescent="0.3">
      <c r="A35" s="322" t="s">
        <v>34</v>
      </c>
      <c r="B35" s="322"/>
      <c r="C35" s="322"/>
      <c r="D35" s="322"/>
      <c r="E35" s="322"/>
      <c r="F35" s="322"/>
      <c r="G35" s="322"/>
      <c r="H35" s="322"/>
      <c r="I35" s="322"/>
      <c r="J35" s="322"/>
      <c r="K35" s="322"/>
      <c r="L35" s="322"/>
      <c r="M35" s="322"/>
      <c r="N35" s="322"/>
      <c r="O35" s="322"/>
    </row>
    <row r="36" spans="1:15" ht="18.75" x14ac:dyDescent="0.3">
      <c r="A36" s="322" t="s">
        <v>148</v>
      </c>
      <c r="B36" s="322"/>
      <c r="C36" s="322"/>
      <c r="D36" s="322"/>
      <c r="E36" s="322"/>
      <c r="F36" s="322"/>
      <c r="G36" s="322"/>
      <c r="H36" s="322"/>
      <c r="I36" s="322"/>
      <c r="J36" s="322"/>
      <c r="K36" s="322"/>
      <c r="L36" s="322"/>
      <c r="M36" s="322"/>
      <c r="N36" s="322"/>
      <c r="O36" s="322"/>
    </row>
    <row r="37" spans="1:15" ht="18.7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5" x14ac:dyDescent="0.25">
      <c r="A39" s="323" t="s">
        <v>2</v>
      </c>
      <c r="B39" s="323" t="s">
        <v>3</v>
      </c>
      <c r="C39" s="325" t="s">
        <v>4</v>
      </c>
      <c r="D39" s="325"/>
      <c r="E39" s="325"/>
      <c r="F39" s="325"/>
      <c r="G39" s="325"/>
      <c r="H39" s="325"/>
      <c r="I39" s="325"/>
      <c r="J39" s="325"/>
      <c r="K39" s="325"/>
      <c r="L39" s="325"/>
      <c r="M39" s="325"/>
      <c r="N39" s="325"/>
      <c r="O39" s="323" t="s">
        <v>5</v>
      </c>
    </row>
    <row r="40" spans="1:15" x14ac:dyDescent="0.25">
      <c r="A40" s="324"/>
      <c r="B40" s="324"/>
      <c r="C40" s="25" t="s">
        <v>6</v>
      </c>
      <c r="D40" s="25" t="s">
        <v>7</v>
      </c>
      <c r="E40" s="25" t="s">
        <v>8</v>
      </c>
      <c r="F40" s="25" t="s">
        <v>9</v>
      </c>
      <c r="G40" s="25" t="s">
        <v>10</v>
      </c>
      <c r="H40" s="25" t="s">
        <v>11</v>
      </c>
      <c r="I40" s="25" t="s">
        <v>12</v>
      </c>
      <c r="J40" s="25" t="s">
        <v>13</v>
      </c>
      <c r="K40" s="25" t="s">
        <v>14</v>
      </c>
      <c r="L40" s="25" t="s">
        <v>15</v>
      </c>
      <c r="M40" s="25" t="s">
        <v>16</v>
      </c>
      <c r="N40" s="25" t="s">
        <v>17</v>
      </c>
      <c r="O40" s="326"/>
    </row>
    <row r="41" spans="1:15" ht="15.75" thickBot="1" x14ac:dyDescent="0.3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</row>
    <row r="42" spans="1:15" ht="18.75" customHeight="1" thickTop="1" x14ac:dyDescent="0.25">
      <c r="A42" s="27">
        <v>1</v>
      </c>
      <c r="B42" s="7" t="s">
        <v>18</v>
      </c>
      <c r="C42" s="28">
        <v>0</v>
      </c>
      <c r="D42" s="28">
        <v>0</v>
      </c>
      <c r="E42" s="28">
        <v>0</v>
      </c>
      <c r="F42" s="28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42">
        <f>SUM(C42:N42)</f>
        <v>0</v>
      </c>
    </row>
    <row r="43" spans="1:15" ht="18.75" customHeight="1" x14ac:dyDescent="0.25">
      <c r="A43" s="14">
        <v>2</v>
      </c>
      <c r="B43" s="12" t="s">
        <v>19</v>
      </c>
      <c r="C43" s="16">
        <v>0</v>
      </c>
      <c r="D43" s="16">
        <v>0</v>
      </c>
      <c r="E43" s="16">
        <v>0</v>
      </c>
      <c r="F43" s="16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18">
        <f t="shared" ref="O43:O49" si="2">SUM(C43:N43)</f>
        <v>0</v>
      </c>
    </row>
    <row r="44" spans="1:15" ht="18.75" customHeight="1" x14ac:dyDescent="0.25">
      <c r="A44" s="14">
        <v>3</v>
      </c>
      <c r="B44" s="7" t="s">
        <v>20</v>
      </c>
      <c r="C44" s="16">
        <v>0</v>
      </c>
      <c r="D44" s="16">
        <v>0</v>
      </c>
      <c r="E44" s="16">
        <v>0</v>
      </c>
      <c r="F44" s="16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18">
        <f t="shared" si="2"/>
        <v>0</v>
      </c>
    </row>
    <row r="45" spans="1:15" ht="18.75" customHeight="1" x14ac:dyDescent="0.25">
      <c r="A45" s="14">
        <v>4</v>
      </c>
      <c r="B45" s="15" t="s">
        <v>21</v>
      </c>
      <c r="C45" s="16">
        <v>0</v>
      </c>
      <c r="D45" s="16">
        <v>0</v>
      </c>
      <c r="E45" s="16">
        <v>0</v>
      </c>
      <c r="F45" s="16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8">
        <f t="shared" si="2"/>
        <v>0</v>
      </c>
    </row>
    <row r="46" spans="1:15" ht="18.75" customHeight="1" x14ac:dyDescent="0.25">
      <c r="A46" s="14">
        <v>5</v>
      </c>
      <c r="B46" s="19" t="s">
        <v>22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8">
        <f t="shared" si="2"/>
        <v>0</v>
      </c>
    </row>
    <row r="47" spans="1:15" ht="18.75" customHeight="1" x14ac:dyDescent="0.25">
      <c r="A47" s="14">
        <v>6</v>
      </c>
      <c r="B47" s="19" t="s">
        <v>23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8">
        <f t="shared" si="2"/>
        <v>0</v>
      </c>
    </row>
    <row r="48" spans="1:15" ht="18.75" customHeight="1" x14ac:dyDescent="0.25">
      <c r="A48" s="14">
        <v>7</v>
      </c>
      <c r="B48" s="19" t="s">
        <v>24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8">
        <f t="shared" si="2"/>
        <v>0</v>
      </c>
    </row>
    <row r="49" spans="1:15" ht="18.75" customHeight="1" thickBot="1" x14ac:dyDescent="0.3">
      <c r="A49" s="20">
        <v>8</v>
      </c>
      <c r="B49" s="15" t="s">
        <v>25</v>
      </c>
      <c r="C49" s="17">
        <v>0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2</v>
      </c>
      <c r="L49" s="17">
        <v>0</v>
      </c>
      <c r="M49" s="17">
        <v>0</v>
      </c>
      <c r="N49" s="17">
        <v>0</v>
      </c>
      <c r="O49" s="43">
        <f t="shared" si="2"/>
        <v>2</v>
      </c>
    </row>
    <row r="50" spans="1:15" ht="18.75" customHeight="1" thickTop="1" x14ac:dyDescent="0.25">
      <c r="A50" s="320" t="s">
        <v>26</v>
      </c>
      <c r="B50" s="321"/>
      <c r="C50" s="22">
        <f t="shared" ref="C50:O50" si="3">SUM(C42:C49)</f>
        <v>0</v>
      </c>
      <c r="D50" s="22">
        <f t="shared" si="3"/>
        <v>0</v>
      </c>
      <c r="E50" s="22">
        <f t="shared" si="3"/>
        <v>0</v>
      </c>
      <c r="F50" s="22">
        <f t="shared" si="3"/>
        <v>0</v>
      </c>
      <c r="G50" s="22">
        <f t="shared" si="3"/>
        <v>0</v>
      </c>
      <c r="H50" s="22">
        <f t="shared" si="3"/>
        <v>0</v>
      </c>
      <c r="I50" s="22">
        <f t="shared" si="3"/>
        <v>0</v>
      </c>
      <c r="J50" s="22">
        <f t="shared" si="3"/>
        <v>0</v>
      </c>
      <c r="K50" s="22">
        <f t="shared" si="3"/>
        <v>2</v>
      </c>
      <c r="L50" s="22">
        <f t="shared" si="3"/>
        <v>0</v>
      </c>
      <c r="M50" s="22">
        <f t="shared" si="3"/>
        <v>0</v>
      </c>
      <c r="N50" s="22">
        <f t="shared" si="3"/>
        <v>0</v>
      </c>
      <c r="O50" s="22">
        <f t="shared" si="3"/>
        <v>2</v>
      </c>
    </row>
    <row r="51" spans="1:15" x14ac:dyDescent="0.2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pans="1:15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5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5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spans="1:15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5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5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5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5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5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5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5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5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5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5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5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5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5" ht="18.75" x14ac:dyDescent="0.3">
      <c r="A68" s="322" t="s">
        <v>35</v>
      </c>
      <c r="B68" s="322"/>
      <c r="C68" s="322"/>
      <c r="D68" s="322"/>
      <c r="E68" s="322"/>
      <c r="F68" s="322"/>
      <c r="G68" s="322"/>
      <c r="H68" s="322"/>
      <c r="I68" s="322"/>
      <c r="J68" s="322"/>
      <c r="K68" s="322"/>
      <c r="L68" s="322"/>
      <c r="M68" s="322"/>
      <c r="N68" s="322"/>
      <c r="O68" s="322"/>
    </row>
    <row r="69" spans="1:15" ht="18.75" x14ac:dyDescent="0.3">
      <c r="A69" s="322" t="s">
        <v>148</v>
      </c>
      <c r="B69" s="322"/>
      <c r="C69" s="322"/>
      <c r="D69" s="322"/>
      <c r="E69" s="322"/>
      <c r="F69" s="322"/>
      <c r="G69" s="322"/>
      <c r="H69" s="322"/>
      <c r="I69" s="322"/>
      <c r="J69" s="322"/>
      <c r="K69" s="322"/>
      <c r="L69" s="322"/>
      <c r="M69" s="322"/>
      <c r="N69" s="322"/>
      <c r="O69" s="322"/>
    </row>
    <row r="70" spans="1:15" ht="18.7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5" x14ac:dyDescent="0.25">
      <c r="A72" s="323" t="s">
        <v>2</v>
      </c>
      <c r="B72" s="323" t="s">
        <v>3</v>
      </c>
      <c r="C72" s="325" t="s">
        <v>4</v>
      </c>
      <c r="D72" s="325"/>
      <c r="E72" s="325"/>
      <c r="F72" s="325"/>
      <c r="G72" s="325"/>
      <c r="H72" s="325"/>
      <c r="I72" s="325"/>
      <c r="J72" s="325"/>
      <c r="K72" s="325"/>
      <c r="L72" s="325"/>
      <c r="M72" s="325"/>
      <c r="N72" s="325"/>
      <c r="O72" s="323" t="s">
        <v>5</v>
      </c>
    </row>
    <row r="73" spans="1:15" x14ac:dyDescent="0.25">
      <c r="A73" s="324"/>
      <c r="B73" s="324"/>
      <c r="C73" s="25" t="s">
        <v>6</v>
      </c>
      <c r="D73" s="25" t="s">
        <v>7</v>
      </c>
      <c r="E73" s="25" t="s">
        <v>8</v>
      </c>
      <c r="F73" s="25" t="s">
        <v>9</v>
      </c>
      <c r="G73" s="25" t="s">
        <v>10</v>
      </c>
      <c r="H73" s="25" t="s">
        <v>11</v>
      </c>
      <c r="I73" s="25" t="s">
        <v>12</v>
      </c>
      <c r="J73" s="25" t="s">
        <v>13</v>
      </c>
      <c r="K73" s="25" t="s">
        <v>14</v>
      </c>
      <c r="L73" s="25" t="s">
        <v>15</v>
      </c>
      <c r="M73" s="25" t="s">
        <v>16</v>
      </c>
      <c r="N73" s="25" t="s">
        <v>17</v>
      </c>
      <c r="O73" s="326"/>
    </row>
    <row r="74" spans="1:15" ht="15.75" thickBot="1" x14ac:dyDescent="0.3">
      <c r="A74" s="26">
        <v>1</v>
      </c>
      <c r="B74" s="26">
        <v>2</v>
      </c>
      <c r="C74" s="26">
        <v>3</v>
      </c>
      <c r="D74" s="26">
        <v>4</v>
      </c>
      <c r="E74" s="26">
        <v>5</v>
      </c>
      <c r="F74" s="26">
        <v>6</v>
      </c>
      <c r="G74" s="26">
        <v>7</v>
      </c>
      <c r="H74" s="26">
        <v>8</v>
      </c>
      <c r="I74" s="26">
        <v>9</v>
      </c>
      <c r="J74" s="26">
        <v>10</v>
      </c>
      <c r="K74" s="26">
        <v>11</v>
      </c>
      <c r="L74" s="26">
        <v>12</v>
      </c>
      <c r="M74" s="26">
        <v>13</v>
      </c>
      <c r="N74" s="26">
        <v>14</v>
      </c>
      <c r="O74" s="26">
        <v>15</v>
      </c>
    </row>
    <row r="75" spans="1:15" ht="18.75" customHeight="1" thickTop="1" x14ac:dyDescent="0.25">
      <c r="A75" s="27">
        <v>1</v>
      </c>
      <c r="B75" s="7" t="s">
        <v>18</v>
      </c>
      <c r="C75" s="28">
        <v>0</v>
      </c>
      <c r="D75" s="28">
        <v>0</v>
      </c>
      <c r="E75" s="28">
        <v>0</v>
      </c>
      <c r="F75" s="28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42">
        <f>SUM(C75:N75)</f>
        <v>0</v>
      </c>
    </row>
    <row r="76" spans="1:15" ht="18.75" customHeight="1" x14ac:dyDescent="0.25">
      <c r="A76" s="14">
        <v>2</v>
      </c>
      <c r="B76" s="12" t="s">
        <v>19</v>
      </c>
      <c r="C76" s="16">
        <v>0</v>
      </c>
      <c r="D76" s="16">
        <v>0</v>
      </c>
      <c r="E76" s="16">
        <v>0</v>
      </c>
      <c r="F76" s="16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18">
        <f t="shared" ref="O76:O82" si="4">SUM(C76:N76)</f>
        <v>0</v>
      </c>
    </row>
    <row r="77" spans="1:15" ht="18.75" customHeight="1" x14ac:dyDescent="0.25">
      <c r="A77" s="14">
        <v>3</v>
      </c>
      <c r="B77" s="7" t="s">
        <v>20</v>
      </c>
      <c r="C77" s="16">
        <v>0</v>
      </c>
      <c r="D77" s="16">
        <v>0</v>
      </c>
      <c r="E77" s="16">
        <v>0</v>
      </c>
      <c r="F77" s="16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18">
        <f t="shared" si="4"/>
        <v>0</v>
      </c>
    </row>
    <row r="78" spans="1:15" ht="18.75" customHeight="1" x14ac:dyDescent="0.25">
      <c r="A78" s="14">
        <v>4</v>
      </c>
      <c r="B78" s="15" t="s">
        <v>21</v>
      </c>
      <c r="C78" s="16">
        <v>0</v>
      </c>
      <c r="D78" s="16">
        <v>0</v>
      </c>
      <c r="E78" s="16">
        <v>0</v>
      </c>
      <c r="F78" s="16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8">
        <f t="shared" si="4"/>
        <v>0</v>
      </c>
    </row>
    <row r="79" spans="1:15" ht="18.75" customHeight="1" x14ac:dyDescent="0.25">
      <c r="A79" s="14">
        <v>5</v>
      </c>
      <c r="B79" s="19" t="s">
        <v>22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8">
        <f t="shared" si="4"/>
        <v>0</v>
      </c>
    </row>
    <row r="80" spans="1:15" ht="18.75" customHeight="1" x14ac:dyDescent="0.25">
      <c r="A80" s="14">
        <v>6</v>
      </c>
      <c r="B80" s="19" t="s">
        <v>23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8">
        <f t="shared" si="4"/>
        <v>0</v>
      </c>
    </row>
    <row r="81" spans="1:15" ht="18.75" customHeight="1" x14ac:dyDescent="0.25">
      <c r="A81" s="14">
        <v>7</v>
      </c>
      <c r="B81" s="19" t="s">
        <v>24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8">
        <f t="shared" si="4"/>
        <v>0</v>
      </c>
    </row>
    <row r="82" spans="1:15" ht="18.75" customHeight="1" thickBot="1" x14ac:dyDescent="0.3">
      <c r="A82" s="20">
        <v>8</v>
      </c>
      <c r="B82" s="15" t="s">
        <v>25</v>
      </c>
      <c r="C82" s="17">
        <v>0</v>
      </c>
      <c r="D82" s="17">
        <v>0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62">
        <v>11.2</v>
      </c>
      <c r="L82" s="17">
        <v>0</v>
      </c>
      <c r="M82" s="17">
        <v>0</v>
      </c>
      <c r="N82" s="17">
        <v>0</v>
      </c>
      <c r="O82" s="312">
        <f t="shared" si="4"/>
        <v>11.2</v>
      </c>
    </row>
    <row r="83" spans="1:15" ht="18.75" customHeight="1" thickTop="1" x14ac:dyDescent="0.25">
      <c r="A83" s="320" t="s">
        <v>26</v>
      </c>
      <c r="B83" s="321"/>
      <c r="C83" s="22">
        <f t="shared" ref="C83:O83" si="5">SUM(C75:C82)</f>
        <v>0</v>
      </c>
      <c r="D83" s="22">
        <f t="shared" si="5"/>
        <v>0</v>
      </c>
      <c r="E83" s="22">
        <f t="shared" si="5"/>
        <v>0</v>
      </c>
      <c r="F83" s="22">
        <f t="shared" si="5"/>
        <v>0</v>
      </c>
      <c r="G83" s="22">
        <f t="shared" si="5"/>
        <v>0</v>
      </c>
      <c r="H83" s="22">
        <f t="shared" si="5"/>
        <v>0</v>
      </c>
      <c r="I83" s="22">
        <f t="shared" si="5"/>
        <v>0</v>
      </c>
      <c r="J83" s="22">
        <f t="shared" si="5"/>
        <v>0</v>
      </c>
      <c r="K83" s="159">
        <f t="shared" si="5"/>
        <v>11.2</v>
      </c>
      <c r="L83" s="22">
        <f t="shared" si="5"/>
        <v>0</v>
      </c>
      <c r="M83" s="22">
        <f t="shared" si="5"/>
        <v>0</v>
      </c>
      <c r="N83" s="22">
        <f t="shared" si="5"/>
        <v>0</v>
      </c>
      <c r="O83" s="159">
        <f t="shared" si="5"/>
        <v>11.2</v>
      </c>
    </row>
    <row r="84" spans="1:15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5" x14ac:dyDescent="0.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</row>
    <row r="86" spans="1:15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spans="1:15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</row>
    <row r="88" spans="1:15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15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1:15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1:15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1:15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1:15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</row>
    <row r="94" spans="1:15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5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5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1:15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5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5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5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5" ht="18.75" x14ac:dyDescent="0.3">
      <c r="A101" s="322" t="s">
        <v>36</v>
      </c>
      <c r="B101" s="322"/>
      <c r="C101" s="322"/>
      <c r="D101" s="322"/>
      <c r="E101" s="322"/>
      <c r="F101" s="322"/>
      <c r="G101" s="322"/>
      <c r="H101" s="322"/>
      <c r="I101" s="322"/>
      <c r="J101" s="322"/>
      <c r="K101" s="322"/>
      <c r="L101" s="322"/>
      <c r="M101" s="322"/>
      <c r="N101" s="322"/>
      <c r="O101" s="322"/>
    </row>
    <row r="102" spans="1:15" ht="18.75" x14ac:dyDescent="0.3">
      <c r="A102" s="322" t="s">
        <v>148</v>
      </c>
      <c r="B102" s="322"/>
      <c r="C102" s="322"/>
      <c r="D102" s="322"/>
      <c r="E102" s="322"/>
      <c r="F102" s="322"/>
      <c r="G102" s="322"/>
      <c r="H102" s="322"/>
      <c r="I102" s="322"/>
      <c r="J102" s="322"/>
      <c r="K102" s="322"/>
      <c r="L102" s="322"/>
      <c r="M102" s="322"/>
      <c r="N102" s="322"/>
      <c r="O102" s="322"/>
    </row>
    <row r="103" spans="1:15" ht="18.7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5" x14ac:dyDescent="0.25">
      <c r="A105" s="323" t="s">
        <v>2</v>
      </c>
      <c r="B105" s="323" t="s">
        <v>3</v>
      </c>
      <c r="C105" s="325" t="s">
        <v>4</v>
      </c>
      <c r="D105" s="325"/>
      <c r="E105" s="325"/>
      <c r="F105" s="325"/>
      <c r="G105" s="325"/>
      <c r="H105" s="325"/>
      <c r="I105" s="325"/>
      <c r="J105" s="325"/>
      <c r="K105" s="325"/>
      <c r="L105" s="325"/>
      <c r="M105" s="325"/>
      <c r="N105" s="325"/>
      <c r="O105" s="323" t="s">
        <v>5</v>
      </c>
    </row>
    <row r="106" spans="1:15" x14ac:dyDescent="0.25">
      <c r="A106" s="324"/>
      <c r="B106" s="324"/>
      <c r="C106" s="25" t="s">
        <v>6</v>
      </c>
      <c r="D106" s="25" t="s">
        <v>7</v>
      </c>
      <c r="E106" s="25" t="s">
        <v>8</v>
      </c>
      <c r="F106" s="25" t="s">
        <v>9</v>
      </c>
      <c r="G106" s="25" t="s">
        <v>10</v>
      </c>
      <c r="H106" s="25" t="s">
        <v>11</v>
      </c>
      <c r="I106" s="25" t="s">
        <v>12</v>
      </c>
      <c r="J106" s="25" t="s">
        <v>13</v>
      </c>
      <c r="K106" s="25" t="s">
        <v>14</v>
      </c>
      <c r="L106" s="25" t="s">
        <v>15</v>
      </c>
      <c r="M106" s="25" t="s">
        <v>16</v>
      </c>
      <c r="N106" s="25" t="s">
        <v>17</v>
      </c>
      <c r="O106" s="326"/>
    </row>
    <row r="107" spans="1:15" ht="15.75" thickBot="1" x14ac:dyDescent="0.3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</row>
    <row r="108" spans="1:15" ht="18.75" customHeight="1" thickTop="1" x14ac:dyDescent="0.25">
      <c r="A108" s="27">
        <v>1</v>
      </c>
      <c r="B108" s="7" t="s">
        <v>18</v>
      </c>
      <c r="C108" s="28">
        <v>0</v>
      </c>
      <c r="D108" s="28">
        <v>0</v>
      </c>
      <c r="E108" s="28">
        <v>0</v>
      </c>
      <c r="F108" s="28">
        <v>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44">
        <f>SUM(C108:N108)</f>
        <v>0</v>
      </c>
    </row>
    <row r="109" spans="1:15" ht="18.75" customHeight="1" x14ac:dyDescent="0.25">
      <c r="A109" s="14">
        <v>2</v>
      </c>
      <c r="B109" s="12" t="s">
        <v>19</v>
      </c>
      <c r="C109" s="16">
        <v>0</v>
      </c>
      <c r="D109" s="16">
        <v>0</v>
      </c>
      <c r="E109" s="16">
        <v>0</v>
      </c>
      <c r="F109" s="16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35">
        <f t="shared" ref="O109:O115" si="6">SUM(C109:N109)</f>
        <v>0</v>
      </c>
    </row>
    <row r="110" spans="1:15" ht="18.75" customHeight="1" x14ac:dyDescent="0.25">
      <c r="A110" s="14">
        <v>3</v>
      </c>
      <c r="B110" s="7" t="s">
        <v>20</v>
      </c>
      <c r="C110" s="16">
        <v>0</v>
      </c>
      <c r="D110" s="34">
        <v>0</v>
      </c>
      <c r="E110" s="34">
        <v>0</v>
      </c>
      <c r="F110" s="34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35">
        <v>0</v>
      </c>
    </row>
    <row r="111" spans="1:15" ht="18.75" customHeight="1" x14ac:dyDescent="0.25">
      <c r="A111" s="14">
        <v>4</v>
      </c>
      <c r="B111" s="15" t="s">
        <v>21</v>
      </c>
      <c r="C111" s="16">
        <v>0</v>
      </c>
      <c r="D111" s="16">
        <v>0</v>
      </c>
      <c r="E111" s="16">
        <v>0</v>
      </c>
      <c r="F111" s="16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35">
        <f t="shared" si="6"/>
        <v>0</v>
      </c>
    </row>
    <row r="112" spans="1:15" ht="18.75" customHeight="1" x14ac:dyDescent="0.25">
      <c r="A112" s="14">
        <v>5</v>
      </c>
      <c r="B112" s="19" t="s">
        <v>22</v>
      </c>
      <c r="C112" s="16">
        <v>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35">
        <f t="shared" si="6"/>
        <v>0</v>
      </c>
    </row>
    <row r="113" spans="1:15" ht="18.75" customHeight="1" x14ac:dyDescent="0.25">
      <c r="A113" s="14">
        <v>6</v>
      </c>
      <c r="B113" s="19" t="s">
        <v>23</v>
      </c>
      <c r="C113" s="16">
        <v>0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35">
        <f t="shared" si="6"/>
        <v>0</v>
      </c>
    </row>
    <row r="114" spans="1:15" ht="18.75" customHeight="1" x14ac:dyDescent="0.25">
      <c r="A114" s="14">
        <v>7</v>
      </c>
      <c r="B114" s="19" t="s">
        <v>24</v>
      </c>
      <c r="C114" s="16">
        <v>0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35">
        <f t="shared" si="6"/>
        <v>0</v>
      </c>
    </row>
    <row r="115" spans="1:15" ht="18.75" customHeight="1" thickBot="1" x14ac:dyDescent="0.3">
      <c r="A115" s="20">
        <v>8</v>
      </c>
      <c r="B115" s="15" t="s">
        <v>25</v>
      </c>
      <c r="C115" s="17">
        <v>0</v>
      </c>
      <c r="D115" s="17">
        <v>0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36">
        <v>56.11</v>
      </c>
      <c r="M115" s="17">
        <v>0</v>
      </c>
      <c r="N115" s="17">
        <v>0</v>
      </c>
      <c r="O115" s="108">
        <f t="shared" si="6"/>
        <v>56.11</v>
      </c>
    </row>
    <row r="116" spans="1:15" ht="18.75" customHeight="1" thickTop="1" x14ac:dyDescent="0.25">
      <c r="A116" s="320" t="s">
        <v>26</v>
      </c>
      <c r="B116" s="321"/>
      <c r="C116" s="38">
        <f t="shared" ref="C116:N116" si="7">SUM(C108:C115)</f>
        <v>0</v>
      </c>
      <c r="D116" s="38">
        <f t="shared" si="7"/>
        <v>0</v>
      </c>
      <c r="E116" s="38">
        <f t="shared" si="7"/>
        <v>0</v>
      </c>
      <c r="F116" s="38">
        <f t="shared" si="7"/>
        <v>0</v>
      </c>
      <c r="G116" s="38">
        <f t="shared" si="7"/>
        <v>0</v>
      </c>
      <c r="H116" s="38">
        <f t="shared" si="7"/>
        <v>0</v>
      </c>
      <c r="I116" s="38">
        <f t="shared" si="7"/>
        <v>0</v>
      </c>
      <c r="J116" s="38">
        <f t="shared" si="7"/>
        <v>0</v>
      </c>
      <c r="K116" s="38">
        <f t="shared" si="7"/>
        <v>0</v>
      </c>
      <c r="L116" s="38">
        <f t="shared" si="7"/>
        <v>56.11</v>
      </c>
      <c r="M116" s="38">
        <f t="shared" si="7"/>
        <v>0</v>
      </c>
      <c r="N116" s="38">
        <f t="shared" si="7"/>
        <v>0</v>
      </c>
      <c r="O116" s="38">
        <f>SUM(O108:O115)</f>
        <v>56.11</v>
      </c>
    </row>
    <row r="117" spans="1:15" x14ac:dyDescent="0.25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</row>
    <row r="118" spans="1:15" x14ac:dyDescent="0.25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</row>
    <row r="119" spans="1:15" x14ac:dyDescent="0.2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L119" s="41" t="s">
        <v>146</v>
      </c>
      <c r="M119" s="24"/>
      <c r="N119" s="24"/>
      <c r="O119" s="24"/>
    </row>
    <row r="120" spans="1:15" x14ac:dyDescent="0.25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L120" s="41" t="s">
        <v>95</v>
      </c>
      <c r="M120" s="24"/>
      <c r="N120" s="24"/>
      <c r="O120" s="24"/>
    </row>
    <row r="121" spans="1:15" x14ac:dyDescent="0.25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L121" s="41" t="s">
        <v>84</v>
      </c>
      <c r="M121" s="24"/>
      <c r="N121" s="24"/>
      <c r="O121" s="24"/>
    </row>
    <row r="122" spans="1:15" x14ac:dyDescent="0.25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L122" s="41"/>
      <c r="M122" s="24"/>
      <c r="N122" s="24"/>
      <c r="O122" s="24"/>
    </row>
    <row r="123" spans="1:15" x14ac:dyDescent="0.25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L123" s="41"/>
      <c r="M123" s="24"/>
      <c r="N123" s="24"/>
      <c r="O123" s="24"/>
    </row>
    <row r="124" spans="1:15" x14ac:dyDescent="0.25">
      <c r="L124" s="41"/>
    </row>
    <row r="125" spans="1:15" x14ac:dyDescent="0.25">
      <c r="L125" s="299" t="s">
        <v>147</v>
      </c>
    </row>
    <row r="126" spans="1:15" x14ac:dyDescent="0.25">
      <c r="L126" s="41" t="s">
        <v>97</v>
      </c>
    </row>
  </sheetData>
  <mergeCells count="28">
    <mergeCell ref="A2:O2"/>
    <mergeCell ref="A3:O3"/>
    <mergeCell ref="A6:A7"/>
    <mergeCell ref="B6:B7"/>
    <mergeCell ref="C6:N6"/>
    <mergeCell ref="O6:O7"/>
    <mergeCell ref="A17:B17"/>
    <mergeCell ref="A35:O35"/>
    <mergeCell ref="A36:O36"/>
    <mergeCell ref="A39:A40"/>
    <mergeCell ref="B39:B40"/>
    <mergeCell ref="C39:N39"/>
    <mergeCell ref="O39:O40"/>
    <mergeCell ref="A50:B50"/>
    <mergeCell ref="A68:O68"/>
    <mergeCell ref="A69:O69"/>
    <mergeCell ref="A72:A73"/>
    <mergeCell ref="B72:B73"/>
    <mergeCell ref="C72:N72"/>
    <mergeCell ref="O72:O73"/>
    <mergeCell ref="A116:B116"/>
    <mergeCell ref="A83:B83"/>
    <mergeCell ref="A101:O101"/>
    <mergeCell ref="A102:O102"/>
    <mergeCell ref="A105:A106"/>
    <mergeCell ref="B105:B106"/>
    <mergeCell ref="C105:N105"/>
    <mergeCell ref="O105:O106"/>
  </mergeCells>
  <pageMargins left="1.5748031496062993" right="0.70866141732283472" top="0.94488188976377963" bottom="0.74803149606299213" header="0.31496062992125984" footer="0.31496062992125984"/>
  <pageSetup paperSize="9" scale="90" orientation="landscape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126"/>
  <sheetViews>
    <sheetView zoomScale="85" zoomScaleNormal="85" workbookViewId="0">
      <selection activeCell="A2" sqref="A2:O2"/>
    </sheetView>
  </sheetViews>
  <sheetFormatPr defaultRowHeight="15" x14ac:dyDescent="0.25"/>
  <cols>
    <col min="1" max="1" width="4" customWidth="1"/>
    <col min="2" max="2" width="14.7109375" customWidth="1"/>
    <col min="3" max="15" width="8.5703125" customWidth="1"/>
  </cols>
  <sheetData>
    <row r="2" spans="1:15" ht="18.75" x14ac:dyDescent="0.3">
      <c r="A2" s="322" t="s">
        <v>37</v>
      </c>
      <c r="B2" s="322"/>
      <c r="C2" s="322"/>
      <c r="D2" s="322"/>
      <c r="E2" s="322"/>
      <c r="F2" s="322"/>
      <c r="G2" s="322"/>
      <c r="H2" s="322"/>
      <c r="I2" s="322"/>
      <c r="J2" s="322"/>
      <c r="K2" s="322"/>
      <c r="L2" s="322"/>
      <c r="M2" s="322"/>
      <c r="N2" s="322"/>
      <c r="O2" s="322"/>
    </row>
    <row r="3" spans="1:15" ht="18.75" x14ac:dyDescent="0.3">
      <c r="A3" s="322" t="s">
        <v>148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  <c r="M3" s="322"/>
      <c r="N3" s="322"/>
      <c r="O3" s="322"/>
    </row>
    <row r="4" spans="1:15" ht="18.7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5" x14ac:dyDescent="0.25">
      <c r="A6" s="323" t="s">
        <v>2</v>
      </c>
      <c r="B6" s="323" t="s">
        <v>3</v>
      </c>
      <c r="C6" s="325" t="s">
        <v>4</v>
      </c>
      <c r="D6" s="325"/>
      <c r="E6" s="325"/>
      <c r="F6" s="325"/>
      <c r="G6" s="325"/>
      <c r="H6" s="325"/>
      <c r="I6" s="325"/>
      <c r="J6" s="325"/>
      <c r="K6" s="325"/>
      <c r="L6" s="325"/>
      <c r="M6" s="325"/>
      <c r="N6" s="325"/>
      <c r="O6" s="323" t="s">
        <v>5</v>
      </c>
    </row>
    <row r="7" spans="1:15" x14ac:dyDescent="0.25">
      <c r="A7" s="324"/>
      <c r="B7" s="324"/>
      <c r="C7" s="25" t="s">
        <v>6</v>
      </c>
      <c r="D7" s="25" t="s">
        <v>7</v>
      </c>
      <c r="E7" s="25" t="s">
        <v>8</v>
      </c>
      <c r="F7" s="25" t="s">
        <v>9</v>
      </c>
      <c r="G7" s="25" t="s">
        <v>10</v>
      </c>
      <c r="H7" s="25" t="s">
        <v>11</v>
      </c>
      <c r="I7" s="25" t="s">
        <v>12</v>
      </c>
      <c r="J7" s="25" t="s">
        <v>13</v>
      </c>
      <c r="K7" s="25" t="s">
        <v>14</v>
      </c>
      <c r="L7" s="25" t="s">
        <v>15</v>
      </c>
      <c r="M7" s="25" t="s">
        <v>16</v>
      </c>
      <c r="N7" s="25" t="s">
        <v>17</v>
      </c>
      <c r="O7" s="326"/>
    </row>
    <row r="8" spans="1:15" ht="15.75" thickBot="1" x14ac:dyDescent="0.3">
      <c r="A8" s="26">
        <v>1</v>
      </c>
      <c r="B8" s="26">
        <v>2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</row>
    <row r="9" spans="1:15" ht="18.75" customHeight="1" thickTop="1" x14ac:dyDescent="0.25">
      <c r="A9" s="27">
        <v>1</v>
      </c>
      <c r="B9" s="7" t="s">
        <v>18</v>
      </c>
      <c r="C9" s="279">
        <v>6</v>
      </c>
      <c r="D9" s="237">
        <v>3</v>
      </c>
      <c r="E9" s="237">
        <v>0</v>
      </c>
      <c r="F9" s="237">
        <v>0</v>
      </c>
      <c r="G9" s="237">
        <v>0</v>
      </c>
      <c r="H9" s="237">
        <v>1</v>
      </c>
      <c r="I9" s="237">
        <v>0</v>
      </c>
      <c r="J9" s="237">
        <v>1</v>
      </c>
      <c r="K9" s="237">
        <v>0</v>
      </c>
      <c r="L9" s="237">
        <v>1</v>
      </c>
      <c r="M9" s="237">
        <v>0</v>
      </c>
      <c r="N9" s="237">
        <v>0</v>
      </c>
      <c r="O9" s="168">
        <f>SUM(C9:N9)</f>
        <v>12</v>
      </c>
    </row>
    <row r="10" spans="1:15" ht="18.75" customHeight="1" x14ac:dyDescent="0.25">
      <c r="A10" s="14">
        <v>2</v>
      </c>
      <c r="B10" s="12" t="s">
        <v>19</v>
      </c>
      <c r="C10" s="281">
        <v>0</v>
      </c>
      <c r="D10" s="158">
        <v>1</v>
      </c>
      <c r="E10" s="158">
        <v>0</v>
      </c>
      <c r="F10" s="158">
        <v>0</v>
      </c>
      <c r="G10" s="158">
        <v>1</v>
      </c>
      <c r="H10" s="158">
        <v>0</v>
      </c>
      <c r="I10" s="158">
        <v>0</v>
      </c>
      <c r="J10" s="158">
        <v>1</v>
      </c>
      <c r="K10" s="158">
        <v>0</v>
      </c>
      <c r="L10" s="158">
        <v>1</v>
      </c>
      <c r="M10" s="158">
        <v>0</v>
      </c>
      <c r="N10" s="158">
        <v>1</v>
      </c>
      <c r="O10" s="166">
        <f t="shared" ref="O10:O16" si="0">SUM(C10:N10)</f>
        <v>5</v>
      </c>
    </row>
    <row r="11" spans="1:15" ht="18.75" customHeight="1" x14ac:dyDescent="0.25">
      <c r="A11" s="14">
        <v>3</v>
      </c>
      <c r="B11" s="7" t="s">
        <v>20</v>
      </c>
      <c r="C11" s="281">
        <v>0</v>
      </c>
      <c r="D11" s="158">
        <v>0</v>
      </c>
      <c r="E11" s="158">
        <v>0</v>
      </c>
      <c r="F11" s="158">
        <v>0</v>
      </c>
      <c r="G11" s="158">
        <v>0</v>
      </c>
      <c r="H11" s="158">
        <v>0</v>
      </c>
      <c r="I11" s="158">
        <v>0</v>
      </c>
      <c r="J11" s="158">
        <v>0</v>
      </c>
      <c r="K11" s="158">
        <v>0</v>
      </c>
      <c r="L11" s="158">
        <v>0</v>
      </c>
      <c r="M11" s="158">
        <v>0</v>
      </c>
      <c r="N11" s="158">
        <v>0</v>
      </c>
      <c r="O11" s="166">
        <f t="shared" si="0"/>
        <v>0</v>
      </c>
    </row>
    <row r="12" spans="1:15" ht="18.75" customHeight="1" x14ac:dyDescent="0.25">
      <c r="A12" s="14">
        <v>4</v>
      </c>
      <c r="B12" s="15" t="s">
        <v>21</v>
      </c>
      <c r="C12" s="281">
        <v>2</v>
      </c>
      <c r="D12" s="158">
        <v>1</v>
      </c>
      <c r="E12" s="158">
        <v>0</v>
      </c>
      <c r="F12" s="158">
        <v>2</v>
      </c>
      <c r="G12" s="158">
        <v>0</v>
      </c>
      <c r="H12" s="158">
        <v>0</v>
      </c>
      <c r="I12" s="158">
        <v>0</v>
      </c>
      <c r="J12" s="158">
        <v>2</v>
      </c>
      <c r="K12" s="158">
        <v>0</v>
      </c>
      <c r="L12" s="158">
        <v>0</v>
      </c>
      <c r="M12" s="158">
        <v>0</v>
      </c>
      <c r="N12" s="158">
        <v>0</v>
      </c>
      <c r="O12" s="166">
        <f t="shared" si="0"/>
        <v>7</v>
      </c>
    </row>
    <row r="13" spans="1:15" ht="18.75" customHeight="1" x14ac:dyDescent="0.25">
      <c r="A13" s="14">
        <v>5</v>
      </c>
      <c r="B13" s="19" t="s">
        <v>22</v>
      </c>
      <c r="C13" s="281">
        <v>0</v>
      </c>
      <c r="D13" s="158">
        <v>0</v>
      </c>
      <c r="E13" s="158">
        <v>0</v>
      </c>
      <c r="F13" s="158">
        <v>0</v>
      </c>
      <c r="G13" s="158">
        <v>0</v>
      </c>
      <c r="H13" s="158">
        <v>0</v>
      </c>
      <c r="I13" s="158">
        <v>0</v>
      </c>
      <c r="J13" s="158">
        <v>0</v>
      </c>
      <c r="K13" s="158">
        <v>0</v>
      </c>
      <c r="L13" s="158">
        <v>0</v>
      </c>
      <c r="M13" s="158">
        <v>0</v>
      </c>
      <c r="N13" s="158">
        <v>0</v>
      </c>
      <c r="O13" s="166">
        <f t="shared" si="0"/>
        <v>0</v>
      </c>
    </row>
    <row r="14" spans="1:15" ht="18.75" customHeight="1" x14ac:dyDescent="0.25">
      <c r="A14" s="14">
        <v>6</v>
      </c>
      <c r="B14" s="19" t="s">
        <v>23</v>
      </c>
      <c r="C14" s="281">
        <v>0</v>
      </c>
      <c r="D14" s="158">
        <v>0</v>
      </c>
      <c r="E14" s="158">
        <v>0</v>
      </c>
      <c r="F14" s="158">
        <v>0</v>
      </c>
      <c r="G14" s="158">
        <v>0</v>
      </c>
      <c r="H14" s="158">
        <v>0</v>
      </c>
      <c r="I14" s="158">
        <v>0</v>
      </c>
      <c r="J14" s="158">
        <v>0</v>
      </c>
      <c r="K14" s="158">
        <v>0</v>
      </c>
      <c r="L14" s="158">
        <v>0</v>
      </c>
      <c r="M14" s="158">
        <v>0</v>
      </c>
      <c r="N14" s="158">
        <v>0.5</v>
      </c>
      <c r="O14" s="166">
        <f t="shared" si="0"/>
        <v>0.5</v>
      </c>
    </row>
    <row r="15" spans="1:15" ht="18.75" customHeight="1" x14ac:dyDescent="0.25">
      <c r="A15" s="14">
        <v>7</v>
      </c>
      <c r="B15" s="19" t="s">
        <v>24</v>
      </c>
      <c r="C15" s="281">
        <v>0</v>
      </c>
      <c r="D15" s="158">
        <v>0</v>
      </c>
      <c r="E15" s="158">
        <v>0</v>
      </c>
      <c r="F15" s="158">
        <v>0</v>
      </c>
      <c r="G15" s="158">
        <v>0</v>
      </c>
      <c r="H15" s="158">
        <v>0</v>
      </c>
      <c r="I15" s="158">
        <v>0</v>
      </c>
      <c r="J15" s="158">
        <v>0</v>
      </c>
      <c r="K15" s="158">
        <v>1</v>
      </c>
      <c r="L15" s="158">
        <v>0</v>
      </c>
      <c r="M15" s="158">
        <v>1</v>
      </c>
      <c r="N15" s="158">
        <v>0</v>
      </c>
      <c r="O15" s="166">
        <f t="shared" si="0"/>
        <v>2</v>
      </c>
    </row>
    <row r="16" spans="1:15" ht="18.75" customHeight="1" thickBot="1" x14ac:dyDescent="0.3">
      <c r="A16" s="20">
        <v>8</v>
      </c>
      <c r="B16" s="15" t="s">
        <v>25</v>
      </c>
      <c r="C16" s="291">
        <v>0</v>
      </c>
      <c r="D16" s="162">
        <v>0</v>
      </c>
      <c r="E16" s="162">
        <v>1</v>
      </c>
      <c r="F16" s="162">
        <v>1</v>
      </c>
      <c r="G16" s="162">
        <v>0</v>
      </c>
      <c r="H16" s="162">
        <v>0</v>
      </c>
      <c r="I16" s="162">
        <v>0</v>
      </c>
      <c r="J16" s="162">
        <v>0</v>
      </c>
      <c r="K16" s="162">
        <v>0</v>
      </c>
      <c r="L16" s="162">
        <v>0</v>
      </c>
      <c r="M16" s="162">
        <v>2</v>
      </c>
      <c r="N16" s="162">
        <v>0</v>
      </c>
      <c r="O16" s="167">
        <f t="shared" si="0"/>
        <v>4</v>
      </c>
    </row>
    <row r="17" spans="1:15" ht="18.75" customHeight="1" thickTop="1" x14ac:dyDescent="0.25">
      <c r="A17" s="320" t="s">
        <v>26</v>
      </c>
      <c r="B17" s="321"/>
      <c r="C17" s="159">
        <f t="shared" ref="C17:O17" si="1">SUM(C9:C16)</f>
        <v>8</v>
      </c>
      <c r="D17" s="159">
        <f t="shared" si="1"/>
        <v>5</v>
      </c>
      <c r="E17" s="159">
        <f t="shared" si="1"/>
        <v>1</v>
      </c>
      <c r="F17" s="159">
        <f t="shared" si="1"/>
        <v>3</v>
      </c>
      <c r="G17" s="159">
        <f t="shared" si="1"/>
        <v>1</v>
      </c>
      <c r="H17" s="159">
        <f t="shared" si="1"/>
        <v>1</v>
      </c>
      <c r="I17" s="159">
        <f t="shared" si="1"/>
        <v>0</v>
      </c>
      <c r="J17" s="159">
        <f t="shared" si="1"/>
        <v>4</v>
      </c>
      <c r="K17" s="159">
        <f t="shared" si="1"/>
        <v>1</v>
      </c>
      <c r="L17" s="159">
        <f t="shared" si="1"/>
        <v>2</v>
      </c>
      <c r="M17" s="159">
        <f t="shared" si="1"/>
        <v>3</v>
      </c>
      <c r="N17" s="159">
        <f t="shared" si="1"/>
        <v>1.5</v>
      </c>
      <c r="O17" s="159">
        <f t="shared" si="1"/>
        <v>30.5</v>
      </c>
    </row>
    <row r="18" spans="1:15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5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139">
        <f>SUM(L17:N17)</f>
        <v>6.5</v>
      </c>
      <c r="O19" s="23"/>
    </row>
    <row r="20" spans="1:15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5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5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5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5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5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5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5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5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5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5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5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5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5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5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</row>
    <row r="35" spans="1:15" ht="18.75" x14ac:dyDescent="0.3">
      <c r="A35" s="322" t="s">
        <v>38</v>
      </c>
      <c r="B35" s="322"/>
      <c r="C35" s="322"/>
      <c r="D35" s="322"/>
      <c r="E35" s="322"/>
      <c r="F35" s="322"/>
      <c r="G35" s="322"/>
      <c r="H35" s="322"/>
      <c r="I35" s="322"/>
      <c r="J35" s="322"/>
      <c r="K35" s="322"/>
      <c r="L35" s="322"/>
      <c r="M35" s="322"/>
      <c r="N35" s="322"/>
      <c r="O35" s="322"/>
    </row>
    <row r="36" spans="1:15" ht="18.75" x14ac:dyDescent="0.3">
      <c r="A36" s="322" t="s">
        <v>148</v>
      </c>
      <c r="B36" s="322"/>
      <c r="C36" s="322"/>
      <c r="D36" s="322"/>
      <c r="E36" s="322"/>
      <c r="F36" s="322"/>
      <c r="G36" s="322"/>
      <c r="H36" s="322"/>
      <c r="I36" s="322"/>
      <c r="J36" s="322"/>
      <c r="K36" s="322"/>
      <c r="L36" s="322"/>
      <c r="M36" s="322"/>
      <c r="N36" s="322"/>
      <c r="O36" s="322"/>
    </row>
    <row r="37" spans="1:15" ht="18.7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5" x14ac:dyDescent="0.25">
      <c r="A39" s="323" t="s">
        <v>2</v>
      </c>
      <c r="B39" s="323" t="s">
        <v>3</v>
      </c>
      <c r="C39" s="325" t="s">
        <v>4</v>
      </c>
      <c r="D39" s="325"/>
      <c r="E39" s="325"/>
      <c r="F39" s="325"/>
      <c r="G39" s="325"/>
      <c r="H39" s="325"/>
      <c r="I39" s="325"/>
      <c r="J39" s="325"/>
      <c r="K39" s="325"/>
      <c r="L39" s="325"/>
      <c r="M39" s="325"/>
      <c r="N39" s="325"/>
      <c r="O39" s="323" t="s">
        <v>5</v>
      </c>
    </row>
    <row r="40" spans="1:15" x14ac:dyDescent="0.25">
      <c r="A40" s="324"/>
      <c r="B40" s="324"/>
      <c r="C40" s="25" t="s">
        <v>6</v>
      </c>
      <c r="D40" s="25" t="s">
        <v>7</v>
      </c>
      <c r="E40" s="25" t="s">
        <v>8</v>
      </c>
      <c r="F40" s="25" t="s">
        <v>9</v>
      </c>
      <c r="G40" s="25" t="s">
        <v>10</v>
      </c>
      <c r="H40" s="25" t="s">
        <v>11</v>
      </c>
      <c r="I40" s="25" t="s">
        <v>12</v>
      </c>
      <c r="J40" s="25" t="s">
        <v>13</v>
      </c>
      <c r="K40" s="25" t="s">
        <v>14</v>
      </c>
      <c r="L40" s="25" t="s">
        <v>15</v>
      </c>
      <c r="M40" s="25" t="s">
        <v>16</v>
      </c>
      <c r="N40" s="25" t="s">
        <v>17</v>
      </c>
      <c r="O40" s="326"/>
    </row>
    <row r="41" spans="1:15" ht="15.75" thickBot="1" x14ac:dyDescent="0.3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</row>
    <row r="42" spans="1:15" ht="18.75" customHeight="1" thickTop="1" x14ac:dyDescent="0.25">
      <c r="A42" s="27">
        <v>1</v>
      </c>
      <c r="B42" s="7" t="s">
        <v>18</v>
      </c>
      <c r="C42" s="62">
        <v>0</v>
      </c>
      <c r="D42" s="62">
        <v>0</v>
      </c>
      <c r="E42" s="73">
        <v>0</v>
      </c>
      <c r="F42" s="73">
        <v>6</v>
      </c>
      <c r="G42" s="73">
        <v>3</v>
      </c>
      <c r="H42" s="74">
        <v>0</v>
      </c>
      <c r="I42" s="28">
        <v>0</v>
      </c>
      <c r="J42" s="74">
        <v>0</v>
      </c>
      <c r="K42" s="62">
        <v>0</v>
      </c>
      <c r="L42" s="28">
        <v>0</v>
      </c>
      <c r="M42" s="28">
        <v>0</v>
      </c>
      <c r="N42" s="28">
        <v>0</v>
      </c>
      <c r="O42" s="165">
        <f>SUM(C42:N42)</f>
        <v>9</v>
      </c>
    </row>
    <row r="43" spans="1:15" ht="18.75" customHeight="1" x14ac:dyDescent="0.25">
      <c r="A43" s="14">
        <v>2</v>
      </c>
      <c r="B43" s="12" t="s">
        <v>19</v>
      </c>
      <c r="C43" s="60">
        <v>0</v>
      </c>
      <c r="D43" s="60">
        <v>0</v>
      </c>
      <c r="E43" s="16">
        <v>0</v>
      </c>
      <c r="F43" s="138" t="s">
        <v>185</v>
      </c>
      <c r="G43" s="16">
        <v>0</v>
      </c>
      <c r="H43" s="135">
        <v>0</v>
      </c>
      <c r="I43" s="138" t="s">
        <v>185</v>
      </c>
      <c r="J43" s="135">
        <v>0</v>
      </c>
      <c r="K43" s="60">
        <v>0</v>
      </c>
      <c r="L43" s="138" t="s">
        <v>185</v>
      </c>
      <c r="M43" s="16">
        <v>0</v>
      </c>
      <c r="N43" s="138" t="s">
        <v>185</v>
      </c>
      <c r="O43" s="165">
        <v>4</v>
      </c>
    </row>
    <row r="44" spans="1:15" ht="18.75" customHeight="1" x14ac:dyDescent="0.25">
      <c r="A44" s="14">
        <v>3</v>
      </c>
      <c r="B44" s="7" t="s">
        <v>20</v>
      </c>
      <c r="C44" s="60">
        <v>0</v>
      </c>
      <c r="D44" s="60">
        <v>0</v>
      </c>
      <c r="E44" s="16">
        <v>0</v>
      </c>
      <c r="F44" s="16">
        <v>0</v>
      </c>
      <c r="G44" s="16">
        <v>0</v>
      </c>
      <c r="H44" s="60">
        <v>0</v>
      </c>
      <c r="I44" s="16">
        <v>0</v>
      </c>
      <c r="J44" s="60">
        <v>0</v>
      </c>
      <c r="K44" s="60">
        <v>0</v>
      </c>
      <c r="L44" s="16">
        <v>0</v>
      </c>
      <c r="M44" s="16">
        <v>0</v>
      </c>
      <c r="N44" s="16">
        <v>0</v>
      </c>
      <c r="O44" s="165">
        <f t="shared" ref="O44:O47" si="2">SUM(C44:N44)</f>
        <v>0</v>
      </c>
    </row>
    <row r="45" spans="1:15" ht="18.75" customHeight="1" x14ac:dyDescent="0.25">
      <c r="A45" s="14">
        <v>4</v>
      </c>
      <c r="B45" s="15" t="s">
        <v>21</v>
      </c>
      <c r="C45" s="60">
        <v>0</v>
      </c>
      <c r="D45" s="60">
        <v>0</v>
      </c>
      <c r="E45" s="138" t="s">
        <v>184</v>
      </c>
      <c r="F45" s="16">
        <v>0</v>
      </c>
      <c r="G45" s="138" t="s">
        <v>185</v>
      </c>
      <c r="H45" s="135">
        <v>1</v>
      </c>
      <c r="I45" s="16">
        <v>0</v>
      </c>
      <c r="J45" s="135">
        <v>1</v>
      </c>
      <c r="K45" s="60">
        <v>0</v>
      </c>
      <c r="L45" s="138">
        <v>0</v>
      </c>
      <c r="M45" s="16">
        <v>1</v>
      </c>
      <c r="N45" s="138">
        <v>0</v>
      </c>
      <c r="O45" s="165">
        <v>6</v>
      </c>
    </row>
    <row r="46" spans="1:15" ht="18.75" customHeight="1" x14ac:dyDescent="0.25">
      <c r="A46" s="14">
        <v>5</v>
      </c>
      <c r="B46" s="19" t="s">
        <v>22</v>
      </c>
      <c r="C46" s="60">
        <v>0</v>
      </c>
      <c r="D46" s="60">
        <v>0</v>
      </c>
      <c r="E46" s="16">
        <v>0</v>
      </c>
      <c r="F46" s="16">
        <v>0</v>
      </c>
      <c r="G46" s="16">
        <v>0</v>
      </c>
      <c r="H46" s="60">
        <v>0</v>
      </c>
      <c r="I46" s="16">
        <v>0</v>
      </c>
      <c r="J46" s="60">
        <v>0</v>
      </c>
      <c r="K46" s="60">
        <v>0</v>
      </c>
      <c r="L46" s="16">
        <v>0</v>
      </c>
      <c r="M46" s="16">
        <v>0</v>
      </c>
      <c r="N46" s="16">
        <v>0</v>
      </c>
      <c r="O46" s="165">
        <f t="shared" si="2"/>
        <v>0</v>
      </c>
    </row>
    <row r="47" spans="1:15" ht="18.75" customHeight="1" x14ac:dyDescent="0.25">
      <c r="A47" s="14">
        <v>6</v>
      </c>
      <c r="B47" s="19" t="s">
        <v>23</v>
      </c>
      <c r="C47" s="60">
        <v>0</v>
      </c>
      <c r="D47" s="60">
        <v>0</v>
      </c>
      <c r="E47" s="16">
        <v>0</v>
      </c>
      <c r="F47" s="16">
        <v>0</v>
      </c>
      <c r="G47" s="16">
        <v>0</v>
      </c>
      <c r="H47" s="60">
        <v>0</v>
      </c>
      <c r="I47" s="16">
        <v>0</v>
      </c>
      <c r="J47" s="60">
        <v>0</v>
      </c>
      <c r="K47" s="60">
        <v>0</v>
      </c>
      <c r="L47" s="16">
        <v>0</v>
      </c>
      <c r="M47" s="16">
        <v>0</v>
      </c>
      <c r="N47" s="16">
        <v>0</v>
      </c>
      <c r="O47" s="165">
        <f t="shared" si="2"/>
        <v>0</v>
      </c>
    </row>
    <row r="48" spans="1:15" ht="18.75" customHeight="1" x14ac:dyDescent="0.25">
      <c r="A48" s="14">
        <v>7</v>
      </c>
      <c r="B48" s="19" t="s">
        <v>24</v>
      </c>
      <c r="C48" s="60">
        <v>0</v>
      </c>
      <c r="D48" s="60">
        <v>0</v>
      </c>
      <c r="E48" s="16">
        <v>0</v>
      </c>
      <c r="F48" s="16">
        <v>0</v>
      </c>
      <c r="G48" s="16">
        <v>0</v>
      </c>
      <c r="H48" s="60">
        <v>0</v>
      </c>
      <c r="I48" s="16">
        <v>0</v>
      </c>
      <c r="J48" s="60">
        <v>0</v>
      </c>
      <c r="K48" s="60">
        <v>0</v>
      </c>
      <c r="L48" s="16">
        <v>0</v>
      </c>
      <c r="M48" s="138" t="s">
        <v>185</v>
      </c>
      <c r="N48" s="16">
        <v>0</v>
      </c>
      <c r="O48" s="165">
        <v>1</v>
      </c>
    </row>
    <row r="49" spans="1:17" ht="18.75" customHeight="1" thickBot="1" x14ac:dyDescent="0.3">
      <c r="A49" s="20">
        <v>8</v>
      </c>
      <c r="B49" s="15" t="s">
        <v>25</v>
      </c>
      <c r="C49" s="105">
        <v>1</v>
      </c>
      <c r="D49" s="105">
        <v>0</v>
      </c>
      <c r="E49" s="99">
        <v>0</v>
      </c>
      <c r="F49" s="138" t="s">
        <v>185</v>
      </c>
      <c r="G49" s="17">
        <v>0</v>
      </c>
      <c r="H49" s="61">
        <v>1</v>
      </c>
      <c r="I49" s="17">
        <v>0</v>
      </c>
      <c r="J49" s="61">
        <v>0</v>
      </c>
      <c r="K49" s="105">
        <v>0</v>
      </c>
      <c r="L49" s="17">
        <v>0</v>
      </c>
      <c r="M49" s="17">
        <v>0</v>
      </c>
      <c r="N49" s="17">
        <v>0</v>
      </c>
      <c r="O49" s="165">
        <v>3</v>
      </c>
    </row>
    <row r="50" spans="1:17" ht="18.75" customHeight="1" thickTop="1" x14ac:dyDescent="0.25">
      <c r="A50" s="320" t="s">
        <v>26</v>
      </c>
      <c r="B50" s="321"/>
      <c r="C50" s="22">
        <f>SUM(C42:C49)</f>
        <v>1</v>
      </c>
      <c r="D50" s="22">
        <f t="shared" ref="D50:K50" si="3">SUM(D42:D49)</f>
        <v>0</v>
      </c>
      <c r="E50" s="22">
        <v>2</v>
      </c>
      <c r="F50" s="22">
        <v>8</v>
      </c>
      <c r="G50" s="22">
        <v>4</v>
      </c>
      <c r="H50" s="22">
        <f t="shared" si="3"/>
        <v>2</v>
      </c>
      <c r="I50" s="22">
        <v>1</v>
      </c>
      <c r="J50" s="22">
        <f t="shared" si="3"/>
        <v>1</v>
      </c>
      <c r="K50" s="22">
        <f t="shared" si="3"/>
        <v>0</v>
      </c>
      <c r="L50" s="22">
        <v>1</v>
      </c>
      <c r="M50" s="22">
        <v>2</v>
      </c>
      <c r="N50" s="22">
        <v>1</v>
      </c>
      <c r="O50" s="22">
        <f>SUM(O42:O49)</f>
        <v>23</v>
      </c>
      <c r="Q50" s="104">
        <f>SUM(C50:N50)</f>
        <v>23</v>
      </c>
    </row>
    <row r="51" spans="1:17" x14ac:dyDescent="0.25"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pans="1:17" x14ac:dyDescent="0.25">
      <c r="A52" s="331" t="s">
        <v>61</v>
      </c>
      <c r="B52" s="331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7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7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spans="1:17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7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7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7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7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7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7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7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7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7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5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5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5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5" ht="18.75" x14ac:dyDescent="0.3">
      <c r="A68" s="322" t="s">
        <v>39</v>
      </c>
      <c r="B68" s="322"/>
      <c r="C68" s="322"/>
      <c r="D68" s="322"/>
      <c r="E68" s="322"/>
      <c r="F68" s="322"/>
      <c r="G68" s="322"/>
      <c r="H68" s="322"/>
      <c r="I68" s="322"/>
      <c r="J68" s="322"/>
      <c r="K68" s="322"/>
      <c r="L68" s="322"/>
      <c r="M68" s="322"/>
      <c r="N68" s="322"/>
      <c r="O68" s="322"/>
    </row>
    <row r="69" spans="1:15" ht="18.75" x14ac:dyDescent="0.3">
      <c r="A69" s="322" t="s">
        <v>148</v>
      </c>
      <c r="B69" s="322"/>
      <c r="C69" s="322"/>
      <c r="D69" s="322"/>
      <c r="E69" s="322"/>
      <c r="F69" s="322"/>
      <c r="G69" s="322"/>
      <c r="H69" s="322"/>
      <c r="I69" s="322"/>
      <c r="J69" s="322"/>
      <c r="K69" s="322"/>
      <c r="L69" s="322"/>
      <c r="M69" s="322"/>
      <c r="N69" s="322"/>
      <c r="O69" s="322"/>
    </row>
    <row r="70" spans="1:15" ht="18.7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3" t="s">
        <v>141</v>
      </c>
    </row>
    <row r="72" spans="1:15" x14ac:dyDescent="0.25">
      <c r="A72" s="323" t="s">
        <v>2</v>
      </c>
      <c r="B72" s="323" t="s">
        <v>3</v>
      </c>
      <c r="C72" s="325" t="s">
        <v>4</v>
      </c>
      <c r="D72" s="325"/>
      <c r="E72" s="325"/>
      <c r="F72" s="325"/>
      <c r="G72" s="325"/>
      <c r="H72" s="325"/>
      <c r="I72" s="325"/>
      <c r="J72" s="325"/>
      <c r="K72" s="325"/>
      <c r="L72" s="325"/>
      <c r="M72" s="325"/>
      <c r="N72" s="325"/>
      <c r="O72" s="323" t="s">
        <v>5</v>
      </c>
    </row>
    <row r="73" spans="1:15" x14ac:dyDescent="0.25">
      <c r="A73" s="324"/>
      <c r="B73" s="324"/>
      <c r="C73" s="25" t="s">
        <v>6</v>
      </c>
      <c r="D73" s="25" t="s">
        <v>7</v>
      </c>
      <c r="E73" s="25" t="s">
        <v>8</v>
      </c>
      <c r="F73" s="25" t="s">
        <v>9</v>
      </c>
      <c r="G73" s="25" t="s">
        <v>10</v>
      </c>
      <c r="H73" s="25" t="s">
        <v>11</v>
      </c>
      <c r="I73" s="25" t="s">
        <v>12</v>
      </c>
      <c r="J73" s="25" t="s">
        <v>13</v>
      </c>
      <c r="K73" s="25" t="s">
        <v>14</v>
      </c>
      <c r="L73" s="25" t="s">
        <v>15</v>
      </c>
      <c r="M73" s="25" t="s">
        <v>16</v>
      </c>
      <c r="N73" s="25" t="s">
        <v>17</v>
      </c>
      <c r="O73" s="326"/>
    </row>
    <row r="74" spans="1:15" ht="15.75" thickBot="1" x14ac:dyDescent="0.3">
      <c r="A74" s="26">
        <v>1</v>
      </c>
      <c r="B74" s="26">
        <v>2</v>
      </c>
      <c r="C74" s="26">
        <v>3</v>
      </c>
      <c r="D74" s="26">
        <v>4</v>
      </c>
      <c r="E74" s="26">
        <v>5</v>
      </c>
      <c r="F74" s="26">
        <v>6</v>
      </c>
      <c r="G74" s="26">
        <v>7</v>
      </c>
      <c r="H74" s="26">
        <v>8</v>
      </c>
      <c r="I74" s="26">
        <v>9</v>
      </c>
      <c r="J74" s="26">
        <v>10</v>
      </c>
      <c r="K74" s="26">
        <v>11</v>
      </c>
      <c r="L74" s="26">
        <v>12</v>
      </c>
      <c r="M74" s="26">
        <v>13</v>
      </c>
      <c r="N74" s="26">
        <v>14</v>
      </c>
      <c r="O74" s="26">
        <v>15</v>
      </c>
    </row>
    <row r="75" spans="1:15" ht="18.75" customHeight="1" thickTop="1" x14ac:dyDescent="0.25">
      <c r="A75" s="27">
        <v>1</v>
      </c>
      <c r="B75" s="7" t="s">
        <v>18</v>
      </c>
      <c r="C75" s="279">
        <v>0</v>
      </c>
      <c r="D75" s="62">
        <v>0</v>
      </c>
      <c r="E75" s="62">
        <v>0</v>
      </c>
      <c r="F75" s="280">
        <v>17.100000000000001</v>
      </c>
      <c r="G75" s="280">
        <v>9</v>
      </c>
      <c r="H75" s="289">
        <v>0</v>
      </c>
      <c r="I75" s="62">
        <v>0</v>
      </c>
      <c r="J75" s="289">
        <v>0</v>
      </c>
      <c r="K75" s="62">
        <v>0</v>
      </c>
      <c r="L75" s="62">
        <v>0</v>
      </c>
      <c r="M75" s="237">
        <v>0</v>
      </c>
      <c r="N75" s="62">
        <v>0</v>
      </c>
      <c r="O75" s="168">
        <f>SUM(C75:N75)</f>
        <v>26.1</v>
      </c>
    </row>
    <row r="76" spans="1:15" ht="18.75" customHeight="1" x14ac:dyDescent="0.25">
      <c r="A76" s="14">
        <v>2</v>
      </c>
      <c r="B76" s="12" t="s">
        <v>19</v>
      </c>
      <c r="C76" s="281">
        <v>0</v>
      </c>
      <c r="D76" s="60">
        <v>0</v>
      </c>
      <c r="E76" s="60">
        <v>0</v>
      </c>
      <c r="F76" s="158">
        <v>0</v>
      </c>
      <c r="G76" s="158">
        <v>0</v>
      </c>
      <c r="H76" s="290">
        <v>0</v>
      </c>
      <c r="I76" s="60">
        <v>0</v>
      </c>
      <c r="J76" s="290">
        <v>0</v>
      </c>
      <c r="K76" s="60">
        <v>0</v>
      </c>
      <c r="L76" s="60">
        <v>0</v>
      </c>
      <c r="M76" s="158">
        <v>0</v>
      </c>
      <c r="N76" s="60">
        <v>0</v>
      </c>
      <c r="O76" s="166">
        <f t="shared" ref="O76:O82" si="4">SUM(C76:N76)</f>
        <v>0</v>
      </c>
    </row>
    <row r="77" spans="1:15" ht="18.75" customHeight="1" x14ac:dyDescent="0.25">
      <c r="A77" s="14">
        <v>3</v>
      </c>
      <c r="B77" s="7" t="s">
        <v>20</v>
      </c>
      <c r="C77" s="281">
        <v>0</v>
      </c>
      <c r="D77" s="60">
        <v>0</v>
      </c>
      <c r="E77" s="60">
        <v>0</v>
      </c>
      <c r="F77" s="16">
        <v>0</v>
      </c>
      <c r="G77" s="16">
        <v>0</v>
      </c>
      <c r="H77" s="281">
        <v>0</v>
      </c>
      <c r="I77" s="60">
        <v>0</v>
      </c>
      <c r="J77" s="281">
        <v>0</v>
      </c>
      <c r="K77" s="60">
        <v>0</v>
      </c>
      <c r="L77" s="60">
        <v>0</v>
      </c>
      <c r="M77" s="158">
        <v>0</v>
      </c>
      <c r="N77" s="60">
        <v>0</v>
      </c>
      <c r="O77" s="166">
        <f t="shared" si="4"/>
        <v>0</v>
      </c>
    </row>
    <row r="78" spans="1:15" ht="18.75" customHeight="1" x14ac:dyDescent="0.25">
      <c r="A78" s="14">
        <v>4</v>
      </c>
      <c r="B78" s="15" t="s">
        <v>21</v>
      </c>
      <c r="C78" s="281">
        <v>0</v>
      </c>
      <c r="D78" s="60">
        <v>0</v>
      </c>
      <c r="E78" s="60">
        <v>0</v>
      </c>
      <c r="F78" s="16">
        <v>0</v>
      </c>
      <c r="G78" s="16">
        <v>0</v>
      </c>
      <c r="H78" s="290">
        <v>2.5</v>
      </c>
      <c r="I78" s="60">
        <v>0</v>
      </c>
      <c r="J78" s="290">
        <v>2.9</v>
      </c>
      <c r="K78" s="60">
        <v>0</v>
      </c>
      <c r="L78" s="60">
        <v>0</v>
      </c>
      <c r="M78" s="158">
        <v>2.5</v>
      </c>
      <c r="N78" s="60">
        <v>0</v>
      </c>
      <c r="O78" s="166">
        <f t="shared" si="4"/>
        <v>7.9</v>
      </c>
    </row>
    <row r="79" spans="1:15" ht="18.75" customHeight="1" x14ac:dyDescent="0.25">
      <c r="A79" s="14">
        <v>5</v>
      </c>
      <c r="B79" s="19" t="s">
        <v>22</v>
      </c>
      <c r="C79" s="281">
        <v>0</v>
      </c>
      <c r="D79" s="60">
        <v>0</v>
      </c>
      <c r="E79" s="60">
        <v>0</v>
      </c>
      <c r="F79" s="16">
        <v>0</v>
      </c>
      <c r="G79" s="16">
        <v>0</v>
      </c>
      <c r="H79" s="281">
        <v>0</v>
      </c>
      <c r="I79" s="60">
        <v>0</v>
      </c>
      <c r="J79" s="281">
        <v>0</v>
      </c>
      <c r="K79" s="60">
        <v>0</v>
      </c>
      <c r="L79" s="60">
        <v>0</v>
      </c>
      <c r="M79" s="158">
        <v>0</v>
      </c>
      <c r="N79" s="60">
        <v>0</v>
      </c>
      <c r="O79" s="166">
        <f t="shared" si="4"/>
        <v>0</v>
      </c>
    </row>
    <row r="80" spans="1:15" ht="18.75" customHeight="1" x14ac:dyDescent="0.25">
      <c r="A80" s="14">
        <v>6</v>
      </c>
      <c r="B80" s="19" t="s">
        <v>23</v>
      </c>
      <c r="C80" s="281">
        <v>0</v>
      </c>
      <c r="D80" s="60">
        <v>0</v>
      </c>
      <c r="E80" s="60">
        <v>0</v>
      </c>
      <c r="F80" s="16">
        <v>0</v>
      </c>
      <c r="G80" s="16">
        <v>0</v>
      </c>
      <c r="H80" s="281">
        <v>0</v>
      </c>
      <c r="I80" s="60">
        <v>0</v>
      </c>
      <c r="J80" s="281">
        <v>0</v>
      </c>
      <c r="K80" s="60">
        <v>0</v>
      </c>
      <c r="L80" s="60">
        <v>0</v>
      </c>
      <c r="M80" s="158">
        <v>0</v>
      </c>
      <c r="N80" s="60">
        <v>0</v>
      </c>
      <c r="O80" s="166">
        <f t="shared" si="4"/>
        <v>0</v>
      </c>
    </row>
    <row r="81" spans="1:15" ht="18.75" customHeight="1" x14ac:dyDescent="0.25">
      <c r="A81" s="14">
        <v>7</v>
      </c>
      <c r="B81" s="19" t="s">
        <v>24</v>
      </c>
      <c r="C81" s="281">
        <v>0</v>
      </c>
      <c r="D81" s="60">
        <v>0</v>
      </c>
      <c r="E81" s="60">
        <v>0</v>
      </c>
      <c r="F81" s="16">
        <v>0</v>
      </c>
      <c r="G81" s="16">
        <v>0</v>
      </c>
      <c r="H81" s="281">
        <v>0</v>
      </c>
      <c r="I81" s="60">
        <v>0</v>
      </c>
      <c r="J81" s="281">
        <v>0</v>
      </c>
      <c r="K81" s="60">
        <v>0</v>
      </c>
      <c r="L81" s="60">
        <v>0</v>
      </c>
      <c r="M81" s="158">
        <v>0</v>
      </c>
      <c r="N81" s="60">
        <v>0</v>
      </c>
      <c r="O81" s="166">
        <f t="shared" si="4"/>
        <v>0</v>
      </c>
    </row>
    <row r="82" spans="1:15" ht="18.75" customHeight="1" thickBot="1" x14ac:dyDescent="0.3">
      <c r="A82" s="20">
        <v>8</v>
      </c>
      <c r="B82" s="15" t="s">
        <v>25</v>
      </c>
      <c r="C82" s="282">
        <v>2.6</v>
      </c>
      <c r="D82" s="105">
        <v>0</v>
      </c>
      <c r="E82" s="105">
        <v>0</v>
      </c>
      <c r="F82" s="17">
        <v>0</v>
      </c>
      <c r="G82" s="17">
        <v>0</v>
      </c>
      <c r="H82" s="291">
        <v>2.5</v>
      </c>
      <c r="I82" s="105">
        <v>0</v>
      </c>
      <c r="J82" s="291">
        <v>0</v>
      </c>
      <c r="K82" s="105">
        <v>0</v>
      </c>
      <c r="L82" s="105">
        <v>0</v>
      </c>
      <c r="M82" s="162">
        <v>0</v>
      </c>
      <c r="N82" s="105">
        <v>0</v>
      </c>
      <c r="O82" s="167">
        <f t="shared" si="4"/>
        <v>5.0999999999999996</v>
      </c>
    </row>
    <row r="83" spans="1:15" ht="18.75" customHeight="1" thickTop="1" x14ac:dyDescent="0.25">
      <c r="A83" s="320" t="s">
        <v>26</v>
      </c>
      <c r="B83" s="321"/>
      <c r="C83" s="159">
        <f t="shared" ref="C83:O83" si="5">SUM(C75:C82)</f>
        <v>2.6</v>
      </c>
      <c r="D83" s="159">
        <f t="shared" si="5"/>
        <v>0</v>
      </c>
      <c r="E83" s="159">
        <f t="shared" si="5"/>
        <v>0</v>
      </c>
      <c r="F83" s="159">
        <f t="shared" si="5"/>
        <v>17.100000000000001</v>
      </c>
      <c r="G83" s="159">
        <f t="shared" si="5"/>
        <v>9</v>
      </c>
      <c r="H83" s="159">
        <f t="shared" si="5"/>
        <v>5</v>
      </c>
      <c r="I83" s="159">
        <f t="shared" si="5"/>
        <v>0</v>
      </c>
      <c r="J83" s="159">
        <f t="shared" si="5"/>
        <v>2.9</v>
      </c>
      <c r="K83" s="159">
        <f t="shared" si="5"/>
        <v>0</v>
      </c>
      <c r="L83" s="159">
        <f t="shared" si="5"/>
        <v>0</v>
      </c>
      <c r="M83" s="159">
        <f t="shared" si="5"/>
        <v>2.5</v>
      </c>
      <c r="N83" s="159">
        <f t="shared" si="5"/>
        <v>0</v>
      </c>
      <c r="O83" s="159">
        <f t="shared" si="5"/>
        <v>39.1</v>
      </c>
    </row>
    <row r="84" spans="1:15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5" x14ac:dyDescent="0.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</row>
    <row r="86" spans="1:15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spans="1:15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</row>
    <row r="88" spans="1:15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15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1:15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1:15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1:15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1:15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</row>
    <row r="94" spans="1:15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5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5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1:15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5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5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5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5" ht="18.75" x14ac:dyDescent="0.3">
      <c r="A101" s="322" t="s">
        <v>40</v>
      </c>
      <c r="B101" s="322"/>
      <c r="C101" s="322"/>
      <c r="D101" s="322"/>
      <c r="E101" s="322"/>
      <c r="F101" s="322"/>
      <c r="G101" s="322"/>
      <c r="H101" s="322"/>
      <c r="I101" s="322"/>
      <c r="J101" s="322"/>
      <c r="K101" s="322"/>
      <c r="L101" s="322"/>
      <c r="M101" s="322"/>
      <c r="N101" s="322"/>
      <c r="O101" s="322"/>
    </row>
    <row r="102" spans="1:15" ht="18.75" x14ac:dyDescent="0.3">
      <c r="A102" s="322" t="s">
        <v>148</v>
      </c>
      <c r="B102" s="322"/>
      <c r="C102" s="322"/>
      <c r="D102" s="322"/>
      <c r="E102" s="322"/>
      <c r="F102" s="322"/>
      <c r="G102" s="322"/>
      <c r="H102" s="322"/>
      <c r="I102" s="322"/>
      <c r="J102" s="322"/>
      <c r="K102" s="322"/>
      <c r="L102" s="322"/>
      <c r="M102" s="322"/>
      <c r="N102" s="322"/>
      <c r="O102" s="322"/>
    </row>
    <row r="103" spans="1:15" ht="18.7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5" x14ac:dyDescent="0.25">
      <c r="A105" s="323" t="s">
        <v>2</v>
      </c>
      <c r="B105" s="323" t="s">
        <v>3</v>
      </c>
      <c r="C105" s="325" t="s">
        <v>4</v>
      </c>
      <c r="D105" s="325"/>
      <c r="E105" s="325"/>
      <c r="F105" s="325"/>
      <c r="G105" s="325"/>
      <c r="H105" s="325"/>
      <c r="I105" s="325"/>
      <c r="J105" s="325"/>
      <c r="K105" s="325"/>
      <c r="L105" s="325"/>
      <c r="M105" s="325"/>
      <c r="N105" s="325"/>
      <c r="O105" s="323" t="s">
        <v>5</v>
      </c>
    </row>
    <row r="106" spans="1:15" x14ac:dyDescent="0.25">
      <c r="A106" s="324"/>
      <c r="B106" s="324"/>
      <c r="C106" s="25" t="s">
        <v>6</v>
      </c>
      <c r="D106" s="25" t="s">
        <v>7</v>
      </c>
      <c r="E106" s="25" t="s">
        <v>8</v>
      </c>
      <c r="F106" s="25" t="s">
        <v>9</v>
      </c>
      <c r="G106" s="25" t="s">
        <v>10</v>
      </c>
      <c r="H106" s="25" t="s">
        <v>11</v>
      </c>
      <c r="I106" s="25" t="s">
        <v>12</v>
      </c>
      <c r="J106" s="25" t="s">
        <v>13</v>
      </c>
      <c r="K106" s="25" t="s">
        <v>14</v>
      </c>
      <c r="L106" s="25" t="s">
        <v>15</v>
      </c>
      <c r="M106" s="25" t="s">
        <v>16</v>
      </c>
      <c r="N106" s="25" t="s">
        <v>17</v>
      </c>
      <c r="O106" s="326"/>
    </row>
    <row r="107" spans="1:15" ht="15.75" thickBot="1" x14ac:dyDescent="0.3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</row>
    <row r="108" spans="1:15" ht="18.75" customHeight="1" thickTop="1" x14ac:dyDescent="0.25">
      <c r="A108" s="27">
        <v>1</v>
      </c>
      <c r="B108" s="7" t="s">
        <v>18</v>
      </c>
      <c r="C108" s="32">
        <v>0</v>
      </c>
      <c r="D108" s="62">
        <v>0</v>
      </c>
      <c r="E108" s="62">
        <v>0</v>
      </c>
      <c r="F108" s="31">
        <v>28.5</v>
      </c>
      <c r="G108" s="273">
        <v>30.12</v>
      </c>
      <c r="H108" s="273">
        <v>0</v>
      </c>
      <c r="I108" s="273">
        <v>0</v>
      </c>
      <c r="J108" s="273">
        <v>0</v>
      </c>
      <c r="K108" s="62">
        <v>0</v>
      </c>
      <c r="L108" s="62">
        <v>0</v>
      </c>
      <c r="M108" s="28">
        <v>0</v>
      </c>
      <c r="N108" s="62">
        <v>0</v>
      </c>
      <c r="O108" s="44">
        <f>O75/O42*10</f>
        <v>29.000000000000004</v>
      </c>
    </row>
    <row r="109" spans="1:15" ht="18.75" customHeight="1" x14ac:dyDescent="0.25">
      <c r="A109" s="14">
        <v>2</v>
      </c>
      <c r="B109" s="12" t="s">
        <v>19</v>
      </c>
      <c r="C109" s="34">
        <v>0</v>
      </c>
      <c r="D109" s="60">
        <v>0</v>
      </c>
      <c r="E109" s="60">
        <v>0</v>
      </c>
      <c r="F109" s="60">
        <v>0</v>
      </c>
      <c r="G109" s="60">
        <v>0</v>
      </c>
      <c r="H109" s="310">
        <v>0</v>
      </c>
      <c r="I109" s="310">
        <v>0</v>
      </c>
      <c r="J109" s="310">
        <v>0</v>
      </c>
      <c r="K109" s="60">
        <v>0</v>
      </c>
      <c r="L109" s="60">
        <v>0</v>
      </c>
      <c r="M109" s="34">
        <v>0</v>
      </c>
      <c r="N109" s="60">
        <v>0</v>
      </c>
      <c r="O109" s="35">
        <f t="shared" ref="O109:O114" si="6">O76/O43*10</f>
        <v>0</v>
      </c>
    </row>
    <row r="110" spans="1:15" ht="18.75" customHeight="1" x14ac:dyDescent="0.25">
      <c r="A110" s="14">
        <v>3</v>
      </c>
      <c r="B110" s="7" t="s">
        <v>20</v>
      </c>
      <c r="C110" s="34">
        <v>0</v>
      </c>
      <c r="D110" s="60">
        <v>0</v>
      </c>
      <c r="E110" s="60">
        <v>0</v>
      </c>
      <c r="F110" s="60">
        <v>0</v>
      </c>
      <c r="G110" s="60">
        <v>0</v>
      </c>
      <c r="H110" s="65">
        <v>0</v>
      </c>
      <c r="I110" s="65">
        <v>0</v>
      </c>
      <c r="J110" s="65">
        <v>0</v>
      </c>
      <c r="K110" s="60">
        <v>0</v>
      </c>
      <c r="L110" s="60">
        <v>0</v>
      </c>
      <c r="M110" s="16">
        <v>0</v>
      </c>
      <c r="N110" s="60">
        <v>0</v>
      </c>
      <c r="O110" s="35">
        <v>0</v>
      </c>
    </row>
    <row r="111" spans="1:15" ht="18.75" customHeight="1" x14ac:dyDescent="0.25">
      <c r="A111" s="14">
        <v>4</v>
      </c>
      <c r="B111" s="15" t="s">
        <v>21</v>
      </c>
      <c r="C111" s="34">
        <v>0</v>
      </c>
      <c r="D111" s="60">
        <v>0</v>
      </c>
      <c r="E111" s="60">
        <v>0</v>
      </c>
      <c r="F111" s="60">
        <v>0</v>
      </c>
      <c r="G111" s="60">
        <v>0</v>
      </c>
      <c r="H111" s="310">
        <v>25.1</v>
      </c>
      <c r="I111" s="310">
        <v>0</v>
      </c>
      <c r="J111" s="310">
        <v>29.5</v>
      </c>
      <c r="K111" s="60">
        <v>0</v>
      </c>
      <c r="L111" s="60">
        <v>0</v>
      </c>
      <c r="M111" s="34">
        <v>25</v>
      </c>
      <c r="N111" s="60">
        <v>0</v>
      </c>
      <c r="O111" s="35">
        <f>SUM(C111:N111)/3</f>
        <v>26.533333333333331</v>
      </c>
    </row>
    <row r="112" spans="1:15" ht="18.75" customHeight="1" x14ac:dyDescent="0.25">
      <c r="A112" s="14">
        <v>5</v>
      </c>
      <c r="B112" s="19" t="s">
        <v>22</v>
      </c>
      <c r="C112" s="34">
        <v>0</v>
      </c>
      <c r="D112" s="60">
        <v>0</v>
      </c>
      <c r="E112" s="60">
        <v>0</v>
      </c>
      <c r="F112" s="60">
        <v>0</v>
      </c>
      <c r="G112" s="60">
        <v>0</v>
      </c>
      <c r="H112" s="65">
        <v>0</v>
      </c>
      <c r="I112" s="65">
        <v>0</v>
      </c>
      <c r="J112" s="65">
        <v>0</v>
      </c>
      <c r="K112" s="60">
        <v>0</v>
      </c>
      <c r="L112" s="60">
        <v>0</v>
      </c>
      <c r="M112" s="16">
        <v>0</v>
      </c>
      <c r="N112" s="60">
        <v>0</v>
      </c>
      <c r="O112" s="35">
        <v>0</v>
      </c>
    </row>
    <row r="113" spans="1:15" ht="18.75" customHeight="1" x14ac:dyDescent="0.25">
      <c r="A113" s="14">
        <v>6</v>
      </c>
      <c r="B113" s="19" t="s">
        <v>23</v>
      </c>
      <c r="C113" s="34">
        <v>0</v>
      </c>
      <c r="D113" s="60">
        <v>0</v>
      </c>
      <c r="E113" s="60">
        <v>0</v>
      </c>
      <c r="F113" s="60">
        <v>0</v>
      </c>
      <c r="G113" s="60">
        <v>0</v>
      </c>
      <c r="H113" s="65">
        <v>0</v>
      </c>
      <c r="I113" s="65">
        <v>0</v>
      </c>
      <c r="J113" s="65">
        <v>0</v>
      </c>
      <c r="K113" s="60">
        <v>0</v>
      </c>
      <c r="L113" s="60">
        <v>0</v>
      </c>
      <c r="M113" s="16">
        <v>0</v>
      </c>
      <c r="N113" s="60">
        <v>0</v>
      </c>
      <c r="O113" s="35">
        <v>0</v>
      </c>
    </row>
    <row r="114" spans="1:15" ht="18.75" customHeight="1" x14ac:dyDescent="0.25">
      <c r="A114" s="14">
        <v>7</v>
      </c>
      <c r="B114" s="19" t="s">
        <v>24</v>
      </c>
      <c r="C114" s="34">
        <v>0</v>
      </c>
      <c r="D114" s="60">
        <v>0</v>
      </c>
      <c r="E114" s="60">
        <v>0</v>
      </c>
      <c r="F114" s="60">
        <v>0</v>
      </c>
      <c r="G114" s="60">
        <v>0</v>
      </c>
      <c r="H114" s="65">
        <v>0</v>
      </c>
      <c r="I114" s="65">
        <v>0</v>
      </c>
      <c r="J114" s="65">
        <v>0</v>
      </c>
      <c r="K114" s="60">
        <v>0</v>
      </c>
      <c r="L114" s="60">
        <v>0</v>
      </c>
      <c r="M114" s="16">
        <v>0</v>
      </c>
      <c r="N114" s="60">
        <v>0</v>
      </c>
      <c r="O114" s="35">
        <f t="shared" si="6"/>
        <v>0</v>
      </c>
    </row>
    <row r="115" spans="1:15" ht="18.75" customHeight="1" thickBot="1" x14ac:dyDescent="0.3">
      <c r="A115" s="20">
        <v>8</v>
      </c>
      <c r="B115" s="15" t="s">
        <v>25</v>
      </c>
      <c r="C115" s="66">
        <v>26.22</v>
      </c>
      <c r="D115" s="105">
        <v>0</v>
      </c>
      <c r="E115" s="105">
        <v>0</v>
      </c>
      <c r="F115" s="105">
        <v>0</v>
      </c>
      <c r="G115" s="105">
        <v>0</v>
      </c>
      <c r="H115" s="66">
        <v>25.05</v>
      </c>
      <c r="I115" s="66">
        <v>0</v>
      </c>
      <c r="J115" s="66">
        <v>0</v>
      </c>
      <c r="K115" s="105">
        <v>0</v>
      </c>
      <c r="L115" s="105">
        <v>0</v>
      </c>
      <c r="M115" s="40">
        <v>0</v>
      </c>
      <c r="N115" s="105">
        <v>0</v>
      </c>
      <c r="O115" s="37">
        <f>SUM(C115:N115)/2</f>
        <v>25.634999999999998</v>
      </c>
    </row>
    <row r="116" spans="1:15" ht="18.75" customHeight="1" thickTop="1" x14ac:dyDescent="0.25">
      <c r="A116" s="320" t="s">
        <v>26</v>
      </c>
      <c r="B116" s="321"/>
      <c r="C116" s="45">
        <f>SUM(C108:C115)</f>
        <v>26.22</v>
      </c>
      <c r="D116" s="45">
        <f>SUM(D108:D115)</f>
        <v>0</v>
      </c>
      <c r="E116" s="45">
        <f>E83/E50*10</f>
        <v>0</v>
      </c>
      <c r="F116" s="45">
        <f>SUM(F108:F115)</f>
        <v>28.5</v>
      </c>
      <c r="G116" s="45">
        <f>SUM(G108:G115)</f>
        <v>30.12</v>
      </c>
      <c r="H116" s="45">
        <f t="shared" ref="H116:N116" si="7">H83/H50*10</f>
        <v>25</v>
      </c>
      <c r="I116" s="45">
        <f t="shared" si="7"/>
        <v>0</v>
      </c>
      <c r="J116" s="45">
        <f>SUM(J108:J115)</f>
        <v>29.5</v>
      </c>
      <c r="K116" s="45">
        <f>SUM(K108:K115)</f>
        <v>0</v>
      </c>
      <c r="L116" s="45">
        <f>SUM(L108:L115)</f>
        <v>0</v>
      </c>
      <c r="M116" s="45">
        <v>25</v>
      </c>
      <c r="N116" s="45">
        <f t="shared" si="7"/>
        <v>0</v>
      </c>
      <c r="O116" s="45">
        <f>SUM(O108:O115)/3</f>
        <v>27.056111111111107</v>
      </c>
    </row>
    <row r="117" spans="1:15" x14ac:dyDescent="0.25">
      <c r="A117" s="24"/>
      <c r="B117" s="24"/>
      <c r="C117" s="24"/>
      <c r="D117" s="24"/>
      <c r="E117" s="24"/>
      <c r="F117" s="24"/>
      <c r="G117" s="102"/>
      <c r="H117" s="24"/>
      <c r="I117" s="24"/>
      <c r="J117" s="24"/>
      <c r="K117" s="24"/>
      <c r="L117" s="24"/>
      <c r="M117" s="24"/>
      <c r="N117" s="24"/>
      <c r="O117" s="24"/>
    </row>
    <row r="118" spans="1:15" x14ac:dyDescent="0.25">
      <c r="A118" s="24"/>
      <c r="B118" s="24"/>
      <c r="C118" s="24"/>
      <c r="D118" s="24"/>
      <c r="E118" s="24"/>
      <c r="F118" s="24"/>
      <c r="G118" s="102"/>
      <c r="H118" s="24"/>
      <c r="I118" s="24"/>
      <c r="J118" s="24"/>
      <c r="K118" s="24"/>
      <c r="L118" s="24"/>
      <c r="M118" s="24"/>
      <c r="N118" s="24"/>
      <c r="O118" s="24"/>
    </row>
    <row r="119" spans="1:15" x14ac:dyDescent="0.25">
      <c r="L119" s="41" t="s">
        <v>146</v>
      </c>
    </row>
    <row r="120" spans="1:15" x14ac:dyDescent="0.25">
      <c r="L120" s="41" t="s">
        <v>95</v>
      </c>
    </row>
    <row r="121" spans="1:15" x14ac:dyDescent="0.25">
      <c r="L121" s="41" t="s">
        <v>84</v>
      </c>
    </row>
    <row r="122" spans="1:15" x14ac:dyDescent="0.25">
      <c r="L122" s="41"/>
    </row>
    <row r="123" spans="1:15" x14ac:dyDescent="0.25">
      <c r="L123" s="41"/>
    </row>
    <row r="124" spans="1:15" x14ac:dyDescent="0.25">
      <c r="L124" s="41"/>
    </row>
    <row r="125" spans="1:15" x14ac:dyDescent="0.25">
      <c r="L125" s="299" t="s">
        <v>147</v>
      </c>
    </row>
    <row r="126" spans="1:15" x14ac:dyDescent="0.25">
      <c r="L126" s="41" t="s">
        <v>97</v>
      </c>
    </row>
  </sheetData>
  <mergeCells count="29">
    <mergeCell ref="A2:O2"/>
    <mergeCell ref="A3:O3"/>
    <mergeCell ref="A6:A7"/>
    <mergeCell ref="B6:B7"/>
    <mergeCell ref="C6:N6"/>
    <mergeCell ref="O6:O7"/>
    <mergeCell ref="A17:B17"/>
    <mergeCell ref="A35:O35"/>
    <mergeCell ref="A36:O36"/>
    <mergeCell ref="A39:A40"/>
    <mergeCell ref="B39:B40"/>
    <mergeCell ref="C39:N39"/>
    <mergeCell ref="O39:O40"/>
    <mergeCell ref="A50:B50"/>
    <mergeCell ref="A68:O68"/>
    <mergeCell ref="A69:O69"/>
    <mergeCell ref="A72:A73"/>
    <mergeCell ref="B72:B73"/>
    <mergeCell ref="C72:N72"/>
    <mergeCell ref="O72:O73"/>
    <mergeCell ref="A52:B52"/>
    <mergeCell ref="A116:B116"/>
    <mergeCell ref="A83:B83"/>
    <mergeCell ref="A101:O101"/>
    <mergeCell ref="A102:O102"/>
    <mergeCell ref="A105:A106"/>
    <mergeCell ref="B105:B106"/>
    <mergeCell ref="C105:N105"/>
    <mergeCell ref="O105:O106"/>
  </mergeCells>
  <pageMargins left="1.5748031496062993" right="0.39370078740157483" top="0.94488188976377963" bottom="0.74803149606299213" header="0.31496062992125984" footer="0.31496062992125984"/>
  <pageSetup paperSize="9" scale="90" orientation="landscape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Q126"/>
  <sheetViews>
    <sheetView zoomScale="90" zoomScaleNormal="90" workbookViewId="0">
      <selection activeCell="A2" sqref="A2:O2"/>
    </sheetView>
  </sheetViews>
  <sheetFormatPr defaultRowHeight="15" x14ac:dyDescent="0.25"/>
  <cols>
    <col min="1" max="1" width="4" customWidth="1"/>
    <col min="2" max="2" width="14.42578125" customWidth="1"/>
    <col min="3" max="15" width="8.5703125" customWidth="1"/>
  </cols>
  <sheetData>
    <row r="2" spans="1:17" ht="18.75" x14ac:dyDescent="0.3">
      <c r="A2" s="322" t="s">
        <v>57</v>
      </c>
      <c r="B2" s="322"/>
      <c r="C2" s="322"/>
      <c r="D2" s="322"/>
      <c r="E2" s="322"/>
      <c r="F2" s="322"/>
      <c r="G2" s="322"/>
      <c r="H2" s="322"/>
      <c r="I2" s="322"/>
      <c r="J2" s="322"/>
      <c r="K2" s="322"/>
      <c r="L2" s="322"/>
      <c r="M2" s="322"/>
      <c r="N2" s="322"/>
      <c r="O2" s="322"/>
    </row>
    <row r="3" spans="1:17" ht="18.75" x14ac:dyDescent="0.3">
      <c r="A3" s="322" t="s">
        <v>148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  <c r="M3" s="322"/>
      <c r="N3" s="322"/>
      <c r="O3" s="322"/>
    </row>
    <row r="4" spans="1:17" ht="18.7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7" x14ac:dyDescent="0.25">
      <c r="A6" s="323" t="s">
        <v>2</v>
      </c>
      <c r="B6" s="323" t="s">
        <v>3</v>
      </c>
      <c r="C6" s="332" t="s">
        <v>4</v>
      </c>
      <c r="D6" s="332"/>
      <c r="E6" s="332"/>
      <c r="F6" s="332"/>
      <c r="G6" s="332"/>
      <c r="H6" s="332"/>
      <c r="I6" s="332"/>
      <c r="J6" s="332"/>
      <c r="K6" s="332"/>
      <c r="L6" s="332"/>
      <c r="M6" s="332"/>
      <c r="N6" s="332"/>
      <c r="O6" s="323" t="s">
        <v>5</v>
      </c>
    </row>
    <row r="7" spans="1:17" x14ac:dyDescent="0.25">
      <c r="A7" s="324"/>
      <c r="B7" s="324"/>
      <c r="C7" s="25" t="s">
        <v>6</v>
      </c>
      <c r="D7" s="25" t="s">
        <v>7</v>
      </c>
      <c r="E7" s="25" t="s">
        <v>8</v>
      </c>
      <c r="F7" s="25" t="s">
        <v>9</v>
      </c>
      <c r="G7" s="25" t="s">
        <v>10</v>
      </c>
      <c r="H7" s="25" t="s">
        <v>11</v>
      </c>
      <c r="I7" s="25" t="s">
        <v>12</v>
      </c>
      <c r="J7" s="25" t="s">
        <v>13</v>
      </c>
      <c r="K7" s="25" t="s">
        <v>14</v>
      </c>
      <c r="L7" s="25" t="s">
        <v>15</v>
      </c>
      <c r="M7" s="25" t="s">
        <v>16</v>
      </c>
      <c r="N7" s="25" t="s">
        <v>17</v>
      </c>
      <c r="O7" s="326"/>
    </row>
    <row r="8" spans="1:17" ht="15.75" thickBot="1" x14ac:dyDescent="0.3">
      <c r="A8" s="26">
        <v>1</v>
      </c>
      <c r="B8" s="26">
        <v>2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  <c r="Q8" t="s">
        <v>85</v>
      </c>
    </row>
    <row r="9" spans="1:17" ht="18.75" customHeight="1" thickTop="1" x14ac:dyDescent="0.25">
      <c r="A9" s="27">
        <v>1</v>
      </c>
      <c r="B9" s="7" t="s">
        <v>18</v>
      </c>
      <c r="C9" s="28">
        <v>0</v>
      </c>
      <c r="D9" s="28">
        <v>0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8">
        <v>0</v>
      </c>
      <c r="O9" s="29">
        <f>SUM(C9:N9)</f>
        <v>0</v>
      </c>
      <c r="Q9" s="104">
        <f>SUM(L9:M9)</f>
        <v>0</v>
      </c>
    </row>
    <row r="10" spans="1:17" ht="18.75" customHeight="1" x14ac:dyDescent="0.25">
      <c r="A10" s="14">
        <v>2</v>
      </c>
      <c r="B10" s="12" t="s">
        <v>19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8">
        <f t="shared" ref="O10:O16" si="0">SUM(C10:N10)</f>
        <v>0</v>
      </c>
      <c r="Q10" s="104">
        <f t="shared" ref="Q10:Q16" si="1">SUM(L10:M10)</f>
        <v>0</v>
      </c>
    </row>
    <row r="11" spans="1:17" ht="18.75" customHeight="1" x14ac:dyDescent="0.25">
      <c r="A11" s="14">
        <v>3</v>
      </c>
      <c r="B11" s="7" t="s">
        <v>20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8">
        <f t="shared" si="0"/>
        <v>0</v>
      </c>
      <c r="Q11" s="104">
        <f t="shared" si="1"/>
        <v>0</v>
      </c>
    </row>
    <row r="12" spans="1:17" ht="18.75" customHeight="1" x14ac:dyDescent="0.25">
      <c r="A12" s="14">
        <v>4</v>
      </c>
      <c r="B12" s="15" t="s">
        <v>21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8">
        <f t="shared" si="0"/>
        <v>0</v>
      </c>
      <c r="Q12" s="104">
        <f t="shared" si="1"/>
        <v>0</v>
      </c>
    </row>
    <row r="13" spans="1:17" ht="18.75" customHeight="1" x14ac:dyDescent="0.25">
      <c r="A13" s="14">
        <v>5</v>
      </c>
      <c r="B13" s="19" t="s">
        <v>22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8">
        <f t="shared" si="0"/>
        <v>0</v>
      </c>
      <c r="Q13" s="104">
        <f t="shared" si="1"/>
        <v>0</v>
      </c>
    </row>
    <row r="14" spans="1:17" ht="18.75" customHeight="1" x14ac:dyDescent="0.25">
      <c r="A14" s="14">
        <v>6</v>
      </c>
      <c r="B14" s="19" t="s">
        <v>23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8">
        <f t="shared" si="0"/>
        <v>0</v>
      </c>
      <c r="Q14" s="104">
        <f t="shared" si="1"/>
        <v>0</v>
      </c>
    </row>
    <row r="15" spans="1:17" ht="18.75" customHeight="1" x14ac:dyDescent="0.25">
      <c r="A15" s="14">
        <v>7</v>
      </c>
      <c r="B15" s="19" t="s">
        <v>24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8">
        <f t="shared" si="0"/>
        <v>0</v>
      </c>
      <c r="Q15" s="104">
        <f t="shared" si="1"/>
        <v>0</v>
      </c>
    </row>
    <row r="16" spans="1:17" ht="18.75" customHeight="1" thickBot="1" x14ac:dyDescent="0.3">
      <c r="A16" s="20">
        <v>8</v>
      </c>
      <c r="B16" s="15" t="s">
        <v>25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21">
        <f t="shared" si="0"/>
        <v>0</v>
      </c>
      <c r="Q16" s="104">
        <f t="shared" si="1"/>
        <v>0</v>
      </c>
    </row>
    <row r="17" spans="1:15" ht="18.75" customHeight="1" thickTop="1" x14ac:dyDescent="0.25">
      <c r="A17" s="320" t="s">
        <v>26</v>
      </c>
      <c r="B17" s="321"/>
      <c r="C17" s="22">
        <f t="shared" ref="C17:O17" si="2">SUM(C9:C16)</f>
        <v>0</v>
      </c>
      <c r="D17" s="22">
        <f t="shared" si="2"/>
        <v>0</v>
      </c>
      <c r="E17" s="22">
        <f t="shared" si="2"/>
        <v>0</v>
      </c>
      <c r="F17" s="22">
        <f t="shared" si="2"/>
        <v>0</v>
      </c>
      <c r="G17" s="22">
        <f t="shared" si="2"/>
        <v>0</v>
      </c>
      <c r="H17" s="22">
        <f t="shared" si="2"/>
        <v>0</v>
      </c>
      <c r="I17" s="22">
        <f t="shared" si="2"/>
        <v>0</v>
      </c>
      <c r="J17" s="22">
        <f t="shared" si="2"/>
        <v>0</v>
      </c>
      <c r="K17" s="22">
        <f t="shared" si="2"/>
        <v>0</v>
      </c>
      <c r="L17" s="22">
        <f t="shared" si="2"/>
        <v>0</v>
      </c>
      <c r="M17" s="22">
        <f t="shared" si="2"/>
        <v>0</v>
      </c>
      <c r="N17" s="22">
        <f t="shared" si="2"/>
        <v>0</v>
      </c>
      <c r="O17" s="22">
        <f t="shared" si="2"/>
        <v>0</v>
      </c>
    </row>
    <row r="18" spans="1:15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5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1:15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5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5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5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5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5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5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5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5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5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5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5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5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7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7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</row>
    <row r="35" spans="1:17" ht="18.75" x14ac:dyDescent="0.3">
      <c r="A35" s="322" t="s">
        <v>58</v>
      </c>
      <c r="B35" s="322"/>
      <c r="C35" s="322"/>
      <c r="D35" s="322"/>
      <c r="E35" s="322"/>
      <c r="F35" s="322"/>
      <c r="G35" s="322"/>
      <c r="H35" s="322"/>
      <c r="I35" s="322"/>
      <c r="J35" s="322"/>
      <c r="K35" s="322"/>
      <c r="L35" s="322"/>
      <c r="M35" s="322"/>
      <c r="N35" s="322"/>
      <c r="O35" s="322"/>
    </row>
    <row r="36" spans="1:17" ht="18.75" x14ac:dyDescent="0.3">
      <c r="A36" s="322" t="s">
        <v>148</v>
      </c>
      <c r="B36" s="322"/>
      <c r="C36" s="322"/>
      <c r="D36" s="322"/>
      <c r="E36" s="322"/>
      <c r="F36" s="322"/>
      <c r="G36" s="322"/>
      <c r="H36" s="322"/>
      <c r="I36" s="322"/>
      <c r="J36" s="322"/>
      <c r="K36" s="322"/>
      <c r="L36" s="322"/>
      <c r="M36" s="322"/>
      <c r="N36" s="322"/>
      <c r="O36" s="322"/>
    </row>
    <row r="37" spans="1:17" ht="18.7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7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7" x14ac:dyDescent="0.25">
      <c r="A39" s="323" t="s">
        <v>2</v>
      </c>
      <c r="B39" s="323" t="s">
        <v>3</v>
      </c>
      <c r="C39" s="325" t="s">
        <v>4</v>
      </c>
      <c r="D39" s="325"/>
      <c r="E39" s="325"/>
      <c r="F39" s="325"/>
      <c r="G39" s="325"/>
      <c r="H39" s="325"/>
      <c r="I39" s="325"/>
      <c r="J39" s="325"/>
      <c r="K39" s="325"/>
      <c r="L39" s="325"/>
      <c r="M39" s="325"/>
      <c r="N39" s="325"/>
      <c r="O39" s="323" t="s">
        <v>5</v>
      </c>
    </row>
    <row r="40" spans="1:17" x14ac:dyDescent="0.25">
      <c r="A40" s="324"/>
      <c r="B40" s="324"/>
      <c r="C40" s="25" t="s">
        <v>6</v>
      </c>
      <c r="D40" s="25" t="s">
        <v>7</v>
      </c>
      <c r="E40" s="25" t="s">
        <v>8</v>
      </c>
      <c r="F40" s="25" t="s">
        <v>9</v>
      </c>
      <c r="G40" s="25" t="s">
        <v>10</v>
      </c>
      <c r="H40" s="25" t="s">
        <v>11</v>
      </c>
      <c r="I40" s="25" t="s">
        <v>12</v>
      </c>
      <c r="J40" s="25" t="s">
        <v>13</v>
      </c>
      <c r="K40" s="25" t="s">
        <v>14</v>
      </c>
      <c r="L40" s="25" t="s">
        <v>15</v>
      </c>
      <c r="M40" s="25" t="s">
        <v>16</v>
      </c>
      <c r="N40" s="25" t="s">
        <v>17</v>
      </c>
      <c r="O40" s="326"/>
    </row>
    <row r="41" spans="1:17" ht="15.75" thickBot="1" x14ac:dyDescent="0.3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</row>
    <row r="42" spans="1:17" ht="18.75" customHeight="1" thickTop="1" x14ac:dyDescent="0.25">
      <c r="A42" s="27">
        <v>1</v>
      </c>
      <c r="B42" s="7" t="s">
        <v>18</v>
      </c>
      <c r="C42" s="28">
        <v>0</v>
      </c>
      <c r="D42" s="28">
        <v>0</v>
      </c>
      <c r="E42" s="28">
        <v>0</v>
      </c>
      <c r="F42" s="28">
        <v>0</v>
      </c>
      <c r="G42" s="28">
        <v>0</v>
      </c>
      <c r="H42" s="28">
        <v>0</v>
      </c>
      <c r="I42" s="28">
        <v>0</v>
      </c>
      <c r="J42" s="28">
        <v>0</v>
      </c>
      <c r="K42" s="28">
        <v>0</v>
      </c>
      <c r="L42" s="28">
        <v>0</v>
      </c>
      <c r="M42" s="28">
        <v>0</v>
      </c>
      <c r="N42" s="28">
        <v>0</v>
      </c>
      <c r="O42" s="29">
        <f t="shared" ref="O42:O49" si="3">SUM(C42:N42)</f>
        <v>0</v>
      </c>
      <c r="Q42" s="104">
        <f>SUM(C42:E42)</f>
        <v>0</v>
      </c>
    </row>
    <row r="43" spans="1:17" ht="18.75" customHeight="1" x14ac:dyDescent="0.25">
      <c r="A43" s="14">
        <v>2</v>
      </c>
      <c r="B43" s="12" t="s">
        <v>19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8">
        <f t="shared" si="3"/>
        <v>0</v>
      </c>
      <c r="Q43" s="104">
        <f t="shared" ref="Q43:Q49" si="4">SUM(C43:E43)</f>
        <v>0</v>
      </c>
    </row>
    <row r="44" spans="1:17" ht="18.75" customHeight="1" x14ac:dyDescent="0.25">
      <c r="A44" s="14">
        <v>3</v>
      </c>
      <c r="B44" s="7" t="s">
        <v>20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8">
        <f t="shared" si="3"/>
        <v>0</v>
      </c>
      <c r="Q44" s="104">
        <f t="shared" si="4"/>
        <v>0</v>
      </c>
    </row>
    <row r="45" spans="1:17" ht="18.75" customHeight="1" x14ac:dyDescent="0.25">
      <c r="A45" s="14">
        <v>4</v>
      </c>
      <c r="B45" s="15" t="s">
        <v>21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8">
        <f t="shared" si="3"/>
        <v>0</v>
      </c>
      <c r="Q45" s="104">
        <f t="shared" si="4"/>
        <v>0</v>
      </c>
    </row>
    <row r="46" spans="1:17" ht="18.75" customHeight="1" x14ac:dyDescent="0.25">
      <c r="A46" s="14">
        <v>5</v>
      </c>
      <c r="B46" s="19" t="s">
        <v>22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8">
        <f t="shared" si="3"/>
        <v>0</v>
      </c>
      <c r="Q46" s="104">
        <f t="shared" si="4"/>
        <v>0</v>
      </c>
    </row>
    <row r="47" spans="1:17" ht="18.75" customHeight="1" x14ac:dyDescent="0.25">
      <c r="A47" s="14">
        <v>6</v>
      </c>
      <c r="B47" s="19" t="s">
        <v>23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8">
        <f t="shared" si="3"/>
        <v>0</v>
      </c>
      <c r="Q47" s="104">
        <f t="shared" si="4"/>
        <v>0</v>
      </c>
    </row>
    <row r="48" spans="1:17" ht="18.75" customHeight="1" x14ac:dyDescent="0.25">
      <c r="A48" s="14">
        <v>7</v>
      </c>
      <c r="B48" s="19" t="s">
        <v>24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8">
        <f t="shared" si="3"/>
        <v>0</v>
      </c>
      <c r="Q48" s="104">
        <f t="shared" si="4"/>
        <v>0</v>
      </c>
    </row>
    <row r="49" spans="1:17" ht="18.75" customHeight="1" thickBot="1" x14ac:dyDescent="0.3">
      <c r="A49" s="20">
        <v>8</v>
      </c>
      <c r="B49" s="15" t="s">
        <v>25</v>
      </c>
      <c r="C49" s="99">
        <v>0</v>
      </c>
      <c r="D49" s="99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21">
        <f t="shared" si="3"/>
        <v>0</v>
      </c>
      <c r="P49" s="107">
        <v>15</v>
      </c>
      <c r="Q49" s="104">
        <f t="shared" si="4"/>
        <v>0</v>
      </c>
    </row>
    <row r="50" spans="1:17" ht="18.75" customHeight="1" thickTop="1" x14ac:dyDescent="0.25">
      <c r="A50" s="320" t="s">
        <v>26</v>
      </c>
      <c r="B50" s="321"/>
      <c r="C50" s="22">
        <f>SUM(C42:C49)</f>
        <v>0</v>
      </c>
      <c r="D50" s="22">
        <f t="shared" ref="D50:N50" si="5">SUM(D42:D49)</f>
        <v>0</v>
      </c>
      <c r="E50" s="22">
        <f t="shared" si="5"/>
        <v>0</v>
      </c>
      <c r="F50" s="22">
        <f t="shared" si="5"/>
        <v>0</v>
      </c>
      <c r="G50" s="22">
        <f t="shared" si="5"/>
        <v>0</v>
      </c>
      <c r="H50" s="22">
        <f t="shared" si="5"/>
        <v>0</v>
      </c>
      <c r="I50" s="22">
        <f t="shared" si="5"/>
        <v>0</v>
      </c>
      <c r="J50" s="22">
        <f t="shared" si="5"/>
        <v>0</v>
      </c>
      <c r="K50" s="22">
        <f t="shared" si="5"/>
        <v>0</v>
      </c>
      <c r="L50" s="22">
        <f t="shared" si="5"/>
        <v>0</v>
      </c>
      <c r="M50" s="22">
        <f t="shared" si="5"/>
        <v>0</v>
      </c>
      <c r="N50" s="22">
        <f t="shared" si="5"/>
        <v>0</v>
      </c>
      <c r="O50" s="22">
        <f>SUM(O42:O49)</f>
        <v>0</v>
      </c>
      <c r="P50" s="106">
        <f>SUM(P42:P49)</f>
        <v>15</v>
      </c>
    </row>
    <row r="51" spans="1:17" x14ac:dyDescent="0.25">
      <c r="A51" s="113"/>
      <c r="B51" s="11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pans="1:17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7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7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spans="1:17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7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7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7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7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7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7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7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7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7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7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7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7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7" ht="18.75" x14ac:dyDescent="0.3">
      <c r="A68" s="322" t="s">
        <v>59</v>
      </c>
      <c r="B68" s="322"/>
      <c r="C68" s="322"/>
      <c r="D68" s="322"/>
      <c r="E68" s="322"/>
      <c r="F68" s="322"/>
      <c r="G68" s="322"/>
      <c r="H68" s="322"/>
      <c r="I68" s="322"/>
      <c r="J68" s="322"/>
      <c r="K68" s="322"/>
      <c r="L68" s="322"/>
      <c r="M68" s="322"/>
      <c r="N68" s="322"/>
      <c r="O68" s="322"/>
    </row>
    <row r="69" spans="1:17" ht="18.75" x14ac:dyDescent="0.3">
      <c r="A69" s="322" t="s">
        <v>148</v>
      </c>
      <c r="B69" s="322"/>
      <c r="C69" s="322"/>
      <c r="D69" s="322"/>
      <c r="E69" s="322"/>
      <c r="F69" s="322"/>
      <c r="G69" s="322"/>
      <c r="H69" s="322"/>
      <c r="I69" s="322"/>
      <c r="J69" s="322"/>
      <c r="K69" s="322"/>
      <c r="L69" s="322"/>
      <c r="M69" s="322"/>
      <c r="N69" s="322"/>
      <c r="O69" s="322"/>
    </row>
    <row r="70" spans="1:17" ht="18.7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7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7" x14ac:dyDescent="0.25">
      <c r="A72" s="323" t="s">
        <v>2</v>
      </c>
      <c r="B72" s="323" t="s">
        <v>3</v>
      </c>
      <c r="C72" s="325" t="s">
        <v>4</v>
      </c>
      <c r="D72" s="325"/>
      <c r="E72" s="325"/>
      <c r="F72" s="325"/>
      <c r="G72" s="325"/>
      <c r="H72" s="325"/>
      <c r="I72" s="325"/>
      <c r="J72" s="325"/>
      <c r="K72" s="325"/>
      <c r="L72" s="325"/>
      <c r="M72" s="325"/>
      <c r="N72" s="325"/>
      <c r="O72" s="323" t="s">
        <v>5</v>
      </c>
    </row>
    <row r="73" spans="1:17" x14ac:dyDescent="0.25">
      <c r="A73" s="324"/>
      <c r="B73" s="324"/>
      <c r="C73" s="25" t="s">
        <v>6</v>
      </c>
      <c r="D73" s="25" t="s">
        <v>7</v>
      </c>
      <c r="E73" s="25" t="s">
        <v>8</v>
      </c>
      <c r="F73" s="25" t="s">
        <v>9</v>
      </c>
      <c r="G73" s="25" t="s">
        <v>10</v>
      </c>
      <c r="H73" s="25" t="s">
        <v>11</v>
      </c>
      <c r="I73" s="25" t="s">
        <v>12</v>
      </c>
      <c r="J73" s="25" t="s">
        <v>13</v>
      </c>
      <c r="K73" s="25" t="s">
        <v>14</v>
      </c>
      <c r="L73" s="25" t="s">
        <v>15</v>
      </c>
      <c r="M73" s="25" t="s">
        <v>16</v>
      </c>
      <c r="N73" s="25" t="s">
        <v>17</v>
      </c>
      <c r="O73" s="326"/>
      <c r="Q73" s="103"/>
    </row>
    <row r="74" spans="1:17" ht="15.75" thickBot="1" x14ac:dyDescent="0.3">
      <c r="A74" s="26">
        <v>1</v>
      </c>
      <c r="B74" s="26">
        <v>2</v>
      </c>
      <c r="C74" s="26">
        <v>3</v>
      </c>
      <c r="D74" s="26">
        <v>4</v>
      </c>
      <c r="E74" s="26">
        <v>5</v>
      </c>
      <c r="F74" s="26">
        <v>6</v>
      </c>
      <c r="G74" s="26">
        <v>7</v>
      </c>
      <c r="H74" s="26">
        <v>8</v>
      </c>
      <c r="I74" s="26">
        <v>9</v>
      </c>
      <c r="J74" s="26">
        <v>10</v>
      </c>
      <c r="K74" s="26">
        <v>11</v>
      </c>
      <c r="L74" s="26">
        <v>12</v>
      </c>
      <c r="M74" s="26">
        <v>13</v>
      </c>
      <c r="N74" s="26">
        <v>14</v>
      </c>
      <c r="O74" s="26">
        <v>15</v>
      </c>
    </row>
    <row r="75" spans="1:17" ht="18.75" customHeight="1" thickTop="1" x14ac:dyDescent="0.25">
      <c r="A75" s="27">
        <v>1</v>
      </c>
      <c r="B75" s="7" t="s">
        <v>18</v>
      </c>
      <c r="C75" s="237">
        <v>0</v>
      </c>
      <c r="D75" s="237">
        <v>0</v>
      </c>
      <c r="E75" s="237">
        <v>0</v>
      </c>
      <c r="F75" s="237">
        <v>0</v>
      </c>
      <c r="G75" s="237">
        <v>0</v>
      </c>
      <c r="H75" s="237">
        <v>0</v>
      </c>
      <c r="I75" s="237">
        <v>0</v>
      </c>
      <c r="J75" s="237">
        <v>0</v>
      </c>
      <c r="K75" s="237">
        <v>0</v>
      </c>
      <c r="L75" s="237">
        <v>0</v>
      </c>
      <c r="M75" s="237">
        <v>0</v>
      </c>
      <c r="N75" s="237">
        <v>0</v>
      </c>
      <c r="O75" s="168">
        <f>SUM(C75:N75)</f>
        <v>0</v>
      </c>
      <c r="Q75" s="104">
        <f>SUM(C75:E75)</f>
        <v>0</v>
      </c>
    </row>
    <row r="76" spans="1:17" ht="18.75" customHeight="1" x14ac:dyDescent="0.25">
      <c r="A76" s="14">
        <v>2</v>
      </c>
      <c r="B76" s="12" t="s">
        <v>19</v>
      </c>
      <c r="C76" s="158">
        <v>0</v>
      </c>
      <c r="D76" s="158">
        <v>0</v>
      </c>
      <c r="E76" s="158">
        <v>0</v>
      </c>
      <c r="F76" s="158">
        <v>0</v>
      </c>
      <c r="G76" s="158">
        <v>0</v>
      </c>
      <c r="H76" s="158">
        <v>0</v>
      </c>
      <c r="I76" s="158">
        <v>0</v>
      </c>
      <c r="J76" s="158">
        <v>0</v>
      </c>
      <c r="K76" s="158">
        <v>0</v>
      </c>
      <c r="L76" s="158">
        <v>0</v>
      </c>
      <c r="M76" s="158">
        <v>0</v>
      </c>
      <c r="N76" s="158">
        <v>0</v>
      </c>
      <c r="O76" s="166">
        <f t="shared" ref="O76:O82" si="6">SUM(C76:N76)</f>
        <v>0</v>
      </c>
      <c r="Q76" s="104">
        <f t="shared" ref="Q76:Q82" si="7">SUM(C76:E76)</f>
        <v>0</v>
      </c>
    </row>
    <row r="77" spans="1:17" ht="18.75" customHeight="1" x14ac:dyDescent="0.25">
      <c r="A77" s="14">
        <v>3</v>
      </c>
      <c r="B77" s="7" t="s">
        <v>20</v>
      </c>
      <c r="C77" s="158">
        <v>0</v>
      </c>
      <c r="D77" s="158">
        <v>0</v>
      </c>
      <c r="E77" s="158">
        <v>0</v>
      </c>
      <c r="F77" s="158">
        <v>0</v>
      </c>
      <c r="G77" s="158">
        <v>0</v>
      </c>
      <c r="H77" s="158">
        <v>0</v>
      </c>
      <c r="I77" s="158">
        <v>0</v>
      </c>
      <c r="J77" s="158">
        <v>0</v>
      </c>
      <c r="K77" s="158">
        <v>0</v>
      </c>
      <c r="L77" s="158">
        <v>0</v>
      </c>
      <c r="M77" s="158">
        <v>0</v>
      </c>
      <c r="N77" s="158">
        <v>0</v>
      </c>
      <c r="O77" s="166">
        <f t="shared" si="6"/>
        <v>0</v>
      </c>
      <c r="Q77" s="104">
        <f t="shared" si="7"/>
        <v>0</v>
      </c>
    </row>
    <row r="78" spans="1:17" ht="18.75" customHeight="1" x14ac:dyDescent="0.25">
      <c r="A78" s="14">
        <v>4</v>
      </c>
      <c r="B78" s="15" t="s">
        <v>21</v>
      </c>
      <c r="C78" s="158">
        <v>0</v>
      </c>
      <c r="D78" s="158">
        <v>0</v>
      </c>
      <c r="E78" s="158">
        <v>0</v>
      </c>
      <c r="F78" s="158">
        <v>0</v>
      </c>
      <c r="G78" s="158">
        <v>0</v>
      </c>
      <c r="H78" s="158">
        <v>0</v>
      </c>
      <c r="I78" s="158">
        <v>0</v>
      </c>
      <c r="J78" s="158">
        <v>0</v>
      </c>
      <c r="K78" s="158">
        <v>0</v>
      </c>
      <c r="L78" s="158">
        <v>0</v>
      </c>
      <c r="M78" s="158">
        <v>0</v>
      </c>
      <c r="N78" s="158">
        <v>0</v>
      </c>
      <c r="O78" s="166">
        <f t="shared" si="6"/>
        <v>0</v>
      </c>
      <c r="Q78" s="104">
        <f t="shared" si="7"/>
        <v>0</v>
      </c>
    </row>
    <row r="79" spans="1:17" ht="18.75" customHeight="1" x14ac:dyDescent="0.25">
      <c r="A79" s="14">
        <v>5</v>
      </c>
      <c r="B79" s="19" t="s">
        <v>22</v>
      </c>
      <c r="C79" s="158">
        <v>0</v>
      </c>
      <c r="D79" s="158">
        <v>0</v>
      </c>
      <c r="E79" s="158">
        <v>0</v>
      </c>
      <c r="F79" s="158">
        <v>0</v>
      </c>
      <c r="G79" s="158">
        <v>0</v>
      </c>
      <c r="H79" s="158">
        <v>0</v>
      </c>
      <c r="I79" s="158">
        <v>0</v>
      </c>
      <c r="J79" s="158">
        <v>0</v>
      </c>
      <c r="K79" s="158">
        <v>0</v>
      </c>
      <c r="L79" s="158">
        <v>0</v>
      </c>
      <c r="M79" s="158">
        <v>0</v>
      </c>
      <c r="N79" s="158">
        <v>0</v>
      </c>
      <c r="O79" s="166">
        <f t="shared" si="6"/>
        <v>0</v>
      </c>
      <c r="Q79" s="104">
        <f t="shared" si="7"/>
        <v>0</v>
      </c>
    </row>
    <row r="80" spans="1:17" ht="18.75" customHeight="1" x14ac:dyDescent="0.25">
      <c r="A80" s="14">
        <v>6</v>
      </c>
      <c r="B80" s="19" t="s">
        <v>23</v>
      </c>
      <c r="C80" s="158">
        <v>0</v>
      </c>
      <c r="D80" s="158">
        <v>0</v>
      </c>
      <c r="E80" s="158">
        <v>0</v>
      </c>
      <c r="F80" s="158">
        <v>0</v>
      </c>
      <c r="G80" s="158">
        <v>0</v>
      </c>
      <c r="H80" s="158">
        <v>0</v>
      </c>
      <c r="I80" s="158">
        <v>0</v>
      </c>
      <c r="J80" s="158">
        <v>0</v>
      </c>
      <c r="K80" s="158">
        <v>0</v>
      </c>
      <c r="L80" s="158">
        <v>0</v>
      </c>
      <c r="M80" s="158">
        <v>0</v>
      </c>
      <c r="N80" s="158">
        <v>0</v>
      </c>
      <c r="O80" s="166">
        <f t="shared" si="6"/>
        <v>0</v>
      </c>
      <c r="Q80" s="104">
        <f t="shared" si="7"/>
        <v>0</v>
      </c>
    </row>
    <row r="81" spans="1:17" ht="18.75" customHeight="1" x14ac:dyDescent="0.25">
      <c r="A81" s="14">
        <v>7</v>
      </c>
      <c r="B81" s="19" t="s">
        <v>24</v>
      </c>
      <c r="C81" s="158">
        <v>0</v>
      </c>
      <c r="D81" s="158">
        <v>0</v>
      </c>
      <c r="E81" s="158">
        <v>0</v>
      </c>
      <c r="F81" s="158">
        <v>0</v>
      </c>
      <c r="G81" s="158">
        <v>0</v>
      </c>
      <c r="H81" s="158">
        <v>0</v>
      </c>
      <c r="I81" s="158">
        <v>0</v>
      </c>
      <c r="J81" s="158">
        <v>0</v>
      </c>
      <c r="K81" s="158">
        <v>0</v>
      </c>
      <c r="L81" s="158">
        <v>0</v>
      </c>
      <c r="M81" s="158">
        <v>0</v>
      </c>
      <c r="N81" s="158">
        <v>0</v>
      </c>
      <c r="O81" s="166">
        <f t="shared" si="6"/>
        <v>0</v>
      </c>
      <c r="Q81" s="104">
        <f t="shared" si="7"/>
        <v>0</v>
      </c>
    </row>
    <row r="82" spans="1:17" ht="18.75" customHeight="1" thickBot="1" x14ac:dyDescent="0.3">
      <c r="A82" s="20">
        <v>8</v>
      </c>
      <c r="B82" s="15" t="s">
        <v>25</v>
      </c>
      <c r="C82" s="162">
        <v>0</v>
      </c>
      <c r="D82" s="162">
        <v>0</v>
      </c>
      <c r="E82" s="162">
        <v>0</v>
      </c>
      <c r="F82" s="162">
        <v>0</v>
      </c>
      <c r="G82" s="162">
        <v>0</v>
      </c>
      <c r="H82" s="162">
        <v>0</v>
      </c>
      <c r="I82" s="162">
        <v>0</v>
      </c>
      <c r="J82" s="162">
        <v>0</v>
      </c>
      <c r="K82" s="162">
        <v>0</v>
      </c>
      <c r="L82" s="162">
        <v>0</v>
      </c>
      <c r="M82" s="162">
        <v>0</v>
      </c>
      <c r="N82" s="162">
        <v>0</v>
      </c>
      <c r="O82" s="167">
        <f t="shared" si="6"/>
        <v>0</v>
      </c>
      <c r="Q82" s="104">
        <f t="shared" si="7"/>
        <v>0</v>
      </c>
    </row>
    <row r="83" spans="1:17" ht="18.75" customHeight="1" thickTop="1" x14ac:dyDescent="0.25">
      <c r="A83" s="320" t="s">
        <v>26</v>
      </c>
      <c r="B83" s="321"/>
      <c r="C83" s="159">
        <f t="shared" ref="C83:O83" si="8">SUM(C75:C82)</f>
        <v>0</v>
      </c>
      <c r="D83" s="159">
        <f t="shared" si="8"/>
        <v>0</v>
      </c>
      <c r="E83" s="159">
        <f t="shared" si="8"/>
        <v>0</v>
      </c>
      <c r="F83" s="159">
        <f t="shared" si="8"/>
        <v>0</v>
      </c>
      <c r="G83" s="159">
        <f t="shared" si="8"/>
        <v>0</v>
      </c>
      <c r="H83" s="159">
        <f t="shared" si="8"/>
        <v>0</v>
      </c>
      <c r="I83" s="159">
        <f t="shared" si="8"/>
        <v>0</v>
      </c>
      <c r="J83" s="159">
        <f t="shared" si="8"/>
        <v>0</v>
      </c>
      <c r="K83" s="159">
        <f t="shared" si="8"/>
        <v>0</v>
      </c>
      <c r="L83" s="159">
        <f t="shared" si="8"/>
        <v>0</v>
      </c>
      <c r="M83" s="159">
        <f t="shared" si="8"/>
        <v>0</v>
      </c>
      <c r="N83" s="159">
        <f t="shared" si="8"/>
        <v>0</v>
      </c>
      <c r="O83" s="159">
        <f t="shared" si="8"/>
        <v>0</v>
      </c>
    </row>
    <row r="84" spans="1:17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7" x14ac:dyDescent="0.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</row>
    <row r="86" spans="1:17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spans="1:17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</row>
    <row r="88" spans="1:17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17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1:17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1:17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1:17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1:17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</row>
    <row r="94" spans="1:17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7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7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1:15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5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5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5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5" ht="18.75" x14ac:dyDescent="0.3">
      <c r="A101" s="322" t="s">
        <v>60</v>
      </c>
      <c r="B101" s="322"/>
      <c r="C101" s="322"/>
      <c r="D101" s="322"/>
      <c r="E101" s="322"/>
      <c r="F101" s="322"/>
      <c r="G101" s="322"/>
      <c r="H101" s="322"/>
      <c r="I101" s="322"/>
      <c r="J101" s="322"/>
      <c r="K101" s="322"/>
      <c r="L101" s="322"/>
      <c r="M101" s="322"/>
      <c r="N101" s="322"/>
      <c r="O101" s="322"/>
    </row>
    <row r="102" spans="1:15" ht="18.75" x14ac:dyDescent="0.3">
      <c r="A102" s="322" t="s">
        <v>148</v>
      </c>
      <c r="B102" s="322"/>
      <c r="C102" s="322"/>
      <c r="D102" s="322"/>
      <c r="E102" s="322"/>
      <c r="F102" s="322"/>
      <c r="G102" s="322"/>
      <c r="H102" s="322"/>
      <c r="I102" s="322"/>
      <c r="J102" s="322"/>
      <c r="K102" s="322"/>
      <c r="L102" s="322"/>
      <c r="M102" s="322"/>
      <c r="N102" s="322"/>
      <c r="O102" s="322"/>
    </row>
    <row r="103" spans="1:15" ht="18.7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5" x14ac:dyDescent="0.25">
      <c r="A105" s="323" t="s">
        <v>2</v>
      </c>
      <c r="B105" s="323" t="s">
        <v>3</v>
      </c>
      <c r="C105" s="325" t="s">
        <v>4</v>
      </c>
      <c r="D105" s="325"/>
      <c r="E105" s="325"/>
      <c r="F105" s="325"/>
      <c r="G105" s="325"/>
      <c r="H105" s="325"/>
      <c r="I105" s="325"/>
      <c r="J105" s="325"/>
      <c r="K105" s="325"/>
      <c r="L105" s="325"/>
      <c r="M105" s="325"/>
      <c r="N105" s="325"/>
      <c r="O105" s="323" t="s">
        <v>5</v>
      </c>
    </row>
    <row r="106" spans="1:15" x14ac:dyDescent="0.25">
      <c r="A106" s="324"/>
      <c r="B106" s="324"/>
      <c r="C106" s="25" t="s">
        <v>6</v>
      </c>
      <c r="D106" s="25" t="s">
        <v>7</v>
      </c>
      <c r="E106" s="25" t="s">
        <v>8</v>
      </c>
      <c r="F106" s="25" t="s">
        <v>9</v>
      </c>
      <c r="G106" s="25" t="s">
        <v>10</v>
      </c>
      <c r="H106" s="25" t="s">
        <v>11</v>
      </c>
      <c r="I106" s="25" t="s">
        <v>12</v>
      </c>
      <c r="J106" s="25" t="s">
        <v>13</v>
      </c>
      <c r="K106" s="25" t="s">
        <v>14</v>
      </c>
      <c r="L106" s="25" t="s">
        <v>15</v>
      </c>
      <c r="M106" s="25" t="s">
        <v>16</v>
      </c>
      <c r="N106" s="25" t="s">
        <v>17</v>
      </c>
      <c r="O106" s="326"/>
    </row>
    <row r="107" spans="1:15" ht="15.75" thickBot="1" x14ac:dyDescent="0.3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</row>
    <row r="108" spans="1:15" ht="18.75" customHeight="1" thickTop="1" x14ac:dyDescent="0.25">
      <c r="A108" s="27">
        <v>1</v>
      </c>
      <c r="B108" s="7" t="s">
        <v>18</v>
      </c>
      <c r="C108" s="32">
        <v>0</v>
      </c>
      <c r="D108" s="28">
        <v>0</v>
      </c>
      <c r="E108" s="28">
        <v>0</v>
      </c>
      <c r="F108" s="28">
        <v>0</v>
      </c>
      <c r="G108" s="28">
        <v>0</v>
      </c>
      <c r="H108" s="28">
        <v>0</v>
      </c>
      <c r="I108" s="28">
        <v>0</v>
      </c>
      <c r="J108" s="28">
        <v>0</v>
      </c>
      <c r="K108" s="28">
        <v>0</v>
      </c>
      <c r="L108" s="28">
        <v>0</v>
      </c>
      <c r="M108" s="28">
        <v>0</v>
      </c>
      <c r="N108" s="28">
        <v>0</v>
      </c>
      <c r="O108" s="33">
        <v>0</v>
      </c>
    </row>
    <row r="109" spans="1:15" ht="18.75" customHeight="1" x14ac:dyDescent="0.25">
      <c r="A109" s="14">
        <v>2</v>
      </c>
      <c r="B109" s="12" t="s">
        <v>19</v>
      </c>
      <c r="C109" s="34">
        <v>0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35">
        <v>0</v>
      </c>
    </row>
    <row r="110" spans="1:15" ht="18.75" customHeight="1" x14ac:dyDescent="0.25">
      <c r="A110" s="14">
        <v>3</v>
      </c>
      <c r="B110" s="7" t="s">
        <v>20</v>
      </c>
      <c r="C110" s="34">
        <v>0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35">
        <v>0</v>
      </c>
    </row>
    <row r="111" spans="1:15" ht="18.75" customHeight="1" x14ac:dyDescent="0.25">
      <c r="A111" s="14">
        <v>4</v>
      </c>
      <c r="B111" s="15" t="s">
        <v>21</v>
      </c>
      <c r="C111" s="34">
        <v>0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35">
        <v>0</v>
      </c>
    </row>
    <row r="112" spans="1:15" ht="18.75" customHeight="1" x14ac:dyDescent="0.25">
      <c r="A112" s="14">
        <v>5</v>
      </c>
      <c r="B112" s="19" t="s">
        <v>22</v>
      </c>
      <c r="C112" s="34">
        <v>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35">
        <v>0</v>
      </c>
    </row>
    <row r="113" spans="1:16" ht="18.75" customHeight="1" x14ac:dyDescent="0.25">
      <c r="A113" s="14">
        <v>6</v>
      </c>
      <c r="B113" s="19" t="s">
        <v>23</v>
      </c>
      <c r="C113" s="34">
        <v>0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35">
        <v>0</v>
      </c>
    </row>
    <row r="114" spans="1:16" ht="18.75" customHeight="1" x14ac:dyDescent="0.25">
      <c r="A114" s="14">
        <v>7</v>
      </c>
      <c r="B114" s="19" t="s">
        <v>24</v>
      </c>
      <c r="C114" s="34">
        <v>0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35">
        <v>0</v>
      </c>
    </row>
    <row r="115" spans="1:16" ht="18.75" customHeight="1" thickBot="1" x14ac:dyDescent="0.3">
      <c r="A115" s="20">
        <v>8</v>
      </c>
      <c r="B115" s="15" t="s">
        <v>25</v>
      </c>
      <c r="C115" s="36">
        <v>0</v>
      </c>
      <c r="D115" s="17">
        <v>0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35">
        <v>0</v>
      </c>
    </row>
    <row r="116" spans="1:16" ht="18.75" customHeight="1" thickTop="1" x14ac:dyDescent="0.25">
      <c r="A116" s="320" t="s">
        <v>26</v>
      </c>
      <c r="B116" s="321"/>
      <c r="C116" s="38">
        <v>0</v>
      </c>
      <c r="D116" s="38">
        <f>SUM(D108:D115)</f>
        <v>0</v>
      </c>
      <c r="E116" s="38">
        <f t="shared" ref="E116:N116" si="9">SUM(E108:E115)</f>
        <v>0</v>
      </c>
      <c r="F116" s="38">
        <f t="shared" si="9"/>
        <v>0</v>
      </c>
      <c r="G116" s="38">
        <f t="shared" si="9"/>
        <v>0</v>
      </c>
      <c r="H116" s="38">
        <f t="shared" si="9"/>
        <v>0</v>
      </c>
      <c r="I116" s="38">
        <f t="shared" si="9"/>
        <v>0</v>
      </c>
      <c r="J116" s="38">
        <f t="shared" si="9"/>
        <v>0</v>
      </c>
      <c r="K116" s="38">
        <f t="shared" si="9"/>
        <v>0</v>
      </c>
      <c r="L116" s="38">
        <f t="shared" si="9"/>
        <v>0</v>
      </c>
      <c r="M116" s="38">
        <f t="shared" si="9"/>
        <v>0</v>
      </c>
      <c r="N116" s="38">
        <f t="shared" si="9"/>
        <v>0</v>
      </c>
      <c r="O116" s="38">
        <f>SUM(O108:O115)</f>
        <v>0</v>
      </c>
      <c r="P116" s="71"/>
    </row>
    <row r="117" spans="1:16" x14ac:dyDescent="0.2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</row>
    <row r="119" spans="1:16" x14ac:dyDescent="0.25">
      <c r="L119" s="41" t="s">
        <v>146</v>
      </c>
    </row>
    <row r="120" spans="1:16" x14ac:dyDescent="0.25">
      <c r="L120" s="41" t="s">
        <v>95</v>
      </c>
    </row>
    <row r="121" spans="1:16" x14ac:dyDescent="0.25">
      <c r="L121" s="41" t="s">
        <v>84</v>
      </c>
    </row>
    <row r="122" spans="1:16" x14ac:dyDescent="0.25">
      <c r="L122" s="41"/>
    </row>
    <row r="123" spans="1:16" x14ac:dyDescent="0.25">
      <c r="L123" s="41"/>
    </row>
    <row r="124" spans="1:16" x14ac:dyDescent="0.25">
      <c r="L124" s="41"/>
    </row>
    <row r="125" spans="1:16" x14ac:dyDescent="0.25">
      <c r="L125" s="299" t="s">
        <v>147</v>
      </c>
    </row>
    <row r="126" spans="1:16" x14ac:dyDescent="0.25">
      <c r="L126" s="41" t="s">
        <v>97</v>
      </c>
    </row>
  </sheetData>
  <mergeCells count="28">
    <mergeCell ref="A2:O2"/>
    <mergeCell ref="A3:O3"/>
    <mergeCell ref="A6:A7"/>
    <mergeCell ref="B6:B7"/>
    <mergeCell ref="C6:N6"/>
    <mergeCell ref="O6:O7"/>
    <mergeCell ref="A17:B17"/>
    <mergeCell ref="A35:O35"/>
    <mergeCell ref="A36:O36"/>
    <mergeCell ref="A39:A40"/>
    <mergeCell ref="B39:B40"/>
    <mergeCell ref="C39:N39"/>
    <mergeCell ref="O39:O40"/>
    <mergeCell ref="A50:B50"/>
    <mergeCell ref="A68:O68"/>
    <mergeCell ref="A69:O69"/>
    <mergeCell ref="A72:A73"/>
    <mergeCell ref="B72:B73"/>
    <mergeCell ref="C72:N72"/>
    <mergeCell ref="O72:O73"/>
    <mergeCell ref="A116:B116"/>
    <mergeCell ref="A83:B83"/>
    <mergeCell ref="A101:O101"/>
    <mergeCell ref="A102:O102"/>
    <mergeCell ref="A105:A106"/>
    <mergeCell ref="B105:B106"/>
    <mergeCell ref="C105:N105"/>
    <mergeCell ref="O105:O106"/>
  </mergeCells>
  <pageMargins left="1.5748031496062993" right="0.39370078740157483" top="0.94488188976377963" bottom="0.74803149606299213" header="0.31496062992125984" footer="0.31496062992125984"/>
  <pageSetup paperSize="9" scale="90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S126"/>
  <sheetViews>
    <sheetView zoomScale="90" zoomScaleNormal="90" workbookViewId="0">
      <selection activeCell="O85" sqref="O85"/>
    </sheetView>
  </sheetViews>
  <sheetFormatPr defaultRowHeight="15" x14ac:dyDescent="0.25"/>
  <cols>
    <col min="1" max="1" width="4" customWidth="1"/>
    <col min="2" max="2" width="14.28515625" customWidth="1"/>
    <col min="3" max="15" width="8.5703125" customWidth="1"/>
    <col min="16" max="16" width="10" bestFit="1" customWidth="1"/>
  </cols>
  <sheetData>
    <row r="2" spans="1:17" ht="18.75" x14ac:dyDescent="0.3">
      <c r="A2" s="333" t="s">
        <v>41</v>
      </c>
      <c r="B2" s="333"/>
      <c r="C2" s="333"/>
      <c r="D2" s="333"/>
      <c r="E2" s="333"/>
      <c r="F2" s="333"/>
      <c r="G2" s="333"/>
      <c r="H2" s="333"/>
      <c r="I2" s="333"/>
      <c r="J2" s="333"/>
      <c r="K2" s="333"/>
      <c r="L2" s="333"/>
      <c r="M2" s="333"/>
      <c r="N2" s="333"/>
      <c r="O2" s="333"/>
    </row>
    <row r="3" spans="1:17" ht="18.75" x14ac:dyDescent="0.3">
      <c r="A3" s="322" t="s">
        <v>148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  <c r="M3" s="322"/>
      <c r="N3" s="322"/>
      <c r="O3" s="322"/>
    </row>
    <row r="4" spans="1:17" ht="18.7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7" x14ac:dyDescent="0.25">
      <c r="A6" s="323" t="s">
        <v>2</v>
      </c>
      <c r="B6" s="323" t="s">
        <v>3</v>
      </c>
      <c r="C6" s="325" t="s">
        <v>4</v>
      </c>
      <c r="D6" s="325"/>
      <c r="E6" s="325"/>
      <c r="F6" s="325"/>
      <c r="G6" s="325"/>
      <c r="H6" s="325"/>
      <c r="I6" s="325"/>
      <c r="J6" s="325"/>
      <c r="K6" s="325"/>
      <c r="L6" s="325"/>
      <c r="M6" s="325"/>
      <c r="N6" s="325"/>
      <c r="O6" s="323" t="s">
        <v>5</v>
      </c>
    </row>
    <row r="7" spans="1:17" x14ac:dyDescent="0.25">
      <c r="A7" s="324"/>
      <c r="B7" s="324"/>
      <c r="C7" s="25" t="s">
        <v>6</v>
      </c>
      <c r="D7" s="25" t="s">
        <v>7</v>
      </c>
      <c r="E7" s="25" t="s">
        <v>8</v>
      </c>
      <c r="F7" s="25" t="s">
        <v>9</v>
      </c>
      <c r="G7" s="25" t="s">
        <v>10</v>
      </c>
      <c r="H7" s="25" t="s">
        <v>11</v>
      </c>
      <c r="I7" s="25" t="s">
        <v>12</v>
      </c>
      <c r="J7" s="25" t="s">
        <v>13</v>
      </c>
      <c r="K7" s="25" t="s">
        <v>14</v>
      </c>
      <c r="L7" s="25" t="s">
        <v>15</v>
      </c>
      <c r="M7" s="25" t="s">
        <v>16</v>
      </c>
      <c r="N7" s="25" t="s">
        <v>17</v>
      </c>
      <c r="O7" s="326"/>
    </row>
    <row r="8" spans="1:17" ht="15.75" thickBot="1" x14ac:dyDescent="0.3">
      <c r="A8" s="26">
        <v>1</v>
      </c>
      <c r="B8" s="26">
        <v>2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</row>
    <row r="9" spans="1:17" ht="18.75" customHeight="1" thickTop="1" x14ac:dyDescent="0.25">
      <c r="A9" s="27">
        <v>1</v>
      </c>
      <c r="B9" s="7" t="s">
        <v>18</v>
      </c>
      <c r="C9" s="28">
        <v>60</v>
      </c>
      <c r="D9" s="28">
        <v>40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46">
        <v>0</v>
      </c>
      <c r="M9" s="28">
        <v>0</v>
      </c>
      <c r="N9" s="28">
        <v>0</v>
      </c>
      <c r="O9" s="29">
        <f>SUM(C9:N9)</f>
        <v>100</v>
      </c>
      <c r="P9" s="104">
        <f>SUM(I9:K9)</f>
        <v>0</v>
      </c>
      <c r="Q9" s="104">
        <f>SUM(F9:K9)</f>
        <v>0</v>
      </c>
    </row>
    <row r="10" spans="1:17" ht="18.75" customHeight="1" x14ac:dyDescent="0.25">
      <c r="A10" s="14">
        <v>2</v>
      </c>
      <c r="B10" s="12" t="s">
        <v>19</v>
      </c>
      <c r="C10" s="16">
        <v>45</v>
      </c>
      <c r="D10" s="16">
        <v>0</v>
      </c>
      <c r="E10" s="16">
        <v>110</v>
      </c>
      <c r="F10" s="16">
        <v>35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47">
        <v>2</v>
      </c>
      <c r="M10" s="16">
        <v>106</v>
      </c>
      <c r="N10" s="16">
        <v>45</v>
      </c>
      <c r="O10" s="18">
        <f t="shared" ref="O10:O16" si="0">SUM(C10:N10)</f>
        <v>343</v>
      </c>
      <c r="P10" s="104">
        <f t="shared" ref="P10:P16" si="1">SUM(I10:K10)</f>
        <v>0</v>
      </c>
      <c r="Q10" s="104">
        <f t="shared" ref="Q10:Q16" si="2">SUM(F10:K10)</f>
        <v>35</v>
      </c>
    </row>
    <row r="11" spans="1:17" ht="18.75" customHeight="1" x14ac:dyDescent="0.25">
      <c r="A11" s="14">
        <v>3</v>
      </c>
      <c r="B11" s="7" t="s">
        <v>20</v>
      </c>
      <c r="C11" s="16">
        <v>80</v>
      </c>
      <c r="D11" s="16">
        <v>0</v>
      </c>
      <c r="E11" s="69">
        <v>0</v>
      </c>
      <c r="F11" s="16">
        <v>120</v>
      </c>
      <c r="G11" s="16">
        <v>0</v>
      </c>
      <c r="H11" s="16">
        <v>0</v>
      </c>
      <c r="I11" s="16">
        <v>80</v>
      </c>
      <c r="J11" s="16">
        <v>0</v>
      </c>
      <c r="K11" s="16">
        <v>0</v>
      </c>
      <c r="L11" s="16">
        <v>110</v>
      </c>
      <c r="M11" s="16">
        <v>0</v>
      </c>
      <c r="N11" s="16">
        <v>50</v>
      </c>
      <c r="O11" s="18">
        <f t="shared" si="0"/>
        <v>440</v>
      </c>
      <c r="P11" s="104">
        <f t="shared" si="1"/>
        <v>80</v>
      </c>
      <c r="Q11" s="104">
        <f t="shared" si="2"/>
        <v>200</v>
      </c>
    </row>
    <row r="12" spans="1:17" ht="18.75" customHeight="1" x14ac:dyDescent="0.25">
      <c r="A12" s="14">
        <v>4</v>
      </c>
      <c r="B12" s="15" t="s">
        <v>21</v>
      </c>
      <c r="C12" s="16">
        <v>15</v>
      </c>
      <c r="D12" s="16">
        <v>0</v>
      </c>
      <c r="E12" s="16">
        <v>18</v>
      </c>
      <c r="F12" s="16">
        <v>10</v>
      </c>
      <c r="G12" s="16">
        <v>0</v>
      </c>
      <c r="H12" s="16">
        <v>25</v>
      </c>
      <c r="I12" s="16">
        <v>15</v>
      </c>
      <c r="J12" s="16">
        <v>5</v>
      </c>
      <c r="K12" s="16">
        <v>11</v>
      </c>
      <c r="L12" s="16">
        <v>0</v>
      </c>
      <c r="M12" s="16">
        <v>0</v>
      </c>
      <c r="N12" s="16">
        <v>0</v>
      </c>
      <c r="O12" s="18">
        <f t="shared" si="0"/>
        <v>99</v>
      </c>
      <c r="P12" s="104">
        <f t="shared" si="1"/>
        <v>31</v>
      </c>
      <c r="Q12" s="104">
        <f t="shared" si="2"/>
        <v>66</v>
      </c>
    </row>
    <row r="13" spans="1:17" ht="18.75" customHeight="1" x14ac:dyDescent="0.25">
      <c r="A13" s="14">
        <v>5</v>
      </c>
      <c r="B13" s="19" t="s">
        <v>22</v>
      </c>
      <c r="C13" s="16">
        <v>0</v>
      </c>
      <c r="D13" s="16">
        <v>0</v>
      </c>
      <c r="E13" s="16">
        <v>0</v>
      </c>
      <c r="F13" s="16">
        <v>62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25</v>
      </c>
      <c r="O13" s="18">
        <f t="shared" si="0"/>
        <v>87</v>
      </c>
      <c r="P13" s="104">
        <f t="shared" si="1"/>
        <v>0</v>
      </c>
      <c r="Q13" s="104">
        <f t="shared" si="2"/>
        <v>62</v>
      </c>
    </row>
    <row r="14" spans="1:17" ht="18.75" customHeight="1" x14ac:dyDescent="0.25">
      <c r="A14" s="14">
        <v>6</v>
      </c>
      <c r="B14" s="19" t="s">
        <v>23</v>
      </c>
      <c r="C14" s="16">
        <v>25</v>
      </c>
      <c r="D14" s="16">
        <v>0</v>
      </c>
      <c r="E14" s="16">
        <v>40</v>
      </c>
      <c r="F14" s="16">
        <v>25</v>
      </c>
      <c r="G14" s="16">
        <v>0</v>
      </c>
      <c r="H14" s="16">
        <v>0</v>
      </c>
      <c r="I14" s="16">
        <v>2</v>
      </c>
      <c r="J14" s="16">
        <v>0</v>
      </c>
      <c r="K14" s="16">
        <v>0</v>
      </c>
      <c r="L14" s="16">
        <v>0</v>
      </c>
      <c r="M14" s="16">
        <v>30</v>
      </c>
      <c r="N14" s="16">
        <v>271</v>
      </c>
      <c r="O14" s="18">
        <f t="shared" si="0"/>
        <v>393</v>
      </c>
      <c r="P14" s="104">
        <f t="shared" si="1"/>
        <v>2</v>
      </c>
      <c r="Q14" s="104">
        <f t="shared" si="2"/>
        <v>27</v>
      </c>
    </row>
    <row r="15" spans="1:17" ht="18.75" customHeight="1" x14ac:dyDescent="0.25">
      <c r="A15" s="14">
        <v>7</v>
      </c>
      <c r="B15" s="19" t="s">
        <v>24</v>
      </c>
      <c r="C15" s="16">
        <v>0</v>
      </c>
      <c r="D15" s="16">
        <v>0</v>
      </c>
      <c r="E15" s="16">
        <v>0</v>
      </c>
      <c r="F15" s="16">
        <v>1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8">
        <f t="shared" si="0"/>
        <v>1</v>
      </c>
      <c r="P15" s="104">
        <f t="shared" si="1"/>
        <v>0</v>
      </c>
      <c r="Q15" s="104">
        <f t="shared" si="2"/>
        <v>1</v>
      </c>
    </row>
    <row r="16" spans="1:17" ht="18.75" customHeight="1" thickBot="1" x14ac:dyDescent="0.3">
      <c r="A16" s="20">
        <v>8</v>
      </c>
      <c r="B16" s="15" t="s">
        <v>25</v>
      </c>
      <c r="C16" s="17">
        <v>10</v>
      </c>
      <c r="D16" s="17">
        <v>0</v>
      </c>
      <c r="E16" s="17">
        <v>25</v>
      </c>
      <c r="F16" s="17">
        <v>120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8</v>
      </c>
      <c r="M16" s="17">
        <v>137</v>
      </c>
      <c r="N16" s="17">
        <v>0</v>
      </c>
      <c r="O16" s="21">
        <f t="shared" si="0"/>
        <v>300</v>
      </c>
      <c r="P16" s="104">
        <f t="shared" si="1"/>
        <v>0</v>
      </c>
      <c r="Q16" s="104">
        <f t="shared" si="2"/>
        <v>120</v>
      </c>
    </row>
    <row r="17" spans="1:17" ht="18.75" customHeight="1" thickTop="1" x14ac:dyDescent="0.25">
      <c r="A17" s="320" t="s">
        <v>26</v>
      </c>
      <c r="B17" s="321"/>
      <c r="C17" s="22">
        <f t="shared" ref="C17:P17" si="3">SUM(C9:C16)</f>
        <v>235</v>
      </c>
      <c r="D17" s="22">
        <f t="shared" si="3"/>
        <v>40</v>
      </c>
      <c r="E17" s="70">
        <f t="shared" si="3"/>
        <v>193</v>
      </c>
      <c r="F17" s="22">
        <f t="shared" si="3"/>
        <v>373</v>
      </c>
      <c r="G17" s="22">
        <f t="shared" si="3"/>
        <v>0</v>
      </c>
      <c r="H17" s="22">
        <f t="shared" si="3"/>
        <v>25</v>
      </c>
      <c r="I17" s="22">
        <f t="shared" si="3"/>
        <v>97</v>
      </c>
      <c r="J17" s="22">
        <f t="shared" si="3"/>
        <v>5</v>
      </c>
      <c r="K17" s="22">
        <f t="shared" si="3"/>
        <v>11</v>
      </c>
      <c r="L17" s="22">
        <f t="shared" si="3"/>
        <v>120</v>
      </c>
      <c r="M17" s="22">
        <f t="shared" si="3"/>
        <v>273</v>
      </c>
      <c r="N17" s="22">
        <f t="shared" si="3"/>
        <v>391</v>
      </c>
      <c r="O17" s="22">
        <f t="shared" si="3"/>
        <v>1763</v>
      </c>
      <c r="P17" s="244">
        <f t="shared" si="3"/>
        <v>113</v>
      </c>
      <c r="Q17" s="104">
        <f>SUM(I9:K9)</f>
        <v>0</v>
      </c>
    </row>
    <row r="18" spans="1:17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7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139">
        <f>SUM(C17:J17)</f>
        <v>968</v>
      </c>
      <c r="K19" s="23"/>
      <c r="L19" s="23"/>
      <c r="M19" s="23"/>
      <c r="N19" s="23"/>
      <c r="O19" s="23"/>
    </row>
    <row r="20" spans="1:17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7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7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7" x14ac:dyDescent="0.25">
      <c r="A23" s="23"/>
      <c r="B23" s="23"/>
      <c r="C23" s="23"/>
      <c r="D23" s="23"/>
      <c r="E23" s="23"/>
      <c r="F23" s="23"/>
      <c r="G23" s="23"/>
      <c r="H23" s="23" t="s">
        <v>101</v>
      </c>
      <c r="I23" s="23"/>
      <c r="J23" s="23"/>
      <c r="K23" s="23"/>
      <c r="L23" s="23"/>
      <c r="M23" s="23"/>
      <c r="N23" s="23"/>
      <c r="O23" s="23"/>
    </row>
    <row r="24" spans="1:17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7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7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7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7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7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7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7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7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7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7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</row>
    <row r="35" spans="1:17" ht="18.75" x14ac:dyDescent="0.3">
      <c r="A35" s="322" t="s">
        <v>42</v>
      </c>
      <c r="B35" s="322"/>
      <c r="C35" s="322"/>
      <c r="D35" s="322"/>
      <c r="E35" s="322"/>
      <c r="F35" s="322"/>
      <c r="G35" s="322"/>
      <c r="H35" s="322"/>
      <c r="I35" s="322"/>
      <c r="J35" s="322"/>
      <c r="K35" s="322"/>
      <c r="L35" s="322"/>
      <c r="M35" s="322"/>
      <c r="N35" s="322"/>
      <c r="O35" s="322"/>
    </row>
    <row r="36" spans="1:17" ht="18.75" x14ac:dyDescent="0.3">
      <c r="A36" s="322" t="s">
        <v>148</v>
      </c>
      <c r="B36" s="322"/>
      <c r="C36" s="322"/>
      <c r="D36" s="322"/>
      <c r="E36" s="322"/>
      <c r="F36" s="322"/>
      <c r="G36" s="322"/>
      <c r="H36" s="322"/>
      <c r="I36" s="322"/>
      <c r="J36" s="322"/>
      <c r="K36" s="322"/>
      <c r="L36" s="322"/>
      <c r="M36" s="322"/>
      <c r="N36" s="322"/>
      <c r="O36" s="322"/>
    </row>
    <row r="37" spans="1:17" ht="18.7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7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7" x14ac:dyDescent="0.25">
      <c r="A39" s="323" t="s">
        <v>2</v>
      </c>
      <c r="B39" s="323" t="s">
        <v>3</v>
      </c>
      <c r="C39" s="325" t="s">
        <v>4</v>
      </c>
      <c r="D39" s="325"/>
      <c r="E39" s="325"/>
      <c r="F39" s="325"/>
      <c r="G39" s="325"/>
      <c r="H39" s="325"/>
      <c r="I39" s="325"/>
      <c r="J39" s="325"/>
      <c r="K39" s="325"/>
      <c r="L39" s="325"/>
      <c r="M39" s="325"/>
      <c r="N39" s="325"/>
      <c r="O39" s="323" t="s">
        <v>5</v>
      </c>
    </row>
    <row r="40" spans="1:17" x14ac:dyDescent="0.25">
      <c r="A40" s="324"/>
      <c r="B40" s="324"/>
      <c r="C40" s="25" t="s">
        <v>6</v>
      </c>
      <c r="D40" s="25" t="s">
        <v>7</v>
      </c>
      <c r="E40" s="25" t="s">
        <v>8</v>
      </c>
      <c r="F40" s="25" t="s">
        <v>9</v>
      </c>
      <c r="G40" s="25" t="s">
        <v>10</v>
      </c>
      <c r="H40" s="25" t="s">
        <v>11</v>
      </c>
      <c r="I40" s="25" t="s">
        <v>12</v>
      </c>
      <c r="J40" s="25" t="s">
        <v>13</v>
      </c>
      <c r="K40" s="25" t="s">
        <v>14</v>
      </c>
      <c r="L40" s="25" t="s">
        <v>15</v>
      </c>
      <c r="M40" s="25" t="s">
        <v>16</v>
      </c>
      <c r="N40" s="25" t="s">
        <v>17</v>
      </c>
      <c r="O40" s="326"/>
    </row>
    <row r="41" spans="1:17" ht="15.75" thickBot="1" x14ac:dyDescent="0.3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</row>
    <row r="42" spans="1:17" ht="18.75" customHeight="1" thickTop="1" x14ac:dyDescent="0.25">
      <c r="A42" s="27">
        <v>1</v>
      </c>
      <c r="B42" s="7" t="s">
        <v>18</v>
      </c>
      <c r="C42" s="46">
        <v>0</v>
      </c>
      <c r="D42" s="28">
        <v>0</v>
      </c>
      <c r="E42" s="28">
        <v>0</v>
      </c>
      <c r="F42" s="28">
        <v>60</v>
      </c>
      <c r="G42" s="271">
        <v>40</v>
      </c>
      <c r="H42" s="28">
        <v>0</v>
      </c>
      <c r="I42" s="28">
        <v>0</v>
      </c>
      <c r="J42" s="46">
        <v>0</v>
      </c>
      <c r="K42" s="28">
        <v>0</v>
      </c>
      <c r="L42" s="28">
        <v>0</v>
      </c>
      <c r="M42" s="28">
        <v>0</v>
      </c>
      <c r="N42" s="28">
        <v>0</v>
      </c>
      <c r="O42" s="29">
        <f>SUM(C42:N42)</f>
        <v>100</v>
      </c>
      <c r="Q42" s="104">
        <f>SUM(F42:K42)</f>
        <v>100</v>
      </c>
    </row>
    <row r="43" spans="1:17" ht="18.75" customHeight="1" x14ac:dyDescent="0.25">
      <c r="A43" s="14">
        <v>2</v>
      </c>
      <c r="B43" s="12" t="s">
        <v>19</v>
      </c>
      <c r="C43" s="47">
        <v>0</v>
      </c>
      <c r="D43" s="16">
        <v>0</v>
      </c>
      <c r="E43" s="16">
        <v>135</v>
      </c>
      <c r="F43" s="16">
        <v>45</v>
      </c>
      <c r="G43" s="69">
        <v>0</v>
      </c>
      <c r="H43" s="16">
        <v>110</v>
      </c>
      <c r="I43" s="16">
        <v>35</v>
      </c>
      <c r="J43" s="47">
        <v>0</v>
      </c>
      <c r="K43" s="16">
        <v>0</v>
      </c>
      <c r="L43" s="16">
        <v>0</v>
      </c>
      <c r="M43" s="16">
        <v>0</v>
      </c>
      <c r="N43" s="16">
        <v>0</v>
      </c>
      <c r="O43" s="18">
        <f t="shared" ref="O43:O49" si="4">SUM(C43:N43)</f>
        <v>325</v>
      </c>
      <c r="Q43" s="104">
        <f t="shared" ref="Q43:Q50" si="5">SUM(F43:K43)</f>
        <v>190</v>
      </c>
    </row>
    <row r="44" spans="1:17" ht="18.75" customHeight="1" x14ac:dyDescent="0.25">
      <c r="A44" s="14">
        <v>3</v>
      </c>
      <c r="B44" s="7" t="s">
        <v>20</v>
      </c>
      <c r="C44" s="16">
        <v>50</v>
      </c>
      <c r="D44" s="16">
        <v>0</v>
      </c>
      <c r="E44" s="16">
        <v>0</v>
      </c>
      <c r="F44" s="16">
        <v>80</v>
      </c>
      <c r="G44" s="69">
        <v>0</v>
      </c>
      <c r="H44" s="16">
        <v>0</v>
      </c>
      <c r="I44" s="16">
        <v>120</v>
      </c>
      <c r="J44" s="16">
        <v>0</v>
      </c>
      <c r="K44" s="16">
        <v>0</v>
      </c>
      <c r="L44" s="16">
        <v>80</v>
      </c>
      <c r="M44" s="16">
        <v>0</v>
      </c>
      <c r="N44" s="16">
        <v>110</v>
      </c>
      <c r="O44" s="18">
        <f t="shared" si="4"/>
        <v>440</v>
      </c>
      <c r="Q44" s="104">
        <f t="shared" si="5"/>
        <v>200</v>
      </c>
    </row>
    <row r="45" spans="1:17" ht="18.75" customHeight="1" x14ac:dyDescent="0.25">
      <c r="A45" s="14">
        <v>4</v>
      </c>
      <c r="B45" s="15" t="s">
        <v>21</v>
      </c>
      <c r="C45" s="16">
        <v>0</v>
      </c>
      <c r="D45" s="16">
        <v>0</v>
      </c>
      <c r="E45" s="16">
        <v>40</v>
      </c>
      <c r="F45" s="16">
        <v>0</v>
      </c>
      <c r="G45" s="69">
        <v>5</v>
      </c>
      <c r="H45" s="16">
        <v>23</v>
      </c>
      <c r="I45" s="16">
        <v>0</v>
      </c>
      <c r="J45" s="16">
        <v>0</v>
      </c>
      <c r="K45" s="16">
        <v>20</v>
      </c>
      <c r="L45" s="16">
        <v>0</v>
      </c>
      <c r="M45" s="16">
        <v>0</v>
      </c>
      <c r="N45" s="16">
        <v>0</v>
      </c>
      <c r="O45" s="18">
        <f t="shared" si="4"/>
        <v>88</v>
      </c>
      <c r="Q45" s="104">
        <f t="shared" si="5"/>
        <v>48</v>
      </c>
    </row>
    <row r="46" spans="1:17" ht="18.75" customHeight="1" x14ac:dyDescent="0.25">
      <c r="A46" s="14">
        <v>5</v>
      </c>
      <c r="B46" s="19" t="s">
        <v>22</v>
      </c>
      <c r="C46" s="16">
        <v>0</v>
      </c>
      <c r="D46" s="16">
        <v>0</v>
      </c>
      <c r="E46" s="16">
        <v>271</v>
      </c>
      <c r="F46" s="16">
        <v>0</v>
      </c>
      <c r="G46" s="69">
        <v>0</v>
      </c>
      <c r="H46" s="16">
        <v>12</v>
      </c>
      <c r="I46" s="16">
        <v>50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8">
        <f t="shared" si="4"/>
        <v>333</v>
      </c>
      <c r="Q46" s="104">
        <f t="shared" si="5"/>
        <v>62</v>
      </c>
    </row>
    <row r="47" spans="1:17" ht="18.75" customHeight="1" x14ac:dyDescent="0.25">
      <c r="A47" s="14">
        <v>6</v>
      </c>
      <c r="B47" s="19" t="s">
        <v>23</v>
      </c>
      <c r="C47" s="16">
        <v>0</v>
      </c>
      <c r="D47" s="16">
        <v>45</v>
      </c>
      <c r="E47" s="16">
        <v>25</v>
      </c>
      <c r="F47" s="16">
        <v>0</v>
      </c>
      <c r="G47" s="69">
        <v>0</v>
      </c>
      <c r="H47" s="16">
        <v>40</v>
      </c>
      <c r="I47" s="16">
        <v>25</v>
      </c>
      <c r="J47" s="16">
        <v>0</v>
      </c>
      <c r="K47" s="16">
        <v>2</v>
      </c>
      <c r="L47" s="16">
        <v>0</v>
      </c>
      <c r="M47" s="16">
        <v>0</v>
      </c>
      <c r="N47" s="16">
        <v>0</v>
      </c>
      <c r="O47" s="18">
        <f t="shared" si="4"/>
        <v>137</v>
      </c>
      <c r="Q47" s="104">
        <f t="shared" si="5"/>
        <v>67</v>
      </c>
    </row>
    <row r="48" spans="1:17" ht="18.75" customHeight="1" x14ac:dyDescent="0.25">
      <c r="A48" s="14">
        <v>7</v>
      </c>
      <c r="B48" s="19" t="s">
        <v>24</v>
      </c>
      <c r="C48" s="16">
        <v>0</v>
      </c>
      <c r="D48" s="16">
        <v>0</v>
      </c>
      <c r="E48" s="16">
        <v>1</v>
      </c>
      <c r="F48" s="16">
        <v>0</v>
      </c>
      <c r="G48" s="69">
        <v>0</v>
      </c>
      <c r="H48" s="16">
        <v>0</v>
      </c>
      <c r="I48" s="16">
        <v>1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8">
        <f t="shared" si="4"/>
        <v>2</v>
      </c>
      <c r="Q48" s="104">
        <f t="shared" si="5"/>
        <v>1</v>
      </c>
    </row>
    <row r="49" spans="1:17" ht="18.75" customHeight="1" thickBot="1" x14ac:dyDescent="0.3">
      <c r="A49" s="20">
        <v>8</v>
      </c>
      <c r="B49" s="15" t="s">
        <v>25</v>
      </c>
      <c r="C49" s="17">
        <v>0</v>
      </c>
      <c r="D49" s="17">
        <v>135</v>
      </c>
      <c r="E49" s="17">
        <v>10</v>
      </c>
      <c r="F49" s="17">
        <v>0</v>
      </c>
      <c r="G49" s="272">
        <v>0</v>
      </c>
      <c r="H49" s="17">
        <v>25</v>
      </c>
      <c r="I49" s="17">
        <v>120</v>
      </c>
      <c r="J49" s="17">
        <v>0</v>
      </c>
      <c r="K49" s="17">
        <v>0</v>
      </c>
      <c r="L49" s="17">
        <v>0</v>
      </c>
      <c r="M49" s="17">
        <v>0</v>
      </c>
      <c r="N49" s="17">
        <v>8</v>
      </c>
      <c r="O49" s="21">
        <f t="shared" si="4"/>
        <v>298</v>
      </c>
      <c r="Q49" s="104">
        <f t="shared" si="5"/>
        <v>145</v>
      </c>
    </row>
    <row r="50" spans="1:17" ht="18.75" customHeight="1" thickTop="1" x14ac:dyDescent="0.25">
      <c r="A50" s="320" t="s">
        <v>26</v>
      </c>
      <c r="B50" s="321"/>
      <c r="C50" s="22">
        <f t="shared" ref="C50:O50" si="6">SUM(C42:C49)</f>
        <v>50</v>
      </c>
      <c r="D50" s="22">
        <f>SUM(D42:D49)</f>
        <v>180</v>
      </c>
      <c r="E50" s="22">
        <f t="shared" si="6"/>
        <v>482</v>
      </c>
      <c r="F50" s="22">
        <f t="shared" si="6"/>
        <v>185</v>
      </c>
      <c r="G50" s="70">
        <f t="shared" si="6"/>
        <v>45</v>
      </c>
      <c r="H50" s="22">
        <f t="shared" si="6"/>
        <v>210</v>
      </c>
      <c r="I50" s="22">
        <f t="shared" si="6"/>
        <v>351</v>
      </c>
      <c r="J50" s="22">
        <f t="shared" si="6"/>
        <v>0</v>
      </c>
      <c r="K50" s="22">
        <f t="shared" si="6"/>
        <v>22</v>
      </c>
      <c r="L50" s="22">
        <f t="shared" si="6"/>
        <v>80</v>
      </c>
      <c r="M50" s="22">
        <f t="shared" si="6"/>
        <v>0</v>
      </c>
      <c r="N50" s="22">
        <f t="shared" si="6"/>
        <v>118</v>
      </c>
      <c r="O50" s="22">
        <f t="shared" si="6"/>
        <v>1723</v>
      </c>
      <c r="Q50" s="104">
        <f t="shared" si="5"/>
        <v>813</v>
      </c>
    </row>
    <row r="51" spans="1:17" x14ac:dyDescent="0.2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pans="1:17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7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7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spans="1:17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7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7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7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7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7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7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7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7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7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7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7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7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7" ht="18.75" x14ac:dyDescent="0.3">
      <c r="A68" s="322" t="s">
        <v>43</v>
      </c>
      <c r="B68" s="322"/>
      <c r="C68" s="322"/>
      <c r="D68" s="322"/>
      <c r="E68" s="322"/>
      <c r="F68" s="322"/>
      <c r="G68" s="322"/>
      <c r="H68" s="322"/>
      <c r="I68" s="322"/>
      <c r="J68" s="322"/>
      <c r="K68" s="322"/>
      <c r="L68" s="322"/>
      <c r="M68" s="322"/>
      <c r="N68" s="322"/>
      <c r="O68" s="322"/>
    </row>
    <row r="69" spans="1:17" ht="18.75" x14ac:dyDescent="0.3">
      <c r="A69" s="322" t="s">
        <v>148</v>
      </c>
      <c r="B69" s="322"/>
      <c r="C69" s="322"/>
      <c r="D69" s="322"/>
      <c r="E69" s="322"/>
      <c r="F69" s="322"/>
      <c r="G69" s="322"/>
      <c r="H69" s="322"/>
      <c r="I69" s="322"/>
      <c r="J69" s="322"/>
      <c r="K69" s="322"/>
      <c r="L69" s="322"/>
      <c r="M69" s="322"/>
      <c r="N69" s="322"/>
      <c r="O69" s="322"/>
    </row>
    <row r="70" spans="1:17" ht="18.7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7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7" x14ac:dyDescent="0.25">
      <c r="A72" s="323" t="s">
        <v>2</v>
      </c>
      <c r="B72" s="323" t="s">
        <v>3</v>
      </c>
      <c r="C72" s="325" t="s">
        <v>4</v>
      </c>
      <c r="D72" s="325"/>
      <c r="E72" s="325"/>
      <c r="F72" s="325"/>
      <c r="G72" s="325"/>
      <c r="H72" s="325"/>
      <c r="I72" s="325"/>
      <c r="J72" s="325"/>
      <c r="K72" s="325"/>
      <c r="L72" s="325"/>
      <c r="M72" s="325"/>
      <c r="N72" s="325"/>
      <c r="O72" s="323" t="s">
        <v>5</v>
      </c>
    </row>
    <row r="73" spans="1:17" x14ac:dyDescent="0.25">
      <c r="A73" s="324"/>
      <c r="B73" s="324"/>
      <c r="C73" s="25" t="s">
        <v>6</v>
      </c>
      <c r="D73" s="25" t="s">
        <v>7</v>
      </c>
      <c r="E73" s="25" t="s">
        <v>8</v>
      </c>
      <c r="F73" s="25" t="s">
        <v>9</v>
      </c>
      <c r="G73" s="25" t="s">
        <v>10</v>
      </c>
      <c r="H73" s="25" t="s">
        <v>11</v>
      </c>
      <c r="I73" s="25" t="s">
        <v>12</v>
      </c>
      <c r="J73" s="25" t="s">
        <v>13</v>
      </c>
      <c r="K73" s="25" t="s">
        <v>14</v>
      </c>
      <c r="L73" s="25" t="s">
        <v>15</v>
      </c>
      <c r="M73" s="25" t="s">
        <v>16</v>
      </c>
      <c r="N73" s="25" t="s">
        <v>17</v>
      </c>
      <c r="O73" s="326"/>
    </row>
    <row r="74" spans="1:17" ht="15.75" thickBot="1" x14ac:dyDescent="0.3">
      <c r="A74" s="26">
        <v>1</v>
      </c>
      <c r="B74" s="26">
        <v>2</v>
      </c>
      <c r="C74" s="26">
        <v>3</v>
      </c>
      <c r="D74" s="26">
        <v>4</v>
      </c>
      <c r="E74" s="26">
        <v>5</v>
      </c>
      <c r="F74" s="26">
        <v>6</v>
      </c>
      <c r="G74" s="26">
        <v>7</v>
      </c>
      <c r="H74" s="26">
        <v>8</v>
      </c>
      <c r="I74" s="26">
        <v>9</v>
      </c>
      <c r="J74" s="26">
        <v>10</v>
      </c>
      <c r="K74" s="26">
        <v>11</v>
      </c>
      <c r="L74" s="26">
        <v>12</v>
      </c>
      <c r="M74" s="26">
        <v>13</v>
      </c>
      <c r="N74" s="26">
        <v>14</v>
      </c>
      <c r="O74" s="26">
        <v>15</v>
      </c>
    </row>
    <row r="75" spans="1:17" ht="18.75" customHeight="1" thickTop="1" x14ac:dyDescent="0.25">
      <c r="A75" s="27">
        <v>1</v>
      </c>
      <c r="B75" s="7" t="s">
        <v>18</v>
      </c>
      <c r="C75" s="269">
        <v>0</v>
      </c>
      <c r="D75" s="237">
        <v>0</v>
      </c>
      <c r="E75" s="237">
        <v>0</v>
      </c>
      <c r="F75" s="237">
        <v>69</v>
      </c>
      <c r="G75" s="237">
        <v>37.299999999999997</v>
      </c>
      <c r="H75" s="237">
        <v>0</v>
      </c>
      <c r="I75" s="237">
        <v>0</v>
      </c>
      <c r="J75" s="46">
        <v>0</v>
      </c>
      <c r="K75" s="237">
        <v>0</v>
      </c>
      <c r="L75" s="28">
        <v>0</v>
      </c>
      <c r="M75" s="28">
        <v>0</v>
      </c>
      <c r="N75" s="237">
        <v>0</v>
      </c>
      <c r="O75" s="168">
        <f>SUM(C75:N75)</f>
        <v>106.3</v>
      </c>
      <c r="Q75" s="104">
        <f>SUM(F75:K75)</f>
        <v>106.3</v>
      </c>
    </row>
    <row r="76" spans="1:17" ht="18.75" customHeight="1" x14ac:dyDescent="0.25">
      <c r="A76" s="14">
        <v>2</v>
      </c>
      <c r="B76" s="12" t="s">
        <v>19</v>
      </c>
      <c r="C76" s="270">
        <v>0</v>
      </c>
      <c r="D76" s="158">
        <v>0</v>
      </c>
      <c r="E76" s="158">
        <v>178.9</v>
      </c>
      <c r="F76" s="158">
        <v>51.7</v>
      </c>
      <c r="G76" s="158">
        <v>0</v>
      </c>
      <c r="H76" s="158">
        <v>128.30000000000001</v>
      </c>
      <c r="I76" s="158">
        <v>38.9</v>
      </c>
      <c r="J76" s="47">
        <v>0</v>
      </c>
      <c r="K76" s="158">
        <v>0</v>
      </c>
      <c r="L76" s="16">
        <v>0</v>
      </c>
      <c r="M76" s="16">
        <v>0</v>
      </c>
      <c r="N76" s="158">
        <v>0</v>
      </c>
      <c r="O76" s="166">
        <f t="shared" ref="O76:O82" si="7">SUM(C76:N76)</f>
        <v>397.8</v>
      </c>
      <c r="Q76" s="104">
        <f t="shared" ref="Q76:Q83" si="8">SUM(F76:K76)</f>
        <v>218.9</v>
      </c>
    </row>
    <row r="77" spans="1:17" ht="18.75" customHeight="1" x14ac:dyDescent="0.25">
      <c r="A77" s="14">
        <v>3</v>
      </c>
      <c r="B77" s="7" t="s">
        <v>20</v>
      </c>
      <c r="C77" s="158">
        <v>60.1</v>
      </c>
      <c r="D77" s="158">
        <v>0</v>
      </c>
      <c r="E77" s="158">
        <v>0</v>
      </c>
      <c r="F77" s="158">
        <v>94.1</v>
      </c>
      <c r="G77" s="158">
        <v>0</v>
      </c>
      <c r="H77" s="158">
        <v>0</v>
      </c>
      <c r="I77" s="158">
        <v>138</v>
      </c>
      <c r="J77" s="16">
        <v>0</v>
      </c>
      <c r="K77" s="158">
        <v>0</v>
      </c>
      <c r="L77" s="158">
        <v>89.7</v>
      </c>
      <c r="M77" s="16">
        <v>0</v>
      </c>
      <c r="N77" s="158">
        <v>126.7</v>
      </c>
      <c r="O77" s="166">
        <f t="shared" si="7"/>
        <v>508.59999999999997</v>
      </c>
      <c r="Q77" s="104">
        <f t="shared" si="8"/>
        <v>232.1</v>
      </c>
    </row>
    <row r="78" spans="1:17" ht="18.75" customHeight="1" x14ac:dyDescent="0.25">
      <c r="A78" s="14">
        <v>4</v>
      </c>
      <c r="B78" s="15" t="s">
        <v>21</v>
      </c>
      <c r="C78" s="158">
        <v>0</v>
      </c>
      <c r="D78" s="158">
        <v>0</v>
      </c>
      <c r="E78" s="158">
        <v>57</v>
      </c>
      <c r="F78" s="158">
        <v>0</v>
      </c>
      <c r="G78" s="158">
        <v>4.8</v>
      </c>
      <c r="H78" s="158">
        <v>25.9</v>
      </c>
      <c r="I78" s="158">
        <v>0</v>
      </c>
      <c r="J78" s="16">
        <v>0</v>
      </c>
      <c r="K78" s="158">
        <v>22.6</v>
      </c>
      <c r="L78" s="158">
        <v>0</v>
      </c>
      <c r="M78" s="16">
        <v>0</v>
      </c>
      <c r="N78" s="158">
        <v>0</v>
      </c>
      <c r="O78" s="166">
        <f t="shared" si="7"/>
        <v>110.29999999999998</v>
      </c>
      <c r="Q78" s="104">
        <f t="shared" si="8"/>
        <v>53.3</v>
      </c>
    </row>
    <row r="79" spans="1:17" ht="18.75" customHeight="1" x14ac:dyDescent="0.25">
      <c r="A79" s="14">
        <v>5</v>
      </c>
      <c r="B79" s="19" t="s">
        <v>22</v>
      </c>
      <c r="C79" s="158">
        <v>0</v>
      </c>
      <c r="D79" s="158">
        <v>0</v>
      </c>
      <c r="E79" s="158">
        <v>301.60000000000002</v>
      </c>
      <c r="F79" s="158">
        <v>0</v>
      </c>
      <c r="G79" s="158">
        <v>0</v>
      </c>
      <c r="H79" s="158">
        <v>15.2</v>
      </c>
      <c r="I79" s="158">
        <v>55.1</v>
      </c>
      <c r="J79" s="16">
        <v>0</v>
      </c>
      <c r="K79" s="158">
        <v>0</v>
      </c>
      <c r="L79" s="158">
        <v>0</v>
      </c>
      <c r="M79" s="16">
        <v>0</v>
      </c>
      <c r="N79" s="158">
        <v>0</v>
      </c>
      <c r="O79" s="166">
        <f t="shared" si="7"/>
        <v>371.90000000000003</v>
      </c>
      <c r="Q79" s="104">
        <f t="shared" si="8"/>
        <v>70.3</v>
      </c>
    </row>
    <row r="80" spans="1:17" ht="18.75" customHeight="1" x14ac:dyDescent="0.25">
      <c r="A80" s="14">
        <v>6</v>
      </c>
      <c r="B80" s="19" t="s">
        <v>23</v>
      </c>
      <c r="C80" s="158">
        <v>0</v>
      </c>
      <c r="D80" s="158">
        <v>60.7</v>
      </c>
      <c r="E80" s="158">
        <v>31.1</v>
      </c>
      <c r="F80" s="158">
        <v>0</v>
      </c>
      <c r="G80" s="158">
        <v>0</v>
      </c>
      <c r="H80" s="158">
        <v>45.2</v>
      </c>
      <c r="I80" s="158">
        <v>27.6</v>
      </c>
      <c r="J80" s="16">
        <v>0</v>
      </c>
      <c r="K80" s="158">
        <v>2.1</v>
      </c>
      <c r="L80" s="158">
        <v>0</v>
      </c>
      <c r="M80" s="16">
        <v>0</v>
      </c>
      <c r="N80" s="158">
        <v>0</v>
      </c>
      <c r="O80" s="166">
        <f t="shared" si="7"/>
        <v>166.7</v>
      </c>
      <c r="Q80" s="104">
        <f t="shared" si="8"/>
        <v>74.900000000000006</v>
      </c>
    </row>
    <row r="81" spans="1:18" ht="18.75" customHeight="1" x14ac:dyDescent="0.25">
      <c r="A81" s="14">
        <v>7</v>
      </c>
      <c r="B81" s="19" t="s">
        <v>24</v>
      </c>
      <c r="C81" s="158">
        <v>0</v>
      </c>
      <c r="D81" s="158">
        <v>0</v>
      </c>
      <c r="E81" s="158">
        <v>1.1000000000000001</v>
      </c>
      <c r="F81" s="158">
        <v>0</v>
      </c>
      <c r="G81" s="158">
        <v>0</v>
      </c>
      <c r="H81" s="158">
        <v>0</v>
      </c>
      <c r="I81" s="158">
        <v>1.1000000000000001</v>
      </c>
      <c r="J81" s="16">
        <v>0</v>
      </c>
      <c r="K81" s="158">
        <v>0</v>
      </c>
      <c r="L81" s="158">
        <v>0</v>
      </c>
      <c r="M81" s="16">
        <v>0</v>
      </c>
      <c r="N81" s="158">
        <v>0</v>
      </c>
      <c r="O81" s="166">
        <f t="shared" si="7"/>
        <v>2.2000000000000002</v>
      </c>
      <c r="Q81" s="104">
        <f t="shared" si="8"/>
        <v>1.1000000000000001</v>
      </c>
    </row>
    <row r="82" spans="1:18" ht="18.75" customHeight="1" thickBot="1" x14ac:dyDescent="0.3">
      <c r="A82" s="20">
        <v>8</v>
      </c>
      <c r="B82" s="15" t="s">
        <v>25</v>
      </c>
      <c r="C82" s="162">
        <v>0</v>
      </c>
      <c r="D82" s="162">
        <v>170.4</v>
      </c>
      <c r="E82" s="162">
        <v>12.5</v>
      </c>
      <c r="F82" s="162">
        <v>0</v>
      </c>
      <c r="G82" s="162">
        <v>0</v>
      </c>
      <c r="H82" s="162">
        <v>30.3</v>
      </c>
      <c r="I82" s="162">
        <v>134.5</v>
      </c>
      <c r="J82" s="17">
        <v>0</v>
      </c>
      <c r="K82" s="162">
        <v>0</v>
      </c>
      <c r="L82" s="162">
        <v>0</v>
      </c>
      <c r="M82" s="17">
        <v>0</v>
      </c>
      <c r="N82" s="162">
        <v>9.3000000000000007</v>
      </c>
      <c r="O82" s="167">
        <f t="shared" si="7"/>
        <v>357.00000000000006</v>
      </c>
      <c r="Q82" s="104">
        <f t="shared" si="8"/>
        <v>164.8</v>
      </c>
    </row>
    <row r="83" spans="1:18" ht="18.75" customHeight="1" thickTop="1" x14ac:dyDescent="0.25">
      <c r="A83" s="320" t="s">
        <v>26</v>
      </c>
      <c r="B83" s="321"/>
      <c r="C83" s="159">
        <f t="shared" ref="C83:O83" si="9">SUM(C75:C82)</f>
        <v>60.1</v>
      </c>
      <c r="D83" s="159">
        <f t="shared" si="9"/>
        <v>231.10000000000002</v>
      </c>
      <c r="E83" s="159">
        <f t="shared" si="9"/>
        <v>582.20000000000005</v>
      </c>
      <c r="F83" s="159">
        <f t="shared" si="9"/>
        <v>214.8</v>
      </c>
      <c r="G83" s="159">
        <f t="shared" si="9"/>
        <v>42.099999999999994</v>
      </c>
      <c r="H83" s="159">
        <f>SUM(H75:H82)</f>
        <v>244.90000000000003</v>
      </c>
      <c r="I83" s="159">
        <f t="shared" si="9"/>
        <v>395.20000000000005</v>
      </c>
      <c r="J83" s="159">
        <f t="shared" si="9"/>
        <v>0</v>
      </c>
      <c r="K83" s="159">
        <f t="shared" si="9"/>
        <v>24.700000000000003</v>
      </c>
      <c r="L83" s="159">
        <f t="shared" si="9"/>
        <v>89.7</v>
      </c>
      <c r="M83" s="159">
        <f t="shared" si="9"/>
        <v>0</v>
      </c>
      <c r="N83" s="159">
        <f t="shared" si="9"/>
        <v>136</v>
      </c>
      <c r="O83" s="159">
        <f t="shared" si="9"/>
        <v>2020.8000000000002</v>
      </c>
      <c r="P83" s="71">
        <f>O83/0.32</f>
        <v>6315</v>
      </c>
      <c r="Q83" s="104">
        <f t="shared" si="8"/>
        <v>921.7</v>
      </c>
      <c r="R83" s="104">
        <f>O83/0.32</f>
        <v>6315</v>
      </c>
    </row>
    <row r="84" spans="1:18" x14ac:dyDescent="0.25">
      <c r="A84" s="23"/>
      <c r="B84" s="23"/>
      <c r="C84" s="139"/>
      <c r="D84" s="23"/>
      <c r="E84" s="23"/>
      <c r="F84" s="139"/>
      <c r="G84" s="23"/>
      <c r="H84" s="23"/>
      <c r="I84" s="139"/>
      <c r="J84" s="23"/>
      <c r="K84" s="23"/>
      <c r="L84" s="139"/>
      <c r="M84" s="23"/>
      <c r="N84" s="23"/>
      <c r="O84" s="23"/>
    </row>
    <row r="85" spans="1:18" x14ac:dyDescent="0.25">
      <c r="A85" s="24"/>
      <c r="B85" s="258" t="s">
        <v>102</v>
      </c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R85">
        <f>R83/O50</f>
        <v>3.6651189785258271</v>
      </c>
    </row>
    <row r="86" spans="1:18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spans="1:18" x14ac:dyDescent="0.25">
      <c r="A87" s="24"/>
      <c r="B87" s="24"/>
      <c r="C87" s="294">
        <f>C83*0.6</f>
        <v>36.06</v>
      </c>
      <c r="D87" s="294">
        <f t="shared" ref="D87:O87" si="10">D83*0.6</f>
        <v>138.66</v>
      </c>
      <c r="E87" s="294">
        <f t="shared" si="10"/>
        <v>349.32</v>
      </c>
      <c r="F87" s="294">
        <f t="shared" si="10"/>
        <v>128.88</v>
      </c>
      <c r="G87" s="294">
        <f t="shared" si="10"/>
        <v>25.259999999999994</v>
      </c>
      <c r="H87" s="294">
        <f t="shared" si="10"/>
        <v>146.94000000000003</v>
      </c>
      <c r="I87" s="294">
        <f t="shared" si="10"/>
        <v>237.12</v>
      </c>
      <c r="J87" s="294">
        <f t="shared" si="10"/>
        <v>0</v>
      </c>
      <c r="K87" s="294">
        <f t="shared" si="10"/>
        <v>14.82</v>
      </c>
      <c r="L87" s="294">
        <f t="shared" si="10"/>
        <v>53.82</v>
      </c>
      <c r="M87" s="294">
        <f t="shared" si="10"/>
        <v>0</v>
      </c>
      <c r="N87" s="294">
        <f t="shared" si="10"/>
        <v>81.599999999999994</v>
      </c>
      <c r="O87" s="294">
        <f t="shared" si="10"/>
        <v>1212.48</v>
      </c>
    </row>
    <row r="88" spans="1:18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18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1:18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1:18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1:18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1:18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</row>
    <row r="94" spans="1:18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8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8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1:19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9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9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9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9" ht="18.75" x14ac:dyDescent="0.3">
      <c r="A101" s="322" t="s">
        <v>44</v>
      </c>
      <c r="B101" s="322"/>
      <c r="C101" s="322"/>
      <c r="D101" s="322"/>
      <c r="E101" s="322"/>
      <c r="F101" s="322"/>
      <c r="G101" s="322"/>
      <c r="H101" s="322"/>
      <c r="I101" s="322"/>
      <c r="J101" s="322"/>
      <c r="K101" s="322"/>
      <c r="L101" s="322"/>
      <c r="M101" s="322"/>
      <c r="N101" s="322"/>
      <c r="O101" s="322"/>
    </row>
    <row r="102" spans="1:19" ht="18.75" x14ac:dyDescent="0.3">
      <c r="A102" s="322" t="s">
        <v>148</v>
      </c>
      <c r="B102" s="322"/>
      <c r="C102" s="322"/>
      <c r="D102" s="322"/>
      <c r="E102" s="322"/>
      <c r="F102" s="322"/>
      <c r="G102" s="322"/>
      <c r="H102" s="322"/>
      <c r="I102" s="322"/>
      <c r="J102" s="322"/>
      <c r="K102" s="322"/>
      <c r="L102" s="322"/>
      <c r="M102" s="322"/>
      <c r="N102" s="322"/>
      <c r="O102" s="322"/>
    </row>
    <row r="103" spans="1:19" ht="18.7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9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9" x14ac:dyDescent="0.25">
      <c r="A105" s="323" t="s">
        <v>2</v>
      </c>
      <c r="B105" s="323" t="s">
        <v>3</v>
      </c>
      <c r="C105" s="325" t="s">
        <v>4</v>
      </c>
      <c r="D105" s="325"/>
      <c r="E105" s="325"/>
      <c r="F105" s="325"/>
      <c r="G105" s="325"/>
      <c r="H105" s="325"/>
      <c r="I105" s="325"/>
      <c r="J105" s="325"/>
      <c r="K105" s="325"/>
      <c r="L105" s="325"/>
      <c r="M105" s="325"/>
      <c r="N105" s="325"/>
      <c r="O105" s="323" t="s">
        <v>5</v>
      </c>
    </row>
    <row r="106" spans="1:19" x14ac:dyDescent="0.25">
      <c r="A106" s="324"/>
      <c r="B106" s="324"/>
      <c r="C106" s="25" t="s">
        <v>6</v>
      </c>
      <c r="D106" s="25" t="s">
        <v>7</v>
      </c>
      <c r="E106" s="25" t="s">
        <v>8</v>
      </c>
      <c r="F106" s="25" t="s">
        <v>9</v>
      </c>
      <c r="G106" s="25" t="s">
        <v>10</v>
      </c>
      <c r="H106" s="25" t="s">
        <v>11</v>
      </c>
      <c r="I106" s="25" t="s">
        <v>12</v>
      </c>
      <c r="J106" s="25" t="s">
        <v>13</v>
      </c>
      <c r="K106" s="25" t="s">
        <v>14</v>
      </c>
      <c r="L106" s="25" t="s">
        <v>15</v>
      </c>
      <c r="M106" s="25" t="s">
        <v>16</v>
      </c>
      <c r="N106" s="25" t="s">
        <v>17</v>
      </c>
      <c r="O106" s="326"/>
    </row>
    <row r="107" spans="1:19" ht="15.75" thickBot="1" x14ac:dyDescent="0.3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</row>
    <row r="108" spans="1:19" ht="18.75" customHeight="1" thickTop="1" x14ac:dyDescent="0.25">
      <c r="A108" s="27">
        <v>1</v>
      </c>
      <c r="B108" s="7" t="s">
        <v>18</v>
      </c>
      <c r="C108" s="163">
        <v>0</v>
      </c>
      <c r="D108" s="32">
        <v>0</v>
      </c>
      <c r="E108" s="32">
        <v>0</v>
      </c>
      <c r="F108" s="32">
        <v>11.5</v>
      </c>
      <c r="G108" s="32">
        <v>9.33</v>
      </c>
      <c r="H108" s="32">
        <v>0</v>
      </c>
      <c r="I108" s="32">
        <v>0</v>
      </c>
      <c r="J108" s="46">
        <v>0</v>
      </c>
      <c r="K108" s="32">
        <v>0</v>
      </c>
      <c r="L108" s="32">
        <v>0</v>
      </c>
      <c r="M108" s="46">
        <v>0</v>
      </c>
      <c r="N108" s="32">
        <v>0</v>
      </c>
      <c r="O108" s="33">
        <f t="shared" ref="O108:O116" si="11">O75/O42*10</f>
        <v>10.629999999999999</v>
      </c>
      <c r="Q108" s="71">
        <f>O108/0.32</f>
        <v>33.218749999999993</v>
      </c>
      <c r="R108" s="268">
        <f>E108/0.32</f>
        <v>0</v>
      </c>
      <c r="S108">
        <f>R108*0.53</f>
        <v>0</v>
      </c>
    </row>
    <row r="109" spans="1:19" ht="18.75" customHeight="1" x14ac:dyDescent="0.25">
      <c r="A109" s="14">
        <v>2</v>
      </c>
      <c r="B109" s="12" t="s">
        <v>19</v>
      </c>
      <c r="C109" s="164">
        <v>0</v>
      </c>
      <c r="D109" s="34">
        <v>0</v>
      </c>
      <c r="E109" s="34">
        <v>13.25</v>
      </c>
      <c r="F109" s="34">
        <v>11</v>
      </c>
      <c r="G109" s="34">
        <v>0</v>
      </c>
      <c r="H109" s="34">
        <v>11.66</v>
      </c>
      <c r="I109" s="34">
        <v>11.13</v>
      </c>
      <c r="J109" s="47">
        <v>0</v>
      </c>
      <c r="K109" s="34">
        <v>0</v>
      </c>
      <c r="L109" s="34">
        <v>0</v>
      </c>
      <c r="M109" s="47">
        <v>0</v>
      </c>
      <c r="N109" s="34">
        <v>0</v>
      </c>
      <c r="O109" s="35">
        <f t="shared" si="11"/>
        <v>12.24</v>
      </c>
      <c r="Q109" s="71">
        <f t="shared" ref="Q109:Q115" si="12">O109/0.32</f>
        <v>38.25</v>
      </c>
      <c r="R109" s="268">
        <f t="shared" ref="R109:R115" si="13">E109/0.32</f>
        <v>41.40625</v>
      </c>
      <c r="S109">
        <f t="shared" ref="S109:S115" si="14">R109*0.53</f>
        <v>21.9453125</v>
      </c>
    </row>
    <row r="110" spans="1:19" ht="18.75" customHeight="1" x14ac:dyDescent="0.25">
      <c r="A110" s="14">
        <v>3</v>
      </c>
      <c r="B110" s="7" t="s">
        <v>20</v>
      </c>
      <c r="C110" s="34">
        <v>12.02</v>
      </c>
      <c r="D110" s="34">
        <v>0</v>
      </c>
      <c r="E110" s="34">
        <v>0</v>
      </c>
      <c r="F110" s="34">
        <v>11.76</v>
      </c>
      <c r="G110" s="34">
        <v>0</v>
      </c>
      <c r="H110" s="34">
        <v>0</v>
      </c>
      <c r="I110" s="34">
        <v>11.5</v>
      </c>
      <c r="J110" s="16">
        <v>0</v>
      </c>
      <c r="K110" s="34">
        <v>0</v>
      </c>
      <c r="L110" s="34">
        <v>11.21</v>
      </c>
      <c r="M110" s="16">
        <v>0</v>
      </c>
      <c r="N110" s="34">
        <v>11.52</v>
      </c>
      <c r="O110" s="35">
        <f t="shared" si="11"/>
        <v>11.559090909090909</v>
      </c>
      <c r="Q110" s="71">
        <f t="shared" si="12"/>
        <v>36.122159090909086</v>
      </c>
      <c r="R110" s="268">
        <f t="shared" si="13"/>
        <v>0</v>
      </c>
      <c r="S110">
        <f t="shared" si="14"/>
        <v>0</v>
      </c>
    </row>
    <row r="111" spans="1:19" ht="18.75" customHeight="1" x14ac:dyDescent="0.25">
      <c r="A111" s="14">
        <v>4</v>
      </c>
      <c r="B111" s="15" t="s">
        <v>21</v>
      </c>
      <c r="C111" s="34">
        <v>0</v>
      </c>
      <c r="D111" s="34">
        <v>0</v>
      </c>
      <c r="E111" s="34">
        <v>14.26</v>
      </c>
      <c r="F111" s="34">
        <v>0</v>
      </c>
      <c r="G111" s="34">
        <v>9.5399999999999991</v>
      </c>
      <c r="H111" s="34">
        <v>11.25</v>
      </c>
      <c r="I111" s="34">
        <v>0</v>
      </c>
      <c r="J111" s="16">
        <v>0</v>
      </c>
      <c r="K111" s="34">
        <v>11.32</v>
      </c>
      <c r="L111" s="34">
        <v>0</v>
      </c>
      <c r="M111" s="16">
        <v>0</v>
      </c>
      <c r="N111" s="34">
        <v>0</v>
      </c>
      <c r="O111" s="35">
        <f t="shared" si="11"/>
        <v>12.534090909090907</v>
      </c>
      <c r="Q111" s="71">
        <f t="shared" si="12"/>
        <v>39.169034090909079</v>
      </c>
      <c r="R111" s="268">
        <f t="shared" si="13"/>
        <v>44.5625</v>
      </c>
      <c r="S111">
        <f t="shared" si="14"/>
        <v>23.618125000000003</v>
      </c>
    </row>
    <row r="112" spans="1:19" ht="18.75" customHeight="1" x14ac:dyDescent="0.25">
      <c r="A112" s="14">
        <v>5</v>
      </c>
      <c r="B112" s="19" t="s">
        <v>22</v>
      </c>
      <c r="C112" s="34">
        <v>0</v>
      </c>
      <c r="D112" s="34">
        <v>0</v>
      </c>
      <c r="E112" s="34">
        <v>11.13</v>
      </c>
      <c r="F112" s="34">
        <v>0</v>
      </c>
      <c r="G112" s="34">
        <v>0</v>
      </c>
      <c r="H112" s="34">
        <v>12.65</v>
      </c>
      <c r="I112" s="34">
        <v>11.01</v>
      </c>
      <c r="J112" s="16">
        <v>0</v>
      </c>
      <c r="K112" s="34">
        <v>0</v>
      </c>
      <c r="L112" s="34">
        <v>0</v>
      </c>
      <c r="M112" s="16">
        <v>0</v>
      </c>
      <c r="N112" s="34">
        <v>0</v>
      </c>
      <c r="O112" s="35">
        <f t="shared" si="11"/>
        <v>11.168168168168169</v>
      </c>
      <c r="Q112" s="71">
        <f t="shared" si="12"/>
        <v>34.900525525525524</v>
      </c>
      <c r="R112" s="268">
        <f t="shared" si="13"/>
        <v>34.78125</v>
      </c>
      <c r="S112">
        <f t="shared" si="14"/>
        <v>18.4340625</v>
      </c>
    </row>
    <row r="113" spans="1:19" ht="18.75" customHeight="1" x14ac:dyDescent="0.25">
      <c r="A113" s="14">
        <v>6</v>
      </c>
      <c r="B113" s="19" t="s">
        <v>23</v>
      </c>
      <c r="C113" s="34">
        <v>0</v>
      </c>
      <c r="D113" s="34">
        <v>13.5</v>
      </c>
      <c r="E113" s="34">
        <v>12.45</v>
      </c>
      <c r="F113" s="34">
        <v>0</v>
      </c>
      <c r="G113" s="34">
        <v>0</v>
      </c>
      <c r="H113" s="34">
        <v>11.3</v>
      </c>
      <c r="I113" s="34">
        <v>11.05</v>
      </c>
      <c r="J113" s="16">
        <v>0</v>
      </c>
      <c r="K113" s="34">
        <v>10.51</v>
      </c>
      <c r="L113" s="34">
        <v>0</v>
      </c>
      <c r="M113" s="16">
        <v>0</v>
      </c>
      <c r="N113" s="34">
        <v>0</v>
      </c>
      <c r="O113" s="35">
        <f t="shared" si="11"/>
        <v>12.167883211678831</v>
      </c>
      <c r="Q113" s="71">
        <f t="shared" si="12"/>
        <v>38.024635036496342</v>
      </c>
      <c r="R113" s="268">
        <f t="shared" si="13"/>
        <v>38.90625</v>
      </c>
      <c r="S113">
        <f t="shared" si="14"/>
        <v>20.620312500000001</v>
      </c>
    </row>
    <row r="114" spans="1:19" ht="18.75" customHeight="1" x14ac:dyDescent="0.25">
      <c r="A114" s="14">
        <v>7</v>
      </c>
      <c r="B114" s="19" t="s">
        <v>24</v>
      </c>
      <c r="C114" s="34">
        <v>0</v>
      </c>
      <c r="D114" s="34">
        <v>0</v>
      </c>
      <c r="E114" s="34">
        <v>11.22</v>
      </c>
      <c r="F114" s="34">
        <v>0</v>
      </c>
      <c r="G114" s="34">
        <v>0</v>
      </c>
      <c r="H114" s="34">
        <v>0</v>
      </c>
      <c r="I114" s="34">
        <v>10.95</v>
      </c>
      <c r="J114" s="16">
        <v>0</v>
      </c>
      <c r="K114" s="34">
        <v>0</v>
      </c>
      <c r="L114" s="34">
        <v>0</v>
      </c>
      <c r="M114" s="16">
        <v>0</v>
      </c>
      <c r="N114" s="34">
        <v>0</v>
      </c>
      <c r="O114" s="35">
        <f t="shared" si="11"/>
        <v>11</v>
      </c>
      <c r="Q114" s="71">
        <f t="shared" si="12"/>
        <v>34.375</v>
      </c>
      <c r="R114" s="268">
        <f t="shared" si="13"/>
        <v>35.0625</v>
      </c>
      <c r="S114">
        <f t="shared" si="14"/>
        <v>18.583125000000003</v>
      </c>
    </row>
    <row r="115" spans="1:19" ht="18.75" customHeight="1" thickBot="1" x14ac:dyDescent="0.3">
      <c r="A115" s="20">
        <v>8</v>
      </c>
      <c r="B115" s="15" t="s">
        <v>25</v>
      </c>
      <c r="C115" s="36">
        <v>0</v>
      </c>
      <c r="D115" s="36">
        <v>12.62</v>
      </c>
      <c r="E115" s="36">
        <v>12.51</v>
      </c>
      <c r="F115" s="36">
        <v>0</v>
      </c>
      <c r="G115" s="36">
        <v>0</v>
      </c>
      <c r="H115" s="36">
        <v>12.13</v>
      </c>
      <c r="I115" s="36">
        <v>11.21</v>
      </c>
      <c r="J115" s="17">
        <v>0</v>
      </c>
      <c r="K115" s="36">
        <v>0</v>
      </c>
      <c r="L115" s="36">
        <v>0</v>
      </c>
      <c r="M115" s="17">
        <v>0</v>
      </c>
      <c r="N115" s="36">
        <v>11.61</v>
      </c>
      <c r="O115" s="37">
        <f t="shared" si="11"/>
        <v>11.979865771812081</v>
      </c>
      <c r="Q115" s="71">
        <f t="shared" si="12"/>
        <v>37.437080536912752</v>
      </c>
      <c r="R115" s="268">
        <f t="shared" si="13"/>
        <v>39.09375</v>
      </c>
      <c r="S115">
        <f t="shared" si="14"/>
        <v>20.719687500000003</v>
      </c>
    </row>
    <row r="116" spans="1:19" ht="18.75" customHeight="1" thickTop="1" x14ac:dyDescent="0.25">
      <c r="A116" s="320" t="s">
        <v>26</v>
      </c>
      <c r="B116" s="321"/>
      <c r="C116" s="51">
        <f>C83/C50*10</f>
        <v>12.02</v>
      </c>
      <c r="D116" s="51">
        <f>D83/D50*10</f>
        <v>12.83888888888889</v>
      </c>
      <c r="E116" s="51">
        <f>E83/E50*10</f>
        <v>12.07883817427386</v>
      </c>
      <c r="F116" s="51">
        <f t="shared" ref="F116:N116" si="15">F83/F50*10</f>
        <v>11.610810810810811</v>
      </c>
      <c r="G116" s="51">
        <f t="shared" si="15"/>
        <v>9.3555555555555543</v>
      </c>
      <c r="H116" s="51">
        <f t="shared" si="15"/>
        <v>11.661904761904765</v>
      </c>
      <c r="I116" s="51">
        <f t="shared" si="15"/>
        <v>11.25925925925926</v>
      </c>
      <c r="J116" s="51">
        <f>SUM(J108:J115)</f>
        <v>0</v>
      </c>
      <c r="K116" s="51">
        <f t="shared" si="15"/>
        <v>11.227272727272728</v>
      </c>
      <c r="L116" s="51">
        <f t="shared" si="15"/>
        <v>11.2125</v>
      </c>
      <c r="M116" s="51">
        <v>0</v>
      </c>
      <c r="N116" s="51">
        <f t="shared" si="15"/>
        <v>11.525423728813561</v>
      </c>
      <c r="O116" s="45">
        <f t="shared" si="11"/>
        <v>11.728380731282648</v>
      </c>
      <c r="P116" s="233">
        <f>O116/0.32</f>
        <v>36.651189785258275</v>
      </c>
      <c r="Q116">
        <f>11.94/0.32</f>
        <v>37.3125</v>
      </c>
      <c r="R116">
        <f>O116/0.32</f>
        <v>36.651189785258275</v>
      </c>
    </row>
    <row r="117" spans="1:19" x14ac:dyDescent="0.25">
      <c r="A117" s="24"/>
      <c r="B117" s="24"/>
      <c r="C117" s="24"/>
      <c r="D117" s="72"/>
      <c r="E117" s="24"/>
      <c r="F117" s="24"/>
      <c r="G117" s="24"/>
      <c r="H117" s="72"/>
      <c r="I117" s="24"/>
      <c r="J117" s="24"/>
      <c r="K117" s="24"/>
      <c r="L117" s="24"/>
      <c r="M117" s="24"/>
      <c r="N117" s="24"/>
      <c r="O117" s="24"/>
    </row>
    <row r="118" spans="1:19" x14ac:dyDescent="0.25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101"/>
      <c r="L118" s="24"/>
      <c r="M118" s="24"/>
      <c r="N118" s="24"/>
      <c r="O118" s="24"/>
    </row>
    <row r="119" spans="1:19" x14ac:dyDescent="0.2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L119" s="41" t="s">
        <v>146</v>
      </c>
      <c r="M119" s="24"/>
      <c r="N119" s="24"/>
      <c r="O119" s="24"/>
    </row>
    <row r="120" spans="1:19" x14ac:dyDescent="0.25">
      <c r="L120" s="41" t="s">
        <v>95</v>
      </c>
    </row>
    <row r="121" spans="1:19" x14ac:dyDescent="0.25">
      <c r="L121" s="41" t="s">
        <v>84</v>
      </c>
    </row>
    <row r="122" spans="1:19" x14ac:dyDescent="0.25">
      <c r="L122" s="41"/>
    </row>
    <row r="123" spans="1:19" x14ac:dyDescent="0.25">
      <c r="L123" s="41"/>
    </row>
    <row r="124" spans="1:19" x14ac:dyDescent="0.25">
      <c r="L124" s="41"/>
    </row>
    <row r="125" spans="1:19" x14ac:dyDescent="0.25">
      <c r="L125" s="299" t="s">
        <v>147</v>
      </c>
    </row>
    <row r="126" spans="1:19" x14ac:dyDescent="0.25">
      <c r="L126" s="41" t="s">
        <v>97</v>
      </c>
    </row>
  </sheetData>
  <mergeCells count="28">
    <mergeCell ref="A2:O2"/>
    <mergeCell ref="A3:O3"/>
    <mergeCell ref="A6:A7"/>
    <mergeCell ref="B6:B7"/>
    <mergeCell ref="C6:N6"/>
    <mergeCell ref="O6:O7"/>
    <mergeCell ref="A17:B17"/>
    <mergeCell ref="A35:O35"/>
    <mergeCell ref="A36:O36"/>
    <mergeCell ref="A39:A40"/>
    <mergeCell ref="B39:B40"/>
    <mergeCell ref="C39:N39"/>
    <mergeCell ref="O39:O40"/>
    <mergeCell ref="A50:B50"/>
    <mergeCell ref="A68:O68"/>
    <mergeCell ref="A69:O69"/>
    <mergeCell ref="A72:A73"/>
    <mergeCell ref="B72:B73"/>
    <mergeCell ref="C72:N72"/>
    <mergeCell ref="O72:O73"/>
    <mergeCell ref="A116:B116"/>
    <mergeCell ref="A83:B83"/>
    <mergeCell ref="A101:O101"/>
    <mergeCell ref="A102:O102"/>
    <mergeCell ref="A105:A106"/>
    <mergeCell ref="B105:B106"/>
    <mergeCell ref="C105:N105"/>
    <mergeCell ref="O105:O106"/>
  </mergeCells>
  <pageMargins left="1.5748031496062993" right="0.39370078740157483" top="0.94488188976377963" bottom="0.74803149606299213" header="0.31496062992125984" footer="0.31496062992125984"/>
  <pageSetup paperSize="9" scale="90" orientation="landscape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O121"/>
  <sheetViews>
    <sheetView zoomScale="90" zoomScaleNormal="90" workbookViewId="0">
      <selection activeCell="A2" sqref="A2:O2"/>
    </sheetView>
  </sheetViews>
  <sheetFormatPr defaultRowHeight="15" x14ac:dyDescent="0.25"/>
  <cols>
    <col min="1" max="1" width="4" customWidth="1"/>
    <col min="2" max="2" width="15" customWidth="1"/>
    <col min="3" max="15" width="8.5703125" customWidth="1"/>
  </cols>
  <sheetData>
    <row r="2" spans="1:15" ht="18.75" x14ac:dyDescent="0.3">
      <c r="A2" s="322" t="s">
        <v>45</v>
      </c>
      <c r="B2" s="322"/>
      <c r="C2" s="322"/>
      <c r="D2" s="322"/>
      <c r="E2" s="322"/>
      <c r="F2" s="322"/>
      <c r="G2" s="322"/>
      <c r="H2" s="322"/>
      <c r="I2" s="322"/>
      <c r="J2" s="322"/>
      <c r="K2" s="322"/>
      <c r="L2" s="322"/>
      <c r="M2" s="322"/>
      <c r="N2" s="322"/>
      <c r="O2" s="322"/>
    </row>
    <row r="3" spans="1:15" ht="18.75" x14ac:dyDescent="0.3">
      <c r="A3" s="322" t="s">
        <v>148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  <c r="M3" s="322"/>
      <c r="N3" s="322"/>
      <c r="O3" s="322"/>
    </row>
    <row r="4" spans="1:15" ht="18.7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5" x14ac:dyDescent="0.25">
      <c r="A6" s="323" t="s">
        <v>2</v>
      </c>
      <c r="B6" s="323" t="s">
        <v>3</v>
      </c>
      <c r="C6" s="325" t="s">
        <v>4</v>
      </c>
      <c r="D6" s="325"/>
      <c r="E6" s="325"/>
      <c r="F6" s="325"/>
      <c r="G6" s="325"/>
      <c r="H6" s="325"/>
      <c r="I6" s="325"/>
      <c r="J6" s="325"/>
      <c r="K6" s="325"/>
      <c r="L6" s="325"/>
      <c r="M6" s="325"/>
      <c r="N6" s="325"/>
      <c r="O6" s="323" t="s">
        <v>5</v>
      </c>
    </row>
    <row r="7" spans="1:15" x14ac:dyDescent="0.25">
      <c r="A7" s="324"/>
      <c r="B7" s="324"/>
      <c r="C7" s="25" t="s">
        <v>6</v>
      </c>
      <c r="D7" s="25" t="s">
        <v>7</v>
      </c>
      <c r="E7" s="25" t="s">
        <v>8</v>
      </c>
      <c r="F7" s="25" t="s">
        <v>9</v>
      </c>
      <c r="G7" s="25" t="s">
        <v>10</v>
      </c>
      <c r="H7" s="25" t="s">
        <v>11</v>
      </c>
      <c r="I7" s="25" t="s">
        <v>12</v>
      </c>
      <c r="J7" s="25" t="s">
        <v>13</v>
      </c>
      <c r="K7" s="25" t="s">
        <v>14</v>
      </c>
      <c r="L7" s="25" t="s">
        <v>15</v>
      </c>
      <c r="M7" s="25" t="s">
        <v>16</v>
      </c>
      <c r="N7" s="25" t="s">
        <v>17</v>
      </c>
      <c r="O7" s="326"/>
    </row>
    <row r="8" spans="1:15" ht="15.75" thickBot="1" x14ac:dyDescent="0.3">
      <c r="A8" s="26">
        <v>1</v>
      </c>
      <c r="B8" s="26">
        <v>2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</row>
    <row r="9" spans="1:15" ht="18.75" customHeight="1" thickTop="1" x14ac:dyDescent="0.25">
      <c r="A9" s="27">
        <v>1</v>
      </c>
      <c r="B9" s="7" t="s">
        <v>18</v>
      </c>
      <c r="C9" s="16">
        <v>6</v>
      </c>
      <c r="D9" s="28">
        <v>3</v>
      </c>
      <c r="E9" s="28">
        <v>0</v>
      </c>
      <c r="F9" s="28">
        <v>0</v>
      </c>
      <c r="G9" s="28">
        <v>0</v>
      </c>
      <c r="H9" s="28">
        <v>2</v>
      </c>
      <c r="I9" s="28">
        <v>0</v>
      </c>
      <c r="J9" s="28">
        <v>0</v>
      </c>
      <c r="K9" s="28">
        <v>0</v>
      </c>
      <c r="L9" s="28">
        <v>15</v>
      </c>
      <c r="M9" s="28">
        <v>5</v>
      </c>
      <c r="N9" s="28">
        <v>0</v>
      </c>
      <c r="O9" s="29">
        <f>SUM(C9:N9)</f>
        <v>31</v>
      </c>
    </row>
    <row r="10" spans="1:15" ht="18.75" customHeight="1" x14ac:dyDescent="0.25">
      <c r="A10" s="14">
        <v>2</v>
      </c>
      <c r="B10" s="12" t="s">
        <v>19</v>
      </c>
      <c r="C10" s="17">
        <v>1</v>
      </c>
      <c r="D10" s="16">
        <v>1</v>
      </c>
      <c r="E10" s="16">
        <v>0</v>
      </c>
      <c r="F10" s="16">
        <v>1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1</v>
      </c>
      <c r="M10" s="16">
        <v>0</v>
      </c>
      <c r="N10" s="16">
        <v>1</v>
      </c>
      <c r="O10" s="18">
        <f t="shared" ref="O10:O16" si="0">SUM(C10:N10)</f>
        <v>5</v>
      </c>
    </row>
    <row r="11" spans="1:15" ht="18.75" customHeight="1" x14ac:dyDescent="0.25">
      <c r="A11" s="14">
        <v>3</v>
      </c>
      <c r="B11" s="7" t="s">
        <v>20</v>
      </c>
      <c r="C11" s="16">
        <v>15</v>
      </c>
      <c r="D11" s="16">
        <v>20</v>
      </c>
      <c r="E11" s="16">
        <v>0</v>
      </c>
      <c r="F11" s="16">
        <v>10</v>
      </c>
      <c r="G11" s="16">
        <v>0</v>
      </c>
      <c r="H11" s="16">
        <v>10</v>
      </c>
      <c r="I11" s="16">
        <v>0</v>
      </c>
      <c r="J11" s="16">
        <v>0</v>
      </c>
      <c r="K11" s="16">
        <v>0</v>
      </c>
      <c r="L11" s="16">
        <v>10</v>
      </c>
      <c r="M11" s="16">
        <v>0</v>
      </c>
      <c r="N11" s="16">
        <v>0</v>
      </c>
      <c r="O11" s="18">
        <f t="shared" si="0"/>
        <v>65</v>
      </c>
    </row>
    <row r="12" spans="1:15" ht="18.75" customHeight="1" x14ac:dyDescent="0.25">
      <c r="A12" s="14">
        <v>4</v>
      </c>
      <c r="B12" s="15" t="s">
        <v>21</v>
      </c>
      <c r="C12" s="17">
        <v>1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8">
        <f t="shared" si="0"/>
        <v>1</v>
      </c>
    </row>
    <row r="13" spans="1:15" ht="18.75" customHeight="1" x14ac:dyDescent="0.25">
      <c r="A13" s="14">
        <v>5</v>
      </c>
      <c r="B13" s="19" t="s">
        <v>22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8">
        <f t="shared" si="0"/>
        <v>0</v>
      </c>
    </row>
    <row r="14" spans="1:15" ht="18.75" customHeight="1" x14ac:dyDescent="0.25">
      <c r="A14" s="14">
        <v>6</v>
      </c>
      <c r="B14" s="19" t="s">
        <v>23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8">
        <f t="shared" si="0"/>
        <v>0</v>
      </c>
    </row>
    <row r="15" spans="1:15" ht="18.75" customHeight="1" x14ac:dyDescent="0.25">
      <c r="A15" s="14">
        <v>7</v>
      </c>
      <c r="B15" s="19" t="s">
        <v>24</v>
      </c>
      <c r="C15" s="16">
        <v>0</v>
      </c>
      <c r="D15" s="16">
        <v>1</v>
      </c>
      <c r="E15" s="16">
        <v>1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8">
        <f t="shared" si="0"/>
        <v>2</v>
      </c>
    </row>
    <row r="16" spans="1:15" ht="18.75" customHeight="1" thickBot="1" x14ac:dyDescent="0.3">
      <c r="A16" s="20">
        <v>8</v>
      </c>
      <c r="B16" s="15" t="s">
        <v>25</v>
      </c>
      <c r="C16" s="17">
        <v>3</v>
      </c>
      <c r="D16" s="17">
        <v>1</v>
      </c>
      <c r="E16" s="17">
        <v>0</v>
      </c>
      <c r="F16" s="17">
        <v>1</v>
      </c>
      <c r="G16" s="17">
        <v>0</v>
      </c>
      <c r="H16" s="17">
        <v>0</v>
      </c>
      <c r="I16" s="17">
        <v>1</v>
      </c>
      <c r="J16" s="17">
        <v>1</v>
      </c>
      <c r="K16" s="17">
        <v>1</v>
      </c>
      <c r="L16" s="17">
        <v>0</v>
      </c>
      <c r="M16" s="17">
        <v>0</v>
      </c>
      <c r="N16" s="17">
        <v>0</v>
      </c>
      <c r="O16" s="52">
        <f t="shared" si="0"/>
        <v>8</v>
      </c>
    </row>
    <row r="17" spans="1:15" ht="18.75" customHeight="1" thickTop="1" x14ac:dyDescent="0.25">
      <c r="A17" s="320" t="s">
        <v>26</v>
      </c>
      <c r="B17" s="321"/>
      <c r="C17" s="22">
        <f t="shared" ref="C17:O17" si="1">SUM(C9:C16)</f>
        <v>26</v>
      </c>
      <c r="D17" s="22">
        <f t="shared" si="1"/>
        <v>26</v>
      </c>
      <c r="E17" s="22">
        <f t="shared" si="1"/>
        <v>1</v>
      </c>
      <c r="F17" s="22">
        <f t="shared" si="1"/>
        <v>12</v>
      </c>
      <c r="G17" s="22">
        <f t="shared" si="1"/>
        <v>0</v>
      </c>
      <c r="H17" s="22">
        <f t="shared" si="1"/>
        <v>12</v>
      </c>
      <c r="I17" s="22">
        <f t="shared" si="1"/>
        <v>1</v>
      </c>
      <c r="J17" s="22">
        <f t="shared" si="1"/>
        <v>1</v>
      </c>
      <c r="K17" s="22">
        <f t="shared" si="1"/>
        <v>1</v>
      </c>
      <c r="L17" s="22">
        <f t="shared" si="1"/>
        <v>26</v>
      </c>
      <c r="M17" s="22">
        <f t="shared" si="1"/>
        <v>5</v>
      </c>
      <c r="N17" s="22">
        <f t="shared" si="1"/>
        <v>1</v>
      </c>
      <c r="O17" s="22">
        <f t="shared" si="1"/>
        <v>112</v>
      </c>
    </row>
    <row r="18" spans="1:15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5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1:15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5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5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5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5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5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5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5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5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5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5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5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5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5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5" ht="18.75" x14ac:dyDescent="0.3">
      <c r="A34" s="322" t="s">
        <v>46</v>
      </c>
      <c r="B34" s="322"/>
      <c r="C34" s="322"/>
      <c r="D34" s="322"/>
      <c r="E34" s="322"/>
      <c r="F34" s="322"/>
      <c r="G34" s="322"/>
      <c r="H34" s="322"/>
      <c r="I34" s="322"/>
      <c r="J34" s="322"/>
      <c r="K34" s="322"/>
      <c r="L34" s="322"/>
      <c r="M34" s="322"/>
      <c r="N34" s="322"/>
      <c r="O34" s="322"/>
    </row>
    <row r="35" spans="1:15" ht="18.75" x14ac:dyDescent="0.3">
      <c r="A35" s="322" t="s">
        <v>148</v>
      </c>
      <c r="B35" s="322"/>
      <c r="C35" s="322"/>
      <c r="D35" s="322"/>
      <c r="E35" s="322"/>
      <c r="F35" s="322"/>
      <c r="G35" s="322"/>
      <c r="H35" s="322"/>
      <c r="I35" s="322"/>
      <c r="J35" s="322"/>
      <c r="K35" s="322"/>
      <c r="L35" s="322"/>
      <c r="M35" s="322"/>
      <c r="N35" s="322"/>
      <c r="O35" s="322"/>
    </row>
    <row r="36" spans="1:15" ht="18.75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3" t="s">
        <v>1</v>
      </c>
    </row>
    <row r="38" spans="1:15" x14ac:dyDescent="0.25">
      <c r="A38" s="323" t="s">
        <v>2</v>
      </c>
      <c r="B38" s="323" t="s">
        <v>3</v>
      </c>
      <c r="C38" s="325" t="s">
        <v>4</v>
      </c>
      <c r="D38" s="325"/>
      <c r="E38" s="325"/>
      <c r="F38" s="325"/>
      <c r="G38" s="325"/>
      <c r="H38" s="325"/>
      <c r="I38" s="325"/>
      <c r="J38" s="325"/>
      <c r="K38" s="325"/>
      <c r="L38" s="325"/>
      <c r="M38" s="325"/>
      <c r="N38" s="325"/>
      <c r="O38" s="323" t="s">
        <v>5</v>
      </c>
    </row>
    <row r="39" spans="1:15" x14ac:dyDescent="0.25">
      <c r="A39" s="324"/>
      <c r="B39" s="324"/>
      <c r="C39" s="25" t="s">
        <v>6</v>
      </c>
      <c r="D39" s="25" t="s">
        <v>7</v>
      </c>
      <c r="E39" s="25" t="s">
        <v>8</v>
      </c>
      <c r="F39" s="25" t="s">
        <v>9</v>
      </c>
      <c r="G39" s="25" t="s">
        <v>10</v>
      </c>
      <c r="H39" s="25" t="s">
        <v>11</v>
      </c>
      <c r="I39" s="25" t="s">
        <v>12</v>
      </c>
      <c r="J39" s="25" t="s">
        <v>13</v>
      </c>
      <c r="K39" s="25" t="s">
        <v>14</v>
      </c>
      <c r="L39" s="25" t="s">
        <v>15</v>
      </c>
      <c r="M39" s="25" t="s">
        <v>16</v>
      </c>
      <c r="N39" s="25" t="s">
        <v>17</v>
      </c>
      <c r="O39" s="326"/>
    </row>
    <row r="40" spans="1:15" ht="15.75" thickBot="1" x14ac:dyDescent="0.3">
      <c r="A40" s="26">
        <v>1</v>
      </c>
      <c r="B40" s="26">
        <v>2</v>
      </c>
      <c r="C40" s="26">
        <v>3</v>
      </c>
      <c r="D40" s="26">
        <v>4</v>
      </c>
      <c r="E40" s="26">
        <v>5</v>
      </c>
      <c r="F40" s="26">
        <v>6</v>
      </c>
      <c r="G40" s="26">
        <v>7</v>
      </c>
      <c r="H40" s="26">
        <v>8</v>
      </c>
      <c r="I40" s="26">
        <v>9</v>
      </c>
      <c r="J40" s="26">
        <v>10</v>
      </c>
      <c r="K40" s="26">
        <v>11</v>
      </c>
      <c r="L40" s="26">
        <v>12</v>
      </c>
      <c r="M40" s="26">
        <v>13</v>
      </c>
      <c r="N40" s="26">
        <v>14</v>
      </c>
      <c r="O40" s="26">
        <v>15</v>
      </c>
    </row>
    <row r="41" spans="1:15" ht="18.75" customHeight="1" thickTop="1" x14ac:dyDescent="0.25">
      <c r="A41" s="27">
        <v>1</v>
      </c>
      <c r="B41" s="7" t="s">
        <v>18</v>
      </c>
      <c r="C41" s="28">
        <v>0</v>
      </c>
      <c r="D41" s="28">
        <v>0</v>
      </c>
      <c r="E41" s="28">
        <v>0</v>
      </c>
      <c r="F41" s="28">
        <v>0</v>
      </c>
      <c r="G41" s="28">
        <v>2</v>
      </c>
      <c r="H41" s="28">
        <v>0</v>
      </c>
      <c r="I41" s="28">
        <v>0</v>
      </c>
      <c r="J41" s="28">
        <v>2</v>
      </c>
      <c r="K41" s="28">
        <v>1</v>
      </c>
      <c r="L41" s="28">
        <v>0</v>
      </c>
      <c r="M41" s="28">
        <v>0</v>
      </c>
      <c r="N41" s="28">
        <v>0</v>
      </c>
      <c r="O41" s="29">
        <f>SUM(C41:N41)</f>
        <v>5</v>
      </c>
    </row>
    <row r="42" spans="1:15" ht="18.75" customHeight="1" x14ac:dyDescent="0.25">
      <c r="A42" s="14">
        <v>2</v>
      </c>
      <c r="B42" s="12" t="s">
        <v>19</v>
      </c>
      <c r="C42" s="16">
        <v>2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1</v>
      </c>
      <c r="M42" s="16">
        <v>0</v>
      </c>
      <c r="N42" s="16">
        <v>1</v>
      </c>
      <c r="O42" s="18">
        <f t="shared" ref="O42:O48" si="2">SUM(C42:N42)</f>
        <v>4</v>
      </c>
    </row>
    <row r="43" spans="1:15" ht="18.75" customHeight="1" x14ac:dyDescent="0.25">
      <c r="A43" s="14">
        <v>3</v>
      </c>
      <c r="B43" s="7" t="s">
        <v>20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8">
        <f t="shared" si="2"/>
        <v>0</v>
      </c>
    </row>
    <row r="44" spans="1:15" ht="18.75" customHeight="1" x14ac:dyDescent="0.25">
      <c r="A44" s="14">
        <v>4</v>
      </c>
      <c r="B44" s="15" t="s">
        <v>21</v>
      </c>
      <c r="C44" s="17">
        <v>0</v>
      </c>
      <c r="D44" s="17">
        <v>0</v>
      </c>
      <c r="E44" s="17">
        <v>0</v>
      </c>
      <c r="F44" s="17">
        <v>0</v>
      </c>
      <c r="G44" s="16">
        <v>0</v>
      </c>
      <c r="H44" s="16">
        <v>0</v>
      </c>
      <c r="I44" s="16">
        <v>0</v>
      </c>
      <c r="J44" s="17">
        <v>0</v>
      </c>
      <c r="K44" s="17">
        <v>0</v>
      </c>
      <c r="L44" s="16">
        <v>0</v>
      </c>
      <c r="M44" s="17">
        <v>0</v>
      </c>
      <c r="N44" s="16">
        <v>0</v>
      </c>
      <c r="O44" s="18">
        <f t="shared" si="2"/>
        <v>0</v>
      </c>
    </row>
    <row r="45" spans="1:15" ht="18.75" customHeight="1" x14ac:dyDescent="0.25">
      <c r="A45" s="14">
        <v>5</v>
      </c>
      <c r="B45" s="19" t="s">
        <v>22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2</v>
      </c>
      <c r="I45" s="16">
        <v>1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8">
        <f t="shared" si="2"/>
        <v>3</v>
      </c>
    </row>
    <row r="46" spans="1:15" ht="18.75" customHeight="1" x14ac:dyDescent="0.25">
      <c r="A46" s="14">
        <v>6</v>
      </c>
      <c r="B46" s="19" t="s">
        <v>23</v>
      </c>
      <c r="C46" s="16">
        <v>0</v>
      </c>
      <c r="D46" s="16">
        <v>0</v>
      </c>
      <c r="E46" s="16">
        <v>0</v>
      </c>
      <c r="F46" s="16">
        <v>0</v>
      </c>
      <c r="G46" s="16">
        <v>1</v>
      </c>
      <c r="H46" s="16">
        <v>0</v>
      </c>
      <c r="I46" s="69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8">
        <f t="shared" si="2"/>
        <v>1</v>
      </c>
    </row>
    <row r="47" spans="1:15" ht="18.75" customHeight="1" x14ac:dyDescent="0.25">
      <c r="A47" s="14">
        <v>7</v>
      </c>
      <c r="B47" s="19" t="s">
        <v>24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1</v>
      </c>
      <c r="N47" s="16">
        <v>0</v>
      </c>
      <c r="O47" s="18">
        <f t="shared" si="2"/>
        <v>1</v>
      </c>
    </row>
    <row r="48" spans="1:15" ht="18.75" customHeight="1" thickBot="1" x14ac:dyDescent="0.3">
      <c r="A48" s="53">
        <v>8</v>
      </c>
      <c r="B48" s="15" t="s">
        <v>25</v>
      </c>
      <c r="C48" s="17">
        <v>0</v>
      </c>
      <c r="D48" s="17">
        <v>0</v>
      </c>
      <c r="E48" s="17">
        <v>0</v>
      </c>
      <c r="F48" s="17">
        <v>2</v>
      </c>
      <c r="G48" s="17">
        <v>0</v>
      </c>
      <c r="H48" s="17">
        <v>1</v>
      </c>
      <c r="I48" s="272">
        <v>1</v>
      </c>
      <c r="J48" s="17">
        <v>2</v>
      </c>
      <c r="K48" s="17">
        <v>0</v>
      </c>
      <c r="L48" s="17">
        <v>0</v>
      </c>
      <c r="M48" s="17">
        <v>0</v>
      </c>
      <c r="N48" s="17">
        <v>0</v>
      </c>
      <c r="O48" s="55">
        <f t="shared" si="2"/>
        <v>6</v>
      </c>
    </row>
    <row r="49" spans="1:15" ht="18.75" customHeight="1" thickTop="1" x14ac:dyDescent="0.25">
      <c r="A49" s="320" t="s">
        <v>26</v>
      </c>
      <c r="B49" s="321"/>
      <c r="C49" s="22">
        <f t="shared" ref="C49:O49" si="3">SUM(C41:C48)</f>
        <v>2</v>
      </c>
      <c r="D49" s="22">
        <f t="shared" si="3"/>
        <v>0</v>
      </c>
      <c r="E49" s="22">
        <f t="shared" si="3"/>
        <v>0</v>
      </c>
      <c r="F49" s="22">
        <f t="shared" si="3"/>
        <v>2</v>
      </c>
      <c r="G49" s="22">
        <f t="shared" si="3"/>
        <v>3</v>
      </c>
      <c r="H49" s="22">
        <f t="shared" si="3"/>
        <v>3</v>
      </c>
      <c r="I49" s="70">
        <f t="shared" si="3"/>
        <v>2</v>
      </c>
      <c r="J49" s="70">
        <f t="shared" si="3"/>
        <v>4</v>
      </c>
      <c r="K49" s="22">
        <f t="shared" si="3"/>
        <v>1</v>
      </c>
      <c r="L49" s="22">
        <f t="shared" si="3"/>
        <v>1</v>
      </c>
      <c r="M49" s="22">
        <f t="shared" si="3"/>
        <v>1</v>
      </c>
      <c r="N49" s="22">
        <f t="shared" si="3"/>
        <v>1</v>
      </c>
      <c r="O49" s="22">
        <f t="shared" si="3"/>
        <v>20</v>
      </c>
    </row>
    <row r="50" spans="1:15" x14ac:dyDescent="0.25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</row>
    <row r="51" spans="1:15" x14ac:dyDescent="0.25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</row>
    <row r="52" spans="1:15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5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5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spans="1:15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5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5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5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5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5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5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5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5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5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5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5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5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5" ht="18.75" x14ac:dyDescent="0.3">
      <c r="A68" s="322" t="s">
        <v>47</v>
      </c>
      <c r="B68" s="322"/>
      <c r="C68" s="322"/>
      <c r="D68" s="322"/>
      <c r="E68" s="322"/>
      <c r="F68" s="322"/>
      <c r="G68" s="322"/>
      <c r="H68" s="322"/>
      <c r="I68" s="322"/>
      <c r="J68" s="322"/>
      <c r="K68" s="322"/>
      <c r="L68" s="322"/>
      <c r="M68" s="322"/>
      <c r="N68" s="322"/>
      <c r="O68" s="322"/>
    </row>
    <row r="69" spans="1:15" ht="18.75" x14ac:dyDescent="0.3">
      <c r="A69" s="322" t="s">
        <v>148</v>
      </c>
      <c r="B69" s="322"/>
      <c r="C69" s="322"/>
      <c r="D69" s="322"/>
      <c r="E69" s="322"/>
      <c r="F69" s="322"/>
      <c r="G69" s="322"/>
      <c r="H69" s="322"/>
      <c r="I69" s="322"/>
      <c r="J69" s="322"/>
      <c r="K69" s="322"/>
      <c r="L69" s="322"/>
      <c r="M69" s="322"/>
      <c r="N69" s="322"/>
      <c r="O69" s="322"/>
    </row>
    <row r="70" spans="1:15" ht="18.7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5" x14ac:dyDescent="0.25">
      <c r="A72" s="323" t="s">
        <v>2</v>
      </c>
      <c r="B72" s="323" t="s">
        <v>3</v>
      </c>
      <c r="C72" s="325" t="s">
        <v>4</v>
      </c>
      <c r="D72" s="325"/>
      <c r="E72" s="325"/>
      <c r="F72" s="325"/>
      <c r="G72" s="325"/>
      <c r="H72" s="325"/>
      <c r="I72" s="325"/>
      <c r="J72" s="325"/>
      <c r="K72" s="325"/>
      <c r="L72" s="325"/>
      <c r="M72" s="325"/>
      <c r="N72" s="325"/>
      <c r="O72" s="323" t="s">
        <v>5</v>
      </c>
    </row>
    <row r="73" spans="1:15" x14ac:dyDescent="0.25">
      <c r="A73" s="324"/>
      <c r="B73" s="324"/>
      <c r="C73" s="25" t="s">
        <v>6</v>
      </c>
      <c r="D73" s="25" t="s">
        <v>7</v>
      </c>
      <c r="E73" s="25" t="s">
        <v>8</v>
      </c>
      <c r="F73" s="25" t="s">
        <v>9</v>
      </c>
      <c r="G73" s="25" t="s">
        <v>10</v>
      </c>
      <c r="H73" s="25" t="s">
        <v>11</v>
      </c>
      <c r="I73" s="25" t="s">
        <v>12</v>
      </c>
      <c r="J73" s="25" t="s">
        <v>13</v>
      </c>
      <c r="K73" s="25" t="s">
        <v>14</v>
      </c>
      <c r="L73" s="25" t="s">
        <v>15</v>
      </c>
      <c r="M73" s="25" t="s">
        <v>16</v>
      </c>
      <c r="N73" s="25" t="s">
        <v>17</v>
      </c>
      <c r="O73" s="326"/>
    </row>
    <row r="74" spans="1:15" ht="15.75" thickBot="1" x14ac:dyDescent="0.3">
      <c r="A74" s="26">
        <v>1</v>
      </c>
      <c r="B74" s="26">
        <v>2</v>
      </c>
      <c r="C74" s="26">
        <v>3</v>
      </c>
      <c r="D74" s="26">
        <v>4</v>
      </c>
      <c r="E74" s="26">
        <v>5</v>
      </c>
      <c r="F74" s="26">
        <v>6</v>
      </c>
      <c r="G74" s="26">
        <v>7</v>
      </c>
      <c r="H74" s="26">
        <v>8</v>
      </c>
      <c r="I74" s="26">
        <v>9</v>
      </c>
      <c r="J74" s="26">
        <v>10</v>
      </c>
      <c r="K74" s="26">
        <v>11</v>
      </c>
      <c r="L74" s="26">
        <v>12</v>
      </c>
      <c r="M74" s="26">
        <v>13</v>
      </c>
      <c r="N74" s="26">
        <v>14</v>
      </c>
      <c r="O74" s="26">
        <v>15</v>
      </c>
    </row>
    <row r="75" spans="1:15" ht="18.75" customHeight="1" thickTop="1" x14ac:dyDescent="0.25">
      <c r="A75" s="27">
        <v>1</v>
      </c>
      <c r="B75" s="7" t="s">
        <v>18</v>
      </c>
      <c r="C75" s="237">
        <v>0</v>
      </c>
      <c r="D75" s="28">
        <v>0</v>
      </c>
      <c r="E75" s="28">
        <v>0</v>
      </c>
      <c r="F75" s="28">
        <v>0</v>
      </c>
      <c r="G75" s="237">
        <v>20.399999999999999</v>
      </c>
      <c r="H75" s="237">
        <v>0</v>
      </c>
      <c r="I75" s="237">
        <v>0</v>
      </c>
      <c r="J75" s="237">
        <v>28</v>
      </c>
      <c r="K75" s="237">
        <v>12</v>
      </c>
      <c r="L75" s="237">
        <v>0</v>
      </c>
      <c r="M75" s="28">
        <v>0</v>
      </c>
      <c r="N75" s="237">
        <v>0</v>
      </c>
      <c r="O75" s="168">
        <f>SUM(C75:N75)</f>
        <v>60.4</v>
      </c>
    </row>
    <row r="76" spans="1:15" ht="18.75" customHeight="1" x14ac:dyDescent="0.25">
      <c r="A76" s="14">
        <v>2</v>
      </c>
      <c r="B76" s="12" t="s">
        <v>19</v>
      </c>
      <c r="C76" s="158">
        <v>25.6</v>
      </c>
      <c r="D76" s="16">
        <v>0</v>
      </c>
      <c r="E76" s="16">
        <v>0</v>
      </c>
      <c r="F76" s="16">
        <v>0</v>
      </c>
      <c r="G76" s="158">
        <v>0</v>
      </c>
      <c r="H76" s="158">
        <v>0</v>
      </c>
      <c r="I76" s="158">
        <v>0</v>
      </c>
      <c r="J76" s="158">
        <v>0</v>
      </c>
      <c r="K76" s="16">
        <v>0</v>
      </c>
      <c r="L76" s="158">
        <v>12.6</v>
      </c>
      <c r="M76" s="16">
        <v>0</v>
      </c>
      <c r="N76" s="158">
        <v>13.2</v>
      </c>
      <c r="O76" s="166">
        <f>SUM(C76:N76)</f>
        <v>51.400000000000006</v>
      </c>
    </row>
    <row r="77" spans="1:15" ht="18.75" customHeight="1" x14ac:dyDescent="0.25">
      <c r="A77" s="14">
        <v>3</v>
      </c>
      <c r="B77" s="7" t="s">
        <v>20</v>
      </c>
      <c r="C77" s="158">
        <v>0</v>
      </c>
      <c r="D77" s="16">
        <v>0</v>
      </c>
      <c r="E77" s="16">
        <v>0</v>
      </c>
      <c r="F77" s="16">
        <v>0</v>
      </c>
      <c r="G77" s="158">
        <v>0</v>
      </c>
      <c r="H77" s="158">
        <v>0</v>
      </c>
      <c r="I77" s="158">
        <v>0</v>
      </c>
      <c r="J77" s="158">
        <v>0</v>
      </c>
      <c r="K77" s="16">
        <v>0</v>
      </c>
      <c r="L77" s="158">
        <v>0</v>
      </c>
      <c r="M77" s="16">
        <v>0</v>
      </c>
      <c r="N77" s="158">
        <v>0</v>
      </c>
      <c r="O77" s="166">
        <f t="shared" ref="O77:O82" si="4">SUM(C77:N77)</f>
        <v>0</v>
      </c>
    </row>
    <row r="78" spans="1:15" ht="18.75" customHeight="1" x14ac:dyDescent="0.25">
      <c r="A78" s="14">
        <v>4</v>
      </c>
      <c r="B78" s="15" t="s">
        <v>21</v>
      </c>
      <c r="C78" s="162">
        <v>0</v>
      </c>
      <c r="D78" s="17">
        <v>0</v>
      </c>
      <c r="E78" s="17">
        <v>0</v>
      </c>
      <c r="F78" s="17">
        <v>0</v>
      </c>
      <c r="G78" s="158">
        <v>0</v>
      </c>
      <c r="H78" s="158">
        <v>0</v>
      </c>
      <c r="I78" s="158">
        <v>0</v>
      </c>
      <c r="J78" s="158">
        <v>0</v>
      </c>
      <c r="K78" s="17">
        <v>0</v>
      </c>
      <c r="L78" s="158">
        <v>0</v>
      </c>
      <c r="M78" s="17">
        <v>0</v>
      </c>
      <c r="N78" s="158">
        <v>0</v>
      </c>
      <c r="O78" s="166">
        <f t="shared" si="4"/>
        <v>0</v>
      </c>
    </row>
    <row r="79" spans="1:15" ht="18.75" customHeight="1" x14ac:dyDescent="0.25">
      <c r="A79" s="14">
        <v>5</v>
      </c>
      <c r="B79" s="19" t="s">
        <v>22</v>
      </c>
      <c r="C79" s="158">
        <v>0</v>
      </c>
      <c r="D79" s="16">
        <v>0</v>
      </c>
      <c r="E79" s="16">
        <v>0</v>
      </c>
      <c r="F79" s="16">
        <v>0</v>
      </c>
      <c r="G79" s="158">
        <v>0</v>
      </c>
      <c r="H79" s="158">
        <v>30</v>
      </c>
      <c r="I79" s="158">
        <v>15</v>
      </c>
      <c r="J79" s="158">
        <v>0</v>
      </c>
      <c r="K79" s="16">
        <v>0</v>
      </c>
      <c r="L79" s="158">
        <v>0</v>
      </c>
      <c r="M79" s="16">
        <v>0</v>
      </c>
      <c r="N79" s="158">
        <v>0</v>
      </c>
      <c r="O79" s="166">
        <f t="shared" si="4"/>
        <v>45</v>
      </c>
    </row>
    <row r="80" spans="1:15" ht="18.75" customHeight="1" x14ac:dyDescent="0.25">
      <c r="A80" s="14">
        <v>6</v>
      </c>
      <c r="B80" s="19" t="s">
        <v>23</v>
      </c>
      <c r="C80" s="158">
        <v>0</v>
      </c>
      <c r="D80" s="16">
        <v>0</v>
      </c>
      <c r="E80" s="16">
        <v>0</v>
      </c>
      <c r="F80" s="16">
        <v>0</v>
      </c>
      <c r="G80" s="158">
        <v>10</v>
      </c>
      <c r="H80" s="158">
        <v>0</v>
      </c>
      <c r="I80" s="158">
        <v>0</v>
      </c>
      <c r="J80" s="158">
        <v>0</v>
      </c>
      <c r="K80" s="16">
        <v>0</v>
      </c>
      <c r="L80" s="158">
        <v>0</v>
      </c>
      <c r="M80" s="16">
        <v>0</v>
      </c>
      <c r="N80" s="158">
        <v>0</v>
      </c>
      <c r="O80" s="166">
        <f t="shared" si="4"/>
        <v>10</v>
      </c>
    </row>
    <row r="81" spans="1:15" ht="18.75" customHeight="1" x14ac:dyDescent="0.25">
      <c r="A81" s="14">
        <v>7</v>
      </c>
      <c r="B81" s="19" t="s">
        <v>24</v>
      </c>
      <c r="C81" s="158">
        <v>0</v>
      </c>
      <c r="D81" s="16">
        <v>0</v>
      </c>
      <c r="E81" s="16">
        <v>0</v>
      </c>
      <c r="F81" s="16">
        <v>0</v>
      </c>
      <c r="G81" s="158">
        <v>0</v>
      </c>
      <c r="H81" s="158">
        <v>0</v>
      </c>
      <c r="I81" s="158">
        <v>0</v>
      </c>
      <c r="J81" s="158">
        <v>0</v>
      </c>
      <c r="K81" s="16">
        <v>0</v>
      </c>
      <c r="L81" s="158">
        <v>0</v>
      </c>
      <c r="M81" s="158">
        <v>18</v>
      </c>
      <c r="N81" s="158">
        <v>0</v>
      </c>
      <c r="O81" s="166">
        <f t="shared" si="4"/>
        <v>18</v>
      </c>
    </row>
    <row r="82" spans="1:15" ht="18.75" customHeight="1" thickBot="1" x14ac:dyDescent="0.3">
      <c r="A82" s="53">
        <v>8</v>
      </c>
      <c r="B82" s="15" t="s">
        <v>25</v>
      </c>
      <c r="C82" s="162">
        <v>0</v>
      </c>
      <c r="D82" s="17">
        <v>0</v>
      </c>
      <c r="E82" s="17">
        <v>0</v>
      </c>
      <c r="F82" s="162">
        <v>22</v>
      </c>
      <c r="G82" s="162">
        <v>0</v>
      </c>
      <c r="H82" s="162">
        <v>12</v>
      </c>
      <c r="I82" s="162">
        <v>15</v>
      </c>
      <c r="J82" s="162">
        <v>30</v>
      </c>
      <c r="K82" s="17">
        <v>0</v>
      </c>
      <c r="L82" s="162">
        <v>0</v>
      </c>
      <c r="M82" s="162">
        <v>0</v>
      </c>
      <c r="N82" s="162">
        <v>0</v>
      </c>
      <c r="O82" s="166">
        <f t="shared" si="4"/>
        <v>79</v>
      </c>
    </row>
    <row r="83" spans="1:15" ht="18.75" customHeight="1" thickTop="1" x14ac:dyDescent="0.25">
      <c r="A83" s="320" t="s">
        <v>26</v>
      </c>
      <c r="B83" s="321"/>
      <c r="C83" s="159">
        <f t="shared" ref="C83:O83" si="5">SUM(C75:C82)</f>
        <v>25.6</v>
      </c>
      <c r="D83" s="159">
        <f t="shared" si="5"/>
        <v>0</v>
      </c>
      <c r="E83" s="159">
        <f t="shared" si="5"/>
        <v>0</v>
      </c>
      <c r="F83" s="159">
        <f t="shared" si="5"/>
        <v>22</v>
      </c>
      <c r="G83" s="159">
        <f t="shared" si="5"/>
        <v>30.4</v>
      </c>
      <c r="H83" s="159">
        <f t="shared" si="5"/>
        <v>42</v>
      </c>
      <c r="I83" s="159">
        <f t="shared" si="5"/>
        <v>30</v>
      </c>
      <c r="J83" s="159">
        <f t="shared" si="5"/>
        <v>58</v>
      </c>
      <c r="K83" s="159">
        <f t="shared" si="5"/>
        <v>12</v>
      </c>
      <c r="L83" s="159">
        <f t="shared" si="5"/>
        <v>12.6</v>
      </c>
      <c r="M83" s="159">
        <f t="shared" si="5"/>
        <v>18</v>
      </c>
      <c r="N83" s="159">
        <f t="shared" si="5"/>
        <v>13.2</v>
      </c>
      <c r="O83" s="159">
        <f t="shared" si="5"/>
        <v>263.8</v>
      </c>
    </row>
    <row r="84" spans="1:15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5" x14ac:dyDescent="0.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</row>
    <row r="86" spans="1:15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spans="1:15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</row>
    <row r="88" spans="1:15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15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1:15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1:15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1:15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1:15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</row>
    <row r="94" spans="1:15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5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5" ht="18.75" x14ac:dyDescent="0.3">
      <c r="A96" s="322" t="s">
        <v>48</v>
      </c>
      <c r="B96" s="322"/>
      <c r="C96" s="322"/>
      <c r="D96" s="322"/>
      <c r="E96" s="322"/>
      <c r="F96" s="322"/>
      <c r="G96" s="322"/>
      <c r="H96" s="322"/>
      <c r="I96" s="322"/>
      <c r="J96" s="322"/>
      <c r="K96" s="322"/>
      <c r="L96" s="322"/>
      <c r="M96" s="322"/>
      <c r="N96" s="322"/>
      <c r="O96" s="322"/>
    </row>
    <row r="97" spans="1:15" ht="18.75" x14ac:dyDescent="0.3">
      <c r="A97" s="322" t="s">
        <v>148</v>
      </c>
      <c r="B97" s="322"/>
      <c r="C97" s="322"/>
      <c r="D97" s="322"/>
      <c r="E97" s="322"/>
      <c r="F97" s="322"/>
      <c r="G97" s="322"/>
      <c r="H97" s="322"/>
      <c r="I97" s="322"/>
      <c r="J97" s="322"/>
      <c r="K97" s="322"/>
      <c r="L97" s="322"/>
      <c r="M97" s="322"/>
      <c r="N97" s="322"/>
      <c r="O97" s="322"/>
    </row>
    <row r="98" spans="1:15" ht="18.75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3" t="s">
        <v>31</v>
      </c>
    </row>
    <row r="100" spans="1:15" x14ac:dyDescent="0.25">
      <c r="A100" s="323" t="s">
        <v>2</v>
      </c>
      <c r="B100" s="323" t="s">
        <v>3</v>
      </c>
      <c r="C100" s="325" t="s">
        <v>4</v>
      </c>
      <c r="D100" s="325"/>
      <c r="E100" s="325"/>
      <c r="F100" s="325"/>
      <c r="G100" s="325"/>
      <c r="H100" s="325"/>
      <c r="I100" s="325"/>
      <c r="J100" s="325"/>
      <c r="K100" s="325"/>
      <c r="L100" s="325"/>
      <c r="M100" s="325"/>
      <c r="N100" s="325"/>
      <c r="O100" s="323" t="s">
        <v>5</v>
      </c>
    </row>
    <row r="101" spans="1:15" x14ac:dyDescent="0.25">
      <c r="A101" s="324"/>
      <c r="B101" s="324"/>
      <c r="C101" s="25" t="s">
        <v>6</v>
      </c>
      <c r="D101" s="25" t="s">
        <v>7</v>
      </c>
      <c r="E101" s="25" t="s">
        <v>8</v>
      </c>
      <c r="F101" s="25" t="s">
        <v>9</v>
      </c>
      <c r="G101" s="25" t="s">
        <v>10</v>
      </c>
      <c r="H101" s="25" t="s">
        <v>11</v>
      </c>
      <c r="I101" s="25" t="s">
        <v>12</v>
      </c>
      <c r="J101" s="25" t="s">
        <v>13</v>
      </c>
      <c r="K101" s="25" t="s">
        <v>14</v>
      </c>
      <c r="L101" s="25" t="s">
        <v>15</v>
      </c>
      <c r="M101" s="25" t="s">
        <v>16</v>
      </c>
      <c r="N101" s="25" t="s">
        <v>17</v>
      </c>
      <c r="O101" s="326"/>
    </row>
    <row r="102" spans="1:15" ht="15.75" thickBot="1" x14ac:dyDescent="0.3">
      <c r="A102" s="26">
        <v>1</v>
      </c>
      <c r="B102" s="26">
        <v>2</v>
      </c>
      <c r="C102" s="26">
        <v>3</v>
      </c>
      <c r="D102" s="26">
        <v>4</v>
      </c>
      <c r="E102" s="26">
        <v>5</v>
      </c>
      <c r="F102" s="26">
        <v>6</v>
      </c>
      <c r="G102" s="26">
        <v>7</v>
      </c>
      <c r="H102" s="26">
        <v>8</v>
      </c>
      <c r="I102" s="26">
        <v>9</v>
      </c>
      <c r="J102" s="26">
        <v>10</v>
      </c>
      <c r="K102" s="26">
        <v>11</v>
      </c>
      <c r="L102" s="26">
        <v>12</v>
      </c>
      <c r="M102" s="26">
        <v>13</v>
      </c>
      <c r="N102" s="26">
        <v>14</v>
      </c>
      <c r="O102" s="26">
        <v>15</v>
      </c>
    </row>
    <row r="103" spans="1:15" ht="18" customHeight="1" thickTop="1" x14ac:dyDescent="0.25">
      <c r="A103" s="27">
        <v>1</v>
      </c>
      <c r="B103" s="7" t="s">
        <v>18</v>
      </c>
      <c r="C103" s="32">
        <v>0</v>
      </c>
      <c r="D103" s="28">
        <v>0</v>
      </c>
      <c r="E103" s="28">
        <v>0</v>
      </c>
      <c r="F103" s="28">
        <v>0</v>
      </c>
      <c r="G103" s="32">
        <v>102.11</v>
      </c>
      <c r="H103" s="32">
        <v>0</v>
      </c>
      <c r="I103" s="32">
        <v>0</v>
      </c>
      <c r="J103" s="32">
        <v>140.21</v>
      </c>
      <c r="K103" s="32">
        <v>120.1</v>
      </c>
      <c r="L103" s="32">
        <v>0</v>
      </c>
      <c r="M103" s="28">
        <v>0</v>
      </c>
      <c r="N103" s="32">
        <v>0</v>
      </c>
      <c r="O103" s="44">
        <f>O75/O41*10</f>
        <v>120.8</v>
      </c>
    </row>
    <row r="104" spans="1:15" ht="18" customHeight="1" x14ac:dyDescent="0.25">
      <c r="A104" s="14">
        <v>2</v>
      </c>
      <c r="B104" s="12" t="s">
        <v>19</v>
      </c>
      <c r="C104" s="34">
        <v>128.02000000000001</v>
      </c>
      <c r="D104" s="16">
        <v>0</v>
      </c>
      <c r="E104" s="16">
        <v>0</v>
      </c>
      <c r="F104" s="16">
        <v>0</v>
      </c>
      <c r="G104" s="34">
        <v>0</v>
      </c>
      <c r="H104" s="34">
        <v>0</v>
      </c>
      <c r="I104" s="34">
        <v>0</v>
      </c>
      <c r="J104" s="16">
        <v>0</v>
      </c>
      <c r="K104" s="16">
        <v>0</v>
      </c>
      <c r="L104" s="34">
        <v>126.02</v>
      </c>
      <c r="M104" s="16">
        <v>0</v>
      </c>
      <c r="N104" s="34">
        <v>132</v>
      </c>
      <c r="O104" s="35">
        <f>(O76/O42)*10</f>
        <v>128.5</v>
      </c>
    </row>
    <row r="105" spans="1:15" ht="18" customHeight="1" x14ac:dyDescent="0.25">
      <c r="A105" s="14">
        <v>3</v>
      </c>
      <c r="B105" s="7" t="s">
        <v>20</v>
      </c>
      <c r="C105" s="34">
        <v>0</v>
      </c>
      <c r="D105" s="16">
        <v>0</v>
      </c>
      <c r="E105" s="16">
        <v>0</v>
      </c>
      <c r="F105" s="16">
        <v>0</v>
      </c>
      <c r="G105" s="34">
        <v>0</v>
      </c>
      <c r="H105" s="34">
        <v>0</v>
      </c>
      <c r="I105" s="34">
        <v>0</v>
      </c>
      <c r="J105" s="16">
        <v>0</v>
      </c>
      <c r="K105" s="16">
        <v>0</v>
      </c>
      <c r="L105" s="34">
        <v>0</v>
      </c>
      <c r="M105" s="16">
        <v>0</v>
      </c>
      <c r="N105" s="34">
        <v>0</v>
      </c>
      <c r="O105" s="35">
        <v>0</v>
      </c>
    </row>
    <row r="106" spans="1:15" ht="18" customHeight="1" x14ac:dyDescent="0.25">
      <c r="A106" s="14">
        <v>4</v>
      </c>
      <c r="B106" s="15" t="s">
        <v>21</v>
      </c>
      <c r="C106" s="36">
        <v>0</v>
      </c>
      <c r="D106" s="17">
        <v>0</v>
      </c>
      <c r="E106" s="17">
        <v>0</v>
      </c>
      <c r="F106" s="17">
        <v>0</v>
      </c>
      <c r="G106" s="34">
        <v>0</v>
      </c>
      <c r="H106" s="34">
        <v>0</v>
      </c>
      <c r="I106" s="34">
        <v>0</v>
      </c>
      <c r="J106" s="17">
        <v>0</v>
      </c>
      <c r="K106" s="17">
        <v>0</v>
      </c>
      <c r="L106" s="34">
        <v>0</v>
      </c>
      <c r="M106" s="17">
        <v>0</v>
      </c>
      <c r="N106" s="34">
        <v>0</v>
      </c>
      <c r="O106" s="35">
        <v>0</v>
      </c>
    </row>
    <row r="107" spans="1:15" ht="18" customHeight="1" x14ac:dyDescent="0.25">
      <c r="A107" s="14">
        <v>5</v>
      </c>
      <c r="B107" s="19" t="s">
        <v>22</v>
      </c>
      <c r="C107" s="34">
        <v>0</v>
      </c>
      <c r="D107" s="16">
        <v>0</v>
      </c>
      <c r="E107" s="16">
        <v>0</v>
      </c>
      <c r="F107" s="16">
        <v>0</v>
      </c>
      <c r="G107" s="34">
        <v>0</v>
      </c>
      <c r="H107" s="34">
        <v>150.21</v>
      </c>
      <c r="I107" s="34">
        <v>150.21</v>
      </c>
      <c r="J107" s="16">
        <v>0</v>
      </c>
      <c r="K107" s="16">
        <v>0</v>
      </c>
      <c r="L107" s="34">
        <v>0</v>
      </c>
      <c r="M107" s="16">
        <v>0</v>
      </c>
      <c r="N107" s="34">
        <v>0</v>
      </c>
      <c r="O107" s="35">
        <f t="shared" ref="O107:O110" si="6">(O79/O45)*10</f>
        <v>150</v>
      </c>
    </row>
    <row r="108" spans="1:15" ht="18" customHeight="1" x14ac:dyDescent="0.25">
      <c r="A108" s="14">
        <v>6</v>
      </c>
      <c r="B108" s="19" t="s">
        <v>23</v>
      </c>
      <c r="C108" s="34">
        <v>0</v>
      </c>
      <c r="D108" s="16">
        <v>0</v>
      </c>
      <c r="E108" s="16">
        <v>0</v>
      </c>
      <c r="F108" s="16">
        <v>0</v>
      </c>
      <c r="G108" s="34">
        <v>100.15</v>
      </c>
      <c r="H108" s="34">
        <v>0</v>
      </c>
      <c r="I108" s="34">
        <v>0</v>
      </c>
      <c r="J108" s="16">
        <v>0</v>
      </c>
      <c r="K108" s="16">
        <v>0</v>
      </c>
      <c r="L108" s="34">
        <v>0</v>
      </c>
      <c r="M108" s="16">
        <v>0</v>
      </c>
      <c r="N108" s="34">
        <v>0</v>
      </c>
      <c r="O108" s="35">
        <f t="shared" si="6"/>
        <v>100</v>
      </c>
    </row>
    <row r="109" spans="1:15" ht="18" customHeight="1" x14ac:dyDescent="0.25">
      <c r="A109" s="14">
        <v>7</v>
      </c>
      <c r="B109" s="19" t="s">
        <v>24</v>
      </c>
      <c r="C109" s="34">
        <v>0</v>
      </c>
      <c r="D109" s="16">
        <v>0</v>
      </c>
      <c r="E109" s="16">
        <v>0</v>
      </c>
      <c r="F109" s="16">
        <v>0</v>
      </c>
      <c r="G109" s="34">
        <v>0</v>
      </c>
      <c r="H109" s="34">
        <v>0</v>
      </c>
      <c r="I109" s="34">
        <v>0</v>
      </c>
      <c r="J109" s="16">
        <v>0</v>
      </c>
      <c r="K109" s="16">
        <v>0</v>
      </c>
      <c r="L109" s="34">
        <v>0</v>
      </c>
      <c r="M109" s="34">
        <v>180</v>
      </c>
      <c r="N109" s="34">
        <v>0</v>
      </c>
      <c r="O109" s="35">
        <f t="shared" si="6"/>
        <v>180</v>
      </c>
    </row>
    <row r="110" spans="1:15" ht="18" customHeight="1" thickBot="1" x14ac:dyDescent="0.3">
      <c r="A110" s="53">
        <v>8</v>
      </c>
      <c r="B110" s="15" t="s">
        <v>25</v>
      </c>
      <c r="C110" s="36">
        <v>0</v>
      </c>
      <c r="D110" s="17">
        <v>0</v>
      </c>
      <c r="E110" s="17">
        <v>0</v>
      </c>
      <c r="F110" s="36">
        <v>110.12</v>
      </c>
      <c r="G110" s="36">
        <v>0</v>
      </c>
      <c r="H110" s="36">
        <v>120.22</v>
      </c>
      <c r="I110" s="36">
        <v>150.25</v>
      </c>
      <c r="J110" s="56">
        <v>150.11000000000001</v>
      </c>
      <c r="K110" s="17">
        <v>0</v>
      </c>
      <c r="L110" s="36">
        <v>0</v>
      </c>
      <c r="M110" s="36">
        <v>0</v>
      </c>
      <c r="N110" s="36">
        <v>0</v>
      </c>
      <c r="O110" s="35">
        <f t="shared" si="6"/>
        <v>131.66666666666666</v>
      </c>
    </row>
    <row r="111" spans="1:15" ht="18" customHeight="1" thickTop="1" x14ac:dyDescent="0.25">
      <c r="A111" s="320" t="s">
        <v>26</v>
      </c>
      <c r="B111" s="321"/>
      <c r="C111" s="38">
        <f>SUM(C103:C110)</f>
        <v>128.02000000000001</v>
      </c>
      <c r="D111" s="38">
        <f>SUM(D103:D110)</f>
        <v>0</v>
      </c>
      <c r="E111" s="38">
        <f>SUM(E103:E110)</f>
        <v>0</v>
      </c>
      <c r="F111" s="38">
        <f>SUM(F103:F110)</f>
        <v>110.12</v>
      </c>
      <c r="G111" s="38">
        <f t="shared" ref="G111:N111" si="7">G83/G49*10</f>
        <v>101.33333333333333</v>
      </c>
      <c r="H111" s="38">
        <f t="shared" si="7"/>
        <v>140</v>
      </c>
      <c r="I111" s="38">
        <f t="shared" si="7"/>
        <v>150</v>
      </c>
      <c r="J111" s="38">
        <f t="shared" si="7"/>
        <v>145</v>
      </c>
      <c r="K111" s="38">
        <f>SUM(K103:K110)</f>
        <v>120.1</v>
      </c>
      <c r="L111" s="38">
        <f>SUM(L103:L110)</f>
        <v>126.02</v>
      </c>
      <c r="M111" s="38">
        <f t="shared" si="7"/>
        <v>180</v>
      </c>
      <c r="N111" s="38">
        <f t="shared" si="7"/>
        <v>132</v>
      </c>
      <c r="O111" s="38">
        <f t="shared" ref="O111" si="8">O83/O49*10</f>
        <v>131.9</v>
      </c>
    </row>
    <row r="112" spans="1:15" x14ac:dyDescent="0.25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</row>
    <row r="114" spans="12:12" x14ac:dyDescent="0.25">
      <c r="L114" s="41" t="s">
        <v>146</v>
      </c>
    </row>
    <row r="115" spans="12:12" x14ac:dyDescent="0.25">
      <c r="L115" s="41" t="s">
        <v>95</v>
      </c>
    </row>
    <row r="116" spans="12:12" x14ac:dyDescent="0.25">
      <c r="L116" s="41" t="s">
        <v>84</v>
      </c>
    </row>
    <row r="117" spans="12:12" x14ac:dyDescent="0.25">
      <c r="L117" s="41"/>
    </row>
    <row r="118" spans="12:12" x14ac:dyDescent="0.25">
      <c r="L118" s="41"/>
    </row>
    <row r="119" spans="12:12" x14ac:dyDescent="0.25">
      <c r="L119" s="41"/>
    </row>
    <row r="120" spans="12:12" x14ac:dyDescent="0.25">
      <c r="L120" s="299" t="s">
        <v>147</v>
      </c>
    </row>
    <row r="121" spans="12:12" x14ac:dyDescent="0.25">
      <c r="L121" s="41" t="s">
        <v>97</v>
      </c>
    </row>
  </sheetData>
  <mergeCells count="28">
    <mergeCell ref="A2:O2"/>
    <mergeCell ref="A3:O3"/>
    <mergeCell ref="A6:A7"/>
    <mergeCell ref="B6:B7"/>
    <mergeCell ref="C6:N6"/>
    <mergeCell ref="O6:O7"/>
    <mergeCell ref="A17:B17"/>
    <mergeCell ref="A34:O34"/>
    <mergeCell ref="A35:O35"/>
    <mergeCell ref="A38:A39"/>
    <mergeCell ref="B38:B39"/>
    <mergeCell ref="C38:N38"/>
    <mergeCell ref="O38:O39"/>
    <mergeCell ref="A49:B49"/>
    <mergeCell ref="A68:O68"/>
    <mergeCell ref="A69:O69"/>
    <mergeCell ref="A72:A73"/>
    <mergeCell ref="B72:B73"/>
    <mergeCell ref="C72:N72"/>
    <mergeCell ref="O72:O73"/>
    <mergeCell ref="A111:B111"/>
    <mergeCell ref="A83:B83"/>
    <mergeCell ref="A96:O96"/>
    <mergeCell ref="A97:O97"/>
    <mergeCell ref="A100:A101"/>
    <mergeCell ref="B100:B101"/>
    <mergeCell ref="C100:N100"/>
    <mergeCell ref="O100:O101"/>
  </mergeCells>
  <pageMargins left="1.5748031496062993" right="0.39370078740157483" top="0.94488188976377963" bottom="0.74803149606299213" header="0.31496062992125984" footer="0.31496062992125984"/>
  <pageSetup paperSize="9" scale="90" orientation="landscape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O126"/>
  <sheetViews>
    <sheetView zoomScale="90" zoomScaleNormal="90" workbookViewId="0">
      <selection activeCell="A2" sqref="A2:O2"/>
    </sheetView>
  </sheetViews>
  <sheetFormatPr defaultRowHeight="15" x14ac:dyDescent="0.25"/>
  <cols>
    <col min="1" max="1" width="4.140625" customWidth="1"/>
    <col min="2" max="2" width="14.28515625" customWidth="1"/>
    <col min="3" max="15" width="8.5703125" customWidth="1"/>
  </cols>
  <sheetData>
    <row r="2" spans="1:15" ht="18.75" x14ac:dyDescent="0.3">
      <c r="A2" s="322" t="s">
        <v>49</v>
      </c>
      <c r="B2" s="322"/>
      <c r="C2" s="322"/>
      <c r="D2" s="322"/>
      <c r="E2" s="322"/>
      <c r="F2" s="322"/>
      <c r="G2" s="322"/>
      <c r="H2" s="322"/>
      <c r="I2" s="322"/>
      <c r="J2" s="322"/>
      <c r="K2" s="322"/>
      <c r="L2" s="322"/>
      <c r="M2" s="322"/>
      <c r="N2" s="322"/>
      <c r="O2" s="322"/>
    </row>
    <row r="3" spans="1:15" ht="18.75" x14ac:dyDescent="0.3">
      <c r="A3" s="322" t="s">
        <v>148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  <c r="M3" s="322"/>
      <c r="N3" s="322"/>
      <c r="O3" s="322"/>
    </row>
    <row r="4" spans="1:15" ht="18.7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5" x14ac:dyDescent="0.25">
      <c r="A6" s="323" t="s">
        <v>2</v>
      </c>
      <c r="B6" s="323" t="s">
        <v>3</v>
      </c>
      <c r="C6" s="325" t="s">
        <v>4</v>
      </c>
      <c r="D6" s="325"/>
      <c r="E6" s="325"/>
      <c r="F6" s="325"/>
      <c r="G6" s="325"/>
      <c r="H6" s="325"/>
      <c r="I6" s="325"/>
      <c r="J6" s="325"/>
      <c r="K6" s="325"/>
      <c r="L6" s="325"/>
      <c r="M6" s="325"/>
      <c r="N6" s="325"/>
      <c r="O6" s="323" t="s">
        <v>5</v>
      </c>
    </row>
    <row r="7" spans="1:15" x14ac:dyDescent="0.25">
      <c r="A7" s="324"/>
      <c r="B7" s="324"/>
      <c r="C7" s="25" t="s">
        <v>6</v>
      </c>
      <c r="D7" s="25" t="s">
        <v>7</v>
      </c>
      <c r="E7" s="25" t="s">
        <v>8</v>
      </c>
      <c r="F7" s="25" t="s">
        <v>9</v>
      </c>
      <c r="G7" s="25" t="s">
        <v>10</v>
      </c>
      <c r="H7" s="25" t="s">
        <v>11</v>
      </c>
      <c r="I7" s="25" t="s">
        <v>12</v>
      </c>
      <c r="J7" s="25" t="s">
        <v>13</v>
      </c>
      <c r="K7" s="25" t="s">
        <v>14</v>
      </c>
      <c r="L7" s="25" t="s">
        <v>15</v>
      </c>
      <c r="M7" s="25" t="s">
        <v>16</v>
      </c>
      <c r="N7" s="25" t="s">
        <v>17</v>
      </c>
      <c r="O7" s="326"/>
    </row>
    <row r="8" spans="1:15" ht="15.75" thickBot="1" x14ac:dyDescent="0.3">
      <c r="A8" s="26">
        <v>1</v>
      </c>
      <c r="B8" s="26">
        <v>2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</row>
    <row r="9" spans="1:15" ht="18.75" customHeight="1" thickTop="1" x14ac:dyDescent="0.25">
      <c r="A9" s="27">
        <v>1</v>
      </c>
      <c r="B9" s="7" t="s">
        <v>18</v>
      </c>
      <c r="C9" s="28">
        <v>3</v>
      </c>
      <c r="D9" s="28">
        <v>3</v>
      </c>
      <c r="E9" s="28">
        <v>3</v>
      </c>
      <c r="F9" s="28">
        <v>0</v>
      </c>
      <c r="G9" s="28">
        <v>0</v>
      </c>
      <c r="H9" s="28">
        <v>1</v>
      </c>
      <c r="I9" s="28">
        <v>1</v>
      </c>
      <c r="J9" s="28">
        <v>0</v>
      </c>
      <c r="K9" s="28">
        <v>0</v>
      </c>
      <c r="L9" s="28">
        <v>5</v>
      </c>
      <c r="M9" s="28">
        <v>6</v>
      </c>
      <c r="N9" s="28">
        <v>0</v>
      </c>
      <c r="O9" s="29">
        <f>SUM(C9:N9)</f>
        <v>22</v>
      </c>
    </row>
    <row r="10" spans="1:15" ht="18.75" customHeight="1" x14ac:dyDescent="0.25">
      <c r="A10" s="14">
        <v>2</v>
      </c>
      <c r="B10" s="12" t="s">
        <v>19</v>
      </c>
      <c r="C10" s="16">
        <v>0</v>
      </c>
      <c r="D10" s="16">
        <v>0</v>
      </c>
      <c r="E10" s="16">
        <v>1</v>
      </c>
      <c r="F10" s="16">
        <v>1</v>
      </c>
      <c r="G10" s="16">
        <v>0</v>
      </c>
      <c r="H10" s="16">
        <v>1</v>
      </c>
      <c r="I10" s="16">
        <v>1</v>
      </c>
      <c r="J10" s="16">
        <v>0</v>
      </c>
      <c r="K10" s="16">
        <v>0</v>
      </c>
      <c r="L10" s="16">
        <v>1</v>
      </c>
      <c r="M10" s="16">
        <v>1</v>
      </c>
      <c r="N10" s="16">
        <v>1</v>
      </c>
      <c r="O10" s="18">
        <f t="shared" ref="O10:O16" si="0">SUM(C10:N10)</f>
        <v>7</v>
      </c>
    </row>
    <row r="11" spans="1:15" ht="18.75" customHeight="1" x14ac:dyDescent="0.25">
      <c r="A11" s="14">
        <v>3</v>
      </c>
      <c r="B11" s="7" t="s">
        <v>20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8">
        <f t="shared" si="0"/>
        <v>0</v>
      </c>
    </row>
    <row r="12" spans="1:15" ht="18.75" customHeight="1" x14ac:dyDescent="0.25">
      <c r="A12" s="14">
        <v>4</v>
      </c>
      <c r="B12" s="15" t="s">
        <v>21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2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8">
        <f t="shared" si="0"/>
        <v>2</v>
      </c>
    </row>
    <row r="13" spans="1:15" ht="18.75" customHeight="1" x14ac:dyDescent="0.25">
      <c r="A13" s="14">
        <v>5</v>
      </c>
      <c r="B13" s="19" t="s">
        <v>22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8">
        <f t="shared" si="0"/>
        <v>0</v>
      </c>
    </row>
    <row r="14" spans="1:15" ht="18.75" customHeight="1" x14ac:dyDescent="0.25">
      <c r="A14" s="14">
        <v>6</v>
      </c>
      <c r="B14" s="19" t="s">
        <v>23</v>
      </c>
      <c r="C14" s="16">
        <v>1</v>
      </c>
      <c r="D14" s="16">
        <v>1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8">
        <f t="shared" si="0"/>
        <v>2</v>
      </c>
    </row>
    <row r="15" spans="1:15" ht="18.75" customHeight="1" x14ac:dyDescent="0.25">
      <c r="A15" s="14">
        <v>7</v>
      </c>
      <c r="B15" s="19" t="s">
        <v>24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8">
        <f t="shared" si="0"/>
        <v>0</v>
      </c>
    </row>
    <row r="16" spans="1:15" ht="18.75" customHeight="1" thickBot="1" x14ac:dyDescent="0.3">
      <c r="A16" s="53">
        <v>8</v>
      </c>
      <c r="B16" s="15" t="s">
        <v>25</v>
      </c>
      <c r="C16" s="54">
        <v>0</v>
      </c>
      <c r="D16" s="54">
        <v>0</v>
      </c>
      <c r="E16" s="54">
        <v>0</v>
      </c>
      <c r="F16" s="54">
        <v>1</v>
      </c>
      <c r="G16" s="17">
        <v>0</v>
      </c>
      <c r="H16" s="54">
        <v>0</v>
      </c>
      <c r="I16" s="54">
        <v>0</v>
      </c>
      <c r="J16" s="17">
        <v>0</v>
      </c>
      <c r="K16" s="17">
        <v>0</v>
      </c>
      <c r="L16" s="17">
        <v>0</v>
      </c>
      <c r="M16" s="17">
        <v>0</v>
      </c>
      <c r="N16" s="54">
        <v>0</v>
      </c>
      <c r="O16" s="55">
        <f t="shared" si="0"/>
        <v>1</v>
      </c>
    </row>
    <row r="17" spans="1:15" ht="18.75" customHeight="1" thickTop="1" x14ac:dyDescent="0.25">
      <c r="A17" s="320" t="s">
        <v>26</v>
      </c>
      <c r="B17" s="321"/>
      <c r="C17" s="22">
        <f t="shared" ref="C17:O17" si="1">SUM(C9:C16)</f>
        <v>4</v>
      </c>
      <c r="D17" s="22">
        <f t="shared" si="1"/>
        <v>4</v>
      </c>
      <c r="E17" s="22">
        <f t="shared" si="1"/>
        <v>4</v>
      </c>
      <c r="F17" s="22">
        <f t="shared" si="1"/>
        <v>2</v>
      </c>
      <c r="G17" s="22">
        <f t="shared" si="1"/>
        <v>0</v>
      </c>
      <c r="H17" s="22">
        <f t="shared" si="1"/>
        <v>2</v>
      </c>
      <c r="I17" s="22">
        <f t="shared" si="1"/>
        <v>4</v>
      </c>
      <c r="J17" s="22">
        <f t="shared" si="1"/>
        <v>0</v>
      </c>
      <c r="K17" s="22">
        <f t="shared" si="1"/>
        <v>0</v>
      </c>
      <c r="L17" s="22">
        <f t="shared" si="1"/>
        <v>6</v>
      </c>
      <c r="M17" s="22">
        <f t="shared" si="1"/>
        <v>7</v>
      </c>
      <c r="N17" s="22">
        <f t="shared" si="1"/>
        <v>1</v>
      </c>
      <c r="O17" s="22">
        <f t="shared" si="1"/>
        <v>34</v>
      </c>
    </row>
    <row r="18" spans="1:15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5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1:15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5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5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5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5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5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5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5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5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5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5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5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5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5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5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</row>
    <row r="35" spans="1:15" ht="18.75" x14ac:dyDescent="0.3">
      <c r="A35" s="322" t="s">
        <v>50</v>
      </c>
      <c r="B35" s="322"/>
      <c r="C35" s="322"/>
      <c r="D35" s="322"/>
      <c r="E35" s="322"/>
      <c r="F35" s="322"/>
      <c r="G35" s="322"/>
      <c r="H35" s="322"/>
      <c r="I35" s="322"/>
      <c r="J35" s="322"/>
      <c r="K35" s="322"/>
      <c r="L35" s="322"/>
      <c r="M35" s="322"/>
      <c r="N35" s="322"/>
      <c r="O35" s="322"/>
    </row>
    <row r="36" spans="1:15" ht="18.75" x14ac:dyDescent="0.3">
      <c r="A36" s="322" t="s">
        <v>148</v>
      </c>
      <c r="B36" s="322"/>
      <c r="C36" s="322"/>
      <c r="D36" s="322"/>
      <c r="E36" s="322"/>
      <c r="F36" s="322"/>
      <c r="G36" s="322"/>
      <c r="H36" s="322"/>
      <c r="I36" s="322"/>
      <c r="J36" s="322"/>
      <c r="K36" s="322"/>
      <c r="L36" s="322"/>
      <c r="M36" s="322"/>
      <c r="N36" s="322"/>
      <c r="O36" s="322"/>
    </row>
    <row r="37" spans="1:15" ht="18.7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5" x14ac:dyDescent="0.25">
      <c r="A39" s="323" t="s">
        <v>2</v>
      </c>
      <c r="B39" s="323" t="s">
        <v>3</v>
      </c>
      <c r="C39" s="325" t="s">
        <v>4</v>
      </c>
      <c r="D39" s="325"/>
      <c r="E39" s="325"/>
      <c r="F39" s="325"/>
      <c r="G39" s="325"/>
      <c r="H39" s="325"/>
      <c r="I39" s="325"/>
      <c r="J39" s="325"/>
      <c r="K39" s="325"/>
      <c r="L39" s="325"/>
      <c r="M39" s="325"/>
      <c r="N39" s="325"/>
      <c r="O39" s="323" t="s">
        <v>5</v>
      </c>
    </row>
    <row r="40" spans="1:15" x14ac:dyDescent="0.25">
      <c r="A40" s="324"/>
      <c r="B40" s="324"/>
      <c r="C40" s="25" t="s">
        <v>6</v>
      </c>
      <c r="D40" s="25" t="s">
        <v>7</v>
      </c>
      <c r="E40" s="25" t="s">
        <v>8</v>
      </c>
      <c r="F40" s="25" t="s">
        <v>9</v>
      </c>
      <c r="G40" s="25" t="s">
        <v>10</v>
      </c>
      <c r="H40" s="25" t="s">
        <v>11</v>
      </c>
      <c r="I40" s="25" t="s">
        <v>12</v>
      </c>
      <c r="J40" s="25" t="s">
        <v>13</v>
      </c>
      <c r="K40" s="25" t="s">
        <v>14</v>
      </c>
      <c r="L40" s="25" t="s">
        <v>15</v>
      </c>
      <c r="M40" s="25" t="s">
        <v>16</v>
      </c>
      <c r="N40" s="25" t="s">
        <v>17</v>
      </c>
      <c r="O40" s="326"/>
    </row>
    <row r="41" spans="1:15" ht="15.75" thickBot="1" x14ac:dyDescent="0.3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</row>
    <row r="42" spans="1:15" ht="18.75" customHeight="1" thickTop="1" x14ac:dyDescent="0.25">
      <c r="A42" s="27">
        <v>1</v>
      </c>
      <c r="B42" s="7" t="s">
        <v>18</v>
      </c>
      <c r="C42" s="28">
        <v>0</v>
      </c>
      <c r="D42" s="28">
        <v>0</v>
      </c>
      <c r="E42" s="28">
        <v>0</v>
      </c>
      <c r="F42" s="28">
        <v>0</v>
      </c>
      <c r="G42" s="28">
        <v>9</v>
      </c>
      <c r="H42" s="28">
        <v>0</v>
      </c>
      <c r="I42" s="28">
        <v>0</v>
      </c>
      <c r="J42" s="28">
        <v>1</v>
      </c>
      <c r="K42" s="28">
        <v>0</v>
      </c>
      <c r="L42" s="28">
        <v>0</v>
      </c>
      <c r="M42" s="28">
        <v>0</v>
      </c>
      <c r="N42" s="28">
        <v>0</v>
      </c>
      <c r="O42" s="29">
        <f>SUM(C42:N42)</f>
        <v>10</v>
      </c>
    </row>
    <row r="43" spans="1:15" ht="18.75" customHeight="1" x14ac:dyDescent="0.25">
      <c r="A43" s="14">
        <v>2</v>
      </c>
      <c r="B43" s="12" t="s">
        <v>19</v>
      </c>
      <c r="C43" s="16">
        <v>0</v>
      </c>
      <c r="D43" s="16">
        <v>0</v>
      </c>
      <c r="E43" s="16">
        <v>1</v>
      </c>
      <c r="F43" s="16">
        <v>1</v>
      </c>
      <c r="G43" s="16">
        <v>0</v>
      </c>
      <c r="H43" s="16">
        <v>0</v>
      </c>
      <c r="I43" s="16">
        <v>0</v>
      </c>
      <c r="J43" s="16">
        <v>1</v>
      </c>
      <c r="K43" s="16">
        <v>1</v>
      </c>
      <c r="L43" s="16">
        <v>0</v>
      </c>
      <c r="M43" s="16">
        <v>1</v>
      </c>
      <c r="N43" s="16">
        <v>0</v>
      </c>
      <c r="O43" s="18">
        <f t="shared" ref="O43:O49" si="2">SUM(C43:N43)</f>
        <v>5</v>
      </c>
    </row>
    <row r="44" spans="1:15" ht="18.75" customHeight="1" x14ac:dyDescent="0.25">
      <c r="A44" s="14">
        <v>3</v>
      </c>
      <c r="B44" s="7" t="s">
        <v>20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8">
        <f t="shared" si="2"/>
        <v>0</v>
      </c>
    </row>
    <row r="45" spans="1:15" ht="18.75" customHeight="1" x14ac:dyDescent="0.25">
      <c r="A45" s="14">
        <v>4</v>
      </c>
      <c r="B45" s="15" t="s">
        <v>21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1</v>
      </c>
      <c r="O45" s="18">
        <f t="shared" si="2"/>
        <v>1</v>
      </c>
    </row>
    <row r="46" spans="1:15" ht="18.75" customHeight="1" x14ac:dyDescent="0.25">
      <c r="A46" s="14">
        <v>5</v>
      </c>
      <c r="B46" s="19" t="s">
        <v>22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8">
        <f t="shared" si="2"/>
        <v>0</v>
      </c>
    </row>
    <row r="47" spans="1:15" ht="18.75" customHeight="1" x14ac:dyDescent="0.25">
      <c r="A47" s="14">
        <v>6</v>
      </c>
      <c r="B47" s="19" t="s">
        <v>23</v>
      </c>
      <c r="C47" s="16">
        <v>0</v>
      </c>
      <c r="D47" s="16">
        <v>1</v>
      </c>
      <c r="E47" s="16">
        <v>0</v>
      </c>
      <c r="F47" s="16">
        <v>0</v>
      </c>
      <c r="G47" s="16">
        <v>1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8">
        <f t="shared" si="2"/>
        <v>2</v>
      </c>
    </row>
    <row r="48" spans="1:15" ht="18.75" customHeight="1" x14ac:dyDescent="0.25">
      <c r="A48" s="14">
        <v>7</v>
      </c>
      <c r="B48" s="19" t="s">
        <v>24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8">
        <f t="shared" si="2"/>
        <v>0</v>
      </c>
    </row>
    <row r="49" spans="1:15" ht="18.75" customHeight="1" thickBot="1" x14ac:dyDescent="0.3">
      <c r="A49" s="53">
        <v>8</v>
      </c>
      <c r="B49" s="15" t="s">
        <v>25</v>
      </c>
      <c r="C49" s="54">
        <v>0</v>
      </c>
      <c r="D49" s="54">
        <v>0</v>
      </c>
      <c r="E49" s="54">
        <v>1</v>
      </c>
      <c r="F49" s="54">
        <v>0</v>
      </c>
      <c r="G49" s="17">
        <v>0</v>
      </c>
      <c r="H49" s="17">
        <v>0</v>
      </c>
      <c r="I49" s="17">
        <v>1</v>
      </c>
      <c r="J49" s="54">
        <v>0</v>
      </c>
      <c r="K49" s="54">
        <v>0</v>
      </c>
      <c r="L49" s="17">
        <v>0</v>
      </c>
      <c r="M49" s="54">
        <v>0</v>
      </c>
      <c r="N49" s="54">
        <v>0</v>
      </c>
      <c r="O49" s="55">
        <f t="shared" si="2"/>
        <v>2</v>
      </c>
    </row>
    <row r="50" spans="1:15" ht="18.75" customHeight="1" thickTop="1" x14ac:dyDescent="0.25">
      <c r="A50" s="320" t="s">
        <v>26</v>
      </c>
      <c r="B50" s="321"/>
      <c r="C50" s="22">
        <f t="shared" ref="C50:O50" si="3">SUM(C42:C49)</f>
        <v>0</v>
      </c>
      <c r="D50" s="22">
        <f t="shared" si="3"/>
        <v>1</v>
      </c>
      <c r="E50" s="22">
        <f t="shared" si="3"/>
        <v>2</v>
      </c>
      <c r="F50" s="22">
        <f t="shared" si="3"/>
        <v>1</v>
      </c>
      <c r="G50" s="22">
        <f t="shared" si="3"/>
        <v>10</v>
      </c>
      <c r="H50" s="22">
        <f t="shared" si="3"/>
        <v>0</v>
      </c>
      <c r="I50" s="22">
        <f t="shared" si="3"/>
        <v>1</v>
      </c>
      <c r="J50" s="22">
        <f t="shared" si="3"/>
        <v>2</v>
      </c>
      <c r="K50" s="22">
        <f t="shared" si="3"/>
        <v>1</v>
      </c>
      <c r="L50" s="22">
        <f t="shared" si="3"/>
        <v>0</v>
      </c>
      <c r="M50" s="22">
        <f t="shared" si="3"/>
        <v>1</v>
      </c>
      <c r="N50" s="22">
        <f t="shared" si="3"/>
        <v>1</v>
      </c>
      <c r="O50" s="22">
        <f t="shared" si="3"/>
        <v>20</v>
      </c>
    </row>
    <row r="51" spans="1:15" x14ac:dyDescent="0.2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pans="1:15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5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5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spans="1:15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5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5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5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5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5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5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5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5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5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5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5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5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5" ht="18.75" x14ac:dyDescent="0.3">
      <c r="A68" s="322" t="s">
        <v>51</v>
      </c>
      <c r="B68" s="322"/>
      <c r="C68" s="322"/>
      <c r="D68" s="322"/>
      <c r="E68" s="322"/>
      <c r="F68" s="322"/>
      <c r="G68" s="322"/>
      <c r="H68" s="322"/>
      <c r="I68" s="322"/>
      <c r="J68" s="322"/>
      <c r="K68" s="322"/>
      <c r="L68" s="322"/>
      <c r="M68" s="322"/>
      <c r="N68" s="322"/>
      <c r="O68" s="322"/>
    </row>
    <row r="69" spans="1:15" ht="18.75" x14ac:dyDescent="0.3">
      <c r="A69" s="322" t="s">
        <v>148</v>
      </c>
      <c r="B69" s="322"/>
      <c r="C69" s="322"/>
      <c r="D69" s="322"/>
      <c r="E69" s="322"/>
      <c r="F69" s="322"/>
      <c r="G69" s="322"/>
      <c r="H69" s="322"/>
      <c r="I69" s="322"/>
      <c r="J69" s="322"/>
      <c r="K69" s="322"/>
      <c r="L69" s="322"/>
      <c r="M69" s="322"/>
      <c r="N69" s="322"/>
      <c r="O69" s="322"/>
    </row>
    <row r="70" spans="1:15" ht="18.7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5" x14ac:dyDescent="0.25">
      <c r="A72" s="323" t="s">
        <v>2</v>
      </c>
      <c r="B72" s="323" t="s">
        <v>3</v>
      </c>
      <c r="C72" s="325" t="s">
        <v>4</v>
      </c>
      <c r="D72" s="325"/>
      <c r="E72" s="325"/>
      <c r="F72" s="325"/>
      <c r="G72" s="325"/>
      <c r="H72" s="325"/>
      <c r="I72" s="325"/>
      <c r="J72" s="325"/>
      <c r="K72" s="325"/>
      <c r="L72" s="325"/>
      <c r="M72" s="325"/>
      <c r="N72" s="325"/>
      <c r="O72" s="323" t="s">
        <v>5</v>
      </c>
    </row>
    <row r="73" spans="1:15" x14ac:dyDescent="0.25">
      <c r="A73" s="324"/>
      <c r="B73" s="324"/>
      <c r="C73" s="25" t="s">
        <v>6</v>
      </c>
      <c r="D73" s="25" t="s">
        <v>7</v>
      </c>
      <c r="E73" s="25" t="s">
        <v>8</v>
      </c>
      <c r="F73" s="25" t="s">
        <v>9</v>
      </c>
      <c r="G73" s="25" t="s">
        <v>10</v>
      </c>
      <c r="H73" s="25" t="s">
        <v>11</v>
      </c>
      <c r="I73" s="25" t="s">
        <v>12</v>
      </c>
      <c r="J73" s="25" t="s">
        <v>13</v>
      </c>
      <c r="K73" s="25" t="s">
        <v>14</v>
      </c>
      <c r="L73" s="25" t="s">
        <v>15</v>
      </c>
      <c r="M73" s="25" t="s">
        <v>16</v>
      </c>
      <c r="N73" s="25" t="s">
        <v>17</v>
      </c>
      <c r="O73" s="326"/>
    </row>
    <row r="74" spans="1:15" ht="15.75" thickBot="1" x14ac:dyDescent="0.3">
      <c r="A74" s="26">
        <v>1</v>
      </c>
      <c r="B74" s="26">
        <v>2</v>
      </c>
      <c r="C74" s="26">
        <v>3</v>
      </c>
      <c r="D74" s="26">
        <v>4</v>
      </c>
      <c r="E74" s="26">
        <v>5</v>
      </c>
      <c r="F74" s="26">
        <v>6</v>
      </c>
      <c r="G74" s="26">
        <v>7</v>
      </c>
      <c r="H74" s="26">
        <v>8</v>
      </c>
      <c r="I74" s="26">
        <v>9</v>
      </c>
      <c r="J74" s="26">
        <v>10</v>
      </c>
      <c r="K74" s="26">
        <v>11</v>
      </c>
      <c r="L74" s="26">
        <v>12</v>
      </c>
      <c r="M74" s="26">
        <v>13</v>
      </c>
      <c r="N74" s="26">
        <v>14</v>
      </c>
      <c r="O74" s="26">
        <v>15</v>
      </c>
    </row>
    <row r="75" spans="1:15" ht="18.75" customHeight="1" thickTop="1" x14ac:dyDescent="0.25">
      <c r="A75" s="27">
        <v>1</v>
      </c>
      <c r="B75" s="7" t="s">
        <v>18</v>
      </c>
      <c r="C75" s="237">
        <v>0</v>
      </c>
      <c r="D75" s="237">
        <v>0</v>
      </c>
      <c r="E75" s="237">
        <v>0</v>
      </c>
      <c r="F75" s="28">
        <v>0</v>
      </c>
      <c r="G75" s="237">
        <v>86.7</v>
      </c>
      <c r="H75" s="28">
        <v>0</v>
      </c>
      <c r="I75" s="28">
        <v>0</v>
      </c>
      <c r="J75" s="237">
        <v>10</v>
      </c>
      <c r="K75" s="237">
        <v>0</v>
      </c>
      <c r="L75" s="28">
        <v>0</v>
      </c>
      <c r="M75" s="28">
        <v>0</v>
      </c>
      <c r="N75" s="237">
        <v>0</v>
      </c>
      <c r="O75" s="168">
        <f>SUM(C75:N75)</f>
        <v>96.7</v>
      </c>
    </row>
    <row r="76" spans="1:15" ht="18.75" customHeight="1" x14ac:dyDescent="0.25">
      <c r="A76" s="14">
        <v>2</v>
      </c>
      <c r="B76" s="12" t="s">
        <v>19</v>
      </c>
      <c r="C76" s="158">
        <v>0</v>
      </c>
      <c r="D76" s="158">
        <v>0</v>
      </c>
      <c r="E76" s="158">
        <v>10.199999999999999</v>
      </c>
      <c r="F76" s="158">
        <v>10.4</v>
      </c>
      <c r="G76" s="158">
        <v>0</v>
      </c>
      <c r="H76" s="16">
        <v>0</v>
      </c>
      <c r="I76" s="16">
        <v>0</v>
      </c>
      <c r="J76" s="158">
        <v>10.1</v>
      </c>
      <c r="K76" s="158">
        <v>10.199999999999999</v>
      </c>
      <c r="L76" s="16">
        <v>0</v>
      </c>
      <c r="M76" s="158">
        <v>10.6</v>
      </c>
      <c r="N76" s="158">
        <v>0</v>
      </c>
      <c r="O76" s="166">
        <f t="shared" ref="O76:O82" si="4">SUM(C76:N76)</f>
        <v>51.500000000000007</v>
      </c>
    </row>
    <row r="77" spans="1:15" ht="18.75" customHeight="1" x14ac:dyDescent="0.25">
      <c r="A77" s="14">
        <v>3</v>
      </c>
      <c r="B77" s="7" t="s">
        <v>20</v>
      </c>
      <c r="C77" s="158">
        <v>0</v>
      </c>
      <c r="D77" s="158">
        <v>0</v>
      </c>
      <c r="E77" s="158">
        <v>0</v>
      </c>
      <c r="F77" s="16">
        <v>0</v>
      </c>
      <c r="G77" s="158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58">
        <v>0</v>
      </c>
      <c r="O77" s="166">
        <f t="shared" si="4"/>
        <v>0</v>
      </c>
    </row>
    <row r="78" spans="1:15" ht="18.75" customHeight="1" x14ac:dyDescent="0.25">
      <c r="A78" s="14">
        <v>4</v>
      </c>
      <c r="B78" s="15" t="s">
        <v>21</v>
      </c>
      <c r="C78" s="158">
        <v>0</v>
      </c>
      <c r="D78" s="158">
        <v>0</v>
      </c>
      <c r="E78" s="158">
        <v>0</v>
      </c>
      <c r="F78" s="16">
        <v>0</v>
      </c>
      <c r="G78" s="158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58">
        <v>10.8</v>
      </c>
      <c r="O78" s="166">
        <f t="shared" si="4"/>
        <v>10.8</v>
      </c>
    </row>
    <row r="79" spans="1:15" ht="18.75" customHeight="1" x14ac:dyDescent="0.25">
      <c r="A79" s="14">
        <v>5</v>
      </c>
      <c r="B79" s="19" t="s">
        <v>22</v>
      </c>
      <c r="C79" s="158">
        <v>0</v>
      </c>
      <c r="D79" s="158">
        <v>0</v>
      </c>
      <c r="E79" s="158">
        <v>0</v>
      </c>
      <c r="F79" s="16">
        <v>0</v>
      </c>
      <c r="G79" s="158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58">
        <v>0</v>
      </c>
      <c r="O79" s="166">
        <f t="shared" si="4"/>
        <v>0</v>
      </c>
    </row>
    <row r="80" spans="1:15" ht="18.75" customHeight="1" x14ac:dyDescent="0.25">
      <c r="A80" s="14">
        <v>6</v>
      </c>
      <c r="B80" s="19" t="s">
        <v>23</v>
      </c>
      <c r="C80" s="158">
        <v>0</v>
      </c>
      <c r="D80" s="158">
        <v>9.1</v>
      </c>
      <c r="E80" s="158">
        <v>0</v>
      </c>
      <c r="F80" s="16">
        <v>0</v>
      </c>
      <c r="G80" s="158">
        <v>9.5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58">
        <v>0</v>
      </c>
      <c r="O80" s="166">
        <f t="shared" si="4"/>
        <v>18.600000000000001</v>
      </c>
    </row>
    <row r="81" spans="1:15" ht="18.75" customHeight="1" x14ac:dyDescent="0.25">
      <c r="A81" s="14">
        <v>7</v>
      </c>
      <c r="B81" s="19" t="s">
        <v>24</v>
      </c>
      <c r="C81" s="158">
        <v>0</v>
      </c>
      <c r="D81" s="158">
        <v>0</v>
      </c>
      <c r="E81" s="158">
        <v>0</v>
      </c>
      <c r="F81" s="16">
        <v>0</v>
      </c>
      <c r="G81" s="158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58">
        <v>0</v>
      </c>
      <c r="O81" s="166">
        <f t="shared" si="4"/>
        <v>0</v>
      </c>
    </row>
    <row r="82" spans="1:15" ht="18.75" customHeight="1" thickBot="1" x14ac:dyDescent="0.3">
      <c r="A82" s="20">
        <v>8</v>
      </c>
      <c r="B82" s="15" t="s">
        <v>25</v>
      </c>
      <c r="C82" s="277">
        <v>0</v>
      </c>
      <c r="D82" s="277">
        <v>0</v>
      </c>
      <c r="E82" s="277">
        <v>10</v>
      </c>
      <c r="F82" s="54">
        <v>0</v>
      </c>
      <c r="G82" s="162">
        <v>0</v>
      </c>
      <c r="H82" s="17">
        <v>0</v>
      </c>
      <c r="I82" s="162">
        <v>9.1</v>
      </c>
      <c r="J82" s="17">
        <v>0</v>
      </c>
      <c r="K82" s="17">
        <v>0</v>
      </c>
      <c r="L82" s="17">
        <v>0</v>
      </c>
      <c r="M82" s="54">
        <v>0</v>
      </c>
      <c r="N82" s="277">
        <v>0</v>
      </c>
      <c r="O82" s="283">
        <f t="shared" si="4"/>
        <v>19.100000000000001</v>
      </c>
    </row>
    <row r="83" spans="1:15" ht="18.75" customHeight="1" thickTop="1" x14ac:dyDescent="0.25">
      <c r="A83" s="320" t="s">
        <v>26</v>
      </c>
      <c r="B83" s="321"/>
      <c r="C83" s="159">
        <f t="shared" ref="C83:O83" si="5">SUM(C75:C82)</f>
        <v>0</v>
      </c>
      <c r="D83" s="159">
        <f t="shared" si="5"/>
        <v>9.1</v>
      </c>
      <c r="E83" s="159">
        <f t="shared" si="5"/>
        <v>20.2</v>
      </c>
      <c r="F83" s="159">
        <f t="shared" si="5"/>
        <v>10.4</v>
      </c>
      <c r="G83" s="159">
        <f t="shared" si="5"/>
        <v>96.2</v>
      </c>
      <c r="H83" s="159">
        <f t="shared" si="5"/>
        <v>0</v>
      </c>
      <c r="I83" s="159">
        <f t="shared" si="5"/>
        <v>9.1</v>
      </c>
      <c r="J83" s="159">
        <f t="shared" si="5"/>
        <v>20.100000000000001</v>
      </c>
      <c r="K83" s="159">
        <f t="shared" si="5"/>
        <v>10.199999999999999</v>
      </c>
      <c r="L83" s="159">
        <f t="shared" si="5"/>
        <v>0</v>
      </c>
      <c r="M83" s="159">
        <f t="shared" si="5"/>
        <v>10.6</v>
      </c>
      <c r="N83" s="159">
        <f t="shared" si="5"/>
        <v>10.8</v>
      </c>
      <c r="O83" s="159">
        <f t="shared" si="5"/>
        <v>196.70000000000002</v>
      </c>
    </row>
    <row r="84" spans="1:15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5" x14ac:dyDescent="0.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</row>
    <row r="86" spans="1:15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spans="1:15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</row>
    <row r="88" spans="1:15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15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1:15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1:15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1:15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1:15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</row>
    <row r="94" spans="1:15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5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5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1:15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5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5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5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5" ht="18.75" x14ac:dyDescent="0.3">
      <c r="A101" s="322" t="s">
        <v>52</v>
      </c>
      <c r="B101" s="322"/>
      <c r="C101" s="322"/>
      <c r="D101" s="322"/>
      <c r="E101" s="322"/>
      <c r="F101" s="322"/>
      <c r="G101" s="322"/>
      <c r="H101" s="322"/>
      <c r="I101" s="322"/>
      <c r="J101" s="322"/>
      <c r="K101" s="322"/>
      <c r="L101" s="322"/>
      <c r="M101" s="322"/>
      <c r="N101" s="322"/>
      <c r="O101" s="322"/>
    </row>
    <row r="102" spans="1:15" ht="18.75" x14ac:dyDescent="0.3">
      <c r="A102" s="322" t="s">
        <v>148</v>
      </c>
      <c r="B102" s="322"/>
      <c r="C102" s="322"/>
      <c r="D102" s="322"/>
      <c r="E102" s="322"/>
      <c r="F102" s="322"/>
      <c r="G102" s="322"/>
      <c r="H102" s="322"/>
      <c r="I102" s="322"/>
      <c r="J102" s="322"/>
      <c r="K102" s="322"/>
      <c r="L102" s="322"/>
      <c r="M102" s="322"/>
      <c r="N102" s="322"/>
      <c r="O102" s="322"/>
    </row>
    <row r="103" spans="1:15" ht="18.7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5" x14ac:dyDescent="0.25">
      <c r="A105" s="323" t="s">
        <v>2</v>
      </c>
      <c r="B105" s="323" t="s">
        <v>3</v>
      </c>
      <c r="C105" s="325" t="s">
        <v>4</v>
      </c>
      <c r="D105" s="325"/>
      <c r="E105" s="325"/>
      <c r="F105" s="325"/>
      <c r="G105" s="325"/>
      <c r="H105" s="325"/>
      <c r="I105" s="325"/>
      <c r="J105" s="325"/>
      <c r="K105" s="325"/>
      <c r="L105" s="325"/>
      <c r="M105" s="325"/>
      <c r="N105" s="325"/>
      <c r="O105" s="323" t="s">
        <v>5</v>
      </c>
    </row>
    <row r="106" spans="1:15" x14ac:dyDescent="0.25">
      <c r="A106" s="324"/>
      <c r="B106" s="324"/>
      <c r="C106" s="25" t="s">
        <v>6</v>
      </c>
      <c r="D106" s="25" t="s">
        <v>7</v>
      </c>
      <c r="E106" s="25" t="s">
        <v>8</v>
      </c>
      <c r="F106" s="25" t="s">
        <v>9</v>
      </c>
      <c r="G106" s="25" t="s">
        <v>10</v>
      </c>
      <c r="H106" s="25" t="s">
        <v>11</v>
      </c>
      <c r="I106" s="25" t="s">
        <v>12</v>
      </c>
      <c r="J106" s="25" t="s">
        <v>13</v>
      </c>
      <c r="K106" s="25" t="s">
        <v>14</v>
      </c>
      <c r="L106" s="25" t="s">
        <v>15</v>
      </c>
      <c r="M106" s="25" t="s">
        <v>16</v>
      </c>
      <c r="N106" s="25" t="s">
        <v>17</v>
      </c>
      <c r="O106" s="326"/>
    </row>
    <row r="107" spans="1:15" ht="15.75" thickBot="1" x14ac:dyDescent="0.3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</row>
    <row r="108" spans="1:15" ht="18.75" customHeight="1" thickTop="1" x14ac:dyDescent="0.25">
      <c r="A108" s="27">
        <v>1</v>
      </c>
      <c r="B108" s="7" t="s">
        <v>18</v>
      </c>
      <c r="C108" s="32">
        <v>0</v>
      </c>
      <c r="D108" s="237">
        <v>0</v>
      </c>
      <c r="E108" s="32">
        <v>0</v>
      </c>
      <c r="F108" s="28">
        <v>0</v>
      </c>
      <c r="G108" s="32">
        <v>96.33</v>
      </c>
      <c r="H108" s="28">
        <v>0</v>
      </c>
      <c r="I108" s="32">
        <v>0</v>
      </c>
      <c r="J108" s="32">
        <v>100.15</v>
      </c>
      <c r="K108" s="32">
        <v>0</v>
      </c>
      <c r="L108" s="28">
        <v>0</v>
      </c>
      <c r="M108" s="28">
        <v>0</v>
      </c>
      <c r="N108" s="32">
        <v>0</v>
      </c>
      <c r="O108" s="33">
        <f>O75/O42*10</f>
        <v>96.7</v>
      </c>
    </row>
    <row r="109" spans="1:15" ht="18.75" customHeight="1" x14ac:dyDescent="0.25">
      <c r="A109" s="14">
        <v>2</v>
      </c>
      <c r="B109" s="12" t="s">
        <v>19</v>
      </c>
      <c r="C109" s="34">
        <v>0</v>
      </c>
      <c r="D109" s="158">
        <v>0</v>
      </c>
      <c r="E109" s="34">
        <v>102.2</v>
      </c>
      <c r="F109" s="34">
        <v>104</v>
      </c>
      <c r="G109" s="34">
        <v>0</v>
      </c>
      <c r="H109" s="16">
        <v>0</v>
      </c>
      <c r="I109" s="34">
        <v>0</v>
      </c>
      <c r="J109" s="34">
        <v>101.41</v>
      </c>
      <c r="K109" s="34">
        <v>102.11</v>
      </c>
      <c r="L109" s="16">
        <v>0</v>
      </c>
      <c r="M109" s="34">
        <v>106</v>
      </c>
      <c r="N109" s="34">
        <v>0</v>
      </c>
      <c r="O109" s="57">
        <f>O76/O43*10</f>
        <v>103</v>
      </c>
    </row>
    <row r="110" spans="1:15" ht="18.75" customHeight="1" x14ac:dyDescent="0.25">
      <c r="A110" s="14">
        <v>3</v>
      </c>
      <c r="B110" s="7" t="s">
        <v>20</v>
      </c>
      <c r="C110" s="34">
        <v>0</v>
      </c>
      <c r="D110" s="158">
        <v>0</v>
      </c>
      <c r="E110" s="34">
        <v>0</v>
      </c>
      <c r="F110" s="16">
        <v>0</v>
      </c>
      <c r="G110" s="34">
        <v>0</v>
      </c>
      <c r="H110" s="16">
        <v>0</v>
      </c>
      <c r="I110" s="34">
        <v>0</v>
      </c>
      <c r="J110" s="16">
        <v>0</v>
      </c>
      <c r="K110" s="16">
        <v>0</v>
      </c>
      <c r="L110" s="16">
        <v>0</v>
      </c>
      <c r="M110" s="16">
        <v>0</v>
      </c>
      <c r="N110" s="34">
        <v>0</v>
      </c>
      <c r="O110" s="57">
        <v>0</v>
      </c>
    </row>
    <row r="111" spans="1:15" ht="18.75" customHeight="1" x14ac:dyDescent="0.25">
      <c r="A111" s="14">
        <v>4</v>
      </c>
      <c r="B111" s="15" t="s">
        <v>21</v>
      </c>
      <c r="C111" s="34">
        <v>0</v>
      </c>
      <c r="D111" s="158">
        <v>0</v>
      </c>
      <c r="E111" s="34">
        <v>0</v>
      </c>
      <c r="F111" s="16">
        <v>0</v>
      </c>
      <c r="G111" s="34">
        <v>0</v>
      </c>
      <c r="H111" s="16">
        <v>0</v>
      </c>
      <c r="I111" s="34">
        <v>0</v>
      </c>
      <c r="J111" s="16">
        <v>0</v>
      </c>
      <c r="K111" s="16">
        <v>0</v>
      </c>
      <c r="L111" s="16">
        <v>0</v>
      </c>
      <c r="M111" s="16">
        <v>0</v>
      </c>
      <c r="N111" s="34">
        <v>108</v>
      </c>
      <c r="O111" s="57">
        <f t="shared" ref="O111:O113" si="6">O78/O45*10</f>
        <v>108</v>
      </c>
    </row>
    <row r="112" spans="1:15" ht="18.75" customHeight="1" x14ac:dyDescent="0.25">
      <c r="A112" s="14">
        <v>5</v>
      </c>
      <c r="B112" s="19" t="s">
        <v>22</v>
      </c>
      <c r="C112" s="34">
        <v>0</v>
      </c>
      <c r="D112" s="158">
        <v>0</v>
      </c>
      <c r="E112" s="34">
        <v>0</v>
      </c>
      <c r="F112" s="16">
        <v>0</v>
      </c>
      <c r="G112" s="34">
        <v>0</v>
      </c>
      <c r="H112" s="16">
        <v>0</v>
      </c>
      <c r="I112" s="34">
        <v>0</v>
      </c>
      <c r="J112" s="16">
        <v>0</v>
      </c>
      <c r="K112" s="16">
        <v>0</v>
      </c>
      <c r="L112" s="16">
        <v>0</v>
      </c>
      <c r="M112" s="16">
        <v>0</v>
      </c>
      <c r="N112" s="34">
        <v>0</v>
      </c>
      <c r="O112" s="57">
        <v>0</v>
      </c>
    </row>
    <row r="113" spans="1:15" ht="18.75" customHeight="1" x14ac:dyDescent="0.25">
      <c r="A113" s="14">
        <v>6</v>
      </c>
      <c r="B113" s="19" t="s">
        <v>23</v>
      </c>
      <c r="C113" s="34">
        <v>0</v>
      </c>
      <c r="D113" s="34">
        <v>91.05</v>
      </c>
      <c r="E113" s="34">
        <v>0</v>
      </c>
      <c r="F113" s="16">
        <v>0</v>
      </c>
      <c r="G113" s="34">
        <v>95.21</v>
      </c>
      <c r="H113" s="16">
        <v>0</v>
      </c>
      <c r="I113" s="34">
        <v>0</v>
      </c>
      <c r="J113" s="16">
        <v>0</v>
      </c>
      <c r="K113" s="16">
        <v>0</v>
      </c>
      <c r="L113" s="16">
        <v>0</v>
      </c>
      <c r="M113" s="16">
        <v>0</v>
      </c>
      <c r="N113" s="34">
        <v>0</v>
      </c>
      <c r="O113" s="57">
        <f t="shared" si="6"/>
        <v>93</v>
      </c>
    </row>
    <row r="114" spans="1:15" ht="18.75" customHeight="1" x14ac:dyDescent="0.25">
      <c r="A114" s="14">
        <v>7</v>
      </c>
      <c r="B114" s="19" t="s">
        <v>24</v>
      </c>
      <c r="C114" s="34">
        <v>0</v>
      </c>
      <c r="D114" s="158">
        <v>0</v>
      </c>
      <c r="E114" s="34">
        <v>0</v>
      </c>
      <c r="F114" s="16">
        <v>0</v>
      </c>
      <c r="G114" s="34">
        <v>0</v>
      </c>
      <c r="H114" s="16">
        <v>0</v>
      </c>
      <c r="I114" s="34">
        <v>0</v>
      </c>
      <c r="J114" s="16">
        <v>0</v>
      </c>
      <c r="K114" s="16">
        <v>0</v>
      </c>
      <c r="L114" s="16">
        <v>0</v>
      </c>
      <c r="M114" s="16">
        <v>0</v>
      </c>
      <c r="N114" s="34">
        <v>0</v>
      </c>
      <c r="O114" s="57">
        <v>0</v>
      </c>
    </row>
    <row r="115" spans="1:15" ht="18.75" customHeight="1" thickBot="1" x14ac:dyDescent="0.3">
      <c r="A115" s="20">
        <v>8</v>
      </c>
      <c r="B115" s="15" t="s">
        <v>25</v>
      </c>
      <c r="C115" s="56">
        <v>0</v>
      </c>
      <c r="D115" s="277">
        <v>0</v>
      </c>
      <c r="E115" s="56">
        <v>100.3</v>
      </c>
      <c r="F115" s="54">
        <v>0</v>
      </c>
      <c r="G115" s="36">
        <v>0</v>
      </c>
      <c r="H115" s="17">
        <v>0</v>
      </c>
      <c r="I115" s="36">
        <v>90.81</v>
      </c>
      <c r="J115" s="17">
        <v>0</v>
      </c>
      <c r="K115" s="17">
        <v>0</v>
      </c>
      <c r="L115" s="17">
        <v>0</v>
      </c>
      <c r="M115" s="54">
        <v>0</v>
      </c>
      <c r="N115" s="56">
        <v>0</v>
      </c>
      <c r="O115" s="35">
        <f>O82/O49*10</f>
        <v>95.5</v>
      </c>
    </row>
    <row r="116" spans="1:15" ht="18.75" customHeight="1" thickTop="1" x14ac:dyDescent="0.25">
      <c r="A116" s="320" t="s">
        <v>26</v>
      </c>
      <c r="B116" s="321"/>
      <c r="C116" s="38">
        <f>SUM(C108:C115)</f>
        <v>0</v>
      </c>
      <c r="D116" s="38">
        <f>SUM(D108:D115)</f>
        <v>91.05</v>
      </c>
      <c r="E116" s="38">
        <f t="shared" ref="E116:N116" si="7">E83/E50*10</f>
        <v>101</v>
      </c>
      <c r="F116" s="38">
        <f t="shared" si="7"/>
        <v>104</v>
      </c>
      <c r="G116" s="38">
        <f t="shared" si="7"/>
        <v>96.200000000000017</v>
      </c>
      <c r="H116" s="38">
        <f>SUM(H108:H115)</f>
        <v>0</v>
      </c>
      <c r="I116" s="38">
        <f>SUM(I108:I115)</f>
        <v>90.81</v>
      </c>
      <c r="J116" s="38">
        <f t="shared" si="7"/>
        <v>100.5</v>
      </c>
      <c r="K116" s="38">
        <f>SUM(K108:K115)</f>
        <v>102.11</v>
      </c>
      <c r="L116" s="38">
        <f>SUM(L108:L115)</f>
        <v>0</v>
      </c>
      <c r="M116" s="38">
        <f t="shared" si="7"/>
        <v>106</v>
      </c>
      <c r="N116" s="38">
        <f t="shared" si="7"/>
        <v>108</v>
      </c>
      <c r="O116" s="38">
        <f>O83/O50*10</f>
        <v>98.350000000000009</v>
      </c>
    </row>
    <row r="118" spans="1:15" x14ac:dyDescent="0.25">
      <c r="H118" s="71"/>
    </row>
    <row r="119" spans="1:15" x14ac:dyDescent="0.25">
      <c r="L119" s="41" t="s">
        <v>146</v>
      </c>
    </row>
    <row r="120" spans="1:15" x14ac:dyDescent="0.25">
      <c r="L120" s="41" t="s">
        <v>95</v>
      </c>
    </row>
    <row r="121" spans="1:15" x14ac:dyDescent="0.25">
      <c r="L121" s="41" t="s">
        <v>84</v>
      </c>
    </row>
    <row r="122" spans="1:15" x14ac:dyDescent="0.25">
      <c r="L122" s="41"/>
    </row>
    <row r="123" spans="1:15" x14ac:dyDescent="0.25">
      <c r="L123" s="41"/>
    </row>
    <row r="124" spans="1:15" x14ac:dyDescent="0.25">
      <c r="L124" s="41"/>
    </row>
    <row r="125" spans="1:15" x14ac:dyDescent="0.25">
      <c r="L125" s="299" t="s">
        <v>147</v>
      </c>
    </row>
    <row r="126" spans="1:15" x14ac:dyDescent="0.25">
      <c r="L126" s="41" t="s">
        <v>97</v>
      </c>
    </row>
  </sheetData>
  <mergeCells count="28">
    <mergeCell ref="A2:O2"/>
    <mergeCell ref="A3:O3"/>
    <mergeCell ref="A6:A7"/>
    <mergeCell ref="B6:B7"/>
    <mergeCell ref="C6:N6"/>
    <mergeCell ref="O6:O7"/>
    <mergeCell ref="A17:B17"/>
    <mergeCell ref="A35:O35"/>
    <mergeCell ref="A36:O36"/>
    <mergeCell ref="A39:A40"/>
    <mergeCell ref="B39:B40"/>
    <mergeCell ref="C39:N39"/>
    <mergeCell ref="O39:O40"/>
    <mergeCell ref="A50:B50"/>
    <mergeCell ref="A68:O68"/>
    <mergeCell ref="A69:O69"/>
    <mergeCell ref="A72:A73"/>
    <mergeCell ref="B72:B73"/>
    <mergeCell ref="C72:N72"/>
    <mergeCell ref="O72:O73"/>
    <mergeCell ref="A116:B116"/>
    <mergeCell ref="A83:B83"/>
    <mergeCell ref="A101:O101"/>
    <mergeCell ref="A102:O102"/>
    <mergeCell ref="A105:A106"/>
    <mergeCell ref="B105:B106"/>
    <mergeCell ref="C105:N105"/>
    <mergeCell ref="O105:O106"/>
  </mergeCells>
  <pageMargins left="1.5748031496062993" right="0.39370078740157483" top="0.94488188976377963" bottom="0.74803149606299213" header="0.31496062992125984" footer="0.31496062992125984"/>
  <pageSetup paperSize="9" scale="90" orientation="landscape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R126"/>
  <sheetViews>
    <sheetView zoomScale="85" zoomScaleNormal="85" workbookViewId="0">
      <selection activeCell="A2" sqref="A2:O2"/>
    </sheetView>
  </sheetViews>
  <sheetFormatPr defaultRowHeight="15" x14ac:dyDescent="0.25"/>
  <cols>
    <col min="1" max="1" width="4" customWidth="1"/>
    <col min="2" max="2" width="14.140625" customWidth="1"/>
    <col min="3" max="15" width="8.5703125" customWidth="1"/>
  </cols>
  <sheetData>
    <row r="2" spans="1:15" ht="18.75" x14ac:dyDescent="0.3">
      <c r="A2" s="322" t="s">
        <v>53</v>
      </c>
      <c r="B2" s="322"/>
      <c r="C2" s="322"/>
      <c r="D2" s="322"/>
      <c r="E2" s="322"/>
      <c r="F2" s="322"/>
      <c r="G2" s="322"/>
      <c r="H2" s="322"/>
      <c r="I2" s="322"/>
      <c r="J2" s="322"/>
      <c r="K2" s="322"/>
      <c r="L2" s="322"/>
      <c r="M2" s="322"/>
      <c r="N2" s="322"/>
      <c r="O2" s="322"/>
    </row>
    <row r="3" spans="1:15" ht="18.75" x14ac:dyDescent="0.3">
      <c r="A3" s="322" t="s">
        <v>148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  <c r="M3" s="322"/>
      <c r="N3" s="322"/>
      <c r="O3" s="322"/>
    </row>
    <row r="4" spans="1:15" ht="18.7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5" x14ac:dyDescent="0.25">
      <c r="A6" s="323" t="s">
        <v>2</v>
      </c>
      <c r="B6" s="323" t="s">
        <v>3</v>
      </c>
      <c r="C6" s="332" t="s">
        <v>4</v>
      </c>
      <c r="D6" s="332"/>
      <c r="E6" s="332"/>
      <c r="F6" s="332"/>
      <c r="G6" s="332"/>
      <c r="H6" s="332"/>
      <c r="I6" s="332"/>
      <c r="J6" s="332"/>
      <c r="K6" s="332"/>
      <c r="L6" s="332"/>
      <c r="M6" s="332"/>
      <c r="N6" s="332"/>
      <c r="O6" s="323" t="s">
        <v>5</v>
      </c>
    </row>
    <row r="7" spans="1:15" x14ac:dyDescent="0.25">
      <c r="A7" s="324"/>
      <c r="B7" s="324"/>
      <c r="C7" s="25" t="s">
        <v>6</v>
      </c>
      <c r="D7" s="25" t="s">
        <v>7</v>
      </c>
      <c r="E7" s="25" t="s">
        <v>8</v>
      </c>
      <c r="F7" s="25" t="s">
        <v>9</v>
      </c>
      <c r="G7" s="25" t="s">
        <v>10</v>
      </c>
      <c r="H7" s="25" t="s">
        <v>11</v>
      </c>
      <c r="I7" s="25" t="s">
        <v>12</v>
      </c>
      <c r="J7" s="25" t="s">
        <v>13</v>
      </c>
      <c r="K7" s="25" t="s">
        <v>14</v>
      </c>
      <c r="L7" s="25" t="s">
        <v>15</v>
      </c>
      <c r="M7" s="25" t="s">
        <v>16</v>
      </c>
      <c r="N7" s="25" t="s">
        <v>17</v>
      </c>
      <c r="O7" s="326"/>
    </row>
    <row r="8" spans="1:15" ht="15.75" thickBot="1" x14ac:dyDescent="0.3">
      <c r="A8" s="26">
        <v>1</v>
      </c>
      <c r="B8" s="26">
        <v>2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</row>
    <row r="9" spans="1:15" ht="18.75" customHeight="1" thickTop="1" x14ac:dyDescent="0.25">
      <c r="A9" s="27">
        <v>1</v>
      </c>
      <c r="B9" s="7" t="s">
        <v>18</v>
      </c>
      <c r="C9" s="28">
        <v>1</v>
      </c>
      <c r="D9" s="28">
        <v>2</v>
      </c>
      <c r="E9" s="28">
        <v>3</v>
      </c>
      <c r="F9" s="28">
        <v>0</v>
      </c>
      <c r="G9" s="28">
        <v>0</v>
      </c>
      <c r="H9" s="67">
        <v>1</v>
      </c>
      <c r="I9" s="28">
        <v>0</v>
      </c>
      <c r="J9" s="28">
        <v>0</v>
      </c>
      <c r="K9" s="67">
        <v>0</v>
      </c>
      <c r="L9" s="67">
        <v>0</v>
      </c>
      <c r="M9" s="67">
        <v>0</v>
      </c>
      <c r="N9" s="67">
        <v>0</v>
      </c>
      <c r="O9" s="29">
        <f>SUM(C9:N9)</f>
        <v>7</v>
      </c>
    </row>
    <row r="10" spans="1:15" ht="18.75" customHeight="1" x14ac:dyDescent="0.25">
      <c r="A10" s="14">
        <v>2</v>
      </c>
      <c r="B10" s="12" t="s">
        <v>19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48">
        <v>0</v>
      </c>
      <c r="I10" s="16">
        <v>0</v>
      </c>
      <c r="J10" s="16">
        <v>0</v>
      </c>
      <c r="K10" s="48">
        <v>0</v>
      </c>
      <c r="L10" s="48">
        <v>0</v>
      </c>
      <c r="M10" s="48">
        <v>0</v>
      </c>
      <c r="N10" s="48">
        <v>0</v>
      </c>
      <c r="O10" s="18">
        <f t="shared" ref="O10:O16" si="0">SUM(C10:N10)</f>
        <v>0</v>
      </c>
    </row>
    <row r="11" spans="1:15" ht="18.75" customHeight="1" x14ac:dyDescent="0.25">
      <c r="A11" s="14">
        <v>3</v>
      </c>
      <c r="B11" s="7" t="s">
        <v>20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8">
        <f t="shared" si="0"/>
        <v>0</v>
      </c>
    </row>
    <row r="12" spans="1:15" ht="18.75" customHeight="1" x14ac:dyDescent="0.25">
      <c r="A12" s="14">
        <v>4</v>
      </c>
      <c r="B12" s="15" t="s">
        <v>21</v>
      </c>
      <c r="C12" s="16">
        <v>0</v>
      </c>
      <c r="D12" s="16">
        <v>15</v>
      </c>
      <c r="E12" s="16">
        <v>0</v>
      </c>
      <c r="F12" s="16">
        <v>0</v>
      </c>
      <c r="G12" s="16">
        <v>0</v>
      </c>
      <c r="H12" s="16">
        <v>5</v>
      </c>
      <c r="I12" s="16">
        <v>0</v>
      </c>
      <c r="J12" s="16">
        <v>15</v>
      </c>
      <c r="K12" s="16">
        <v>0</v>
      </c>
      <c r="L12" s="16">
        <v>0</v>
      </c>
      <c r="M12" s="16">
        <v>0</v>
      </c>
      <c r="N12" s="16">
        <v>0</v>
      </c>
      <c r="O12" s="18">
        <f t="shared" si="0"/>
        <v>35</v>
      </c>
    </row>
    <row r="13" spans="1:15" ht="18.75" customHeight="1" x14ac:dyDescent="0.25">
      <c r="A13" s="14">
        <v>5</v>
      </c>
      <c r="B13" s="19" t="s">
        <v>22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8">
        <f t="shared" si="0"/>
        <v>0</v>
      </c>
    </row>
    <row r="14" spans="1:15" ht="18.75" customHeight="1" x14ac:dyDescent="0.25">
      <c r="A14" s="14">
        <v>6</v>
      </c>
      <c r="B14" s="19" t="s">
        <v>23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8">
        <f t="shared" si="0"/>
        <v>0</v>
      </c>
    </row>
    <row r="15" spans="1:15" ht="18.75" customHeight="1" x14ac:dyDescent="0.25">
      <c r="A15" s="14">
        <v>7</v>
      </c>
      <c r="B15" s="19" t="s">
        <v>24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8">
        <f t="shared" si="0"/>
        <v>0</v>
      </c>
    </row>
    <row r="16" spans="1:15" ht="18.75" customHeight="1" thickBot="1" x14ac:dyDescent="0.3">
      <c r="A16" s="20">
        <v>8</v>
      </c>
      <c r="B16" s="15" t="s">
        <v>25</v>
      </c>
      <c r="C16" s="17">
        <v>0</v>
      </c>
      <c r="D16" s="17">
        <v>0</v>
      </c>
      <c r="E16" s="17">
        <v>0</v>
      </c>
      <c r="F16" s="17">
        <v>1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21">
        <f t="shared" si="0"/>
        <v>1</v>
      </c>
    </row>
    <row r="17" spans="1:15" ht="18.75" customHeight="1" thickTop="1" x14ac:dyDescent="0.25">
      <c r="A17" s="320" t="s">
        <v>26</v>
      </c>
      <c r="B17" s="321"/>
      <c r="C17" s="22">
        <f t="shared" ref="C17:O17" si="1">SUM(C9:C16)</f>
        <v>1</v>
      </c>
      <c r="D17" s="22">
        <f t="shared" si="1"/>
        <v>17</v>
      </c>
      <c r="E17" s="22">
        <f t="shared" si="1"/>
        <v>3</v>
      </c>
      <c r="F17" s="22">
        <f t="shared" si="1"/>
        <v>1</v>
      </c>
      <c r="G17" s="22">
        <f t="shared" si="1"/>
        <v>0</v>
      </c>
      <c r="H17" s="22">
        <f t="shared" si="1"/>
        <v>6</v>
      </c>
      <c r="I17" s="159">
        <f t="shared" si="1"/>
        <v>0</v>
      </c>
      <c r="J17" s="22">
        <f t="shared" si="1"/>
        <v>15</v>
      </c>
      <c r="K17" s="22">
        <f t="shared" si="1"/>
        <v>0</v>
      </c>
      <c r="L17" s="22">
        <f t="shared" si="1"/>
        <v>0</v>
      </c>
      <c r="M17" s="22">
        <f t="shared" si="1"/>
        <v>0</v>
      </c>
      <c r="N17" s="22">
        <f t="shared" si="1"/>
        <v>0</v>
      </c>
      <c r="O17" s="22">
        <f t="shared" si="1"/>
        <v>43</v>
      </c>
    </row>
    <row r="18" spans="1:15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5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1:15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5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5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5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5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5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5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5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5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5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5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5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5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5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5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</row>
    <row r="35" spans="1:15" ht="18.75" x14ac:dyDescent="0.3">
      <c r="A35" s="322" t="s">
        <v>54</v>
      </c>
      <c r="B35" s="322"/>
      <c r="C35" s="322"/>
      <c r="D35" s="322"/>
      <c r="E35" s="322"/>
      <c r="F35" s="322"/>
      <c r="G35" s="322"/>
      <c r="H35" s="322"/>
      <c r="I35" s="322"/>
      <c r="J35" s="322"/>
      <c r="K35" s="322"/>
      <c r="L35" s="322"/>
      <c r="M35" s="322"/>
      <c r="N35" s="322"/>
      <c r="O35" s="322"/>
    </row>
    <row r="36" spans="1:15" ht="18.75" x14ac:dyDescent="0.3">
      <c r="A36" s="322" t="s">
        <v>148</v>
      </c>
      <c r="B36" s="322"/>
      <c r="C36" s="322"/>
      <c r="D36" s="322"/>
      <c r="E36" s="322"/>
      <c r="F36" s="322"/>
      <c r="G36" s="322"/>
      <c r="H36" s="322"/>
      <c r="I36" s="322"/>
      <c r="J36" s="322"/>
      <c r="K36" s="322"/>
      <c r="L36" s="322"/>
      <c r="M36" s="322"/>
      <c r="N36" s="322"/>
      <c r="O36" s="322"/>
    </row>
    <row r="37" spans="1:15" ht="18.7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5" x14ac:dyDescent="0.25">
      <c r="A39" s="323" t="s">
        <v>2</v>
      </c>
      <c r="B39" s="323" t="s">
        <v>3</v>
      </c>
      <c r="C39" s="325" t="s">
        <v>4</v>
      </c>
      <c r="D39" s="325"/>
      <c r="E39" s="325"/>
      <c r="F39" s="325"/>
      <c r="G39" s="325"/>
      <c r="H39" s="325"/>
      <c r="I39" s="325"/>
      <c r="J39" s="325"/>
      <c r="K39" s="325"/>
      <c r="L39" s="325"/>
      <c r="M39" s="325"/>
      <c r="N39" s="325"/>
      <c r="O39" s="323" t="s">
        <v>5</v>
      </c>
    </row>
    <row r="40" spans="1:15" x14ac:dyDescent="0.25">
      <c r="A40" s="324"/>
      <c r="B40" s="324"/>
      <c r="C40" s="25" t="s">
        <v>6</v>
      </c>
      <c r="D40" s="25" t="s">
        <v>7</v>
      </c>
      <c r="E40" s="25" t="s">
        <v>8</v>
      </c>
      <c r="F40" s="25" t="s">
        <v>9</v>
      </c>
      <c r="G40" s="25" t="s">
        <v>10</v>
      </c>
      <c r="H40" s="25" t="s">
        <v>11</v>
      </c>
      <c r="I40" s="25" t="s">
        <v>12</v>
      </c>
      <c r="J40" s="25" t="s">
        <v>13</v>
      </c>
      <c r="K40" s="25" t="s">
        <v>14</v>
      </c>
      <c r="L40" s="25" t="s">
        <v>15</v>
      </c>
      <c r="M40" s="25" t="s">
        <v>16</v>
      </c>
      <c r="N40" s="25" t="s">
        <v>17</v>
      </c>
      <c r="O40" s="326"/>
    </row>
    <row r="41" spans="1:15" ht="15.75" thickBot="1" x14ac:dyDescent="0.3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</row>
    <row r="42" spans="1:15" ht="18.75" customHeight="1" thickTop="1" x14ac:dyDescent="0.25">
      <c r="A42" s="27">
        <v>1</v>
      </c>
      <c r="B42" s="7" t="s">
        <v>18</v>
      </c>
      <c r="C42" s="67">
        <v>0</v>
      </c>
      <c r="D42" s="67">
        <v>0</v>
      </c>
      <c r="E42" s="67">
        <v>0</v>
      </c>
      <c r="F42" s="28">
        <v>1</v>
      </c>
      <c r="G42" s="28">
        <v>5</v>
      </c>
      <c r="H42" s="28">
        <v>0</v>
      </c>
      <c r="I42" s="28">
        <v>0</v>
      </c>
      <c r="J42" s="67">
        <v>0</v>
      </c>
      <c r="K42" s="67">
        <v>0</v>
      </c>
      <c r="L42" s="67">
        <v>0</v>
      </c>
      <c r="M42" s="67">
        <v>0</v>
      </c>
      <c r="N42" s="28">
        <v>0</v>
      </c>
      <c r="O42" s="29">
        <f>SUM(C42:N42)</f>
        <v>6</v>
      </c>
    </row>
    <row r="43" spans="1:15" ht="18.75" customHeight="1" x14ac:dyDescent="0.25">
      <c r="A43" s="14">
        <v>2</v>
      </c>
      <c r="B43" s="12" t="s">
        <v>19</v>
      </c>
      <c r="C43" s="48">
        <v>0</v>
      </c>
      <c r="D43" s="48">
        <v>0</v>
      </c>
      <c r="E43" s="48">
        <v>1</v>
      </c>
      <c r="F43" s="48">
        <v>0</v>
      </c>
      <c r="G43" s="48">
        <v>0</v>
      </c>
      <c r="H43" s="16">
        <v>0</v>
      </c>
      <c r="I43" s="16">
        <v>0</v>
      </c>
      <c r="J43" s="48">
        <v>0</v>
      </c>
      <c r="K43" s="48">
        <v>0</v>
      </c>
      <c r="L43" s="48">
        <v>0</v>
      </c>
      <c r="M43" s="48">
        <v>0</v>
      </c>
      <c r="N43" s="16">
        <v>0</v>
      </c>
      <c r="O43" s="18">
        <f t="shared" ref="O43:O49" si="2">SUM(C43:N43)</f>
        <v>1</v>
      </c>
    </row>
    <row r="44" spans="1:15" ht="18.75" customHeight="1" x14ac:dyDescent="0.25">
      <c r="A44" s="14">
        <v>3</v>
      </c>
      <c r="B44" s="7" t="s">
        <v>20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8">
        <f t="shared" si="2"/>
        <v>0</v>
      </c>
    </row>
    <row r="45" spans="1:15" ht="18.75" customHeight="1" x14ac:dyDescent="0.25">
      <c r="A45" s="14">
        <v>4</v>
      </c>
      <c r="B45" s="15" t="s">
        <v>21</v>
      </c>
      <c r="C45" s="16">
        <v>0</v>
      </c>
      <c r="D45" s="16">
        <v>0</v>
      </c>
      <c r="E45" s="16">
        <v>10</v>
      </c>
      <c r="F45" s="16">
        <v>0</v>
      </c>
      <c r="G45" s="16">
        <v>0</v>
      </c>
      <c r="H45" s="16">
        <v>10</v>
      </c>
      <c r="I45" s="16">
        <v>10</v>
      </c>
      <c r="J45" s="16">
        <v>0</v>
      </c>
      <c r="K45" s="16">
        <v>0</v>
      </c>
      <c r="L45" s="16">
        <v>0</v>
      </c>
      <c r="M45" s="16">
        <v>0</v>
      </c>
      <c r="N45" s="16">
        <v>5</v>
      </c>
      <c r="O45" s="18">
        <f t="shared" si="2"/>
        <v>35</v>
      </c>
    </row>
    <row r="46" spans="1:15" ht="18.75" customHeight="1" x14ac:dyDescent="0.25">
      <c r="A46" s="14">
        <v>5</v>
      </c>
      <c r="B46" s="19" t="s">
        <v>22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8">
        <f t="shared" si="2"/>
        <v>0</v>
      </c>
    </row>
    <row r="47" spans="1:15" ht="18.75" customHeight="1" x14ac:dyDescent="0.25">
      <c r="A47" s="14">
        <v>6</v>
      </c>
      <c r="B47" s="19" t="s">
        <v>23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8">
        <f t="shared" si="2"/>
        <v>0</v>
      </c>
    </row>
    <row r="48" spans="1:15" ht="18.75" customHeight="1" x14ac:dyDescent="0.25">
      <c r="A48" s="14">
        <v>7</v>
      </c>
      <c r="B48" s="19" t="s">
        <v>24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8">
        <f t="shared" si="2"/>
        <v>0</v>
      </c>
    </row>
    <row r="49" spans="1:15" ht="18.75" customHeight="1" thickBot="1" x14ac:dyDescent="0.3">
      <c r="A49" s="20">
        <v>8</v>
      </c>
      <c r="B49" s="15" t="s">
        <v>25</v>
      </c>
      <c r="C49" s="17">
        <v>0</v>
      </c>
      <c r="D49" s="17">
        <v>1</v>
      </c>
      <c r="E49" s="17">
        <v>0</v>
      </c>
      <c r="F49" s="17">
        <v>0</v>
      </c>
      <c r="G49" s="17">
        <v>0</v>
      </c>
      <c r="H49" s="17">
        <v>1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21">
        <f t="shared" si="2"/>
        <v>2</v>
      </c>
    </row>
    <row r="50" spans="1:15" ht="18.75" customHeight="1" thickTop="1" x14ac:dyDescent="0.25">
      <c r="A50" s="320" t="s">
        <v>26</v>
      </c>
      <c r="B50" s="321"/>
      <c r="C50" s="22">
        <f t="shared" ref="C50:O50" si="3">SUM(C42:C49)</f>
        <v>0</v>
      </c>
      <c r="D50" s="22">
        <f t="shared" si="3"/>
        <v>1</v>
      </c>
      <c r="E50" s="22">
        <f t="shared" si="3"/>
        <v>11</v>
      </c>
      <c r="F50" s="22">
        <f t="shared" si="3"/>
        <v>1</v>
      </c>
      <c r="G50" s="22">
        <f t="shared" si="3"/>
        <v>5</v>
      </c>
      <c r="H50" s="22">
        <f t="shared" si="3"/>
        <v>11</v>
      </c>
      <c r="I50" s="22">
        <f t="shared" si="3"/>
        <v>10</v>
      </c>
      <c r="J50" s="22">
        <f t="shared" si="3"/>
        <v>0</v>
      </c>
      <c r="K50" s="22">
        <f t="shared" si="3"/>
        <v>0</v>
      </c>
      <c r="L50" s="159">
        <f t="shared" si="3"/>
        <v>0</v>
      </c>
      <c r="M50" s="22">
        <f t="shared" si="3"/>
        <v>0</v>
      </c>
      <c r="N50" s="22">
        <f t="shared" si="3"/>
        <v>5</v>
      </c>
      <c r="O50" s="22">
        <f t="shared" si="3"/>
        <v>44</v>
      </c>
    </row>
    <row r="51" spans="1:15" x14ac:dyDescent="0.2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pans="1:15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5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5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spans="1:15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5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5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5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5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5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5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5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5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5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5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5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5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5" ht="18.75" x14ac:dyDescent="0.3">
      <c r="A68" s="322" t="s">
        <v>55</v>
      </c>
      <c r="B68" s="322"/>
      <c r="C68" s="322"/>
      <c r="D68" s="322"/>
      <c r="E68" s="322"/>
      <c r="F68" s="322"/>
      <c r="G68" s="322"/>
      <c r="H68" s="322"/>
      <c r="I68" s="322"/>
      <c r="J68" s="322"/>
      <c r="K68" s="322"/>
      <c r="L68" s="322"/>
      <c r="M68" s="322"/>
      <c r="N68" s="322"/>
      <c r="O68" s="322"/>
    </row>
    <row r="69" spans="1:15" ht="18.75" x14ac:dyDescent="0.3">
      <c r="A69" s="322" t="s">
        <v>148</v>
      </c>
      <c r="B69" s="322"/>
      <c r="C69" s="322"/>
      <c r="D69" s="322"/>
      <c r="E69" s="322"/>
      <c r="F69" s="322"/>
      <c r="G69" s="322"/>
      <c r="H69" s="322"/>
      <c r="I69" s="322"/>
      <c r="J69" s="322"/>
      <c r="K69" s="322"/>
      <c r="L69" s="322"/>
      <c r="M69" s="322"/>
      <c r="N69" s="322"/>
      <c r="O69" s="322"/>
    </row>
    <row r="70" spans="1:15" ht="18.7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5" x14ac:dyDescent="0.25">
      <c r="A72" s="323" t="s">
        <v>2</v>
      </c>
      <c r="B72" s="323" t="s">
        <v>3</v>
      </c>
      <c r="C72" s="325" t="s">
        <v>4</v>
      </c>
      <c r="D72" s="325"/>
      <c r="E72" s="325"/>
      <c r="F72" s="325"/>
      <c r="G72" s="325"/>
      <c r="H72" s="325"/>
      <c r="I72" s="325"/>
      <c r="J72" s="325"/>
      <c r="K72" s="325"/>
      <c r="L72" s="325"/>
      <c r="M72" s="325"/>
      <c r="N72" s="325"/>
      <c r="O72" s="323" t="s">
        <v>5</v>
      </c>
    </row>
    <row r="73" spans="1:15" x14ac:dyDescent="0.25">
      <c r="A73" s="324"/>
      <c r="B73" s="324"/>
      <c r="C73" s="25" t="s">
        <v>6</v>
      </c>
      <c r="D73" s="25" t="s">
        <v>7</v>
      </c>
      <c r="E73" s="25" t="s">
        <v>8</v>
      </c>
      <c r="F73" s="25" t="s">
        <v>9</v>
      </c>
      <c r="G73" s="25" t="s">
        <v>10</v>
      </c>
      <c r="H73" s="25" t="s">
        <v>11</v>
      </c>
      <c r="I73" s="25" t="s">
        <v>12</v>
      </c>
      <c r="J73" s="25" t="s">
        <v>13</v>
      </c>
      <c r="K73" s="25" t="s">
        <v>14</v>
      </c>
      <c r="L73" s="25" t="s">
        <v>15</v>
      </c>
      <c r="M73" s="25" t="s">
        <v>16</v>
      </c>
      <c r="N73" s="25" t="s">
        <v>17</v>
      </c>
      <c r="O73" s="326"/>
    </row>
    <row r="74" spans="1:15" ht="15.75" thickBot="1" x14ac:dyDescent="0.3">
      <c r="A74" s="26">
        <v>1</v>
      </c>
      <c r="B74" s="26">
        <v>2</v>
      </c>
      <c r="C74" s="26">
        <v>3</v>
      </c>
      <c r="D74" s="26">
        <v>4</v>
      </c>
      <c r="E74" s="26">
        <v>5</v>
      </c>
      <c r="F74" s="26">
        <v>6</v>
      </c>
      <c r="G74" s="26">
        <v>7</v>
      </c>
      <c r="H74" s="26">
        <v>8</v>
      </c>
      <c r="I74" s="26">
        <v>9</v>
      </c>
      <c r="J74" s="26">
        <v>10</v>
      </c>
      <c r="K74" s="26">
        <v>11</v>
      </c>
      <c r="L74" s="26">
        <v>12</v>
      </c>
      <c r="M74" s="26">
        <v>13</v>
      </c>
      <c r="N74" s="26">
        <v>14</v>
      </c>
      <c r="O74" s="26">
        <v>15</v>
      </c>
    </row>
    <row r="75" spans="1:15" ht="18.75" customHeight="1" thickTop="1" x14ac:dyDescent="0.25">
      <c r="A75" s="27">
        <v>1</v>
      </c>
      <c r="B75" s="7" t="s">
        <v>18</v>
      </c>
      <c r="C75" s="238">
        <v>0</v>
      </c>
      <c r="D75" s="67">
        <v>0</v>
      </c>
      <c r="E75" s="238">
        <v>0</v>
      </c>
      <c r="F75" s="237">
        <v>0.8</v>
      </c>
      <c r="G75" s="237">
        <v>4</v>
      </c>
      <c r="H75" s="237">
        <v>0</v>
      </c>
      <c r="I75" s="237">
        <v>0</v>
      </c>
      <c r="J75" s="67">
        <v>0</v>
      </c>
      <c r="K75" s="67">
        <v>0</v>
      </c>
      <c r="L75" s="67">
        <v>0</v>
      </c>
      <c r="M75" s="67">
        <v>0</v>
      </c>
      <c r="N75" s="28">
        <v>0</v>
      </c>
      <c r="O75" s="168">
        <f>SUM(C75:N75)</f>
        <v>4.8</v>
      </c>
    </row>
    <row r="76" spans="1:15" ht="18.75" customHeight="1" x14ac:dyDescent="0.25">
      <c r="A76" s="14">
        <v>2</v>
      </c>
      <c r="B76" s="12" t="s">
        <v>19</v>
      </c>
      <c r="C76" s="239">
        <v>0</v>
      </c>
      <c r="D76" s="48">
        <v>0</v>
      </c>
      <c r="E76" s="239">
        <v>0.9</v>
      </c>
      <c r="F76" s="239">
        <v>0</v>
      </c>
      <c r="G76" s="48">
        <v>0</v>
      </c>
      <c r="H76" s="158">
        <v>0</v>
      </c>
      <c r="I76" s="158">
        <v>0</v>
      </c>
      <c r="J76" s="48">
        <v>0</v>
      </c>
      <c r="K76" s="48">
        <v>0</v>
      </c>
      <c r="L76" s="48">
        <v>0</v>
      </c>
      <c r="M76" s="48">
        <v>0</v>
      </c>
      <c r="N76" s="16">
        <v>0</v>
      </c>
      <c r="O76" s="166">
        <f t="shared" ref="O76:O82" si="4">SUM(C76:N76)</f>
        <v>0.9</v>
      </c>
    </row>
    <row r="77" spans="1:15" ht="18.75" customHeight="1" x14ac:dyDescent="0.25">
      <c r="A77" s="14">
        <v>3</v>
      </c>
      <c r="B77" s="7" t="s">
        <v>20</v>
      </c>
      <c r="C77" s="158">
        <v>0</v>
      </c>
      <c r="D77" s="16">
        <v>0</v>
      </c>
      <c r="E77" s="158">
        <v>0</v>
      </c>
      <c r="F77" s="158">
        <v>0</v>
      </c>
      <c r="G77" s="16">
        <v>0</v>
      </c>
      <c r="H77" s="158">
        <v>0</v>
      </c>
      <c r="I77" s="158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6">
        <f t="shared" si="4"/>
        <v>0</v>
      </c>
    </row>
    <row r="78" spans="1:15" ht="18.75" customHeight="1" x14ac:dyDescent="0.25">
      <c r="A78" s="14">
        <v>4</v>
      </c>
      <c r="B78" s="15" t="s">
        <v>21</v>
      </c>
      <c r="C78" s="158">
        <v>0</v>
      </c>
      <c r="D78" s="158">
        <v>0</v>
      </c>
      <c r="E78" s="158">
        <v>9</v>
      </c>
      <c r="F78" s="158">
        <v>0</v>
      </c>
      <c r="G78" s="16">
        <v>0</v>
      </c>
      <c r="H78" s="158">
        <v>8.1999999999999993</v>
      </c>
      <c r="I78" s="158">
        <v>8.1999999999999993</v>
      </c>
      <c r="J78" s="16">
        <v>0</v>
      </c>
      <c r="K78" s="16">
        <v>0</v>
      </c>
      <c r="L78" s="16">
        <v>0</v>
      </c>
      <c r="M78" s="16">
        <v>0</v>
      </c>
      <c r="N78" s="158">
        <v>4.5</v>
      </c>
      <c r="O78" s="166">
        <f t="shared" si="4"/>
        <v>29.9</v>
      </c>
    </row>
    <row r="79" spans="1:15" ht="18.75" customHeight="1" x14ac:dyDescent="0.25">
      <c r="A79" s="14">
        <v>5</v>
      </c>
      <c r="B79" s="19" t="s">
        <v>22</v>
      </c>
      <c r="C79" s="158">
        <v>0</v>
      </c>
      <c r="D79" s="158">
        <v>0</v>
      </c>
      <c r="E79" s="158">
        <v>0</v>
      </c>
      <c r="F79" s="158">
        <v>0</v>
      </c>
      <c r="G79" s="16">
        <v>0</v>
      </c>
      <c r="H79" s="158">
        <v>0</v>
      </c>
      <c r="I79" s="158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6">
        <f t="shared" si="4"/>
        <v>0</v>
      </c>
    </row>
    <row r="80" spans="1:15" ht="18.75" customHeight="1" x14ac:dyDescent="0.25">
      <c r="A80" s="14">
        <v>6</v>
      </c>
      <c r="B80" s="19" t="s">
        <v>23</v>
      </c>
      <c r="C80" s="158">
        <v>0</v>
      </c>
      <c r="D80" s="158">
        <v>0</v>
      </c>
      <c r="E80" s="158">
        <v>0</v>
      </c>
      <c r="F80" s="158">
        <v>0</v>
      </c>
      <c r="G80" s="16">
        <v>0</v>
      </c>
      <c r="H80" s="158">
        <v>0</v>
      </c>
      <c r="I80" s="158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6">
        <f t="shared" si="4"/>
        <v>0</v>
      </c>
    </row>
    <row r="81" spans="1:15" ht="18.75" customHeight="1" x14ac:dyDescent="0.25">
      <c r="A81" s="14">
        <v>7</v>
      </c>
      <c r="B81" s="19" t="s">
        <v>24</v>
      </c>
      <c r="C81" s="158">
        <v>0</v>
      </c>
      <c r="D81" s="158">
        <v>0</v>
      </c>
      <c r="E81" s="158">
        <v>0</v>
      </c>
      <c r="F81" s="158">
        <v>0</v>
      </c>
      <c r="G81" s="16">
        <v>0</v>
      </c>
      <c r="H81" s="158">
        <v>0</v>
      </c>
      <c r="I81" s="158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6">
        <f t="shared" si="4"/>
        <v>0</v>
      </c>
    </row>
    <row r="82" spans="1:15" ht="18.75" customHeight="1" thickBot="1" x14ac:dyDescent="0.3">
      <c r="A82" s="20">
        <v>8</v>
      </c>
      <c r="B82" s="15" t="s">
        <v>25</v>
      </c>
      <c r="C82" s="162">
        <v>0</v>
      </c>
      <c r="D82" s="162">
        <v>0.8</v>
      </c>
      <c r="E82" s="162">
        <v>0</v>
      </c>
      <c r="F82" s="162">
        <v>0</v>
      </c>
      <c r="G82" s="17">
        <v>0</v>
      </c>
      <c r="H82" s="162">
        <v>0.8</v>
      </c>
      <c r="I82" s="162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67">
        <f t="shared" si="4"/>
        <v>1.6</v>
      </c>
    </row>
    <row r="83" spans="1:15" ht="18.75" customHeight="1" thickTop="1" x14ac:dyDescent="0.25">
      <c r="A83" s="320" t="s">
        <v>26</v>
      </c>
      <c r="B83" s="321"/>
      <c r="C83" s="159">
        <f t="shared" ref="C83:O83" si="5">SUM(C75:C82)</f>
        <v>0</v>
      </c>
      <c r="D83" s="159">
        <f t="shared" si="5"/>
        <v>0.8</v>
      </c>
      <c r="E83" s="159">
        <f t="shared" si="5"/>
        <v>9.9</v>
      </c>
      <c r="F83" s="159">
        <f t="shared" si="5"/>
        <v>0.8</v>
      </c>
      <c r="G83" s="159">
        <f t="shared" si="5"/>
        <v>4</v>
      </c>
      <c r="H83" s="159">
        <f t="shared" si="5"/>
        <v>9</v>
      </c>
      <c r="I83" s="159">
        <f t="shared" si="5"/>
        <v>8.1999999999999993</v>
      </c>
      <c r="J83" s="159">
        <f t="shared" si="5"/>
        <v>0</v>
      </c>
      <c r="K83" s="159">
        <f t="shared" si="5"/>
        <v>0</v>
      </c>
      <c r="L83" s="159">
        <f t="shared" si="5"/>
        <v>0</v>
      </c>
      <c r="M83" s="22">
        <f t="shared" si="5"/>
        <v>0</v>
      </c>
      <c r="N83" s="159">
        <f t="shared" si="5"/>
        <v>4.5</v>
      </c>
      <c r="O83" s="159">
        <f t="shared" si="5"/>
        <v>37.200000000000003</v>
      </c>
    </row>
    <row r="84" spans="1:15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5" x14ac:dyDescent="0.25">
      <c r="A85" s="24"/>
      <c r="B85" s="258" t="s">
        <v>98</v>
      </c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</row>
    <row r="86" spans="1:15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spans="1:15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</row>
    <row r="88" spans="1:15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15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1:15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1:15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1:15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1:15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</row>
    <row r="94" spans="1:15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5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5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1:15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5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5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5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5" ht="18.75" x14ac:dyDescent="0.3">
      <c r="A101" s="322" t="s">
        <v>56</v>
      </c>
      <c r="B101" s="322"/>
      <c r="C101" s="322"/>
      <c r="D101" s="322"/>
      <c r="E101" s="322"/>
      <c r="F101" s="322"/>
      <c r="G101" s="322"/>
      <c r="H101" s="322"/>
      <c r="I101" s="322"/>
      <c r="J101" s="322"/>
      <c r="K101" s="322"/>
      <c r="L101" s="322"/>
      <c r="M101" s="322"/>
      <c r="N101" s="322"/>
      <c r="O101" s="322"/>
    </row>
    <row r="102" spans="1:15" ht="18.75" x14ac:dyDescent="0.3">
      <c r="A102" s="322" t="s">
        <v>148</v>
      </c>
      <c r="B102" s="322"/>
      <c r="C102" s="322"/>
      <c r="D102" s="322"/>
      <c r="E102" s="322"/>
      <c r="F102" s="322"/>
      <c r="G102" s="322"/>
      <c r="H102" s="322"/>
      <c r="I102" s="322"/>
      <c r="J102" s="322"/>
      <c r="K102" s="322"/>
      <c r="L102" s="322"/>
      <c r="M102" s="322"/>
      <c r="N102" s="322"/>
      <c r="O102" s="322"/>
    </row>
    <row r="103" spans="1:15" ht="18.7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5" x14ac:dyDescent="0.25">
      <c r="A105" s="323" t="s">
        <v>2</v>
      </c>
      <c r="B105" s="323" t="s">
        <v>3</v>
      </c>
      <c r="C105" s="325" t="s">
        <v>4</v>
      </c>
      <c r="D105" s="325"/>
      <c r="E105" s="325"/>
      <c r="F105" s="325"/>
      <c r="G105" s="325"/>
      <c r="H105" s="325"/>
      <c r="I105" s="325"/>
      <c r="J105" s="325"/>
      <c r="K105" s="325"/>
      <c r="L105" s="325"/>
      <c r="M105" s="325"/>
      <c r="N105" s="325"/>
      <c r="O105" s="323" t="s">
        <v>5</v>
      </c>
    </row>
    <row r="106" spans="1:15" x14ac:dyDescent="0.25">
      <c r="A106" s="324"/>
      <c r="B106" s="324"/>
      <c r="C106" s="25" t="s">
        <v>6</v>
      </c>
      <c r="D106" s="25" t="s">
        <v>7</v>
      </c>
      <c r="E106" s="25" t="s">
        <v>8</v>
      </c>
      <c r="F106" s="25" t="s">
        <v>9</v>
      </c>
      <c r="G106" s="25" t="s">
        <v>10</v>
      </c>
      <c r="H106" s="25" t="s">
        <v>11</v>
      </c>
      <c r="I106" s="25" t="s">
        <v>12</v>
      </c>
      <c r="J106" s="25" t="s">
        <v>13</v>
      </c>
      <c r="K106" s="25" t="s">
        <v>14</v>
      </c>
      <c r="L106" s="25" t="s">
        <v>15</v>
      </c>
      <c r="M106" s="25" t="s">
        <v>16</v>
      </c>
      <c r="N106" s="25" t="s">
        <v>17</v>
      </c>
      <c r="O106" s="326"/>
    </row>
    <row r="107" spans="1:15" ht="15.75" thickBot="1" x14ac:dyDescent="0.3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</row>
    <row r="108" spans="1:15" ht="18.75" customHeight="1" thickTop="1" x14ac:dyDescent="0.25">
      <c r="A108" s="27">
        <v>1</v>
      </c>
      <c r="B108" s="7" t="s">
        <v>18</v>
      </c>
      <c r="C108" s="67">
        <v>0</v>
      </c>
      <c r="D108" s="50">
        <v>0</v>
      </c>
      <c r="E108" s="50">
        <v>0</v>
      </c>
      <c r="F108" s="32">
        <v>8.1</v>
      </c>
      <c r="G108" s="32">
        <v>8.0299999999999994</v>
      </c>
      <c r="H108" s="32">
        <v>0</v>
      </c>
      <c r="I108" s="32">
        <v>0</v>
      </c>
      <c r="J108" s="67">
        <v>0</v>
      </c>
      <c r="K108" s="67">
        <v>0</v>
      </c>
      <c r="L108" s="67">
        <v>0</v>
      </c>
      <c r="M108" s="67">
        <v>0</v>
      </c>
      <c r="N108" s="237">
        <v>0</v>
      </c>
      <c r="O108" s="33">
        <f>O75/O42*10</f>
        <v>7.9999999999999991</v>
      </c>
    </row>
    <row r="109" spans="1:15" ht="18.75" customHeight="1" x14ac:dyDescent="0.25">
      <c r="A109" s="14">
        <v>2</v>
      </c>
      <c r="B109" s="12" t="s">
        <v>19</v>
      </c>
      <c r="C109" s="48">
        <v>0</v>
      </c>
      <c r="D109" s="48">
        <v>0</v>
      </c>
      <c r="E109" s="274">
        <v>9.1</v>
      </c>
      <c r="F109" s="239">
        <v>0</v>
      </c>
      <c r="G109" s="48">
        <v>0</v>
      </c>
      <c r="H109" s="34">
        <v>0</v>
      </c>
      <c r="I109" s="34">
        <v>0</v>
      </c>
      <c r="J109" s="48">
        <v>0</v>
      </c>
      <c r="K109" s="48">
        <v>0</v>
      </c>
      <c r="L109" s="48">
        <v>0</v>
      </c>
      <c r="M109" s="48">
        <v>0</v>
      </c>
      <c r="N109" s="158">
        <v>0</v>
      </c>
      <c r="O109" s="35">
        <f>SUM(C109:N109)</f>
        <v>9.1</v>
      </c>
    </row>
    <row r="110" spans="1:15" ht="18.75" customHeight="1" x14ac:dyDescent="0.25">
      <c r="A110" s="14">
        <v>3</v>
      </c>
      <c r="B110" s="7" t="s">
        <v>20</v>
      </c>
      <c r="C110" s="16">
        <v>0</v>
      </c>
      <c r="D110" s="16">
        <v>0</v>
      </c>
      <c r="E110" s="34">
        <v>0</v>
      </c>
      <c r="F110" s="158">
        <v>0</v>
      </c>
      <c r="G110" s="16">
        <v>0</v>
      </c>
      <c r="H110" s="34">
        <v>0</v>
      </c>
      <c r="I110" s="34">
        <v>0</v>
      </c>
      <c r="J110" s="16">
        <v>0</v>
      </c>
      <c r="K110" s="16">
        <v>0</v>
      </c>
      <c r="L110" s="16">
        <v>0</v>
      </c>
      <c r="M110" s="16">
        <v>0</v>
      </c>
      <c r="N110" s="158">
        <v>0</v>
      </c>
      <c r="O110" s="35">
        <v>0</v>
      </c>
    </row>
    <row r="111" spans="1:15" ht="18.75" customHeight="1" x14ac:dyDescent="0.25">
      <c r="A111" s="14">
        <v>4</v>
      </c>
      <c r="B111" s="15" t="s">
        <v>21</v>
      </c>
      <c r="C111" s="34">
        <v>0</v>
      </c>
      <c r="D111" s="161">
        <v>0</v>
      </c>
      <c r="E111" s="34">
        <v>9.02</v>
      </c>
      <c r="F111" s="158">
        <v>0</v>
      </c>
      <c r="G111" s="16">
        <v>0</v>
      </c>
      <c r="H111" s="34">
        <v>8.25</v>
      </c>
      <c r="I111" s="34">
        <v>8.19</v>
      </c>
      <c r="J111" s="16">
        <v>0</v>
      </c>
      <c r="K111" s="16">
        <v>0</v>
      </c>
      <c r="L111" s="16">
        <v>0</v>
      </c>
      <c r="M111" s="16">
        <v>0</v>
      </c>
      <c r="N111" s="34">
        <v>9.11</v>
      </c>
      <c r="O111" s="35">
        <f t="shared" ref="O111" si="6">O78/O45*10</f>
        <v>8.5428571428571427</v>
      </c>
    </row>
    <row r="112" spans="1:15" ht="18.75" customHeight="1" x14ac:dyDescent="0.25">
      <c r="A112" s="14">
        <v>5</v>
      </c>
      <c r="B112" s="19" t="s">
        <v>22</v>
      </c>
      <c r="C112" s="16">
        <v>0</v>
      </c>
      <c r="D112" s="16">
        <v>0</v>
      </c>
      <c r="E112" s="34">
        <v>0</v>
      </c>
      <c r="F112" s="158">
        <v>0</v>
      </c>
      <c r="G112" s="16">
        <v>0</v>
      </c>
      <c r="H112" s="34">
        <v>0</v>
      </c>
      <c r="I112" s="34">
        <v>0</v>
      </c>
      <c r="J112" s="16">
        <v>0</v>
      </c>
      <c r="K112" s="16">
        <v>0</v>
      </c>
      <c r="L112" s="16">
        <v>0</v>
      </c>
      <c r="M112" s="16">
        <v>0</v>
      </c>
      <c r="N112" s="158">
        <v>0</v>
      </c>
      <c r="O112" s="35">
        <v>0</v>
      </c>
    </row>
    <row r="113" spans="1:18" ht="18.75" customHeight="1" x14ac:dyDescent="0.25">
      <c r="A113" s="14">
        <v>6</v>
      </c>
      <c r="B113" s="19" t="s">
        <v>23</v>
      </c>
      <c r="C113" s="16">
        <v>0</v>
      </c>
      <c r="D113" s="34">
        <v>0</v>
      </c>
      <c r="E113" s="34">
        <v>0</v>
      </c>
      <c r="F113" s="158">
        <v>0</v>
      </c>
      <c r="G113" s="16">
        <v>0</v>
      </c>
      <c r="H113" s="34">
        <v>0</v>
      </c>
      <c r="I113" s="34">
        <v>0</v>
      </c>
      <c r="J113" s="16">
        <v>0</v>
      </c>
      <c r="K113" s="16">
        <v>0</v>
      </c>
      <c r="L113" s="16">
        <v>0</v>
      </c>
      <c r="M113" s="16">
        <v>0</v>
      </c>
      <c r="N113" s="158">
        <v>0</v>
      </c>
      <c r="O113" s="35">
        <v>0</v>
      </c>
    </row>
    <row r="114" spans="1:18" ht="18.75" customHeight="1" x14ac:dyDescent="0.25">
      <c r="A114" s="14">
        <v>7</v>
      </c>
      <c r="B114" s="19" t="s">
        <v>24</v>
      </c>
      <c r="C114" s="16">
        <v>0</v>
      </c>
      <c r="D114" s="16">
        <v>0</v>
      </c>
      <c r="E114" s="34">
        <v>0</v>
      </c>
      <c r="F114" s="158">
        <v>0</v>
      </c>
      <c r="G114" s="16">
        <v>0</v>
      </c>
      <c r="H114" s="34">
        <v>0</v>
      </c>
      <c r="I114" s="34">
        <v>0</v>
      </c>
      <c r="J114" s="16">
        <v>0</v>
      </c>
      <c r="K114" s="16">
        <v>0</v>
      </c>
      <c r="L114" s="16">
        <v>0</v>
      </c>
      <c r="M114" s="16">
        <v>0</v>
      </c>
      <c r="N114" s="158">
        <v>0</v>
      </c>
      <c r="O114" s="35">
        <v>0</v>
      </c>
    </row>
    <row r="115" spans="1:18" ht="18.75" customHeight="1" thickBot="1" x14ac:dyDescent="0.3">
      <c r="A115" s="20">
        <v>8</v>
      </c>
      <c r="B115" s="15" t="s">
        <v>25</v>
      </c>
      <c r="C115" s="17">
        <v>0</v>
      </c>
      <c r="D115" s="36">
        <v>8</v>
      </c>
      <c r="E115" s="36">
        <v>0</v>
      </c>
      <c r="F115" s="162">
        <v>0</v>
      </c>
      <c r="G115" s="17">
        <v>0</v>
      </c>
      <c r="H115" s="36">
        <v>8.11</v>
      </c>
      <c r="I115" s="36">
        <v>0</v>
      </c>
      <c r="J115" s="17">
        <v>0</v>
      </c>
      <c r="K115" s="17">
        <v>0</v>
      </c>
      <c r="L115" s="17">
        <v>0</v>
      </c>
      <c r="M115" s="17">
        <v>0</v>
      </c>
      <c r="N115" s="162">
        <v>0</v>
      </c>
      <c r="O115" s="35">
        <f>O82/O49*10</f>
        <v>8</v>
      </c>
      <c r="R115" t="s">
        <v>104</v>
      </c>
    </row>
    <row r="116" spans="1:18" ht="18.75" customHeight="1" thickTop="1" x14ac:dyDescent="0.25">
      <c r="A116" s="320" t="s">
        <v>26</v>
      </c>
      <c r="B116" s="321"/>
      <c r="C116" s="38">
        <f>SUM(C108:C115)</f>
        <v>0</v>
      </c>
      <c r="D116" s="38">
        <f t="shared" ref="D116:H116" si="7">D83/D50*10</f>
        <v>8</v>
      </c>
      <c r="E116" s="38">
        <f t="shared" si="7"/>
        <v>9</v>
      </c>
      <c r="F116" s="38">
        <f>SUM(F108:F115)</f>
        <v>8.1</v>
      </c>
      <c r="G116" s="38">
        <f>SUM(G108:G115)</f>
        <v>8.0299999999999994</v>
      </c>
      <c r="H116" s="38">
        <f t="shared" si="7"/>
        <v>8.1818181818181817</v>
      </c>
      <c r="I116" s="38">
        <f t="shared" ref="I116:N116" si="8">SUM(I108:I115)</f>
        <v>8.19</v>
      </c>
      <c r="J116" s="38">
        <f t="shared" si="8"/>
        <v>0</v>
      </c>
      <c r="K116" s="38">
        <f t="shared" si="8"/>
        <v>0</v>
      </c>
      <c r="L116" s="38">
        <f t="shared" si="8"/>
        <v>0</v>
      </c>
      <c r="M116" s="38">
        <f t="shared" si="8"/>
        <v>0</v>
      </c>
      <c r="N116" s="38">
        <f t="shared" si="8"/>
        <v>9.11</v>
      </c>
      <c r="O116" s="38">
        <f t="shared" ref="O116" si="9">O83/O50*10</f>
        <v>8.454545454545455</v>
      </c>
    </row>
    <row r="117" spans="1:18" x14ac:dyDescent="0.2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</row>
    <row r="118" spans="1:18" x14ac:dyDescent="0.25">
      <c r="E118" s="71"/>
    </row>
    <row r="119" spans="1:18" x14ac:dyDescent="0.25">
      <c r="L119" s="41" t="s">
        <v>146</v>
      </c>
    </row>
    <row r="120" spans="1:18" x14ac:dyDescent="0.25">
      <c r="L120" s="41" t="s">
        <v>95</v>
      </c>
    </row>
    <row r="121" spans="1:18" x14ac:dyDescent="0.25">
      <c r="L121" s="41" t="s">
        <v>84</v>
      </c>
    </row>
    <row r="122" spans="1:18" x14ac:dyDescent="0.25">
      <c r="L122" s="41"/>
    </row>
    <row r="123" spans="1:18" x14ac:dyDescent="0.25">
      <c r="L123" s="41"/>
    </row>
    <row r="124" spans="1:18" x14ac:dyDescent="0.25">
      <c r="L124" s="41"/>
    </row>
    <row r="125" spans="1:18" x14ac:dyDescent="0.25">
      <c r="L125" s="299" t="s">
        <v>147</v>
      </c>
    </row>
    <row r="126" spans="1:18" x14ac:dyDescent="0.25">
      <c r="L126" s="41" t="s">
        <v>97</v>
      </c>
    </row>
  </sheetData>
  <mergeCells count="28">
    <mergeCell ref="A2:O2"/>
    <mergeCell ref="A3:O3"/>
    <mergeCell ref="A6:A7"/>
    <mergeCell ref="B6:B7"/>
    <mergeCell ref="C6:N6"/>
    <mergeCell ref="O6:O7"/>
    <mergeCell ref="A17:B17"/>
    <mergeCell ref="A35:O35"/>
    <mergeCell ref="A36:O36"/>
    <mergeCell ref="A39:A40"/>
    <mergeCell ref="B39:B40"/>
    <mergeCell ref="C39:N39"/>
    <mergeCell ref="O39:O40"/>
    <mergeCell ref="A50:B50"/>
    <mergeCell ref="A68:O68"/>
    <mergeCell ref="A69:O69"/>
    <mergeCell ref="A72:A73"/>
    <mergeCell ref="B72:B73"/>
    <mergeCell ref="C72:N72"/>
    <mergeCell ref="O72:O73"/>
    <mergeCell ref="A116:B116"/>
    <mergeCell ref="A83:B83"/>
    <mergeCell ref="A101:O101"/>
    <mergeCell ref="A102:O102"/>
    <mergeCell ref="A105:A106"/>
    <mergeCell ref="B105:B106"/>
    <mergeCell ref="C105:N105"/>
    <mergeCell ref="O105:O106"/>
  </mergeCells>
  <pageMargins left="1.5748031496062993" right="0.39370078740157483" top="0.94488188976377963" bottom="0.74803149606299213" header="0.31496062992125984" footer="0.31496062992125984"/>
  <pageSetup paperSize="9" scale="90" orientation="landscape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Q126"/>
  <sheetViews>
    <sheetView zoomScale="90" zoomScaleNormal="90" workbookViewId="0">
      <selection activeCell="A2" sqref="A2:O2"/>
    </sheetView>
  </sheetViews>
  <sheetFormatPr defaultRowHeight="15" x14ac:dyDescent="0.25"/>
  <cols>
    <col min="1" max="1" width="4" customWidth="1"/>
    <col min="2" max="2" width="14.42578125" customWidth="1"/>
    <col min="3" max="15" width="8.5703125" customWidth="1"/>
  </cols>
  <sheetData>
    <row r="2" spans="1:17" ht="18.75" x14ac:dyDescent="0.3">
      <c r="A2" s="322" t="s">
        <v>87</v>
      </c>
      <c r="B2" s="322"/>
      <c r="C2" s="322"/>
      <c r="D2" s="322"/>
      <c r="E2" s="322"/>
      <c r="F2" s="322"/>
      <c r="G2" s="322"/>
      <c r="H2" s="322"/>
      <c r="I2" s="322"/>
      <c r="J2" s="322"/>
      <c r="K2" s="322"/>
      <c r="L2" s="322"/>
      <c r="M2" s="322"/>
      <c r="N2" s="322"/>
      <c r="O2" s="322"/>
    </row>
    <row r="3" spans="1:17" ht="18.75" x14ac:dyDescent="0.3">
      <c r="A3" s="322" t="s">
        <v>148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  <c r="M3" s="322"/>
      <c r="N3" s="322"/>
      <c r="O3" s="322"/>
    </row>
    <row r="4" spans="1:17" ht="18.75" x14ac:dyDescent="0.3">
      <c r="A4" s="234"/>
      <c r="B4" s="234"/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  <c r="O4" s="234"/>
    </row>
    <row r="5" spans="1:1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7" x14ac:dyDescent="0.25">
      <c r="A6" s="323" t="s">
        <v>2</v>
      </c>
      <c r="B6" s="323" t="s">
        <v>3</v>
      </c>
      <c r="C6" s="332" t="s">
        <v>4</v>
      </c>
      <c r="D6" s="332"/>
      <c r="E6" s="332"/>
      <c r="F6" s="332"/>
      <c r="G6" s="332"/>
      <c r="H6" s="332"/>
      <c r="I6" s="332"/>
      <c r="J6" s="332"/>
      <c r="K6" s="332"/>
      <c r="L6" s="332"/>
      <c r="M6" s="332"/>
      <c r="N6" s="332"/>
      <c r="O6" s="323" t="s">
        <v>5</v>
      </c>
    </row>
    <row r="7" spans="1:17" x14ac:dyDescent="0.25">
      <c r="A7" s="324"/>
      <c r="B7" s="324"/>
      <c r="C7" s="235" t="s">
        <v>6</v>
      </c>
      <c r="D7" s="235" t="s">
        <v>7</v>
      </c>
      <c r="E7" s="235" t="s">
        <v>8</v>
      </c>
      <c r="F7" s="235" t="s">
        <v>9</v>
      </c>
      <c r="G7" s="235" t="s">
        <v>10</v>
      </c>
      <c r="H7" s="235" t="s">
        <v>11</v>
      </c>
      <c r="I7" s="235" t="s">
        <v>12</v>
      </c>
      <c r="J7" s="235" t="s">
        <v>13</v>
      </c>
      <c r="K7" s="235" t="s">
        <v>14</v>
      </c>
      <c r="L7" s="235" t="s">
        <v>15</v>
      </c>
      <c r="M7" s="235" t="s">
        <v>16</v>
      </c>
      <c r="N7" s="235" t="s">
        <v>17</v>
      </c>
      <c r="O7" s="326"/>
    </row>
    <row r="8" spans="1:17" ht="15.75" thickBot="1" x14ac:dyDescent="0.3">
      <c r="A8" s="26">
        <v>1</v>
      </c>
      <c r="B8" s="26">
        <v>2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  <c r="Q8" t="s">
        <v>85</v>
      </c>
    </row>
    <row r="9" spans="1:17" ht="18.75" customHeight="1" thickTop="1" x14ac:dyDescent="0.25">
      <c r="A9" s="27">
        <v>1</v>
      </c>
      <c r="B9" s="7" t="s">
        <v>18</v>
      </c>
      <c r="C9" s="28">
        <v>0</v>
      </c>
      <c r="D9" s="28">
        <v>0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8">
        <v>0</v>
      </c>
      <c r="O9" s="29">
        <f>SUM(C9:N9)</f>
        <v>0</v>
      </c>
      <c r="Q9" s="104">
        <f>SUM(L9:M9)</f>
        <v>0</v>
      </c>
    </row>
    <row r="10" spans="1:17" ht="18.75" customHeight="1" x14ac:dyDescent="0.25">
      <c r="A10" s="14">
        <v>2</v>
      </c>
      <c r="B10" s="12" t="s">
        <v>19</v>
      </c>
      <c r="C10" s="16">
        <v>0</v>
      </c>
      <c r="D10" s="16">
        <v>0</v>
      </c>
      <c r="E10" s="16">
        <v>0</v>
      </c>
      <c r="F10" s="16">
        <v>1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8">
        <f t="shared" ref="O10:O16" si="0">SUM(C10:N10)</f>
        <v>1</v>
      </c>
      <c r="Q10" s="104">
        <f t="shared" ref="Q10:Q16" si="1">SUM(L10:M10)</f>
        <v>0</v>
      </c>
    </row>
    <row r="11" spans="1:17" ht="18.75" customHeight="1" x14ac:dyDescent="0.25">
      <c r="A11" s="14">
        <v>3</v>
      </c>
      <c r="B11" s="7" t="s">
        <v>20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8">
        <f t="shared" si="0"/>
        <v>0</v>
      </c>
      <c r="Q11" s="104">
        <f t="shared" si="1"/>
        <v>0</v>
      </c>
    </row>
    <row r="12" spans="1:17" ht="18.75" customHeight="1" x14ac:dyDescent="0.25">
      <c r="A12" s="14">
        <v>4</v>
      </c>
      <c r="B12" s="15" t="s">
        <v>21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8">
        <f t="shared" si="0"/>
        <v>0</v>
      </c>
      <c r="Q12" s="104">
        <f t="shared" si="1"/>
        <v>0</v>
      </c>
    </row>
    <row r="13" spans="1:17" ht="18.75" customHeight="1" x14ac:dyDescent="0.25">
      <c r="A13" s="14">
        <v>5</v>
      </c>
      <c r="B13" s="19" t="s">
        <v>22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1</v>
      </c>
      <c r="N13" s="16">
        <v>0</v>
      </c>
      <c r="O13" s="18">
        <f t="shared" si="0"/>
        <v>1</v>
      </c>
      <c r="Q13" s="104">
        <f t="shared" si="1"/>
        <v>1</v>
      </c>
    </row>
    <row r="14" spans="1:17" ht="18.75" customHeight="1" x14ac:dyDescent="0.25">
      <c r="A14" s="14">
        <v>6</v>
      </c>
      <c r="B14" s="19" t="s">
        <v>23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8">
        <f t="shared" si="0"/>
        <v>0</v>
      </c>
      <c r="Q14" s="104">
        <f t="shared" si="1"/>
        <v>0</v>
      </c>
    </row>
    <row r="15" spans="1:17" ht="18.75" customHeight="1" x14ac:dyDescent="0.25">
      <c r="A15" s="14">
        <v>7</v>
      </c>
      <c r="B15" s="19" t="s">
        <v>24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8">
        <f t="shared" si="0"/>
        <v>0</v>
      </c>
      <c r="Q15" s="104">
        <f t="shared" si="1"/>
        <v>0</v>
      </c>
    </row>
    <row r="16" spans="1:17" ht="18.75" customHeight="1" thickBot="1" x14ac:dyDescent="0.3">
      <c r="A16" s="20">
        <v>8</v>
      </c>
      <c r="B16" s="15" t="s">
        <v>25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21">
        <f t="shared" si="0"/>
        <v>0</v>
      </c>
      <c r="Q16" s="104">
        <f t="shared" si="1"/>
        <v>0</v>
      </c>
    </row>
    <row r="17" spans="1:15" ht="18.75" customHeight="1" thickTop="1" x14ac:dyDescent="0.25">
      <c r="A17" s="320" t="s">
        <v>26</v>
      </c>
      <c r="B17" s="321"/>
      <c r="C17" s="22">
        <f t="shared" ref="C17:O17" si="2">SUM(C9:C16)</f>
        <v>0</v>
      </c>
      <c r="D17" s="22">
        <f t="shared" si="2"/>
        <v>0</v>
      </c>
      <c r="E17" s="22">
        <f t="shared" si="2"/>
        <v>0</v>
      </c>
      <c r="F17" s="22">
        <f t="shared" si="2"/>
        <v>1</v>
      </c>
      <c r="G17" s="22">
        <f t="shared" si="2"/>
        <v>0</v>
      </c>
      <c r="H17" s="22">
        <f t="shared" si="2"/>
        <v>0</v>
      </c>
      <c r="I17" s="22">
        <f t="shared" si="2"/>
        <v>0</v>
      </c>
      <c r="J17" s="22">
        <f t="shared" si="2"/>
        <v>0</v>
      </c>
      <c r="K17" s="22">
        <f t="shared" si="2"/>
        <v>0</v>
      </c>
      <c r="L17" s="22">
        <f t="shared" si="2"/>
        <v>0</v>
      </c>
      <c r="M17" s="22">
        <f t="shared" si="2"/>
        <v>1</v>
      </c>
      <c r="N17" s="22">
        <f t="shared" si="2"/>
        <v>0</v>
      </c>
      <c r="O17" s="22">
        <f t="shared" si="2"/>
        <v>2</v>
      </c>
    </row>
    <row r="18" spans="1:15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5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1:15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5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5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5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5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5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5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5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5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5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5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5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5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7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7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</row>
    <row r="35" spans="1:17" ht="18.75" x14ac:dyDescent="0.3">
      <c r="A35" s="322" t="s">
        <v>88</v>
      </c>
      <c r="B35" s="322"/>
      <c r="C35" s="322"/>
      <c r="D35" s="322"/>
      <c r="E35" s="322"/>
      <c r="F35" s="322"/>
      <c r="G35" s="322"/>
      <c r="H35" s="322"/>
      <c r="I35" s="322"/>
      <c r="J35" s="322"/>
      <c r="K35" s="322"/>
      <c r="L35" s="322"/>
      <c r="M35" s="322"/>
      <c r="N35" s="322"/>
      <c r="O35" s="322"/>
    </row>
    <row r="36" spans="1:17" ht="18.75" x14ac:dyDescent="0.3">
      <c r="A36" s="322" t="s">
        <v>148</v>
      </c>
      <c r="B36" s="322"/>
      <c r="C36" s="322"/>
      <c r="D36" s="322"/>
      <c r="E36" s="322"/>
      <c r="F36" s="322"/>
      <c r="G36" s="322"/>
      <c r="H36" s="322"/>
      <c r="I36" s="322"/>
      <c r="J36" s="322"/>
      <c r="K36" s="322"/>
      <c r="L36" s="322"/>
      <c r="M36" s="322"/>
      <c r="N36" s="322"/>
      <c r="O36" s="322"/>
    </row>
    <row r="37" spans="1:17" ht="18.75" x14ac:dyDescent="0.3">
      <c r="A37" s="234"/>
      <c r="B37" s="234"/>
      <c r="C37" s="234"/>
      <c r="D37" s="234"/>
      <c r="E37" s="234"/>
      <c r="F37" s="234"/>
      <c r="G37" s="234"/>
      <c r="H37" s="234"/>
      <c r="I37" s="234"/>
      <c r="J37" s="234"/>
      <c r="K37" s="234"/>
      <c r="L37" s="234"/>
      <c r="M37" s="234"/>
      <c r="N37" s="234"/>
      <c r="O37" s="234"/>
    </row>
    <row r="38" spans="1:17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7" x14ac:dyDescent="0.25">
      <c r="A39" s="323" t="s">
        <v>2</v>
      </c>
      <c r="B39" s="323" t="s">
        <v>3</v>
      </c>
      <c r="C39" s="325" t="s">
        <v>4</v>
      </c>
      <c r="D39" s="325"/>
      <c r="E39" s="325"/>
      <c r="F39" s="325"/>
      <c r="G39" s="325"/>
      <c r="H39" s="325"/>
      <c r="I39" s="325"/>
      <c r="J39" s="325"/>
      <c r="K39" s="325"/>
      <c r="L39" s="325"/>
      <c r="M39" s="325"/>
      <c r="N39" s="325"/>
      <c r="O39" s="323" t="s">
        <v>5</v>
      </c>
    </row>
    <row r="40" spans="1:17" x14ac:dyDescent="0.25">
      <c r="A40" s="324"/>
      <c r="B40" s="324"/>
      <c r="C40" s="235" t="s">
        <v>6</v>
      </c>
      <c r="D40" s="235" t="s">
        <v>7</v>
      </c>
      <c r="E40" s="235" t="s">
        <v>8</v>
      </c>
      <c r="F40" s="235" t="s">
        <v>9</v>
      </c>
      <c r="G40" s="235" t="s">
        <v>10</v>
      </c>
      <c r="H40" s="235" t="s">
        <v>11</v>
      </c>
      <c r="I40" s="235" t="s">
        <v>12</v>
      </c>
      <c r="J40" s="235" t="s">
        <v>13</v>
      </c>
      <c r="K40" s="235" t="s">
        <v>14</v>
      </c>
      <c r="L40" s="235" t="s">
        <v>15</v>
      </c>
      <c r="M40" s="235" t="s">
        <v>16</v>
      </c>
      <c r="N40" s="235" t="s">
        <v>17</v>
      </c>
      <c r="O40" s="326"/>
    </row>
    <row r="41" spans="1:17" ht="15.75" thickBot="1" x14ac:dyDescent="0.3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</row>
    <row r="42" spans="1:17" ht="18.75" customHeight="1" thickTop="1" x14ac:dyDescent="0.25">
      <c r="A42" s="27">
        <v>1</v>
      </c>
      <c r="B42" s="7" t="s">
        <v>18</v>
      </c>
      <c r="C42" s="28">
        <v>0</v>
      </c>
      <c r="D42" s="28">
        <v>0</v>
      </c>
      <c r="E42" s="28">
        <v>0</v>
      </c>
      <c r="F42" s="28">
        <v>0</v>
      </c>
      <c r="G42" s="28">
        <v>0</v>
      </c>
      <c r="H42" s="28">
        <v>0</v>
      </c>
      <c r="I42" s="28">
        <v>0</v>
      </c>
      <c r="J42" s="28">
        <v>0</v>
      </c>
      <c r="K42" s="28">
        <v>0</v>
      </c>
      <c r="L42" s="28">
        <v>0</v>
      </c>
      <c r="M42" s="28">
        <v>0</v>
      </c>
      <c r="N42" s="28">
        <v>0</v>
      </c>
      <c r="O42" s="29">
        <f t="shared" ref="O42:O49" si="3">SUM(C42:N42)</f>
        <v>0</v>
      </c>
      <c r="Q42" s="104">
        <f>SUM(C42:E42)</f>
        <v>0</v>
      </c>
    </row>
    <row r="43" spans="1:17" ht="18.75" customHeight="1" x14ac:dyDescent="0.25">
      <c r="A43" s="14">
        <v>2</v>
      </c>
      <c r="B43" s="12" t="s">
        <v>19</v>
      </c>
      <c r="C43" s="16">
        <v>0</v>
      </c>
      <c r="D43" s="16">
        <v>1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8">
        <f t="shared" si="3"/>
        <v>1</v>
      </c>
      <c r="Q43" s="104">
        <f t="shared" ref="Q43:Q49" si="4">SUM(C43:E43)</f>
        <v>1</v>
      </c>
    </row>
    <row r="44" spans="1:17" ht="18.75" customHeight="1" x14ac:dyDescent="0.25">
      <c r="A44" s="14">
        <v>3</v>
      </c>
      <c r="B44" s="7" t="s">
        <v>20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8">
        <f t="shared" si="3"/>
        <v>0</v>
      </c>
      <c r="Q44" s="104">
        <f t="shared" si="4"/>
        <v>0</v>
      </c>
    </row>
    <row r="45" spans="1:17" ht="18.75" customHeight="1" x14ac:dyDescent="0.25">
      <c r="A45" s="14">
        <v>4</v>
      </c>
      <c r="B45" s="15" t="s">
        <v>21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8">
        <f t="shared" si="3"/>
        <v>0</v>
      </c>
      <c r="Q45" s="104">
        <f t="shared" si="4"/>
        <v>0</v>
      </c>
    </row>
    <row r="46" spans="1:17" ht="18.75" customHeight="1" x14ac:dyDescent="0.25">
      <c r="A46" s="14">
        <v>5</v>
      </c>
      <c r="B46" s="19" t="s">
        <v>22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8">
        <f t="shared" si="3"/>
        <v>0</v>
      </c>
      <c r="Q46" s="104">
        <f t="shared" si="4"/>
        <v>0</v>
      </c>
    </row>
    <row r="47" spans="1:17" ht="18.75" customHeight="1" x14ac:dyDescent="0.25">
      <c r="A47" s="14">
        <v>6</v>
      </c>
      <c r="B47" s="19" t="s">
        <v>23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8">
        <f t="shared" si="3"/>
        <v>0</v>
      </c>
      <c r="Q47" s="104">
        <f t="shared" si="4"/>
        <v>0</v>
      </c>
    </row>
    <row r="48" spans="1:17" ht="18.75" customHeight="1" x14ac:dyDescent="0.25">
      <c r="A48" s="14">
        <v>7</v>
      </c>
      <c r="B48" s="19" t="s">
        <v>24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8">
        <f t="shared" si="3"/>
        <v>0</v>
      </c>
      <c r="Q48" s="104">
        <f t="shared" si="4"/>
        <v>0</v>
      </c>
    </row>
    <row r="49" spans="1:17" ht="18.75" customHeight="1" thickBot="1" x14ac:dyDescent="0.3">
      <c r="A49" s="20">
        <v>8</v>
      </c>
      <c r="B49" s="15" t="s">
        <v>25</v>
      </c>
      <c r="C49" s="99">
        <v>0</v>
      </c>
      <c r="D49" s="17">
        <v>0</v>
      </c>
      <c r="E49" s="99">
        <v>0</v>
      </c>
      <c r="F49" s="99">
        <v>0</v>
      </c>
      <c r="G49" s="99">
        <v>0</v>
      </c>
      <c r="H49" s="99">
        <v>0</v>
      </c>
      <c r="I49" s="99">
        <v>0</v>
      </c>
      <c r="J49" s="99">
        <v>0</v>
      </c>
      <c r="K49" s="17">
        <v>0</v>
      </c>
      <c r="L49" s="17">
        <v>0</v>
      </c>
      <c r="M49" s="17">
        <v>0</v>
      </c>
      <c r="N49" s="17">
        <v>0</v>
      </c>
      <c r="O49" s="21">
        <f t="shared" si="3"/>
        <v>0</v>
      </c>
      <c r="P49" s="107">
        <v>15</v>
      </c>
      <c r="Q49" s="104">
        <f t="shared" si="4"/>
        <v>0</v>
      </c>
    </row>
    <row r="50" spans="1:17" ht="18.75" customHeight="1" thickTop="1" x14ac:dyDescent="0.25">
      <c r="A50" s="320" t="s">
        <v>26</v>
      </c>
      <c r="B50" s="321"/>
      <c r="C50" s="22">
        <f>SUM(C42:C49)</f>
        <v>0</v>
      </c>
      <c r="D50" s="22">
        <f t="shared" ref="D50:M50" si="5">SUM(D42:D49)</f>
        <v>1</v>
      </c>
      <c r="E50" s="22">
        <f t="shared" si="5"/>
        <v>0</v>
      </c>
      <c r="F50" s="22">
        <f t="shared" si="5"/>
        <v>0</v>
      </c>
      <c r="G50" s="22">
        <f t="shared" si="5"/>
        <v>0</v>
      </c>
      <c r="H50" s="22">
        <f t="shared" si="5"/>
        <v>0</v>
      </c>
      <c r="I50" s="22">
        <f t="shared" si="5"/>
        <v>0</v>
      </c>
      <c r="J50" s="22">
        <f t="shared" si="5"/>
        <v>0</v>
      </c>
      <c r="K50" s="22">
        <f t="shared" si="5"/>
        <v>0</v>
      </c>
      <c r="L50" s="22">
        <f t="shared" si="5"/>
        <v>0</v>
      </c>
      <c r="M50" s="22">
        <f t="shared" si="5"/>
        <v>0</v>
      </c>
      <c r="N50" s="22">
        <f t="shared" ref="N50" si="6">SUM(N42:N49)</f>
        <v>0</v>
      </c>
      <c r="O50" s="22">
        <f>SUM(O42:O49)</f>
        <v>1</v>
      </c>
      <c r="P50" s="106">
        <f>SUM(P42:P49)</f>
        <v>15</v>
      </c>
    </row>
    <row r="51" spans="1:17" x14ac:dyDescent="0.25">
      <c r="A51" s="236"/>
      <c r="B51" s="236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pans="1:17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7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7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spans="1:17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7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7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7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7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7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7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7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7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7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7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7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7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7" ht="18.75" x14ac:dyDescent="0.3">
      <c r="A68" s="322" t="s">
        <v>89</v>
      </c>
      <c r="B68" s="322"/>
      <c r="C68" s="322"/>
      <c r="D68" s="322"/>
      <c r="E68" s="322"/>
      <c r="F68" s="322"/>
      <c r="G68" s="322"/>
      <c r="H68" s="322"/>
      <c r="I68" s="322"/>
      <c r="J68" s="322"/>
      <c r="K68" s="322"/>
      <c r="L68" s="322"/>
      <c r="M68" s="322"/>
      <c r="N68" s="322"/>
      <c r="O68" s="322"/>
    </row>
    <row r="69" spans="1:17" ht="18.75" x14ac:dyDescent="0.3">
      <c r="A69" s="322" t="s">
        <v>148</v>
      </c>
      <c r="B69" s="322"/>
      <c r="C69" s="322"/>
      <c r="D69" s="322"/>
      <c r="E69" s="322"/>
      <c r="F69" s="322"/>
      <c r="G69" s="322"/>
      <c r="H69" s="322"/>
      <c r="I69" s="322"/>
      <c r="J69" s="322"/>
      <c r="K69" s="322"/>
      <c r="L69" s="322"/>
      <c r="M69" s="322"/>
      <c r="N69" s="322"/>
      <c r="O69" s="322"/>
    </row>
    <row r="70" spans="1:17" ht="18.75" x14ac:dyDescent="0.3">
      <c r="A70" s="234"/>
      <c r="B70" s="234"/>
      <c r="C70" s="234"/>
      <c r="D70" s="234"/>
      <c r="E70" s="234"/>
      <c r="F70" s="234"/>
      <c r="G70" s="234"/>
      <c r="H70" s="234"/>
      <c r="I70" s="234"/>
      <c r="J70" s="234"/>
      <c r="K70" s="234"/>
      <c r="L70" s="234"/>
      <c r="M70" s="234"/>
      <c r="N70" s="234"/>
      <c r="O70" s="234"/>
    </row>
    <row r="71" spans="1:17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7" x14ac:dyDescent="0.25">
      <c r="A72" s="323" t="s">
        <v>2</v>
      </c>
      <c r="B72" s="323" t="s">
        <v>3</v>
      </c>
      <c r="C72" s="325" t="s">
        <v>4</v>
      </c>
      <c r="D72" s="325"/>
      <c r="E72" s="325"/>
      <c r="F72" s="325"/>
      <c r="G72" s="325"/>
      <c r="H72" s="325"/>
      <c r="I72" s="325"/>
      <c r="J72" s="325"/>
      <c r="K72" s="325"/>
      <c r="L72" s="325"/>
      <c r="M72" s="325"/>
      <c r="N72" s="325"/>
      <c r="O72" s="323" t="s">
        <v>5</v>
      </c>
    </row>
    <row r="73" spans="1:17" x14ac:dyDescent="0.25">
      <c r="A73" s="324"/>
      <c r="B73" s="324"/>
      <c r="C73" s="235" t="s">
        <v>6</v>
      </c>
      <c r="D73" s="235" t="s">
        <v>7</v>
      </c>
      <c r="E73" s="235" t="s">
        <v>8</v>
      </c>
      <c r="F73" s="235" t="s">
        <v>9</v>
      </c>
      <c r="G73" s="235" t="s">
        <v>10</v>
      </c>
      <c r="H73" s="235" t="s">
        <v>11</v>
      </c>
      <c r="I73" s="235" t="s">
        <v>12</v>
      </c>
      <c r="J73" s="235" t="s">
        <v>13</v>
      </c>
      <c r="K73" s="235" t="s">
        <v>14</v>
      </c>
      <c r="L73" s="235" t="s">
        <v>15</v>
      </c>
      <c r="M73" s="235" t="s">
        <v>16</v>
      </c>
      <c r="N73" s="235" t="s">
        <v>17</v>
      </c>
      <c r="O73" s="326"/>
      <c r="Q73" s="103"/>
    </row>
    <row r="74" spans="1:17" ht="15.75" thickBot="1" x14ac:dyDescent="0.3">
      <c r="A74" s="26">
        <v>1</v>
      </c>
      <c r="B74" s="26">
        <v>2</v>
      </c>
      <c r="C74" s="26">
        <v>3</v>
      </c>
      <c r="D74" s="26">
        <v>4</v>
      </c>
      <c r="E74" s="26">
        <v>5</v>
      </c>
      <c r="F74" s="26">
        <v>6</v>
      </c>
      <c r="G74" s="26">
        <v>7</v>
      </c>
      <c r="H74" s="26">
        <v>8</v>
      </c>
      <c r="I74" s="26">
        <v>9</v>
      </c>
      <c r="J74" s="26">
        <v>10</v>
      </c>
      <c r="K74" s="26">
        <v>11</v>
      </c>
      <c r="L74" s="26">
        <v>12</v>
      </c>
      <c r="M74" s="26">
        <v>13</v>
      </c>
      <c r="N74" s="26">
        <v>14</v>
      </c>
      <c r="O74" s="26">
        <v>15</v>
      </c>
    </row>
    <row r="75" spans="1:17" ht="18.75" customHeight="1" thickTop="1" x14ac:dyDescent="0.25">
      <c r="A75" s="27">
        <v>1</v>
      </c>
      <c r="B75" s="7" t="s">
        <v>18</v>
      </c>
      <c r="C75" s="28">
        <v>0</v>
      </c>
      <c r="D75" s="28">
        <v>0</v>
      </c>
      <c r="E75" s="28">
        <v>0</v>
      </c>
      <c r="F75" s="28">
        <v>0</v>
      </c>
      <c r="G75" s="28">
        <v>0</v>
      </c>
      <c r="H75" s="28">
        <v>0</v>
      </c>
      <c r="I75" s="28">
        <v>0</v>
      </c>
      <c r="J75" s="28">
        <v>0</v>
      </c>
      <c r="K75" s="28">
        <v>0</v>
      </c>
      <c r="L75" s="28">
        <v>0</v>
      </c>
      <c r="M75" s="28">
        <v>0</v>
      </c>
      <c r="N75" s="28">
        <v>0</v>
      </c>
      <c r="O75" s="29">
        <f>SUM(C75:N75)</f>
        <v>0</v>
      </c>
      <c r="Q75" s="104">
        <f>SUM(C75:E75)</f>
        <v>0</v>
      </c>
    </row>
    <row r="76" spans="1:17" ht="18.75" customHeight="1" x14ac:dyDescent="0.25">
      <c r="A76" s="14">
        <v>2</v>
      </c>
      <c r="B76" s="12" t="s">
        <v>19</v>
      </c>
      <c r="C76" s="16">
        <v>0</v>
      </c>
      <c r="D76" s="158">
        <v>9.8000000000000007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265">
        <f t="shared" ref="O76:O82" si="7">SUM(C76:N76)</f>
        <v>9.8000000000000007</v>
      </c>
      <c r="Q76" s="104">
        <f t="shared" ref="Q76:Q82" si="8">SUM(C76:E76)</f>
        <v>9.8000000000000007</v>
      </c>
    </row>
    <row r="77" spans="1:17" ht="18.75" customHeight="1" x14ac:dyDescent="0.25">
      <c r="A77" s="14">
        <v>3</v>
      </c>
      <c r="B77" s="7" t="s">
        <v>20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265">
        <f t="shared" si="7"/>
        <v>0</v>
      </c>
      <c r="Q77" s="104">
        <f t="shared" si="8"/>
        <v>0</v>
      </c>
    </row>
    <row r="78" spans="1:17" ht="18.75" customHeight="1" x14ac:dyDescent="0.25">
      <c r="A78" s="14">
        <v>4</v>
      </c>
      <c r="B78" s="15" t="s">
        <v>21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265">
        <f t="shared" si="7"/>
        <v>0</v>
      </c>
      <c r="Q78" s="104">
        <f t="shared" si="8"/>
        <v>0</v>
      </c>
    </row>
    <row r="79" spans="1:17" ht="18.75" customHeight="1" x14ac:dyDescent="0.25">
      <c r="A79" s="14">
        <v>5</v>
      </c>
      <c r="B79" s="19" t="s">
        <v>22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265">
        <f t="shared" si="7"/>
        <v>0</v>
      </c>
      <c r="Q79" s="104">
        <f t="shared" si="8"/>
        <v>0</v>
      </c>
    </row>
    <row r="80" spans="1:17" ht="18.75" customHeight="1" x14ac:dyDescent="0.25">
      <c r="A80" s="14">
        <v>6</v>
      </c>
      <c r="B80" s="19" t="s">
        <v>23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265">
        <f t="shared" si="7"/>
        <v>0</v>
      </c>
      <c r="Q80" s="104">
        <f t="shared" si="8"/>
        <v>0</v>
      </c>
    </row>
    <row r="81" spans="1:17" ht="18.75" customHeight="1" x14ac:dyDescent="0.25">
      <c r="A81" s="14">
        <v>7</v>
      </c>
      <c r="B81" s="19" t="s">
        <v>24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265">
        <f t="shared" si="7"/>
        <v>0</v>
      </c>
      <c r="Q81" s="104">
        <f t="shared" si="8"/>
        <v>0</v>
      </c>
    </row>
    <row r="82" spans="1:17" ht="18.75" customHeight="1" thickBot="1" x14ac:dyDescent="0.3">
      <c r="A82" s="20">
        <v>8</v>
      </c>
      <c r="B82" s="15" t="s">
        <v>25</v>
      </c>
      <c r="C82" s="17">
        <v>0</v>
      </c>
      <c r="D82" s="17">
        <v>0</v>
      </c>
      <c r="E82" s="17">
        <v>0</v>
      </c>
      <c r="F82" s="99">
        <v>0</v>
      </c>
      <c r="G82" s="99">
        <v>0</v>
      </c>
      <c r="H82" s="99">
        <v>0</v>
      </c>
      <c r="I82" s="99">
        <v>0</v>
      </c>
      <c r="J82" s="99">
        <v>0</v>
      </c>
      <c r="K82" s="17">
        <v>0</v>
      </c>
      <c r="L82" s="17">
        <v>0</v>
      </c>
      <c r="M82" s="17">
        <v>0</v>
      </c>
      <c r="N82" s="17">
        <v>0</v>
      </c>
      <c r="O82" s="266">
        <f t="shared" si="7"/>
        <v>0</v>
      </c>
      <c r="Q82" s="104">
        <f t="shared" si="8"/>
        <v>0</v>
      </c>
    </row>
    <row r="83" spans="1:17" ht="18.75" customHeight="1" thickTop="1" x14ac:dyDescent="0.25">
      <c r="A83" s="320" t="s">
        <v>26</v>
      </c>
      <c r="B83" s="321"/>
      <c r="C83" s="22">
        <f t="shared" ref="C83:O83" si="9">SUM(C75:C82)</f>
        <v>0</v>
      </c>
      <c r="D83" s="159">
        <f t="shared" si="9"/>
        <v>9.8000000000000007</v>
      </c>
      <c r="E83" s="22">
        <f t="shared" si="9"/>
        <v>0</v>
      </c>
      <c r="F83" s="159">
        <f t="shared" si="9"/>
        <v>0</v>
      </c>
      <c r="G83" s="22">
        <f t="shared" si="9"/>
        <v>0</v>
      </c>
      <c r="H83" s="22">
        <f t="shared" si="9"/>
        <v>0</v>
      </c>
      <c r="I83" s="22">
        <f t="shared" si="9"/>
        <v>0</v>
      </c>
      <c r="J83" s="22">
        <f t="shared" si="9"/>
        <v>0</v>
      </c>
      <c r="K83" s="22">
        <f t="shared" si="9"/>
        <v>0</v>
      </c>
      <c r="L83" s="22">
        <f t="shared" si="9"/>
        <v>0</v>
      </c>
      <c r="M83" s="159">
        <f t="shared" si="9"/>
        <v>0</v>
      </c>
      <c r="N83" s="159">
        <f t="shared" si="9"/>
        <v>0</v>
      </c>
      <c r="O83" s="70">
        <f t="shared" si="9"/>
        <v>9.8000000000000007</v>
      </c>
    </row>
    <row r="84" spans="1:17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7" x14ac:dyDescent="0.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</row>
    <row r="86" spans="1:17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spans="1:17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</row>
    <row r="88" spans="1:17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17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1:17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1:17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1:17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1:17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</row>
    <row r="94" spans="1:17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7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7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1:15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5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5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5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5" ht="18.75" x14ac:dyDescent="0.3">
      <c r="A101" s="322" t="s">
        <v>90</v>
      </c>
      <c r="B101" s="322"/>
      <c r="C101" s="322"/>
      <c r="D101" s="322"/>
      <c r="E101" s="322"/>
      <c r="F101" s="322"/>
      <c r="G101" s="322"/>
      <c r="H101" s="322"/>
      <c r="I101" s="322"/>
      <c r="J101" s="322"/>
      <c r="K101" s="322"/>
      <c r="L101" s="322"/>
      <c r="M101" s="322"/>
      <c r="N101" s="322"/>
      <c r="O101" s="322"/>
    </row>
    <row r="102" spans="1:15" ht="18.75" x14ac:dyDescent="0.3">
      <c r="A102" s="322" t="s">
        <v>148</v>
      </c>
      <c r="B102" s="322"/>
      <c r="C102" s="322"/>
      <c r="D102" s="322"/>
      <c r="E102" s="322"/>
      <c r="F102" s="322"/>
      <c r="G102" s="322"/>
      <c r="H102" s="322"/>
      <c r="I102" s="322"/>
      <c r="J102" s="322"/>
      <c r="K102" s="322"/>
      <c r="L102" s="322"/>
      <c r="M102" s="322"/>
      <c r="N102" s="322"/>
      <c r="O102" s="322"/>
    </row>
    <row r="103" spans="1:15" ht="18.75" x14ac:dyDescent="0.3">
      <c r="A103" s="234"/>
      <c r="B103" s="234"/>
      <c r="C103" s="234"/>
      <c r="D103" s="234"/>
      <c r="E103" s="234"/>
      <c r="F103" s="234"/>
      <c r="G103" s="234"/>
      <c r="H103" s="234"/>
      <c r="I103" s="234"/>
      <c r="J103" s="234"/>
      <c r="K103" s="234"/>
      <c r="L103" s="234"/>
      <c r="M103" s="234"/>
      <c r="N103" s="234"/>
      <c r="O103" s="234"/>
    </row>
    <row r="104" spans="1:1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5" x14ac:dyDescent="0.25">
      <c r="A105" s="323" t="s">
        <v>2</v>
      </c>
      <c r="B105" s="323" t="s">
        <v>3</v>
      </c>
      <c r="C105" s="325" t="s">
        <v>4</v>
      </c>
      <c r="D105" s="325"/>
      <c r="E105" s="325"/>
      <c r="F105" s="325"/>
      <c r="G105" s="325"/>
      <c r="H105" s="325"/>
      <c r="I105" s="325"/>
      <c r="J105" s="325"/>
      <c r="K105" s="325"/>
      <c r="L105" s="325"/>
      <c r="M105" s="325"/>
      <c r="N105" s="325"/>
      <c r="O105" s="323" t="s">
        <v>5</v>
      </c>
    </row>
    <row r="106" spans="1:15" x14ac:dyDescent="0.25">
      <c r="A106" s="324"/>
      <c r="B106" s="324"/>
      <c r="C106" s="235" t="s">
        <v>6</v>
      </c>
      <c r="D106" s="235" t="s">
        <v>7</v>
      </c>
      <c r="E106" s="235" t="s">
        <v>8</v>
      </c>
      <c r="F106" s="235" t="s">
        <v>9</v>
      </c>
      <c r="G106" s="235" t="s">
        <v>10</v>
      </c>
      <c r="H106" s="235" t="s">
        <v>11</v>
      </c>
      <c r="I106" s="235" t="s">
        <v>12</v>
      </c>
      <c r="J106" s="235" t="s">
        <v>13</v>
      </c>
      <c r="K106" s="235" t="s">
        <v>14</v>
      </c>
      <c r="L106" s="235" t="s">
        <v>15</v>
      </c>
      <c r="M106" s="235" t="s">
        <v>16</v>
      </c>
      <c r="N106" s="235" t="s">
        <v>17</v>
      </c>
      <c r="O106" s="326"/>
    </row>
    <row r="107" spans="1:15" ht="15.75" thickBot="1" x14ac:dyDescent="0.3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</row>
    <row r="108" spans="1:15" ht="18.75" customHeight="1" thickTop="1" x14ac:dyDescent="0.25">
      <c r="A108" s="27">
        <v>1</v>
      </c>
      <c r="B108" s="7" t="s">
        <v>18</v>
      </c>
      <c r="C108" s="32">
        <v>0</v>
      </c>
      <c r="D108" s="28">
        <v>0</v>
      </c>
      <c r="E108" s="28">
        <v>0</v>
      </c>
      <c r="F108" s="28">
        <v>0</v>
      </c>
      <c r="G108" s="28">
        <v>0</v>
      </c>
      <c r="H108" s="28">
        <v>0</v>
      </c>
      <c r="I108" s="28">
        <v>0</v>
      </c>
      <c r="J108" s="28">
        <v>0</v>
      </c>
      <c r="K108" s="28">
        <v>0</v>
      </c>
      <c r="L108" s="28">
        <v>0</v>
      </c>
      <c r="M108" s="28">
        <v>0</v>
      </c>
      <c r="N108" s="28">
        <v>0</v>
      </c>
      <c r="O108" s="33">
        <v>0</v>
      </c>
    </row>
    <row r="109" spans="1:15" ht="18.75" customHeight="1" x14ac:dyDescent="0.25">
      <c r="A109" s="14">
        <v>2</v>
      </c>
      <c r="B109" s="12" t="s">
        <v>19</v>
      </c>
      <c r="C109" s="34">
        <v>0</v>
      </c>
      <c r="D109" s="34">
        <v>98.02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35">
        <f>SUM(C109:N109)</f>
        <v>98.02</v>
      </c>
    </row>
    <row r="110" spans="1:15" ht="18.75" customHeight="1" x14ac:dyDescent="0.25">
      <c r="A110" s="14">
        <v>3</v>
      </c>
      <c r="B110" s="7" t="s">
        <v>20</v>
      </c>
      <c r="C110" s="34">
        <v>0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35">
        <f t="shared" ref="O110:O114" si="10">SUM(C110:N110)</f>
        <v>0</v>
      </c>
    </row>
    <row r="111" spans="1:15" ht="18.75" customHeight="1" x14ac:dyDescent="0.25">
      <c r="A111" s="14">
        <v>4</v>
      </c>
      <c r="B111" s="15" t="s">
        <v>21</v>
      </c>
      <c r="C111" s="34">
        <v>0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35">
        <f t="shared" si="10"/>
        <v>0</v>
      </c>
    </row>
    <row r="112" spans="1:15" ht="18.75" customHeight="1" x14ac:dyDescent="0.25">
      <c r="A112" s="14">
        <v>5</v>
      </c>
      <c r="B112" s="19" t="s">
        <v>22</v>
      </c>
      <c r="C112" s="34">
        <v>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35">
        <f t="shared" si="10"/>
        <v>0</v>
      </c>
    </row>
    <row r="113" spans="1:16" ht="18.75" customHeight="1" x14ac:dyDescent="0.25">
      <c r="A113" s="14">
        <v>6</v>
      </c>
      <c r="B113" s="19" t="s">
        <v>23</v>
      </c>
      <c r="C113" s="34">
        <v>0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35">
        <f t="shared" si="10"/>
        <v>0</v>
      </c>
    </row>
    <row r="114" spans="1:16" ht="18.75" customHeight="1" x14ac:dyDescent="0.25">
      <c r="A114" s="14">
        <v>7</v>
      </c>
      <c r="B114" s="19" t="s">
        <v>24</v>
      </c>
      <c r="C114" s="34">
        <v>0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35">
        <f t="shared" si="10"/>
        <v>0</v>
      </c>
    </row>
    <row r="115" spans="1:16" ht="18.75" customHeight="1" thickBot="1" x14ac:dyDescent="0.3">
      <c r="A115" s="20">
        <v>8</v>
      </c>
      <c r="B115" s="15" t="s">
        <v>25</v>
      </c>
      <c r="C115" s="36">
        <v>0</v>
      </c>
      <c r="D115" s="17">
        <v>0</v>
      </c>
      <c r="E115" s="17">
        <v>0</v>
      </c>
      <c r="F115" s="99">
        <v>0</v>
      </c>
      <c r="G115" s="99">
        <v>0</v>
      </c>
      <c r="H115" s="99">
        <v>0</v>
      </c>
      <c r="I115" s="99">
        <v>0</v>
      </c>
      <c r="J115" s="99">
        <v>0</v>
      </c>
      <c r="K115" s="17">
        <v>0</v>
      </c>
      <c r="L115" s="17">
        <v>0</v>
      </c>
      <c r="M115" s="17">
        <v>0</v>
      </c>
      <c r="N115" s="17">
        <v>0</v>
      </c>
      <c r="O115" s="35">
        <f>SUM(C115:N115)</f>
        <v>0</v>
      </c>
    </row>
    <row r="116" spans="1:16" ht="18.75" customHeight="1" thickTop="1" x14ac:dyDescent="0.25">
      <c r="A116" s="320" t="s">
        <v>26</v>
      </c>
      <c r="B116" s="321"/>
      <c r="C116" s="38">
        <v>0</v>
      </c>
      <c r="D116" s="38">
        <f>SUM(D108:D115)</f>
        <v>98.02</v>
      </c>
      <c r="E116" s="38">
        <f t="shared" ref="E116:N116" si="11">SUM(E108:E115)</f>
        <v>0</v>
      </c>
      <c r="F116" s="38">
        <f t="shared" si="11"/>
        <v>0</v>
      </c>
      <c r="G116" s="38">
        <f t="shared" si="11"/>
        <v>0</v>
      </c>
      <c r="H116" s="38">
        <f t="shared" si="11"/>
        <v>0</v>
      </c>
      <c r="I116" s="38">
        <f t="shared" si="11"/>
        <v>0</v>
      </c>
      <c r="J116" s="38">
        <f t="shared" si="11"/>
        <v>0</v>
      </c>
      <c r="K116" s="38">
        <f t="shared" si="11"/>
        <v>0</v>
      </c>
      <c r="L116" s="38">
        <f t="shared" si="11"/>
        <v>0</v>
      </c>
      <c r="M116" s="38">
        <f t="shared" si="11"/>
        <v>0</v>
      </c>
      <c r="N116" s="38">
        <f t="shared" si="11"/>
        <v>0</v>
      </c>
      <c r="O116" s="38">
        <f>SUM(O108:O115)</f>
        <v>98.02</v>
      </c>
      <c r="P116" s="71"/>
    </row>
    <row r="117" spans="1:16" x14ac:dyDescent="0.2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</row>
    <row r="119" spans="1:16" x14ac:dyDescent="0.25">
      <c r="L119" s="41" t="s">
        <v>146</v>
      </c>
    </row>
    <row r="120" spans="1:16" x14ac:dyDescent="0.25">
      <c r="L120" s="41" t="s">
        <v>95</v>
      </c>
    </row>
    <row r="121" spans="1:16" x14ac:dyDescent="0.25">
      <c r="L121" s="41" t="s">
        <v>84</v>
      </c>
    </row>
    <row r="122" spans="1:16" x14ac:dyDescent="0.25">
      <c r="L122" s="41"/>
    </row>
    <row r="123" spans="1:16" x14ac:dyDescent="0.25">
      <c r="L123" s="41"/>
    </row>
    <row r="124" spans="1:16" x14ac:dyDescent="0.25">
      <c r="L124" s="41"/>
    </row>
    <row r="125" spans="1:16" x14ac:dyDescent="0.25">
      <c r="L125" s="299" t="s">
        <v>147</v>
      </c>
    </row>
    <row r="126" spans="1:16" x14ac:dyDescent="0.25">
      <c r="L126" s="41" t="s">
        <v>97</v>
      </c>
    </row>
  </sheetData>
  <mergeCells count="28">
    <mergeCell ref="A116:B116"/>
    <mergeCell ref="A83:B83"/>
    <mergeCell ref="A101:O101"/>
    <mergeCell ref="A102:O102"/>
    <mergeCell ref="A105:A106"/>
    <mergeCell ref="B105:B106"/>
    <mergeCell ref="C105:N105"/>
    <mergeCell ref="O105:O106"/>
    <mergeCell ref="A50:B50"/>
    <mergeCell ref="A68:O68"/>
    <mergeCell ref="A69:O69"/>
    <mergeCell ref="A72:A73"/>
    <mergeCell ref="B72:B73"/>
    <mergeCell ref="C72:N72"/>
    <mergeCell ref="O72:O73"/>
    <mergeCell ref="A17:B17"/>
    <mergeCell ref="A35:O35"/>
    <mergeCell ref="A36:O36"/>
    <mergeCell ref="A39:A40"/>
    <mergeCell ref="B39:B40"/>
    <mergeCell ref="C39:N39"/>
    <mergeCell ref="O39:O40"/>
    <mergeCell ref="A2:O2"/>
    <mergeCell ref="A3:O3"/>
    <mergeCell ref="A6:A7"/>
    <mergeCell ref="B6:B7"/>
    <mergeCell ref="C6:N6"/>
    <mergeCell ref="O6:O7"/>
  </mergeCells>
  <pageMargins left="1.5748031496062993" right="0.39370078740157483" top="0.94488188976377963" bottom="0.74803149606299213" header="0.31496062992125984" footer="0.31496062992125984"/>
  <pageSetup paperSize="9" scale="90" orientation="landscape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Q125"/>
  <sheetViews>
    <sheetView zoomScale="90" zoomScaleNormal="90" workbookViewId="0">
      <selection activeCell="A102" activeCellId="3" sqref="A3:O3 A36:O36 A69:O69 A102:O102"/>
    </sheetView>
  </sheetViews>
  <sheetFormatPr defaultRowHeight="15" x14ac:dyDescent="0.25"/>
  <cols>
    <col min="1" max="1" width="4" customWidth="1"/>
    <col min="2" max="2" width="14.42578125" customWidth="1"/>
    <col min="3" max="15" width="8.5703125" customWidth="1"/>
  </cols>
  <sheetData>
    <row r="2" spans="1:17" ht="18.75" x14ac:dyDescent="0.3">
      <c r="A2" s="322" t="s">
        <v>91</v>
      </c>
      <c r="B2" s="322"/>
      <c r="C2" s="322"/>
      <c r="D2" s="322"/>
      <c r="E2" s="322"/>
      <c r="F2" s="322"/>
      <c r="G2" s="322"/>
      <c r="H2" s="322"/>
      <c r="I2" s="322"/>
      <c r="J2" s="322"/>
      <c r="K2" s="322"/>
      <c r="L2" s="322"/>
      <c r="M2" s="322"/>
      <c r="N2" s="322"/>
      <c r="O2" s="322"/>
    </row>
    <row r="3" spans="1:17" ht="18.75" x14ac:dyDescent="0.3">
      <c r="A3" s="322" t="s">
        <v>148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  <c r="M3" s="322"/>
      <c r="N3" s="322"/>
      <c r="O3" s="322"/>
    </row>
    <row r="4" spans="1:17" ht="18.75" x14ac:dyDescent="0.3">
      <c r="A4" s="246"/>
      <c r="B4" s="246"/>
      <c r="C4" s="246"/>
      <c r="D4" s="246"/>
      <c r="E4" s="246"/>
      <c r="F4" s="246"/>
      <c r="G4" s="246"/>
      <c r="H4" s="246"/>
      <c r="I4" s="246"/>
      <c r="J4" s="246"/>
      <c r="K4" s="246"/>
      <c r="L4" s="246"/>
      <c r="M4" s="246"/>
      <c r="N4" s="246"/>
      <c r="O4" s="246"/>
    </row>
    <row r="5" spans="1:1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7" x14ac:dyDescent="0.25">
      <c r="A6" s="323" t="s">
        <v>2</v>
      </c>
      <c r="B6" s="323" t="s">
        <v>3</v>
      </c>
      <c r="C6" s="332" t="s">
        <v>4</v>
      </c>
      <c r="D6" s="332"/>
      <c r="E6" s="332"/>
      <c r="F6" s="332"/>
      <c r="G6" s="332"/>
      <c r="H6" s="332"/>
      <c r="I6" s="332"/>
      <c r="J6" s="332"/>
      <c r="K6" s="332"/>
      <c r="L6" s="332"/>
      <c r="M6" s="332"/>
      <c r="N6" s="332"/>
      <c r="O6" s="323" t="s">
        <v>5</v>
      </c>
    </row>
    <row r="7" spans="1:17" x14ac:dyDescent="0.25">
      <c r="A7" s="324"/>
      <c r="B7" s="324"/>
      <c r="C7" s="247" t="s">
        <v>6</v>
      </c>
      <c r="D7" s="247" t="s">
        <v>7</v>
      </c>
      <c r="E7" s="247" t="s">
        <v>8</v>
      </c>
      <c r="F7" s="247" t="s">
        <v>9</v>
      </c>
      <c r="G7" s="247" t="s">
        <v>10</v>
      </c>
      <c r="H7" s="247" t="s">
        <v>11</v>
      </c>
      <c r="I7" s="247" t="s">
        <v>12</v>
      </c>
      <c r="J7" s="247" t="s">
        <v>13</v>
      </c>
      <c r="K7" s="247" t="s">
        <v>14</v>
      </c>
      <c r="L7" s="247" t="s">
        <v>15</v>
      </c>
      <c r="M7" s="247" t="s">
        <v>16</v>
      </c>
      <c r="N7" s="247" t="s">
        <v>17</v>
      </c>
      <c r="O7" s="326"/>
    </row>
    <row r="8" spans="1:17" ht="15.75" thickBot="1" x14ac:dyDescent="0.3">
      <c r="A8" s="26">
        <v>1</v>
      </c>
      <c r="B8" s="26">
        <v>2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  <c r="Q8" t="s">
        <v>85</v>
      </c>
    </row>
    <row r="9" spans="1:17" ht="18.75" customHeight="1" thickTop="1" x14ac:dyDescent="0.25">
      <c r="A9" s="27">
        <v>1</v>
      </c>
      <c r="B9" s="7" t="s">
        <v>18</v>
      </c>
      <c r="C9" s="28">
        <v>0</v>
      </c>
      <c r="D9" s="28">
        <v>0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8">
        <v>0</v>
      </c>
      <c r="O9" s="29">
        <f>SUM(C9:N9)</f>
        <v>0</v>
      </c>
      <c r="Q9" s="104">
        <f>SUM(L9:M9)</f>
        <v>0</v>
      </c>
    </row>
    <row r="10" spans="1:17" ht="18.75" customHeight="1" x14ac:dyDescent="0.25">
      <c r="A10" s="14">
        <v>2</v>
      </c>
      <c r="B10" s="12" t="s">
        <v>19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8">
        <f t="shared" ref="O10:O16" si="0">SUM(C10:N10)</f>
        <v>0</v>
      </c>
      <c r="Q10" s="104">
        <f t="shared" ref="Q10:Q16" si="1">SUM(L10:M10)</f>
        <v>0</v>
      </c>
    </row>
    <row r="11" spans="1:17" ht="18.75" customHeight="1" x14ac:dyDescent="0.25">
      <c r="A11" s="14">
        <v>3</v>
      </c>
      <c r="B11" s="7" t="s">
        <v>20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8">
        <f t="shared" si="0"/>
        <v>0</v>
      </c>
      <c r="Q11" s="104">
        <f t="shared" si="1"/>
        <v>0</v>
      </c>
    </row>
    <row r="12" spans="1:17" ht="18.75" customHeight="1" x14ac:dyDescent="0.25">
      <c r="A12" s="14">
        <v>4</v>
      </c>
      <c r="B12" s="15" t="s">
        <v>21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8">
        <f t="shared" si="0"/>
        <v>0</v>
      </c>
      <c r="Q12" s="104">
        <f t="shared" si="1"/>
        <v>0</v>
      </c>
    </row>
    <row r="13" spans="1:17" ht="18.75" customHeight="1" x14ac:dyDescent="0.25">
      <c r="A13" s="14">
        <v>5</v>
      </c>
      <c r="B13" s="19" t="s">
        <v>22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8">
        <f t="shared" si="0"/>
        <v>0</v>
      </c>
      <c r="Q13" s="104">
        <f t="shared" si="1"/>
        <v>0</v>
      </c>
    </row>
    <row r="14" spans="1:17" ht="18.75" customHeight="1" x14ac:dyDescent="0.25">
      <c r="A14" s="14">
        <v>6</v>
      </c>
      <c r="B14" s="19" t="s">
        <v>23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8">
        <f t="shared" si="0"/>
        <v>0</v>
      </c>
      <c r="Q14" s="104">
        <f t="shared" si="1"/>
        <v>0</v>
      </c>
    </row>
    <row r="15" spans="1:17" ht="18.75" customHeight="1" x14ac:dyDescent="0.25">
      <c r="A15" s="14">
        <v>7</v>
      </c>
      <c r="B15" s="19" t="s">
        <v>24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8">
        <f t="shared" si="0"/>
        <v>0</v>
      </c>
      <c r="Q15" s="104">
        <f t="shared" si="1"/>
        <v>0</v>
      </c>
    </row>
    <row r="16" spans="1:17" ht="18.75" customHeight="1" thickBot="1" x14ac:dyDescent="0.3">
      <c r="A16" s="20">
        <v>8</v>
      </c>
      <c r="B16" s="15" t="s">
        <v>25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62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67">
        <f t="shared" si="0"/>
        <v>0</v>
      </c>
      <c r="Q16" s="104">
        <f t="shared" si="1"/>
        <v>0</v>
      </c>
    </row>
    <row r="17" spans="1:15" ht="18.75" customHeight="1" thickTop="1" x14ac:dyDescent="0.25">
      <c r="A17" s="320" t="s">
        <v>26</v>
      </c>
      <c r="B17" s="321"/>
      <c r="C17" s="22">
        <f t="shared" ref="C17:O17" si="2">SUM(C9:C16)</f>
        <v>0</v>
      </c>
      <c r="D17" s="22">
        <f t="shared" si="2"/>
        <v>0</v>
      </c>
      <c r="E17" s="22">
        <f t="shared" si="2"/>
        <v>0</v>
      </c>
      <c r="F17" s="22">
        <f t="shared" si="2"/>
        <v>0</v>
      </c>
      <c r="G17" s="22">
        <f t="shared" si="2"/>
        <v>0</v>
      </c>
      <c r="H17" s="22">
        <f t="shared" si="2"/>
        <v>0</v>
      </c>
      <c r="I17" s="159">
        <f>SUM(I9:I16)</f>
        <v>0</v>
      </c>
      <c r="J17" s="22">
        <f t="shared" si="2"/>
        <v>0</v>
      </c>
      <c r="K17" s="22">
        <f t="shared" si="2"/>
        <v>0</v>
      </c>
      <c r="L17" s="22">
        <f t="shared" si="2"/>
        <v>0</v>
      </c>
      <c r="M17" s="22">
        <f t="shared" si="2"/>
        <v>0</v>
      </c>
      <c r="N17" s="22">
        <f t="shared" si="2"/>
        <v>0</v>
      </c>
      <c r="O17" s="159">
        <f t="shared" si="2"/>
        <v>0</v>
      </c>
    </row>
    <row r="18" spans="1:15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5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1:15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5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5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5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5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5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5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5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5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5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5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5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5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7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7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</row>
    <row r="35" spans="1:17" ht="18.75" x14ac:dyDescent="0.3">
      <c r="A35" s="322" t="s">
        <v>92</v>
      </c>
      <c r="B35" s="322"/>
      <c r="C35" s="322"/>
      <c r="D35" s="322"/>
      <c r="E35" s="322"/>
      <c r="F35" s="322"/>
      <c r="G35" s="322"/>
      <c r="H35" s="322"/>
      <c r="I35" s="322"/>
      <c r="J35" s="322"/>
      <c r="K35" s="322"/>
      <c r="L35" s="322"/>
      <c r="M35" s="322"/>
      <c r="N35" s="322"/>
      <c r="O35" s="322"/>
    </row>
    <row r="36" spans="1:17" ht="18.75" x14ac:dyDescent="0.3">
      <c r="A36" s="322" t="s">
        <v>148</v>
      </c>
      <c r="B36" s="322"/>
      <c r="C36" s="322"/>
      <c r="D36" s="322"/>
      <c r="E36" s="322"/>
      <c r="F36" s="322"/>
      <c r="G36" s="322"/>
      <c r="H36" s="322"/>
      <c r="I36" s="322"/>
      <c r="J36" s="322"/>
      <c r="K36" s="322"/>
      <c r="L36" s="322"/>
      <c r="M36" s="322"/>
      <c r="N36" s="322"/>
      <c r="O36" s="322"/>
    </row>
    <row r="37" spans="1:17" ht="18.75" x14ac:dyDescent="0.3">
      <c r="A37" s="246"/>
      <c r="B37" s="246"/>
      <c r="C37" s="246"/>
      <c r="D37" s="246"/>
      <c r="E37" s="246"/>
      <c r="F37" s="246"/>
      <c r="G37" s="246"/>
      <c r="H37" s="246"/>
      <c r="I37" s="246"/>
      <c r="J37" s="246"/>
      <c r="K37" s="246"/>
      <c r="L37" s="246"/>
      <c r="M37" s="246"/>
      <c r="N37" s="246"/>
      <c r="O37" s="246"/>
    </row>
    <row r="38" spans="1:17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7" x14ac:dyDescent="0.25">
      <c r="A39" s="323" t="s">
        <v>2</v>
      </c>
      <c r="B39" s="323" t="s">
        <v>3</v>
      </c>
      <c r="C39" s="325" t="s">
        <v>4</v>
      </c>
      <c r="D39" s="325"/>
      <c r="E39" s="325"/>
      <c r="F39" s="325"/>
      <c r="G39" s="325"/>
      <c r="H39" s="325"/>
      <c r="I39" s="325"/>
      <c r="J39" s="325"/>
      <c r="K39" s="325"/>
      <c r="L39" s="325"/>
      <c r="M39" s="325"/>
      <c r="N39" s="325"/>
      <c r="O39" s="323" t="s">
        <v>5</v>
      </c>
    </row>
    <row r="40" spans="1:17" x14ac:dyDescent="0.25">
      <c r="A40" s="324"/>
      <c r="B40" s="324"/>
      <c r="C40" s="247" t="s">
        <v>6</v>
      </c>
      <c r="D40" s="247" t="s">
        <v>7</v>
      </c>
      <c r="E40" s="247" t="s">
        <v>8</v>
      </c>
      <c r="F40" s="247" t="s">
        <v>9</v>
      </c>
      <c r="G40" s="247" t="s">
        <v>10</v>
      </c>
      <c r="H40" s="247" t="s">
        <v>11</v>
      </c>
      <c r="I40" s="247" t="s">
        <v>12</v>
      </c>
      <c r="J40" s="247" t="s">
        <v>13</v>
      </c>
      <c r="K40" s="247" t="s">
        <v>14</v>
      </c>
      <c r="L40" s="247" t="s">
        <v>15</v>
      </c>
      <c r="M40" s="247" t="s">
        <v>16</v>
      </c>
      <c r="N40" s="247" t="s">
        <v>17</v>
      </c>
      <c r="O40" s="326"/>
    </row>
    <row r="41" spans="1:17" ht="15.75" thickBot="1" x14ac:dyDescent="0.3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</row>
    <row r="42" spans="1:17" ht="18.75" customHeight="1" thickTop="1" x14ac:dyDescent="0.25">
      <c r="A42" s="27">
        <v>1</v>
      </c>
      <c r="B42" s="7" t="s">
        <v>18</v>
      </c>
      <c r="C42" s="28">
        <v>0</v>
      </c>
      <c r="D42" s="28">
        <v>0</v>
      </c>
      <c r="E42" s="28">
        <v>0</v>
      </c>
      <c r="F42" s="28">
        <v>0</v>
      </c>
      <c r="G42" s="28">
        <v>0</v>
      </c>
      <c r="H42" s="28">
        <v>0</v>
      </c>
      <c r="I42" s="28">
        <v>0</v>
      </c>
      <c r="J42" s="28">
        <v>0</v>
      </c>
      <c r="K42" s="28">
        <v>0</v>
      </c>
      <c r="L42" s="28">
        <v>0</v>
      </c>
      <c r="M42" s="28">
        <v>0</v>
      </c>
      <c r="N42" s="28">
        <v>0</v>
      </c>
      <c r="O42" s="29">
        <f t="shared" ref="O42:O49" si="3">SUM(C42:N42)</f>
        <v>0</v>
      </c>
      <c r="Q42" s="104">
        <f>SUM(C42:E42)</f>
        <v>0</v>
      </c>
    </row>
    <row r="43" spans="1:17" ht="18.75" customHeight="1" x14ac:dyDescent="0.25">
      <c r="A43" s="14">
        <v>2</v>
      </c>
      <c r="B43" s="12" t="s">
        <v>19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8">
        <f t="shared" si="3"/>
        <v>0</v>
      </c>
      <c r="Q43" s="104">
        <f t="shared" ref="Q43:Q49" si="4">SUM(C43:E43)</f>
        <v>0</v>
      </c>
    </row>
    <row r="44" spans="1:17" ht="18.75" customHeight="1" x14ac:dyDescent="0.25">
      <c r="A44" s="14">
        <v>3</v>
      </c>
      <c r="B44" s="7" t="s">
        <v>20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8">
        <f t="shared" si="3"/>
        <v>0</v>
      </c>
      <c r="Q44" s="104">
        <f t="shared" si="4"/>
        <v>0</v>
      </c>
    </row>
    <row r="45" spans="1:17" ht="18.75" customHeight="1" x14ac:dyDescent="0.25">
      <c r="A45" s="14">
        <v>4</v>
      </c>
      <c r="B45" s="15" t="s">
        <v>21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8">
        <f t="shared" si="3"/>
        <v>0</v>
      </c>
      <c r="Q45" s="104">
        <f t="shared" si="4"/>
        <v>0</v>
      </c>
    </row>
    <row r="46" spans="1:17" ht="18.75" customHeight="1" x14ac:dyDescent="0.25">
      <c r="A46" s="14">
        <v>5</v>
      </c>
      <c r="B46" s="19" t="s">
        <v>22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8">
        <f t="shared" si="3"/>
        <v>0</v>
      </c>
      <c r="Q46" s="104">
        <f t="shared" si="4"/>
        <v>0</v>
      </c>
    </row>
    <row r="47" spans="1:17" ht="18.75" customHeight="1" x14ac:dyDescent="0.25">
      <c r="A47" s="14">
        <v>6</v>
      </c>
      <c r="B47" s="19" t="s">
        <v>23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8">
        <f t="shared" si="3"/>
        <v>0</v>
      </c>
      <c r="Q47" s="104">
        <f t="shared" si="4"/>
        <v>0</v>
      </c>
    </row>
    <row r="48" spans="1:17" ht="18.75" customHeight="1" x14ac:dyDescent="0.25">
      <c r="A48" s="14">
        <v>7</v>
      </c>
      <c r="B48" s="19" t="s">
        <v>24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8">
        <f t="shared" si="3"/>
        <v>0</v>
      </c>
      <c r="Q48" s="104">
        <f t="shared" si="4"/>
        <v>0</v>
      </c>
    </row>
    <row r="49" spans="1:17" ht="18.75" customHeight="1" thickBot="1" x14ac:dyDescent="0.3">
      <c r="A49" s="20">
        <v>8</v>
      </c>
      <c r="B49" s="15" t="s">
        <v>25</v>
      </c>
      <c r="C49" s="264">
        <v>0.5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67">
        <f t="shared" si="3"/>
        <v>0.5</v>
      </c>
      <c r="P49" s="107">
        <v>15</v>
      </c>
      <c r="Q49" s="104">
        <f t="shared" si="4"/>
        <v>0.5</v>
      </c>
    </row>
    <row r="50" spans="1:17" ht="18.75" customHeight="1" thickTop="1" x14ac:dyDescent="0.25">
      <c r="A50" s="320" t="s">
        <v>26</v>
      </c>
      <c r="B50" s="321"/>
      <c r="C50" s="159">
        <f>SUM(C42:C49)</f>
        <v>0.5</v>
      </c>
      <c r="D50" s="22">
        <f t="shared" ref="D50:N50" si="5">SUM(D42:D49)</f>
        <v>0</v>
      </c>
      <c r="E50" s="22">
        <f t="shared" si="5"/>
        <v>0</v>
      </c>
      <c r="F50" s="22">
        <f t="shared" si="5"/>
        <v>0</v>
      </c>
      <c r="G50" s="22">
        <f t="shared" si="5"/>
        <v>0</v>
      </c>
      <c r="H50" s="22">
        <f t="shared" si="5"/>
        <v>0</v>
      </c>
      <c r="I50" s="22">
        <f t="shared" si="5"/>
        <v>0</v>
      </c>
      <c r="J50" s="22">
        <f t="shared" si="5"/>
        <v>0</v>
      </c>
      <c r="K50" s="22">
        <f t="shared" si="5"/>
        <v>0</v>
      </c>
      <c r="L50" s="22">
        <f t="shared" si="5"/>
        <v>0</v>
      </c>
      <c r="M50" s="22">
        <f t="shared" si="5"/>
        <v>0</v>
      </c>
      <c r="N50" s="22">
        <f t="shared" si="5"/>
        <v>0</v>
      </c>
      <c r="O50" s="159">
        <f>SUM(O42:O49)</f>
        <v>0.5</v>
      </c>
      <c r="P50" s="106">
        <f>SUM(P42:P49)</f>
        <v>15</v>
      </c>
    </row>
    <row r="51" spans="1:17" x14ac:dyDescent="0.25">
      <c r="A51" s="248"/>
      <c r="B51" s="248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pans="1:17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7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7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spans="1:17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7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7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7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7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7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7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7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7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7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7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7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7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7" ht="18.75" x14ac:dyDescent="0.3">
      <c r="A68" s="322" t="s">
        <v>93</v>
      </c>
      <c r="B68" s="322"/>
      <c r="C68" s="322"/>
      <c r="D68" s="322"/>
      <c r="E68" s="322"/>
      <c r="F68" s="322"/>
      <c r="G68" s="322"/>
      <c r="H68" s="322"/>
      <c r="I68" s="322"/>
      <c r="J68" s="322"/>
      <c r="K68" s="322"/>
      <c r="L68" s="322"/>
      <c r="M68" s="322"/>
      <c r="N68" s="322"/>
      <c r="O68" s="322"/>
    </row>
    <row r="69" spans="1:17" ht="18.75" x14ac:dyDescent="0.3">
      <c r="A69" s="322" t="s">
        <v>148</v>
      </c>
      <c r="B69" s="322"/>
      <c r="C69" s="322"/>
      <c r="D69" s="322"/>
      <c r="E69" s="322"/>
      <c r="F69" s="322"/>
      <c r="G69" s="322"/>
      <c r="H69" s="322"/>
      <c r="I69" s="322"/>
      <c r="J69" s="322"/>
      <c r="K69" s="322"/>
      <c r="L69" s="322"/>
      <c r="M69" s="322"/>
      <c r="N69" s="322"/>
      <c r="O69" s="322"/>
    </row>
    <row r="70" spans="1:17" ht="18.75" x14ac:dyDescent="0.3">
      <c r="A70" s="246"/>
      <c r="B70" s="246"/>
      <c r="C70" s="246"/>
      <c r="D70" s="246"/>
      <c r="E70" s="246"/>
      <c r="F70" s="246"/>
      <c r="G70" s="246"/>
      <c r="H70" s="246"/>
      <c r="I70" s="246"/>
      <c r="J70" s="246"/>
      <c r="K70" s="246"/>
      <c r="L70" s="246"/>
      <c r="M70" s="246"/>
      <c r="N70" s="246"/>
      <c r="O70" s="246"/>
    </row>
    <row r="71" spans="1:17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7" x14ac:dyDescent="0.25">
      <c r="A72" s="323" t="s">
        <v>2</v>
      </c>
      <c r="B72" s="323" t="s">
        <v>3</v>
      </c>
      <c r="C72" s="325" t="s">
        <v>4</v>
      </c>
      <c r="D72" s="325"/>
      <c r="E72" s="325"/>
      <c r="F72" s="325"/>
      <c r="G72" s="325"/>
      <c r="H72" s="325"/>
      <c r="I72" s="325"/>
      <c r="J72" s="325"/>
      <c r="K72" s="325"/>
      <c r="L72" s="325"/>
      <c r="M72" s="325"/>
      <c r="N72" s="325"/>
      <c r="O72" s="323" t="s">
        <v>5</v>
      </c>
    </row>
    <row r="73" spans="1:17" x14ac:dyDescent="0.25">
      <c r="A73" s="324"/>
      <c r="B73" s="324"/>
      <c r="C73" s="247" t="s">
        <v>6</v>
      </c>
      <c r="D73" s="247" t="s">
        <v>7</v>
      </c>
      <c r="E73" s="247" t="s">
        <v>8</v>
      </c>
      <c r="F73" s="247" t="s">
        <v>9</v>
      </c>
      <c r="G73" s="247" t="s">
        <v>10</v>
      </c>
      <c r="H73" s="247" t="s">
        <v>11</v>
      </c>
      <c r="I73" s="247" t="s">
        <v>12</v>
      </c>
      <c r="J73" s="247" t="s">
        <v>13</v>
      </c>
      <c r="K73" s="247" t="s">
        <v>14</v>
      </c>
      <c r="L73" s="247" t="s">
        <v>15</v>
      </c>
      <c r="M73" s="247" t="s">
        <v>16</v>
      </c>
      <c r="N73" s="247" t="s">
        <v>17</v>
      </c>
      <c r="O73" s="326"/>
      <c r="Q73" s="103"/>
    </row>
    <row r="74" spans="1:17" ht="15.75" thickBot="1" x14ac:dyDescent="0.3">
      <c r="A74" s="26">
        <v>1</v>
      </c>
      <c r="B74" s="26">
        <v>2</v>
      </c>
      <c r="C74" s="26">
        <v>3</v>
      </c>
      <c r="D74" s="26">
        <v>4</v>
      </c>
      <c r="E74" s="26">
        <v>5</v>
      </c>
      <c r="F74" s="26">
        <v>6</v>
      </c>
      <c r="G74" s="26">
        <v>7</v>
      </c>
      <c r="H74" s="26">
        <v>8</v>
      </c>
      <c r="I74" s="26">
        <v>9</v>
      </c>
      <c r="J74" s="26">
        <v>10</v>
      </c>
      <c r="K74" s="26">
        <v>11</v>
      </c>
      <c r="L74" s="26">
        <v>12</v>
      </c>
      <c r="M74" s="26">
        <v>13</v>
      </c>
      <c r="N74" s="26">
        <v>14</v>
      </c>
      <c r="O74" s="26">
        <v>15</v>
      </c>
    </row>
    <row r="75" spans="1:17" ht="18.75" customHeight="1" thickTop="1" x14ac:dyDescent="0.25">
      <c r="A75" s="27">
        <v>1</v>
      </c>
      <c r="B75" s="7" t="s">
        <v>18</v>
      </c>
      <c r="C75" s="28">
        <v>0</v>
      </c>
      <c r="D75" s="28">
        <v>0</v>
      </c>
      <c r="E75" s="28">
        <v>0</v>
      </c>
      <c r="F75" s="28">
        <v>0</v>
      </c>
      <c r="G75" s="28">
        <v>0</v>
      </c>
      <c r="H75" s="28">
        <v>0</v>
      </c>
      <c r="I75" s="28">
        <v>0</v>
      </c>
      <c r="J75" s="28">
        <v>0</v>
      </c>
      <c r="K75" s="28">
        <v>0</v>
      </c>
      <c r="L75" s="28">
        <v>0</v>
      </c>
      <c r="M75" s="28">
        <v>0</v>
      </c>
      <c r="N75" s="28">
        <v>0</v>
      </c>
      <c r="O75" s="29">
        <f>SUM(C75:N75)</f>
        <v>0</v>
      </c>
      <c r="Q75" s="104">
        <f>SUM(C75:E75)</f>
        <v>0</v>
      </c>
    </row>
    <row r="76" spans="1:17" ht="18.75" customHeight="1" x14ac:dyDescent="0.25">
      <c r="A76" s="14">
        <v>2</v>
      </c>
      <c r="B76" s="12" t="s">
        <v>19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8">
        <f t="shared" ref="O76:O82" si="6">SUM(C76:N76)</f>
        <v>0</v>
      </c>
      <c r="Q76" s="104">
        <f t="shared" ref="Q76:Q82" si="7">SUM(C76:E76)</f>
        <v>0</v>
      </c>
    </row>
    <row r="77" spans="1:17" ht="18.75" customHeight="1" x14ac:dyDescent="0.25">
      <c r="A77" s="14">
        <v>3</v>
      </c>
      <c r="B77" s="7" t="s">
        <v>20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8">
        <f t="shared" si="6"/>
        <v>0</v>
      </c>
      <c r="Q77" s="104">
        <f t="shared" si="7"/>
        <v>0</v>
      </c>
    </row>
    <row r="78" spans="1:17" ht="18.75" customHeight="1" x14ac:dyDescent="0.25">
      <c r="A78" s="14">
        <v>4</v>
      </c>
      <c r="B78" s="15" t="s">
        <v>21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8">
        <f t="shared" si="6"/>
        <v>0</v>
      </c>
      <c r="Q78" s="104">
        <f t="shared" si="7"/>
        <v>0</v>
      </c>
    </row>
    <row r="79" spans="1:17" ht="18.75" customHeight="1" x14ac:dyDescent="0.25">
      <c r="A79" s="14">
        <v>5</v>
      </c>
      <c r="B79" s="19" t="s">
        <v>22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8">
        <f t="shared" si="6"/>
        <v>0</v>
      </c>
      <c r="Q79" s="104">
        <f t="shared" si="7"/>
        <v>0</v>
      </c>
    </row>
    <row r="80" spans="1:17" ht="18.75" customHeight="1" x14ac:dyDescent="0.25">
      <c r="A80" s="14">
        <v>6</v>
      </c>
      <c r="B80" s="19" t="s">
        <v>23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8">
        <f t="shared" si="6"/>
        <v>0</v>
      </c>
      <c r="Q80" s="104">
        <f t="shared" si="7"/>
        <v>0</v>
      </c>
    </row>
    <row r="81" spans="1:17" ht="18.75" customHeight="1" x14ac:dyDescent="0.25">
      <c r="A81" s="14">
        <v>7</v>
      </c>
      <c r="B81" s="19" t="s">
        <v>24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8">
        <f t="shared" si="6"/>
        <v>0</v>
      </c>
      <c r="Q81" s="104">
        <f t="shared" si="7"/>
        <v>0</v>
      </c>
    </row>
    <row r="82" spans="1:17" ht="18.75" customHeight="1" thickBot="1" x14ac:dyDescent="0.3">
      <c r="A82" s="20">
        <v>8</v>
      </c>
      <c r="B82" s="15" t="s">
        <v>25</v>
      </c>
      <c r="C82" s="162">
        <v>0.4</v>
      </c>
      <c r="D82" s="17">
        <v>0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67">
        <f t="shared" si="6"/>
        <v>0.4</v>
      </c>
      <c r="Q82" s="104">
        <f t="shared" si="7"/>
        <v>0.4</v>
      </c>
    </row>
    <row r="83" spans="1:17" ht="18.75" customHeight="1" thickTop="1" x14ac:dyDescent="0.25">
      <c r="A83" s="320" t="s">
        <v>26</v>
      </c>
      <c r="B83" s="321"/>
      <c r="C83" s="159">
        <f t="shared" ref="C83:O83" si="8">SUM(C75:C82)</f>
        <v>0.4</v>
      </c>
      <c r="D83" s="22">
        <f t="shared" si="8"/>
        <v>0</v>
      </c>
      <c r="E83" s="22">
        <f t="shared" si="8"/>
        <v>0</v>
      </c>
      <c r="F83" s="22">
        <f t="shared" si="8"/>
        <v>0</v>
      </c>
      <c r="G83" s="22">
        <f t="shared" si="8"/>
        <v>0</v>
      </c>
      <c r="H83" s="22">
        <f t="shared" si="8"/>
        <v>0</v>
      </c>
      <c r="I83" s="22">
        <f t="shared" si="8"/>
        <v>0</v>
      </c>
      <c r="J83" s="22">
        <f t="shared" si="8"/>
        <v>0</v>
      </c>
      <c r="K83" s="22">
        <f t="shared" si="8"/>
        <v>0</v>
      </c>
      <c r="L83" s="22">
        <f t="shared" si="8"/>
        <v>0</v>
      </c>
      <c r="M83" s="22">
        <f t="shared" si="8"/>
        <v>0</v>
      </c>
      <c r="N83" s="22">
        <f t="shared" si="8"/>
        <v>0</v>
      </c>
      <c r="O83" s="159">
        <f t="shared" si="8"/>
        <v>0.4</v>
      </c>
    </row>
    <row r="84" spans="1:17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7" x14ac:dyDescent="0.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</row>
    <row r="86" spans="1:17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spans="1:17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</row>
    <row r="88" spans="1:17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17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1:17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1:17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1:17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1:17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</row>
    <row r="94" spans="1:17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7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7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1:15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5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5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5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5" ht="18.75" x14ac:dyDescent="0.3">
      <c r="A101" s="322" t="s">
        <v>94</v>
      </c>
      <c r="B101" s="322"/>
      <c r="C101" s="322"/>
      <c r="D101" s="322"/>
      <c r="E101" s="322"/>
      <c r="F101" s="322"/>
      <c r="G101" s="322"/>
      <c r="H101" s="322"/>
      <c r="I101" s="322"/>
      <c r="J101" s="322"/>
      <c r="K101" s="322"/>
      <c r="L101" s="322"/>
      <c r="M101" s="322"/>
      <c r="N101" s="322"/>
      <c r="O101" s="322"/>
    </row>
    <row r="102" spans="1:15" ht="18.75" x14ac:dyDescent="0.3">
      <c r="A102" s="322" t="s">
        <v>148</v>
      </c>
      <c r="B102" s="322"/>
      <c r="C102" s="322"/>
      <c r="D102" s="322"/>
      <c r="E102" s="322"/>
      <c r="F102" s="322"/>
      <c r="G102" s="322"/>
      <c r="H102" s="322"/>
      <c r="I102" s="322"/>
      <c r="J102" s="322"/>
      <c r="K102" s="322"/>
      <c r="L102" s="322"/>
      <c r="M102" s="322"/>
      <c r="N102" s="322"/>
      <c r="O102" s="322"/>
    </row>
    <row r="103" spans="1:15" ht="18.75" x14ac:dyDescent="0.3">
      <c r="A103" s="246"/>
      <c r="B103" s="246"/>
      <c r="C103" s="246"/>
      <c r="D103" s="246"/>
      <c r="E103" s="246"/>
      <c r="F103" s="246"/>
      <c r="G103" s="246"/>
      <c r="H103" s="246"/>
      <c r="I103" s="246"/>
      <c r="J103" s="246"/>
      <c r="K103" s="246"/>
      <c r="L103" s="246"/>
      <c r="M103" s="246"/>
      <c r="N103" s="246"/>
      <c r="O103" s="246"/>
    </row>
    <row r="104" spans="1:1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5" x14ac:dyDescent="0.25">
      <c r="A105" s="323" t="s">
        <v>2</v>
      </c>
      <c r="B105" s="323" t="s">
        <v>3</v>
      </c>
      <c r="C105" s="325" t="s">
        <v>4</v>
      </c>
      <c r="D105" s="325"/>
      <c r="E105" s="325"/>
      <c r="F105" s="325"/>
      <c r="G105" s="325"/>
      <c r="H105" s="325"/>
      <c r="I105" s="325"/>
      <c r="J105" s="325"/>
      <c r="K105" s="325"/>
      <c r="L105" s="325"/>
      <c r="M105" s="325"/>
      <c r="N105" s="325"/>
      <c r="O105" s="323" t="s">
        <v>5</v>
      </c>
    </row>
    <row r="106" spans="1:15" x14ac:dyDescent="0.25">
      <c r="A106" s="324"/>
      <c r="B106" s="324"/>
      <c r="C106" s="247" t="s">
        <v>6</v>
      </c>
      <c r="D106" s="247" t="s">
        <v>7</v>
      </c>
      <c r="E106" s="247" t="s">
        <v>8</v>
      </c>
      <c r="F106" s="247" t="s">
        <v>9</v>
      </c>
      <c r="G106" s="247" t="s">
        <v>10</v>
      </c>
      <c r="H106" s="247" t="s">
        <v>11</v>
      </c>
      <c r="I106" s="247" t="s">
        <v>12</v>
      </c>
      <c r="J106" s="247" t="s">
        <v>13</v>
      </c>
      <c r="K106" s="247" t="s">
        <v>14</v>
      </c>
      <c r="L106" s="247" t="s">
        <v>15</v>
      </c>
      <c r="M106" s="247" t="s">
        <v>16</v>
      </c>
      <c r="N106" s="247" t="s">
        <v>17</v>
      </c>
      <c r="O106" s="326"/>
    </row>
    <row r="107" spans="1:15" ht="15.75" thickBot="1" x14ac:dyDescent="0.3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</row>
    <row r="108" spans="1:15" ht="18.75" customHeight="1" thickTop="1" x14ac:dyDescent="0.25">
      <c r="A108" s="27">
        <v>1</v>
      </c>
      <c r="B108" s="7" t="s">
        <v>18</v>
      </c>
      <c r="C108" s="32">
        <v>0</v>
      </c>
      <c r="D108" s="28">
        <v>0</v>
      </c>
      <c r="E108" s="28">
        <v>0</v>
      </c>
      <c r="F108" s="28">
        <v>0</v>
      </c>
      <c r="G108" s="28">
        <v>0</v>
      </c>
      <c r="H108" s="28">
        <v>0</v>
      </c>
      <c r="I108" s="28">
        <v>0</v>
      </c>
      <c r="J108" s="28">
        <v>0</v>
      </c>
      <c r="K108" s="28">
        <v>0</v>
      </c>
      <c r="L108" s="28">
        <v>0</v>
      </c>
      <c r="M108" s="28">
        <v>0</v>
      </c>
      <c r="N108" s="28">
        <v>0</v>
      </c>
      <c r="O108" s="33">
        <v>0</v>
      </c>
    </row>
    <row r="109" spans="1:15" ht="18.75" customHeight="1" x14ac:dyDescent="0.25">
      <c r="A109" s="14">
        <v>2</v>
      </c>
      <c r="B109" s="12" t="s">
        <v>19</v>
      </c>
      <c r="C109" s="34">
        <v>0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35">
        <v>0</v>
      </c>
    </row>
    <row r="110" spans="1:15" ht="18.75" customHeight="1" x14ac:dyDescent="0.25">
      <c r="A110" s="14">
        <v>3</v>
      </c>
      <c r="B110" s="7" t="s">
        <v>20</v>
      </c>
      <c r="C110" s="34">
        <v>0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35">
        <v>0</v>
      </c>
    </row>
    <row r="111" spans="1:15" ht="18.75" customHeight="1" x14ac:dyDescent="0.25">
      <c r="A111" s="14">
        <v>4</v>
      </c>
      <c r="B111" s="15" t="s">
        <v>21</v>
      </c>
      <c r="C111" s="34">
        <v>0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35">
        <v>0</v>
      </c>
    </row>
    <row r="112" spans="1:15" ht="18.75" customHeight="1" x14ac:dyDescent="0.25">
      <c r="A112" s="14">
        <v>5</v>
      </c>
      <c r="B112" s="19" t="s">
        <v>22</v>
      </c>
      <c r="C112" s="34">
        <v>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35">
        <v>0</v>
      </c>
    </row>
    <row r="113" spans="1:16" ht="18.75" customHeight="1" x14ac:dyDescent="0.25">
      <c r="A113" s="14">
        <v>6</v>
      </c>
      <c r="B113" s="19" t="s">
        <v>23</v>
      </c>
      <c r="C113" s="34">
        <v>0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35">
        <v>0</v>
      </c>
    </row>
    <row r="114" spans="1:16" ht="18.75" customHeight="1" x14ac:dyDescent="0.25">
      <c r="A114" s="14">
        <v>7</v>
      </c>
      <c r="B114" s="19" t="s">
        <v>24</v>
      </c>
      <c r="C114" s="34">
        <v>0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35">
        <v>0</v>
      </c>
    </row>
    <row r="115" spans="1:16" ht="18.75" customHeight="1" thickBot="1" x14ac:dyDescent="0.3">
      <c r="A115" s="20">
        <v>8</v>
      </c>
      <c r="B115" s="15" t="s">
        <v>25</v>
      </c>
      <c r="C115" s="36">
        <v>8</v>
      </c>
      <c r="D115" s="17">
        <v>0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35">
        <v>0</v>
      </c>
    </row>
    <row r="116" spans="1:16" ht="18.75" customHeight="1" thickTop="1" x14ac:dyDescent="0.25">
      <c r="A116" s="320" t="s">
        <v>26</v>
      </c>
      <c r="B116" s="321"/>
      <c r="C116" s="38">
        <v>8</v>
      </c>
      <c r="D116" s="38">
        <f>SUM(D108:D115)</f>
        <v>0</v>
      </c>
      <c r="E116" s="38">
        <f t="shared" ref="E116:N116" si="9">SUM(E108:E115)</f>
        <v>0</v>
      </c>
      <c r="F116" s="38">
        <f t="shared" si="9"/>
        <v>0</v>
      </c>
      <c r="G116" s="38">
        <f t="shared" si="9"/>
        <v>0</v>
      </c>
      <c r="H116" s="38">
        <f t="shared" si="9"/>
        <v>0</v>
      </c>
      <c r="I116" s="38">
        <f t="shared" si="9"/>
        <v>0</v>
      </c>
      <c r="J116" s="38">
        <f t="shared" si="9"/>
        <v>0</v>
      </c>
      <c r="K116" s="38">
        <f t="shared" si="9"/>
        <v>0</v>
      </c>
      <c r="L116" s="38">
        <f t="shared" si="9"/>
        <v>0</v>
      </c>
      <c r="M116" s="38">
        <f t="shared" si="9"/>
        <v>0</v>
      </c>
      <c r="N116" s="38">
        <f t="shared" si="9"/>
        <v>0</v>
      </c>
      <c r="O116" s="38">
        <f>SUM(O108:O115)</f>
        <v>0</v>
      </c>
      <c r="P116" s="71"/>
    </row>
    <row r="117" spans="1:16" x14ac:dyDescent="0.2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</row>
    <row r="119" spans="1:16" x14ac:dyDescent="0.25">
      <c r="K119" t="s">
        <v>95</v>
      </c>
    </row>
    <row r="120" spans="1:16" x14ac:dyDescent="0.25">
      <c r="K120" t="s">
        <v>84</v>
      </c>
    </row>
    <row r="124" spans="1:16" x14ac:dyDescent="0.25">
      <c r="K124" t="s">
        <v>96</v>
      </c>
    </row>
    <row r="125" spans="1:16" x14ac:dyDescent="0.25">
      <c r="K125" t="s">
        <v>97</v>
      </c>
    </row>
  </sheetData>
  <mergeCells count="28">
    <mergeCell ref="A116:B116"/>
    <mergeCell ref="A83:B83"/>
    <mergeCell ref="A101:O101"/>
    <mergeCell ref="A102:O102"/>
    <mergeCell ref="A105:A106"/>
    <mergeCell ref="B105:B106"/>
    <mergeCell ref="C105:N105"/>
    <mergeCell ref="O105:O106"/>
    <mergeCell ref="A50:B50"/>
    <mergeCell ref="A68:O68"/>
    <mergeCell ref="A69:O69"/>
    <mergeCell ref="A72:A73"/>
    <mergeCell ref="B72:B73"/>
    <mergeCell ref="C72:N72"/>
    <mergeCell ref="O72:O73"/>
    <mergeCell ref="A17:B17"/>
    <mergeCell ref="A35:O35"/>
    <mergeCell ref="A36:O36"/>
    <mergeCell ref="A39:A40"/>
    <mergeCell ref="B39:B40"/>
    <mergeCell ref="C39:N39"/>
    <mergeCell ref="O39:O40"/>
    <mergeCell ref="A2:O2"/>
    <mergeCell ref="A3:O3"/>
    <mergeCell ref="A6:A7"/>
    <mergeCell ref="B6:B7"/>
    <mergeCell ref="C6:N6"/>
    <mergeCell ref="O6:O7"/>
  </mergeCells>
  <pageMargins left="1.5748031496062993" right="0.39370078740157483" top="0.94488188976377963" bottom="0.74803149606299213" header="0.31496062992125984" footer="0.31496062992125984"/>
  <pageSetup paperSize="9" scale="90" orientation="landscape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59"/>
  <sheetViews>
    <sheetView workbookViewId="0"/>
  </sheetViews>
  <sheetFormatPr defaultRowHeight="15" x14ac:dyDescent="0.25"/>
  <cols>
    <col min="1" max="1" width="3.7109375" customWidth="1"/>
    <col min="2" max="2" width="17" customWidth="1"/>
    <col min="3" max="6" width="15.140625" customWidth="1"/>
    <col min="7" max="7" width="4.140625" customWidth="1"/>
  </cols>
  <sheetData>
    <row r="1" spans="1:6" x14ac:dyDescent="0.25">
      <c r="A1" s="75" t="s">
        <v>74</v>
      </c>
    </row>
    <row r="2" spans="1:6" x14ac:dyDescent="0.25">
      <c r="A2" s="75" t="s">
        <v>149</v>
      </c>
    </row>
    <row r="3" spans="1:6" ht="13.5" customHeight="1" x14ac:dyDescent="0.25">
      <c r="A3" s="75"/>
    </row>
    <row r="4" spans="1:6" ht="15.75" thickBot="1" x14ac:dyDescent="0.3">
      <c r="A4" s="75" t="s">
        <v>66</v>
      </c>
    </row>
    <row r="5" spans="1:6" x14ac:dyDescent="0.25">
      <c r="A5" s="334" t="s">
        <v>2</v>
      </c>
      <c r="B5" s="336" t="s">
        <v>3</v>
      </c>
      <c r="C5" s="77" t="s">
        <v>63</v>
      </c>
      <c r="D5" s="77" t="s">
        <v>64</v>
      </c>
      <c r="E5" s="77" t="s">
        <v>65</v>
      </c>
      <c r="F5" s="78" t="s">
        <v>62</v>
      </c>
    </row>
    <row r="6" spans="1:6" x14ac:dyDescent="0.25">
      <c r="A6" s="335"/>
      <c r="B6" s="324"/>
      <c r="C6" s="79" t="s">
        <v>1</v>
      </c>
      <c r="D6" s="79" t="s">
        <v>1</v>
      </c>
      <c r="E6" s="79" t="s">
        <v>29</v>
      </c>
      <c r="F6" s="80" t="s">
        <v>31</v>
      </c>
    </row>
    <row r="7" spans="1:6" ht="15.75" thickBot="1" x14ac:dyDescent="0.3">
      <c r="A7" s="81">
        <v>1</v>
      </c>
      <c r="B7" s="76">
        <v>2</v>
      </c>
      <c r="C7" s="76">
        <v>3</v>
      </c>
      <c r="D7" s="76">
        <v>4</v>
      </c>
      <c r="E7" s="76">
        <v>5</v>
      </c>
      <c r="F7" s="82">
        <v>6</v>
      </c>
    </row>
    <row r="8" spans="1:6" ht="15.75" thickTop="1" x14ac:dyDescent="0.25">
      <c r="A8" s="83">
        <v>1</v>
      </c>
      <c r="B8" s="7" t="s">
        <v>18</v>
      </c>
      <c r="C8" s="87">
        <f>'padi sawah'!O9</f>
        <v>287</v>
      </c>
      <c r="D8" s="87">
        <f>'padi sawah'!O42</f>
        <v>275</v>
      </c>
      <c r="E8" s="87">
        <f>'padi sawah'!O75</f>
        <v>1544.3</v>
      </c>
      <c r="F8" s="91">
        <f>'padi sawah'!O108</f>
        <v>56.156363636363629</v>
      </c>
    </row>
    <row r="9" spans="1:6" x14ac:dyDescent="0.25">
      <c r="A9" s="84">
        <v>2</v>
      </c>
      <c r="B9" s="12" t="s">
        <v>19</v>
      </c>
      <c r="C9" s="88">
        <f>'padi sawah'!O10</f>
        <v>417</v>
      </c>
      <c r="D9" s="88">
        <f>'padi sawah'!O43</f>
        <v>330</v>
      </c>
      <c r="E9" s="88">
        <f>'padi sawah'!O76</f>
        <v>2144.1000000000004</v>
      </c>
      <c r="F9" s="91">
        <f>'padi sawah'!O109</f>
        <v>64.972727272727283</v>
      </c>
    </row>
    <row r="10" spans="1:6" x14ac:dyDescent="0.25">
      <c r="A10" s="84">
        <v>3</v>
      </c>
      <c r="B10" s="7" t="s">
        <v>20</v>
      </c>
      <c r="C10" s="88">
        <f>'padi sawah'!O11</f>
        <v>45</v>
      </c>
      <c r="D10" s="88">
        <f>'padi sawah'!O44</f>
        <v>35</v>
      </c>
      <c r="E10" s="88">
        <f>'padi sawah'!O77</f>
        <v>204.3</v>
      </c>
      <c r="F10" s="91">
        <f>'padi sawah'!O110</f>
        <v>58.371428571428574</v>
      </c>
    </row>
    <row r="11" spans="1:6" x14ac:dyDescent="0.25">
      <c r="A11" s="85">
        <v>4</v>
      </c>
      <c r="B11" s="15" t="s">
        <v>21</v>
      </c>
      <c r="C11" s="88">
        <f>'padi sawah'!O12</f>
        <v>320</v>
      </c>
      <c r="D11" s="88">
        <f>'padi sawah'!O45</f>
        <v>203</v>
      </c>
      <c r="E11" s="88">
        <f>'padi sawah'!O78</f>
        <v>1164.1000000000001</v>
      </c>
      <c r="F11" s="91">
        <f>'padi sawah'!O111</f>
        <v>57.344827586206904</v>
      </c>
    </row>
    <row r="12" spans="1:6" x14ac:dyDescent="0.25">
      <c r="A12" s="85">
        <v>5</v>
      </c>
      <c r="B12" s="19" t="s">
        <v>22</v>
      </c>
      <c r="C12" s="88">
        <f>'padi sawah'!O13</f>
        <v>334</v>
      </c>
      <c r="D12" s="88">
        <f>'padi sawah'!O46</f>
        <v>177</v>
      </c>
      <c r="E12" s="88">
        <f>'padi sawah'!O79</f>
        <v>994.19999999999993</v>
      </c>
      <c r="F12" s="91">
        <f>'padi sawah'!O112</f>
        <v>56.169491525423723</v>
      </c>
    </row>
    <row r="13" spans="1:6" x14ac:dyDescent="0.25">
      <c r="A13" s="85">
        <v>6</v>
      </c>
      <c r="B13" s="19" t="s">
        <v>23</v>
      </c>
      <c r="C13" s="88">
        <f>'padi sawah'!O14</f>
        <v>113</v>
      </c>
      <c r="D13" s="88">
        <f>'padi sawah'!O47</f>
        <v>98</v>
      </c>
      <c r="E13" s="88">
        <f>'padi sawah'!O80</f>
        <v>563.9</v>
      </c>
      <c r="F13" s="91">
        <f>'padi sawah'!O113</f>
        <v>57.54081632653061</v>
      </c>
    </row>
    <row r="14" spans="1:6" x14ac:dyDescent="0.25">
      <c r="A14" s="85">
        <v>7</v>
      </c>
      <c r="B14" s="19" t="s">
        <v>24</v>
      </c>
      <c r="C14" s="88">
        <f>'padi sawah'!O15</f>
        <v>671</v>
      </c>
      <c r="D14" s="88">
        <f>'padi sawah'!O48</f>
        <v>595</v>
      </c>
      <c r="E14" s="88">
        <f>'padi sawah'!O81</f>
        <v>3628.1</v>
      </c>
      <c r="F14" s="91">
        <f>'padi sawah'!O114</f>
        <v>60.976470588235294</v>
      </c>
    </row>
    <row r="15" spans="1:6" ht="15.75" thickBot="1" x14ac:dyDescent="0.3">
      <c r="A15" s="86">
        <v>8</v>
      </c>
      <c r="B15" s="15" t="s">
        <v>25</v>
      </c>
      <c r="C15" s="89">
        <f>'padi sawah'!O16</f>
        <v>485</v>
      </c>
      <c r="D15" s="89">
        <f>'padi sawah'!O49</f>
        <v>355</v>
      </c>
      <c r="E15" s="89">
        <f>'padi sawah'!O82</f>
        <v>2173.7000000000003</v>
      </c>
      <c r="F15" s="92">
        <f>'padi sawah'!O115</f>
        <v>61.230985915492965</v>
      </c>
    </row>
    <row r="16" spans="1:6" ht="16.5" thickTop="1" thickBot="1" x14ac:dyDescent="0.3">
      <c r="A16" s="337" t="s">
        <v>26</v>
      </c>
      <c r="B16" s="338"/>
      <c r="C16" s="90">
        <f>SUM(C8:C15)</f>
        <v>2672</v>
      </c>
      <c r="D16" s="90">
        <f>SUM(D8:D15)</f>
        <v>2068</v>
      </c>
      <c r="E16" s="90">
        <f>SUM(E8:E15)</f>
        <v>12416.7</v>
      </c>
      <c r="F16" s="93">
        <f>E16/D16*10</f>
        <v>60.042069632495163</v>
      </c>
    </row>
    <row r="18" spans="1:6" ht="15.75" thickBot="1" x14ac:dyDescent="0.3">
      <c r="A18" s="75" t="s">
        <v>67</v>
      </c>
    </row>
    <row r="19" spans="1:6" x14ac:dyDescent="0.25">
      <c r="A19" s="334" t="s">
        <v>2</v>
      </c>
      <c r="B19" s="336" t="s">
        <v>3</v>
      </c>
      <c r="C19" s="77" t="s">
        <v>63</v>
      </c>
      <c r="D19" s="77" t="s">
        <v>64</v>
      </c>
      <c r="E19" s="77" t="s">
        <v>65</v>
      </c>
      <c r="F19" s="78" t="s">
        <v>62</v>
      </c>
    </row>
    <row r="20" spans="1:6" ht="15.75" customHeight="1" x14ac:dyDescent="0.25">
      <c r="A20" s="335"/>
      <c r="B20" s="324"/>
      <c r="C20" s="79" t="s">
        <v>1</v>
      </c>
      <c r="D20" s="79" t="s">
        <v>1</v>
      </c>
      <c r="E20" s="79" t="s">
        <v>29</v>
      </c>
      <c r="F20" s="80" t="s">
        <v>31</v>
      </c>
    </row>
    <row r="21" spans="1:6" ht="15.75" thickBot="1" x14ac:dyDescent="0.3">
      <c r="A21" s="81">
        <v>1</v>
      </c>
      <c r="B21" s="76">
        <v>2</v>
      </c>
      <c r="C21" s="76">
        <v>3</v>
      </c>
      <c r="D21" s="76">
        <v>4</v>
      </c>
      <c r="E21" s="76">
        <v>5</v>
      </c>
      <c r="F21" s="82">
        <v>6</v>
      </c>
    </row>
    <row r="22" spans="1:6" ht="15.75" thickTop="1" x14ac:dyDescent="0.25">
      <c r="A22" s="83">
        <v>1</v>
      </c>
      <c r="B22" s="7" t="s">
        <v>18</v>
      </c>
      <c r="C22" s="148">
        <f>'padi ladang'!O9</f>
        <v>0</v>
      </c>
      <c r="D22" s="148">
        <f>'padi ladang'!O42</f>
        <v>0</v>
      </c>
      <c r="E22" s="148">
        <f>'padi ladang'!O75</f>
        <v>0</v>
      </c>
      <c r="F22" s="152">
        <f>'padi ladang'!O108</f>
        <v>0</v>
      </c>
    </row>
    <row r="23" spans="1:6" x14ac:dyDescent="0.25">
      <c r="A23" s="84">
        <v>2</v>
      </c>
      <c r="B23" s="12" t="s">
        <v>19</v>
      </c>
      <c r="C23" s="88">
        <f>'padi ladang'!O10</f>
        <v>0</v>
      </c>
      <c r="D23" s="88">
        <f>'padi ladang'!O43</f>
        <v>0</v>
      </c>
      <c r="E23" s="88">
        <f>'padi ladang'!O76</f>
        <v>0</v>
      </c>
      <c r="F23" s="118">
        <f>'padi ladang'!O109</f>
        <v>0</v>
      </c>
    </row>
    <row r="24" spans="1:6" x14ac:dyDescent="0.25">
      <c r="A24" s="84">
        <v>3</v>
      </c>
      <c r="B24" s="7" t="s">
        <v>20</v>
      </c>
      <c r="C24" s="88">
        <f>'padi ladang'!O11</f>
        <v>0</v>
      </c>
      <c r="D24" s="88">
        <f>'padi ladang'!O44</f>
        <v>0</v>
      </c>
      <c r="E24" s="88">
        <f>'padi ladang'!O77</f>
        <v>0</v>
      </c>
      <c r="F24" s="118">
        <f>'padi ladang'!O110</f>
        <v>0</v>
      </c>
    </row>
    <row r="25" spans="1:6" x14ac:dyDescent="0.25">
      <c r="A25" s="85">
        <v>4</v>
      </c>
      <c r="B25" s="15" t="s">
        <v>21</v>
      </c>
      <c r="C25" s="88">
        <f>'padi ladang'!O12</f>
        <v>0</v>
      </c>
      <c r="D25" s="88">
        <f>'padi ladang'!O45</f>
        <v>0</v>
      </c>
      <c r="E25" s="88">
        <f>'padi ladang'!O78</f>
        <v>0</v>
      </c>
      <c r="F25" s="118">
        <f>'padi ladang'!O111</f>
        <v>0</v>
      </c>
    </row>
    <row r="26" spans="1:6" x14ac:dyDescent="0.25">
      <c r="A26" s="85">
        <v>5</v>
      </c>
      <c r="B26" s="19" t="s">
        <v>22</v>
      </c>
      <c r="C26" s="88">
        <f>'padi ladang'!O13</f>
        <v>0</v>
      </c>
      <c r="D26" s="88">
        <f>'padi ladang'!O46</f>
        <v>0</v>
      </c>
      <c r="E26" s="88">
        <f>'padi ladang'!O79</f>
        <v>0</v>
      </c>
      <c r="F26" s="118">
        <f>'padi ladang'!O112</f>
        <v>0</v>
      </c>
    </row>
    <row r="27" spans="1:6" x14ac:dyDescent="0.25">
      <c r="A27" s="85">
        <v>6</v>
      </c>
      <c r="B27" s="19" t="s">
        <v>23</v>
      </c>
      <c r="C27" s="88">
        <f>'padi ladang'!O14</f>
        <v>0</v>
      </c>
      <c r="D27" s="88">
        <f>'padi ladang'!O47</f>
        <v>0</v>
      </c>
      <c r="E27" s="88">
        <f>'padi ladang'!O80</f>
        <v>0</v>
      </c>
      <c r="F27" s="118">
        <f>'padi ladang'!O113</f>
        <v>0</v>
      </c>
    </row>
    <row r="28" spans="1:6" x14ac:dyDescent="0.25">
      <c r="A28" s="85">
        <v>7</v>
      </c>
      <c r="B28" s="19" t="s">
        <v>24</v>
      </c>
      <c r="C28" s="88">
        <f>'padi ladang'!O15</f>
        <v>0</v>
      </c>
      <c r="D28" s="88">
        <f>'padi ladang'!O48</f>
        <v>0</v>
      </c>
      <c r="E28" s="88">
        <f>'padi ladang'!O81</f>
        <v>0</v>
      </c>
      <c r="F28" s="118">
        <f>'padi ladang'!O114</f>
        <v>0</v>
      </c>
    </row>
    <row r="29" spans="1:6" ht="15.75" thickBot="1" x14ac:dyDescent="0.3">
      <c r="A29" s="86">
        <v>8</v>
      </c>
      <c r="B29" s="15" t="s">
        <v>25</v>
      </c>
      <c r="C29" s="89">
        <f>'padi ladang'!O16</f>
        <v>2</v>
      </c>
      <c r="D29" s="89">
        <f>'padi ladang'!O49</f>
        <v>2</v>
      </c>
      <c r="E29" s="89">
        <f>'padi ladang'!O82</f>
        <v>11.2</v>
      </c>
      <c r="F29" s="154">
        <f>'padi ladang'!O115</f>
        <v>56.11</v>
      </c>
    </row>
    <row r="30" spans="1:6" ht="16.5" thickTop="1" thickBot="1" x14ac:dyDescent="0.3">
      <c r="A30" s="337" t="s">
        <v>26</v>
      </c>
      <c r="B30" s="338"/>
      <c r="C30" s="90">
        <f>SUM(C22:C29)</f>
        <v>2</v>
      </c>
      <c r="D30" s="90">
        <f>SUM(D22:D29)</f>
        <v>2</v>
      </c>
      <c r="E30" s="90">
        <f>SUM(E22:E29)</f>
        <v>11.2</v>
      </c>
      <c r="F30" s="93">
        <v>0</v>
      </c>
    </row>
    <row r="32" spans="1:6" ht="15.75" thickBot="1" x14ac:dyDescent="0.3">
      <c r="A32" s="75" t="s">
        <v>68</v>
      </c>
    </row>
    <row r="33" spans="1:6" x14ac:dyDescent="0.25">
      <c r="A33" s="334" t="s">
        <v>2</v>
      </c>
      <c r="B33" s="336" t="s">
        <v>3</v>
      </c>
      <c r="C33" s="77" t="s">
        <v>63</v>
      </c>
      <c r="D33" s="77" t="s">
        <v>64</v>
      </c>
      <c r="E33" s="77" t="s">
        <v>65</v>
      </c>
      <c r="F33" s="78" t="s">
        <v>62</v>
      </c>
    </row>
    <row r="34" spans="1:6" x14ac:dyDescent="0.25">
      <c r="A34" s="335"/>
      <c r="B34" s="324"/>
      <c r="C34" s="79" t="s">
        <v>1</v>
      </c>
      <c r="D34" s="79" t="s">
        <v>1</v>
      </c>
      <c r="E34" s="79" t="s">
        <v>29</v>
      </c>
      <c r="F34" s="80" t="s">
        <v>31</v>
      </c>
    </row>
    <row r="35" spans="1:6" ht="15.75" thickBot="1" x14ac:dyDescent="0.3">
      <c r="A35" s="81">
        <v>1</v>
      </c>
      <c r="B35" s="76">
        <v>2</v>
      </c>
      <c r="C35" s="76">
        <v>3</v>
      </c>
      <c r="D35" s="76">
        <v>4</v>
      </c>
      <c r="E35" s="76">
        <v>5</v>
      </c>
      <c r="F35" s="82">
        <v>6</v>
      </c>
    </row>
    <row r="36" spans="1:6" ht="15.75" thickTop="1" x14ac:dyDescent="0.25">
      <c r="A36" s="83">
        <v>1</v>
      </c>
      <c r="B36" s="7" t="s">
        <v>18</v>
      </c>
      <c r="C36" s="148">
        <f>jagung!O9</f>
        <v>12</v>
      </c>
      <c r="D36" s="149">
        <f>jagung!O42</f>
        <v>9</v>
      </c>
      <c r="E36" s="148">
        <f>jagung!O75</f>
        <v>26.1</v>
      </c>
      <c r="F36" s="152">
        <f>jagung!O108</f>
        <v>29.000000000000004</v>
      </c>
    </row>
    <row r="37" spans="1:6" x14ac:dyDescent="0.25">
      <c r="A37" s="84">
        <v>2</v>
      </c>
      <c r="B37" s="12" t="s">
        <v>19</v>
      </c>
      <c r="C37" s="88">
        <f>jagung!O10</f>
        <v>5</v>
      </c>
      <c r="D37" s="141">
        <f>jagung!O43</f>
        <v>4</v>
      </c>
      <c r="E37" s="88">
        <f>jagung!O76</f>
        <v>0</v>
      </c>
      <c r="F37" s="118">
        <f>jagung!O109</f>
        <v>0</v>
      </c>
    </row>
    <row r="38" spans="1:6" x14ac:dyDescent="0.25">
      <c r="A38" s="84">
        <v>3</v>
      </c>
      <c r="B38" s="7" t="s">
        <v>20</v>
      </c>
      <c r="C38" s="88">
        <f>jagung!O11</f>
        <v>0</v>
      </c>
      <c r="D38" s="141">
        <f>jagung!O44</f>
        <v>0</v>
      </c>
      <c r="E38" s="88">
        <f>jagung!O77</f>
        <v>0</v>
      </c>
      <c r="F38" s="118">
        <f>jagung!O110</f>
        <v>0</v>
      </c>
    </row>
    <row r="39" spans="1:6" x14ac:dyDescent="0.25">
      <c r="A39" s="85">
        <v>4</v>
      </c>
      <c r="B39" s="15" t="s">
        <v>21</v>
      </c>
      <c r="C39" s="88">
        <f>jagung!O12</f>
        <v>7</v>
      </c>
      <c r="D39" s="141">
        <f>jagung!O45</f>
        <v>6</v>
      </c>
      <c r="E39" s="88">
        <f>jagung!O78</f>
        <v>7.9</v>
      </c>
      <c r="F39" s="118">
        <f>jagung!O111</f>
        <v>26.533333333333331</v>
      </c>
    </row>
    <row r="40" spans="1:6" x14ac:dyDescent="0.25">
      <c r="A40" s="85">
        <v>5</v>
      </c>
      <c r="B40" s="19" t="s">
        <v>22</v>
      </c>
      <c r="C40" s="88">
        <f>jagung!O13</f>
        <v>0</v>
      </c>
      <c r="D40" s="141">
        <f>jagung!O46</f>
        <v>0</v>
      </c>
      <c r="E40" s="88">
        <f>jagung!O79</f>
        <v>0</v>
      </c>
      <c r="F40" s="118">
        <f>jagung!O112</f>
        <v>0</v>
      </c>
    </row>
    <row r="41" spans="1:6" x14ac:dyDescent="0.25">
      <c r="A41" s="85">
        <v>6</v>
      </c>
      <c r="B41" s="19" t="s">
        <v>23</v>
      </c>
      <c r="C41" s="88">
        <f>jagung!O14</f>
        <v>0.5</v>
      </c>
      <c r="D41" s="141">
        <f>jagung!O47</f>
        <v>0</v>
      </c>
      <c r="E41" s="88">
        <f>jagung!O80</f>
        <v>0</v>
      </c>
      <c r="F41" s="118">
        <f>jagung!O113</f>
        <v>0</v>
      </c>
    </row>
    <row r="42" spans="1:6" x14ac:dyDescent="0.25">
      <c r="A42" s="85">
        <v>7</v>
      </c>
      <c r="B42" s="19" t="s">
        <v>24</v>
      </c>
      <c r="C42" s="88">
        <f>jagung!O15</f>
        <v>2</v>
      </c>
      <c r="D42" s="141">
        <f>jagung!O48</f>
        <v>1</v>
      </c>
      <c r="E42" s="88">
        <f>jagung!O81</f>
        <v>0</v>
      </c>
      <c r="F42" s="118">
        <f>jagung!O114</f>
        <v>0</v>
      </c>
    </row>
    <row r="43" spans="1:6" ht="15.75" thickBot="1" x14ac:dyDescent="0.3">
      <c r="A43" s="86">
        <v>8</v>
      </c>
      <c r="B43" s="15" t="s">
        <v>25</v>
      </c>
      <c r="C43" s="89">
        <f>jagung!O16</f>
        <v>4</v>
      </c>
      <c r="D43" s="143">
        <f>jagung!O49</f>
        <v>3</v>
      </c>
      <c r="E43" s="89">
        <f>jagung!O82</f>
        <v>5.0999999999999996</v>
      </c>
      <c r="F43" s="154">
        <f>jagung!O115</f>
        <v>25.634999999999998</v>
      </c>
    </row>
    <row r="44" spans="1:6" ht="16.5" thickTop="1" thickBot="1" x14ac:dyDescent="0.3">
      <c r="A44" s="337" t="s">
        <v>26</v>
      </c>
      <c r="B44" s="338"/>
      <c r="C44" s="90">
        <f>SUM(C36:C43)</f>
        <v>30.5</v>
      </c>
      <c r="D44" s="90">
        <f>SUM(D36:D43)</f>
        <v>23</v>
      </c>
      <c r="E44" s="90">
        <f>SUM(E36:E43)</f>
        <v>39.1</v>
      </c>
      <c r="F44" s="153">
        <f>jagung!O116</f>
        <v>27.056111111111107</v>
      </c>
    </row>
    <row r="45" spans="1:6" x14ac:dyDescent="0.25">
      <c r="A45" s="98"/>
      <c r="C45" s="96"/>
      <c r="D45" s="96"/>
      <c r="E45" s="96"/>
      <c r="F45" s="97"/>
    </row>
    <row r="46" spans="1:6" x14ac:dyDescent="0.25">
      <c r="A46" s="95"/>
      <c r="B46" s="95"/>
      <c r="C46" s="96"/>
      <c r="D46" s="96"/>
      <c r="E46" s="96"/>
      <c r="F46" s="97"/>
    </row>
    <row r="47" spans="1:6" x14ac:dyDescent="0.25">
      <c r="A47" s="95"/>
      <c r="B47" s="95"/>
      <c r="C47" s="96"/>
      <c r="D47" s="96"/>
      <c r="E47" s="96"/>
      <c r="F47" s="97"/>
    </row>
    <row r="48" spans="1:6" x14ac:dyDescent="0.25">
      <c r="A48" s="95"/>
      <c r="B48" s="95"/>
      <c r="C48" s="96"/>
      <c r="D48" s="96"/>
      <c r="E48" s="96"/>
      <c r="F48" s="97"/>
    </row>
    <row r="49" spans="1:6" x14ac:dyDescent="0.25">
      <c r="A49" s="95"/>
      <c r="B49" s="95"/>
      <c r="C49" s="96"/>
      <c r="D49" s="96"/>
      <c r="E49" s="96"/>
      <c r="F49" s="97"/>
    </row>
    <row r="50" spans="1:6" x14ac:dyDescent="0.25">
      <c r="A50" s="95"/>
      <c r="B50" s="95"/>
      <c r="C50" s="96"/>
      <c r="D50" s="96"/>
      <c r="E50" s="96"/>
      <c r="F50" s="97"/>
    </row>
    <row r="51" spans="1:6" x14ac:dyDescent="0.25">
      <c r="A51" s="95"/>
      <c r="B51" s="95"/>
      <c r="C51" s="96"/>
      <c r="D51" s="96"/>
      <c r="E51" s="96"/>
      <c r="F51" s="97"/>
    </row>
    <row r="53" spans="1:6" ht="15.75" thickBot="1" x14ac:dyDescent="0.3">
      <c r="A53" s="75" t="s">
        <v>69</v>
      </c>
    </row>
    <row r="54" spans="1:6" x14ac:dyDescent="0.25">
      <c r="A54" s="334" t="s">
        <v>2</v>
      </c>
      <c r="B54" s="336" t="s">
        <v>3</v>
      </c>
      <c r="C54" s="77" t="s">
        <v>63</v>
      </c>
      <c r="D54" s="77" t="s">
        <v>64</v>
      </c>
      <c r="E54" s="77" t="s">
        <v>65</v>
      </c>
      <c r="F54" s="78" t="s">
        <v>62</v>
      </c>
    </row>
    <row r="55" spans="1:6" x14ac:dyDescent="0.25">
      <c r="A55" s="335"/>
      <c r="B55" s="324"/>
      <c r="C55" s="79" t="s">
        <v>1</v>
      </c>
      <c r="D55" s="79" t="s">
        <v>1</v>
      </c>
      <c r="E55" s="79" t="s">
        <v>29</v>
      </c>
      <c r="F55" s="80" t="s">
        <v>31</v>
      </c>
    </row>
    <row r="56" spans="1:6" ht="15.75" thickBot="1" x14ac:dyDescent="0.3">
      <c r="A56" s="81">
        <v>1</v>
      </c>
      <c r="B56" s="76">
        <v>2</v>
      </c>
      <c r="C56" s="76">
        <v>3</v>
      </c>
      <c r="D56" s="76">
        <v>4</v>
      </c>
      <c r="E56" s="76">
        <v>5</v>
      </c>
      <c r="F56" s="82">
        <v>6</v>
      </c>
    </row>
    <row r="57" spans="1:6" ht="15.75" thickTop="1" x14ac:dyDescent="0.25">
      <c r="A57" s="83">
        <v>1</v>
      </c>
      <c r="B57" s="7" t="s">
        <v>18</v>
      </c>
      <c r="C57" s="148">
        <f>kedelai!O9</f>
        <v>0</v>
      </c>
      <c r="D57" s="149">
        <f>kedelai!O42</f>
        <v>0</v>
      </c>
      <c r="E57" s="149">
        <f>kedelai!O75</f>
        <v>0</v>
      </c>
      <c r="F57" s="150">
        <f>kedelai!O108</f>
        <v>0</v>
      </c>
    </row>
    <row r="58" spans="1:6" x14ac:dyDescent="0.25">
      <c r="A58" s="84">
        <v>2</v>
      </c>
      <c r="B58" s="12" t="s">
        <v>19</v>
      </c>
      <c r="C58" s="88">
        <f>kedelai!O10</f>
        <v>0</v>
      </c>
      <c r="D58" s="141">
        <f>kedelai!O43</f>
        <v>0</v>
      </c>
      <c r="E58" s="141">
        <f>kedelai!O76</f>
        <v>0</v>
      </c>
      <c r="F58" s="142">
        <f>kedelai!O109</f>
        <v>0</v>
      </c>
    </row>
    <row r="59" spans="1:6" x14ac:dyDescent="0.25">
      <c r="A59" s="84">
        <v>3</v>
      </c>
      <c r="B59" s="7" t="s">
        <v>20</v>
      </c>
      <c r="C59" s="88">
        <f>kedelai!O11</f>
        <v>0</v>
      </c>
      <c r="D59" s="141">
        <f>kedelai!O44</f>
        <v>0</v>
      </c>
      <c r="E59" s="141">
        <f>kedelai!O77</f>
        <v>0</v>
      </c>
      <c r="F59" s="142">
        <f>kedelai!O110</f>
        <v>0</v>
      </c>
    </row>
    <row r="60" spans="1:6" x14ac:dyDescent="0.25">
      <c r="A60" s="85">
        <v>4</v>
      </c>
      <c r="B60" s="15" t="s">
        <v>21</v>
      </c>
      <c r="C60" s="88">
        <f>kedelai!O12</f>
        <v>0</v>
      </c>
      <c r="D60" s="141">
        <f>kedelai!O45</f>
        <v>0</v>
      </c>
      <c r="E60" s="141">
        <f>kedelai!O78</f>
        <v>0</v>
      </c>
      <c r="F60" s="142">
        <f>kedelai!O111</f>
        <v>0</v>
      </c>
    </row>
    <row r="61" spans="1:6" x14ac:dyDescent="0.25">
      <c r="A61" s="85">
        <v>5</v>
      </c>
      <c r="B61" s="19" t="s">
        <v>22</v>
      </c>
      <c r="C61" s="88">
        <f>kedelai!O13</f>
        <v>0</v>
      </c>
      <c r="D61" s="141">
        <f>kedelai!O46</f>
        <v>0</v>
      </c>
      <c r="E61" s="141">
        <f>kedelai!O79</f>
        <v>0</v>
      </c>
      <c r="F61" s="142">
        <f>kedelai!O112</f>
        <v>0</v>
      </c>
    </row>
    <row r="62" spans="1:6" x14ac:dyDescent="0.25">
      <c r="A62" s="85">
        <v>6</v>
      </c>
      <c r="B62" s="19" t="s">
        <v>23</v>
      </c>
      <c r="C62" s="88">
        <f>kedelai!O14</f>
        <v>0</v>
      </c>
      <c r="D62" s="141">
        <f>kedelai!O47</f>
        <v>0</v>
      </c>
      <c r="E62" s="141">
        <f>kedelai!O80</f>
        <v>0</v>
      </c>
      <c r="F62" s="142">
        <f>kedelai!O113</f>
        <v>0</v>
      </c>
    </row>
    <row r="63" spans="1:6" x14ac:dyDescent="0.25">
      <c r="A63" s="85">
        <v>7</v>
      </c>
      <c r="B63" s="19" t="s">
        <v>24</v>
      </c>
      <c r="C63" s="88">
        <f>kedelai!O15</f>
        <v>0</v>
      </c>
      <c r="D63" s="141">
        <f>kedelai!O48</f>
        <v>0</v>
      </c>
      <c r="E63" s="141">
        <f>kedelai!O81</f>
        <v>0</v>
      </c>
      <c r="F63" s="142">
        <f>kedelai!O114</f>
        <v>0</v>
      </c>
    </row>
    <row r="64" spans="1:6" ht="15.75" thickBot="1" x14ac:dyDescent="0.3">
      <c r="A64" s="86">
        <v>8</v>
      </c>
      <c r="B64" s="15" t="s">
        <v>25</v>
      </c>
      <c r="C64" s="89">
        <f>kedelai!O16</f>
        <v>0</v>
      </c>
      <c r="D64" s="143">
        <f>kedelai!O49</f>
        <v>0</v>
      </c>
      <c r="E64" s="143">
        <f>kedelai!O82</f>
        <v>0</v>
      </c>
      <c r="F64" s="144">
        <f>kedelai!O115</f>
        <v>0</v>
      </c>
    </row>
    <row r="65" spans="1:6" ht="16.5" thickTop="1" thickBot="1" x14ac:dyDescent="0.3">
      <c r="A65" s="337" t="s">
        <v>26</v>
      </c>
      <c r="B65" s="338"/>
      <c r="C65" s="90">
        <f>SUM(C57:C64)</f>
        <v>0</v>
      </c>
      <c r="D65" s="90">
        <f>SUM(D57:D64)</f>
        <v>0</v>
      </c>
      <c r="E65" s="90">
        <f>SUM(E57:E64)</f>
        <v>0</v>
      </c>
      <c r="F65" s="151">
        <f>kedelai!O116</f>
        <v>0</v>
      </c>
    </row>
    <row r="67" spans="1:6" ht="15.75" thickBot="1" x14ac:dyDescent="0.3">
      <c r="A67" s="75" t="s">
        <v>70</v>
      </c>
    </row>
    <row r="68" spans="1:6" x14ac:dyDescent="0.25">
      <c r="A68" s="334" t="s">
        <v>2</v>
      </c>
      <c r="B68" s="336" t="s">
        <v>3</v>
      </c>
      <c r="C68" s="77" t="s">
        <v>63</v>
      </c>
      <c r="D68" s="77" t="s">
        <v>64</v>
      </c>
      <c r="E68" s="77" t="s">
        <v>65</v>
      </c>
      <c r="F68" s="78" t="s">
        <v>62</v>
      </c>
    </row>
    <row r="69" spans="1:6" x14ac:dyDescent="0.25">
      <c r="A69" s="335"/>
      <c r="B69" s="324"/>
      <c r="C69" s="79" t="s">
        <v>1</v>
      </c>
      <c r="D69" s="79" t="s">
        <v>1</v>
      </c>
      <c r="E69" s="79" t="s">
        <v>29</v>
      </c>
      <c r="F69" s="80" t="s">
        <v>31</v>
      </c>
    </row>
    <row r="70" spans="1:6" ht="15.75" thickBot="1" x14ac:dyDescent="0.3">
      <c r="A70" s="81">
        <v>1</v>
      </c>
      <c r="B70" s="76">
        <v>2</v>
      </c>
      <c r="C70" s="76">
        <v>3</v>
      </c>
      <c r="D70" s="76">
        <v>4</v>
      </c>
      <c r="E70" s="76">
        <v>5</v>
      </c>
      <c r="F70" s="82">
        <v>6</v>
      </c>
    </row>
    <row r="71" spans="1:6" ht="15.75" thickTop="1" x14ac:dyDescent="0.25">
      <c r="A71" s="83">
        <v>1</v>
      </c>
      <c r="B71" s="7" t="s">
        <v>18</v>
      </c>
      <c r="C71" s="145">
        <f>'kc tanah'!O9</f>
        <v>100</v>
      </c>
      <c r="D71" s="146">
        <f>'kc tanah'!O42</f>
        <v>100</v>
      </c>
      <c r="E71" s="146">
        <f>'kc tanah'!O75</f>
        <v>106.3</v>
      </c>
      <c r="F71" s="147">
        <f>'kc tanah'!O108</f>
        <v>10.629999999999999</v>
      </c>
    </row>
    <row r="72" spans="1:6" x14ac:dyDescent="0.25">
      <c r="A72" s="84">
        <v>2</v>
      </c>
      <c r="B72" s="12" t="s">
        <v>19</v>
      </c>
      <c r="C72" s="88">
        <f>'kc tanah'!O10</f>
        <v>343</v>
      </c>
      <c r="D72" s="141">
        <f>'kc tanah'!O43</f>
        <v>325</v>
      </c>
      <c r="E72" s="141">
        <f>'kc tanah'!O76</f>
        <v>397.8</v>
      </c>
      <c r="F72" s="142">
        <f>'kc tanah'!O109</f>
        <v>12.24</v>
      </c>
    </row>
    <row r="73" spans="1:6" x14ac:dyDescent="0.25">
      <c r="A73" s="84">
        <v>3</v>
      </c>
      <c r="B73" s="7" t="s">
        <v>20</v>
      </c>
      <c r="C73" s="88">
        <f>'kc tanah'!O11</f>
        <v>440</v>
      </c>
      <c r="D73" s="141">
        <f>'kc tanah'!O44</f>
        <v>440</v>
      </c>
      <c r="E73" s="141">
        <f>'kc tanah'!O77</f>
        <v>508.59999999999997</v>
      </c>
      <c r="F73" s="142">
        <f>'kc tanah'!O110</f>
        <v>11.559090909090909</v>
      </c>
    </row>
    <row r="74" spans="1:6" x14ac:dyDescent="0.25">
      <c r="A74" s="85">
        <v>4</v>
      </c>
      <c r="B74" s="15" t="s">
        <v>21</v>
      </c>
      <c r="C74" s="88">
        <f>'kc tanah'!O12</f>
        <v>99</v>
      </c>
      <c r="D74" s="141">
        <f>'kc tanah'!O45</f>
        <v>88</v>
      </c>
      <c r="E74" s="141">
        <f>'kc tanah'!O78</f>
        <v>110.29999999999998</v>
      </c>
      <c r="F74" s="142">
        <f>'kc tanah'!O111</f>
        <v>12.534090909090907</v>
      </c>
    </row>
    <row r="75" spans="1:6" x14ac:dyDescent="0.25">
      <c r="A75" s="85">
        <v>5</v>
      </c>
      <c r="B75" s="19" t="s">
        <v>22</v>
      </c>
      <c r="C75" s="88">
        <f>'kc tanah'!O13</f>
        <v>87</v>
      </c>
      <c r="D75" s="141">
        <f>'kc tanah'!O46</f>
        <v>333</v>
      </c>
      <c r="E75" s="141">
        <f>'kc tanah'!O79</f>
        <v>371.90000000000003</v>
      </c>
      <c r="F75" s="142">
        <f>'kc tanah'!O112</f>
        <v>11.168168168168169</v>
      </c>
    </row>
    <row r="76" spans="1:6" x14ac:dyDescent="0.25">
      <c r="A76" s="85">
        <v>6</v>
      </c>
      <c r="B76" s="19" t="s">
        <v>23</v>
      </c>
      <c r="C76" s="88">
        <f>'kc tanah'!O14</f>
        <v>393</v>
      </c>
      <c r="D76" s="141">
        <f>'kc tanah'!O47</f>
        <v>137</v>
      </c>
      <c r="E76" s="141">
        <f>'kc tanah'!O80</f>
        <v>166.7</v>
      </c>
      <c r="F76" s="142">
        <f>'kc tanah'!O113</f>
        <v>12.167883211678831</v>
      </c>
    </row>
    <row r="77" spans="1:6" x14ac:dyDescent="0.25">
      <c r="A77" s="85">
        <v>7</v>
      </c>
      <c r="B77" s="19" t="s">
        <v>24</v>
      </c>
      <c r="C77" s="88">
        <f>'kc tanah'!O15</f>
        <v>1</v>
      </c>
      <c r="D77" s="141">
        <f>'kc tanah'!O48</f>
        <v>2</v>
      </c>
      <c r="E77" s="141">
        <f>'kc tanah'!O81</f>
        <v>2.2000000000000002</v>
      </c>
      <c r="F77" s="142">
        <f>'kc tanah'!O114</f>
        <v>11</v>
      </c>
    </row>
    <row r="78" spans="1:6" ht="15.75" thickBot="1" x14ac:dyDescent="0.3">
      <c r="A78" s="86">
        <v>8</v>
      </c>
      <c r="B78" s="15" t="s">
        <v>25</v>
      </c>
      <c r="C78" s="89">
        <f>'kc tanah'!O16</f>
        <v>300</v>
      </c>
      <c r="D78" s="143">
        <f>'kc tanah'!O49</f>
        <v>298</v>
      </c>
      <c r="E78" s="143">
        <f>'kc tanah'!O82</f>
        <v>357.00000000000006</v>
      </c>
      <c r="F78" s="144">
        <f>'kc tanah'!O115</f>
        <v>11.979865771812081</v>
      </c>
    </row>
    <row r="79" spans="1:6" ht="16.5" thickTop="1" thickBot="1" x14ac:dyDescent="0.3">
      <c r="A79" s="337" t="s">
        <v>26</v>
      </c>
      <c r="B79" s="338"/>
      <c r="C79" s="90">
        <f>SUM(C71:C78)</f>
        <v>1763</v>
      </c>
      <c r="D79" s="90">
        <f>SUM(D71:D78)</f>
        <v>1723</v>
      </c>
      <c r="E79" s="90">
        <f>SUM(E71:E78)</f>
        <v>2020.8000000000002</v>
      </c>
      <c r="F79" s="93">
        <f>E79/D79*10</f>
        <v>11.728380731282648</v>
      </c>
    </row>
    <row r="81" spans="1:6" ht="15.75" thickBot="1" x14ac:dyDescent="0.3">
      <c r="A81" s="75" t="s">
        <v>71</v>
      </c>
    </row>
    <row r="82" spans="1:6" x14ac:dyDescent="0.25">
      <c r="A82" s="334" t="s">
        <v>2</v>
      </c>
      <c r="B82" s="336" t="s">
        <v>3</v>
      </c>
      <c r="C82" s="77" t="s">
        <v>63</v>
      </c>
      <c r="D82" s="77" t="s">
        <v>64</v>
      </c>
      <c r="E82" s="77" t="s">
        <v>65</v>
      </c>
      <c r="F82" s="78" t="s">
        <v>62</v>
      </c>
    </row>
    <row r="83" spans="1:6" x14ac:dyDescent="0.25">
      <c r="A83" s="335"/>
      <c r="B83" s="324"/>
      <c r="C83" s="79" t="s">
        <v>1</v>
      </c>
      <c r="D83" s="79" t="s">
        <v>1</v>
      </c>
      <c r="E83" s="79" t="s">
        <v>29</v>
      </c>
      <c r="F83" s="80" t="s">
        <v>31</v>
      </c>
    </row>
    <row r="84" spans="1:6" ht="15.75" thickBot="1" x14ac:dyDescent="0.3">
      <c r="A84" s="81">
        <v>1</v>
      </c>
      <c r="B84" s="76">
        <v>2</v>
      </c>
      <c r="C84" s="76">
        <v>3</v>
      </c>
      <c r="D84" s="76">
        <v>4</v>
      </c>
      <c r="E84" s="76">
        <v>5</v>
      </c>
      <c r="F84" s="82">
        <v>6</v>
      </c>
    </row>
    <row r="85" spans="1:6" ht="15.75" thickTop="1" x14ac:dyDescent="0.25">
      <c r="A85" s="83">
        <v>1</v>
      </c>
      <c r="B85" s="7" t="s">
        <v>18</v>
      </c>
      <c r="C85" s="145">
        <f>'ubi kayu'!O9</f>
        <v>31</v>
      </c>
      <c r="D85" s="146">
        <f>'ubi kayu'!O41</f>
        <v>5</v>
      </c>
      <c r="E85" s="146">
        <f>'ubi kayu'!O75</f>
        <v>60.4</v>
      </c>
      <c r="F85" s="147">
        <f>'ubi kayu'!O103</f>
        <v>120.8</v>
      </c>
    </row>
    <row r="86" spans="1:6" x14ac:dyDescent="0.25">
      <c r="A86" s="84">
        <v>2</v>
      </c>
      <c r="B86" s="12" t="s">
        <v>19</v>
      </c>
      <c r="C86" s="88">
        <f>'ubi kayu'!O10</f>
        <v>5</v>
      </c>
      <c r="D86" s="141">
        <f>'ubi kayu'!O42</f>
        <v>4</v>
      </c>
      <c r="E86" s="141">
        <f>'ubi kayu'!O76</f>
        <v>51.400000000000006</v>
      </c>
      <c r="F86" s="142">
        <f>'ubi kayu'!O104</f>
        <v>128.5</v>
      </c>
    </row>
    <row r="87" spans="1:6" x14ac:dyDescent="0.25">
      <c r="A87" s="84">
        <v>3</v>
      </c>
      <c r="B87" s="7" t="s">
        <v>20</v>
      </c>
      <c r="C87" s="88">
        <f>'ubi kayu'!O11</f>
        <v>65</v>
      </c>
      <c r="D87" s="141">
        <f>'ubi kayu'!O43</f>
        <v>0</v>
      </c>
      <c r="E87" s="141">
        <f>'ubi kayu'!O77</f>
        <v>0</v>
      </c>
      <c r="F87" s="142">
        <f>'ubi kayu'!O105</f>
        <v>0</v>
      </c>
    </row>
    <row r="88" spans="1:6" x14ac:dyDescent="0.25">
      <c r="A88" s="85">
        <v>4</v>
      </c>
      <c r="B88" s="15" t="s">
        <v>21</v>
      </c>
      <c r="C88" s="88">
        <f>'ubi kayu'!O12</f>
        <v>1</v>
      </c>
      <c r="D88" s="141">
        <f>'ubi kayu'!O44</f>
        <v>0</v>
      </c>
      <c r="E88" s="141">
        <f>'ubi kayu'!O78</f>
        <v>0</v>
      </c>
      <c r="F88" s="142">
        <f>'ubi kayu'!O106</f>
        <v>0</v>
      </c>
    </row>
    <row r="89" spans="1:6" x14ac:dyDescent="0.25">
      <c r="A89" s="85">
        <v>5</v>
      </c>
      <c r="B89" s="19" t="s">
        <v>22</v>
      </c>
      <c r="C89" s="88">
        <f>'ubi kayu'!O13</f>
        <v>0</v>
      </c>
      <c r="D89" s="141">
        <f>'ubi kayu'!O45</f>
        <v>3</v>
      </c>
      <c r="E89" s="141">
        <f>'ubi kayu'!O79</f>
        <v>45</v>
      </c>
      <c r="F89" s="142">
        <f>'ubi kayu'!O107</f>
        <v>150</v>
      </c>
    </row>
    <row r="90" spans="1:6" x14ac:dyDescent="0.25">
      <c r="A90" s="85">
        <v>6</v>
      </c>
      <c r="B90" s="19" t="s">
        <v>23</v>
      </c>
      <c r="C90" s="88">
        <f>'ubi kayu'!O14</f>
        <v>0</v>
      </c>
      <c r="D90" s="141">
        <f>'ubi kayu'!O46</f>
        <v>1</v>
      </c>
      <c r="E90" s="141">
        <f>'ubi kayu'!O80</f>
        <v>10</v>
      </c>
      <c r="F90" s="142">
        <f>'ubi kayu'!O108</f>
        <v>100</v>
      </c>
    </row>
    <row r="91" spans="1:6" x14ac:dyDescent="0.25">
      <c r="A91" s="85">
        <v>7</v>
      </c>
      <c r="B91" s="19" t="s">
        <v>24</v>
      </c>
      <c r="C91" s="88">
        <f>'ubi kayu'!O15</f>
        <v>2</v>
      </c>
      <c r="D91" s="141">
        <f>'ubi kayu'!O47</f>
        <v>1</v>
      </c>
      <c r="E91" s="141">
        <f>'ubi kayu'!O81</f>
        <v>18</v>
      </c>
      <c r="F91" s="142">
        <f>'ubi kayu'!O109</f>
        <v>180</v>
      </c>
    </row>
    <row r="92" spans="1:6" ht="15.75" thickBot="1" x14ac:dyDescent="0.3">
      <c r="A92" s="86">
        <v>8</v>
      </c>
      <c r="B92" s="15" t="s">
        <v>25</v>
      </c>
      <c r="C92" s="89">
        <f>'ubi kayu'!O16</f>
        <v>8</v>
      </c>
      <c r="D92" s="143">
        <f>'ubi kayu'!O48</f>
        <v>6</v>
      </c>
      <c r="E92" s="143">
        <f>'ubi kayu'!O82</f>
        <v>79</v>
      </c>
      <c r="F92" s="144">
        <f>'ubi kayu'!O110</f>
        <v>131.66666666666666</v>
      </c>
    </row>
    <row r="93" spans="1:6" ht="16.5" thickTop="1" thickBot="1" x14ac:dyDescent="0.3">
      <c r="A93" s="337" t="s">
        <v>26</v>
      </c>
      <c r="B93" s="338"/>
      <c r="C93" s="90">
        <f>SUM(C85:C92)</f>
        <v>112</v>
      </c>
      <c r="D93" s="90">
        <f>SUM(D85:D92)</f>
        <v>20</v>
      </c>
      <c r="E93" s="90">
        <f>SUM(E85:E92)</f>
        <v>263.8</v>
      </c>
      <c r="F93" s="93">
        <f>E93/D93*10</f>
        <v>131.9</v>
      </c>
    </row>
    <row r="104" spans="1:6" ht="15.75" thickBot="1" x14ac:dyDescent="0.3">
      <c r="A104" s="75" t="s">
        <v>72</v>
      </c>
    </row>
    <row r="105" spans="1:6" x14ac:dyDescent="0.25">
      <c r="A105" s="334" t="s">
        <v>2</v>
      </c>
      <c r="B105" s="336" t="s">
        <v>3</v>
      </c>
      <c r="C105" s="77" t="s">
        <v>63</v>
      </c>
      <c r="D105" s="77" t="s">
        <v>64</v>
      </c>
      <c r="E105" s="77" t="s">
        <v>65</v>
      </c>
      <c r="F105" s="78" t="s">
        <v>62</v>
      </c>
    </row>
    <row r="106" spans="1:6" x14ac:dyDescent="0.25">
      <c r="A106" s="335"/>
      <c r="B106" s="324"/>
      <c r="C106" s="79" t="s">
        <v>1</v>
      </c>
      <c r="D106" s="79" t="s">
        <v>1</v>
      </c>
      <c r="E106" s="79" t="s">
        <v>29</v>
      </c>
      <c r="F106" s="80" t="s">
        <v>31</v>
      </c>
    </row>
    <row r="107" spans="1:6" ht="15.75" thickBot="1" x14ac:dyDescent="0.3">
      <c r="A107" s="81">
        <v>1</v>
      </c>
      <c r="B107" s="76">
        <v>2</v>
      </c>
      <c r="C107" s="76">
        <v>3</v>
      </c>
      <c r="D107" s="76">
        <v>4</v>
      </c>
      <c r="E107" s="76">
        <v>5</v>
      </c>
      <c r="F107" s="82">
        <v>6</v>
      </c>
    </row>
    <row r="108" spans="1:6" ht="15.75" thickTop="1" x14ac:dyDescent="0.25">
      <c r="A108" s="83">
        <v>1</v>
      </c>
      <c r="B108" s="7" t="s">
        <v>18</v>
      </c>
      <c r="C108" s="145">
        <f>'ubi jalar'!O9</f>
        <v>22</v>
      </c>
      <c r="D108" s="146">
        <f>'ubi jalar'!O42</f>
        <v>10</v>
      </c>
      <c r="E108" s="146">
        <f>'ubi jalar'!O75</f>
        <v>96.7</v>
      </c>
      <c r="F108" s="147">
        <f>'ubi jalar'!O108</f>
        <v>96.7</v>
      </c>
    </row>
    <row r="109" spans="1:6" x14ac:dyDescent="0.25">
      <c r="A109" s="84">
        <v>2</v>
      </c>
      <c r="B109" s="12" t="s">
        <v>19</v>
      </c>
      <c r="C109" s="88">
        <f>'ubi jalar'!O10</f>
        <v>7</v>
      </c>
      <c r="D109" s="141">
        <f>'ubi jalar'!O43</f>
        <v>5</v>
      </c>
      <c r="E109" s="141">
        <f>'ubi jalar'!O76</f>
        <v>51.500000000000007</v>
      </c>
      <c r="F109" s="142">
        <f>'ubi jalar'!O109</f>
        <v>103</v>
      </c>
    </row>
    <row r="110" spans="1:6" x14ac:dyDescent="0.25">
      <c r="A110" s="84">
        <v>3</v>
      </c>
      <c r="B110" s="7" t="s">
        <v>20</v>
      </c>
      <c r="C110" s="88">
        <f>'ubi jalar'!O11</f>
        <v>0</v>
      </c>
      <c r="D110" s="141">
        <f>'ubi jalar'!O44</f>
        <v>0</v>
      </c>
      <c r="E110" s="141">
        <f>'ubi jalar'!O77</f>
        <v>0</v>
      </c>
      <c r="F110" s="142">
        <v>0</v>
      </c>
    </row>
    <row r="111" spans="1:6" x14ac:dyDescent="0.25">
      <c r="A111" s="85">
        <v>4</v>
      </c>
      <c r="B111" s="15" t="s">
        <v>21</v>
      </c>
      <c r="C111" s="88">
        <f>'ubi jalar'!O12</f>
        <v>2</v>
      </c>
      <c r="D111" s="141">
        <f>'ubi jalar'!O45</f>
        <v>1</v>
      </c>
      <c r="E111" s="141">
        <f>'ubi jalar'!O78</f>
        <v>10.8</v>
      </c>
      <c r="F111" s="142">
        <f>'ubi jalar'!O111</f>
        <v>108</v>
      </c>
    </row>
    <row r="112" spans="1:6" x14ac:dyDescent="0.25">
      <c r="A112" s="85">
        <v>5</v>
      </c>
      <c r="B112" s="19" t="s">
        <v>22</v>
      </c>
      <c r="C112" s="88">
        <f>'ubi jalar'!O13</f>
        <v>0</v>
      </c>
      <c r="D112" s="141">
        <f>'ubi jalar'!O46</f>
        <v>0</v>
      </c>
      <c r="E112" s="141">
        <f>'ubi jalar'!O79</f>
        <v>0</v>
      </c>
      <c r="F112" s="142">
        <f>'ubi jalar'!O112</f>
        <v>0</v>
      </c>
    </row>
    <row r="113" spans="1:6" x14ac:dyDescent="0.25">
      <c r="A113" s="85">
        <v>6</v>
      </c>
      <c r="B113" s="19" t="s">
        <v>23</v>
      </c>
      <c r="C113" s="88">
        <f>'ubi jalar'!O14</f>
        <v>2</v>
      </c>
      <c r="D113" s="141">
        <f>'ubi jalar'!O47</f>
        <v>2</v>
      </c>
      <c r="E113" s="141">
        <f>'ubi jalar'!O80</f>
        <v>18.600000000000001</v>
      </c>
      <c r="F113" s="142">
        <f>'ubi jalar'!O113</f>
        <v>93</v>
      </c>
    </row>
    <row r="114" spans="1:6" x14ac:dyDescent="0.25">
      <c r="A114" s="85">
        <v>7</v>
      </c>
      <c r="B114" s="19" t="s">
        <v>24</v>
      </c>
      <c r="C114" s="88">
        <f>'ubi jalar'!O15</f>
        <v>0</v>
      </c>
      <c r="D114" s="141">
        <f>'ubi jalar'!O48</f>
        <v>0</v>
      </c>
      <c r="E114" s="141">
        <f>'ubi jalar'!O81</f>
        <v>0</v>
      </c>
      <c r="F114" s="142">
        <v>0</v>
      </c>
    </row>
    <row r="115" spans="1:6" ht="15.75" thickBot="1" x14ac:dyDescent="0.3">
      <c r="A115" s="86">
        <v>8</v>
      </c>
      <c r="B115" s="15" t="s">
        <v>25</v>
      </c>
      <c r="C115" s="89">
        <f>'ubi jalar'!O16</f>
        <v>1</v>
      </c>
      <c r="D115" s="143">
        <f>'ubi jalar'!O49</f>
        <v>2</v>
      </c>
      <c r="E115" s="143">
        <f>'ubi jalar'!O82</f>
        <v>19.100000000000001</v>
      </c>
      <c r="F115" s="144">
        <v>0</v>
      </c>
    </row>
    <row r="116" spans="1:6" ht="16.5" thickTop="1" thickBot="1" x14ac:dyDescent="0.3">
      <c r="A116" s="337" t="s">
        <v>26</v>
      </c>
      <c r="B116" s="338"/>
      <c r="C116" s="90">
        <f>SUM(C108:C115)</f>
        <v>34</v>
      </c>
      <c r="D116" s="90">
        <f>SUM(D108:D115)</f>
        <v>20</v>
      </c>
      <c r="E116" s="90">
        <f>SUM(E108:E115)</f>
        <v>196.70000000000002</v>
      </c>
      <c r="F116" s="93">
        <f>E116/D116*10</f>
        <v>98.350000000000009</v>
      </c>
    </row>
    <row r="118" spans="1:6" ht="15.75" thickBot="1" x14ac:dyDescent="0.3">
      <c r="A118" s="75" t="s">
        <v>73</v>
      </c>
    </row>
    <row r="119" spans="1:6" x14ac:dyDescent="0.25">
      <c r="A119" s="334" t="s">
        <v>2</v>
      </c>
      <c r="B119" s="336" t="s">
        <v>3</v>
      </c>
      <c r="C119" s="77" t="s">
        <v>63</v>
      </c>
      <c r="D119" s="77" t="s">
        <v>64</v>
      </c>
      <c r="E119" s="77" t="s">
        <v>65</v>
      </c>
      <c r="F119" s="78" t="s">
        <v>62</v>
      </c>
    </row>
    <row r="120" spans="1:6" x14ac:dyDescent="0.25">
      <c r="A120" s="335"/>
      <c r="B120" s="324"/>
      <c r="C120" s="79" t="s">
        <v>1</v>
      </c>
      <c r="D120" s="79" t="s">
        <v>1</v>
      </c>
      <c r="E120" s="79" t="s">
        <v>29</v>
      </c>
      <c r="F120" s="80" t="s">
        <v>31</v>
      </c>
    </row>
    <row r="121" spans="1:6" ht="15.75" thickBot="1" x14ac:dyDescent="0.3">
      <c r="A121" s="81">
        <v>1</v>
      </c>
      <c r="B121" s="76">
        <v>2</v>
      </c>
      <c r="C121" s="76">
        <v>3</v>
      </c>
      <c r="D121" s="76">
        <v>4</v>
      </c>
      <c r="E121" s="76">
        <v>5</v>
      </c>
      <c r="F121" s="82">
        <v>6</v>
      </c>
    </row>
    <row r="122" spans="1:6" ht="15.75" thickTop="1" x14ac:dyDescent="0.25">
      <c r="A122" s="83">
        <v>1</v>
      </c>
      <c r="B122" s="7" t="s">
        <v>18</v>
      </c>
      <c r="C122" s="87">
        <f>'kc ijo'!O9</f>
        <v>7</v>
      </c>
      <c r="D122" s="94">
        <f>'kc ijo'!O42</f>
        <v>6</v>
      </c>
      <c r="E122" s="94">
        <f>'kc ijo'!O75</f>
        <v>4.8</v>
      </c>
      <c r="F122" s="140">
        <f>'kc ijo'!O108</f>
        <v>7.9999999999999991</v>
      </c>
    </row>
    <row r="123" spans="1:6" x14ac:dyDescent="0.25">
      <c r="A123" s="84">
        <v>2</v>
      </c>
      <c r="B123" s="12" t="s">
        <v>19</v>
      </c>
      <c r="C123" s="88">
        <f>'kc ijo'!O10</f>
        <v>0</v>
      </c>
      <c r="D123" s="141">
        <f>'kc ijo'!O43</f>
        <v>1</v>
      </c>
      <c r="E123" s="141">
        <f>'kc ijo'!O76</f>
        <v>0.9</v>
      </c>
      <c r="F123" s="142">
        <f>'kc ijo'!O109</f>
        <v>9.1</v>
      </c>
    </row>
    <row r="124" spans="1:6" x14ac:dyDescent="0.25">
      <c r="A124" s="84">
        <v>3</v>
      </c>
      <c r="B124" s="7" t="s">
        <v>20</v>
      </c>
      <c r="C124" s="88">
        <f>'kc ijo'!O11</f>
        <v>0</v>
      </c>
      <c r="D124" s="141">
        <f>'kc ijo'!O44</f>
        <v>0</v>
      </c>
      <c r="E124" s="141">
        <f>'kc ijo'!O77</f>
        <v>0</v>
      </c>
      <c r="F124" s="142">
        <f>'kc ijo'!O110</f>
        <v>0</v>
      </c>
    </row>
    <row r="125" spans="1:6" x14ac:dyDescent="0.25">
      <c r="A125" s="85">
        <v>4</v>
      </c>
      <c r="B125" s="15" t="s">
        <v>21</v>
      </c>
      <c r="C125" s="88">
        <f>'kc ijo'!O12</f>
        <v>35</v>
      </c>
      <c r="D125" s="141">
        <f>'kc ijo'!O45</f>
        <v>35</v>
      </c>
      <c r="E125" s="141">
        <f>'kc ijo'!O78</f>
        <v>29.9</v>
      </c>
      <c r="F125" s="142">
        <f>'kc ijo'!O111</f>
        <v>8.5428571428571427</v>
      </c>
    </row>
    <row r="126" spans="1:6" x14ac:dyDescent="0.25">
      <c r="A126" s="85">
        <v>5</v>
      </c>
      <c r="B126" s="19" t="s">
        <v>22</v>
      </c>
      <c r="C126" s="88">
        <f>'kc ijo'!O13</f>
        <v>0</v>
      </c>
      <c r="D126" s="141">
        <f>'kc ijo'!O46</f>
        <v>0</v>
      </c>
      <c r="E126" s="141">
        <f>'kc ijo'!O79</f>
        <v>0</v>
      </c>
      <c r="F126" s="142">
        <f>'kc ijo'!O112</f>
        <v>0</v>
      </c>
    </row>
    <row r="127" spans="1:6" x14ac:dyDescent="0.25">
      <c r="A127" s="85">
        <v>6</v>
      </c>
      <c r="B127" s="19" t="s">
        <v>23</v>
      </c>
      <c r="C127" s="88">
        <f>'kc ijo'!O14</f>
        <v>0</v>
      </c>
      <c r="D127" s="141">
        <f>'kc ijo'!O47</f>
        <v>0</v>
      </c>
      <c r="E127" s="141">
        <f>'kc ijo'!O80</f>
        <v>0</v>
      </c>
      <c r="F127" s="142">
        <f>'kc ijo'!O113</f>
        <v>0</v>
      </c>
    </row>
    <row r="128" spans="1:6" x14ac:dyDescent="0.25">
      <c r="A128" s="85">
        <v>7</v>
      </c>
      <c r="B128" s="19" t="s">
        <v>24</v>
      </c>
      <c r="C128" s="88">
        <f>'kc ijo'!O15</f>
        <v>0</v>
      </c>
      <c r="D128" s="141">
        <f>'kc ijo'!O48</f>
        <v>0</v>
      </c>
      <c r="E128" s="141">
        <f>'kc ijo'!O81</f>
        <v>0</v>
      </c>
      <c r="F128" s="142">
        <f>'kc ijo'!O114</f>
        <v>0</v>
      </c>
    </row>
    <row r="129" spans="1:6" ht="15.75" thickBot="1" x14ac:dyDescent="0.3">
      <c r="A129" s="86">
        <v>8</v>
      </c>
      <c r="B129" s="15" t="s">
        <v>25</v>
      </c>
      <c r="C129" s="89">
        <f>'kc ijo'!O16</f>
        <v>1</v>
      </c>
      <c r="D129" s="143">
        <f>'kc ijo'!O49</f>
        <v>2</v>
      </c>
      <c r="E129" s="143">
        <f>'kc ijo'!O82</f>
        <v>1.6</v>
      </c>
      <c r="F129" s="144">
        <f>'kc ijo'!O115</f>
        <v>8</v>
      </c>
    </row>
    <row r="130" spans="1:6" ht="16.5" thickTop="1" thickBot="1" x14ac:dyDescent="0.3">
      <c r="A130" s="337" t="s">
        <v>26</v>
      </c>
      <c r="B130" s="338"/>
      <c r="C130" s="90">
        <f>SUM(C122:C129)</f>
        <v>43</v>
      </c>
      <c r="D130" s="90">
        <f>SUM(D122:D129)</f>
        <v>44</v>
      </c>
      <c r="E130" s="90">
        <f>SUM(E122:E129)</f>
        <v>37.200000000000003</v>
      </c>
      <c r="F130" s="93">
        <f>E130/D130*10</f>
        <v>8.454545454545455</v>
      </c>
    </row>
    <row r="132" spans="1:6" ht="15.75" thickBot="1" x14ac:dyDescent="0.3">
      <c r="A132" s="75" t="s">
        <v>187</v>
      </c>
    </row>
    <row r="133" spans="1:6" x14ac:dyDescent="0.25">
      <c r="A133" s="334" t="s">
        <v>2</v>
      </c>
      <c r="B133" s="336" t="s">
        <v>3</v>
      </c>
      <c r="C133" s="77" t="s">
        <v>63</v>
      </c>
      <c r="D133" s="77" t="s">
        <v>64</v>
      </c>
      <c r="E133" s="77" t="s">
        <v>65</v>
      </c>
      <c r="F133" s="78" t="s">
        <v>62</v>
      </c>
    </row>
    <row r="134" spans="1:6" x14ac:dyDescent="0.25">
      <c r="A134" s="335"/>
      <c r="B134" s="324"/>
      <c r="C134" s="79" t="s">
        <v>1</v>
      </c>
      <c r="D134" s="79" t="s">
        <v>1</v>
      </c>
      <c r="E134" s="79" t="s">
        <v>29</v>
      </c>
      <c r="F134" s="80" t="s">
        <v>31</v>
      </c>
    </row>
    <row r="135" spans="1:6" ht="15.75" thickBot="1" x14ac:dyDescent="0.3">
      <c r="A135" s="81">
        <v>1</v>
      </c>
      <c r="B135" s="76">
        <v>2</v>
      </c>
      <c r="C135" s="76">
        <v>3</v>
      </c>
      <c r="D135" s="76">
        <v>4</v>
      </c>
      <c r="E135" s="76">
        <v>5</v>
      </c>
      <c r="F135" s="82">
        <v>6</v>
      </c>
    </row>
    <row r="136" spans="1:6" ht="15.75" thickTop="1" x14ac:dyDescent="0.25">
      <c r="A136" s="83">
        <v>1</v>
      </c>
      <c r="B136" s="7" t="s">
        <v>18</v>
      </c>
      <c r="C136" s="87">
        <f>talas!O9</f>
        <v>0</v>
      </c>
      <c r="D136" s="94">
        <f>talas!O42</f>
        <v>0</v>
      </c>
      <c r="E136" s="313">
        <f>talas!O75</f>
        <v>0</v>
      </c>
      <c r="F136" s="140">
        <f>talas!O108</f>
        <v>0</v>
      </c>
    </row>
    <row r="137" spans="1:6" x14ac:dyDescent="0.25">
      <c r="A137" s="84">
        <v>2</v>
      </c>
      <c r="B137" s="12" t="s">
        <v>19</v>
      </c>
      <c r="C137" s="88">
        <f>talas!O10</f>
        <v>1</v>
      </c>
      <c r="D137" s="141">
        <f>talas!O43</f>
        <v>1</v>
      </c>
      <c r="E137" s="319">
        <f>talas!O76</f>
        <v>9.8000000000000007</v>
      </c>
      <c r="F137" s="142">
        <f>talas!O109</f>
        <v>98.02</v>
      </c>
    </row>
    <row r="138" spans="1:6" x14ac:dyDescent="0.25">
      <c r="A138" s="84">
        <v>3</v>
      </c>
      <c r="B138" s="7" t="s">
        <v>20</v>
      </c>
      <c r="C138" s="88">
        <f>talas!O11</f>
        <v>0</v>
      </c>
      <c r="D138" s="141">
        <f>talas!O44</f>
        <v>0</v>
      </c>
      <c r="E138" s="319">
        <f>talas!O77</f>
        <v>0</v>
      </c>
      <c r="F138" s="142">
        <f>talas!O110</f>
        <v>0</v>
      </c>
    </row>
    <row r="139" spans="1:6" x14ac:dyDescent="0.25">
      <c r="A139" s="85">
        <v>4</v>
      </c>
      <c r="B139" s="15" t="s">
        <v>21</v>
      </c>
      <c r="C139" s="88">
        <f>talas!O12</f>
        <v>0</v>
      </c>
      <c r="D139" s="141">
        <f>talas!O45</f>
        <v>0</v>
      </c>
      <c r="E139" s="319">
        <f>talas!O78</f>
        <v>0</v>
      </c>
      <c r="F139" s="142">
        <f>talas!O111</f>
        <v>0</v>
      </c>
    </row>
    <row r="140" spans="1:6" x14ac:dyDescent="0.25">
      <c r="A140" s="85">
        <v>5</v>
      </c>
      <c r="B140" s="19" t="s">
        <v>22</v>
      </c>
      <c r="C140" s="88">
        <f>talas!O13</f>
        <v>1</v>
      </c>
      <c r="D140" s="141">
        <f>talas!O46</f>
        <v>0</v>
      </c>
      <c r="E140" s="319">
        <f>talas!O79</f>
        <v>0</v>
      </c>
      <c r="F140" s="142">
        <f>talas!O112</f>
        <v>0</v>
      </c>
    </row>
    <row r="141" spans="1:6" x14ac:dyDescent="0.25">
      <c r="A141" s="85">
        <v>6</v>
      </c>
      <c r="B141" s="19" t="s">
        <v>23</v>
      </c>
      <c r="C141" s="88">
        <f>talas!O14</f>
        <v>0</v>
      </c>
      <c r="D141" s="141">
        <f>talas!O47</f>
        <v>0</v>
      </c>
      <c r="E141" s="319">
        <f>talas!O80</f>
        <v>0</v>
      </c>
      <c r="F141" s="142">
        <f>talas!O113</f>
        <v>0</v>
      </c>
    </row>
    <row r="142" spans="1:6" x14ac:dyDescent="0.25">
      <c r="A142" s="85">
        <v>7</v>
      </c>
      <c r="B142" s="19" t="s">
        <v>24</v>
      </c>
      <c r="C142" s="88">
        <f>talas!O15</f>
        <v>0</v>
      </c>
      <c r="D142" s="141">
        <f>talas!O48</f>
        <v>0</v>
      </c>
      <c r="E142" s="319">
        <f>talas!O81</f>
        <v>0</v>
      </c>
      <c r="F142" s="142">
        <f>talas!O114</f>
        <v>0</v>
      </c>
    </row>
    <row r="143" spans="1:6" ht="15.75" thickBot="1" x14ac:dyDescent="0.3">
      <c r="A143" s="86">
        <v>8</v>
      </c>
      <c r="B143" s="15" t="s">
        <v>25</v>
      </c>
      <c r="C143" s="315">
        <f>talas!O16</f>
        <v>0</v>
      </c>
      <c r="D143" s="316">
        <f>talas!O49</f>
        <v>0</v>
      </c>
      <c r="E143" s="317">
        <f>talas!O82</f>
        <v>0</v>
      </c>
      <c r="F143" s="318">
        <f>talas!O115</f>
        <v>0</v>
      </c>
    </row>
    <row r="144" spans="1:6" ht="16.5" thickTop="1" thickBot="1" x14ac:dyDescent="0.3">
      <c r="A144" s="337" t="s">
        <v>26</v>
      </c>
      <c r="B144" s="338"/>
      <c r="C144" s="90">
        <f>SUM(C136:C143)</f>
        <v>2</v>
      </c>
      <c r="D144" s="90">
        <f>SUM(D136:D143)</f>
        <v>1</v>
      </c>
      <c r="E144" s="314">
        <f>SUM(E136:E143)</f>
        <v>9.8000000000000007</v>
      </c>
      <c r="F144" s="93">
        <v>98.02</v>
      </c>
    </row>
    <row r="152" spans="5:5" x14ac:dyDescent="0.25">
      <c r="E152" s="41" t="s">
        <v>146</v>
      </c>
    </row>
    <row r="153" spans="5:5" x14ac:dyDescent="0.25">
      <c r="E153" s="41" t="s">
        <v>95</v>
      </c>
    </row>
    <row r="154" spans="5:5" x14ac:dyDescent="0.25">
      <c r="E154" s="41" t="s">
        <v>84</v>
      </c>
    </row>
    <row r="155" spans="5:5" x14ac:dyDescent="0.25">
      <c r="E155" s="41"/>
    </row>
    <row r="156" spans="5:5" x14ac:dyDescent="0.25">
      <c r="E156" s="41"/>
    </row>
    <row r="157" spans="5:5" x14ac:dyDescent="0.25">
      <c r="E157" s="41"/>
    </row>
    <row r="158" spans="5:5" x14ac:dyDescent="0.25">
      <c r="E158" s="299" t="s">
        <v>147</v>
      </c>
    </row>
    <row r="159" spans="5:5" x14ac:dyDescent="0.25">
      <c r="E159" s="41" t="s">
        <v>97</v>
      </c>
    </row>
  </sheetData>
  <mergeCells count="27">
    <mergeCell ref="A65:B65"/>
    <mergeCell ref="A5:A6"/>
    <mergeCell ref="B5:B6"/>
    <mergeCell ref="A16:B16"/>
    <mergeCell ref="A19:A20"/>
    <mergeCell ref="B19:B20"/>
    <mergeCell ref="A30:B30"/>
    <mergeCell ref="A33:A34"/>
    <mergeCell ref="B33:B34"/>
    <mergeCell ref="A44:B44"/>
    <mergeCell ref="A54:A55"/>
    <mergeCell ref="B54:B55"/>
    <mergeCell ref="A133:A134"/>
    <mergeCell ref="B133:B134"/>
    <mergeCell ref="A144:B144"/>
    <mergeCell ref="A130:B130"/>
    <mergeCell ref="A68:A69"/>
    <mergeCell ref="B68:B69"/>
    <mergeCell ref="A79:B79"/>
    <mergeCell ref="A82:A83"/>
    <mergeCell ref="B82:B83"/>
    <mergeCell ref="A93:B93"/>
    <mergeCell ref="A105:A106"/>
    <mergeCell ref="B105:B106"/>
    <mergeCell ref="A116:B116"/>
    <mergeCell ref="A119:A120"/>
    <mergeCell ref="B119:B120"/>
  </mergeCells>
  <pageMargins left="1.04" right="0.511811023622047" top="0.65" bottom="0.59055118110236204" header="0.31496062992126" footer="0.31496062992126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C388B-5211-4EB6-8AD5-F151FE5A6CED}">
  <dimension ref="A1:F61"/>
  <sheetViews>
    <sheetView workbookViewId="0">
      <selection activeCell="K13" sqref="K13"/>
    </sheetView>
  </sheetViews>
  <sheetFormatPr defaultRowHeight="15" x14ac:dyDescent="0.25"/>
  <cols>
    <col min="1" max="1" width="3.7109375" customWidth="1"/>
    <col min="2" max="2" width="17" customWidth="1"/>
    <col min="3" max="6" width="15.140625" customWidth="1"/>
    <col min="7" max="7" width="4.140625" customWidth="1"/>
  </cols>
  <sheetData>
    <row r="1" spans="1:6" x14ac:dyDescent="0.25">
      <c r="A1" s="75" t="s">
        <v>74</v>
      </c>
    </row>
    <row r="2" spans="1:6" x14ac:dyDescent="0.25">
      <c r="A2" s="75" t="s">
        <v>190</v>
      </c>
    </row>
    <row r="3" spans="1:6" ht="11.25" customHeight="1" x14ac:dyDescent="0.25"/>
    <row r="4" spans="1:6" ht="15.75" thickBot="1" x14ac:dyDescent="0.3">
      <c r="A4" s="75" t="s">
        <v>188</v>
      </c>
    </row>
    <row r="5" spans="1:6" ht="12.75" customHeight="1" x14ac:dyDescent="0.25">
      <c r="A5" s="334" t="s">
        <v>2</v>
      </c>
      <c r="B5" s="336" t="s">
        <v>3</v>
      </c>
      <c r="C5" s="77" t="s">
        <v>63</v>
      </c>
      <c r="D5" s="77" t="s">
        <v>64</v>
      </c>
      <c r="E5" s="77" t="s">
        <v>65</v>
      </c>
      <c r="F5" s="78" t="s">
        <v>62</v>
      </c>
    </row>
    <row r="6" spans="1:6" ht="12.75" customHeight="1" x14ac:dyDescent="0.25">
      <c r="A6" s="335"/>
      <c r="B6" s="324"/>
      <c r="C6" s="79" t="s">
        <v>1</v>
      </c>
      <c r="D6" s="79" t="s">
        <v>1</v>
      </c>
      <c r="E6" s="79" t="s">
        <v>29</v>
      </c>
      <c r="F6" s="80" t="s">
        <v>31</v>
      </c>
    </row>
    <row r="7" spans="1:6" ht="12.75" customHeight="1" thickBot="1" x14ac:dyDescent="0.3">
      <c r="A7" s="81">
        <v>1</v>
      </c>
      <c r="B7" s="76">
        <v>2</v>
      </c>
      <c r="C7" s="76">
        <v>3</v>
      </c>
      <c r="D7" s="76">
        <v>4</v>
      </c>
      <c r="E7" s="76">
        <v>5</v>
      </c>
      <c r="F7" s="82">
        <v>6</v>
      </c>
    </row>
    <row r="8" spans="1:6" ht="15.75" thickTop="1" x14ac:dyDescent="0.25">
      <c r="A8" s="350">
        <v>1</v>
      </c>
      <c r="B8" s="351" t="s">
        <v>18</v>
      </c>
      <c r="C8" s="87">
        <v>14</v>
      </c>
      <c r="D8" s="87">
        <v>20</v>
      </c>
      <c r="E8" s="87">
        <v>63.8</v>
      </c>
      <c r="F8" s="356">
        <v>31.9</v>
      </c>
    </row>
    <row r="9" spans="1:6" x14ac:dyDescent="0.25">
      <c r="A9" s="354">
        <v>2</v>
      </c>
      <c r="B9" s="355" t="s">
        <v>19</v>
      </c>
      <c r="C9" s="88">
        <v>7</v>
      </c>
      <c r="D9" s="88">
        <v>7</v>
      </c>
      <c r="E9" s="88">
        <v>18.8</v>
      </c>
      <c r="F9" s="91">
        <v>26.857142857142861</v>
      </c>
    </row>
    <row r="10" spans="1:6" x14ac:dyDescent="0.25">
      <c r="A10" s="354">
        <v>3</v>
      </c>
      <c r="B10" s="355" t="s">
        <v>20</v>
      </c>
      <c r="C10" s="88">
        <v>5</v>
      </c>
      <c r="D10" s="88">
        <v>95</v>
      </c>
      <c r="E10" s="88">
        <v>324.5</v>
      </c>
      <c r="F10" s="91">
        <v>34.15789473684211</v>
      </c>
    </row>
    <row r="11" spans="1:6" x14ac:dyDescent="0.25">
      <c r="A11" s="354">
        <v>4</v>
      </c>
      <c r="B11" s="355" t="s">
        <v>21</v>
      </c>
      <c r="C11" s="88">
        <v>5</v>
      </c>
      <c r="D11" s="88">
        <v>10</v>
      </c>
      <c r="E11" s="88">
        <v>26.8</v>
      </c>
      <c r="F11" s="91">
        <v>26.8</v>
      </c>
    </row>
    <row r="12" spans="1:6" x14ac:dyDescent="0.25">
      <c r="A12" s="354">
        <v>5</v>
      </c>
      <c r="B12" s="355" t="s">
        <v>22</v>
      </c>
      <c r="C12" s="88">
        <v>15</v>
      </c>
      <c r="D12" s="88">
        <v>27</v>
      </c>
      <c r="E12" s="88">
        <v>79.099999999999994</v>
      </c>
      <c r="F12" s="91">
        <v>29.296296296296298</v>
      </c>
    </row>
    <row r="13" spans="1:6" x14ac:dyDescent="0.25">
      <c r="A13" s="354">
        <v>6</v>
      </c>
      <c r="B13" s="355" t="s">
        <v>23</v>
      </c>
      <c r="C13" s="88">
        <v>5</v>
      </c>
      <c r="D13" s="88">
        <v>5</v>
      </c>
      <c r="E13" s="88">
        <v>12</v>
      </c>
      <c r="F13" s="91">
        <v>24</v>
      </c>
    </row>
    <row r="14" spans="1:6" x14ac:dyDescent="0.25">
      <c r="A14" s="354">
        <v>7</v>
      </c>
      <c r="B14" s="355" t="s">
        <v>24</v>
      </c>
      <c r="C14" s="88">
        <v>0</v>
      </c>
      <c r="D14" s="88">
        <v>3</v>
      </c>
      <c r="E14" s="88">
        <v>7.7</v>
      </c>
      <c r="F14" s="91">
        <v>25.666666666666668</v>
      </c>
    </row>
    <row r="15" spans="1:6" ht="15.75" thickBot="1" x14ac:dyDescent="0.3">
      <c r="A15" s="357">
        <v>8</v>
      </c>
      <c r="B15" s="358" t="s">
        <v>25</v>
      </c>
      <c r="C15" s="89">
        <v>7</v>
      </c>
      <c r="D15" s="89">
        <v>21</v>
      </c>
      <c r="E15" s="89">
        <v>62</v>
      </c>
      <c r="F15" s="92">
        <v>29.523809523809526</v>
      </c>
    </row>
    <row r="16" spans="1:6" ht="16.5" thickTop="1" thickBot="1" x14ac:dyDescent="0.3">
      <c r="A16" s="352" t="s">
        <v>26</v>
      </c>
      <c r="B16" s="353"/>
      <c r="C16" s="90">
        <v>58</v>
      </c>
      <c r="D16" s="90">
        <v>188</v>
      </c>
      <c r="E16" s="90">
        <v>594.70000000000005</v>
      </c>
      <c r="F16" s="93">
        <v>31.632978723404257</v>
      </c>
    </row>
    <row r="17" spans="1:6" ht="10.5" customHeight="1" x14ac:dyDescent="0.25"/>
    <row r="18" spans="1:6" ht="15.75" thickBot="1" x14ac:dyDescent="0.3">
      <c r="A18" s="75" t="s">
        <v>189</v>
      </c>
    </row>
    <row r="19" spans="1:6" ht="12.75" customHeight="1" x14ac:dyDescent="0.25">
      <c r="A19" s="334" t="s">
        <v>2</v>
      </c>
      <c r="B19" s="336" t="s">
        <v>3</v>
      </c>
      <c r="C19" s="77" t="s">
        <v>63</v>
      </c>
      <c r="D19" s="77" t="s">
        <v>64</v>
      </c>
      <c r="E19" s="77" t="s">
        <v>65</v>
      </c>
      <c r="F19" s="78" t="s">
        <v>62</v>
      </c>
    </row>
    <row r="20" spans="1:6" ht="12.75" customHeight="1" x14ac:dyDescent="0.25">
      <c r="A20" s="335"/>
      <c r="B20" s="324"/>
      <c r="C20" s="79" t="s">
        <v>1</v>
      </c>
      <c r="D20" s="79" t="s">
        <v>1</v>
      </c>
      <c r="E20" s="79" t="s">
        <v>29</v>
      </c>
      <c r="F20" s="80" t="s">
        <v>31</v>
      </c>
    </row>
    <row r="21" spans="1:6" ht="12.75" customHeight="1" thickBot="1" x14ac:dyDescent="0.3">
      <c r="A21" s="81">
        <v>1</v>
      </c>
      <c r="B21" s="76">
        <v>2</v>
      </c>
      <c r="C21" s="76">
        <v>3</v>
      </c>
      <c r="D21" s="76">
        <v>4</v>
      </c>
      <c r="E21" s="76">
        <v>5</v>
      </c>
      <c r="F21" s="82">
        <v>6</v>
      </c>
    </row>
    <row r="22" spans="1:6" ht="15.75" thickTop="1" x14ac:dyDescent="0.25">
      <c r="A22" s="350">
        <v>1</v>
      </c>
      <c r="B22" s="351" t="s">
        <v>18</v>
      </c>
      <c r="C22" s="87">
        <v>76</v>
      </c>
      <c r="D22" s="87">
        <v>126</v>
      </c>
      <c r="E22" s="87">
        <v>159.5</v>
      </c>
      <c r="F22" s="356">
        <v>12.658730158730158</v>
      </c>
    </row>
    <row r="23" spans="1:6" x14ac:dyDescent="0.25">
      <c r="A23" s="354">
        <v>2</v>
      </c>
      <c r="B23" s="355" t="s">
        <v>19</v>
      </c>
      <c r="C23" s="88">
        <v>318</v>
      </c>
      <c r="D23" s="88">
        <v>364</v>
      </c>
      <c r="E23" s="88">
        <v>474</v>
      </c>
      <c r="F23" s="91">
        <v>13.021978021978022</v>
      </c>
    </row>
    <row r="24" spans="1:6" x14ac:dyDescent="0.25">
      <c r="A24" s="354">
        <v>3</v>
      </c>
      <c r="B24" s="355" t="s">
        <v>20</v>
      </c>
      <c r="C24" s="88">
        <v>280</v>
      </c>
      <c r="D24" s="88">
        <v>480</v>
      </c>
      <c r="E24" s="88">
        <v>600.9</v>
      </c>
      <c r="F24" s="91">
        <v>12.518749999999999</v>
      </c>
    </row>
    <row r="25" spans="1:6" x14ac:dyDescent="0.25">
      <c r="A25" s="354">
        <v>4</v>
      </c>
      <c r="B25" s="355" t="s">
        <v>21</v>
      </c>
      <c r="C25" s="88">
        <v>70</v>
      </c>
      <c r="D25" s="88">
        <v>85</v>
      </c>
      <c r="E25" s="88">
        <v>110.6</v>
      </c>
      <c r="F25" s="91">
        <v>13.011764705882351</v>
      </c>
    </row>
    <row r="26" spans="1:6" x14ac:dyDescent="0.25">
      <c r="A26" s="354">
        <v>5</v>
      </c>
      <c r="B26" s="355" t="s">
        <v>22</v>
      </c>
      <c r="C26" s="88">
        <v>544</v>
      </c>
      <c r="D26" s="88">
        <v>551</v>
      </c>
      <c r="E26" s="88">
        <v>699.2</v>
      </c>
      <c r="F26" s="91">
        <v>12.689655172413794</v>
      </c>
    </row>
    <row r="27" spans="1:6" x14ac:dyDescent="0.25">
      <c r="A27" s="354">
        <v>6</v>
      </c>
      <c r="B27" s="355" t="s">
        <v>23</v>
      </c>
      <c r="C27" s="88">
        <v>102</v>
      </c>
      <c r="D27" s="88">
        <v>118</v>
      </c>
      <c r="E27" s="88">
        <v>131.4</v>
      </c>
      <c r="F27" s="91">
        <v>11.135593220338984</v>
      </c>
    </row>
    <row r="28" spans="1:6" x14ac:dyDescent="0.25">
      <c r="A28" s="354">
        <v>7</v>
      </c>
      <c r="B28" s="355" t="s">
        <v>24</v>
      </c>
      <c r="C28" s="88">
        <v>3</v>
      </c>
      <c r="D28" s="88">
        <v>3</v>
      </c>
      <c r="E28" s="88">
        <v>3.4</v>
      </c>
      <c r="F28" s="91">
        <v>11.333333333333332</v>
      </c>
    </row>
    <row r="29" spans="1:6" ht="15.75" thickBot="1" x14ac:dyDescent="0.3">
      <c r="A29" s="357">
        <v>8</v>
      </c>
      <c r="B29" s="358" t="s">
        <v>25</v>
      </c>
      <c r="C29" s="89">
        <v>236</v>
      </c>
      <c r="D29" s="89">
        <v>250</v>
      </c>
      <c r="E29" s="89">
        <v>327.90000000000003</v>
      </c>
      <c r="F29" s="92">
        <v>13.116000000000001</v>
      </c>
    </row>
    <row r="30" spans="1:6" ht="16.5" thickTop="1" thickBot="1" x14ac:dyDescent="0.3">
      <c r="A30" s="352" t="s">
        <v>26</v>
      </c>
      <c r="B30" s="353"/>
      <c r="C30" s="90">
        <v>1629</v>
      </c>
      <c r="D30" s="90">
        <v>1977</v>
      </c>
      <c r="E30" s="90">
        <v>2506.9</v>
      </c>
      <c r="F30" s="93">
        <v>12.680323722812343</v>
      </c>
    </row>
    <row r="32" spans="1:6" x14ac:dyDescent="0.25">
      <c r="A32" s="75" t="s">
        <v>74</v>
      </c>
    </row>
    <row r="33" spans="1:6" x14ac:dyDescent="0.25">
      <c r="A33" s="75" t="s">
        <v>149</v>
      </c>
    </row>
    <row r="34" spans="1:6" ht="11.25" customHeight="1" x14ac:dyDescent="0.25">
      <c r="A34" s="75"/>
    </row>
    <row r="35" spans="1:6" ht="15.75" thickBot="1" x14ac:dyDescent="0.3">
      <c r="A35" s="75" t="s">
        <v>188</v>
      </c>
    </row>
    <row r="36" spans="1:6" ht="12.75" customHeight="1" x14ac:dyDescent="0.25">
      <c r="A36" s="334" t="s">
        <v>2</v>
      </c>
      <c r="B36" s="336" t="s">
        <v>3</v>
      </c>
      <c r="C36" s="77" t="s">
        <v>63</v>
      </c>
      <c r="D36" s="77" t="s">
        <v>64</v>
      </c>
      <c r="E36" s="77" t="s">
        <v>65</v>
      </c>
      <c r="F36" s="78" t="s">
        <v>62</v>
      </c>
    </row>
    <row r="37" spans="1:6" ht="12.75" customHeight="1" x14ac:dyDescent="0.25">
      <c r="A37" s="335"/>
      <c r="B37" s="324"/>
      <c r="C37" s="79" t="s">
        <v>1</v>
      </c>
      <c r="D37" s="79" t="s">
        <v>1</v>
      </c>
      <c r="E37" s="79" t="s">
        <v>29</v>
      </c>
      <c r="F37" s="80" t="s">
        <v>31</v>
      </c>
    </row>
    <row r="38" spans="1:6" ht="12.75" customHeight="1" thickBot="1" x14ac:dyDescent="0.3">
      <c r="A38" s="81">
        <v>1</v>
      </c>
      <c r="B38" s="76">
        <v>2</v>
      </c>
      <c r="C38" s="76">
        <v>3</v>
      </c>
      <c r="D38" s="76">
        <v>4</v>
      </c>
      <c r="E38" s="76">
        <v>5</v>
      </c>
      <c r="F38" s="82">
        <v>6</v>
      </c>
    </row>
    <row r="39" spans="1:6" ht="15.75" thickTop="1" x14ac:dyDescent="0.25">
      <c r="A39" s="83">
        <v>1</v>
      </c>
      <c r="B39" s="7" t="s">
        <v>18</v>
      </c>
      <c r="C39" s="148">
        <f>jagung!O9</f>
        <v>12</v>
      </c>
      <c r="D39" s="149">
        <f>jagung!O42</f>
        <v>9</v>
      </c>
      <c r="E39" s="148">
        <f>jagung!O75</f>
        <v>26.1</v>
      </c>
      <c r="F39" s="152">
        <f>jagung!O108</f>
        <v>29.000000000000004</v>
      </c>
    </row>
    <row r="40" spans="1:6" x14ac:dyDescent="0.25">
      <c r="A40" s="84">
        <v>2</v>
      </c>
      <c r="B40" s="12" t="s">
        <v>19</v>
      </c>
      <c r="C40" s="88">
        <f>jagung!O10</f>
        <v>5</v>
      </c>
      <c r="D40" s="141">
        <f>jagung!O43</f>
        <v>4</v>
      </c>
      <c r="E40" s="88">
        <f>jagung!O76</f>
        <v>0</v>
      </c>
      <c r="F40" s="118">
        <f>jagung!O109</f>
        <v>0</v>
      </c>
    </row>
    <row r="41" spans="1:6" x14ac:dyDescent="0.25">
      <c r="A41" s="84">
        <v>3</v>
      </c>
      <c r="B41" s="7" t="s">
        <v>20</v>
      </c>
      <c r="C41" s="88">
        <f>jagung!O11</f>
        <v>0</v>
      </c>
      <c r="D41" s="141">
        <f>jagung!O44</f>
        <v>0</v>
      </c>
      <c r="E41" s="88">
        <f>jagung!O77</f>
        <v>0</v>
      </c>
      <c r="F41" s="118">
        <f>jagung!O110</f>
        <v>0</v>
      </c>
    </row>
    <row r="42" spans="1:6" x14ac:dyDescent="0.25">
      <c r="A42" s="85">
        <v>4</v>
      </c>
      <c r="B42" s="15" t="s">
        <v>21</v>
      </c>
      <c r="C42" s="88">
        <f>jagung!O12</f>
        <v>7</v>
      </c>
      <c r="D42" s="141">
        <f>jagung!O45</f>
        <v>6</v>
      </c>
      <c r="E42" s="88">
        <f>jagung!O78</f>
        <v>7.9</v>
      </c>
      <c r="F42" s="118">
        <f>jagung!O111</f>
        <v>26.533333333333331</v>
      </c>
    </row>
    <row r="43" spans="1:6" x14ac:dyDescent="0.25">
      <c r="A43" s="85">
        <v>5</v>
      </c>
      <c r="B43" s="19" t="s">
        <v>22</v>
      </c>
      <c r="C43" s="88">
        <f>jagung!O13</f>
        <v>0</v>
      </c>
      <c r="D43" s="141">
        <f>jagung!O46</f>
        <v>0</v>
      </c>
      <c r="E43" s="88">
        <f>jagung!O79</f>
        <v>0</v>
      </c>
      <c r="F43" s="118">
        <f>jagung!O112</f>
        <v>0</v>
      </c>
    </row>
    <row r="44" spans="1:6" x14ac:dyDescent="0.25">
      <c r="A44" s="85">
        <v>6</v>
      </c>
      <c r="B44" s="19" t="s">
        <v>23</v>
      </c>
      <c r="C44" s="88">
        <f>jagung!O14</f>
        <v>0.5</v>
      </c>
      <c r="D44" s="141">
        <f>jagung!O47</f>
        <v>0</v>
      </c>
      <c r="E44" s="88">
        <f>jagung!O80</f>
        <v>0</v>
      </c>
      <c r="F44" s="118">
        <f>jagung!O113</f>
        <v>0</v>
      </c>
    </row>
    <row r="45" spans="1:6" x14ac:dyDescent="0.25">
      <c r="A45" s="85">
        <v>7</v>
      </c>
      <c r="B45" s="19" t="s">
        <v>24</v>
      </c>
      <c r="C45" s="88">
        <f>jagung!O15</f>
        <v>2</v>
      </c>
      <c r="D45" s="141">
        <f>jagung!O48</f>
        <v>1</v>
      </c>
      <c r="E45" s="88">
        <f>jagung!O81</f>
        <v>0</v>
      </c>
      <c r="F45" s="118">
        <f>jagung!O114</f>
        <v>0</v>
      </c>
    </row>
    <row r="46" spans="1:6" ht="15.75" thickBot="1" x14ac:dyDescent="0.3">
      <c r="A46" s="86">
        <v>8</v>
      </c>
      <c r="B46" s="15" t="s">
        <v>25</v>
      </c>
      <c r="C46" s="89">
        <f>jagung!O16</f>
        <v>4</v>
      </c>
      <c r="D46" s="143">
        <f>jagung!O49</f>
        <v>3</v>
      </c>
      <c r="E46" s="89">
        <f>jagung!O82</f>
        <v>5.0999999999999996</v>
      </c>
      <c r="F46" s="154">
        <f>jagung!O115</f>
        <v>25.634999999999998</v>
      </c>
    </row>
    <row r="47" spans="1:6" ht="16.5" thickTop="1" thickBot="1" x14ac:dyDescent="0.3">
      <c r="A47" s="337" t="s">
        <v>26</v>
      </c>
      <c r="B47" s="338"/>
      <c r="C47" s="90">
        <f>SUM(C39:C46)</f>
        <v>30.5</v>
      </c>
      <c r="D47" s="90">
        <f>SUM(D39:D46)</f>
        <v>23</v>
      </c>
      <c r="E47" s="90">
        <f>SUM(E39:E46)</f>
        <v>39.1</v>
      </c>
      <c r="F47" s="153">
        <f>jagung!O116</f>
        <v>27.056111111111107</v>
      </c>
    </row>
    <row r="48" spans="1:6" ht="10.5" customHeight="1" x14ac:dyDescent="0.25">
      <c r="A48" s="98"/>
      <c r="C48" s="96"/>
      <c r="D48" s="96"/>
      <c r="E48" s="96"/>
      <c r="F48" s="97"/>
    </row>
    <row r="49" spans="1:6" ht="15.75" thickBot="1" x14ac:dyDescent="0.3">
      <c r="A49" s="75" t="s">
        <v>189</v>
      </c>
    </row>
    <row r="50" spans="1:6" ht="12.75" customHeight="1" x14ac:dyDescent="0.25">
      <c r="A50" s="334" t="s">
        <v>2</v>
      </c>
      <c r="B50" s="336" t="s">
        <v>3</v>
      </c>
      <c r="C50" s="77" t="s">
        <v>63</v>
      </c>
      <c r="D50" s="77" t="s">
        <v>64</v>
      </c>
      <c r="E50" s="77" t="s">
        <v>65</v>
      </c>
      <c r="F50" s="78" t="s">
        <v>62</v>
      </c>
    </row>
    <row r="51" spans="1:6" ht="12.75" customHeight="1" x14ac:dyDescent="0.25">
      <c r="A51" s="335"/>
      <c r="B51" s="324"/>
      <c r="C51" s="79" t="s">
        <v>1</v>
      </c>
      <c r="D51" s="79" t="s">
        <v>1</v>
      </c>
      <c r="E51" s="79" t="s">
        <v>29</v>
      </c>
      <c r="F51" s="80" t="s">
        <v>31</v>
      </c>
    </row>
    <row r="52" spans="1:6" ht="12.75" customHeight="1" x14ac:dyDescent="0.25">
      <c r="A52" s="81">
        <v>1</v>
      </c>
      <c r="B52" s="76">
        <v>2</v>
      </c>
      <c r="C52" s="76">
        <v>3</v>
      </c>
      <c r="D52" s="76">
        <v>4</v>
      </c>
      <c r="E52" s="76">
        <v>5</v>
      </c>
      <c r="F52" s="82">
        <v>6</v>
      </c>
    </row>
    <row r="53" spans="1:6" x14ac:dyDescent="0.25">
      <c r="A53" s="83">
        <v>1</v>
      </c>
      <c r="B53" s="7" t="s">
        <v>18</v>
      </c>
      <c r="C53" s="145">
        <f>'kc tanah'!O9</f>
        <v>100</v>
      </c>
      <c r="D53" s="146">
        <f>'kc tanah'!O42</f>
        <v>100</v>
      </c>
      <c r="E53" s="146">
        <f>'kc tanah'!O75</f>
        <v>106.3</v>
      </c>
      <c r="F53" s="147">
        <f>'kc tanah'!O108</f>
        <v>10.629999999999999</v>
      </c>
    </row>
    <row r="54" spans="1:6" x14ac:dyDescent="0.25">
      <c r="A54" s="84">
        <v>2</v>
      </c>
      <c r="B54" s="12" t="s">
        <v>19</v>
      </c>
      <c r="C54" s="88">
        <f>'kc tanah'!O10</f>
        <v>343</v>
      </c>
      <c r="D54" s="141">
        <f>'kc tanah'!O43</f>
        <v>325</v>
      </c>
      <c r="E54" s="141">
        <f>'kc tanah'!O76</f>
        <v>397.8</v>
      </c>
      <c r="F54" s="142">
        <f>'kc tanah'!O109</f>
        <v>12.24</v>
      </c>
    </row>
    <row r="55" spans="1:6" x14ac:dyDescent="0.25">
      <c r="A55" s="84">
        <v>3</v>
      </c>
      <c r="B55" s="7" t="s">
        <v>20</v>
      </c>
      <c r="C55" s="88">
        <f>'kc tanah'!O11</f>
        <v>440</v>
      </c>
      <c r="D55" s="141">
        <f>'kc tanah'!O44</f>
        <v>440</v>
      </c>
      <c r="E55" s="141">
        <f>'kc tanah'!O77</f>
        <v>508.59999999999997</v>
      </c>
      <c r="F55" s="142">
        <f>'kc tanah'!O110</f>
        <v>11.559090909090909</v>
      </c>
    </row>
    <row r="56" spans="1:6" x14ac:dyDescent="0.25">
      <c r="A56" s="85">
        <v>4</v>
      </c>
      <c r="B56" s="15" t="s">
        <v>21</v>
      </c>
      <c r="C56" s="88">
        <f>'kc tanah'!O12</f>
        <v>99</v>
      </c>
      <c r="D56" s="141">
        <f>'kc tanah'!O45</f>
        <v>88</v>
      </c>
      <c r="E56" s="141">
        <f>'kc tanah'!O78</f>
        <v>110.29999999999998</v>
      </c>
      <c r="F56" s="142">
        <f>'kc tanah'!O111</f>
        <v>12.534090909090907</v>
      </c>
    </row>
    <row r="57" spans="1:6" x14ac:dyDescent="0.25">
      <c r="A57" s="85">
        <v>5</v>
      </c>
      <c r="B57" s="19" t="s">
        <v>22</v>
      </c>
      <c r="C57" s="88">
        <f>'kc tanah'!O13</f>
        <v>87</v>
      </c>
      <c r="D57" s="141">
        <f>'kc tanah'!O46</f>
        <v>333</v>
      </c>
      <c r="E57" s="141">
        <f>'kc tanah'!O79</f>
        <v>371.90000000000003</v>
      </c>
      <c r="F57" s="142">
        <f>'kc tanah'!O112</f>
        <v>11.168168168168169</v>
      </c>
    </row>
    <row r="58" spans="1:6" x14ac:dyDescent="0.25">
      <c r="A58" s="85">
        <v>6</v>
      </c>
      <c r="B58" s="19" t="s">
        <v>23</v>
      </c>
      <c r="C58" s="88">
        <f>'kc tanah'!O14</f>
        <v>393</v>
      </c>
      <c r="D58" s="141">
        <f>'kc tanah'!O47</f>
        <v>137</v>
      </c>
      <c r="E58" s="141">
        <f>'kc tanah'!O80</f>
        <v>166.7</v>
      </c>
      <c r="F58" s="142">
        <f>'kc tanah'!O113</f>
        <v>12.167883211678831</v>
      </c>
    </row>
    <row r="59" spans="1:6" x14ac:dyDescent="0.25">
      <c r="A59" s="85">
        <v>7</v>
      </c>
      <c r="B59" s="19" t="s">
        <v>24</v>
      </c>
      <c r="C59" s="88">
        <f>'kc tanah'!O15</f>
        <v>1</v>
      </c>
      <c r="D59" s="141">
        <f>'kc tanah'!O48</f>
        <v>2</v>
      </c>
      <c r="E59" s="141">
        <f>'kc tanah'!O81</f>
        <v>2.2000000000000002</v>
      </c>
      <c r="F59" s="142">
        <f>'kc tanah'!O114</f>
        <v>11</v>
      </c>
    </row>
    <row r="60" spans="1:6" ht="15.75" thickBot="1" x14ac:dyDescent="0.3">
      <c r="A60" s="86">
        <v>8</v>
      </c>
      <c r="B60" s="15" t="s">
        <v>25</v>
      </c>
      <c r="C60" s="89">
        <f>'kc tanah'!O16</f>
        <v>300</v>
      </c>
      <c r="D60" s="143">
        <f>'kc tanah'!O49</f>
        <v>298</v>
      </c>
      <c r="E60" s="143">
        <f>'kc tanah'!O82</f>
        <v>357.00000000000006</v>
      </c>
      <c r="F60" s="144">
        <f>'kc tanah'!O115</f>
        <v>11.979865771812081</v>
      </c>
    </row>
    <row r="61" spans="1:6" ht="16.5" thickTop="1" thickBot="1" x14ac:dyDescent="0.3">
      <c r="A61" s="337" t="s">
        <v>26</v>
      </c>
      <c r="B61" s="338"/>
      <c r="C61" s="90">
        <f>SUM(C53:C60)</f>
        <v>1763</v>
      </c>
      <c r="D61" s="90">
        <f>SUM(D53:D60)</f>
        <v>1723</v>
      </c>
      <c r="E61" s="90">
        <f>SUM(E53:E60)</f>
        <v>2020.8000000000002</v>
      </c>
      <c r="F61" s="93">
        <f>E61/D61*10</f>
        <v>11.728380731282648</v>
      </c>
    </row>
  </sheetData>
  <mergeCells count="12">
    <mergeCell ref="A50:A51"/>
    <mergeCell ref="B50:B51"/>
    <mergeCell ref="A61:B61"/>
    <mergeCell ref="A36:A37"/>
    <mergeCell ref="B36:B37"/>
    <mergeCell ref="A47:B47"/>
    <mergeCell ref="A5:A6"/>
    <mergeCell ref="B5:B6"/>
    <mergeCell ref="A16:B16"/>
    <mergeCell ref="A19:A20"/>
    <mergeCell ref="B19:B20"/>
    <mergeCell ref="A30:B30"/>
  </mergeCells>
  <pageMargins left="1.0236220472440944" right="0.51181102362204722" top="0.53" bottom="0.59055118110236227" header="0.31496062992125984" footer="0.31496062992125984"/>
  <pageSetup paperSize="9" scale="85" orientation="portrait" horizontalDpi="4294967293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575"/>
  <sheetViews>
    <sheetView topLeftCell="A112" zoomScale="90" zoomScaleNormal="90" workbookViewId="0">
      <selection activeCell="T134" sqref="T134"/>
    </sheetView>
  </sheetViews>
  <sheetFormatPr defaultRowHeight="15" x14ac:dyDescent="0.25"/>
  <cols>
    <col min="1" max="1" width="4.28515625" customWidth="1"/>
    <col min="2" max="2" width="14.140625" customWidth="1"/>
    <col min="3" max="5" width="7.85546875" customWidth="1"/>
    <col min="6" max="6" width="8.140625" customWidth="1"/>
    <col min="7" max="8" width="8.7109375" customWidth="1"/>
    <col min="9" max="9" width="8.5703125" customWidth="1"/>
    <col min="10" max="15" width="7.85546875" customWidth="1"/>
    <col min="16" max="17" width="8.5703125" customWidth="1"/>
  </cols>
  <sheetData>
    <row r="1" spans="1:23" ht="15.75" x14ac:dyDescent="0.25">
      <c r="A1" s="341" t="s">
        <v>143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</row>
    <row r="2" spans="1:23" ht="15.75" x14ac:dyDescent="0.25">
      <c r="A2" s="341" t="s">
        <v>81</v>
      </c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  <c r="P2" s="341"/>
      <c r="Q2" s="341"/>
    </row>
    <row r="3" spans="1:23" ht="15.75" thickBot="1" x14ac:dyDescent="0.3">
      <c r="Q3" s="75" t="s">
        <v>1</v>
      </c>
    </row>
    <row r="4" spans="1:23" x14ac:dyDescent="0.25">
      <c r="A4" s="334" t="s">
        <v>2</v>
      </c>
      <c r="B4" s="336" t="s">
        <v>3</v>
      </c>
      <c r="C4" s="342" t="s">
        <v>183</v>
      </c>
      <c r="D4" s="343"/>
      <c r="E4" s="343"/>
      <c r="F4" s="343"/>
      <c r="G4" s="343"/>
      <c r="H4" s="344"/>
      <c r="I4" s="345" t="s">
        <v>82</v>
      </c>
      <c r="J4" s="347">
        <v>2020</v>
      </c>
      <c r="K4" s="343"/>
      <c r="L4" s="343"/>
      <c r="M4" s="343"/>
      <c r="N4" s="343"/>
      <c r="O4" s="344"/>
      <c r="P4" s="345" t="s">
        <v>83</v>
      </c>
      <c r="Q4" s="348" t="s">
        <v>5</v>
      </c>
    </row>
    <row r="5" spans="1:23" x14ac:dyDescent="0.25">
      <c r="A5" s="335"/>
      <c r="B5" s="324"/>
      <c r="C5" s="276" t="s">
        <v>15</v>
      </c>
      <c r="D5" s="276" t="s">
        <v>16</v>
      </c>
      <c r="E5" s="276" t="s">
        <v>17</v>
      </c>
      <c r="F5" s="276" t="s">
        <v>6</v>
      </c>
      <c r="G5" s="276" t="s">
        <v>76</v>
      </c>
      <c r="H5" s="119" t="s">
        <v>77</v>
      </c>
      <c r="I5" s="346"/>
      <c r="J5" s="109" t="s">
        <v>78</v>
      </c>
      <c r="K5" s="276" t="s">
        <v>10</v>
      </c>
      <c r="L5" s="276" t="s">
        <v>11</v>
      </c>
      <c r="M5" s="276" t="s">
        <v>12</v>
      </c>
      <c r="N5" s="276" t="s">
        <v>79</v>
      </c>
      <c r="O5" s="119" t="s">
        <v>80</v>
      </c>
      <c r="P5" s="346"/>
      <c r="Q5" s="349"/>
    </row>
    <row r="6" spans="1:23" ht="15.75" thickBot="1" x14ac:dyDescent="0.3">
      <c r="A6" s="111">
        <v>1</v>
      </c>
      <c r="B6" s="5">
        <v>2</v>
      </c>
      <c r="C6" s="5">
        <v>3</v>
      </c>
      <c r="D6" s="5">
        <v>4</v>
      </c>
      <c r="E6" s="5">
        <v>5</v>
      </c>
      <c r="F6" s="5">
        <v>6</v>
      </c>
      <c r="G6" s="5">
        <v>7</v>
      </c>
      <c r="H6" s="120">
        <v>8</v>
      </c>
      <c r="I6" s="122">
        <v>9</v>
      </c>
      <c r="J6" s="110">
        <v>10</v>
      </c>
      <c r="K6" s="5">
        <v>11</v>
      </c>
      <c r="L6" s="5">
        <v>12</v>
      </c>
      <c r="M6" s="5">
        <v>13</v>
      </c>
      <c r="N6" s="5">
        <v>14</v>
      </c>
      <c r="O6" s="120">
        <v>15</v>
      </c>
      <c r="P6" s="122">
        <v>16</v>
      </c>
      <c r="Q6" s="131">
        <v>17</v>
      </c>
      <c r="T6" s="41" t="s">
        <v>103</v>
      </c>
    </row>
    <row r="7" spans="1:23" ht="15.75" thickTop="1" x14ac:dyDescent="0.25">
      <c r="A7" s="83">
        <v>1</v>
      </c>
      <c r="B7" s="7" t="s">
        <v>18</v>
      </c>
      <c r="C7" s="136">
        <f>SUM(C23,C39)</f>
        <v>0</v>
      </c>
      <c r="D7" s="136">
        <f t="shared" ref="C7:H12" si="0">SUM(D23,D39)</f>
        <v>0</v>
      </c>
      <c r="E7" s="136">
        <f t="shared" si="0"/>
        <v>0</v>
      </c>
      <c r="F7" s="136">
        <f>SUM(F23,F39)</f>
        <v>70</v>
      </c>
      <c r="G7" s="136">
        <f t="shared" si="0"/>
        <v>75</v>
      </c>
      <c r="H7" s="136">
        <f t="shared" si="0"/>
        <v>65</v>
      </c>
      <c r="I7" s="124">
        <f>SUM(C7:H7)</f>
        <v>210</v>
      </c>
      <c r="J7" s="136">
        <f>SUM(J23,J39)</f>
        <v>15</v>
      </c>
      <c r="K7" s="136">
        <f>SUM(K23,K39)</f>
        <v>0</v>
      </c>
      <c r="L7" s="136">
        <f t="shared" ref="L7:O7" si="1">SUM(L23,L39)</f>
        <v>45</v>
      </c>
      <c r="M7" s="136">
        <f t="shared" si="1"/>
        <v>5</v>
      </c>
      <c r="N7" s="136">
        <f t="shared" si="1"/>
        <v>0</v>
      </c>
      <c r="O7" s="136">
        <f t="shared" si="1"/>
        <v>7</v>
      </c>
      <c r="P7" s="124">
        <f>SUM(J7:O7)</f>
        <v>72</v>
      </c>
      <c r="Q7" s="127">
        <f>SUM(I7,P7)</f>
        <v>282</v>
      </c>
      <c r="S7" s="104">
        <f>SUM(K7:M7)</f>
        <v>50</v>
      </c>
      <c r="T7" s="104">
        <f t="shared" ref="T7:T14" si="2">SUM(C7:H7,J7:K7)</f>
        <v>225</v>
      </c>
      <c r="U7" s="104">
        <f>T7-S7</f>
        <v>175</v>
      </c>
      <c r="V7">
        <v>450</v>
      </c>
      <c r="W7" s="71">
        <f>Q7/V7*100</f>
        <v>62.666666666666671</v>
      </c>
    </row>
    <row r="8" spans="1:23" x14ac:dyDescent="0.25">
      <c r="A8" s="84">
        <v>2</v>
      </c>
      <c r="B8" s="12" t="s">
        <v>19</v>
      </c>
      <c r="C8" s="59">
        <f t="shared" si="0"/>
        <v>2</v>
      </c>
      <c r="D8" s="59">
        <f t="shared" si="0"/>
        <v>1</v>
      </c>
      <c r="E8" s="59">
        <f t="shared" si="0"/>
        <v>5</v>
      </c>
      <c r="F8" s="59">
        <f t="shared" si="0"/>
        <v>108</v>
      </c>
      <c r="G8" s="59">
        <f t="shared" ref="G8:H8" si="3">SUM(G24,G40)</f>
        <v>83</v>
      </c>
      <c r="H8" s="155">
        <f t="shared" si="3"/>
        <v>0</v>
      </c>
      <c r="I8" s="125">
        <f t="shared" ref="I8:I14" si="4">SUM(C8:H8)</f>
        <v>199</v>
      </c>
      <c r="J8" s="223">
        <f t="shared" ref="J8:O8" si="5">SUM(J24,J40)</f>
        <v>5</v>
      </c>
      <c r="K8" s="59">
        <f t="shared" si="5"/>
        <v>11</v>
      </c>
      <c r="L8" s="59">
        <f t="shared" si="5"/>
        <v>85</v>
      </c>
      <c r="M8" s="59">
        <f t="shared" si="5"/>
        <v>23</v>
      </c>
      <c r="N8" s="59">
        <f t="shared" si="5"/>
        <v>0</v>
      </c>
      <c r="O8" s="155">
        <f t="shared" si="5"/>
        <v>13</v>
      </c>
      <c r="P8" s="125">
        <f t="shared" ref="P8:P13" si="6">SUM(J8:O8)</f>
        <v>137</v>
      </c>
      <c r="Q8" s="128">
        <f t="shared" ref="Q8:Q14" si="7">SUM(I8,P8)</f>
        <v>336</v>
      </c>
      <c r="S8" s="104">
        <f>SUM(K8:M8)</f>
        <v>119</v>
      </c>
      <c r="T8" s="104">
        <f t="shared" si="2"/>
        <v>215</v>
      </c>
      <c r="U8" s="104">
        <f t="shared" ref="U8:U14" si="8">T8-S8</f>
        <v>96</v>
      </c>
      <c r="V8">
        <v>331</v>
      </c>
      <c r="W8" s="71">
        <f t="shared" ref="W8:W14" si="9">Q8/V8*100</f>
        <v>101.51057401812689</v>
      </c>
    </row>
    <row r="9" spans="1:23" x14ac:dyDescent="0.25">
      <c r="A9" s="84">
        <v>3</v>
      </c>
      <c r="B9" s="7" t="s">
        <v>20</v>
      </c>
      <c r="C9" s="59">
        <f t="shared" si="0"/>
        <v>0</v>
      </c>
      <c r="D9" s="59">
        <f t="shared" si="0"/>
        <v>0</v>
      </c>
      <c r="E9" s="59">
        <f t="shared" si="0"/>
        <v>0</v>
      </c>
      <c r="F9" s="59">
        <f t="shared" si="0"/>
        <v>25</v>
      </c>
      <c r="G9" s="59">
        <f t="shared" ref="G9:H9" si="10">SUM(G25,G41)</f>
        <v>0</v>
      </c>
      <c r="H9" s="155">
        <f t="shared" si="10"/>
        <v>0</v>
      </c>
      <c r="I9" s="125">
        <f t="shared" si="4"/>
        <v>25</v>
      </c>
      <c r="J9" s="223">
        <f t="shared" ref="J9:O9" si="11">SUM(J25,J41)</f>
        <v>0</v>
      </c>
      <c r="K9" s="59">
        <f t="shared" si="11"/>
        <v>10</v>
      </c>
      <c r="L9" s="59">
        <f t="shared" si="11"/>
        <v>0</v>
      </c>
      <c r="M9" s="59">
        <f t="shared" si="11"/>
        <v>0</v>
      </c>
      <c r="N9" s="59">
        <f t="shared" si="11"/>
        <v>0</v>
      </c>
      <c r="O9" s="155">
        <f t="shared" si="11"/>
        <v>0</v>
      </c>
      <c r="P9" s="125">
        <f t="shared" si="6"/>
        <v>10</v>
      </c>
      <c r="Q9" s="128">
        <f t="shared" si="7"/>
        <v>35</v>
      </c>
      <c r="S9" s="104">
        <f t="shared" ref="S9:S14" si="12">SUM(K9:M9)</f>
        <v>10</v>
      </c>
      <c r="T9" s="104">
        <f t="shared" si="2"/>
        <v>35</v>
      </c>
      <c r="U9" s="104">
        <f t="shared" si="8"/>
        <v>25</v>
      </c>
      <c r="V9">
        <v>36</v>
      </c>
      <c r="W9" s="71">
        <f t="shared" si="9"/>
        <v>97.222222222222214</v>
      </c>
    </row>
    <row r="10" spans="1:23" x14ac:dyDescent="0.25">
      <c r="A10" s="85">
        <v>4</v>
      </c>
      <c r="B10" s="15" t="s">
        <v>21</v>
      </c>
      <c r="C10" s="59">
        <f t="shared" si="0"/>
        <v>0</v>
      </c>
      <c r="D10" s="59">
        <f t="shared" si="0"/>
        <v>0</v>
      </c>
      <c r="E10" s="59">
        <f t="shared" si="0"/>
        <v>2</v>
      </c>
      <c r="F10" s="59">
        <f t="shared" si="0"/>
        <v>182</v>
      </c>
      <c r="G10" s="59">
        <f t="shared" ref="G10:H10" si="13">SUM(G26,G42)</f>
        <v>0</v>
      </c>
      <c r="H10" s="155">
        <f t="shared" si="13"/>
        <v>0</v>
      </c>
      <c r="I10" s="125">
        <f t="shared" si="4"/>
        <v>184</v>
      </c>
      <c r="J10" s="223">
        <f t="shared" ref="J10:O10" si="14">SUM(J26,J42)</f>
        <v>3</v>
      </c>
      <c r="K10" s="59">
        <f t="shared" si="14"/>
        <v>10</v>
      </c>
      <c r="L10" s="59">
        <f t="shared" si="14"/>
        <v>0</v>
      </c>
      <c r="M10" s="59">
        <f t="shared" si="14"/>
        <v>5</v>
      </c>
      <c r="N10" s="59">
        <f t="shared" si="14"/>
        <v>0</v>
      </c>
      <c r="O10" s="155">
        <f t="shared" si="14"/>
        <v>1</v>
      </c>
      <c r="P10" s="125">
        <f t="shared" si="6"/>
        <v>19</v>
      </c>
      <c r="Q10" s="128">
        <f t="shared" si="7"/>
        <v>203</v>
      </c>
      <c r="S10" s="104">
        <f t="shared" si="12"/>
        <v>15</v>
      </c>
      <c r="T10" s="104">
        <f t="shared" si="2"/>
        <v>197</v>
      </c>
      <c r="U10" s="104">
        <f t="shared" si="8"/>
        <v>182</v>
      </c>
      <c r="V10">
        <v>286</v>
      </c>
      <c r="W10" s="71">
        <f t="shared" si="9"/>
        <v>70.979020979020973</v>
      </c>
    </row>
    <row r="11" spans="1:23" x14ac:dyDescent="0.25">
      <c r="A11" s="85">
        <v>5</v>
      </c>
      <c r="B11" s="19" t="s">
        <v>22</v>
      </c>
      <c r="C11" s="59">
        <f t="shared" si="0"/>
        <v>0</v>
      </c>
      <c r="D11" s="59">
        <f t="shared" si="0"/>
        <v>0</v>
      </c>
      <c r="E11" s="59">
        <v>0</v>
      </c>
      <c r="F11" s="59">
        <f t="shared" si="0"/>
        <v>162</v>
      </c>
      <c r="G11" s="59">
        <f t="shared" ref="G11:H11" si="15">SUM(G27,G43)</f>
        <v>0</v>
      </c>
      <c r="H11" s="155">
        <f t="shared" si="15"/>
        <v>0</v>
      </c>
      <c r="I11" s="125">
        <f t="shared" si="4"/>
        <v>162</v>
      </c>
      <c r="J11" s="223">
        <f t="shared" ref="J11:O11" si="16">SUM(J27,J43)</f>
        <v>0</v>
      </c>
      <c r="K11" s="59">
        <f t="shared" si="16"/>
        <v>0</v>
      </c>
      <c r="L11" s="59">
        <f t="shared" si="16"/>
        <v>15</v>
      </c>
      <c r="M11" s="59">
        <f t="shared" si="16"/>
        <v>0</v>
      </c>
      <c r="N11" s="59">
        <f t="shared" si="16"/>
        <v>0</v>
      </c>
      <c r="O11" s="155">
        <f t="shared" si="16"/>
        <v>0</v>
      </c>
      <c r="P11" s="125">
        <f t="shared" si="6"/>
        <v>15</v>
      </c>
      <c r="Q11" s="128">
        <f t="shared" si="7"/>
        <v>177</v>
      </c>
      <c r="S11" s="104">
        <f t="shared" si="12"/>
        <v>15</v>
      </c>
      <c r="T11" s="104">
        <f t="shared" si="2"/>
        <v>162</v>
      </c>
      <c r="U11" s="104">
        <f t="shared" si="8"/>
        <v>147</v>
      </c>
      <c r="V11">
        <v>235</v>
      </c>
      <c r="W11" s="71">
        <f t="shared" si="9"/>
        <v>75.319148936170208</v>
      </c>
    </row>
    <row r="12" spans="1:23" x14ac:dyDescent="0.25">
      <c r="A12" s="85">
        <v>6</v>
      </c>
      <c r="B12" s="19" t="s">
        <v>23</v>
      </c>
      <c r="C12" s="59">
        <f t="shared" si="0"/>
        <v>0</v>
      </c>
      <c r="D12" s="59">
        <f t="shared" si="0"/>
        <v>0</v>
      </c>
      <c r="E12" s="59">
        <f t="shared" si="0"/>
        <v>0</v>
      </c>
      <c r="F12" s="59">
        <f t="shared" si="0"/>
        <v>14</v>
      </c>
      <c r="G12" s="59">
        <f t="shared" ref="G12:H12" si="17">SUM(G28,G44)</f>
        <v>36</v>
      </c>
      <c r="H12" s="155">
        <f t="shared" si="17"/>
        <v>0</v>
      </c>
      <c r="I12" s="125">
        <f t="shared" si="4"/>
        <v>50</v>
      </c>
      <c r="J12" s="223">
        <f t="shared" ref="J12:O12" si="18">SUM(J28,J44)</f>
        <v>0</v>
      </c>
      <c r="K12" s="59">
        <f t="shared" si="18"/>
        <v>4</v>
      </c>
      <c r="L12" s="59">
        <f t="shared" si="18"/>
        <v>7</v>
      </c>
      <c r="M12" s="59">
        <f t="shared" si="18"/>
        <v>20</v>
      </c>
      <c r="N12" s="59">
        <f t="shared" si="18"/>
        <v>12</v>
      </c>
      <c r="O12" s="155">
        <f t="shared" si="18"/>
        <v>0</v>
      </c>
      <c r="P12" s="125">
        <f t="shared" si="6"/>
        <v>43</v>
      </c>
      <c r="Q12" s="128">
        <f t="shared" si="7"/>
        <v>93</v>
      </c>
      <c r="S12" s="104">
        <f t="shared" si="12"/>
        <v>31</v>
      </c>
      <c r="T12" s="104">
        <f t="shared" si="2"/>
        <v>54</v>
      </c>
      <c r="U12" s="104">
        <f t="shared" si="8"/>
        <v>23</v>
      </c>
      <c r="V12">
        <v>141</v>
      </c>
      <c r="W12" s="71">
        <f t="shared" si="9"/>
        <v>65.957446808510639</v>
      </c>
    </row>
    <row r="13" spans="1:23" x14ac:dyDescent="0.25">
      <c r="A13" s="85">
        <v>7</v>
      </c>
      <c r="B13" s="19" t="s">
        <v>24</v>
      </c>
      <c r="C13" s="59">
        <f>SUM(C29,C45)</f>
        <v>0</v>
      </c>
      <c r="D13" s="59">
        <f t="shared" ref="D13" si="19">SUM(D29,D45)</f>
        <v>0</v>
      </c>
      <c r="E13" s="59">
        <f>SUM(E29,E45)</f>
        <v>20</v>
      </c>
      <c r="F13" s="59">
        <f t="shared" ref="F13:H13" si="20">SUM(F29,F45)</f>
        <v>180</v>
      </c>
      <c r="G13" s="59">
        <f t="shared" si="20"/>
        <v>120</v>
      </c>
      <c r="H13" s="155">
        <f t="shared" si="20"/>
        <v>0</v>
      </c>
      <c r="I13" s="125">
        <f t="shared" si="4"/>
        <v>320</v>
      </c>
      <c r="J13" s="223">
        <f t="shared" ref="J13:O13" si="21">SUM(J29,J45)</f>
        <v>0</v>
      </c>
      <c r="K13" s="59">
        <f t="shared" si="21"/>
        <v>0</v>
      </c>
      <c r="L13" s="59">
        <f t="shared" si="21"/>
        <v>185</v>
      </c>
      <c r="M13" s="59">
        <f t="shared" si="21"/>
        <v>90</v>
      </c>
      <c r="N13" s="59">
        <f t="shared" si="21"/>
        <v>0</v>
      </c>
      <c r="O13" s="155">
        <f t="shared" si="21"/>
        <v>0</v>
      </c>
      <c r="P13" s="125">
        <f t="shared" si="6"/>
        <v>275</v>
      </c>
      <c r="Q13" s="128">
        <f t="shared" si="7"/>
        <v>595</v>
      </c>
      <c r="S13" s="104">
        <f t="shared" si="12"/>
        <v>275</v>
      </c>
      <c r="T13" s="104">
        <f t="shared" si="2"/>
        <v>320</v>
      </c>
      <c r="U13" s="104">
        <f t="shared" si="8"/>
        <v>45</v>
      </c>
      <c r="V13">
        <v>701</v>
      </c>
      <c r="W13" s="71">
        <f t="shared" si="9"/>
        <v>84.878744650499286</v>
      </c>
    </row>
    <row r="14" spans="1:23" ht="15.75" thickBot="1" x14ac:dyDescent="0.3">
      <c r="A14" s="86">
        <v>8</v>
      </c>
      <c r="B14" s="15" t="s">
        <v>25</v>
      </c>
      <c r="C14" s="137">
        <f>SUM(C30,C46)</f>
        <v>11</v>
      </c>
      <c r="D14" s="137">
        <f t="shared" ref="D14" si="22">SUM(D30,D46)</f>
        <v>0</v>
      </c>
      <c r="E14" s="137">
        <f t="shared" ref="E14:H14" si="23">SUM(E30,E46)</f>
        <v>10</v>
      </c>
      <c r="F14" s="137">
        <f t="shared" si="23"/>
        <v>44</v>
      </c>
      <c r="G14" s="137">
        <f t="shared" si="23"/>
        <v>20</v>
      </c>
      <c r="H14" s="137">
        <f t="shared" si="23"/>
        <v>25</v>
      </c>
      <c r="I14" s="126">
        <f t="shared" si="4"/>
        <v>110</v>
      </c>
      <c r="J14" s="137">
        <f t="shared" ref="J14:O14" si="24">SUM(J30,J46)</f>
        <v>5</v>
      </c>
      <c r="K14" s="59">
        <f t="shared" si="24"/>
        <v>42</v>
      </c>
      <c r="L14" s="137">
        <f t="shared" si="24"/>
        <v>169</v>
      </c>
      <c r="M14" s="137">
        <f t="shared" si="24"/>
        <v>0</v>
      </c>
      <c r="N14" s="137">
        <f t="shared" si="24"/>
        <v>18</v>
      </c>
      <c r="O14" s="137">
        <f t="shared" si="24"/>
        <v>5</v>
      </c>
      <c r="P14" s="126">
        <f>SUM(J14:O14)</f>
        <v>239</v>
      </c>
      <c r="Q14" s="129">
        <f t="shared" si="7"/>
        <v>349</v>
      </c>
      <c r="S14" s="104">
        <f t="shared" si="12"/>
        <v>211</v>
      </c>
      <c r="T14" s="104">
        <f t="shared" si="2"/>
        <v>157</v>
      </c>
      <c r="U14" s="104">
        <f t="shared" si="8"/>
        <v>-54</v>
      </c>
      <c r="V14">
        <v>593</v>
      </c>
      <c r="W14" s="71">
        <f t="shared" si="9"/>
        <v>58.853288364249579</v>
      </c>
    </row>
    <row r="15" spans="1:23" ht="16.5" thickTop="1" thickBot="1" x14ac:dyDescent="0.3">
      <c r="A15" s="339" t="s">
        <v>26</v>
      </c>
      <c r="B15" s="340"/>
      <c r="C15" s="112">
        <f t="shared" ref="C15:H15" si="25">SUM(C7:C14)</f>
        <v>13</v>
      </c>
      <c r="D15" s="112">
        <f t="shared" si="25"/>
        <v>1</v>
      </c>
      <c r="E15" s="112">
        <f t="shared" si="25"/>
        <v>37</v>
      </c>
      <c r="F15" s="112">
        <f t="shared" si="25"/>
        <v>785</v>
      </c>
      <c r="G15" s="112">
        <f t="shared" si="25"/>
        <v>334</v>
      </c>
      <c r="H15" s="121">
        <f t="shared" si="25"/>
        <v>90</v>
      </c>
      <c r="I15" s="123">
        <f>SUM(I7:I14)</f>
        <v>1260</v>
      </c>
      <c r="J15" s="133">
        <f t="shared" ref="J15:O15" si="26">SUM(J7:J14)</f>
        <v>28</v>
      </c>
      <c r="K15" s="112">
        <f t="shared" si="26"/>
        <v>77</v>
      </c>
      <c r="L15" s="112">
        <f t="shared" si="26"/>
        <v>506</v>
      </c>
      <c r="M15" s="112">
        <f t="shared" si="26"/>
        <v>143</v>
      </c>
      <c r="N15" s="112">
        <f t="shared" si="26"/>
        <v>30</v>
      </c>
      <c r="O15" s="121">
        <f t="shared" si="26"/>
        <v>26</v>
      </c>
      <c r="P15" s="123">
        <f>SUM(P7:P14)</f>
        <v>810</v>
      </c>
      <c r="Q15" s="130">
        <f>SUM(Q7:Q14)</f>
        <v>2070</v>
      </c>
      <c r="S15" s="104">
        <f>SUM(S7:S14)</f>
        <v>726</v>
      </c>
      <c r="T15" s="104">
        <f>SUM(T7:T14)</f>
        <v>1365</v>
      </c>
      <c r="U15" s="104">
        <f>SUM(U7:U14)</f>
        <v>639</v>
      </c>
      <c r="W15" s="71">
        <f>Q15/W16*100</f>
        <v>74.648395239812487</v>
      </c>
    </row>
    <row r="16" spans="1:23" x14ac:dyDescent="0.25">
      <c r="K16" s="295">
        <f>96%*K15</f>
        <v>73.92</v>
      </c>
      <c r="L16" s="295">
        <f t="shared" ref="L16:M16" si="27">96%*L15</f>
        <v>485.76</v>
      </c>
      <c r="M16" s="295">
        <f t="shared" si="27"/>
        <v>137.28</v>
      </c>
      <c r="W16">
        <v>2773</v>
      </c>
    </row>
    <row r="17" spans="1:23" ht="15.75" x14ac:dyDescent="0.25">
      <c r="A17" s="341" t="s">
        <v>144</v>
      </c>
      <c r="B17" s="341"/>
      <c r="C17" s="341"/>
      <c r="D17" s="341"/>
      <c r="E17" s="341"/>
      <c r="F17" s="341"/>
      <c r="G17" s="341"/>
      <c r="H17" s="341"/>
      <c r="I17" s="341"/>
      <c r="J17" s="341"/>
      <c r="K17" s="341"/>
      <c r="L17" s="341"/>
      <c r="M17" s="341"/>
      <c r="N17" s="341"/>
      <c r="O17" s="341"/>
      <c r="P17" s="341"/>
      <c r="Q17" s="341"/>
      <c r="S17">
        <f>Q15/'[1]TANAM 2019'!$Q$17*100</f>
        <v>92.658907788719773</v>
      </c>
    </row>
    <row r="18" spans="1:23" ht="15.75" x14ac:dyDescent="0.25">
      <c r="A18" s="341" t="s">
        <v>81</v>
      </c>
      <c r="B18" s="341"/>
      <c r="C18" s="341"/>
      <c r="D18" s="341"/>
      <c r="E18" s="341"/>
      <c r="F18" s="341"/>
      <c r="G18" s="341"/>
      <c r="H18" s="341"/>
      <c r="I18" s="341"/>
      <c r="J18" s="341"/>
      <c r="K18" s="341"/>
      <c r="L18" s="341"/>
      <c r="M18" s="341"/>
      <c r="N18" s="341"/>
      <c r="O18" s="341"/>
      <c r="P18" s="341"/>
      <c r="Q18" s="341"/>
      <c r="W18">
        <f>4/173*100</f>
        <v>2.3121387283236992</v>
      </c>
    </row>
    <row r="19" spans="1:23" ht="15.75" thickBot="1" x14ac:dyDescent="0.3">
      <c r="Q19" s="75" t="s">
        <v>1</v>
      </c>
      <c r="S19">
        <f>142.8/641*100</f>
        <v>22.277691107644308</v>
      </c>
    </row>
    <row r="20" spans="1:23" x14ac:dyDescent="0.25">
      <c r="A20" s="334" t="s">
        <v>2</v>
      </c>
      <c r="B20" s="336" t="s">
        <v>3</v>
      </c>
      <c r="C20" s="342" t="s">
        <v>183</v>
      </c>
      <c r="D20" s="343"/>
      <c r="E20" s="343"/>
      <c r="F20" s="343"/>
      <c r="G20" s="343"/>
      <c r="H20" s="344"/>
      <c r="I20" s="345" t="s">
        <v>82</v>
      </c>
      <c r="J20" s="347">
        <v>2020</v>
      </c>
      <c r="K20" s="343"/>
      <c r="L20" s="343"/>
      <c r="M20" s="343"/>
      <c r="N20" s="343"/>
      <c r="O20" s="344"/>
      <c r="P20" s="345" t="s">
        <v>83</v>
      </c>
      <c r="Q20" s="348" t="s">
        <v>5</v>
      </c>
    </row>
    <row r="21" spans="1:23" x14ac:dyDescent="0.25">
      <c r="A21" s="335"/>
      <c r="B21" s="324"/>
      <c r="C21" s="300" t="s">
        <v>15</v>
      </c>
      <c r="D21" s="300" t="s">
        <v>16</v>
      </c>
      <c r="E21" s="300" t="s">
        <v>17</v>
      </c>
      <c r="F21" s="300" t="s">
        <v>6</v>
      </c>
      <c r="G21" s="300" t="s">
        <v>76</v>
      </c>
      <c r="H21" s="119" t="s">
        <v>77</v>
      </c>
      <c r="I21" s="346"/>
      <c r="J21" s="109" t="s">
        <v>78</v>
      </c>
      <c r="K21" s="300" t="s">
        <v>10</v>
      </c>
      <c r="L21" s="300" t="s">
        <v>11</v>
      </c>
      <c r="M21" s="300" t="s">
        <v>12</v>
      </c>
      <c r="N21" s="300" t="s">
        <v>79</v>
      </c>
      <c r="O21" s="119" t="s">
        <v>80</v>
      </c>
      <c r="P21" s="346"/>
      <c r="Q21" s="349"/>
      <c r="T21">
        <v>1564</v>
      </c>
      <c r="U21" s="104">
        <f>T21-I15</f>
        <v>304</v>
      </c>
    </row>
    <row r="22" spans="1:23" ht="15.75" thickBot="1" x14ac:dyDescent="0.3">
      <c r="A22" s="111">
        <v>1</v>
      </c>
      <c r="B22" s="5">
        <v>2</v>
      </c>
      <c r="C22" s="5">
        <v>3</v>
      </c>
      <c r="D22" s="5">
        <v>4</v>
      </c>
      <c r="E22" s="5">
        <v>5</v>
      </c>
      <c r="F22" s="5">
        <v>6</v>
      </c>
      <c r="G22" s="5">
        <v>7</v>
      </c>
      <c r="H22" s="120">
        <v>8</v>
      </c>
      <c r="I22" s="122">
        <v>9</v>
      </c>
      <c r="J22" s="110">
        <v>10</v>
      </c>
      <c r="K22" s="5">
        <v>11</v>
      </c>
      <c r="L22" s="5">
        <v>12</v>
      </c>
      <c r="M22" s="5">
        <v>13</v>
      </c>
      <c r="N22" s="5">
        <v>14</v>
      </c>
      <c r="O22" s="120">
        <v>15</v>
      </c>
      <c r="P22" s="122">
        <v>16</v>
      </c>
      <c r="Q22" s="131">
        <v>17</v>
      </c>
    </row>
    <row r="23" spans="1:23" ht="15.75" thickTop="1" x14ac:dyDescent="0.25">
      <c r="A23" s="83">
        <v>1</v>
      </c>
      <c r="B23" s="7" t="s">
        <v>18</v>
      </c>
      <c r="C23" s="58">
        <v>0</v>
      </c>
      <c r="D23" s="9">
        <v>0</v>
      </c>
      <c r="E23" s="9">
        <v>0</v>
      </c>
      <c r="F23" s="136">
        <f>'padi sawah'!C9</f>
        <v>70</v>
      </c>
      <c r="G23" s="136">
        <f>'padi sawah'!D9</f>
        <v>75</v>
      </c>
      <c r="H23" s="136">
        <f>'padi sawah'!E9</f>
        <v>65</v>
      </c>
      <c r="I23" s="124">
        <f>SUM(C23:H23)</f>
        <v>210</v>
      </c>
      <c r="J23" s="136">
        <f>'padi sawah'!F9</f>
        <v>15</v>
      </c>
      <c r="K23" s="136">
        <f>'padi sawah'!G9</f>
        <v>0</v>
      </c>
      <c r="L23" s="136">
        <f>'padi sawah'!H9</f>
        <v>45</v>
      </c>
      <c r="M23" s="136">
        <f>'padi sawah'!I9</f>
        <v>5</v>
      </c>
      <c r="N23" s="136">
        <f>'padi sawah'!J9</f>
        <v>0</v>
      </c>
      <c r="O23" s="136">
        <f>'padi sawah'!K9</f>
        <v>7</v>
      </c>
      <c r="P23" s="124">
        <f>SUM(J23:O23)</f>
        <v>72</v>
      </c>
      <c r="Q23" s="127">
        <f>SUM(I23,P23)</f>
        <v>282</v>
      </c>
    </row>
    <row r="24" spans="1:23" x14ac:dyDescent="0.25">
      <c r="A24" s="84">
        <v>2</v>
      </c>
      <c r="B24" s="12" t="s">
        <v>19</v>
      </c>
      <c r="C24" s="60">
        <v>2</v>
      </c>
      <c r="D24" s="47">
        <v>1</v>
      </c>
      <c r="E24" s="8">
        <v>5</v>
      </c>
      <c r="F24" s="59">
        <f>'padi sawah'!C10</f>
        <v>108</v>
      </c>
      <c r="G24" s="59">
        <f>'padi sawah'!D10</f>
        <v>83</v>
      </c>
      <c r="H24" s="59">
        <f>'padi sawah'!E10</f>
        <v>0</v>
      </c>
      <c r="I24" s="125">
        <f t="shared" ref="I24:I30" si="28">SUM(C24:H24)</f>
        <v>199</v>
      </c>
      <c r="J24" s="59">
        <f>'padi sawah'!F10</f>
        <v>5</v>
      </c>
      <c r="K24" s="59">
        <f>'padi sawah'!G10</f>
        <v>11</v>
      </c>
      <c r="L24" s="59">
        <f>'padi sawah'!H10</f>
        <v>85</v>
      </c>
      <c r="M24" s="59">
        <f>'padi sawah'!I10</f>
        <v>23</v>
      </c>
      <c r="N24" s="59">
        <f>'padi sawah'!J10</f>
        <v>0</v>
      </c>
      <c r="O24" s="155">
        <f>'padi sawah'!K10</f>
        <v>13</v>
      </c>
      <c r="P24" s="125">
        <f t="shared" ref="P24:P29" si="29">SUM(J24:O24)</f>
        <v>137</v>
      </c>
      <c r="Q24" s="128">
        <f t="shared" ref="Q24:Q30" si="30">SUM(I24,P24)</f>
        <v>336</v>
      </c>
    </row>
    <row r="25" spans="1:23" x14ac:dyDescent="0.25">
      <c r="A25" s="84">
        <v>3</v>
      </c>
      <c r="B25" s="7" t="s">
        <v>20</v>
      </c>
      <c r="C25" s="60">
        <v>0</v>
      </c>
      <c r="D25" s="8">
        <v>0</v>
      </c>
      <c r="E25" s="8">
        <v>0</v>
      </c>
      <c r="F25" s="59">
        <f>'padi sawah'!C11</f>
        <v>25</v>
      </c>
      <c r="G25" s="59">
        <f>'padi sawah'!D11</f>
        <v>0</v>
      </c>
      <c r="H25" s="59">
        <f>'padi sawah'!E11</f>
        <v>0</v>
      </c>
      <c r="I25" s="125">
        <f t="shared" si="28"/>
        <v>25</v>
      </c>
      <c r="J25" s="59">
        <f>'padi sawah'!F11</f>
        <v>0</v>
      </c>
      <c r="K25" s="59">
        <f>'padi sawah'!G11</f>
        <v>10</v>
      </c>
      <c r="L25" s="59">
        <f>'padi sawah'!H11</f>
        <v>0</v>
      </c>
      <c r="M25" s="59">
        <f>'padi sawah'!I11</f>
        <v>0</v>
      </c>
      <c r="N25" s="59">
        <f>'padi sawah'!J11</f>
        <v>0</v>
      </c>
      <c r="O25" s="155">
        <f>'padi sawah'!K11</f>
        <v>0</v>
      </c>
      <c r="P25" s="125">
        <f t="shared" si="29"/>
        <v>10</v>
      </c>
      <c r="Q25" s="128">
        <f t="shared" si="30"/>
        <v>35</v>
      </c>
    </row>
    <row r="26" spans="1:23" x14ac:dyDescent="0.25">
      <c r="A26" s="85">
        <v>4</v>
      </c>
      <c r="B26" s="15" t="s">
        <v>21</v>
      </c>
      <c r="C26" s="60">
        <v>0</v>
      </c>
      <c r="D26" s="16">
        <v>0</v>
      </c>
      <c r="E26" s="16">
        <v>2</v>
      </c>
      <c r="F26" s="59">
        <f>'padi sawah'!C12</f>
        <v>182</v>
      </c>
      <c r="G26" s="59">
        <f>'padi sawah'!D12</f>
        <v>0</v>
      </c>
      <c r="H26" s="59">
        <f>'padi sawah'!E12</f>
        <v>0</v>
      </c>
      <c r="I26" s="125">
        <f t="shared" si="28"/>
        <v>184</v>
      </c>
      <c r="J26" s="59">
        <f>'padi sawah'!F12</f>
        <v>3</v>
      </c>
      <c r="K26" s="59">
        <f>'padi sawah'!G12</f>
        <v>10</v>
      </c>
      <c r="L26" s="59">
        <f>'padi sawah'!H12</f>
        <v>0</v>
      </c>
      <c r="M26" s="59">
        <f>'padi sawah'!I12</f>
        <v>5</v>
      </c>
      <c r="N26" s="59">
        <f>'padi sawah'!J12</f>
        <v>0</v>
      </c>
      <c r="O26" s="155">
        <f>'padi sawah'!K12</f>
        <v>1</v>
      </c>
      <c r="P26" s="125">
        <f t="shared" si="29"/>
        <v>19</v>
      </c>
      <c r="Q26" s="128">
        <f t="shared" si="30"/>
        <v>203</v>
      </c>
    </row>
    <row r="27" spans="1:23" x14ac:dyDescent="0.25">
      <c r="A27" s="85">
        <v>5</v>
      </c>
      <c r="B27" s="19" t="s">
        <v>22</v>
      </c>
      <c r="C27" s="16">
        <v>0</v>
      </c>
      <c r="D27" s="16">
        <v>0</v>
      </c>
      <c r="E27" s="16">
        <v>0</v>
      </c>
      <c r="F27" s="59">
        <f>'padi sawah'!C13</f>
        <v>162</v>
      </c>
      <c r="G27" s="59">
        <f>'padi sawah'!D13</f>
        <v>0</v>
      </c>
      <c r="H27" s="59">
        <f>'padi sawah'!E13</f>
        <v>0</v>
      </c>
      <c r="I27" s="125">
        <f t="shared" si="28"/>
        <v>162</v>
      </c>
      <c r="J27" s="59">
        <f>'padi sawah'!F13</f>
        <v>0</v>
      </c>
      <c r="K27" s="59">
        <f>'padi sawah'!G13</f>
        <v>0</v>
      </c>
      <c r="L27" s="59">
        <f>'padi sawah'!H13</f>
        <v>15</v>
      </c>
      <c r="M27" s="59">
        <f>'padi sawah'!I13</f>
        <v>0</v>
      </c>
      <c r="N27" s="59">
        <f>'padi sawah'!J13</f>
        <v>0</v>
      </c>
      <c r="O27" s="155">
        <f>'padi sawah'!K13</f>
        <v>0</v>
      </c>
      <c r="P27" s="125">
        <f t="shared" si="29"/>
        <v>15</v>
      </c>
      <c r="Q27" s="128">
        <f t="shared" si="30"/>
        <v>177</v>
      </c>
    </row>
    <row r="28" spans="1:23" x14ac:dyDescent="0.25">
      <c r="A28" s="85">
        <v>6</v>
      </c>
      <c r="B28" s="19" t="s">
        <v>23</v>
      </c>
      <c r="C28" s="16">
        <v>0</v>
      </c>
      <c r="D28" s="16">
        <v>0</v>
      </c>
      <c r="E28" s="16">
        <v>0</v>
      </c>
      <c r="F28" s="59">
        <f>'padi sawah'!C14</f>
        <v>14</v>
      </c>
      <c r="G28" s="59">
        <f>'padi sawah'!D14</f>
        <v>36</v>
      </c>
      <c r="H28" s="59">
        <f>'padi sawah'!E14</f>
        <v>0</v>
      </c>
      <c r="I28" s="125">
        <f t="shared" si="28"/>
        <v>50</v>
      </c>
      <c r="J28" s="59">
        <f>'padi sawah'!F14</f>
        <v>0</v>
      </c>
      <c r="K28" s="59">
        <f>'padi sawah'!G14</f>
        <v>4</v>
      </c>
      <c r="L28" s="59">
        <f>'padi sawah'!H14</f>
        <v>7</v>
      </c>
      <c r="M28" s="59">
        <f>'padi sawah'!I14</f>
        <v>20</v>
      </c>
      <c r="N28" s="59">
        <f>'padi sawah'!J14</f>
        <v>12</v>
      </c>
      <c r="O28" s="155">
        <f>'padi sawah'!K14</f>
        <v>0</v>
      </c>
      <c r="P28" s="125">
        <f t="shared" si="29"/>
        <v>43</v>
      </c>
      <c r="Q28" s="128">
        <f t="shared" si="30"/>
        <v>93</v>
      </c>
    </row>
    <row r="29" spans="1:23" x14ac:dyDescent="0.25">
      <c r="A29" s="85">
        <v>7</v>
      </c>
      <c r="B29" s="19" t="s">
        <v>24</v>
      </c>
      <c r="C29" s="16">
        <v>0</v>
      </c>
      <c r="D29" s="16">
        <v>0</v>
      </c>
      <c r="E29" s="16">
        <v>20</v>
      </c>
      <c r="F29" s="59">
        <f>'padi sawah'!C15</f>
        <v>180</v>
      </c>
      <c r="G29" s="59">
        <f>'padi sawah'!D15</f>
        <v>120</v>
      </c>
      <c r="H29" s="59">
        <f>'padi sawah'!E15</f>
        <v>0</v>
      </c>
      <c r="I29" s="125">
        <f t="shared" si="28"/>
        <v>320</v>
      </c>
      <c r="J29" s="59">
        <f>'padi sawah'!F15</f>
        <v>0</v>
      </c>
      <c r="K29" s="59">
        <f>'padi sawah'!G15</f>
        <v>0</v>
      </c>
      <c r="L29" s="59">
        <f>'padi sawah'!H15</f>
        <v>185</v>
      </c>
      <c r="M29" s="59">
        <f>'padi sawah'!I15</f>
        <v>90</v>
      </c>
      <c r="N29" s="59">
        <f>'padi sawah'!J15</f>
        <v>0</v>
      </c>
      <c r="O29" s="155">
        <f>'padi sawah'!K15</f>
        <v>0</v>
      </c>
      <c r="P29" s="125">
        <f t="shared" si="29"/>
        <v>275</v>
      </c>
      <c r="Q29" s="128">
        <f t="shared" si="30"/>
        <v>595</v>
      </c>
    </row>
    <row r="30" spans="1:23" ht="15.75" thickBot="1" x14ac:dyDescent="0.3">
      <c r="A30" s="86">
        <v>8</v>
      </c>
      <c r="B30" s="15" t="s">
        <v>25</v>
      </c>
      <c r="C30" s="252">
        <v>11</v>
      </c>
      <c r="D30" s="252">
        <v>0</v>
      </c>
      <c r="E30" s="252">
        <v>10</v>
      </c>
      <c r="F30" s="137">
        <f>'padi sawah'!C16</f>
        <v>44</v>
      </c>
      <c r="G30" s="137">
        <f>'padi sawah'!D16</f>
        <v>20</v>
      </c>
      <c r="H30" s="137">
        <f>'padi sawah'!E16</f>
        <v>25</v>
      </c>
      <c r="I30" s="126">
        <f t="shared" si="28"/>
        <v>110</v>
      </c>
      <c r="J30" s="137">
        <f>'padi sawah'!F16</f>
        <v>5</v>
      </c>
      <c r="K30" s="137">
        <f>'padi sawah'!G16</f>
        <v>42</v>
      </c>
      <c r="L30" s="137">
        <f>'padi sawah'!H16</f>
        <v>167</v>
      </c>
      <c r="M30" s="137">
        <f>'padi sawah'!I16</f>
        <v>0</v>
      </c>
      <c r="N30" s="137">
        <f>'padi sawah'!J16</f>
        <v>18</v>
      </c>
      <c r="O30" s="137">
        <f>'padi sawah'!K16</f>
        <v>5</v>
      </c>
      <c r="P30" s="126">
        <f>SUM(J30:O30)</f>
        <v>237</v>
      </c>
      <c r="Q30" s="129">
        <f t="shared" si="30"/>
        <v>347</v>
      </c>
    </row>
    <row r="31" spans="1:23" ht="16.5" thickTop="1" thickBot="1" x14ac:dyDescent="0.3">
      <c r="A31" s="339" t="s">
        <v>26</v>
      </c>
      <c r="B31" s="340"/>
      <c r="C31" s="112">
        <f t="shared" ref="C31:H31" si="31">SUM(C23:C30)</f>
        <v>13</v>
      </c>
      <c r="D31" s="112">
        <f t="shared" si="31"/>
        <v>1</v>
      </c>
      <c r="E31" s="112">
        <f t="shared" si="31"/>
        <v>37</v>
      </c>
      <c r="F31" s="112">
        <f t="shared" si="31"/>
        <v>785</v>
      </c>
      <c r="G31" s="112">
        <f t="shared" si="31"/>
        <v>334</v>
      </c>
      <c r="H31" s="121">
        <f t="shared" si="31"/>
        <v>90</v>
      </c>
      <c r="I31" s="123">
        <f>SUM(I23:I30)</f>
        <v>1260</v>
      </c>
      <c r="J31" s="133">
        <f t="shared" ref="J31:O31" si="32">SUM(J23:J30)</f>
        <v>28</v>
      </c>
      <c r="K31" s="112">
        <f t="shared" si="32"/>
        <v>77</v>
      </c>
      <c r="L31" s="112">
        <f t="shared" si="32"/>
        <v>504</v>
      </c>
      <c r="M31" s="112">
        <f t="shared" si="32"/>
        <v>143</v>
      </c>
      <c r="N31" s="112">
        <f t="shared" si="32"/>
        <v>30</v>
      </c>
      <c r="O31" s="121">
        <f t="shared" si="32"/>
        <v>26</v>
      </c>
      <c r="P31" s="123">
        <f>SUM(P23:P30)</f>
        <v>808</v>
      </c>
      <c r="Q31" s="130">
        <f>SUM(Q23:Q30)</f>
        <v>2068</v>
      </c>
    </row>
    <row r="33" spans="1:17" ht="15.75" x14ac:dyDescent="0.25">
      <c r="A33" s="341" t="s">
        <v>150</v>
      </c>
      <c r="B33" s="341"/>
      <c r="C33" s="341"/>
      <c r="D33" s="341"/>
      <c r="E33" s="341"/>
      <c r="F33" s="341"/>
      <c r="G33" s="341"/>
      <c r="H33" s="341"/>
      <c r="I33" s="341"/>
      <c r="J33" s="341"/>
      <c r="K33" s="341"/>
      <c r="L33" s="341"/>
      <c r="M33" s="341"/>
      <c r="N33" s="341"/>
      <c r="O33" s="341"/>
      <c r="P33" s="341"/>
      <c r="Q33" s="341"/>
    </row>
    <row r="34" spans="1:17" ht="15.75" x14ac:dyDescent="0.25">
      <c r="A34" s="341" t="s">
        <v>81</v>
      </c>
      <c r="B34" s="341"/>
      <c r="C34" s="341"/>
      <c r="D34" s="341"/>
      <c r="E34" s="341"/>
      <c r="F34" s="341"/>
      <c r="G34" s="341"/>
      <c r="H34" s="341"/>
      <c r="I34" s="341"/>
      <c r="J34" s="341"/>
      <c r="K34" s="341"/>
      <c r="L34" s="341"/>
      <c r="M34" s="341"/>
      <c r="N34" s="341"/>
      <c r="O34" s="341"/>
      <c r="P34" s="341"/>
      <c r="Q34" s="341"/>
    </row>
    <row r="35" spans="1:17" ht="15.75" thickBot="1" x14ac:dyDescent="0.3">
      <c r="Q35" s="75" t="s">
        <v>1</v>
      </c>
    </row>
    <row r="36" spans="1:17" x14ac:dyDescent="0.25">
      <c r="A36" s="334" t="s">
        <v>2</v>
      </c>
      <c r="B36" s="336" t="s">
        <v>3</v>
      </c>
      <c r="C36" s="342" t="s">
        <v>183</v>
      </c>
      <c r="D36" s="343"/>
      <c r="E36" s="343"/>
      <c r="F36" s="343"/>
      <c r="G36" s="343"/>
      <c r="H36" s="344"/>
      <c r="I36" s="345" t="s">
        <v>82</v>
      </c>
      <c r="J36" s="347">
        <v>2020</v>
      </c>
      <c r="K36" s="343"/>
      <c r="L36" s="343"/>
      <c r="M36" s="343"/>
      <c r="N36" s="343"/>
      <c r="O36" s="344"/>
      <c r="P36" s="345" t="s">
        <v>83</v>
      </c>
      <c r="Q36" s="348" t="s">
        <v>5</v>
      </c>
    </row>
    <row r="37" spans="1:17" x14ac:dyDescent="0.25">
      <c r="A37" s="335"/>
      <c r="B37" s="324"/>
      <c r="C37" s="300" t="s">
        <v>15</v>
      </c>
      <c r="D37" s="300" t="s">
        <v>16</v>
      </c>
      <c r="E37" s="300" t="s">
        <v>17</v>
      </c>
      <c r="F37" s="300" t="s">
        <v>6</v>
      </c>
      <c r="G37" s="300" t="s">
        <v>76</v>
      </c>
      <c r="H37" s="119" t="s">
        <v>77</v>
      </c>
      <c r="I37" s="346"/>
      <c r="J37" s="109" t="s">
        <v>78</v>
      </c>
      <c r="K37" s="300" t="s">
        <v>10</v>
      </c>
      <c r="L37" s="300" t="s">
        <v>11</v>
      </c>
      <c r="M37" s="300" t="s">
        <v>12</v>
      </c>
      <c r="N37" s="300" t="s">
        <v>79</v>
      </c>
      <c r="O37" s="119" t="s">
        <v>80</v>
      </c>
      <c r="P37" s="346"/>
      <c r="Q37" s="349"/>
    </row>
    <row r="38" spans="1:17" ht="15.75" thickBot="1" x14ac:dyDescent="0.3">
      <c r="A38" s="111">
        <v>1</v>
      </c>
      <c r="B38" s="5">
        <v>2</v>
      </c>
      <c r="C38" s="5">
        <v>3</v>
      </c>
      <c r="D38" s="5">
        <v>4</v>
      </c>
      <c r="E38" s="5">
        <v>5</v>
      </c>
      <c r="F38" s="5">
        <v>6</v>
      </c>
      <c r="G38" s="5">
        <v>7</v>
      </c>
      <c r="H38" s="120">
        <v>8</v>
      </c>
      <c r="I38" s="122">
        <v>9</v>
      </c>
      <c r="J38" s="110">
        <v>10</v>
      </c>
      <c r="K38" s="5">
        <v>11</v>
      </c>
      <c r="L38" s="5">
        <v>12</v>
      </c>
      <c r="M38" s="5">
        <v>13</v>
      </c>
      <c r="N38" s="5">
        <v>14</v>
      </c>
      <c r="O38" s="120">
        <v>15</v>
      </c>
      <c r="P38" s="122">
        <v>16</v>
      </c>
      <c r="Q38" s="131">
        <v>17</v>
      </c>
    </row>
    <row r="39" spans="1:17" ht="15.75" thickTop="1" x14ac:dyDescent="0.25">
      <c r="A39" s="83">
        <v>1</v>
      </c>
      <c r="B39" s="7" t="s">
        <v>18</v>
      </c>
      <c r="C39" s="136">
        <v>0</v>
      </c>
      <c r="D39" s="136">
        <v>0</v>
      </c>
      <c r="E39" s="136">
        <v>0</v>
      </c>
      <c r="F39" s="136">
        <f>'padi ladang'!C9</f>
        <v>0</v>
      </c>
      <c r="G39" s="136">
        <f>'padi ladang'!D9</f>
        <v>0</v>
      </c>
      <c r="H39" s="136">
        <f>'padi ladang'!E9</f>
        <v>0</v>
      </c>
      <c r="I39" s="124">
        <f>SUM(C39:H39)</f>
        <v>0</v>
      </c>
      <c r="J39" s="156">
        <f>'padi ladang'!F9</f>
        <v>0</v>
      </c>
      <c r="K39" s="156">
        <f>'padi ladang'!G9</f>
        <v>0</v>
      </c>
      <c r="L39" s="156">
        <f>'padi ladang'!H9</f>
        <v>0</v>
      </c>
      <c r="M39" s="156">
        <f>'padi ladang'!I9</f>
        <v>0</v>
      </c>
      <c r="N39" s="156">
        <f>'padi ladang'!J9</f>
        <v>0</v>
      </c>
      <c r="O39" s="156">
        <f>'padi ladang'!K9</f>
        <v>0</v>
      </c>
      <c r="P39" s="124">
        <f>SUM(J39:O39)</f>
        <v>0</v>
      </c>
      <c r="Q39" s="127">
        <f>SUM(I39,P39)</f>
        <v>0</v>
      </c>
    </row>
    <row r="40" spans="1:17" x14ac:dyDescent="0.25">
      <c r="A40" s="84">
        <v>2</v>
      </c>
      <c r="B40" s="12" t="s">
        <v>19</v>
      </c>
      <c r="C40" s="59">
        <v>0</v>
      </c>
      <c r="D40" s="59">
        <v>0</v>
      </c>
      <c r="E40" s="59">
        <v>0</v>
      </c>
      <c r="F40" s="59">
        <f>'padi ladang'!C10</f>
        <v>0</v>
      </c>
      <c r="G40" s="59">
        <f>'padi ladang'!D10</f>
        <v>0</v>
      </c>
      <c r="H40" s="155">
        <f>'padi ladang'!E10</f>
        <v>0</v>
      </c>
      <c r="I40" s="125">
        <f t="shared" ref="I40:I46" si="33">SUM(C40:H40)</f>
        <v>0</v>
      </c>
      <c r="J40" s="223">
        <f>'padi ladang'!F10</f>
        <v>0</v>
      </c>
      <c r="K40" s="132">
        <f>'padi ladang'!G10</f>
        <v>0</v>
      </c>
      <c r="L40" s="132">
        <f>'padi ladang'!H10</f>
        <v>0</v>
      </c>
      <c r="M40" s="132">
        <f>'padi ladang'!I10</f>
        <v>0</v>
      </c>
      <c r="N40" s="132">
        <f>'padi ladang'!J10</f>
        <v>0</v>
      </c>
      <c r="O40" s="157">
        <f>'padi ladang'!K10</f>
        <v>0</v>
      </c>
      <c r="P40" s="125">
        <f t="shared" ref="P40:P45" si="34">SUM(J40:O40)</f>
        <v>0</v>
      </c>
      <c r="Q40" s="128">
        <f t="shared" ref="Q40:Q46" si="35">SUM(I40,P40)</f>
        <v>0</v>
      </c>
    </row>
    <row r="41" spans="1:17" x14ac:dyDescent="0.25">
      <c r="A41" s="84">
        <v>3</v>
      </c>
      <c r="B41" s="7" t="s">
        <v>20</v>
      </c>
      <c r="C41" s="59">
        <v>0</v>
      </c>
      <c r="D41" s="59">
        <v>0</v>
      </c>
      <c r="E41" s="59">
        <v>0</v>
      </c>
      <c r="F41" s="59">
        <v>0</v>
      </c>
      <c r="G41" s="59">
        <f>'padi ladang'!D11</f>
        <v>0</v>
      </c>
      <c r="H41" s="155">
        <f>'padi ladang'!E11</f>
        <v>0</v>
      </c>
      <c r="I41" s="125">
        <f t="shared" si="33"/>
        <v>0</v>
      </c>
      <c r="J41" s="223">
        <f>'padi ladang'!F11</f>
        <v>0</v>
      </c>
      <c r="K41" s="132">
        <f>'padi ladang'!G11</f>
        <v>0</v>
      </c>
      <c r="L41" s="132">
        <f>'padi ladang'!H11</f>
        <v>0</v>
      </c>
      <c r="M41" s="132">
        <f>'padi ladang'!I11</f>
        <v>0</v>
      </c>
      <c r="N41" s="132">
        <f>'padi ladang'!J11</f>
        <v>0</v>
      </c>
      <c r="O41" s="157">
        <f>'padi ladang'!K11</f>
        <v>0</v>
      </c>
      <c r="P41" s="125">
        <f t="shared" si="34"/>
        <v>0</v>
      </c>
      <c r="Q41" s="128">
        <f t="shared" si="35"/>
        <v>0</v>
      </c>
    </row>
    <row r="42" spans="1:17" x14ac:dyDescent="0.25">
      <c r="A42" s="85">
        <v>4</v>
      </c>
      <c r="B42" s="15" t="s">
        <v>21</v>
      </c>
      <c r="C42" s="59">
        <v>0</v>
      </c>
      <c r="D42" s="59">
        <v>0</v>
      </c>
      <c r="E42" s="59">
        <v>0</v>
      </c>
      <c r="F42" s="59">
        <f>'padi ladang'!C12</f>
        <v>0</v>
      </c>
      <c r="G42" s="59">
        <f>'padi ladang'!D12</f>
        <v>0</v>
      </c>
      <c r="H42" s="155">
        <f>'padi ladang'!E12</f>
        <v>0</v>
      </c>
      <c r="I42" s="125">
        <f t="shared" si="33"/>
        <v>0</v>
      </c>
      <c r="J42" s="223">
        <f>'padi ladang'!F12</f>
        <v>0</v>
      </c>
      <c r="K42" s="132">
        <f>'padi ladang'!G12</f>
        <v>0</v>
      </c>
      <c r="L42" s="132">
        <f>'padi ladang'!H12</f>
        <v>0</v>
      </c>
      <c r="M42" s="132">
        <f>'padi ladang'!I12</f>
        <v>0</v>
      </c>
      <c r="N42" s="132">
        <f>'padi ladang'!J12</f>
        <v>0</v>
      </c>
      <c r="O42" s="157">
        <f>'padi ladang'!K12</f>
        <v>0</v>
      </c>
      <c r="P42" s="125">
        <f t="shared" si="34"/>
        <v>0</v>
      </c>
      <c r="Q42" s="128">
        <f t="shared" si="35"/>
        <v>0</v>
      </c>
    </row>
    <row r="43" spans="1:17" x14ac:dyDescent="0.25">
      <c r="A43" s="85">
        <v>5</v>
      </c>
      <c r="B43" s="19" t="s">
        <v>22</v>
      </c>
      <c r="C43" s="59">
        <v>0</v>
      </c>
      <c r="D43" s="59">
        <v>0</v>
      </c>
      <c r="E43" s="59">
        <v>0</v>
      </c>
      <c r="F43" s="59">
        <f>'padi ladang'!C13</f>
        <v>0</v>
      </c>
      <c r="G43" s="59">
        <f>'padi ladang'!D13</f>
        <v>0</v>
      </c>
      <c r="H43" s="155">
        <f>'padi ladang'!E13</f>
        <v>0</v>
      </c>
      <c r="I43" s="125">
        <f t="shared" si="33"/>
        <v>0</v>
      </c>
      <c r="J43" s="223">
        <f>'padi ladang'!F13</f>
        <v>0</v>
      </c>
      <c r="K43" s="132">
        <f>'padi ladang'!G13</f>
        <v>0</v>
      </c>
      <c r="L43" s="132">
        <f>'padi ladang'!H13</f>
        <v>0</v>
      </c>
      <c r="M43" s="132">
        <f>'padi ladang'!I13</f>
        <v>0</v>
      </c>
      <c r="N43" s="132">
        <f>'padi ladang'!J13</f>
        <v>0</v>
      </c>
      <c r="O43" s="157">
        <f>'padi ladang'!K13</f>
        <v>0</v>
      </c>
      <c r="P43" s="125">
        <f t="shared" si="34"/>
        <v>0</v>
      </c>
      <c r="Q43" s="128">
        <f t="shared" si="35"/>
        <v>0</v>
      </c>
    </row>
    <row r="44" spans="1:17" x14ac:dyDescent="0.25">
      <c r="A44" s="85">
        <v>6</v>
      </c>
      <c r="B44" s="19" t="s">
        <v>23</v>
      </c>
      <c r="C44" s="59">
        <v>0</v>
      </c>
      <c r="D44" s="59">
        <v>0</v>
      </c>
      <c r="E44" s="59">
        <v>0</v>
      </c>
      <c r="F44" s="59">
        <f>'padi ladang'!C14</f>
        <v>0</v>
      </c>
      <c r="G44" s="59">
        <f>'padi ladang'!D14</f>
        <v>0</v>
      </c>
      <c r="H44" s="155">
        <f>'padi ladang'!E14</f>
        <v>0</v>
      </c>
      <c r="I44" s="125">
        <f t="shared" si="33"/>
        <v>0</v>
      </c>
      <c r="J44" s="223">
        <f>'padi ladang'!F14</f>
        <v>0</v>
      </c>
      <c r="K44" s="132">
        <f>'padi ladang'!G14</f>
        <v>0</v>
      </c>
      <c r="L44" s="132">
        <f>'padi ladang'!H14</f>
        <v>0</v>
      </c>
      <c r="M44" s="132">
        <f>'padi ladang'!I14</f>
        <v>0</v>
      </c>
      <c r="N44" s="132">
        <f>'padi ladang'!J14</f>
        <v>0</v>
      </c>
      <c r="O44" s="157">
        <f>'padi ladang'!K14</f>
        <v>0</v>
      </c>
      <c r="P44" s="125">
        <f t="shared" si="34"/>
        <v>0</v>
      </c>
      <c r="Q44" s="128">
        <f t="shared" si="35"/>
        <v>0</v>
      </c>
    </row>
    <row r="45" spans="1:17" x14ac:dyDescent="0.25">
      <c r="A45" s="85">
        <v>7</v>
      </c>
      <c r="B45" s="19" t="s">
        <v>24</v>
      </c>
      <c r="C45" s="59">
        <v>0</v>
      </c>
      <c r="D45" s="59">
        <v>0</v>
      </c>
      <c r="E45" s="59">
        <v>0</v>
      </c>
      <c r="F45" s="59">
        <f>'padi ladang'!C15</f>
        <v>0</v>
      </c>
      <c r="G45" s="59">
        <f>'padi ladang'!D15</f>
        <v>0</v>
      </c>
      <c r="H45" s="155">
        <f>'padi ladang'!E15</f>
        <v>0</v>
      </c>
      <c r="I45" s="125">
        <f t="shared" si="33"/>
        <v>0</v>
      </c>
      <c r="J45" s="223">
        <f>'padi ladang'!F15</f>
        <v>0</v>
      </c>
      <c r="K45" s="132">
        <f>'padi ladang'!G15</f>
        <v>0</v>
      </c>
      <c r="L45" s="132">
        <f>'padi ladang'!H15</f>
        <v>0</v>
      </c>
      <c r="M45" s="132">
        <f>'padi ladang'!I15</f>
        <v>0</v>
      </c>
      <c r="N45" s="132">
        <f>'padi ladang'!J15</f>
        <v>0</v>
      </c>
      <c r="O45" s="157">
        <f>'padi ladang'!K15</f>
        <v>0</v>
      </c>
      <c r="P45" s="125">
        <f t="shared" si="34"/>
        <v>0</v>
      </c>
      <c r="Q45" s="128">
        <f t="shared" si="35"/>
        <v>0</v>
      </c>
    </row>
    <row r="46" spans="1:17" ht="15.75" thickBot="1" x14ac:dyDescent="0.3">
      <c r="A46" s="86">
        <v>8</v>
      </c>
      <c r="B46" s="15" t="s">
        <v>25</v>
      </c>
      <c r="C46" s="137">
        <v>0</v>
      </c>
      <c r="D46" s="137">
        <v>0</v>
      </c>
      <c r="E46" s="137">
        <v>0</v>
      </c>
      <c r="F46" s="137">
        <f>'padi ladang'!C16</f>
        <v>0</v>
      </c>
      <c r="G46" s="137">
        <f>'padi ladang'!D16</f>
        <v>0</v>
      </c>
      <c r="H46" s="137">
        <f>'padi ladang'!E16</f>
        <v>0</v>
      </c>
      <c r="I46" s="126">
        <f t="shared" si="33"/>
        <v>0</v>
      </c>
      <c r="J46" s="232">
        <f>'padi ladang'!F16</f>
        <v>0</v>
      </c>
      <c r="K46" s="232">
        <f>'padi ladang'!G16</f>
        <v>0</v>
      </c>
      <c r="L46" s="232">
        <f>'padi ladang'!H16</f>
        <v>2</v>
      </c>
      <c r="M46" s="232">
        <f>'padi ladang'!I16</f>
        <v>0</v>
      </c>
      <c r="N46" s="232">
        <f>'padi ladang'!J16</f>
        <v>0</v>
      </c>
      <c r="O46" s="232">
        <f>'padi ladang'!K16</f>
        <v>0</v>
      </c>
      <c r="P46" s="126">
        <f>SUM(J46:O46)</f>
        <v>2</v>
      </c>
      <c r="Q46" s="129">
        <f t="shared" si="35"/>
        <v>2</v>
      </c>
    </row>
    <row r="47" spans="1:17" ht="16.5" thickTop="1" thickBot="1" x14ac:dyDescent="0.3">
      <c r="A47" s="339" t="s">
        <v>26</v>
      </c>
      <c r="B47" s="340"/>
      <c r="C47" s="112">
        <f t="shared" ref="C47:H47" si="36">SUM(C39:C46)</f>
        <v>0</v>
      </c>
      <c r="D47" s="112">
        <f t="shared" si="36"/>
        <v>0</v>
      </c>
      <c r="E47" s="112">
        <f t="shared" si="36"/>
        <v>0</v>
      </c>
      <c r="F47" s="112">
        <f t="shared" si="36"/>
        <v>0</v>
      </c>
      <c r="G47" s="112">
        <f t="shared" si="36"/>
        <v>0</v>
      </c>
      <c r="H47" s="121">
        <f t="shared" si="36"/>
        <v>0</v>
      </c>
      <c r="I47" s="123">
        <f>SUM(I39:I46)</f>
        <v>0</v>
      </c>
      <c r="J47" s="133">
        <f t="shared" ref="J47:O47" si="37">SUM(J39:J46)</f>
        <v>0</v>
      </c>
      <c r="K47" s="112">
        <f t="shared" si="37"/>
        <v>0</v>
      </c>
      <c r="L47" s="112">
        <f t="shared" si="37"/>
        <v>2</v>
      </c>
      <c r="M47" s="112">
        <f t="shared" si="37"/>
        <v>0</v>
      </c>
      <c r="N47" s="112">
        <f t="shared" si="37"/>
        <v>0</v>
      </c>
      <c r="O47" s="121">
        <f t="shared" si="37"/>
        <v>0</v>
      </c>
      <c r="P47" s="123">
        <f>SUM(P39:P46)</f>
        <v>2</v>
      </c>
      <c r="Q47" s="130">
        <f>SUM(Q39:Q46)</f>
        <v>2</v>
      </c>
    </row>
    <row r="49" spans="1:17" ht="15.75" x14ac:dyDescent="0.25">
      <c r="A49" s="341" t="s">
        <v>145</v>
      </c>
      <c r="B49" s="341"/>
      <c r="C49" s="341"/>
      <c r="D49" s="341"/>
      <c r="E49" s="341"/>
      <c r="F49" s="341"/>
      <c r="G49" s="341"/>
      <c r="H49" s="341"/>
      <c r="I49" s="341"/>
      <c r="J49" s="341"/>
      <c r="K49" s="341"/>
      <c r="L49" s="341"/>
      <c r="M49" s="341"/>
      <c r="N49" s="341"/>
      <c r="O49" s="341"/>
      <c r="P49" s="341"/>
      <c r="Q49" s="341"/>
    </row>
    <row r="50" spans="1:17" ht="15.75" x14ac:dyDescent="0.25">
      <c r="A50" s="341" t="s">
        <v>81</v>
      </c>
      <c r="B50" s="341"/>
      <c r="C50" s="341"/>
      <c r="D50" s="341"/>
      <c r="E50" s="341"/>
      <c r="F50" s="341"/>
      <c r="G50" s="341"/>
      <c r="H50" s="341"/>
      <c r="I50" s="341"/>
      <c r="J50" s="341"/>
      <c r="K50" s="341"/>
      <c r="L50" s="341"/>
      <c r="M50" s="341"/>
      <c r="N50" s="341"/>
      <c r="O50" s="341"/>
      <c r="P50" s="341"/>
      <c r="Q50" s="341"/>
    </row>
    <row r="51" spans="1:17" ht="15.75" thickBot="1" x14ac:dyDescent="0.3">
      <c r="Q51" s="75" t="s">
        <v>1</v>
      </c>
    </row>
    <row r="52" spans="1:17" x14ac:dyDescent="0.25">
      <c r="A52" s="334" t="s">
        <v>2</v>
      </c>
      <c r="B52" s="336" t="s">
        <v>3</v>
      </c>
      <c r="C52" s="342" t="s">
        <v>183</v>
      </c>
      <c r="D52" s="343"/>
      <c r="E52" s="343"/>
      <c r="F52" s="343"/>
      <c r="G52" s="343"/>
      <c r="H52" s="344"/>
      <c r="I52" s="345" t="s">
        <v>82</v>
      </c>
      <c r="J52" s="347">
        <v>2020</v>
      </c>
      <c r="K52" s="343"/>
      <c r="L52" s="343"/>
      <c r="M52" s="343"/>
      <c r="N52" s="343"/>
      <c r="O52" s="344"/>
      <c r="P52" s="345" t="s">
        <v>83</v>
      </c>
      <c r="Q52" s="348" t="s">
        <v>5</v>
      </c>
    </row>
    <row r="53" spans="1:17" x14ac:dyDescent="0.25">
      <c r="A53" s="335"/>
      <c r="B53" s="324"/>
      <c r="C53" s="300" t="s">
        <v>15</v>
      </c>
      <c r="D53" s="300" t="s">
        <v>16</v>
      </c>
      <c r="E53" s="300" t="s">
        <v>17</v>
      </c>
      <c r="F53" s="300" t="s">
        <v>6</v>
      </c>
      <c r="G53" s="300" t="s">
        <v>76</v>
      </c>
      <c r="H53" s="119" t="s">
        <v>77</v>
      </c>
      <c r="I53" s="346"/>
      <c r="J53" s="109" t="s">
        <v>78</v>
      </c>
      <c r="K53" s="300" t="s">
        <v>10</v>
      </c>
      <c r="L53" s="300" t="s">
        <v>11</v>
      </c>
      <c r="M53" s="300" t="s">
        <v>12</v>
      </c>
      <c r="N53" s="300" t="s">
        <v>79</v>
      </c>
      <c r="O53" s="119" t="s">
        <v>80</v>
      </c>
      <c r="P53" s="346"/>
      <c r="Q53" s="349"/>
    </row>
    <row r="54" spans="1:17" ht="15.75" thickBot="1" x14ac:dyDescent="0.3">
      <c r="A54" s="111">
        <v>1</v>
      </c>
      <c r="B54" s="5">
        <v>2</v>
      </c>
      <c r="C54" s="5">
        <v>3</v>
      </c>
      <c r="D54" s="5">
        <v>4</v>
      </c>
      <c r="E54" s="5">
        <v>5</v>
      </c>
      <c r="F54" s="5">
        <v>6</v>
      </c>
      <c r="G54" s="5">
        <v>7</v>
      </c>
      <c r="H54" s="120">
        <v>8</v>
      </c>
      <c r="I54" s="122">
        <v>9</v>
      </c>
      <c r="J54" s="110">
        <v>10</v>
      </c>
      <c r="K54" s="5">
        <v>11</v>
      </c>
      <c r="L54" s="5">
        <v>12</v>
      </c>
      <c r="M54" s="5">
        <v>13</v>
      </c>
      <c r="N54" s="5">
        <v>14</v>
      </c>
      <c r="O54" s="120">
        <v>15</v>
      </c>
      <c r="P54" s="122">
        <v>16</v>
      </c>
      <c r="Q54" s="131">
        <v>17</v>
      </c>
    </row>
    <row r="55" spans="1:17" ht="15.75" thickTop="1" x14ac:dyDescent="0.25">
      <c r="A55" s="83">
        <v>1</v>
      </c>
      <c r="B55" s="7" t="s">
        <v>18</v>
      </c>
      <c r="C55" s="28">
        <v>0</v>
      </c>
      <c r="D55" s="28">
        <v>6</v>
      </c>
      <c r="E55" s="28">
        <v>0</v>
      </c>
      <c r="F55" s="136">
        <f>jagung!C9</f>
        <v>6</v>
      </c>
      <c r="G55" s="136">
        <f>jagung!D9</f>
        <v>3</v>
      </c>
      <c r="H55" s="136">
        <f>jagung!E9</f>
        <v>0</v>
      </c>
      <c r="I55" s="124">
        <f>SUM(C55:H55)</f>
        <v>15</v>
      </c>
      <c r="J55" s="156">
        <f>jagung!F9</f>
        <v>0</v>
      </c>
      <c r="K55" s="156">
        <f>jagung!G9</f>
        <v>0</v>
      </c>
      <c r="L55" s="156">
        <f>jagung!H9</f>
        <v>1</v>
      </c>
      <c r="M55" s="156">
        <f>jagung!I9</f>
        <v>0</v>
      </c>
      <c r="N55" s="156">
        <f>jagung!J9</f>
        <v>1</v>
      </c>
      <c r="O55" s="156">
        <f>jagung!K9</f>
        <v>0</v>
      </c>
      <c r="P55" s="124">
        <f>SUM(J55:O55)</f>
        <v>2</v>
      </c>
      <c r="Q55" s="127">
        <f>SUM(I55,P55)</f>
        <v>17</v>
      </c>
    </row>
    <row r="56" spans="1:17" x14ac:dyDescent="0.25">
      <c r="A56" s="84">
        <v>2</v>
      </c>
      <c r="B56" s="12" t="s">
        <v>19</v>
      </c>
      <c r="C56" s="16">
        <v>0</v>
      </c>
      <c r="D56" s="16">
        <v>0</v>
      </c>
      <c r="E56" s="16">
        <v>0</v>
      </c>
      <c r="F56" s="59">
        <f>jagung!C10</f>
        <v>0</v>
      </c>
      <c r="G56" s="59">
        <f>jagung!D10</f>
        <v>1</v>
      </c>
      <c r="H56" s="59">
        <f>jagung!E10</f>
        <v>0</v>
      </c>
      <c r="I56" s="125">
        <f t="shared" ref="I56:I62" si="38">SUM(C56:H56)</f>
        <v>1</v>
      </c>
      <c r="J56" s="132">
        <f>jagung!F10</f>
        <v>0</v>
      </c>
      <c r="K56" s="132">
        <f>jagung!G10</f>
        <v>1</v>
      </c>
      <c r="L56" s="132">
        <f>jagung!H10</f>
        <v>0</v>
      </c>
      <c r="M56" s="132">
        <f>jagung!I10</f>
        <v>0</v>
      </c>
      <c r="N56" s="132">
        <f>jagung!J10</f>
        <v>1</v>
      </c>
      <c r="O56" s="157">
        <f>jagung!K10</f>
        <v>0</v>
      </c>
      <c r="P56" s="125">
        <f t="shared" ref="P56:P61" si="39">SUM(J56:O56)</f>
        <v>2</v>
      </c>
      <c r="Q56" s="128">
        <f t="shared" ref="Q56:Q62" si="40">SUM(I56,P56)</f>
        <v>3</v>
      </c>
    </row>
    <row r="57" spans="1:17" x14ac:dyDescent="0.25">
      <c r="A57" s="84">
        <v>3</v>
      </c>
      <c r="B57" s="7" t="s">
        <v>20</v>
      </c>
      <c r="C57" s="16">
        <v>0</v>
      </c>
      <c r="D57" s="16">
        <v>40</v>
      </c>
      <c r="E57" s="16">
        <v>50</v>
      </c>
      <c r="F57" s="59">
        <f>jagung!C11</f>
        <v>0</v>
      </c>
      <c r="G57" s="59">
        <f>jagung!D11</f>
        <v>0</v>
      </c>
      <c r="H57" s="59">
        <f>jagung!E11</f>
        <v>0</v>
      </c>
      <c r="I57" s="125">
        <f t="shared" si="38"/>
        <v>90</v>
      </c>
      <c r="J57" s="132">
        <f>jagung!F11</f>
        <v>0</v>
      </c>
      <c r="K57" s="132">
        <f>jagung!G11</f>
        <v>0</v>
      </c>
      <c r="L57" s="132">
        <f>jagung!H11</f>
        <v>0</v>
      </c>
      <c r="M57" s="132">
        <f>jagung!I11</f>
        <v>0</v>
      </c>
      <c r="N57" s="132">
        <f>jagung!J11</f>
        <v>0</v>
      </c>
      <c r="O57" s="157">
        <f>jagung!K11</f>
        <v>0</v>
      </c>
      <c r="P57" s="125">
        <f t="shared" si="39"/>
        <v>0</v>
      </c>
      <c r="Q57" s="128">
        <f t="shared" si="40"/>
        <v>90</v>
      </c>
    </row>
    <row r="58" spans="1:17" x14ac:dyDescent="0.25">
      <c r="A58" s="85">
        <v>4</v>
      </c>
      <c r="B58" s="15" t="s">
        <v>21</v>
      </c>
      <c r="C58" s="16">
        <v>1</v>
      </c>
      <c r="D58" s="16">
        <v>1</v>
      </c>
      <c r="E58" s="16">
        <v>0</v>
      </c>
      <c r="F58" s="59">
        <f>jagung!C12</f>
        <v>2</v>
      </c>
      <c r="G58" s="59">
        <f>jagung!D12</f>
        <v>1</v>
      </c>
      <c r="H58" s="59">
        <f>jagung!E12</f>
        <v>0</v>
      </c>
      <c r="I58" s="125">
        <f t="shared" si="38"/>
        <v>5</v>
      </c>
      <c r="J58" s="132">
        <f>jagung!F12</f>
        <v>2</v>
      </c>
      <c r="K58" s="132">
        <f>jagung!G12</f>
        <v>0</v>
      </c>
      <c r="L58" s="132">
        <f>jagung!H12</f>
        <v>0</v>
      </c>
      <c r="M58" s="132">
        <f>jagung!I12</f>
        <v>0</v>
      </c>
      <c r="N58" s="132">
        <f>jagung!J12</f>
        <v>2</v>
      </c>
      <c r="O58" s="157">
        <f>jagung!K12</f>
        <v>0</v>
      </c>
      <c r="P58" s="125">
        <f t="shared" si="39"/>
        <v>4</v>
      </c>
      <c r="Q58" s="128">
        <f t="shared" si="40"/>
        <v>9</v>
      </c>
    </row>
    <row r="59" spans="1:17" x14ac:dyDescent="0.25">
      <c r="A59" s="85">
        <v>5</v>
      </c>
      <c r="B59" s="19" t="s">
        <v>22</v>
      </c>
      <c r="C59" s="16">
        <v>12</v>
      </c>
      <c r="D59" s="16">
        <v>0</v>
      </c>
      <c r="E59" s="16">
        <v>0</v>
      </c>
      <c r="F59" s="59">
        <f>jagung!C13</f>
        <v>0</v>
      </c>
      <c r="G59" s="59">
        <f>jagung!D13</f>
        <v>0</v>
      </c>
      <c r="H59" s="59">
        <f>jagung!E13</f>
        <v>0</v>
      </c>
      <c r="I59" s="125">
        <f t="shared" si="38"/>
        <v>12</v>
      </c>
      <c r="J59" s="132">
        <f>jagung!F13</f>
        <v>0</v>
      </c>
      <c r="K59" s="132">
        <f>jagung!G13</f>
        <v>0</v>
      </c>
      <c r="L59" s="132">
        <f>jagung!H13</f>
        <v>0</v>
      </c>
      <c r="M59" s="132">
        <f>jagung!I13</f>
        <v>0</v>
      </c>
      <c r="N59" s="132">
        <f>jagung!J13</f>
        <v>0</v>
      </c>
      <c r="O59" s="157">
        <f>jagung!K13</f>
        <v>0</v>
      </c>
      <c r="P59" s="125">
        <f t="shared" si="39"/>
        <v>0</v>
      </c>
      <c r="Q59" s="128">
        <f t="shared" si="40"/>
        <v>12</v>
      </c>
    </row>
    <row r="60" spans="1:17" x14ac:dyDescent="0.25">
      <c r="A60" s="85">
        <v>6</v>
      </c>
      <c r="B60" s="19" t="s">
        <v>23</v>
      </c>
      <c r="C60" s="16">
        <v>0</v>
      </c>
      <c r="D60" s="16">
        <v>0</v>
      </c>
      <c r="E60" s="16">
        <v>0</v>
      </c>
      <c r="F60" s="59">
        <f>jagung!C14</f>
        <v>0</v>
      </c>
      <c r="G60" s="59">
        <f>jagung!D14</f>
        <v>0</v>
      </c>
      <c r="H60" s="59">
        <f>jagung!E14</f>
        <v>0</v>
      </c>
      <c r="I60" s="125">
        <f t="shared" si="38"/>
        <v>0</v>
      </c>
      <c r="J60" s="132">
        <f>jagung!F14</f>
        <v>0</v>
      </c>
      <c r="K60" s="132">
        <f>jagung!G14</f>
        <v>0</v>
      </c>
      <c r="L60" s="132">
        <f>jagung!H14</f>
        <v>0</v>
      </c>
      <c r="M60" s="132">
        <f>jagung!I14</f>
        <v>0</v>
      </c>
      <c r="N60" s="132">
        <f>jagung!J14</f>
        <v>0</v>
      </c>
      <c r="O60" s="157">
        <f>jagung!K14</f>
        <v>0</v>
      </c>
      <c r="P60" s="125">
        <f t="shared" si="39"/>
        <v>0</v>
      </c>
      <c r="Q60" s="128">
        <f t="shared" si="40"/>
        <v>0</v>
      </c>
    </row>
    <row r="61" spans="1:17" x14ac:dyDescent="0.25">
      <c r="A61" s="85">
        <v>7</v>
      </c>
      <c r="B61" s="19" t="s">
        <v>24</v>
      </c>
      <c r="C61" s="16">
        <v>0</v>
      </c>
      <c r="D61" s="16">
        <v>3</v>
      </c>
      <c r="E61" s="16">
        <v>7</v>
      </c>
      <c r="F61" s="59">
        <f>jagung!C15</f>
        <v>0</v>
      </c>
      <c r="G61" s="59">
        <f>jagung!D15</f>
        <v>0</v>
      </c>
      <c r="H61" s="59">
        <f>jagung!E15</f>
        <v>0</v>
      </c>
      <c r="I61" s="125">
        <f t="shared" si="38"/>
        <v>10</v>
      </c>
      <c r="J61" s="132">
        <f>jagung!F15</f>
        <v>0</v>
      </c>
      <c r="K61" s="132">
        <f>jagung!G15</f>
        <v>0</v>
      </c>
      <c r="L61" s="132">
        <f>jagung!H15</f>
        <v>0</v>
      </c>
      <c r="M61" s="132">
        <f>jagung!I15</f>
        <v>0</v>
      </c>
      <c r="N61" s="132">
        <f>jagung!J15</f>
        <v>0</v>
      </c>
      <c r="O61" s="157">
        <f>jagung!K15</f>
        <v>1</v>
      </c>
      <c r="P61" s="125">
        <f t="shared" si="39"/>
        <v>1</v>
      </c>
      <c r="Q61" s="128">
        <f t="shared" si="40"/>
        <v>11</v>
      </c>
    </row>
    <row r="62" spans="1:17" ht="15.75" thickBot="1" x14ac:dyDescent="0.3">
      <c r="A62" s="86">
        <v>8</v>
      </c>
      <c r="B62" s="15" t="s">
        <v>25</v>
      </c>
      <c r="C62" s="17">
        <v>0</v>
      </c>
      <c r="D62" s="17">
        <v>15</v>
      </c>
      <c r="E62" s="17">
        <v>0</v>
      </c>
      <c r="F62" s="137">
        <f>jagung!C16</f>
        <v>0</v>
      </c>
      <c r="G62" s="137">
        <f>jagung!D16</f>
        <v>0</v>
      </c>
      <c r="H62" s="137">
        <f>jagung!E16</f>
        <v>1</v>
      </c>
      <c r="I62" s="126">
        <f t="shared" si="38"/>
        <v>16</v>
      </c>
      <c r="J62" s="232">
        <f>jagung!F16</f>
        <v>1</v>
      </c>
      <c r="K62" s="232">
        <f>jagung!G16</f>
        <v>0</v>
      </c>
      <c r="L62" s="232">
        <f>jagung!H16</f>
        <v>0</v>
      </c>
      <c r="M62" s="232">
        <f>jagung!I16</f>
        <v>0</v>
      </c>
      <c r="N62" s="232">
        <f>jagung!J16</f>
        <v>0</v>
      </c>
      <c r="O62" s="232">
        <f>jagung!K16</f>
        <v>0</v>
      </c>
      <c r="P62" s="126">
        <f>SUM(J62:O62)</f>
        <v>1</v>
      </c>
      <c r="Q62" s="129">
        <f t="shared" si="40"/>
        <v>17</v>
      </c>
    </row>
    <row r="63" spans="1:17" ht="16.5" thickTop="1" thickBot="1" x14ac:dyDescent="0.3">
      <c r="A63" s="339" t="s">
        <v>26</v>
      </c>
      <c r="B63" s="340"/>
      <c r="C63" s="112">
        <f t="shared" ref="C63:H63" si="41">SUM(C55:C62)</f>
        <v>13</v>
      </c>
      <c r="D63" s="112">
        <f t="shared" si="41"/>
        <v>65</v>
      </c>
      <c r="E63" s="112">
        <f t="shared" si="41"/>
        <v>57</v>
      </c>
      <c r="F63" s="112">
        <f t="shared" si="41"/>
        <v>8</v>
      </c>
      <c r="G63" s="112">
        <f t="shared" si="41"/>
        <v>5</v>
      </c>
      <c r="H63" s="121">
        <f t="shared" si="41"/>
        <v>1</v>
      </c>
      <c r="I63" s="123">
        <f>SUM(I55:I62)</f>
        <v>149</v>
      </c>
      <c r="J63" s="309">
        <f t="shared" ref="J63:O63" si="42">SUM(J55:J62)</f>
        <v>3</v>
      </c>
      <c r="K63" s="112">
        <f t="shared" si="42"/>
        <v>1</v>
      </c>
      <c r="L63" s="112">
        <f t="shared" si="42"/>
        <v>1</v>
      </c>
      <c r="M63" s="112">
        <f t="shared" si="42"/>
        <v>0</v>
      </c>
      <c r="N63" s="112">
        <f t="shared" si="42"/>
        <v>4</v>
      </c>
      <c r="O63" s="121">
        <f t="shared" si="42"/>
        <v>1</v>
      </c>
      <c r="P63" s="123">
        <f>SUM(P55:P62)</f>
        <v>10</v>
      </c>
      <c r="Q63" s="130">
        <f>SUM(Q55:Q62)</f>
        <v>159</v>
      </c>
    </row>
    <row r="65" spans="1:17" ht="15.75" x14ac:dyDescent="0.25">
      <c r="A65" s="341" t="s">
        <v>151</v>
      </c>
      <c r="B65" s="341"/>
      <c r="C65" s="341"/>
      <c r="D65" s="341"/>
      <c r="E65" s="341"/>
      <c r="F65" s="341"/>
      <c r="G65" s="341"/>
      <c r="H65" s="341"/>
      <c r="I65" s="341"/>
      <c r="J65" s="341"/>
      <c r="K65" s="341"/>
      <c r="L65" s="341"/>
      <c r="M65" s="341"/>
      <c r="N65" s="341"/>
      <c r="O65" s="341"/>
      <c r="P65" s="341"/>
      <c r="Q65" s="341"/>
    </row>
    <row r="66" spans="1:17" ht="15.75" x14ac:dyDescent="0.25">
      <c r="A66" s="341" t="s">
        <v>81</v>
      </c>
      <c r="B66" s="341"/>
      <c r="C66" s="341"/>
      <c r="D66" s="341"/>
      <c r="E66" s="341"/>
      <c r="F66" s="341"/>
      <c r="G66" s="341"/>
      <c r="H66" s="341"/>
      <c r="I66" s="341"/>
      <c r="J66" s="341"/>
      <c r="K66" s="341"/>
      <c r="L66" s="341"/>
      <c r="M66" s="341"/>
      <c r="N66" s="341"/>
      <c r="O66" s="341"/>
      <c r="P66" s="341"/>
      <c r="Q66" s="341"/>
    </row>
    <row r="67" spans="1:17" ht="15.75" thickBot="1" x14ac:dyDescent="0.3">
      <c r="Q67" s="75" t="s">
        <v>1</v>
      </c>
    </row>
    <row r="68" spans="1:17" x14ac:dyDescent="0.25">
      <c r="A68" s="334" t="s">
        <v>2</v>
      </c>
      <c r="B68" s="336" t="s">
        <v>3</v>
      </c>
      <c r="C68" s="342" t="s">
        <v>183</v>
      </c>
      <c r="D68" s="343"/>
      <c r="E68" s="343"/>
      <c r="F68" s="343"/>
      <c r="G68" s="343"/>
      <c r="H68" s="344"/>
      <c r="I68" s="345" t="s">
        <v>82</v>
      </c>
      <c r="J68" s="347">
        <v>2020</v>
      </c>
      <c r="K68" s="343"/>
      <c r="L68" s="343"/>
      <c r="M68" s="343"/>
      <c r="N68" s="343"/>
      <c r="O68" s="344"/>
      <c r="P68" s="345" t="s">
        <v>83</v>
      </c>
      <c r="Q68" s="348" t="s">
        <v>5</v>
      </c>
    </row>
    <row r="69" spans="1:17" x14ac:dyDescent="0.25">
      <c r="A69" s="335"/>
      <c r="B69" s="324"/>
      <c r="C69" s="300" t="s">
        <v>15</v>
      </c>
      <c r="D69" s="300" t="s">
        <v>16</v>
      </c>
      <c r="E69" s="300" t="s">
        <v>17</v>
      </c>
      <c r="F69" s="300" t="s">
        <v>6</v>
      </c>
      <c r="G69" s="300" t="s">
        <v>76</v>
      </c>
      <c r="H69" s="119" t="s">
        <v>77</v>
      </c>
      <c r="I69" s="346"/>
      <c r="J69" s="109" t="s">
        <v>78</v>
      </c>
      <c r="K69" s="300" t="s">
        <v>10</v>
      </c>
      <c r="L69" s="300" t="s">
        <v>11</v>
      </c>
      <c r="M69" s="300" t="s">
        <v>12</v>
      </c>
      <c r="N69" s="300" t="s">
        <v>79</v>
      </c>
      <c r="O69" s="119" t="s">
        <v>80</v>
      </c>
      <c r="P69" s="346"/>
      <c r="Q69" s="349"/>
    </row>
    <row r="70" spans="1:17" ht="15.75" thickBot="1" x14ac:dyDescent="0.3">
      <c r="A70" s="111">
        <v>1</v>
      </c>
      <c r="B70" s="5">
        <v>2</v>
      </c>
      <c r="C70" s="5">
        <v>3</v>
      </c>
      <c r="D70" s="5">
        <v>4</v>
      </c>
      <c r="E70" s="5">
        <v>5</v>
      </c>
      <c r="F70" s="5">
        <v>6</v>
      </c>
      <c r="G70" s="5">
        <v>7</v>
      </c>
      <c r="H70" s="120">
        <v>8</v>
      </c>
      <c r="I70" s="122">
        <v>9</v>
      </c>
      <c r="J70" s="110">
        <v>10</v>
      </c>
      <c r="K70" s="5">
        <v>11</v>
      </c>
      <c r="L70" s="5">
        <v>12</v>
      </c>
      <c r="M70" s="5">
        <v>13</v>
      </c>
      <c r="N70" s="5">
        <v>14</v>
      </c>
      <c r="O70" s="120">
        <v>15</v>
      </c>
      <c r="P70" s="122">
        <v>16</v>
      </c>
      <c r="Q70" s="131">
        <v>17</v>
      </c>
    </row>
    <row r="71" spans="1:17" ht="15.75" thickTop="1" x14ac:dyDescent="0.25">
      <c r="A71" s="83">
        <v>1</v>
      </c>
      <c r="B71" s="7" t="s">
        <v>18</v>
      </c>
      <c r="C71" s="28">
        <v>0</v>
      </c>
      <c r="D71" s="28">
        <v>0</v>
      </c>
      <c r="E71" s="28">
        <v>0</v>
      </c>
      <c r="F71" s="136">
        <f>kedelai!C9</f>
        <v>0</v>
      </c>
      <c r="G71" s="136">
        <f>kedelai!D9</f>
        <v>0</v>
      </c>
      <c r="H71" s="136">
        <f>kedelai!E9</f>
        <v>0</v>
      </c>
      <c r="I71" s="124">
        <f>SUM(C71:H71)</f>
        <v>0</v>
      </c>
      <c r="J71" s="136">
        <v>0</v>
      </c>
      <c r="K71" s="136">
        <v>0</v>
      </c>
      <c r="L71" s="136">
        <v>0</v>
      </c>
      <c r="M71" s="136">
        <f>kedelai!J9</f>
        <v>0</v>
      </c>
      <c r="N71" s="136">
        <f>kedelai!K9</f>
        <v>0</v>
      </c>
      <c r="O71" s="136">
        <f>kedelai!L9</f>
        <v>0</v>
      </c>
      <c r="P71" s="124">
        <f>SUM(J71:O71)</f>
        <v>0</v>
      </c>
      <c r="Q71" s="127">
        <f>SUM(I71,P71)</f>
        <v>0</v>
      </c>
    </row>
    <row r="72" spans="1:17" x14ac:dyDescent="0.25">
      <c r="A72" s="84">
        <v>2</v>
      </c>
      <c r="B72" s="12" t="s">
        <v>19</v>
      </c>
      <c r="C72" s="16">
        <v>0</v>
      </c>
      <c r="D72" s="16">
        <v>0</v>
      </c>
      <c r="E72" s="16">
        <v>0</v>
      </c>
      <c r="F72" s="59">
        <f>kedelai!C10</f>
        <v>0</v>
      </c>
      <c r="G72" s="59">
        <f>kedelai!D10</f>
        <v>0</v>
      </c>
      <c r="H72" s="155">
        <f>kedelai!E10</f>
        <v>0</v>
      </c>
      <c r="I72" s="125">
        <f t="shared" ref="I72:I78" si="43">SUM(C72:H72)</f>
        <v>0</v>
      </c>
      <c r="J72" s="59">
        <v>0</v>
      </c>
      <c r="K72" s="59">
        <v>0</v>
      </c>
      <c r="L72" s="59">
        <v>0</v>
      </c>
      <c r="M72" s="59">
        <f>kedelai!J10</f>
        <v>0</v>
      </c>
      <c r="N72" s="59">
        <f>kedelai!K10</f>
        <v>0</v>
      </c>
      <c r="O72" s="155">
        <f>kedelai!L10</f>
        <v>0</v>
      </c>
      <c r="P72" s="125">
        <f t="shared" ref="P72:P77" si="44">SUM(J72:O72)</f>
        <v>0</v>
      </c>
      <c r="Q72" s="128">
        <f t="shared" ref="Q72:Q78" si="45">SUM(I72,P72)</f>
        <v>0</v>
      </c>
    </row>
    <row r="73" spans="1:17" x14ac:dyDescent="0.25">
      <c r="A73" s="84">
        <v>3</v>
      </c>
      <c r="B73" s="7" t="s">
        <v>20</v>
      </c>
      <c r="C73" s="16">
        <v>0</v>
      </c>
      <c r="D73" s="16">
        <v>0</v>
      </c>
      <c r="E73" s="16">
        <v>0</v>
      </c>
      <c r="F73" s="59">
        <f>kedelai!C11</f>
        <v>0</v>
      </c>
      <c r="G73" s="59">
        <f>kedelai!D11</f>
        <v>0</v>
      </c>
      <c r="H73" s="155">
        <f>kedelai!E11</f>
        <v>0</v>
      </c>
      <c r="I73" s="125">
        <f t="shared" si="43"/>
        <v>0</v>
      </c>
      <c r="J73" s="59">
        <v>0</v>
      </c>
      <c r="K73" s="59">
        <v>0</v>
      </c>
      <c r="L73" s="59">
        <v>0</v>
      </c>
      <c r="M73" s="59">
        <f>kedelai!J11</f>
        <v>0</v>
      </c>
      <c r="N73" s="59">
        <f>kedelai!K11</f>
        <v>0</v>
      </c>
      <c r="O73" s="155">
        <f>kedelai!L11</f>
        <v>0</v>
      </c>
      <c r="P73" s="125">
        <f t="shared" si="44"/>
        <v>0</v>
      </c>
      <c r="Q73" s="128">
        <f t="shared" si="45"/>
        <v>0</v>
      </c>
    </row>
    <row r="74" spans="1:17" x14ac:dyDescent="0.25">
      <c r="A74" s="85">
        <v>4</v>
      </c>
      <c r="B74" s="15" t="s">
        <v>21</v>
      </c>
      <c r="C74" s="16">
        <v>1</v>
      </c>
      <c r="D74" s="16">
        <v>0</v>
      </c>
      <c r="E74" s="16">
        <v>0</v>
      </c>
      <c r="F74" s="59">
        <f>kedelai!C12</f>
        <v>0</v>
      </c>
      <c r="G74" s="59">
        <f>kedelai!D12</f>
        <v>0</v>
      </c>
      <c r="H74" s="155">
        <f>kedelai!E12</f>
        <v>0</v>
      </c>
      <c r="I74" s="125">
        <f t="shared" si="43"/>
        <v>1</v>
      </c>
      <c r="J74" s="59">
        <v>0</v>
      </c>
      <c r="K74" s="59">
        <v>0</v>
      </c>
      <c r="L74" s="59">
        <v>0</v>
      </c>
      <c r="M74" s="59">
        <f>kedelai!J12</f>
        <v>0</v>
      </c>
      <c r="N74" s="59">
        <f>kedelai!K12</f>
        <v>0</v>
      </c>
      <c r="O74" s="155">
        <f>kedelai!L12</f>
        <v>0</v>
      </c>
      <c r="P74" s="125">
        <f t="shared" si="44"/>
        <v>0</v>
      </c>
      <c r="Q74" s="128">
        <f t="shared" si="45"/>
        <v>1</v>
      </c>
    </row>
    <row r="75" spans="1:17" x14ac:dyDescent="0.25">
      <c r="A75" s="85">
        <v>5</v>
      </c>
      <c r="B75" s="19" t="s">
        <v>22</v>
      </c>
      <c r="C75" s="16">
        <v>0</v>
      </c>
      <c r="D75" s="16">
        <v>0</v>
      </c>
      <c r="E75" s="16">
        <v>0</v>
      </c>
      <c r="F75" s="59">
        <f>kedelai!C13</f>
        <v>0</v>
      </c>
      <c r="G75" s="59">
        <f>kedelai!D13</f>
        <v>0</v>
      </c>
      <c r="H75" s="155">
        <f>kedelai!E13</f>
        <v>0</v>
      </c>
      <c r="I75" s="125">
        <f t="shared" si="43"/>
        <v>0</v>
      </c>
      <c r="J75" s="59">
        <v>0</v>
      </c>
      <c r="K75" s="59">
        <v>0</v>
      </c>
      <c r="L75" s="59">
        <v>0</v>
      </c>
      <c r="M75" s="59">
        <f>kedelai!J13</f>
        <v>0</v>
      </c>
      <c r="N75" s="59">
        <f>kedelai!K13</f>
        <v>0</v>
      </c>
      <c r="O75" s="155">
        <f>kedelai!L13</f>
        <v>0</v>
      </c>
      <c r="P75" s="125">
        <f t="shared" si="44"/>
        <v>0</v>
      </c>
      <c r="Q75" s="128">
        <f t="shared" si="45"/>
        <v>0</v>
      </c>
    </row>
    <row r="76" spans="1:17" x14ac:dyDescent="0.25">
      <c r="A76" s="85">
        <v>6</v>
      </c>
      <c r="B76" s="19" t="s">
        <v>23</v>
      </c>
      <c r="C76" s="16">
        <v>0</v>
      </c>
      <c r="D76" s="16">
        <v>0</v>
      </c>
      <c r="E76" s="16">
        <v>0</v>
      </c>
      <c r="F76" s="59">
        <f>kedelai!C14</f>
        <v>0</v>
      </c>
      <c r="G76" s="59">
        <f>kedelai!D14</f>
        <v>0</v>
      </c>
      <c r="H76" s="155">
        <f>kedelai!E14</f>
        <v>0</v>
      </c>
      <c r="I76" s="125">
        <f t="shared" si="43"/>
        <v>0</v>
      </c>
      <c r="J76" s="59">
        <v>0</v>
      </c>
      <c r="K76" s="59">
        <v>0</v>
      </c>
      <c r="L76" s="59">
        <v>0</v>
      </c>
      <c r="M76" s="59">
        <f>kedelai!J14</f>
        <v>0</v>
      </c>
      <c r="N76" s="59">
        <f>kedelai!K14</f>
        <v>0</v>
      </c>
      <c r="O76" s="155">
        <f>kedelai!L14</f>
        <v>0</v>
      </c>
      <c r="P76" s="125">
        <f t="shared" si="44"/>
        <v>0</v>
      </c>
      <c r="Q76" s="128">
        <f t="shared" si="45"/>
        <v>0</v>
      </c>
    </row>
    <row r="77" spans="1:17" x14ac:dyDescent="0.25">
      <c r="A77" s="85">
        <v>7</v>
      </c>
      <c r="B77" s="19" t="s">
        <v>24</v>
      </c>
      <c r="C77" s="16">
        <v>0</v>
      </c>
      <c r="D77" s="16">
        <v>0</v>
      </c>
      <c r="E77" s="16">
        <v>0</v>
      </c>
      <c r="F77" s="59">
        <f>kedelai!C15</f>
        <v>0</v>
      </c>
      <c r="G77" s="59">
        <f>kedelai!D15</f>
        <v>0</v>
      </c>
      <c r="H77" s="155">
        <f>kedelai!E15</f>
        <v>0</v>
      </c>
      <c r="I77" s="125">
        <f t="shared" si="43"/>
        <v>0</v>
      </c>
      <c r="J77" s="59">
        <v>0</v>
      </c>
      <c r="K77" s="59">
        <v>0</v>
      </c>
      <c r="L77" s="59">
        <v>0</v>
      </c>
      <c r="M77" s="59">
        <f>kedelai!J15</f>
        <v>0</v>
      </c>
      <c r="N77" s="59">
        <f>kedelai!K15</f>
        <v>0</v>
      </c>
      <c r="O77" s="155">
        <f>kedelai!L15</f>
        <v>0</v>
      </c>
      <c r="P77" s="125">
        <f t="shared" si="44"/>
        <v>0</v>
      </c>
      <c r="Q77" s="128">
        <f t="shared" si="45"/>
        <v>0</v>
      </c>
    </row>
    <row r="78" spans="1:17" ht="15.75" thickBot="1" x14ac:dyDescent="0.3">
      <c r="A78" s="86">
        <v>8</v>
      </c>
      <c r="B78" s="15" t="s">
        <v>25</v>
      </c>
      <c r="C78" s="17">
        <v>0</v>
      </c>
      <c r="D78" s="17">
        <v>0</v>
      </c>
      <c r="E78" s="17">
        <v>0</v>
      </c>
      <c r="F78" s="137">
        <f>kedelai!C16</f>
        <v>0</v>
      </c>
      <c r="G78" s="137">
        <f>kedelai!D16</f>
        <v>0</v>
      </c>
      <c r="H78" s="137">
        <f>kedelai!E16</f>
        <v>0</v>
      </c>
      <c r="I78" s="126">
        <f t="shared" si="43"/>
        <v>0</v>
      </c>
      <c r="J78" s="137">
        <v>0</v>
      </c>
      <c r="K78" s="137">
        <v>0</v>
      </c>
      <c r="L78" s="137">
        <v>0</v>
      </c>
      <c r="M78" s="137">
        <f>kedelai!J16</f>
        <v>0</v>
      </c>
      <c r="N78" s="137">
        <f>kedelai!K16</f>
        <v>0</v>
      </c>
      <c r="O78" s="137">
        <f>kedelai!L16</f>
        <v>0</v>
      </c>
      <c r="P78" s="126">
        <f>SUM(J78:O78)</f>
        <v>0</v>
      </c>
      <c r="Q78" s="129">
        <f t="shared" si="45"/>
        <v>0</v>
      </c>
    </row>
    <row r="79" spans="1:17" ht="16.5" thickTop="1" thickBot="1" x14ac:dyDescent="0.3">
      <c r="A79" s="339" t="s">
        <v>26</v>
      </c>
      <c r="B79" s="340"/>
      <c r="C79" s="112">
        <f t="shared" ref="C79:H79" si="46">SUM(C71:C78)</f>
        <v>1</v>
      </c>
      <c r="D79" s="112">
        <f t="shared" si="46"/>
        <v>0</v>
      </c>
      <c r="E79" s="112">
        <f t="shared" si="46"/>
        <v>0</v>
      </c>
      <c r="F79" s="112">
        <f t="shared" si="46"/>
        <v>0</v>
      </c>
      <c r="G79" s="112">
        <f t="shared" si="46"/>
        <v>0</v>
      </c>
      <c r="H79" s="121">
        <f t="shared" si="46"/>
        <v>0</v>
      </c>
      <c r="I79" s="123">
        <f>SUM(I71:I78)</f>
        <v>1</v>
      </c>
      <c r="J79" s="133">
        <f t="shared" ref="J79:O79" si="47">SUM(J71:J78)</f>
        <v>0</v>
      </c>
      <c r="K79" s="112">
        <f t="shared" si="47"/>
        <v>0</v>
      </c>
      <c r="L79" s="112">
        <f t="shared" si="47"/>
        <v>0</v>
      </c>
      <c r="M79" s="112">
        <f t="shared" si="47"/>
        <v>0</v>
      </c>
      <c r="N79" s="112">
        <f t="shared" si="47"/>
        <v>0</v>
      </c>
      <c r="O79" s="121">
        <f t="shared" si="47"/>
        <v>0</v>
      </c>
      <c r="P79" s="123">
        <f>SUM(P71:P78)</f>
        <v>0</v>
      </c>
      <c r="Q79" s="130">
        <f>SUM(Q71:Q78)</f>
        <v>1</v>
      </c>
    </row>
    <row r="81" spans="1:17" ht="15.75" x14ac:dyDescent="0.25">
      <c r="A81" s="341" t="s">
        <v>152</v>
      </c>
      <c r="B81" s="341"/>
      <c r="C81" s="341"/>
      <c r="D81" s="341"/>
      <c r="E81" s="341"/>
      <c r="F81" s="341"/>
      <c r="G81" s="341"/>
      <c r="H81" s="341"/>
      <c r="I81" s="341"/>
      <c r="J81" s="341"/>
      <c r="K81" s="341"/>
      <c r="L81" s="341"/>
      <c r="M81" s="341"/>
      <c r="N81" s="341"/>
      <c r="O81" s="341"/>
      <c r="P81" s="341"/>
      <c r="Q81" s="341"/>
    </row>
    <row r="82" spans="1:17" ht="15.75" x14ac:dyDescent="0.25">
      <c r="A82" s="341" t="s">
        <v>81</v>
      </c>
      <c r="B82" s="341"/>
      <c r="C82" s="341"/>
      <c r="D82" s="341"/>
      <c r="E82" s="341"/>
      <c r="F82" s="341"/>
      <c r="G82" s="341"/>
      <c r="H82" s="341"/>
      <c r="I82" s="341"/>
      <c r="J82" s="341"/>
      <c r="K82" s="341"/>
      <c r="L82" s="341"/>
      <c r="M82" s="341"/>
      <c r="N82" s="341"/>
      <c r="O82" s="341"/>
      <c r="P82" s="341"/>
      <c r="Q82" s="341"/>
    </row>
    <row r="83" spans="1:17" ht="15.75" thickBot="1" x14ac:dyDescent="0.3">
      <c r="Q83" s="75" t="s">
        <v>1</v>
      </c>
    </row>
    <row r="84" spans="1:17" x14ac:dyDescent="0.25">
      <c r="A84" s="334" t="s">
        <v>2</v>
      </c>
      <c r="B84" s="336" t="s">
        <v>3</v>
      </c>
      <c r="C84" s="342" t="s">
        <v>183</v>
      </c>
      <c r="D84" s="343"/>
      <c r="E84" s="343"/>
      <c r="F84" s="343"/>
      <c r="G84" s="343"/>
      <c r="H84" s="344"/>
      <c r="I84" s="345" t="s">
        <v>82</v>
      </c>
      <c r="J84" s="347">
        <v>2020</v>
      </c>
      <c r="K84" s="343"/>
      <c r="L84" s="343"/>
      <c r="M84" s="343"/>
      <c r="N84" s="343"/>
      <c r="O84" s="344"/>
      <c r="P84" s="345" t="s">
        <v>83</v>
      </c>
      <c r="Q84" s="348" t="s">
        <v>5</v>
      </c>
    </row>
    <row r="85" spans="1:17" x14ac:dyDescent="0.25">
      <c r="A85" s="335"/>
      <c r="B85" s="324"/>
      <c r="C85" s="300" t="s">
        <v>15</v>
      </c>
      <c r="D85" s="300" t="s">
        <v>16</v>
      </c>
      <c r="E85" s="300" t="s">
        <v>17</v>
      </c>
      <c r="F85" s="300" t="s">
        <v>6</v>
      </c>
      <c r="G85" s="300" t="s">
        <v>76</v>
      </c>
      <c r="H85" s="119" t="s">
        <v>77</v>
      </c>
      <c r="I85" s="346"/>
      <c r="J85" s="109" t="s">
        <v>78</v>
      </c>
      <c r="K85" s="300" t="s">
        <v>10</v>
      </c>
      <c r="L85" s="300" t="s">
        <v>11</v>
      </c>
      <c r="M85" s="300" t="s">
        <v>12</v>
      </c>
      <c r="N85" s="300" t="s">
        <v>79</v>
      </c>
      <c r="O85" s="119" t="s">
        <v>80</v>
      </c>
      <c r="P85" s="346"/>
      <c r="Q85" s="349"/>
    </row>
    <row r="86" spans="1:17" ht="15.75" thickBot="1" x14ac:dyDescent="0.3">
      <c r="A86" s="111">
        <v>1</v>
      </c>
      <c r="B86" s="5">
        <v>2</v>
      </c>
      <c r="C86" s="5">
        <v>3</v>
      </c>
      <c r="D86" s="5">
        <v>4</v>
      </c>
      <c r="E86" s="5">
        <v>5</v>
      </c>
      <c r="F86" s="5">
        <v>6</v>
      </c>
      <c r="G86" s="5">
        <v>7</v>
      </c>
      <c r="H86" s="120">
        <v>8</v>
      </c>
      <c r="I86" s="122">
        <v>9</v>
      </c>
      <c r="J86" s="110">
        <v>10</v>
      </c>
      <c r="K86" s="5">
        <v>11</v>
      </c>
      <c r="L86" s="5">
        <v>12</v>
      </c>
      <c r="M86" s="5">
        <v>13</v>
      </c>
      <c r="N86" s="5">
        <v>14</v>
      </c>
      <c r="O86" s="120">
        <v>15</v>
      </c>
      <c r="P86" s="122">
        <v>16</v>
      </c>
      <c r="Q86" s="131">
        <v>17</v>
      </c>
    </row>
    <row r="87" spans="1:17" ht="15.75" thickTop="1" x14ac:dyDescent="0.25">
      <c r="A87" s="83">
        <v>1</v>
      </c>
      <c r="B87" s="7" t="s">
        <v>18</v>
      </c>
      <c r="C87" s="46">
        <v>0</v>
      </c>
      <c r="D87" s="28">
        <v>30</v>
      </c>
      <c r="E87" s="28">
        <v>20</v>
      </c>
      <c r="F87" s="136">
        <f>'kc tanah'!C9</f>
        <v>60</v>
      </c>
      <c r="G87" s="136">
        <f>'kc tanah'!D9</f>
        <v>40</v>
      </c>
      <c r="H87" s="136">
        <f>'kc tanah'!E9</f>
        <v>0</v>
      </c>
      <c r="I87" s="124">
        <f>SUM(C87:H87)</f>
        <v>150</v>
      </c>
      <c r="J87" s="156">
        <f>'kc tanah'!F9</f>
        <v>0</v>
      </c>
      <c r="K87" s="156">
        <f>'kc tanah'!G9</f>
        <v>0</v>
      </c>
      <c r="L87" s="156">
        <f>'kc tanah'!H9</f>
        <v>0</v>
      </c>
      <c r="M87" s="156">
        <f>'kc tanah'!I9</f>
        <v>0</v>
      </c>
      <c r="N87" s="156">
        <f>'kc tanah'!J9</f>
        <v>0</v>
      </c>
      <c r="O87" s="156">
        <f>'kc tanah'!K9</f>
        <v>0</v>
      </c>
      <c r="P87" s="124">
        <f>SUM(J87:O87)</f>
        <v>0</v>
      </c>
      <c r="Q87" s="127">
        <f>SUM(I87,P87)</f>
        <v>150</v>
      </c>
    </row>
    <row r="88" spans="1:17" x14ac:dyDescent="0.25">
      <c r="A88" s="84">
        <v>2</v>
      </c>
      <c r="B88" s="12" t="s">
        <v>19</v>
      </c>
      <c r="C88" s="47">
        <v>0</v>
      </c>
      <c r="D88" s="16">
        <v>15</v>
      </c>
      <c r="E88" s="16">
        <v>166</v>
      </c>
      <c r="F88" s="59">
        <f>'kc tanah'!C10</f>
        <v>45</v>
      </c>
      <c r="G88" s="59">
        <f>'kc tanah'!D10</f>
        <v>0</v>
      </c>
      <c r="H88" s="155">
        <f>'kc tanah'!E10</f>
        <v>110</v>
      </c>
      <c r="I88" s="125">
        <f t="shared" ref="I88:I94" si="48">SUM(C88:H88)</f>
        <v>336</v>
      </c>
      <c r="J88" s="223">
        <f>'kc tanah'!F10</f>
        <v>35</v>
      </c>
      <c r="K88" s="132">
        <f>'kc tanah'!G10</f>
        <v>0</v>
      </c>
      <c r="L88" s="132">
        <f>'kc tanah'!H10</f>
        <v>0</v>
      </c>
      <c r="M88" s="132">
        <f>'kc tanah'!I10</f>
        <v>0</v>
      </c>
      <c r="N88" s="132">
        <f>'kc tanah'!J10</f>
        <v>0</v>
      </c>
      <c r="O88" s="157">
        <f>'kc tanah'!K10</f>
        <v>0</v>
      </c>
      <c r="P88" s="125">
        <f t="shared" ref="P88:P93" si="49">SUM(J88:O88)</f>
        <v>35</v>
      </c>
      <c r="Q88" s="128">
        <f t="shared" ref="Q88:Q94" si="50">SUM(I88,P88)</f>
        <v>371</v>
      </c>
    </row>
    <row r="89" spans="1:17" x14ac:dyDescent="0.25">
      <c r="A89" s="84">
        <v>3</v>
      </c>
      <c r="B89" s="7" t="s">
        <v>20</v>
      </c>
      <c r="C89" s="16">
        <v>0</v>
      </c>
      <c r="D89" s="16">
        <v>50</v>
      </c>
      <c r="E89" s="16">
        <v>200</v>
      </c>
      <c r="F89" s="59">
        <f>'kc tanah'!C11</f>
        <v>80</v>
      </c>
      <c r="G89" s="59">
        <f>'kc tanah'!D11</f>
        <v>0</v>
      </c>
      <c r="H89" s="155">
        <f>'kc tanah'!E11</f>
        <v>0</v>
      </c>
      <c r="I89" s="125">
        <f t="shared" si="48"/>
        <v>330</v>
      </c>
      <c r="J89" s="223">
        <f>'kc tanah'!F11</f>
        <v>120</v>
      </c>
      <c r="K89" s="132">
        <f>'kc tanah'!G11</f>
        <v>0</v>
      </c>
      <c r="L89" s="132">
        <f>'kc tanah'!H11</f>
        <v>0</v>
      </c>
      <c r="M89" s="132">
        <f>'kc tanah'!I11</f>
        <v>80</v>
      </c>
      <c r="N89" s="132">
        <f>'kc tanah'!J11</f>
        <v>0</v>
      </c>
      <c r="O89" s="157">
        <f>'kc tanah'!K11</f>
        <v>0</v>
      </c>
      <c r="P89" s="125">
        <f t="shared" si="49"/>
        <v>200</v>
      </c>
      <c r="Q89" s="128">
        <f t="shared" si="50"/>
        <v>530</v>
      </c>
    </row>
    <row r="90" spans="1:17" x14ac:dyDescent="0.25">
      <c r="A90" s="85">
        <v>4</v>
      </c>
      <c r="B90" s="15" t="s">
        <v>21</v>
      </c>
      <c r="C90" s="16">
        <v>0</v>
      </c>
      <c r="D90" s="16">
        <v>40</v>
      </c>
      <c r="E90" s="16">
        <v>0</v>
      </c>
      <c r="F90" s="59">
        <f>'kc tanah'!C12</f>
        <v>15</v>
      </c>
      <c r="G90" s="59">
        <f>'kc tanah'!D12</f>
        <v>0</v>
      </c>
      <c r="H90" s="155">
        <f>'kc tanah'!E12</f>
        <v>18</v>
      </c>
      <c r="I90" s="125">
        <f t="shared" si="48"/>
        <v>73</v>
      </c>
      <c r="J90" s="223">
        <f>'kc tanah'!F12</f>
        <v>10</v>
      </c>
      <c r="K90" s="132">
        <f>'kc tanah'!G12</f>
        <v>0</v>
      </c>
      <c r="L90" s="132">
        <f>'kc tanah'!H12</f>
        <v>25</v>
      </c>
      <c r="M90" s="132">
        <f>'kc tanah'!I12</f>
        <v>15</v>
      </c>
      <c r="N90" s="132">
        <f>'kc tanah'!J12</f>
        <v>5</v>
      </c>
      <c r="O90" s="157">
        <f>'kc tanah'!K12</f>
        <v>11</v>
      </c>
      <c r="P90" s="125">
        <f t="shared" si="49"/>
        <v>66</v>
      </c>
      <c r="Q90" s="128">
        <f t="shared" si="50"/>
        <v>139</v>
      </c>
    </row>
    <row r="91" spans="1:17" x14ac:dyDescent="0.25">
      <c r="A91" s="85">
        <v>5</v>
      </c>
      <c r="B91" s="19" t="s">
        <v>22</v>
      </c>
      <c r="C91" s="16">
        <v>0</v>
      </c>
      <c r="D91" s="16">
        <v>20</v>
      </c>
      <c r="E91" s="16">
        <v>258</v>
      </c>
      <c r="F91" s="59">
        <f>'kc tanah'!C13</f>
        <v>0</v>
      </c>
      <c r="G91" s="59">
        <f>'kc tanah'!D13</f>
        <v>0</v>
      </c>
      <c r="H91" s="155">
        <f>'kc tanah'!E13</f>
        <v>0</v>
      </c>
      <c r="I91" s="125">
        <f t="shared" si="48"/>
        <v>278</v>
      </c>
      <c r="J91" s="223">
        <f>'kc tanah'!F13</f>
        <v>62</v>
      </c>
      <c r="K91" s="132">
        <f>'kc tanah'!G13</f>
        <v>0</v>
      </c>
      <c r="L91" s="132">
        <f>'kc tanah'!H13</f>
        <v>0</v>
      </c>
      <c r="M91" s="132">
        <f>'kc tanah'!I13</f>
        <v>0</v>
      </c>
      <c r="N91" s="132">
        <f>'kc tanah'!J13</f>
        <v>0</v>
      </c>
      <c r="O91" s="157">
        <f>'kc tanah'!K13</f>
        <v>0</v>
      </c>
      <c r="P91" s="125">
        <f t="shared" si="49"/>
        <v>62</v>
      </c>
      <c r="Q91" s="128">
        <f t="shared" si="50"/>
        <v>340</v>
      </c>
    </row>
    <row r="92" spans="1:17" x14ac:dyDescent="0.25">
      <c r="A92" s="85">
        <v>6</v>
      </c>
      <c r="B92" s="19" t="s">
        <v>23</v>
      </c>
      <c r="C92" s="16">
        <v>1</v>
      </c>
      <c r="D92" s="16">
        <v>43</v>
      </c>
      <c r="E92" s="16">
        <v>17</v>
      </c>
      <c r="F92" s="59">
        <f>'kc tanah'!C14</f>
        <v>25</v>
      </c>
      <c r="G92" s="59">
        <f>'kc tanah'!D14</f>
        <v>0</v>
      </c>
      <c r="H92" s="155">
        <f>'kc tanah'!E14</f>
        <v>40</v>
      </c>
      <c r="I92" s="125">
        <f t="shared" si="48"/>
        <v>126</v>
      </c>
      <c r="J92" s="223">
        <f>'kc tanah'!F14</f>
        <v>25</v>
      </c>
      <c r="K92" s="132">
        <f>'kc tanah'!G14</f>
        <v>0</v>
      </c>
      <c r="L92" s="132">
        <f>'kc tanah'!H14</f>
        <v>0</v>
      </c>
      <c r="M92" s="132">
        <f>'kc tanah'!I14</f>
        <v>2</v>
      </c>
      <c r="N92" s="132">
        <f>'kc tanah'!J14</f>
        <v>0</v>
      </c>
      <c r="O92" s="157">
        <f>'kc tanah'!K14</f>
        <v>0</v>
      </c>
      <c r="P92" s="125">
        <f t="shared" si="49"/>
        <v>27</v>
      </c>
      <c r="Q92" s="128">
        <f t="shared" si="50"/>
        <v>153</v>
      </c>
    </row>
    <row r="93" spans="1:17" x14ac:dyDescent="0.25">
      <c r="A93" s="85">
        <v>7</v>
      </c>
      <c r="B93" s="19" t="s">
        <v>24</v>
      </c>
      <c r="C93" s="16">
        <v>0</v>
      </c>
      <c r="D93" s="16">
        <v>0</v>
      </c>
      <c r="E93" s="16">
        <v>1</v>
      </c>
      <c r="F93" s="59">
        <f>'kc tanah'!C15</f>
        <v>0</v>
      </c>
      <c r="G93" s="59">
        <f>'kc tanah'!D15</f>
        <v>0</v>
      </c>
      <c r="H93" s="155">
        <f>'kc tanah'!E15</f>
        <v>0</v>
      </c>
      <c r="I93" s="125">
        <f t="shared" si="48"/>
        <v>1</v>
      </c>
      <c r="J93" s="223">
        <f>'kc tanah'!F15</f>
        <v>1</v>
      </c>
      <c r="K93" s="132">
        <f>'kc tanah'!G15</f>
        <v>0</v>
      </c>
      <c r="L93" s="132">
        <f>'kc tanah'!H15</f>
        <v>0</v>
      </c>
      <c r="M93" s="132">
        <f>'kc tanah'!I15</f>
        <v>0</v>
      </c>
      <c r="N93" s="132">
        <f>'kc tanah'!J15</f>
        <v>0</v>
      </c>
      <c r="O93" s="157">
        <f>'kc tanah'!K15</f>
        <v>0</v>
      </c>
      <c r="P93" s="125">
        <f t="shared" si="49"/>
        <v>1</v>
      </c>
      <c r="Q93" s="128">
        <f t="shared" si="50"/>
        <v>2</v>
      </c>
    </row>
    <row r="94" spans="1:17" ht="15.75" thickBot="1" x14ac:dyDescent="0.3">
      <c r="A94" s="275">
        <v>8</v>
      </c>
      <c r="B94" s="15" t="s">
        <v>25</v>
      </c>
      <c r="C94" s="17">
        <v>2</v>
      </c>
      <c r="D94" s="17">
        <v>110</v>
      </c>
      <c r="E94" s="17">
        <v>37</v>
      </c>
      <c r="F94" s="137">
        <f>'kc tanah'!C16</f>
        <v>10</v>
      </c>
      <c r="G94" s="137">
        <f>'kc tanah'!D16</f>
        <v>0</v>
      </c>
      <c r="H94" s="137">
        <f>'kc tanah'!E16</f>
        <v>25</v>
      </c>
      <c r="I94" s="126">
        <f t="shared" si="48"/>
        <v>184</v>
      </c>
      <c r="J94" s="232">
        <f>'kc tanah'!F16</f>
        <v>120</v>
      </c>
      <c r="K94" s="232">
        <f>'kc tanah'!G16</f>
        <v>0</v>
      </c>
      <c r="L94" s="232">
        <f>'kc tanah'!H16</f>
        <v>0</v>
      </c>
      <c r="M94" s="232">
        <f>'kc tanah'!I16</f>
        <v>0</v>
      </c>
      <c r="N94" s="232">
        <f>'kc tanah'!J16</f>
        <v>0</v>
      </c>
      <c r="O94" s="232">
        <f>'kc tanah'!K16</f>
        <v>0</v>
      </c>
      <c r="P94" s="126">
        <f>SUM(J94:O94)</f>
        <v>120</v>
      </c>
      <c r="Q94" s="129">
        <f t="shared" si="50"/>
        <v>304</v>
      </c>
    </row>
    <row r="95" spans="1:17" ht="16.5" thickTop="1" thickBot="1" x14ac:dyDescent="0.3">
      <c r="A95" s="339" t="s">
        <v>26</v>
      </c>
      <c r="B95" s="340"/>
      <c r="C95" s="112">
        <f t="shared" ref="C95:H95" si="51">SUM(C87:C94)</f>
        <v>3</v>
      </c>
      <c r="D95" s="112">
        <f t="shared" si="51"/>
        <v>308</v>
      </c>
      <c r="E95" s="112">
        <f t="shared" si="51"/>
        <v>699</v>
      </c>
      <c r="F95" s="112">
        <f t="shared" si="51"/>
        <v>235</v>
      </c>
      <c r="G95" s="112">
        <f t="shared" si="51"/>
        <v>40</v>
      </c>
      <c r="H95" s="121">
        <f t="shared" si="51"/>
        <v>193</v>
      </c>
      <c r="I95" s="123">
        <f>SUM(I87:I94)</f>
        <v>1478</v>
      </c>
      <c r="J95" s="133">
        <f t="shared" ref="J95:O95" si="52">SUM(J87:J94)</f>
        <v>373</v>
      </c>
      <c r="K95" s="112">
        <f t="shared" si="52"/>
        <v>0</v>
      </c>
      <c r="L95" s="112">
        <f t="shared" si="52"/>
        <v>25</v>
      </c>
      <c r="M95" s="112">
        <f t="shared" si="52"/>
        <v>97</v>
      </c>
      <c r="N95" s="112">
        <f t="shared" si="52"/>
        <v>5</v>
      </c>
      <c r="O95" s="121">
        <f t="shared" si="52"/>
        <v>11</v>
      </c>
      <c r="P95" s="123">
        <f>SUM(P87:P94)</f>
        <v>511</v>
      </c>
      <c r="Q95" s="130">
        <f>SUM(Q87:Q94)</f>
        <v>1989</v>
      </c>
    </row>
    <row r="97" spans="1:17" ht="15.75" x14ac:dyDescent="0.25">
      <c r="A97" s="341" t="s">
        <v>153</v>
      </c>
      <c r="B97" s="341"/>
      <c r="C97" s="341"/>
      <c r="D97" s="341"/>
      <c r="E97" s="341"/>
      <c r="F97" s="341"/>
      <c r="G97" s="341"/>
      <c r="H97" s="341"/>
      <c r="I97" s="341"/>
      <c r="J97" s="341"/>
      <c r="K97" s="341"/>
      <c r="L97" s="341"/>
      <c r="M97" s="341"/>
      <c r="N97" s="341"/>
      <c r="O97" s="341"/>
      <c r="P97" s="341"/>
      <c r="Q97" s="341"/>
    </row>
    <row r="98" spans="1:17" ht="15.75" x14ac:dyDescent="0.25">
      <c r="A98" s="341" t="s">
        <v>81</v>
      </c>
      <c r="B98" s="341"/>
      <c r="C98" s="341"/>
      <c r="D98" s="341"/>
      <c r="E98" s="341"/>
      <c r="F98" s="341"/>
      <c r="G98" s="341"/>
      <c r="H98" s="341"/>
      <c r="I98" s="341"/>
      <c r="J98" s="341"/>
      <c r="K98" s="341"/>
      <c r="L98" s="341"/>
      <c r="M98" s="341"/>
      <c r="N98" s="341"/>
      <c r="O98" s="341"/>
      <c r="P98" s="341"/>
      <c r="Q98" s="341"/>
    </row>
    <row r="99" spans="1:17" ht="15.75" thickBot="1" x14ac:dyDescent="0.3">
      <c r="Q99" s="75" t="s">
        <v>1</v>
      </c>
    </row>
    <row r="100" spans="1:17" x14ac:dyDescent="0.25">
      <c r="A100" s="334" t="s">
        <v>2</v>
      </c>
      <c r="B100" s="336" t="s">
        <v>3</v>
      </c>
      <c r="C100" s="342" t="s">
        <v>183</v>
      </c>
      <c r="D100" s="343"/>
      <c r="E100" s="343"/>
      <c r="F100" s="343"/>
      <c r="G100" s="343"/>
      <c r="H100" s="344"/>
      <c r="I100" s="345" t="s">
        <v>82</v>
      </c>
      <c r="J100" s="347">
        <v>2020</v>
      </c>
      <c r="K100" s="343"/>
      <c r="L100" s="343"/>
      <c r="M100" s="343"/>
      <c r="N100" s="343"/>
      <c r="O100" s="344"/>
      <c r="P100" s="345" t="s">
        <v>83</v>
      </c>
      <c r="Q100" s="348" t="s">
        <v>5</v>
      </c>
    </row>
    <row r="101" spans="1:17" x14ac:dyDescent="0.25">
      <c r="A101" s="335"/>
      <c r="B101" s="324"/>
      <c r="C101" s="300" t="s">
        <v>15</v>
      </c>
      <c r="D101" s="300" t="s">
        <v>16</v>
      </c>
      <c r="E101" s="300" t="s">
        <v>17</v>
      </c>
      <c r="F101" s="300" t="s">
        <v>6</v>
      </c>
      <c r="G101" s="300" t="s">
        <v>76</v>
      </c>
      <c r="H101" s="119" t="s">
        <v>77</v>
      </c>
      <c r="I101" s="346"/>
      <c r="J101" s="109" t="s">
        <v>78</v>
      </c>
      <c r="K101" s="300" t="s">
        <v>10</v>
      </c>
      <c r="L101" s="300" t="s">
        <v>11</v>
      </c>
      <c r="M101" s="300" t="s">
        <v>12</v>
      </c>
      <c r="N101" s="300" t="s">
        <v>79</v>
      </c>
      <c r="O101" s="119" t="s">
        <v>80</v>
      </c>
      <c r="P101" s="346"/>
      <c r="Q101" s="349"/>
    </row>
    <row r="102" spans="1:17" ht="15.75" thickBot="1" x14ac:dyDescent="0.3">
      <c r="A102" s="111">
        <v>1</v>
      </c>
      <c r="B102" s="5">
        <v>2</v>
      </c>
      <c r="C102" s="5">
        <v>3</v>
      </c>
      <c r="D102" s="5">
        <v>4</v>
      </c>
      <c r="E102" s="5">
        <v>5</v>
      </c>
      <c r="F102" s="5">
        <v>6</v>
      </c>
      <c r="G102" s="5">
        <v>7</v>
      </c>
      <c r="H102" s="120">
        <v>8</v>
      </c>
      <c r="I102" s="122">
        <v>9</v>
      </c>
      <c r="J102" s="110">
        <v>10</v>
      </c>
      <c r="K102" s="5">
        <v>11</v>
      </c>
      <c r="L102" s="5">
        <v>12</v>
      </c>
      <c r="M102" s="5">
        <v>13</v>
      </c>
      <c r="N102" s="5">
        <v>14</v>
      </c>
      <c r="O102" s="120">
        <v>15</v>
      </c>
      <c r="P102" s="122">
        <v>16</v>
      </c>
      <c r="Q102" s="131">
        <v>17</v>
      </c>
    </row>
    <row r="103" spans="1:17" ht="15.75" thickTop="1" x14ac:dyDescent="0.25">
      <c r="A103" s="83">
        <v>1</v>
      </c>
      <c r="B103" s="7" t="s">
        <v>18</v>
      </c>
      <c r="C103" s="28">
        <v>0</v>
      </c>
      <c r="D103" s="28">
        <v>0</v>
      </c>
      <c r="E103" s="28">
        <v>10</v>
      </c>
      <c r="F103" s="136">
        <f>'ubi kayu'!C9</f>
        <v>6</v>
      </c>
      <c r="G103" s="136">
        <f>'ubi kayu'!D9</f>
        <v>3</v>
      </c>
      <c r="H103" s="136">
        <f>'ubi kayu'!E9</f>
        <v>0</v>
      </c>
      <c r="I103" s="124">
        <f>SUM(C103:H103)</f>
        <v>19</v>
      </c>
      <c r="J103" s="156">
        <f>'ubi kayu'!F9</f>
        <v>0</v>
      </c>
      <c r="K103" s="156">
        <f>'ubi kayu'!G9</f>
        <v>0</v>
      </c>
      <c r="L103" s="156">
        <f>'ubi kayu'!H9</f>
        <v>2</v>
      </c>
      <c r="M103" s="156">
        <f>'ubi kayu'!I9</f>
        <v>0</v>
      </c>
      <c r="N103" s="156">
        <f>'ubi kayu'!J9</f>
        <v>0</v>
      </c>
      <c r="O103" s="156">
        <f>'ubi kayu'!K9</f>
        <v>0</v>
      </c>
      <c r="P103" s="124">
        <f>SUM(J103:O103)</f>
        <v>2</v>
      </c>
      <c r="Q103" s="127">
        <f>SUM(I103,P103)</f>
        <v>21</v>
      </c>
    </row>
    <row r="104" spans="1:17" x14ac:dyDescent="0.25">
      <c r="A104" s="84">
        <v>2</v>
      </c>
      <c r="B104" s="12" t="s">
        <v>19</v>
      </c>
      <c r="C104" s="16">
        <v>0</v>
      </c>
      <c r="D104" s="16">
        <v>0</v>
      </c>
      <c r="E104" s="16">
        <v>1</v>
      </c>
      <c r="F104" s="59">
        <f>'ubi kayu'!C10</f>
        <v>1</v>
      </c>
      <c r="G104" s="59">
        <f>'ubi kayu'!D10</f>
        <v>1</v>
      </c>
      <c r="H104" s="155">
        <f>'ubi kayu'!E10</f>
        <v>0</v>
      </c>
      <c r="I104" s="125">
        <f t="shared" ref="I104:I110" si="53">SUM(C104:H104)</f>
        <v>3</v>
      </c>
      <c r="J104" s="223">
        <f>'ubi kayu'!F10</f>
        <v>1</v>
      </c>
      <c r="K104" s="132">
        <f>'ubi kayu'!G10</f>
        <v>0</v>
      </c>
      <c r="L104" s="132">
        <f>'ubi kayu'!H10</f>
        <v>0</v>
      </c>
      <c r="M104" s="132">
        <f>'ubi kayu'!I10</f>
        <v>0</v>
      </c>
      <c r="N104" s="132">
        <f>'ubi kayu'!J10</f>
        <v>0</v>
      </c>
      <c r="O104" s="157">
        <f>'ubi kayu'!K10</f>
        <v>0</v>
      </c>
      <c r="P104" s="125">
        <f t="shared" ref="P104:P109" si="54">SUM(J104:O104)</f>
        <v>1</v>
      </c>
      <c r="Q104" s="128">
        <f t="shared" ref="Q104:Q110" si="55">SUM(I104,P104)</f>
        <v>4</v>
      </c>
    </row>
    <row r="105" spans="1:17" x14ac:dyDescent="0.25">
      <c r="A105" s="84">
        <v>3</v>
      </c>
      <c r="B105" s="7" t="s">
        <v>20</v>
      </c>
      <c r="C105" s="16">
        <v>0</v>
      </c>
      <c r="D105" s="16">
        <v>2</v>
      </c>
      <c r="E105" s="16">
        <v>5</v>
      </c>
      <c r="F105" s="59">
        <f>'ubi kayu'!C11</f>
        <v>15</v>
      </c>
      <c r="G105" s="59">
        <f>'ubi kayu'!D11</f>
        <v>20</v>
      </c>
      <c r="H105" s="155">
        <f>'ubi kayu'!E11</f>
        <v>0</v>
      </c>
      <c r="I105" s="125">
        <f t="shared" si="53"/>
        <v>42</v>
      </c>
      <c r="J105" s="223">
        <f>'ubi kayu'!F11</f>
        <v>10</v>
      </c>
      <c r="K105" s="132">
        <f>'ubi kayu'!G11</f>
        <v>0</v>
      </c>
      <c r="L105" s="132">
        <f>'ubi kayu'!H11</f>
        <v>10</v>
      </c>
      <c r="M105" s="132">
        <f>'ubi kayu'!I11</f>
        <v>0</v>
      </c>
      <c r="N105" s="132">
        <f>'ubi kayu'!J11</f>
        <v>0</v>
      </c>
      <c r="O105" s="157">
        <f>'ubi kayu'!K11</f>
        <v>0</v>
      </c>
      <c r="P105" s="125">
        <f t="shared" si="54"/>
        <v>20</v>
      </c>
      <c r="Q105" s="128">
        <f t="shared" si="55"/>
        <v>62</v>
      </c>
    </row>
    <row r="106" spans="1:17" x14ac:dyDescent="0.25">
      <c r="A106" s="85">
        <v>4</v>
      </c>
      <c r="B106" s="15" t="s">
        <v>21</v>
      </c>
      <c r="C106" s="16">
        <v>2</v>
      </c>
      <c r="D106" s="16">
        <v>0</v>
      </c>
      <c r="E106" s="16">
        <v>0</v>
      </c>
      <c r="F106" s="59">
        <f>'ubi kayu'!C12</f>
        <v>1</v>
      </c>
      <c r="G106" s="59">
        <f>'ubi kayu'!D12</f>
        <v>0</v>
      </c>
      <c r="H106" s="155">
        <f>'ubi kayu'!E12</f>
        <v>0</v>
      </c>
      <c r="I106" s="125">
        <f t="shared" si="53"/>
        <v>3</v>
      </c>
      <c r="J106" s="223">
        <f>'ubi kayu'!F12</f>
        <v>0</v>
      </c>
      <c r="K106" s="132">
        <f>'ubi kayu'!G12</f>
        <v>0</v>
      </c>
      <c r="L106" s="132">
        <f>'ubi kayu'!H12</f>
        <v>0</v>
      </c>
      <c r="M106" s="132">
        <f>'ubi kayu'!I12</f>
        <v>0</v>
      </c>
      <c r="N106" s="132">
        <f>'ubi kayu'!J12</f>
        <v>0</v>
      </c>
      <c r="O106" s="157">
        <f>'ubi kayu'!K12</f>
        <v>0</v>
      </c>
      <c r="P106" s="125">
        <f t="shared" si="54"/>
        <v>0</v>
      </c>
      <c r="Q106" s="128">
        <f t="shared" si="55"/>
        <v>3</v>
      </c>
    </row>
    <row r="107" spans="1:17" x14ac:dyDescent="0.25">
      <c r="A107" s="85">
        <v>5</v>
      </c>
      <c r="B107" s="19" t="s">
        <v>22</v>
      </c>
      <c r="C107" s="16">
        <v>0</v>
      </c>
      <c r="D107" s="16">
        <v>0</v>
      </c>
      <c r="E107" s="16">
        <v>12</v>
      </c>
      <c r="F107" s="59">
        <f>'ubi kayu'!C13</f>
        <v>0</v>
      </c>
      <c r="G107" s="59">
        <f>'ubi kayu'!D13</f>
        <v>0</v>
      </c>
      <c r="H107" s="155">
        <f>'ubi kayu'!E13</f>
        <v>0</v>
      </c>
      <c r="I107" s="125">
        <f t="shared" si="53"/>
        <v>12</v>
      </c>
      <c r="J107" s="223">
        <f>'ubi kayu'!F13</f>
        <v>0</v>
      </c>
      <c r="K107" s="132">
        <f>'ubi kayu'!G13</f>
        <v>0</v>
      </c>
      <c r="L107" s="132">
        <f>'ubi kayu'!H13</f>
        <v>0</v>
      </c>
      <c r="M107" s="132">
        <f>'ubi kayu'!I13</f>
        <v>0</v>
      </c>
      <c r="N107" s="132">
        <f>'ubi kayu'!J13</f>
        <v>0</v>
      </c>
      <c r="O107" s="157">
        <f>'ubi kayu'!K13</f>
        <v>0</v>
      </c>
      <c r="P107" s="125">
        <f t="shared" si="54"/>
        <v>0</v>
      </c>
      <c r="Q107" s="128">
        <f t="shared" si="55"/>
        <v>12</v>
      </c>
    </row>
    <row r="108" spans="1:17" x14ac:dyDescent="0.25">
      <c r="A108" s="85">
        <v>6</v>
      </c>
      <c r="B108" s="19" t="s">
        <v>23</v>
      </c>
      <c r="C108" s="16">
        <v>1</v>
      </c>
      <c r="D108" s="16">
        <v>1</v>
      </c>
      <c r="E108" s="16">
        <v>1</v>
      </c>
      <c r="F108" s="59">
        <f>'ubi kayu'!C14</f>
        <v>0</v>
      </c>
      <c r="G108" s="59">
        <f>'ubi kayu'!D14</f>
        <v>0</v>
      </c>
      <c r="H108" s="155">
        <f>'ubi kayu'!E14</f>
        <v>0</v>
      </c>
      <c r="I108" s="125">
        <f t="shared" si="53"/>
        <v>3</v>
      </c>
      <c r="J108" s="223">
        <f>'ubi kayu'!F14</f>
        <v>0</v>
      </c>
      <c r="K108" s="132">
        <f>'ubi kayu'!G14</f>
        <v>0</v>
      </c>
      <c r="L108" s="132">
        <f>'ubi kayu'!H14</f>
        <v>0</v>
      </c>
      <c r="M108" s="132">
        <f>'ubi kayu'!I14</f>
        <v>0</v>
      </c>
      <c r="N108" s="132">
        <f>'ubi kayu'!J14</f>
        <v>0</v>
      </c>
      <c r="O108" s="157">
        <f>'ubi kayu'!K14</f>
        <v>0</v>
      </c>
      <c r="P108" s="125">
        <f t="shared" si="54"/>
        <v>0</v>
      </c>
      <c r="Q108" s="128">
        <f t="shared" si="55"/>
        <v>3</v>
      </c>
    </row>
    <row r="109" spans="1:17" x14ac:dyDescent="0.25">
      <c r="A109" s="85">
        <v>7</v>
      </c>
      <c r="B109" s="19" t="s">
        <v>24</v>
      </c>
      <c r="C109" s="16">
        <v>0</v>
      </c>
      <c r="D109" s="16">
        <v>0</v>
      </c>
      <c r="E109" s="16">
        <v>0</v>
      </c>
      <c r="F109" s="59">
        <f>'ubi kayu'!C15</f>
        <v>0</v>
      </c>
      <c r="G109" s="59">
        <f>'ubi kayu'!D15</f>
        <v>1</v>
      </c>
      <c r="H109" s="155">
        <f>'ubi kayu'!E15</f>
        <v>1</v>
      </c>
      <c r="I109" s="125">
        <f t="shared" si="53"/>
        <v>2</v>
      </c>
      <c r="J109" s="223">
        <f>'ubi kayu'!F15</f>
        <v>0</v>
      </c>
      <c r="K109" s="132">
        <f>'ubi kayu'!G15</f>
        <v>0</v>
      </c>
      <c r="L109" s="132">
        <f>'ubi kayu'!H15</f>
        <v>0</v>
      </c>
      <c r="M109" s="132">
        <f>'ubi kayu'!I15</f>
        <v>0</v>
      </c>
      <c r="N109" s="132">
        <f>'ubi kayu'!J15</f>
        <v>0</v>
      </c>
      <c r="O109" s="157">
        <f>'ubi kayu'!K15</f>
        <v>0</v>
      </c>
      <c r="P109" s="125">
        <f t="shared" si="54"/>
        <v>0</v>
      </c>
      <c r="Q109" s="128">
        <f t="shared" si="55"/>
        <v>2</v>
      </c>
    </row>
    <row r="110" spans="1:17" ht="15.75" thickBot="1" x14ac:dyDescent="0.3">
      <c r="A110" s="86">
        <v>8</v>
      </c>
      <c r="B110" s="15" t="s">
        <v>25</v>
      </c>
      <c r="C110" s="17">
        <v>0</v>
      </c>
      <c r="D110" s="17">
        <v>0</v>
      </c>
      <c r="E110" s="17">
        <v>2</v>
      </c>
      <c r="F110" s="137">
        <f>'ubi kayu'!C16</f>
        <v>3</v>
      </c>
      <c r="G110" s="137">
        <f>'ubi kayu'!D16</f>
        <v>1</v>
      </c>
      <c r="H110" s="137">
        <f>'ubi kayu'!E16</f>
        <v>0</v>
      </c>
      <c r="I110" s="126">
        <f t="shared" si="53"/>
        <v>6</v>
      </c>
      <c r="J110" s="232">
        <f>'ubi kayu'!F16</f>
        <v>1</v>
      </c>
      <c r="K110" s="232">
        <f>'ubi kayu'!G16</f>
        <v>0</v>
      </c>
      <c r="L110" s="232">
        <f>'ubi kayu'!H16</f>
        <v>0</v>
      </c>
      <c r="M110" s="232">
        <f>'ubi kayu'!I16</f>
        <v>1</v>
      </c>
      <c r="N110" s="232">
        <f>'ubi kayu'!J16</f>
        <v>1</v>
      </c>
      <c r="O110" s="232">
        <f>'ubi kayu'!K16</f>
        <v>1</v>
      </c>
      <c r="P110" s="126">
        <f>SUM(J110:O110)</f>
        <v>4</v>
      </c>
      <c r="Q110" s="129">
        <f t="shared" si="55"/>
        <v>10</v>
      </c>
    </row>
    <row r="111" spans="1:17" ht="16.5" thickTop="1" thickBot="1" x14ac:dyDescent="0.3">
      <c r="A111" s="339" t="s">
        <v>26</v>
      </c>
      <c r="B111" s="340"/>
      <c r="C111" s="112">
        <f t="shared" ref="C111:H111" si="56">SUM(C103:C110)</f>
        <v>3</v>
      </c>
      <c r="D111" s="112">
        <f t="shared" si="56"/>
        <v>3</v>
      </c>
      <c r="E111" s="112">
        <f t="shared" si="56"/>
        <v>31</v>
      </c>
      <c r="F111" s="112">
        <f t="shared" si="56"/>
        <v>26</v>
      </c>
      <c r="G111" s="112">
        <f t="shared" si="56"/>
        <v>26</v>
      </c>
      <c r="H111" s="121">
        <f t="shared" si="56"/>
        <v>1</v>
      </c>
      <c r="I111" s="123">
        <f>SUM(I103:I110)</f>
        <v>90</v>
      </c>
      <c r="J111" s="133">
        <f t="shared" ref="J111:O111" si="57">SUM(J103:J110)</f>
        <v>12</v>
      </c>
      <c r="K111" s="112">
        <f t="shared" si="57"/>
        <v>0</v>
      </c>
      <c r="L111" s="112">
        <f t="shared" si="57"/>
        <v>12</v>
      </c>
      <c r="M111" s="112">
        <f t="shared" si="57"/>
        <v>1</v>
      </c>
      <c r="N111" s="112">
        <f t="shared" si="57"/>
        <v>1</v>
      </c>
      <c r="O111" s="121">
        <f t="shared" si="57"/>
        <v>1</v>
      </c>
      <c r="P111" s="123">
        <f>SUM(P103:P110)</f>
        <v>27</v>
      </c>
      <c r="Q111" s="130">
        <f>SUM(Q103:Q110)</f>
        <v>117</v>
      </c>
    </row>
    <row r="113" spans="1:17" ht="15.75" x14ac:dyDescent="0.25">
      <c r="A113" s="341" t="s">
        <v>154</v>
      </c>
      <c r="B113" s="341"/>
      <c r="C113" s="341"/>
      <c r="D113" s="341"/>
      <c r="E113" s="341"/>
      <c r="F113" s="341"/>
      <c r="G113" s="341"/>
      <c r="H113" s="341"/>
      <c r="I113" s="341"/>
      <c r="J113" s="341"/>
      <c r="K113" s="341"/>
      <c r="L113" s="341"/>
      <c r="M113" s="341"/>
      <c r="N113" s="341"/>
      <c r="O113" s="341"/>
      <c r="P113" s="341"/>
      <c r="Q113" s="341"/>
    </row>
    <row r="114" spans="1:17" ht="15.75" x14ac:dyDescent="0.25">
      <c r="A114" s="341" t="s">
        <v>81</v>
      </c>
      <c r="B114" s="341"/>
      <c r="C114" s="341"/>
      <c r="D114" s="341"/>
      <c r="E114" s="341"/>
      <c r="F114" s="341"/>
      <c r="G114" s="341"/>
      <c r="H114" s="341"/>
      <c r="I114" s="341"/>
      <c r="J114" s="341"/>
      <c r="K114" s="341"/>
      <c r="L114" s="341"/>
      <c r="M114" s="341"/>
      <c r="N114" s="341"/>
      <c r="O114" s="341"/>
      <c r="P114" s="341"/>
      <c r="Q114" s="341"/>
    </row>
    <row r="115" spans="1:17" ht="15.75" thickBot="1" x14ac:dyDescent="0.3">
      <c r="Q115" s="75" t="s">
        <v>1</v>
      </c>
    </row>
    <row r="116" spans="1:17" x14ac:dyDescent="0.25">
      <c r="A116" s="334" t="s">
        <v>2</v>
      </c>
      <c r="B116" s="336" t="s">
        <v>3</v>
      </c>
      <c r="C116" s="342" t="s">
        <v>183</v>
      </c>
      <c r="D116" s="343"/>
      <c r="E116" s="343"/>
      <c r="F116" s="343"/>
      <c r="G116" s="343"/>
      <c r="H116" s="344"/>
      <c r="I116" s="345" t="s">
        <v>82</v>
      </c>
      <c r="J116" s="347">
        <v>2020</v>
      </c>
      <c r="K116" s="343"/>
      <c r="L116" s="343"/>
      <c r="M116" s="343"/>
      <c r="N116" s="343"/>
      <c r="O116" s="344"/>
      <c r="P116" s="345" t="s">
        <v>83</v>
      </c>
      <c r="Q116" s="348" t="s">
        <v>5</v>
      </c>
    </row>
    <row r="117" spans="1:17" x14ac:dyDescent="0.25">
      <c r="A117" s="335"/>
      <c r="B117" s="324"/>
      <c r="C117" s="300" t="s">
        <v>15</v>
      </c>
      <c r="D117" s="300" t="s">
        <v>16</v>
      </c>
      <c r="E117" s="300" t="s">
        <v>17</v>
      </c>
      <c r="F117" s="300" t="s">
        <v>6</v>
      </c>
      <c r="G117" s="300" t="s">
        <v>76</v>
      </c>
      <c r="H117" s="119" t="s">
        <v>77</v>
      </c>
      <c r="I117" s="346"/>
      <c r="J117" s="109" t="s">
        <v>78</v>
      </c>
      <c r="K117" s="300" t="s">
        <v>10</v>
      </c>
      <c r="L117" s="300" t="s">
        <v>11</v>
      </c>
      <c r="M117" s="300" t="s">
        <v>12</v>
      </c>
      <c r="N117" s="300" t="s">
        <v>79</v>
      </c>
      <c r="O117" s="119" t="s">
        <v>80</v>
      </c>
      <c r="P117" s="346"/>
      <c r="Q117" s="349"/>
    </row>
    <row r="118" spans="1:17" ht="15.75" thickBot="1" x14ac:dyDescent="0.3">
      <c r="A118" s="111">
        <v>1</v>
      </c>
      <c r="B118" s="5">
        <v>2</v>
      </c>
      <c r="C118" s="5">
        <v>3</v>
      </c>
      <c r="D118" s="5">
        <v>4</v>
      </c>
      <c r="E118" s="5">
        <v>5</v>
      </c>
      <c r="F118" s="5">
        <v>6</v>
      </c>
      <c r="G118" s="5">
        <v>7</v>
      </c>
      <c r="H118" s="120">
        <v>8</v>
      </c>
      <c r="I118" s="122">
        <v>9</v>
      </c>
      <c r="J118" s="110">
        <v>10</v>
      </c>
      <c r="K118" s="5">
        <v>11</v>
      </c>
      <c r="L118" s="5">
        <v>12</v>
      </c>
      <c r="M118" s="5">
        <v>13</v>
      </c>
      <c r="N118" s="5">
        <v>14</v>
      </c>
      <c r="O118" s="120">
        <v>15</v>
      </c>
      <c r="P118" s="122">
        <v>16</v>
      </c>
      <c r="Q118" s="131">
        <v>17</v>
      </c>
    </row>
    <row r="119" spans="1:17" ht="15.75" thickTop="1" x14ac:dyDescent="0.25">
      <c r="A119" s="83">
        <v>1</v>
      </c>
      <c r="B119" s="7" t="s">
        <v>18</v>
      </c>
      <c r="C119" s="28">
        <v>0</v>
      </c>
      <c r="D119" s="28">
        <v>0</v>
      </c>
      <c r="E119" s="28">
        <v>5</v>
      </c>
      <c r="F119" s="136">
        <f>'ubi jalar'!C9</f>
        <v>3</v>
      </c>
      <c r="G119" s="136">
        <f>'ubi jalar'!D9</f>
        <v>3</v>
      </c>
      <c r="H119" s="136">
        <f>'ubi jalar'!E9</f>
        <v>3</v>
      </c>
      <c r="I119" s="124">
        <f>SUM(C119:H119)</f>
        <v>14</v>
      </c>
      <c r="J119" s="156">
        <f>'ubi kayu'!F9</f>
        <v>0</v>
      </c>
      <c r="K119" s="156">
        <f>'ubi kayu'!G9</f>
        <v>0</v>
      </c>
      <c r="L119" s="156">
        <f>'ubi kayu'!H9</f>
        <v>2</v>
      </c>
      <c r="M119" s="156">
        <f>'ubi kayu'!I9</f>
        <v>0</v>
      </c>
      <c r="N119" s="156">
        <f>'ubi kayu'!J9</f>
        <v>0</v>
      </c>
      <c r="O119" s="156">
        <f>'ubi kayu'!K9</f>
        <v>0</v>
      </c>
      <c r="P119" s="124">
        <f>SUM(J119:O119)</f>
        <v>2</v>
      </c>
      <c r="Q119" s="127">
        <f>SUM(I119,P119)</f>
        <v>16</v>
      </c>
    </row>
    <row r="120" spans="1:17" x14ac:dyDescent="0.25">
      <c r="A120" s="84">
        <v>2</v>
      </c>
      <c r="B120" s="12" t="s">
        <v>19</v>
      </c>
      <c r="C120" s="16">
        <v>0</v>
      </c>
      <c r="D120" s="16">
        <v>1</v>
      </c>
      <c r="E120" s="16">
        <v>0</v>
      </c>
      <c r="F120" s="59">
        <f>'ubi jalar'!C10</f>
        <v>0</v>
      </c>
      <c r="G120" s="59">
        <f>'ubi jalar'!D10</f>
        <v>0</v>
      </c>
      <c r="H120" s="155">
        <f>'ubi jalar'!E10</f>
        <v>1</v>
      </c>
      <c r="I120" s="125">
        <f t="shared" ref="I120:I126" si="58">SUM(C120:H120)</f>
        <v>2</v>
      </c>
      <c r="J120" s="223">
        <f>'ubi kayu'!F10</f>
        <v>1</v>
      </c>
      <c r="K120" s="132">
        <f>'ubi kayu'!G10</f>
        <v>0</v>
      </c>
      <c r="L120" s="132">
        <f>'ubi kayu'!H10</f>
        <v>0</v>
      </c>
      <c r="M120" s="132">
        <f>'ubi kayu'!I10</f>
        <v>0</v>
      </c>
      <c r="N120" s="132">
        <f>'ubi kayu'!J10</f>
        <v>0</v>
      </c>
      <c r="O120" s="157">
        <f>'ubi kayu'!K10</f>
        <v>0</v>
      </c>
      <c r="P120" s="125">
        <f t="shared" ref="P120:P125" si="59">SUM(J120:O120)</f>
        <v>1</v>
      </c>
      <c r="Q120" s="128">
        <f t="shared" ref="Q120:Q126" si="60">SUM(I120,P120)</f>
        <v>3</v>
      </c>
    </row>
    <row r="121" spans="1:17" x14ac:dyDescent="0.25">
      <c r="A121" s="84">
        <v>3</v>
      </c>
      <c r="B121" s="7" t="s">
        <v>20</v>
      </c>
      <c r="C121" s="16">
        <v>0</v>
      </c>
      <c r="D121" s="16">
        <v>0</v>
      </c>
      <c r="E121" s="16">
        <v>0</v>
      </c>
      <c r="F121" s="59">
        <f>'ubi jalar'!C11</f>
        <v>0</v>
      </c>
      <c r="G121" s="59">
        <f>'ubi jalar'!D11</f>
        <v>0</v>
      </c>
      <c r="H121" s="155">
        <f>'ubi jalar'!E11</f>
        <v>0</v>
      </c>
      <c r="I121" s="125">
        <f t="shared" si="58"/>
        <v>0</v>
      </c>
      <c r="J121" s="223">
        <f>'ubi kayu'!F11</f>
        <v>10</v>
      </c>
      <c r="K121" s="132">
        <f>'ubi kayu'!G11</f>
        <v>0</v>
      </c>
      <c r="L121" s="132">
        <f>'ubi kayu'!H11</f>
        <v>10</v>
      </c>
      <c r="M121" s="132">
        <f>'ubi kayu'!I11</f>
        <v>0</v>
      </c>
      <c r="N121" s="132">
        <f>'ubi kayu'!J11</f>
        <v>0</v>
      </c>
      <c r="O121" s="157">
        <f>'ubi kayu'!K11</f>
        <v>0</v>
      </c>
      <c r="P121" s="125">
        <f t="shared" si="59"/>
        <v>20</v>
      </c>
      <c r="Q121" s="128">
        <f t="shared" si="60"/>
        <v>20</v>
      </c>
    </row>
    <row r="122" spans="1:17" x14ac:dyDescent="0.25">
      <c r="A122" s="85">
        <v>4</v>
      </c>
      <c r="B122" s="15" t="s">
        <v>21</v>
      </c>
      <c r="C122" s="16">
        <v>0</v>
      </c>
      <c r="D122" s="16">
        <v>0</v>
      </c>
      <c r="E122" s="16">
        <v>0</v>
      </c>
      <c r="F122" s="59">
        <f>'ubi jalar'!C12</f>
        <v>0</v>
      </c>
      <c r="G122" s="59">
        <f>'ubi jalar'!D12</f>
        <v>0</v>
      </c>
      <c r="H122" s="155">
        <f>'ubi jalar'!E12</f>
        <v>0</v>
      </c>
      <c r="I122" s="125">
        <f t="shared" si="58"/>
        <v>0</v>
      </c>
      <c r="J122" s="223">
        <f>'ubi kayu'!F12</f>
        <v>0</v>
      </c>
      <c r="K122" s="132">
        <f>'ubi kayu'!G12</f>
        <v>0</v>
      </c>
      <c r="L122" s="132">
        <f>'ubi kayu'!H12</f>
        <v>0</v>
      </c>
      <c r="M122" s="132">
        <f>'ubi kayu'!I12</f>
        <v>0</v>
      </c>
      <c r="N122" s="132">
        <f>'ubi kayu'!J12</f>
        <v>0</v>
      </c>
      <c r="O122" s="157">
        <f>'ubi kayu'!K12</f>
        <v>0</v>
      </c>
      <c r="P122" s="125">
        <f t="shared" si="59"/>
        <v>0</v>
      </c>
      <c r="Q122" s="128">
        <f t="shared" si="60"/>
        <v>0</v>
      </c>
    </row>
    <row r="123" spans="1:17" x14ac:dyDescent="0.25">
      <c r="A123" s="85">
        <v>5</v>
      </c>
      <c r="B123" s="19" t="s">
        <v>22</v>
      </c>
      <c r="C123" s="16">
        <v>0</v>
      </c>
      <c r="D123" s="16">
        <v>0</v>
      </c>
      <c r="E123" s="16">
        <v>0</v>
      </c>
      <c r="F123" s="59">
        <f>'ubi jalar'!C13</f>
        <v>0</v>
      </c>
      <c r="G123" s="59">
        <f>'ubi jalar'!D13</f>
        <v>0</v>
      </c>
      <c r="H123" s="155">
        <f>'ubi jalar'!E13</f>
        <v>0</v>
      </c>
      <c r="I123" s="125">
        <f t="shared" si="58"/>
        <v>0</v>
      </c>
      <c r="J123" s="223">
        <f>'ubi kayu'!F13</f>
        <v>0</v>
      </c>
      <c r="K123" s="132">
        <f>'ubi kayu'!G13</f>
        <v>0</v>
      </c>
      <c r="L123" s="132">
        <f>'ubi kayu'!H13</f>
        <v>0</v>
      </c>
      <c r="M123" s="132">
        <f>'ubi kayu'!I13</f>
        <v>0</v>
      </c>
      <c r="N123" s="132">
        <f>'ubi kayu'!J13</f>
        <v>0</v>
      </c>
      <c r="O123" s="157">
        <f>'ubi kayu'!K13</f>
        <v>0</v>
      </c>
      <c r="P123" s="125">
        <f t="shared" si="59"/>
        <v>0</v>
      </c>
      <c r="Q123" s="128">
        <f t="shared" si="60"/>
        <v>0</v>
      </c>
    </row>
    <row r="124" spans="1:17" x14ac:dyDescent="0.25">
      <c r="A124" s="85">
        <v>6</v>
      </c>
      <c r="B124" s="19" t="s">
        <v>23</v>
      </c>
      <c r="C124" s="16">
        <v>1</v>
      </c>
      <c r="D124" s="16">
        <v>1</v>
      </c>
      <c r="E124" s="16">
        <v>1</v>
      </c>
      <c r="F124" s="59">
        <f>'ubi jalar'!C14</f>
        <v>1</v>
      </c>
      <c r="G124" s="59">
        <f>'ubi jalar'!D14</f>
        <v>1</v>
      </c>
      <c r="H124" s="155">
        <f>'ubi jalar'!E14</f>
        <v>0</v>
      </c>
      <c r="I124" s="125">
        <f t="shared" si="58"/>
        <v>5</v>
      </c>
      <c r="J124" s="223">
        <f>'ubi kayu'!F14</f>
        <v>0</v>
      </c>
      <c r="K124" s="132">
        <f>'ubi kayu'!G14</f>
        <v>0</v>
      </c>
      <c r="L124" s="132">
        <f>'ubi kayu'!H14</f>
        <v>0</v>
      </c>
      <c r="M124" s="132">
        <f>'ubi kayu'!I14</f>
        <v>0</v>
      </c>
      <c r="N124" s="132">
        <f>'ubi kayu'!J14</f>
        <v>0</v>
      </c>
      <c r="O124" s="157">
        <f>'ubi kayu'!K14</f>
        <v>0</v>
      </c>
      <c r="P124" s="125">
        <f t="shared" si="59"/>
        <v>0</v>
      </c>
      <c r="Q124" s="128">
        <f t="shared" si="60"/>
        <v>5</v>
      </c>
    </row>
    <row r="125" spans="1:17" x14ac:dyDescent="0.25">
      <c r="A125" s="85">
        <v>7</v>
      </c>
      <c r="B125" s="19" t="s">
        <v>24</v>
      </c>
      <c r="C125" s="16">
        <v>0</v>
      </c>
      <c r="D125" s="16">
        <v>0</v>
      </c>
      <c r="E125" s="16">
        <v>0</v>
      </c>
      <c r="F125" s="59">
        <f>'ubi jalar'!C15</f>
        <v>0</v>
      </c>
      <c r="G125" s="59">
        <f>'ubi jalar'!D15</f>
        <v>0</v>
      </c>
      <c r="H125" s="155">
        <f>'ubi jalar'!E15</f>
        <v>0</v>
      </c>
      <c r="I125" s="125">
        <f t="shared" si="58"/>
        <v>0</v>
      </c>
      <c r="J125" s="223">
        <f>'ubi kayu'!F15</f>
        <v>0</v>
      </c>
      <c r="K125" s="132">
        <f>'ubi kayu'!G15</f>
        <v>0</v>
      </c>
      <c r="L125" s="132">
        <f>'ubi kayu'!H15</f>
        <v>0</v>
      </c>
      <c r="M125" s="132">
        <f>'ubi kayu'!I15</f>
        <v>0</v>
      </c>
      <c r="N125" s="132">
        <f>'ubi kayu'!J15</f>
        <v>0</v>
      </c>
      <c r="O125" s="157">
        <f>'ubi kayu'!K15</f>
        <v>0</v>
      </c>
      <c r="P125" s="125">
        <f t="shared" si="59"/>
        <v>0</v>
      </c>
      <c r="Q125" s="128">
        <f t="shared" si="60"/>
        <v>0</v>
      </c>
    </row>
    <row r="126" spans="1:17" ht="15.75" thickBot="1" x14ac:dyDescent="0.3">
      <c r="A126" s="86">
        <v>8</v>
      </c>
      <c r="B126" s="15" t="s">
        <v>25</v>
      </c>
      <c r="C126" s="54">
        <v>0</v>
      </c>
      <c r="D126" s="54">
        <v>0</v>
      </c>
      <c r="E126" s="54">
        <v>0</v>
      </c>
      <c r="F126" s="137">
        <f>'ubi jalar'!C16</f>
        <v>0</v>
      </c>
      <c r="G126" s="137">
        <f>'ubi jalar'!D16</f>
        <v>0</v>
      </c>
      <c r="H126" s="137">
        <f>'ubi jalar'!E16</f>
        <v>0</v>
      </c>
      <c r="I126" s="126">
        <f t="shared" si="58"/>
        <v>0</v>
      </c>
      <c r="J126" s="232">
        <f>'ubi kayu'!F16</f>
        <v>1</v>
      </c>
      <c r="K126" s="232">
        <f>'ubi kayu'!G16</f>
        <v>0</v>
      </c>
      <c r="L126" s="232">
        <f>'ubi kayu'!H16</f>
        <v>0</v>
      </c>
      <c r="M126" s="232">
        <f>'ubi kayu'!I16</f>
        <v>1</v>
      </c>
      <c r="N126" s="232">
        <f>'ubi kayu'!J16</f>
        <v>1</v>
      </c>
      <c r="O126" s="232">
        <f>'ubi kayu'!K16</f>
        <v>1</v>
      </c>
      <c r="P126" s="126">
        <f>SUM(J126:O126)</f>
        <v>4</v>
      </c>
      <c r="Q126" s="129">
        <f t="shared" si="60"/>
        <v>4</v>
      </c>
    </row>
    <row r="127" spans="1:17" ht="16.5" thickTop="1" thickBot="1" x14ac:dyDescent="0.3">
      <c r="A127" s="339" t="s">
        <v>26</v>
      </c>
      <c r="B127" s="340"/>
      <c r="C127" s="112">
        <f t="shared" ref="C127:H127" si="61">SUM(C119:C126)</f>
        <v>1</v>
      </c>
      <c r="D127" s="112">
        <f t="shared" si="61"/>
        <v>2</v>
      </c>
      <c r="E127" s="112">
        <f t="shared" si="61"/>
        <v>6</v>
      </c>
      <c r="F127" s="112">
        <f t="shared" si="61"/>
        <v>4</v>
      </c>
      <c r="G127" s="112">
        <f t="shared" si="61"/>
        <v>4</v>
      </c>
      <c r="H127" s="121">
        <f t="shared" si="61"/>
        <v>4</v>
      </c>
      <c r="I127" s="123">
        <f>SUM(I119:I126)</f>
        <v>21</v>
      </c>
      <c r="J127" s="133">
        <f t="shared" ref="J127:O127" si="62">SUM(J119:J126)</f>
        <v>12</v>
      </c>
      <c r="K127" s="112">
        <f t="shared" si="62"/>
        <v>0</v>
      </c>
      <c r="L127" s="112">
        <f t="shared" si="62"/>
        <v>12</v>
      </c>
      <c r="M127" s="112">
        <f t="shared" si="62"/>
        <v>1</v>
      </c>
      <c r="N127" s="112">
        <f t="shared" si="62"/>
        <v>1</v>
      </c>
      <c r="O127" s="121">
        <f t="shared" si="62"/>
        <v>1</v>
      </c>
      <c r="P127" s="123">
        <f>SUM(P119:P126)</f>
        <v>27</v>
      </c>
      <c r="Q127" s="130">
        <f>SUM(Q119:Q126)</f>
        <v>48</v>
      </c>
    </row>
    <row r="129" spans="1:17" ht="15.75" x14ac:dyDescent="0.25">
      <c r="A129" s="341" t="s">
        <v>155</v>
      </c>
      <c r="B129" s="341"/>
      <c r="C129" s="341"/>
      <c r="D129" s="341"/>
      <c r="E129" s="341"/>
      <c r="F129" s="341"/>
      <c r="G129" s="341"/>
      <c r="H129" s="341"/>
      <c r="I129" s="341"/>
      <c r="J129" s="341"/>
      <c r="K129" s="341"/>
      <c r="L129" s="341"/>
      <c r="M129" s="341"/>
      <c r="N129" s="341"/>
      <c r="O129" s="341"/>
      <c r="P129" s="341"/>
      <c r="Q129" s="341"/>
    </row>
    <row r="130" spans="1:17" ht="15.75" x14ac:dyDescent="0.25">
      <c r="A130" s="341" t="s">
        <v>81</v>
      </c>
      <c r="B130" s="341"/>
      <c r="C130" s="341"/>
      <c r="D130" s="341"/>
      <c r="E130" s="341"/>
      <c r="F130" s="341"/>
      <c r="G130" s="341"/>
      <c r="H130" s="341"/>
      <c r="I130" s="341"/>
      <c r="J130" s="341"/>
      <c r="K130" s="341"/>
      <c r="L130" s="341"/>
      <c r="M130" s="341"/>
      <c r="N130" s="341"/>
      <c r="O130" s="341"/>
      <c r="P130" s="341"/>
      <c r="Q130" s="341"/>
    </row>
    <row r="131" spans="1:17" ht="15.75" thickBot="1" x14ac:dyDescent="0.3">
      <c r="Q131" s="75" t="s">
        <v>1</v>
      </c>
    </row>
    <row r="132" spans="1:17" x14ac:dyDescent="0.25">
      <c r="A132" s="334" t="s">
        <v>2</v>
      </c>
      <c r="B132" s="336" t="s">
        <v>3</v>
      </c>
      <c r="C132" s="342" t="s">
        <v>183</v>
      </c>
      <c r="D132" s="343"/>
      <c r="E132" s="343"/>
      <c r="F132" s="343"/>
      <c r="G132" s="343"/>
      <c r="H132" s="344"/>
      <c r="I132" s="345" t="s">
        <v>82</v>
      </c>
      <c r="J132" s="347">
        <v>2020</v>
      </c>
      <c r="K132" s="343"/>
      <c r="L132" s="343"/>
      <c r="M132" s="343"/>
      <c r="N132" s="343"/>
      <c r="O132" s="344"/>
      <c r="P132" s="345" t="s">
        <v>83</v>
      </c>
      <c r="Q132" s="348" t="s">
        <v>5</v>
      </c>
    </row>
    <row r="133" spans="1:17" x14ac:dyDescent="0.25">
      <c r="A133" s="335"/>
      <c r="B133" s="324"/>
      <c r="C133" s="300" t="s">
        <v>15</v>
      </c>
      <c r="D133" s="300" t="s">
        <v>16</v>
      </c>
      <c r="E133" s="300" t="s">
        <v>17</v>
      </c>
      <c r="F133" s="300" t="s">
        <v>6</v>
      </c>
      <c r="G133" s="300" t="s">
        <v>76</v>
      </c>
      <c r="H133" s="119" t="s">
        <v>77</v>
      </c>
      <c r="I133" s="346"/>
      <c r="J133" s="109" t="s">
        <v>78</v>
      </c>
      <c r="K133" s="300" t="s">
        <v>10</v>
      </c>
      <c r="L133" s="300" t="s">
        <v>11</v>
      </c>
      <c r="M133" s="300" t="s">
        <v>12</v>
      </c>
      <c r="N133" s="300" t="s">
        <v>79</v>
      </c>
      <c r="O133" s="119" t="s">
        <v>80</v>
      </c>
      <c r="P133" s="346"/>
      <c r="Q133" s="349"/>
    </row>
    <row r="134" spans="1:17" ht="15.75" thickBot="1" x14ac:dyDescent="0.3">
      <c r="A134" s="111">
        <v>1</v>
      </c>
      <c r="B134" s="5">
        <v>2</v>
      </c>
      <c r="C134" s="5">
        <v>3</v>
      </c>
      <c r="D134" s="5">
        <v>4</v>
      </c>
      <c r="E134" s="5">
        <v>5</v>
      </c>
      <c r="F134" s="5">
        <v>6</v>
      </c>
      <c r="G134" s="5">
        <v>7</v>
      </c>
      <c r="H134" s="120">
        <v>8</v>
      </c>
      <c r="I134" s="122">
        <v>9</v>
      </c>
      <c r="J134" s="110">
        <v>10</v>
      </c>
      <c r="K134" s="5">
        <v>11</v>
      </c>
      <c r="L134" s="5">
        <v>12</v>
      </c>
      <c r="M134" s="5">
        <v>13</v>
      </c>
      <c r="N134" s="5">
        <v>14</v>
      </c>
      <c r="O134" s="120">
        <v>15</v>
      </c>
      <c r="P134" s="122">
        <v>16</v>
      </c>
      <c r="Q134" s="131">
        <v>17</v>
      </c>
    </row>
    <row r="135" spans="1:17" ht="15.75" thickTop="1" x14ac:dyDescent="0.25">
      <c r="A135" s="83">
        <v>1</v>
      </c>
      <c r="B135" s="7" t="s">
        <v>18</v>
      </c>
      <c r="C135" s="67">
        <v>0</v>
      </c>
      <c r="D135" s="28">
        <v>0</v>
      </c>
      <c r="E135" s="67">
        <v>0</v>
      </c>
      <c r="F135" s="136">
        <f>'kc ijo'!C9</f>
        <v>1</v>
      </c>
      <c r="G135" s="136">
        <f>'kc ijo'!D9</f>
        <v>2</v>
      </c>
      <c r="H135" s="136">
        <f>'kc ijo'!E9</f>
        <v>3</v>
      </c>
      <c r="I135" s="124">
        <f>SUM(C135:H135)</f>
        <v>6</v>
      </c>
      <c r="J135" s="156">
        <f>'kc ijo'!F9</f>
        <v>0</v>
      </c>
      <c r="K135" s="156">
        <f>'kc ijo'!G9</f>
        <v>0</v>
      </c>
      <c r="L135" s="156">
        <f>'kc ijo'!H9</f>
        <v>1</v>
      </c>
      <c r="M135" s="156">
        <f>'kc ijo'!I9</f>
        <v>0</v>
      </c>
      <c r="N135" s="156">
        <f>'kc ijo'!J9</f>
        <v>0</v>
      </c>
      <c r="O135" s="156">
        <f>'kc ijo'!K9</f>
        <v>0</v>
      </c>
      <c r="P135" s="124">
        <f>SUM(J135:O135)</f>
        <v>1</v>
      </c>
      <c r="Q135" s="127">
        <f>SUM(I135,P135)</f>
        <v>7</v>
      </c>
    </row>
    <row r="136" spans="1:17" x14ac:dyDescent="0.25">
      <c r="A136" s="84">
        <v>2</v>
      </c>
      <c r="B136" s="12" t="s">
        <v>19</v>
      </c>
      <c r="C136" s="48">
        <v>0</v>
      </c>
      <c r="D136" s="16">
        <v>0</v>
      </c>
      <c r="E136" s="48">
        <v>0</v>
      </c>
      <c r="F136" s="59">
        <f>'kc ijo'!C10</f>
        <v>0</v>
      </c>
      <c r="G136" s="59">
        <f>'kc ijo'!D10</f>
        <v>0</v>
      </c>
      <c r="H136" s="155">
        <f>'kc ijo'!E10</f>
        <v>0</v>
      </c>
      <c r="I136" s="125">
        <f t="shared" ref="I136:I142" si="63">SUM(C136:H136)</f>
        <v>0</v>
      </c>
      <c r="J136" s="223">
        <f>'kc ijo'!F10</f>
        <v>0</v>
      </c>
      <c r="K136" s="132">
        <f>'kc ijo'!G10</f>
        <v>0</v>
      </c>
      <c r="L136" s="132">
        <f>'kc ijo'!H10</f>
        <v>0</v>
      </c>
      <c r="M136" s="132">
        <f>'kc ijo'!I10</f>
        <v>0</v>
      </c>
      <c r="N136" s="132">
        <f>'kc ijo'!J10</f>
        <v>0</v>
      </c>
      <c r="O136" s="157">
        <f>'kc ijo'!K10</f>
        <v>0</v>
      </c>
      <c r="P136" s="125">
        <f t="shared" ref="P136:P141" si="64">SUM(J136:O136)</f>
        <v>0</v>
      </c>
      <c r="Q136" s="128">
        <f t="shared" ref="Q136:Q142" si="65">SUM(I136,P136)</f>
        <v>0</v>
      </c>
    </row>
    <row r="137" spans="1:17" x14ac:dyDescent="0.25">
      <c r="A137" s="84">
        <v>3</v>
      </c>
      <c r="B137" s="7" t="s">
        <v>20</v>
      </c>
      <c r="C137" s="16">
        <v>0</v>
      </c>
      <c r="D137" s="16">
        <v>0</v>
      </c>
      <c r="E137" s="16">
        <v>0</v>
      </c>
      <c r="F137" s="59">
        <f>'kc ijo'!C11</f>
        <v>0</v>
      </c>
      <c r="G137" s="59">
        <f>'kc ijo'!D11</f>
        <v>0</v>
      </c>
      <c r="H137" s="155">
        <f>'kc ijo'!E11</f>
        <v>0</v>
      </c>
      <c r="I137" s="125">
        <f t="shared" si="63"/>
        <v>0</v>
      </c>
      <c r="J137" s="223">
        <f>'kc ijo'!F11</f>
        <v>0</v>
      </c>
      <c r="K137" s="132">
        <f>'kc ijo'!G11</f>
        <v>0</v>
      </c>
      <c r="L137" s="132">
        <f>'kc ijo'!H11</f>
        <v>0</v>
      </c>
      <c r="M137" s="132">
        <f>'kc ijo'!I11</f>
        <v>0</v>
      </c>
      <c r="N137" s="132">
        <f>'kc ijo'!J11</f>
        <v>0</v>
      </c>
      <c r="O137" s="157">
        <f>'kc ijo'!K11</f>
        <v>0</v>
      </c>
      <c r="P137" s="125">
        <f t="shared" si="64"/>
        <v>0</v>
      </c>
      <c r="Q137" s="128">
        <f t="shared" si="65"/>
        <v>0</v>
      </c>
    </row>
    <row r="138" spans="1:17" x14ac:dyDescent="0.25">
      <c r="A138" s="85">
        <v>4</v>
      </c>
      <c r="B138" s="15" t="s">
        <v>21</v>
      </c>
      <c r="C138" s="16">
        <v>2</v>
      </c>
      <c r="D138" s="16">
        <v>0</v>
      </c>
      <c r="E138" s="16">
        <v>0</v>
      </c>
      <c r="F138" s="59">
        <f>'kc ijo'!C12</f>
        <v>0</v>
      </c>
      <c r="G138" s="59">
        <f>'kc ijo'!D12</f>
        <v>15</v>
      </c>
      <c r="H138" s="155">
        <f>'kc ijo'!E12</f>
        <v>0</v>
      </c>
      <c r="I138" s="125">
        <f t="shared" si="63"/>
        <v>17</v>
      </c>
      <c r="J138" s="223">
        <f>'kc ijo'!F12</f>
        <v>0</v>
      </c>
      <c r="K138" s="132">
        <f>'kc ijo'!G12</f>
        <v>0</v>
      </c>
      <c r="L138" s="132">
        <f>'kc ijo'!H12</f>
        <v>5</v>
      </c>
      <c r="M138" s="132">
        <f>'kc ijo'!I12</f>
        <v>0</v>
      </c>
      <c r="N138" s="132">
        <f>'kc ijo'!J12</f>
        <v>15</v>
      </c>
      <c r="O138" s="157">
        <f>'kc ijo'!K12</f>
        <v>0</v>
      </c>
      <c r="P138" s="125">
        <f t="shared" si="64"/>
        <v>20</v>
      </c>
      <c r="Q138" s="128">
        <f t="shared" si="65"/>
        <v>37</v>
      </c>
    </row>
    <row r="139" spans="1:17" x14ac:dyDescent="0.25">
      <c r="A139" s="85">
        <v>5</v>
      </c>
      <c r="B139" s="19" t="s">
        <v>22</v>
      </c>
      <c r="C139" s="16">
        <v>0</v>
      </c>
      <c r="D139" s="16">
        <v>0</v>
      </c>
      <c r="E139" s="16">
        <v>0</v>
      </c>
      <c r="F139" s="59">
        <f>'kc ijo'!C13</f>
        <v>0</v>
      </c>
      <c r="G139" s="59">
        <f>'kc ijo'!D13</f>
        <v>0</v>
      </c>
      <c r="H139" s="155">
        <f>'kc ijo'!E13</f>
        <v>0</v>
      </c>
      <c r="I139" s="125">
        <f t="shared" si="63"/>
        <v>0</v>
      </c>
      <c r="J139" s="223">
        <f>'kc ijo'!F13</f>
        <v>0</v>
      </c>
      <c r="K139" s="132">
        <f>'kc ijo'!G13</f>
        <v>0</v>
      </c>
      <c r="L139" s="132">
        <f>'kc ijo'!H13</f>
        <v>0</v>
      </c>
      <c r="M139" s="132">
        <f>'kc ijo'!I13</f>
        <v>0</v>
      </c>
      <c r="N139" s="132">
        <f>'kc ijo'!J13</f>
        <v>0</v>
      </c>
      <c r="O139" s="157">
        <f>'kc ijo'!K13</f>
        <v>0</v>
      </c>
      <c r="P139" s="125">
        <f t="shared" si="64"/>
        <v>0</v>
      </c>
      <c r="Q139" s="128">
        <f t="shared" si="65"/>
        <v>0</v>
      </c>
    </row>
    <row r="140" spans="1:17" x14ac:dyDescent="0.25">
      <c r="A140" s="85">
        <v>6</v>
      </c>
      <c r="B140" s="19" t="s">
        <v>23</v>
      </c>
      <c r="C140" s="16">
        <v>0</v>
      </c>
      <c r="D140" s="16">
        <v>0</v>
      </c>
      <c r="E140" s="16">
        <v>0</v>
      </c>
      <c r="F140" s="59">
        <f>'kc ijo'!C14</f>
        <v>0</v>
      </c>
      <c r="G140" s="59">
        <f>'kc ijo'!D14</f>
        <v>0</v>
      </c>
      <c r="H140" s="155">
        <f>'kc ijo'!E14</f>
        <v>0</v>
      </c>
      <c r="I140" s="125">
        <f t="shared" si="63"/>
        <v>0</v>
      </c>
      <c r="J140" s="223">
        <f>'kc ijo'!F14</f>
        <v>0</v>
      </c>
      <c r="K140" s="132">
        <f>'kc ijo'!G14</f>
        <v>0</v>
      </c>
      <c r="L140" s="132">
        <f>'kc ijo'!H14</f>
        <v>0</v>
      </c>
      <c r="M140" s="132">
        <f>'kc ijo'!I14</f>
        <v>0</v>
      </c>
      <c r="N140" s="132">
        <f>'kc ijo'!J14</f>
        <v>0</v>
      </c>
      <c r="O140" s="157">
        <f>'kc ijo'!K14</f>
        <v>0</v>
      </c>
      <c r="P140" s="125">
        <f t="shared" si="64"/>
        <v>0</v>
      </c>
      <c r="Q140" s="128">
        <f t="shared" si="65"/>
        <v>0</v>
      </c>
    </row>
    <row r="141" spans="1:17" x14ac:dyDescent="0.25">
      <c r="A141" s="85">
        <v>7</v>
      </c>
      <c r="B141" s="19" t="s">
        <v>24</v>
      </c>
      <c r="C141" s="16">
        <v>0</v>
      </c>
      <c r="D141" s="16">
        <v>0</v>
      </c>
      <c r="E141" s="16">
        <v>0</v>
      </c>
      <c r="F141" s="59">
        <f>'kc ijo'!C15</f>
        <v>0</v>
      </c>
      <c r="G141" s="59">
        <f>'kc ijo'!D15</f>
        <v>0</v>
      </c>
      <c r="H141" s="155">
        <f>'kc ijo'!E15</f>
        <v>0</v>
      </c>
      <c r="I141" s="125">
        <f t="shared" si="63"/>
        <v>0</v>
      </c>
      <c r="J141" s="223">
        <f>'kc ijo'!F15</f>
        <v>0</v>
      </c>
      <c r="K141" s="132">
        <f>'kc ijo'!G15</f>
        <v>0</v>
      </c>
      <c r="L141" s="132">
        <f>'kc ijo'!H15</f>
        <v>0</v>
      </c>
      <c r="M141" s="132">
        <f>'kc ijo'!I15</f>
        <v>0</v>
      </c>
      <c r="N141" s="132">
        <f>'kc ijo'!J15</f>
        <v>0</v>
      </c>
      <c r="O141" s="157">
        <f>'kc ijo'!K15</f>
        <v>0</v>
      </c>
      <c r="P141" s="125">
        <f t="shared" si="64"/>
        <v>0</v>
      </c>
      <c r="Q141" s="128">
        <f t="shared" si="65"/>
        <v>0</v>
      </c>
    </row>
    <row r="142" spans="1:17" ht="15.75" thickBot="1" x14ac:dyDescent="0.3">
      <c r="A142" s="86">
        <v>8</v>
      </c>
      <c r="B142" s="15" t="s">
        <v>25</v>
      </c>
      <c r="C142" s="17">
        <v>0</v>
      </c>
      <c r="D142" s="17">
        <v>0</v>
      </c>
      <c r="E142" s="17">
        <v>0</v>
      </c>
      <c r="F142" s="137">
        <f>'kc ijo'!C16</f>
        <v>0</v>
      </c>
      <c r="G142" s="137">
        <f>'kc ijo'!D16</f>
        <v>0</v>
      </c>
      <c r="H142" s="137">
        <f>'kc ijo'!E16</f>
        <v>0</v>
      </c>
      <c r="I142" s="126">
        <f t="shared" si="63"/>
        <v>0</v>
      </c>
      <c r="J142" s="232">
        <f>'kc ijo'!F16</f>
        <v>1</v>
      </c>
      <c r="K142" s="232">
        <f>'kc ijo'!G16</f>
        <v>0</v>
      </c>
      <c r="L142" s="232">
        <f>'kc ijo'!H16</f>
        <v>0</v>
      </c>
      <c r="M142" s="232">
        <f>'kc ijo'!I16</f>
        <v>0</v>
      </c>
      <c r="N142" s="232">
        <f>'kc ijo'!J16</f>
        <v>0</v>
      </c>
      <c r="O142" s="232">
        <f>'kc ijo'!K16</f>
        <v>0</v>
      </c>
      <c r="P142" s="126">
        <f>SUM(J142:O142)</f>
        <v>1</v>
      </c>
      <c r="Q142" s="129">
        <f t="shared" si="65"/>
        <v>1</v>
      </c>
    </row>
    <row r="143" spans="1:17" ht="16.5" thickTop="1" thickBot="1" x14ac:dyDescent="0.3">
      <c r="A143" s="339" t="s">
        <v>26</v>
      </c>
      <c r="B143" s="340"/>
      <c r="C143" s="112">
        <f t="shared" ref="C143:H143" si="66">SUM(C135:C142)</f>
        <v>2</v>
      </c>
      <c r="D143" s="112">
        <f t="shared" si="66"/>
        <v>0</v>
      </c>
      <c r="E143" s="112">
        <f t="shared" si="66"/>
        <v>0</v>
      </c>
      <c r="F143" s="112">
        <f t="shared" si="66"/>
        <v>1</v>
      </c>
      <c r="G143" s="112">
        <f t="shared" si="66"/>
        <v>17</v>
      </c>
      <c r="H143" s="121">
        <f t="shared" si="66"/>
        <v>3</v>
      </c>
      <c r="I143" s="123">
        <f>SUM(I135:I142)</f>
        <v>23</v>
      </c>
      <c r="J143" s="133">
        <f t="shared" ref="J143:O143" si="67">SUM(J135:J142)</f>
        <v>1</v>
      </c>
      <c r="K143" s="112">
        <f t="shared" si="67"/>
        <v>0</v>
      </c>
      <c r="L143" s="112">
        <f t="shared" si="67"/>
        <v>6</v>
      </c>
      <c r="M143" s="112">
        <f t="shared" si="67"/>
        <v>0</v>
      </c>
      <c r="N143" s="112">
        <f t="shared" si="67"/>
        <v>15</v>
      </c>
      <c r="O143" s="121">
        <f t="shared" si="67"/>
        <v>0</v>
      </c>
      <c r="P143" s="123">
        <f>SUM(P135:P142)</f>
        <v>22</v>
      </c>
      <c r="Q143" s="130">
        <f>SUM(Q135:Q142)</f>
        <v>45</v>
      </c>
    </row>
    <row r="145" spans="1:17" ht="15.75" x14ac:dyDescent="0.25">
      <c r="A145" s="341" t="s">
        <v>156</v>
      </c>
      <c r="B145" s="341"/>
      <c r="C145" s="341"/>
      <c r="D145" s="341"/>
      <c r="E145" s="341"/>
      <c r="F145" s="341"/>
      <c r="G145" s="341"/>
      <c r="H145" s="341"/>
      <c r="I145" s="341"/>
      <c r="J145" s="341"/>
      <c r="K145" s="341"/>
      <c r="L145" s="341"/>
      <c r="M145" s="341"/>
      <c r="N145" s="341"/>
      <c r="O145" s="341"/>
      <c r="P145" s="341"/>
      <c r="Q145" s="341"/>
    </row>
    <row r="146" spans="1:17" ht="15.75" x14ac:dyDescent="0.25">
      <c r="A146" s="341" t="s">
        <v>81</v>
      </c>
      <c r="B146" s="341"/>
      <c r="C146" s="341"/>
      <c r="D146" s="341"/>
      <c r="E146" s="341"/>
      <c r="F146" s="341"/>
      <c r="G146" s="341"/>
      <c r="H146" s="341"/>
      <c r="I146" s="341"/>
      <c r="J146" s="341"/>
      <c r="K146" s="341"/>
      <c r="L146" s="341"/>
      <c r="M146" s="341"/>
      <c r="N146" s="341"/>
      <c r="O146" s="341"/>
      <c r="P146" s="341"/>
      <c r="Q146" s="341"/>
    </row>
    <row r="147" spans="1:17" ht="15.75" thickBot="1" x14ac:dyDescent="0.3">
      <c r="Q147" s="75" t="s">
        <v>1</v>
      </c>
    </row>
    <row r="148" spans="1:17" x14ac:dyDescent="0.25">
      <c r="A148" s="334" t="s">
        <v>2</v>
      </c>
      <c r="B148" s="336" t="s">
        <v>3</v>
      </c>
      <c r="C148" s="342" t="s">
        <v>183</v>
      </c>
      <c r="D148" s="343"/>
      <c r="E148" s="343"/>
      <c r="F148" s="343"/>
      <c r="G148" s="343"/>
      <c r="H148" s="344"/>
      <c r="I148" s="345" t="s">
        <v>82</v>
      </c>
      <c r="J148" s="347">
        <v>2020</v>
      </c>
      <c r="K148" s="343"/>
      <c r="L148" s="343"/>
      <c r="M148" s="343"/>
      <c r="N148" s="343"/>
      <c r="O148" s="344"/>
      <c r="P148" s="345" t="s">
        <v>83</v>
      </c>
      <c r="Q148" s="348" t="s">
        <v>5</v>
      </c>
    </row>
    <row r="149" spans="1:17" x14ac:dyDescent="0.25">
      <c r="A149" s="335"/>
      <c r="B149" s="324"/>
      <c r="C149" s="300" t="s">
        <v>15</v>
      </c>
      <c r="D149" s="300" t="s">
        <v>16</v>
      </c>
      <c r="E149" s="300" t="s">
        <v>17</v>
      </c>
      <c r="F149" s="300" t="s">
        <v>6</v>
      </c>
      <c r="G149" s="300" t="s">
        <v>76</v>
      </c>
      <c r="H149" s="119" t="s">
        <v>77</v>
      </c>
      <c r="I149" s="346"/>
      <c r="J149" s="109" t="s">
        <v>78</v>
      </c>
      <c r="K149" s="300" t="s">
        <v>10</v>
      </c>
      <c r="L149" s="300" t="s">
        <v>11</v>
      </c>
      <c r="M149" s="300" t="s">
        <v>12</v>
      </c>
      <c r="N149" s="300" t="s">
        <v>79</v>
      </c>
      <c r="O149" s="119" t="s">
        <v>80</v>
      </c>
      <c r="P149" s="346"/>
      <c r="Q149" s="349"/>
    </row>
    <row r="150" spans="1:17" ht="15.75" thickBot="1" x14ac:dyDescent="0.3">
      <c r="A150" s="111">
        <v>1</v>
      </c>
      <c r="B150" s="5">
        <v>2</v>
      </c>
      <c r="C150" s="5">
        <v>3</v>
      </c>
      <c r="D150" s="5">
        <v>4</v>
      </c>
      <c r="E150" s="5">
        <v>5</v>
      </c>
      <c r="F150" s="5">
        <v>6</v>
      </c>
      <c r="G150" s="5">
        <v>7</v>
      </c>
      <c r="H150" s="120">
        <v>8</v>
      </c>
      <c r="I150" s="122">
        <v>9</v>
      </c>
      <c r="J150" s="110">
        <v>10</v>
      </c>
      <c r="K150" s="5">
        <v>11</v>
      </c>
      <c r="L150" s="5">
        <v>12</v>
      </c>
      <c r="M150" s="5">
        <v>13</v>
      </c>
      <c r="N150" s="5">
        <v>14</v>
      </c>
      <c r="O150" s="120">
        <v>15</v>
      </c>
      <c r="P150" s="122">
        <v>16</v>
      </c>
      <c r="Q150" s="131">
        <v>17</v>
      </c>
    </row>
    <row r="151" spans="1:17" ht="15.75" thickTop="1" x14ac:dyDescent="0.25">
      <c r="A151" s="83">
        <v>1</v>
      </c>
      <c r="B151" s="7" t="s">
        <v>18</v>
      </c>
      <c r="C151" s="136">
        <v>0</v>
      </c>
      <c r="D151" s="136">
        <v>9</v>
      </c>
      <c r="E151" s="136">
        <v>0</v>
      </c>
      <c r="F151" s="136">
        <f>'padi sawah'!C42</f>
        <v>0</v>
      </c>
      <c r="G151" s="136">
        <f>'padi sawah'!D42</f>
        <v>0</v>
      </c>
      <c r="H151" s="136">
        <f>'padi sawah'!E42</f>
        <v>0</v>
      </c>
      <c r="I151" s="124">
        <f>SUM(C151:H151)</f>
        <v>9</v>
      </c>
      <c r="J151" s="156">
        <f>'padi sawah'!F42</f>
        <v>145</v>
      </c>
      <c r="K151" s="156">
        <f>'padi sawah'!G42</f>
        <v>65</v>
      </c>
      <c r="L151" s="156">
        <f>'padi sawah'!H42</f>
        <v>0</v>
      </c>
      <c r="M151" s="156">
        <f>'padi sawah'!I42</f>
        <v>0</v>
      </c>
      <c r="N151" s="156">
        <f>'padi sawah'!J42</f>
        <v>20</v>
      </c>
      <c r="O151" s="156">
        <f>'padi sawah'!K42</f>
        <v>45</v>
      </c>
      <c r="P151" s="124">
        <f>SUM(J151:O151)</f>
        <v>275</v>
      </c>
      <c r="Q151" s="127">
        <f>SUM(I151,P151)</f>
        <v>284</v>
      </c>
    </row>
    <row r="152" spans="1:17" x14ac:dyDescent="0.25">
      <c r="A152" s="84">
        <v>2</v>
      </c>
      <c r="B152" s="12" t="s">
        <v>19</v>
      </c>
      <c r="C152" s="59">
        <v>60</v>
      </c>
      <c r="D152" s="59">
        <v>1</v>
      </c>
      <c r="E152" s="59">
        <v>4</v>
      </c>
      <c r="F152" s="59">
        <f>'padi sawah'!C43</f>
        <v>2</v>
      </c>
      <c r="G152" s="59">
        <f>'padi sawah'!D43</f>
        <v>0</v>
      </c>
      <c r="H152" s="155">
        <f>'padi sawah'!E43</f>
        <v>14</v>
      </c>
      <c r="I152" s="125">
        <f t="shared" ref="I152:I158" si="68">SUM(C152:H152)</f>
        <v>81</v>
      </c>
      <c r="J152" s="223">
        <f>'padi sawah'!F43</f>
        <v>102</v>
      </c>
      <c r="K152" s="132">
        <f>'padi sawah'!G43</f>
        <v>81</v>
      </c>
      <c r="L152" s="132">
        <f>'padi sawah'!H43</f>
        <v>0</v>
      </c>
      <c r="M152" s="132">
        <f>'padi sawah'!I43</f>
        <v>5</v>
      </c>
      <c r="N152" s="132">
        <f>'padi sawah'!J43</f>
        <v>19</v>
      </c>
      <c r="O152" s="157">
        <f>'padi sawah'!K43</f>
        <v>78</v>
      </c>
      <c r="P152" s="125">
        <f t="shared" ref="P152:P157" si="69">SUM(J152:O152)</f>
        <v>285</v>
      </c>
      <c r="Q152" s="128">
        <f t="shared" ref="Q152:Q158" si="70">SUM(I152,P152)</f>
        <v>366</v>
      </c>
    </row>
    <row r="153" spans="1:17" x14ac:dyDescent="0.25">
      <c r="A153" s="84">
        <v>3</v>
      </c>
      <c r="B153" s="7" t="s">
        <v>20</v>
      </c>
      <c r="C153" s="59">
        <v>0</v>
      </c>
      <c r="D153" s="59">
        <v>0</v>
      </c>
      <c r="E153" s="59">
        <v>0</v>
      </c>
      <c r="F153" s="59">
        <f>'padi sawah'!C44</f>
        <v>0</v>
      </c>
      <c r="G153" s="59">
        <f>'padi sawah'!D44+G185</f>
        <v>0</v>
      </c>
      <c r="H153" s="59">
        <f>'padi sawah'!E44+H185</f>
        <v>0</v>
      </c>
      <c r="I153" s="125">
        <f t="shared" si="68"/>
        <v>0</v>
      </c>
      <c r="J153" s="223">
        <f>'padi sawah'!F44</f>
        <v>25</v>
      </c>
      <c r="K153" s="132">
        <f>'padi sawah'!G44</f>
        <v>0</v>
      </c>
      <c r="L153" s="132">
        <f>'padi sawah'!H44</f>
        <v>0</v>
      </c>
      <c r="M153" s="132">
        <f>'padi sawah'!I44</f>
        <v>0</v>
      </c>
      <c r="N153" s="132">
        <f>'padi sawah'!J44</f>
        <v>10</v>
      </c>
      <c r="O153" s="157">
        <f>'padi sawah'!K44</f>
        <v>0</v>
      </c>
      <c r="P153" s="125">
        <f t="shared" si="69"/>
        <v>35</v>
      </c>
      <c r="Q153" s="128">
        <f t="shared" si="70"/>
        <v>35</v>
      </c>
    </row>
    <row r="154" spans="1:17" x14ac:dyDescent="0.25">
      <c r="A154" s="85">
        <v>4</v>
      </c>
      <c r="B154" s="15" t="s">
        <v>21</v>
      </c>
      <c r="C154" s="59">
        <v>0</v>
      </c>
      <c r="D154" s="59">
        <v>1</v>
      </c>
      <c r="E154" s="59">
        <v>5</v>
      </c>
      <c r="F154" s="59">
        <f>'padi sawah'!C45</f>
        <v>0</v>
      </c>
      <c r="G154" s="59">
        <f>'padi sawah'!D45</f>
        <v>0</v>
      </c>
      <c r="H154" s="155">
        <f>'padi sawah'!E45</f>
        <v>0</v>
      </c>
      <c r="I154" s="125">
        <f t="shared" si="68"/>
        <v>6</v>
      </c>
      <c r="J154" s="223">
        <f>'padi sawah'!F45</f>
        <v>184</v>
      </c>
      <c r="K154" s="132">
        <f>'padi sawah'!G45</f>
        <v>0</v>
      </c>
      <c r="L154" s="132">
        <f>'padi sawah'!H45</f>
        <v>0</v>
      </c>
      <c r="M154" s="132">
        <f>'padi sawah'!I45</f>
        <v>3</v>
      </c>
      <c r="N154" s="132">
        <f>'padi sawah'!J45</f>
        <v>10</v>
      </c>
      <c r="O154" s="157">
        <f>'padi sawah'!K45</f>
        <v>5</v>
      </c>
      <c r="P154" s="125">
        <f t="shared" si="69"/>
        <v>202</v>
      </c>
      <c r="Q154" s="128">
        <f t="shared" si="70"/>
        <v>208</v>
      </c>
    </row>
    <row r="155" spans="1:17" x14ac:dyDescent="0.25">
      <c r="A155" s="85">
        <v>5</v>
      </c>
      <c r="B155" s="19" t="s">
        <v>22</v>
      </c>
      <c r="C155" s="59">
        <v>0</v>
      </c>
      <c r="D155" s="59">
        <v>0</v>
      </c>
      <c r="E155" s="59">
        <v>10</v>
      </c>
      <c r="F155" s="59">
        <f>'padi sawah'!C46</f>
        <v>0</v>
      </c>
      <c r="G155" s="59">
        <f>'padi sawah'!D46</f>
        <v>0</v>
      </c>
      <c r="H155" s="155">
        <f>'padi sawah'!E46</f>
        <v>0</v>
      </c>
      <c r="I155" s="125">
        <f t="shared" si="68"/>
        <v>10</v>
      </c>
      <c r="J155" s="223">
        <f>'padi sawah'!F46</f>
        <v>162</v>
      </c>
      <c r="K155" s="132">
        <f>'padi sawah'!G46</f>
        <v>0</v>
      </c>
      <c r="L155" s="132">
        <f>'padi sawah'!H46</f>
        <v>0</v>
      </c>
      <c r="M155" s="132">
        <f>'padi sawah'!I46</f>
        <v>0</v>
      </c>
      <c r="N155" s="132">
        <f>'padi sawah'!J46</f>
        <v>0</v>
      </c>
      <c r="O155" s="157">
        <f>'padi sawah'!K46</f>
        <v>15</v>
      </c>
      <c r="P155" s="125">
        <f t="shared" si="69"/>
        <v>177</v>
      </c>
      <c r="Q155" s="128">
        <f t="shared" si="70"/>
        <v>187</v>
      </c>
    </row>
    <row r="156" spans="1:17" x14ac:dyDescent="0.25">
      <c r="A156" s="85">
        <v>6</v>
      </c>
      <c r="B156" s="19" t="s">
        <v>23</v>
      </c>
      <c r="C156" s="59">
        <v>6</v>
      </c>
      <c r="D156" s="59">
        <v>0</v>
      </c>
      <c r="E156" s="59">
        <v>0</v>
      </c>
      <c r="F156" s="59">
        <f>'padi sawah'!C47</f>
        <v>5</v>
      </c>
      <c r="G156" s="59">
        <f>'padi sawah'!D47</f>
        <v>0</v>
      </c>
      <c r="H156" s="155">
        <f>'padi sawah'!E47</f>
        <v>0</v>
      </c>
      <c r="I156" s="125">
        <f t="shared" si="68"/>
        <v>11</v>
      </c>
      <c r="J156" s="223">
        <f>'padi sawah'!F47</f>
        <v>14</v>
      </c>
      <c r="K156" s="132">
        <f>'padi sawah'!G47</f>
        <v>36</v>
      </c>
      <c r="L156" s="132">
        <f>'padi sawah'!H47</f>
        <v>0</v>
      </c>
      <c r="M156" s="132">
        <f>'padi sawah'!I47</f>
        <v>0</v>
      </c>
      <c r="N156" s="132">
        <f>'padi sawah'!J47</f>
        <v>4</v>
      </c>
      <c r="O156" s="157">
        <f>'padi sawah'!K47</f>
        <v>7</v>
      </c>
      <c r="P156" s="125">
        <f t="shared" si="69"/>
        <v>61</v>
      </c>
      <c r="Q156" s="128">
        <f t="shared" si="70"/>
        <v>72</v>
      </c>
    </row>
    <row r="157" spans="1:17" x14ac:dyDescent="0.25">
      <c r="A157" s="85">
        <v>7</v>
      </c>
      <c r="B157" s="19" t="s">
        <v>24</v>
      </c>
      <c r="C157" s="59">
        <v>3</v>
      </c>
      <c r="D157" s="59">
        <v>0</v>
      </c>
      <c r="E157" s="59">
        <v>4</v>
      </c>
      <c r="F157" s="59">
        <f>'padi sawah'!C48</f>
        <v>0</v>
      </c>
      <c r="G157" s="59">
        <f>'padi sawah'!D48</f>
        <v>0</v>
      </c>
      <c r="H157" s="155">
        <f>'padi sawah'!E48</f>
        <v>20</v>
      </c>
      <c r="I157" s="125">
        <f t="shared" si="68"/>
        <v>27</v>
      </c>
      <c r="J157" s="223">
        <f>'padi sawah'!F48</f>
        <v>180</v>
      </c>
      <c r="K157" s="132">
        <f>'padi sawah'!G48</f>
        <v>120</v>
      </c>
      <c r="L157" s="132">
        <f>'padi sawah'!H48</f>
        <v>0</v>
      </c>
      <c r="M157" s="132">
        <f>'padi sawah'!I48</f>
        <v>0</v>
      </c>
      <c r="N157" s="132">
        <f>'padi sawah'!J48</f>
        <v>1</v>
      </c>
      <c r="O157" s="157">
        <f>'padi sawah'!K48</f>
        <v>184</v>
      </c>
      <c r="P157" s="125">
        <f t="shared" si="69"/>
        <v>485</v>
      </c>
      <c r="Q157" s="128">
        <f t="shared" si="70"/>
        <v>512</v>
      </c>
    </row>
    <row r="158" spans="1:17" ht="15.75" thickBot="1" x14ac:dyDescent="0.3">
      <c r="A158" s="86">
        <v>8</v>
      </c>
      <c r="B158" s="15" t="s">
        <v>25</v>
      </c>
      <c r="C158" s="137">
        <v>0</v>
      </c>
      <c r="D158" s="137">
        <v>48</v>
      </c>
      <c r="E158" s="137">
        <v>27</v>
      </c>
      <c r="F158" s="137">
        <f>'padi sawah'!C49</f>
        <v>19</v>
      </c>
      <c r="G158" s="137">
        <f>'padi sawah'!D49</f>
        <v>10</v>
      </c>
      <c r="H158" s="137">
        <f>'padi sawah'!E49</f>
        <v>0</v>
      </c>
      <c r="I158" s="126">
        <f t="shared" si="68"/>
        <v>104</v>
      </c>
      <c r="J158" s="232">
        <f>'padi sawah'!F49</f>
        <v>64</v>
      </c>
      <c r="K158" s="232">
        <f>'padi sawah'!G49</f>
        <v>25</v>
      </c>
      <c r="L158" s="232">
        <f>'padi sawah'!H49</f>
        <v>0</v>
      </c>
      <c r="M158" s="232">
        <f>'padi sawah'!I49</f>
        <v>47</v>
      </c>
      <c r="N158" s="232">
        <f>'padi sawah'!J49</f>
        <v>67</v>
      </c>
      <c r="O158" s="232">
        <f>'padi sawah'!K49</f>
        <v>100</v>
      </c>
      <c r="P158" s="126">
        <f>SUM(J158:O158)</f>
        <v>303</v>
      </c>
      <c r="Q158" s="129">
        <f t="shared" si="70"/>
        <v>407</v>
      </c>
    </row>
    <row r="159" spans="1:17" ht="16.5" thickTop="1" thickBot="1" x14ac:dyDescent="0.3">
      <c r="A159" s="339" t="s">
        <v>26</v>
      </c>
      <c r="B159" s="340"/>
      <c r="C159" s="112">
        <f t="shared" ref="C159:H159" si="71">SUM(C151:C158)</f>
        <v>69</v>
      </c>
      <c r="D159" s="112">
        <f t="shared" si="71"/>
        <v>59</v>
      </c>
      <c r="E159" s="112">
        <f t="shared" si="71"/>
        <v>50</v>
      </c>
      <c r="F159" s="112">
        <f t="shared" si="71"/>
        <v>26</v>
      </c>
      <c r="G159" s="112">
        <f t="shared" si="71"/>
        <v>10</v>
      </c>
      <c r="H159" s="121">
        <f t="shared" si="71"/>
        <v>34</v>
      </c>
      <c r="I159" s="123">
        <f>SUM(I151:I158)</f>
        <v>248</v>
      </c>
      <c r="J159" s="133">
        <f t="shared" ref="J159:O159" si="72">SUM(J151:J158)</f>
        <v>876</v>
      </c>
      <c r="K159" s="112">
        <f t="shared" si="72"/>
        <v>327</v>
      </c>
      <c r="L159" s="112">
        <f t="shared" si="72"/>
        <v>0</v>
      </c>
      <c r="M159" s="112">
        <f t="shared" si="72"/>
        <v>55</v>
      </c>
      <c r="N159" s="112">
        <f t="shared" si="72"/>
        <v>131</v>
      </c>
      <c r="O159" s="121">
        <f t="shared" si="72"/>
        <v>434</v>
      </c>
      <c r="P159" s="123">
        <f>SUM(P151:P158)</f>
        <v>1823</v>
      </c>
      <c r="Q159" s="130">
        <f>SUM(Q151:Q158)</f>
        <v>2071</v>
      </c>
    </row>
    <row r="161" spans="1:17" ht="15.75" x14ac:dyDescent="0.25">
      <c r="A161" s="341" t="s">
        <v>157</v>
      </c>
      <c r="B161" s="341"/>
      <c r="C161" s="341"/>
      <c r="D161" s="341"/>
      <c r="E161" s="341"/>
      <c r="F161" s="341"/>
      <c r="G161" s="341"/>
      <c r="H161" s="341"/>
      <c r="I161" s="341"/>
      <c r="J161" s="341"/>
      <c r="K161" s="341"/>
      <c r="L161" s="341"/>
      <c r="M161" s="341"/>
      <c r="N161" s="341"/>
      <c r="O161" s="341"/>
      <c r="P161" s="341"/>
      <c r="Q161" s="341"/>
    </row>
    <row r="162" spans="1:17" ht="15.75" x14ac:dyDescent="0.25">
      <c r="A162" s="341" t="s">
        <v>81</v>
      </c>
      <c r="B162" s="341"/>
      <c r="C162" s="341"/>
      <c r="D162" s="341"/>
      <c r="E162" s="341"/>
      <c r="F162" s="341"/>
      <c r="G162" s="341"/>
      <c r="H162" s="341"/>
      <c r="I162" s="341"/>
      <c r="J162" s="341"/>
      <c r="K162" s="341"/>
      <c r="L162" s="341"/>
      <c r="M162" s="341"/>
      <c r="N162" s="341"/>
      <c r="O162" s="341"/>
      <c r="P162" s="341"/>
      <c r="Q162" s="341"/>
    </row>
    <row r="163" spans="1:17" ht="15.75" thickBot="1" x14ac:dyDescent="0.3">
      <c r="Q163" s="75" t="s">
        <v>1</v>
      </c>
    </row>
    <row r="164" spans="1:17" x14ac:dyDescent="0.25">
      <c r="A164" s="334" t="s">
        <v>2</v>
      </c>
      <c r="B164" s="336" t="s">
        <v>3</v>
      </c>
      <c r="C164" s="342" t="s">
        <v>183</v>
      </c>
      <c r="D164" s="343"/>
      <c r="E164" s="343"/>
      <c r="F164" s="343"/>
      <c r="G164" s="343"/>
      <c r="H164" s="344"/>
      <c r="I164" s="345" t="s">
        <v>82</v>
      </c>
      <c r="J164" s="347">
        <v>2020</v>
      </c>
      <c r="K164" s="343"/>
      <c r="L164" s="343"/>
      <c r="M164" s="343"/>
      <c r="N164" s="343"/>
      <c r="O164" s="344"/>
      <c r="P164" s="345" t="s">
        <v>83</v>
      </c>
      <c r="Q164" s="348" t="s">
        <v>5</v>
      </c>
    </row>
    <row r="165" spans="1:17" x14ac:dyDescent="0.25">
      <c r="A165" s="335"/>
      <c r="B165" s="324"/>
      <c r="C165" s="300" t="s">
        <v>15</v>
      </c>
      <c r="D165" s="300" t="s">
        <v>16</v>
      </c>
      <c r="E165" s="300" t="s">
        <v>17</v>
      </c>
      <c r="F165" s="300" t="s">
        <v>6</v>
      </c>
      <c r="G165" s="300" t="s">
        <v>76</v>
      </c>
      <c r="H165" s="119" t="s">
        <v>77</v>
      </c>
      <c r="I165" s="346"/>
      <c r="J165" s="109" t="s">
        <v>78</v>
      </c>
      <c r="K165" s="300" t="s">
        <v>10</v>
      </c>
      <c r="L165" s="300" t="s">
        <v>11</v>
      </c>
      <c r="M165" s="300" t="s">
        <v>12</v>
      </c>
      <c r="N165" s="300" t="s">
        <v>79</v>
      </c>
      <c r="O165" s="119" t="s">
        <v>80</v>
      </c>
      <c r="P165" s="346"/>
      <c r="Q165" s="349"/>
    </row>
    <row r="166" spans="1:17" ht="15.75" thickBot="1" x14ac:dyDescent="0.3">
      <c r="A166" s="111">
        <v>1</v>
      </c>
      <c r="B166" s="5">
        <v>2</v>
      </c>
      <c r="C166" s="5">
        <v>3</v>
      </c>
      <c r="D166" s="5">
        <v>4</v>
      </c>
      <c r="E166" s="5">
        <v>5</v>
      </c>
      <c r="F166" s="5">
        <v>6</v>
      </c>
      <c r="G166" s="5">
        <v>7</v>
      </c>
      <c r="H166" s="120">
        <v>8</v>
      </c>
      <c r="I166" s="122">
        <v>9</v>
      </c>
      <c r="J166" s="110">
        <v>10</v>
      </c>
      <c r="K166" s="5">
        <v>11</v>
      </c>
      <c r="L166" s="5">
        <v>12</v>
      </c>
      <c r="M166" s="5">
        <v>13</v>
      </c>
      <c r="N166" s="5">
        <v>14</v>
      </c>
      <c r="O166" s="120">
        <v>15</v>
      </c>
      <c r="P166" s="122">
        <v>16</v>
      </c>
      <c r="Q166" s="131">
        <v>17</v>
      </c>
    </row>
    <row r="167" spans="1:17" ht="15.75" thickTop="1" x14ac:dyDescent="0.25">
      <c r="A167" s="83">
        <v>1</v>
      </c>
      <c r="B167" s="7" t="s">
        <v>18</v>
      </c>
      <c r="C167" s="58">
        <v>25</v>
      </c>
      <c r="D167" s="28">
        <v>0</v>
      </c>
      <c r="E167" s="28">
        <v>2</v>
      </c>
      <c r="F167" s="136">
        <f>'padi sawah'!C42</f>
        <v>0</v>
      </c>
      <c r="G167" s="136">
        <f>'padi sawah'!D42</f>
        <v>0</v>
      </c>
      <c r="H167" s="136">
        <f>'padi sawah'!E42</f>
        <v>0</v>
      </c>
      <c r="I167" s="124">
        <f>SUM(C167:H167)</f>
        <v>27</v>
      </c>
      <c r="J167" s="156">
        <f>'padi sawah'!F42</f>
        <v>145</v>
      </c>
      <c r="K167" s="156">
        <f>'padi sawah'!G42</f>
        <v>65</v>
      </c>
      <c r="L167" s="156">
        <f>'padi sawah'!H42</f>
        <v>0</v>
      </c>
      <c r="M167" s="156">
        <f>'padi sawah'!I42</f>
        <v>0</v>
      </c>
      <c r="N167" s="156">
        <f>'padi sawah'!J42</f>
        <v>20</v>
      </c>
      <c r="O167" s="156">
        <f>'padi sawah'!K42</f>
        <v>45</v>
      </c>
      <c r="P167" s="124">
        <f>SUM(J167:O167)</f>
        <v>275</v>
      </c>
      <c r="Q167" s="127">
        <f>SUM(I167,P167)</f>
        <v>302</v>
      </c>
    </row>
    <row r="168" spans="1:17" x14ac:dyDescent="0.25">
      <c r="A168" s="84">
        <v>2</v>
      </c>
      <c r="B168" s="12" t="s">
        <v>19</v>
      </c>
      <c r="C168" s="60">
        <v>82</v>
      </c>
      <c r="D168" s="16">
        <v>1</v>
      </c>
      <c r="E168" s="16">
        <v>0</v>
      </c>
      <c r="F168" s="59">
        <f>'padi sawah'!C43</f>
        <v>2</v>
      </c>
      <c r="G168" s="59">
        <f>'padi sawah'!D43</f>
        <v>0</v>
      </c>
      <c r="H168" s="59">
        <f>'padi sawah'!E43</f>
        <v>14</v>
      </c>
      <c r="I168" s="125">
        <f t="shared" ref="I168:I174" si="73">SUM(C168:H168)</f>
        <v>99</v>
      </c>
      <c r="J168" s="132">
        <f>'padi sawah'!F43</f>
        <v>102</v>
      </c>
      <c r="K168" s="132">
        <f>'padi sawah'!G43</f>
        <v>81</v>
      </c>
      <c r="L168" s="132">
        <f>'padi sawah'!H43</f>
        <v>0</v>
      </c>
      <c r="M168" s="132">
        <f>'padi sawah'!I43</f>
        <v>5</v>
      </c>
      <c r="N168" s="132">
        <f>'padi sawah'!J43</f>
        <v>19</v>
      </c>
      <c r="O168" s="157">
        <f>'padi sawah'!K43</f>
        <v>78</v>
      </c>
      <c r="P168" s="125">
        <f t="shared" ref="P168:P173" si="74">SUM(J168:O168)</f>
        <v>285</v>
      </c>
      <c r="Q168" s="128">
        <f t="shared" ref="Q168:Q174" si="75">SUM(I168,P168)</f>
        <v>384</v>
      </c>
    </row>
    <row r="169" spans="1:17" x14ac:dyDescent="0.25">
      <c r="A169" s="84">
        <v>3</v>
      </c>
      <c r="B169" s="7" t="s">
        <v>20</v>
      </c>
      <c r="C169" s="60">
        <v>0</v>
      </c>
      <c r="D169" s="16">
        <v>0</v>
      </c>
      <c r="E169" s="16">
        <v>0</v>
      </c>
      <c r="F169" s="59">
        <f>'padi sawah'!C44</f>
        <v>0</v>
      </c>
      <c r="G169" s="59">
        <f>'padi sawah'!D44</f>
        <v>0</v>
      </c>
      <c r="H169" s="59">
        <f>'padi sawah'!E44</f>
        <v>0</v>
      </c>
      <c r="I169" s="125">
        <f t="shared" si="73"/>
        <v>0</v>
      </c>
      <c r="J169" s="132">
        <f>'padi sawah'!F44</f>
        <v>25</v>
      </c>
      <c r="K169" s="132">
        <f>'padi sawah'!G44</f>
        <v>0</v>
      </c>
      <c r="L169" s="132">
        <f>'padi sawah'!H44</f>
        <v>0</v>
      </c>
      <c r="M169" s="132">
        <f>'padi sawah'!I44</f>
        <v>0</v>
      </c>
      <c r="N169" s="132">
        <f>'padi sawah'!J44</f>
        <v>10</v>
      </c>
      <c r="O169" s="157">
        <f>'padi sawah'!K44</f>
        <v>0</v>
      </c>
      <c r="P169" s="125">
        <f t="shared" si="74"/>
        <v>35</v>
      </c>
      <c r="Q169" s="128">
        <f t="shared" si="75"/>
        <v>35</v>
      </c>
    </row>
    <row r="170" spans="1:17" x14ac:dyDescent="0.25">
      <c r="A170" s="85">
        <v>4</v>
      </c>
      <c r="B170" s="15" t="s">
        <v>21</v>
      </c>
      <c r="C170" s="60">
        <v>3</v>
      </c>
      <c r="D170" s="16">
        <v>0</v>
      </c>
      <c r="E170" s="16">
        <v>0</v>
      </c>
      <c r="F170" s="59">
        <f>'padi sawah'!C45</f>
        <v>0</v>
      </c>
      <c r="G170" s="59">
        <f>'padi sawah'!D45</f>
        <v>0</v>
      </c>
      <c r="H170" s="59">
        <f>'padi sawah'!E45</f>
        <v>0</v>
      </c>
      <c r="I170" s="125">
        <f t="shared" si="73"/>
        <v>3</v>
      </c>
      <c r="J170" s="132">
        <f>'padi sawah'!F45</f>
        <v>184</v>
      </c>
      <c r="K170" s="132">
        <f>'padi sawah'!G45</f>
        <v>0</v>
      </c>
      <c r="L170" s="132">
        <f>'padi sawah'!H45</f>
        <v>0</v>
      </c>
      <c r="M170" s="132">
        <f>'padi sawah'!I45</f>
        <v>3</v>
      </c>
      <c r="N170" s="132">
        <f>'padi sawah'!J45</f>
        <v>10</v>
      </c>
      <c r="O170" s="157">
        <f>'padi sawah'!K45</f>
        <v>5</v>
      </c>
      <c r="P170" s="125">
        <f t="shared" si="74"/>
        <v>202</v>
      </c>
      <c r="Q170" s="128">
        <f t="shared" si="75"/>
        <v>205</v>
      </c>
    </row>
    <row r="171" spans="1:17" x14ac:dyDescent="0.25">
      <c r="A171" s="85">
        <v>5</v>
      </c>
      <c r="B171" s="19" t="s">
        <v>22</v>
      </c>
      <c r="C171" s="16">
        <v>0</v>
      </c>
      <c r="D171" s="16">
        <v>0</v>
      </c>
      <c r="E171" s="16">
        <v>0</v>
      </c>
      <c r="F171" s="59">
        <f>'padi sawah'!C46</f>
        <v>0</v>
      </c>
      <c r="G171" s="59">
        <f>'padi sawah'!D46</f>
        <v>0</v>
      </c>
      <c r="H171" s="59">
        <f>'padi sawah'!E46</f>
        <v>0</v>
      </c>
      <c r="I171" s="125">
        <f t="shared" si="73"/>
        <v>0</v>
      </c>
      <c r="J171" s="132">
        <f>'padi sawah'!F46</f>
        <v>162</v>
      </c>
      <c r="K171" s="132">
        <f>'padi sawah'!G46</f>
        <v>0</v>
      </c>
      <c r="L171" s="132">
        <f>'padi sawah'!H46</f>
        <v>0</v>
      </c>
      <c r="M171" s="132">
        <f>'padi sawah'!I46</f>
        <v>0</v>
      </c>
      <c r="N171" s="132">
        <f>'padi sawah'!J46</f>
        <v>0</v>
      </c>
      <c r="O171" s="157">
        <f>'padi sawah'!K46</f>
        <v>15</v>
      </c>
      <c r="P171" s="125">
        <f t="shared" si="74"/>
        <v>177</v>
      </c>
      <c r="Q171" s="128">
        <f t="shared" si="75"/>
        <v>177</v>
      </c>
    </row>
    <row r="172" spans="1:17" x14ac:dyDescent="0.25">
      <c r="A172" s="85">
        <v>6</v>
      </c>
      <c r="B172" s="19" t="s">
        <v>23</v>
      </c>
      <c r="C172" s="16">
        <v>9</v>
      </c>
      <c r="D172" s="16">
        <v>4</v>
      </c>
      <c r="E172" s="16">
        <v>0</v>
      </c>
      <c r="F172" s="59">
        <f>'padi sawah'!C47</f>
        <v>5</v>
      </c>
      <c r="G172" s="59">
        <f>'padi sawah'!D47</f>
        <v>0</v>
      </c>
      <c r="H172" s="59">
        <f>'padi sawah'!E47</f>
        <v>0</v>
      </c>
      <c r="I172" s="125">
        <f t="shared" si="73"/>
        <v>18</v>
      </c>
      <c r="J172" s="132">
        <f>'padi sawah'!F47</f>
        <v>14</v>
      </c>
      <c r="K172" s="132">
        <f>'padi sawah'!G47</f>
        <v>36</v>
      </c>
      <c r="L172" s="132">
        <f>'padi sawah'!H47</f>
        <v>0</v>
      </c>
      <c r="M172" s="132">
        <f>'padi sawah'!I47</f>
        <v>0</v>
      </c>
      <c r="N172" s="132">
        <f>'padi sawah'!J47</f>
        <v>4</v>
      </c>
      <c r="O172" s="157">
        <f>'padi sawah'!K47</f>
        <v>7</v>
      </c>
      <c r="P172" s="125">
        <f t="shared" si="74"/>
        <v>61</v>
      </c>
      <c r="Q172" s="128">
        <f t="shared" si="75"/>
        <v>79</v>
      </c>
    </row>
    <row r="173" spans="1:17" x14ac:dyDescent="0.25">
      <c r="A173" s="85">
        <v>7</v>
      </c>
      <c r="B173" s="19" t="s">
        <v>24</v>
      </c>
      <c r="C173" s="16">
        <v>96</v>
      </c>
      <c r="D173" s="16">
        <v>5</v>
      </c>
      <c r="E173" s="16">
        <v>0</v>
      </c>
      <c r="F173" s="59">
        <f>'padi sawah'!C48</f>
        <v>0</v>
      </c>
      <c r="G173" s="59">
        <f>'padi sawah'!D48</f>
        <v>0</v>
      </c>
      <c r="H173" s="59">
        <f>'padi sawah'!E48</f>
        <v>20</v>
      </c>
      <c r="I173" s="125">
        <f t="shared" si="73"/>
        <v>121</v>
      </c>
      <c r="J173" s="132">
        <f>'padi sawah'!F48</f>
        <v>180</v>
      </c>
      <c r="K173" s="132">
        <f>'padi sawah'!G48</f>
        <v>120</v>
      </c>
      <c r="L173" s="132">
        <f>'padi sawah'!H48</f>
        <v>0</v>
      </c>
      <c r="M173" s="132">
        <f>'padi sawah'!I48</f>
        <v>0</v>
      </c>
      <c r="N173" s="132">
        <f>'padi sawah'!J48</f>
        <v>1</v>
      </c>
      <c r="O173" s="157">
        <f>'padi sawah'!K48</f>
        <v>184</v>
      </c>
      <c r="P173" s="125">
        <f t="shared" si="74"/>
        <v>485</v>
      </c>
      <c r="Q173" s="128">
        <f t="shared" si="75"/>
        <v>606</v>
      </c>
    </row>
    <row r="174" spans="1:17" ht="15.75" thickBot="1" x14ac:dyDescent="0.3">
      <c r="A174" s="86">
        <v>8</v>
      </c>
      <c r="B174" s="15" t="s">
        <v>25</v>
      </c>
      <c r="C174" s="252">
        <v>0</v>
      </c>
      <c r="D174" s="252">
        <v>5</v>
      </c>
      <c r="E174" s="252">
        <v>0</v>
      </c>
      <c r="F174" s="137">
        <f>'padi sawah'!C49</f>
        <v>19</v>
      </c>
      <c r="G174" s="137">
        <f>'padi sawah'!D49</f>
        <v>10</v>
      </c>
      <c r="H174" s="137">
        <f>'padi sawah'!E49</f>
        <v>0</v>
      </c>
      <c r="I174" s="126">
        <f t="shared" si="73"/>
        <v>34</v>
      </c>
      <c r="J174" s="232">
        <f>'padi sawah'!F49</f>
        <v>64</v>
      </c>
      <c r="K174" s="232">
        <f>'padi sawah'!G49</f>
        <v>25</v>
      </c>
      <c r="L174" s="232">
        <f>'padi sawah'!H49</f>
        <v>0</v>
      </c>
      <c r="M174" s="232">
        <f>'padi sawah'!I49</f>
        <v>47</v>
      </c>
      <c r="N174" s="232">
        <f>'padi sawah'!J49</f>
        <v>67</v>
      </c>
      <c r="O174" s="232">
        <f>'padi sawah'!K49</f>
        <v>100</v>
      </c>
      <c r="P174" s="126">
        <f>SUM(J174:O174)</f>
        <v>303</v>
      </c>
      <c r="Q174" s="129">
        <f t="shared" si="75"/>
        <v>337</v>
      </c>
    </row>
    <row r="175" spans="1:17" ht="16.5" thickTop="1" thickBot="1" x14ac:dyDescent="0.3">
      <c r="A175" s="339" t="s">
        <v>26</v>
      </c>
      <c r="B175" s="340"/>
      <c r="C175" s="112">
        <f t="shared" ref="C175:H175" si="76">SUM(C167:C174)</f>
        <v>215</v>
      </c>
      <c r="D175" s="112">
        <f t="shared" si="76"/>
        <v>15</v>
      </c>
      <c r="E175" s="112">
        <f t="shared" si="76"/>
        <v>2</v>
      </c>
      <c r="F175" s="112">
        <f t="shared" si="76"/>
        <v>26</v>
      </c>
      <c r="G175" s="112">
        <f t="shared" si="76"/>
        <v>10</v>
      </c>
      <c r="H175" s="121">
        <f t="shared" si="76"/>
        <v>34</v>
      </c>
      <c r="I175" s="123">
        <f>SUM(I167:I174)</f>
        <v>302</v>
      </c>
      <c r="J175" s="133">
        <f t="shared" ref="J175:O175" si="77">SUM(J167:J174)</f>
        <v>876</v>
      </c>
      <c r="K175" s="112">
        <f t="shared" si="77"/>
        <v>327</v>
      </c>
      <c r="L175" s="112">
        <f t="shared" si="77"/>
        <v>0</v>
      </c>
      <c r="M175" s="112">
        <f t="shared" si="77"/>
        <v>55</v>
      </c>
      <c r="N175" s="112">
        <f t="shared" si="77"/>
        <v>131</v>
      </c>
      <c r="O175" s="121">
        <f t="shared" si="77"/>
        <v>434</v>
      </c>
      <c r="P175" s="123">
        <f>SUM(P167:P174)</f>
        <v>1823</v>
      </c>
      <c r="Q175" s="130">
        <f>SUM(Q167:Q174)</f>
        <v>2125</v>
      </c>
    </row>
    <row r="176" spans="1:17" x14ac:dyDescent="0.25">
      <c r="A176" s="95"/>
      <c r="B176" s="95"/>
      <c r="C176" s="244"/>
      <c r="D176" s="244"/>
      <c r="E176" s="244"/>
      <c r="F176" s="244"/>
      <c r="G176" s="244"/>
      <c r="H176" s="244"/>
      <c r="I176" s="244"/>
      <c r="J176" s="245"/>
      <c r="K176" s="244"/>
      <c r="L176" s="244"/>
      <c r="M176" s="244"/>
      <c r="N176" s="244"/>
      <c r="O176" s="244"/>
      <c r="P176" s="244"/>
      <c r="Q176" s="244"/>
    </row>
    <row r="177" spans="1:17" ht="15.75" x14ac:dyDescent="0.25">
      <c r="A177" s="341" t="s">
        <v>158</v>
      </c>
      <c r="B177" s="341"/>
      <c r="C177" s="341"/>
      <c r="D177" s="341"/>
      <c r="E177" s="341"/>
      <c r="F177" s="341"/>
      <c r="G177" s="341"/>
      <c r="H177" s="341"/>
      <c r="I177" s="341"/>
      <c r="J177" s="341"/>
      <c r="K177" s="341"/>
      <c r="L177" s="341"/>
      <c r="M177" s="341"/>
      <c r="N177" s="341"/>
      <c r="O177" s="341"/>
      <c r="P177" s="341"/>
      <c r="Q177" s="341"/>
    </row>
    <row r="178" spans="1:17" ht="15.75" x14ac:dyDescent="0.25">
      <c r="A178" s="341" t="s">
        <v>81</v>
      </c>
      <c r="B178" s="341"/>
      <c r="C178" s="341"/>
      <c r="D178" s="341"/>
      <c r="E178" s="341"/>
      <c r="F178" s="341"/>
      <c r="G178" s="341"/>
      <c r="H178" s="341"/>
      <c r="I178" s="341"/>
      <c r="J178" s="341"/>
      <c r="K178" s="341"/>
      <c r="L178" s="341"/>
      <c r="M178" s="341"/>
      <c r="N178" s="341"/>
      <c r="O178" s="341"/>
      <c r="P178" s="341"/>
      <c r="Q178" s="341"/>
    </row>
    <row r="179" spans="1:17" ht="15.75" thickBot="1" x14ac:dyDescent="0.3">
      <c r="Q179" s="75" t="s">
        <v>1</v>
      </c>
    </row>
    <row r="180" spans="1:17" x14ac:dyDescent="0.25">
      <c r="A180" s="334" t="s">
        <v>2</v>
      </c>
      <c r="B180" s="336" t="s">
        <v>3</v>
      </c>
      <c r="C180" s="342" t="s">
        <v>183</v>
      </c>
      <c r="D180" s="343"/>
      <c r="E180" s="343"/>
      <c r="F180" s="343"/>
      <c r="G180" s="343"/>
      <c r="H180" s="344"/>
      <c r="I180" s="345" t="s">
        <v>82</v>
      </c>
      <c r="J180" s="347">
        <v>2020</v>
      </c>
      <c r="K180" s="343"/>
      <c r="L180" s="343"/>
      <c r="M180" s="343"/>
      <c r="N180" s="343"/>
      <c r="O180" s="344"/>
      <c r="P180" s="345" t="s">
        <v>83</v>
      </c>
      <c r="Q180" s="348" t="s">
        <v>5</v>
      </c>
    </row>
    <row r="181" spans="1:17" x14ac:dyDescent="0.25">
      <c r="A181" s="335"/>
      <c r="B181" s="324"/>
      <c r="C181" s="300" t="s">
        <v>15</v>
      </c>
      <c r="D181" s="300" t="s">
        <v>16</v>
      </c>
      <c r="E181" s="300" t="s">
        <v>17</v>
      </c>
      <c r="F181" s="300" t="s">
        <v>6</v>
      </c>
      <c r="G181" s="300" t="s">
        <v>76</v>
      </c>
      <c r="H181" s="119" t="s">
        <v>77</v>
      </c>
      <c r="I181" s="346"/>
      <c r="J181" s="109" t="s">
        <v>78</v>
      </c>
      <c r="K181" s="300" t="s">
        <v>10</v>
      </c>
      <c r="L181" s="300" t="s">
        <v>11</v>
      </c>
      <c r="M181" s="300" t="s">
        <v>12</v>
      </c>
      <c r="N181" s="300" t="s">
        <v>79</v>
      </c>
      <c r="O181" s="119" t="s">
        <v>80</v>
      </c>
      <c r="P181" s="346"/>
      <c r="Q181" s="349"/>
    </row>
    <row r="182" spans="1:17" ht="15.75" thickBot="1" x14ac:dyDescent="0.3">
      <c r="A182" s="111">
        <v>1</v>
      </c>
      <c r="B182" s="5">
        <v>2</v>
      </c>
      <c r="C182" s="5">
        <v>3</v>
      </c>
      <c r="D182" s="5">
        <v>4</v>
      </c>
      <c r="E182" s="5">
        <v>5</v>
      </c>
      <c r="F182" s="5">
        <v>6</v>
      </c>
      <c r="G182" s="5">
        <v>7</v>
      </c>
      <c r="H182" s="120">
        <v>8</v>
      </c>
      <c r="I182" s="122">
        <v>9</v>
      </c>
      <c r="J182" s="110">
        <v>10</v>
      </c>
      <c r="K182" s="5">
        <v>11</v>
      </c>
      <c r="L182" s="5">
        <v>12</v>
      </c>
      <c r="M182" s="5">
        <v>13</v>
      </c>
      <c r="N182" s="5">
        <v>14</v>
      </c>
      <c r="O182" s="120">
        <v>15</v>
      </c>
      <c r="P182" s="122">
        <v>16</v>
      </c>
      <c r="Q182" s="131">
        <v>17</v>
      </c>
    </row>
    <row r="183" spans="1:17" ht="15.75" thickTop="1" x14ac:dyDescent="0.25">
      <c r="A183" s="83">
        <v>1</v>
      </c>
      <c r="B183" s="7" t="s">
        <v>18</v>
      </c>
      <c r="C183" s="136">
        <v>0</v>
      </c>
      <c r="D183" s="136">
        <v>0</v>
      </c>
      <c r="E183" s="136">
        <v>0</v>
      </c>
      <c r="F183" s="136">
        <f>'padi ladang'!C42</f>
        <v>0</v>
      </c>
      <c r="G183" s="136">
        <f>'padi ladang'!D42</f>
        <v>0</v>
      </c>
      <c r="H183" s="136">
        <f>'padi ladang'!E42</f>
        <v>0</v>
      </c>
      <c r="I183" s="124">
        <f>SUM(C183:H183)</f>
        <v>0</v>
      </c>
      <c r="J183" s="156">
        <f>'padi ladang'!F42</f>
        <v>0</v>
      </c>
      <c r="K183" s="156">
        <f>'padi ladang'!G42</f>
        <v>0</v>
      </c>
      <c r="L183" s="156">
        <f>'padi ladang'!H42</f>
        <v>0</v>
      </c>
      <c r="M183" s="156">
        <f>'padi ladang'!I42</f>
        <v>0</v>
      </c>
      <c r="N183" s="156">
        <f>'padi ladang'!J42</f>
        <v>0</v>
      </c>
      <c r="O183" s="156">
        <f>'padi ladang'!K42</f>
        <v>0</v>
      </c>
      <c r="P183" s="124">
        <f>SUM(J183:O183)</f>
        <v>0</v>
      </c>
      <c r="Q183" s="127">
        <f>SUM(I183,P183)</f>
        <v>0</v>
      </c>
    </row>
    <row r="184" spans="1:17" x14ac:dyDescent="0.25">
      <c r="A184" s="84">
        <v>2</v>
      </c>
      <c r="B184" s="12" t="s">
        <v>19</v>
      </c>
      <c r="C184" s="59">
        <v>0</v>
      </c>
      <c r="D184" s="59">
        <v>0</v>
      </c>
      <c r="E184" s="59">
        <v>0</v>
      </c>
      <c r="F184" s="59">
        <f>'padi ladang'!C43</f>
        <v>0</v>
      </c>
      <c r="G184" s="59">
        <f>'padi ladang'!D43</f>
        <v>0</v>
      </c>
      <c r="H184" s="155">
        <f>'padi ladang'!E43</f>
        <v>0</v>
      </c>
      <c r="I184" s="125">
        <f t="shared" ref="I184:I190" si="78">SUM(C184:H184)</f>
        <v>0</v>
      </c>
      <c r="J184" s="223">
        <f>'padi ladang'!F43</f>
        <v>0</v>
      </c>
      <c r="K184" s="132">
        <f>'padi ladang'!G43</f>
        <v>0</v>
      </c>
      <c r="L184" s="132">
        <f>'padi ladang'!H43</f>
        <v>0</v>
      </c>
      <c r="M184" s="132">
        <f>'padi ladang'!I43</f>
        <v>0</v>
      </c>
      <c r="N184" s="132">
        <f>'padi ladang'!J43</f>
        <v>0</v>
      </c>
      <c r="O184" s="157">
        <f>'padi ladang'!K43</f>
        <v>0</v>
      </c>
      <c r="P184" s="125">
        <f t="shared" ref="P184:P189" si="79">SUM(J184:O184)</f>
        <v>0</v>
      </c>
      <c r="Q184" s="128">
        <f t="shared" ref="Q184:Q190" si="80">SUM(I184,P184)</f>
        <v>0</v>
      </c>
    </row>
    <row r="185" spans="1:17" x14ac:dyDescent="0.25">
      <c r="A185" s="84">
        <v>3</v>
      </c>
      <c r="B185" s="7" t="s">
        <v>20</v>
      </c>
      <c r="C185" s="59">
        <v>0</v>
      </c>
      <c r="D185" s="59">
        <v>0</v>
      </c>
      <c r="E185" s="59">
        <v>0</v>
      </c>
      <c r="F185" s="59">
        <f>'padi ladang'!C44</f>
        <v>0</v>
      </c>
      <c r="G185" s="59">
        <f>'padi ladang'!D44</f>
        <v>0</v>
      </c>
      <c r="H185" s="155">
        <f>'padi ladang'!E44</f>
        <v>0</v>
      </c>
      <c r="I185" s="125">
        <f t="shared" si="78"/>
        <v>0</v>
      </c>
      <c r="J185" s="223">
        <f>'padi ladang'!F44</f>
        <v>0</v>
      </c>
      <c r="K185" s="132">
        <f>'padi ladang'!G44</f>
        <v>0</v>
      </c>
      <c r="L185" s="132">
        <f>'padi ladang'!H44</f>
        <v>0</v>
      </c>
      <c r="M185" s="132">
        <f>'padi ladang'!I44</f>
        <v>0</v>
      </c>
      <c r="N185" s="132">
        <f>'padi ladang'!J44</f>
        <v>0</v>
      </c>
      <c r="O185" s="157">
        <f>'padi ladang'!K44</f>
        <v>0</v>
      </c>
      <c r="P185" s="125">
        <f t="shared" si="79"/>
        <v>0</v>
      </c>
      <c r="Q185" s="128">
        <f t="shared" si="80"/>
        <v>0</v>
      </c>
    </row>
    <row r="186" spans="1:17" x14ac:dyDescent="0.25">
      <c r="A186" s="85">
        <v>4</v>
      </c>
      <c r="B186" s="15" t="s">
        <v>21</v>
      </c>
      <c r="C186" s="59">
        <v>0</v>
      </c>
      <c r="D186" s="59">
        <v>0</v>
      </c>
      <c r="E186" s="59">
        <v>0</v>
      </c>
      <c r="F186" s="59">
        <f>'padi ladang'!C45</f>
        <v>0</v>
      </c>
      <c r="G186" s="59">
        <f>'padi ladang'!D45</f>
        <v>0</v>
      </c>
      <c r="H186" s="155">
        <f>'padi ladang'!E45</f>
        <v>0</v>
      </c>
      <c r="I186" s="125">
        <f t="shared" si="78"/>
        <v>0</v>
      </c>
      <c r="J186" s="223">
        <f>'padi ladang'!F45</f>
        <v>0</v>
      </c>
      <c r="K186" s="132">
        <f>'padi ladang'!G45</f>
        <v>0</v>
      </c>
      <c r="L186" s="132">
        <f>'padi ladang'!H45</f>
        <v>0</v>
      </c>
      <c r="M186" s="132">
        <f>'padi ladang'!I45</f>
        <v>0</v>
      </c>
      <c r="N186" s="132">
        <f>'padi ladang'!J45</f>
        <v>0</v>
      </c>
      <c r="O186" s="157">
        <f>'padi ladang'!K45</f>
        <v>0</v>
      </c>
      <c r="P186" s="125">
        <f t="shared" si="79"/>
        <v>0</v>
      </c>
      <c r="Q186" s="128">
        <f t="shared" si="80"/>
        <v>0</v>
      </c>
    </row>
    <row r="187" spans="1:17" x14ac:dyDescent="0.25">
      <c r="A187" s="85">
        <v>5</v>
      </c>
      <c r="B187" s="19" t="s">
        <v>22</v>
      </c>
      <c r="C187" s="59">
        <v>0</v>
      </c>
      <c r="D187" s="59">
        <v>0</v>
      </c>
      <c r="E187" s="59">
        <v>0</v>
      </c>
      <c r="F187" s="59">
        <f>'padi ladang'!C46</f>
        <v>0</v>
      </c>
      <c r="G187" s="59">
        <f>'padi ladang'!D46</f>
        <v>0</v>
      </c>
      <c r="H187" s="155">
        <f>'padi ladang'!E46</f>
        <v>0</v>
      </c>
      <c r="I187" s="125">
        <f t="shared" si="78"/>
        <v>0</v>
      </c>
      <c r="J187" s="223">
        <f>'padi ladang'!F46</f>
        <v>0</v>
      </c>
      <c r="K187" s="132">
        <f>'padi ladang'!G46</f>
        <v>0</v>
      </c>
      <c r="L187" s="132">
        <f>'padi ladang'!H46</f>
        <v>0</v>
      </c>
      <c r="M187" s="132">
        <f>'padi ladang'!I46</f>
        <v>0</v>
      </c>
      <c r="N187" s="132">
        <f>'padi ladang'!J46</f>
        <v>0</v>
      </c>
      <c r="O187" s="157">
        <f>'padi ladang'!K46</f>
        <v>0</v>
      </c>
      <c r="P187" s="125">
        <f t="shared" si="79"/>
        <v>0</v>
      </c>
      <c r="Q187" s="128">
        <f t="shared" si="80"/>
        <v>0</v>
      </c>
    </row>
    <row r="188" spans="1:17" x14ac:dyDescent="0.25">
      <c r="A188" s="85">
        <v>6</v>
      </c>
      <c r="B188" s="19" t="s">
        <v>23</v>
      </c>
      <c r="C188" s="59">
        <v>0</v>
      </c>
      <c r="D188" s="59">
        <v>0</v>
      </c>
      <c r="E188" s="59">
        <v>0</v>
      </c>
      <c r="F188" s="59">
        <f>'padi ladang'!C47</f>
        <v>0</v>
      </c>
      <c r="G188" s="59">
        <f>'padi ladang'!D47</f>
        <v>0</v>
      </c>
      <c r="H188" s="155">
        <f>'padi ladang'!E47</f>
        <v>0</v>
      </c>
      <c r="I188" s="125">
        <f t="shared" si="78"/>
        <v>0</v>
      </c>
      <c r="J188" s="223">
        <f>'padi ladang'!F47</f>
        <v>0</v>
      </c>
      <c r="K188" s="132">
        <f>'padi ladang'!G47</f>
        <v>0</v>
      </c>
      <c r="L188" s="132">
        <f>'padi ladang'!H47</f>
        <v>0</v>
      </c>
      <c r="M188" s="132">
        <f>'padi ladang'!I47</f>
        <v>0</v>
      </c>
      <c r="N188" s="132">
        <f>'padi ladang'!J47</f>
        <v>0</v>
      </c>
      <c r="O188" s="157">
        <f>'padi ladang'!K47</f>
        <v>0</v>
      </c>
      <c r="P188" s="125">
        <f t="shared" si="79"/>
        <v>0</v>
      </c>
      <c r="Q188" s="128">
        <f t="shared" si="80"/>
        <v>0</v>
      </c>
    </row>
    <row r="189" spans="1:17" x14ac:dyDescent="0.25">
      <c r="A189" s="85">
        <v>7</v>
      </c>
      <c r="B189" s="19" t="s">
        <v>24</v>
      </c>
      <c r="C189" s="59">
        <v>0</v>
      </c>
      <c r="D189" s="59">
        <v>0</v>
      </c>
      <c r="E189" s="59">
        <v>0</v>
      </c>
      <c r="F189" s="59">
        <f>'padi ladang'!C48</f>
        <v>0</v>
      </c>
      <c r="G189" s="59">
        <f>'padi ladang'!D48</f>
        <v>0</v>
      </c>
      <c r="H189" s="155">
        <f>'padi ladang'!E48</f>
        <v>0</v>
      </c>
      <c r="I189" s="125">
        <f t="shared" si="78"/>
        <v>0</v>
      </c>
      <c r="J189" s="223">
        <f>'padi ladang'!F48</f>
        <v>0</v>
      </c>
      <c r="K189" s="132">
        <f>'padi ladang'!G48</f>
        <v>0</v>
      </c>
      <c r="L189" s="132">
        <f>'padi ladang'!H48</f>
        <v>0</v>
      </c>
      <c r="M189" s="132">
        <f>'padi ladang'!I48</f>
        <v>0</v>
      </c>
      <c r="N189" s="132">
        <f>'padi ladang'!J48</f>
        <v>0</v>
      </c>
      <c r="O189" s="157">
        <f>'padi ladang'!K48</f>
        <v>0</v>
      </c>
      <c r="P189" s="125">
        <f t="shared" si="79"/>
        <v>0</v>
      </c>
      <c r="Q189" s="128">
        <f t="shared" si="80"/>
        <v>0</v>
      </c>
    </row>
    <row r="190" spans="1:17" ht="15.75" thickBot="1" x14ac:dyDescent="0.3">
      <c r="A190" s="86">
        <v>8</v>
      </c>
      <c r="B190" s="15" t="s">
        <v>25</v>
      </c>
      <c r="C190" s="137">
        <v>0</v>
      </c>
      <c r="D190" s="137">
        <v>0</v>
      </c>
      <c r="E190" s="137">
        <v>0</v>
      </c>
      <c r="F190" s="137">
        <f>'padi ladang'!C49</f>
        <v>0</v>
      </c>
      <c r="G190" s="137">
        <f>'padi ladang'!D49</f>
        <v>0</v>
      </c>
      <c r="H190" s="137">
        <f>'padi ladang'!E49</f>
        <v>0</v>
      </c>
      <c r="I190" s="126">
        <f t="shared" si="78"/>
        <v>0</v>
      </c>
      <c r="J190" s="232">
        <f>'padi ladang'!F49</f>
        <v>0</v>
      </c>
      <c r="K190" s="232">
        <f>'padi ladang'!G49</f>
        <v>0</v>
      </c>
      <c r="L190" s="232">
        <f>'padi ladang'!H49</f>
        <v>0</v>
      </c>
      <c r="M190" s="232">
        <f>'padi ladang'!I49</f>
        <v>0</v>
      </c>
      <c r="N190" s="232">
        <f>'padi ladang'!J49</f>
        <v>0</v>
      </c>
      <c r="O190" s="232">
        <f>'padi ladang'!K49</f>
        <v>2</v>
      </c>
      <c r="P190" s="126">
        <f>SUM(J190:O190)</f>
        <v>2</v>
      </c>
      <c r="Q190" s="129">
        <f t="shared" si="80"/>
        <v>2</v>
      </c>
    </row>
    <row r="191" spans="1:17" ht="16.5" thickTop="1" thickBot="1" x14ac:dyDescent="0.3">
      <c r="A191" s="339" t="s">
        <v>26</v>
      </c>
      <c r="B191" s="340"/>
      <c r="C191" s="112">
        <f t="shared" ref="C191:H191" si="81">SUM(C183:C190)</f>
        <v>0</v>
      </c>
      <c r="D191" s="112">
        <f t="shared" si="81"/>
        <v>0</v>
      </c>
      <c r="E191" s="112">
        <f t="shared" si="81"/>
        <v>0</v>
      </c>
      <c r="F191" s="112">
        <f t="shared" si="81"/>
        <v>0</v>
      </c>
      <c r="G191" s="112">
        <f t="shared" si="81"/>
        <v>0</v>
      </c>
      <c r="H191" s="121">
        <f t="shared" si="81"/>
        <v>0</v>
      </c>
      <c r="I191" s="123">
        <f>SUM(I183:I190)</f>
        <v>0</v>
      </c>
      <c r="J191" s="133">
        <f t="shared" ref="J191:O191" si="82">SUM(J183:J190)</f>
        <v>0</v>
      </c>
      <c r="K191" s="112">
        <f t="shared" si="82"/>
        <v>0</v>
      </c>
      <c r="L191" s="112">
        <f t="shared" si="82"/>
        <v>0</v>
      </c>
      <c r="M191" s="112">
        <f t="shared" si="82"/>
        <v>0</v>
      </c>
      <c r="N191" s="112">
        <f t="shared" si="82"/>
        <v>0</v>
      </c>
      <c r="O191" s="121">
        <f t="shared" si="82"/>
        <v>2</v>
      </c>
      <c r="P191" s="123">
        <f>SUM(P183:P190)</f>
        <v>2</v>
      </c>
      <c r="Q191" s="130">
        <f>SUM(Q183:Q190)</f>
        <v>2</v>
      </c>
    </row>
    <row r="193" spans="1:17" ht="15.75" x14ac:dyDescent="0.25">
      <c r="A193" s="341" t="s">
        <v>159</v>
      </c>
      <c r="B193" s="341"/>
      <c r="C193" s="341"/>
      <c r="D193" s="341"/>
      <c r="E193" s="341"/>
      <c r="F193" s="341"/>
      <c r="G193" s="341"/>
      <c r="H193" s="341"/>
      <c r="I193" s="341"/>
      <c r="J193" s="341"/>
      <c r="K193" s="341"/>
      <c r="L193" s="341"/>
      <c r="M193" s="341"/>
      <c r="N193" s="341"/>
      <c r="O193" s="341"/>
      <c r="P193" s="341"/>
      <c r="Q193" s="341"/>
    </row>
    <row r="194" spans="1:17" ht="15.75" x14ac:dyDescent="0.25">
      <c r="A194" s="341" t="s">
        <v>81</v>
      </c>
      <c r="B194" s="341"/>
      <c r="C194" s="341"/>
      <c r="D194" s="341"/>
      <c r="E194" s="341"/>
      <c r="F194" s="341"/>
      <c r="G194" s="341"/>
      <c r="H194" s="341"/>
      <c r="I194" s="341"/>
      <c r="J194" s="341"/>
      <c r="K194" s="341"/>
      <c r="L194" s="341"/>
      <c r="M194" s="341"/>
      <c r="N194" s="341"/>
      <c r="O194" s="341"/>
      <c r="P194" s="341"/>
      <c r="Q194" s="341"/>
    </row>
    <row r="195" spans="1:17" ht="15.75" thickBot="1" x14ac:dyDescent="0.3">
      <c r="Q195" s="75" t="s">
        <v>1</v>
      </c>
    </row>
    <row r="196" spans="1:17" x14ac:dyDescent="0.25">
      <c r="A196" s="334" t="s">
        <v>2</v>
      </c>
      <c r="B196" s="336" t="s">
        <v>3</v>
      </c>
      <c r="C196" s="342" t="s">
        <v>183</v>
      </c>
      <c r="D196" s="343"/>
      <c r="E196" s="343"/>
      <c r="F196" s="343"/>
      <c r="G196" s="343"/>
      <c r="H196" s="344"/>
      <c r="I196" s="345" t="s">
        <v>82</v>
      </c>
      <c r="J196" s="347">
        <v>2020</v>
      </c>
      <c r="K196" s="343"/>
      <c r="L196" s="343"/>
      <c r="M196" s="343"/>
      <c r="N196" s="343"/>
      <c r="O196" s="344"/>
      <c r="P196" s="345" t="s">
        <v>83</v>
      </c>
      <c r="Q196" s="348" t="s">
        <v>5</v>
      </c>
    </row>
    <row r="197" spans="1:17" x14ac:dyDescent="0.25">
      <c r="A197" s="335"/>
      <c r="B197" s="324"/>
      <c r="C197" s="300" t="s">
        <v>15</v>
      </c>
      <c r="D197" s="300" t="s">
        <v>16</v>
      </c>
      <c r="E197" s="300" t="s">
        <v>17</v>
      </c>
      <c r="F197" s="300" t="s">
        <v>6</v>
      </c>
      <c r="G197" s="300" t="s">
        <v>76</v>
      </c>
      <c r="H197" s="119" t="s">
        <v>77</v>
      </c>
      <c r="I197" s="346"/>
      <c r="J197" s="109" t="s">
        <v>78</v>
      </c>
      <c r="K197" s="300" t="s">
        <v>10</v>
      </c>
      <c r="L197" s="300" t="s">
        <v>11</v>
      </c>
      <c r="M197" s="300" t="s">
        <v>12</v>
      </c>
      <c r="N197" s="300" t="s">
        <v>79</v>
      </c>
      <c r="O197" s="119" t="s">
        <v>80</v>
      </c>
      <c r="P197" s="346"/>
      <c r="Q197" s="349"/>
    </row>
    <row r="198" spans="1:17" ht="15.75" thickBot="1" x14ac:dyDescent="0.3">
      <c r="A198" s="111">
        <v>1</v>
      </c>
      <c r="B198" s="5">
        <v>2</v>
      </c>
      <c r="C198" s="5">
        <v>3</v>
      </c>
      <c r="D198" s="5">
        <v>4</v>
      </c>
      <c r="E198" s="5">
        <v>5</v>
      </c>
      <c r="F198" s="5">
        <v>6</v>
      </c>
      <c r="G198" s="5">
        <v>7</v>
      </c>
      <c r="H198" s="120">
        <v>8</v>
      </c>
      <c r="I198" s="122">
        <v>9</v>
      </c>
      <c r="J198" s="110">
        <v>10</v>
      </c>
      <c r="K198" s="5">
        <v>11</v>
      </c>
      <c r="L198" s="5">
        <v>12</v>
      </c>
      <c r="M198" s="5">
        <v>13</v>
      </c>
      <c r="N198" s="5">
        <v>14</v>
      </c>
      <c r="O198" s="120">
        <v>15</v>
      </c>
      <c r="P198" s="122">
        <v>16</v>
      </c>
      <c r="Q198" s="131">
        <v>17</v>
      </c>
    </row>
    <row r="199" spans="1:17" ht="15.75" thickTop="1" x14ac:dyDescent="0.25">
      <c r="A199" s="83">
        <v>1</v>
      </c>
      <c r="B199" s="7" t="s">
        <v>18</v>
      </c>
      <c r="C199" s="28">
        <v>0</v>
      </c>
      <c r="D199" s="28">
        <v>0</v>
      </c>
      <c r="E199" s="28">
        <v>0</v>
      </c>
      <c r="F199" s="170">
        <f>jagung!C42</f>
        <v>0</v>
      </c>
      <c r="G199" s="136">
        <f>jagung!D42</f>
        <v>0</v>
      </c>
      <c r="H199" s="136">
        <f>jagung!E42</f>
        <v>0</v>
      </c>
      <c r="I199" s="124">
        <f>SUM(C199:H199)</f>
        <v>0</v>
      </c>
      <c r="J199" s="156">
        <f>jagung!F42</f>
        <v>6</v>
      </c>
      <c r="K199" s="156">
        <f>jagung!G42</f>
        <v>3</v>
      </c>
      <c r="L199" s="156">
        <f>jagung!H42</f>
        <v>0</v>
      </c>
      <c r="M199" s="156">
        <f>jagung!I42</f>
        <v>0</v>
      </c>
      <c r="N199" s="156">
        <f>jagung!J42</f>
        <v>0</v>
      </c>
      <c r="O199" s="156">
        <f>jagung!K42</f>
        <v>0</v>
      </c>
      <c r="P199" s="124">
        <f>SUM(J199:O199)</f>
        <v>9</v>
      </c>
      <c r="Q199" s="127">
        <f>SUM(I199,P199)</f>
        <v>9</v>
      </c>
    </row>
    <row r="200" spans="1:17" x14ac:dyDescent="0.25">
      <c r="A200" s="84">
        <v>2</v>
      </c>
      <c r="B200" s="12" t="s">
        <v>19</v>
      </c>
      <c r="C200" s="138">
        <v>0</v>
      </c>
      <c r="D200" s="16">
        <v>0</v>
      </c>
      <c r="E200" s="16">
        <v>0</v>
      </c>
      <c r="F200" s="169">
        <f>jagung!C43</f>
        <v>0</v>
      </c>
      <c r="G200" s="59">
        <f>jagung!D43</f>
        <v>0</v>
      </c>
      <c r="H200" s="155">
        <f>jagung!E43</f>
        <v>0</v>
      </c>
      <c r="I200" s="125">
        <f t="shared" ref="I200:I206" si="83">SUM(C200:H200)</f>
        <v>0</v>
      </c>
      <c r="J200" s="223" t="str">
        <f>jagung!F43</f>
        <v>1*</v>
      </c>
      <c r="K200" s="132">
        <f>jagung!G43</f>
        <v>0</v>
      </c>
      <c r="L200" s="132">
        <f>jagung!H43</f>
        <v>0</v>
      </c>
      <c r="M200" s="132" t="str">
        <f>jagung!I43</f>
        <v>1*</v>
      </c>
      <c r="N200" s="132">
        <f>jagung!J43</f>
        <v>0</v>
      </c>
      <c r="O200" s="157">
        <f>jagung!K43</f>
        <v>0</v>
      </c>
      <c r="P200" s="125">
        <f t="shared" ref="P200:P205" si="84">SUM(J200:O200)</f>
        <v>0</v>
      </c>
      <c r="Q200" s="128">
        <f t="shared" ref="Q200:Q206" si="85">SUM(I200,P200)</f>
        <v>0</v>
      </c>
    </row>
    <row r="201" spans="1:17" x14ac:dyDescent="0.25">
      <c r="A201" s="84">
        <v>3</v>
      </c>
      <c r="B201" s="7" t="s">
        <v>20</v>
      </c>
      <c r="C201" s="16">
        <v>0</v>
      </c>
      <c r="D201" s="16">
        <v>0</v>
      </c>
      <c r="E201" s="16">
        <v>0</v>
      </c>
      <c r="F201" s="59">
        <f>jagung!C44</f>
        <v>0</v>
      </c>
      <c r="G201" s="59">
        <f>jagung!D44</f>
        <v>0</v>
      </c>
      <c r="H201" s="155">
        <f>jagung!E44</f>
        <v>0</v>
      </c>
      <c r="I201" s="125">
        <f t="shared" si="83"/>
        <v>0</v>
      </c>
      <c r="J201" s="223">
        <f>jagung!F44</f>
        <v>0</v>
      </c>
      <c r="K201" s="132">
        <f>jagung!G44</f>
        <v>0</v>
      </c>
      <c r="L201" s="132">
        <f>jagung!H44</f>
        <v>0</v>
      </c>
      <c r="M201" s="132">
        <f>jagung!I44</f>
        <v>0</v>
      </c>
      <c r="N201" s="132">
        <f>jagung!J44</f>
        <v>0</v>
      </c>
      <c r="O201" s="157">
        <f>jagung!K44</f>
        <v>0</v>
      </c>
      <c r="P201" s="125">
        <f t="shared" si="84"/>
        <v>0</v>
      </c>
      <c r="Q201" s="128">
        <f t="shared" si="85"/>
        <v>0</v>
      </c>
    </row>
    <row r="202" spans="1:17" x14ac:dyDescent="0.25">
      <c r="A202" s="85">
        <v>4</v>
      </c>
      <c r="B202" s="15" t="s">
        <v>21</v>
      </c>
      <c r="C202" s="138">
        <v>2</v>
      </c>
      <c r="D202" s="16">
        <v>0</v>
      </c>
      <c r="E202" s="16">
        <v>0</v>
      </c>
      <c r="F202" s="59">
        <f>jagung!C45</f>
        <v>0</v>
      </c>
      <c r="G202" s="59">
        <f>jagung!D45</f>
        <v>0</v>
      </c>
      <c r="H202" s="155" t="str">
        <f>jagung!E45</f>
        <v>2*</v>
      </c>
      <c r="I202" s="125">
        <f t="shared" si="83"/>
        <v>2</v>
      </c>
      <c r="J202" s="223">
        <f>jagung!F45</f>
        <v>0</v>
      </c>
      <c r="K202" s="132" t="str">
        <f>jagung!G45</f>
        <v>1*</v>
      </c>
      <c r="L202" s="132">
        <f>jagung!H45</f>
        <v>1</v>
      </c>
      <c r="M202" s="132">
        <f>jagung!I45</f>
        <v>0</v>
      </c>
      <c r="N202" s="132">
        <f>jagung!J45</f>
        <v>1</v>
      </c>
      <c r="O202" s="157">
        <f>jagung!K45</f>
        <v>0</v>
      </c>
      <c r="P202" s="125">
        <f t="shared" si="84"/>
        <v>2</v>
      </c>
      <c r="Q202" s="128">
        <f t="shared" si="85"/>
        <v>4</v>
      </c>
    </row>
    <row r="203" spans="1:17" x14ac:dyDescent="0.25">
      <c r="A203" s="85">
        <v>5</v>
      </c>
      <c r="B203" s="19" t="s">
        <v>22</v>
      </c>
      <c r="C203" s="16">
        <v>0</v>
      </c>
      <c r="D203" s="16">
        <v>0</v>
      </c>
      <c r="E203" s="16">
        <v>0</v>
      </c>
      <c r="F203" s="59">
        <f>jagung!C46</f>
        <v>0</v>
      </c>
      <c r="G203" s="59">
        <f>jagung!D46</f>
        <v>0</v>
      </c>
      <c r="H203" s="155">
        <f>jagung!E46</f>
        <v>0</v>
      </c>
      <c r="I203" s="125">
        <f t="shared" si="83"/>
        <v>0</v>
      </c>
      <c r="J203" s="223">
        <f>jagung!F46</f>
        <v>0</v>
      </c>
      <c r="K203" s="132">
        <f>jagung!G46</f>
        <v>0</v>
      </c>
      <c r="L203" s="132">
        <f>jagung!H46</f>
        <v>0</v>
      </c>
      <c r="M203" s="132">
        <f>jagung!I46</f>
        <v>0</v>
      </c>
      <c r="N203" s="132">
        <f>jagung!J46</f>
        <v>0</v>
      </c>
      <c r="O203" s="157">
        <f>jagung!K46</f>
        <v>0</v>
      </c>
      <c r="P203" s="125">
        <f t="shared" si="84"/>
        <v>0</v>
      </c>
      <c r="Q203" s="128">
        <f t="shared" si="85"/>
        <v>0</v>
      </c>
    </row>
    <row r="204" spans="1:17" x14ac:dyDescent="0.25">
      <c r="A204" s="85">
        <v>6</v>
      </c>
      <c r="B204" s="19" t="s">
        <v>23</v>
      </c>
      <c r="C204" s="16">
        <v>0</v>
      </c>
      <c r="D204" s="16">
        <v>0</v>
      </c>
      <c r="E204" s="16">
        <v>0</v>
      </c>
      <c r="F204" s="59">
        <f>jagung!C47</f>
        <v>0</v>
      </c>
      <c r="G204" s="59">
        <f>jagung!D47</f>
        <v>0</v>
      </c>
      <c r="H204" s="155">
        <f>jagung!E47</f>
        <v>0</v>
      </c>
      <c r="I204" s="125">
        <f t="shared" si="83"/>
        <v>0</v>
      </c>
      <c r="J204" s="223">
        <f>jagung!F47</f>
        <v>0</v>
      </c>
      <c r="K204" s="132">
        <f>jagung!G47</f>
        <v>0</v>
      </c>
      <c r="L204" s="132">
        <f>jagung!H47</f>
        <v>0</v>
      </c>
      <c r="M204" s="132">
        <f>jagung!I47</f>
        <v>0</v>
      </c>
      <c r="N204" s="132">
        <f>jagung!J47</f>
        <v>0</v>
      </c>
      <c r="O204" s="157">
        <f>jagung!K47</f>
        <v>0</v>
      </c>
      <c r="P204" s="125">
        <f t="shared" si="84"/>
        <v>0</v>
      </c>
      <c r="Q204" s="128">
        <f t="shared" si="85"/>
        <v>0</v>
      </c>
    </row>
    <row r="205" spans="1:17" x14ac:dyDescent="0.25">
      <c r="A205" s="85">
        <v>7</v>
      </c>
      <c r="B205" s="19" t="s">
        <v>24</v>
      </c>
      <c r="C205" s="16">
        <v>0</v>
      </c>
      <c r="D205" s="16">
        <v>0</v>
      </c>
      <c r="E205" s="16">
        <v>0</v>
      </c>
      <c r="F205" s="59">
        <f>jagung!C48</f>
        <v>0</v>
      </c>
      <c r="G205" s="59">
        <f>jagung!D48</f>
        <v>0</v>
      </c>
      <c r="H205" s="155">
        <f>jagung!E48</f>
        <v>0</v>
      </c>
      <c r="I205" s="125">
        <f t="shared" si="83"/>
        <v>0</v>
      </c>
      <c r="J205" s="223">
        <f>jagung!F48</f>
        <v>0</v>
      </c>
      <c r="K205" s="132">
        <f>jagung!G48</f>
        <v>0</v>
      </c>
      <c r="L205" s="132">
        <f>jagung!H48</f>
        <v>0</v>
      </c>
      <c r="M205" s="132">
        <f>jagung!I48</f>
        <v>0</v>
      </c>
      <c r="N205" s="132">
        <f>jagung!J48</f>
        <v>0</v>
      </c>
      <c r="O205" s="157">
        <f>jagung!K48</f>
        <v>0</v>
      </c>
      <c r="P205" s="125">
        <f t="shared" si="84"/>
        <v>0</v>
      </c>
      <c r="Q205" s="128">
        <f t="shared" si="85"/>
        <v>0</v>
      </c>
    </row>
    <row r="206" spans="1:17" ht="15.75" thickBot="1" x14ac:dyDescent="0.3">
      <c r="A206" s="86">
        <v>8</v>
      </c>
      <c r="B206" s="15" t="s">
        <v>25</v>
      </c>
      <c r="C206" s="17">
        <v>0</v>
      </c>
      <c r="D206" s="17">
        <v>0</v>
      </c>
      <c r="E206" s="17">
        <v>0</v>
      </c>
      <c r="F206" s="137">
        <f>jagung!C49</f>
        <v>1</v>
      </c>
      <c r="G206" s="137">
        <f>jagung!D49</f>
        <v>0</v>
      </c>
      <c r="H206" s="137">
        <f>jagung!E49</f>
        <v>0</v>
      </c>
      <c r="I206" s="126">
        <f t="shared" si="83"/>
        <v>1</v>
      </c>
      <c r="J206" s="232" t="str">
        <f>jagung!F49</f>
        <v>1*</v>
      </c>
      <c r="K206" s="232">
        <f>jagung!G49</f>
        <v>0</v>
      </c>
      <c r="L206" s="232">
        <f>jagung!H49</f>
        <v>1</v>
      </c>
      <c r="M206" s="232">
        <f>jagung!I49</f>
        <v>0</v>
      </c>
      <c r="N206" s="232">
        <f>jagung!J49</f>
        <v>0</v>
      </c>
      <c r="O206" s="232">
        <f>jagung!K49</f>
        <v>0</v>
      </c>
      <c r="P206" s="126">
        <f>SUM(J206:O206)</f>
        <v>1</v>
      </c>
      <c r="Q206" s="129">
        <f t="shared" si="85"/>
        <v>2</v>
      </c>
    </row>
    <row r="207" spans="1:17" ht="16.5" thickTop="1" thickBot="1" x14ac:dyDescent="0.3">
      <c r="A207" s="339" t="s">
        <v>26</v>
      </c>
      <c r="B207" s="340"/>
      <c r="C207" s="112">
        <f>SUM(C199:C206)</f>
        <v>2</v>
      </c>
      <c r="D207" s="112">
        <f t="shared" ref="D207:G207" si="86">SUM(D199:D206)</f>
        <v>0</v>
      </c>
      <c r="E207" s="112">
        <f t="shared" si="86"/>
        <v>0</v>
      </c>
      <c r="F207" s="112">
        <f t="shared" si="86"/>
        <v>1</v>
      </c>
      <c r="G207" s="112">
        <f t="shared" si="86"/>
        <v>0</v>
      </c>
      <c r="H207" s="121">
        <f>SUM(H199:H206)</f>
        <v>0</v>
      </c>
      <c r="I207" s="123">
        <f>SUM(I199:I206)</f>
        <v>3</v>
      </c>
      <c r="J207" s="133">
        <f t="shared" ref="J207:O207" si="87">SUM(J199:J206)</f>
        <v>6</v>
      </c>
      <c r="K207" s="112">
        <f t="shared" si="87"/>
        <v>3</v>
      </c>
      <c r="L207" s="112">
        <f t="shared" si="87"/>
        <v>2</v>
      </c>
      <c r="M207" s="112">
        <f t="shared" si="87"/>
        <v>0</v>
      </c>
      <c r="N207" s="112">
        <f t="shared" si="87"/>
        <v>1</v>
      </c>
      <c r="O207" s="121">
        <f t="shared" si="87"/>
        <v>0</v>
      </c>
      <c r="P207" s="123">
        <f>SUM(P199:P206)</f>
        <v>12</v>
      </c>
      <c r="Q207" s="130">
        <f>SUM(Q199:Q206)</f>
        <v>15</v>
      </c>
    </row>
    <row r="208" spans="1:17" x14ac:dyDescent="0.25">
      <c r="A208" t="s">
        <v>86</v>
      </c>
    </row>
    <row r="209" spans="1:17" ht="15.75" x14ac:dyDescent="0.25">
      <c r="A209" s="341" t="s">
        <v>160</v>
      </c>
      <c r="B209" s="341"/>
      <c r="C209" s="341"/>
      <c r="D209" s="341"/>
      <c r="E209" s="341"/>
      <c r="F209" s="341"/>
      <c r="G209" s="341"/>
      <c r="H209" s="341"/>
      <c r="I209" s="341"/>
      <c r="J209" s="341"/>
      <c r="K209" s="341"/>
      <c r="L209" s="341"/>
      <c r="M209" s="341"/>
      <c r="N209" s="341"/>
      <c r="O209" s="341"/>
      <c r="P209" s="341"/>
      <c r="Q209" s="341"/>
    </row>
    <row r="210" spans="1:17" ht="15.75" x14ac:dyDescent="0.25">
      <c r="A210" s="341" t="s">
        <v>81</v>
      </c>
      <c r="B210" s="341"/>
      <c r="C210" s="341"/>
      <c r="D210" s="341"/>
      <c r="E210" s="341"/>
      <c r="F210" s="341"/>
      <c r="G210" s="341"/>
      <c r="H210" s="341"/>
      <c r="I210" s="341"/>
      <c r="J210" s="341"/>
      <c r="K210" s="341"/>
      <c r="L210" s="341"/>
      <c r="M210" s="341"/>
      <c r="N210" s="341"/>
      <c r="O210" s="341"/>
      <c r="P210" s="341"/>
      <c r="Q210" s="341"/>
    </row>
    <row r="211" spans="1:17" ht="15.75" thickBot="1" x14ac:dyDescent="0.3">
      <c r="Q211" s="75" t="s">
        <v>1</v>
      </c>
    </row>
    <row r="212" spans="1:17" x14ac:dyDescent="0.25">
      <c r="A212" s="334" t="s">
        <v>2</v>
      </c>
      <c r="B212" s="336" t="s">
        <v>3</v>
      </c>
      <c r="C212" s="342" t="s">
        <v>183</v>
      </c>
      <c r="D212" s="343"/>
      <c r="E212" s="343"/>
      <c r="F212" s="343"/>
      <c r="G212" s="343"/>
      <c r="H212" s="344"/>
      <c r="I212" s="345" t="s">
        <v>82</v>
      </c>
      <c r="J212" s="347">
        <v>2020</v>
      </c>
      <c r="K212" s="343"/>
      <c r="L212" s="343"/>
      <c r="M212" s="343"/>
      <c r="N212" s="343"/>
      <c r="O212" s="344"/>
      <c r="P212" s="345" t="s">
        <v>83</v>
      </c>
      <c r="Q212" s="348" t="s">
        <v>5</v>
      </c>
    </row>
    <row r="213" spans="1:17" x14ac:dyDescent="0.25">
      <c r="A213" s="335"/>
      <c r="B213" s="324"/>
      <c r="C213" s="300" t="s">
        <v>15</v>
      </c>
      <c r="D213" s="300" t="s">
        <v>16</v>
      </c>
      <c r="E213" s="300" t="s">
        <v>17</v>
      </c>
      <c r="F213" s="300" t="s">
        <v>6</v>
      </c>
      <c r="G213" s="300" t="s">
        <v>76</v>
      </c>
      <c r="H213" s="119" t="s">
        <v>77</v>
      </c>
      <c r="I213" s="346"/>
      <c r="J213" s="109" t="s">
        <v>78</v>
      </c>
      <c r="K213" s="300" t="s">
        <v>10</v>
      </c>
      <c r="L213" s="300" t="s">
        <v>11</v>
      </c>
      <c r="M213" s="300" t="s">
        <v>12</v>
      </c>
      <c r="N213" s="300" t="s">
        <v>79</v>
      </c>
      <c r="O213" s="119" t="s">
        <v>80</v>
      </c>
      <c r="P213" s="346"/>
      <c r="Q213" s="349"/>
    </row>
    <row r="214" spans="1:17" ht="15.75" thickBot="1" x14ac:dyDescent="0.3">
      <c r="A214" s="111">
        <v>1</v>
      </c>
      <c r="B214" s="5">
        <v>2</v>
      </c>
      <c r="C214" s="5">
        <v>3</v>
      </c>
      <c r="D214" s="5">
        <v>4</v>
      </c>
      <c r="E214" s="5">
        <v>5</v>
      </c>
      <c r="F214" s="5">
        <v>6</v>
      </c>
      <c r="G214" s="5">
        <v>7</v>
      </c>
      <c r="H214" s="120">
        <v>8</v>
      </c>
      <c r="I214" s="122">
        <v>9</v>
      </c>
      <c r="J214" s="110">
        <v>10</v>
      </c>
      <c r="K214" s="5">
        <v>11</v>
      </c>
      <c r="L214" s="5">
        <v>12</v>
      </c>
      <c r="M214" s="5">
        <v>13</v>
      </c>
      <c r="N214" s="5">
        <v>14</v>
      </c>
      <c r="O214" s="120">
        <v>15</v>
      </c>
      <c r="P214" s="122">
        <v>16</v>
      </c>
      <c r="Q214" s="131">
        <v>17</v>
      </c>
    </row>
    <row r="215" spans="1:17" ht="15.75" thickTop="1" x14ac:dyDescent="0.25">
      <c r="A215" s="83">
        <v>1</v>
      </c>
      <c r="B215" s="7" t="s">
        <v>18</v>
      </c>
      <c r="C215" s="28">
        <v>0</v>
      </c>
      <c r="D215" s="28">
        <v>0</v>
      </c>
      <c r="E215" s="28">
        <v>0</v>
      </c>
      <c r="F215" s="136">
        <f>kedelai!C42</f>
        <v>0</v>
      </c>
      <c r="G215" s="136">
        <f>kedelai!D42</f>
        <v>0</v>
      </c>
      <c r="H215" s="136">
        <f>kedelai!E42</f>
        <v>0</v>
      </c>
      <c r="I215" s="124">
        <f>SUM(C215:H215)</f>
        <v>0</v>
      </c>
      <c r="J215" s="136">
        <v>0</v>
      </c>
      <c r="K215" s="136">
        <v>0</v>
      </c>
      <c r="L215" s="136">
        <v>0</v>
      </c>
      <c r="M215" s="136">
        <f>kedelai!J42</f>
        <v>0</v>
      </c>
      <c r="N215" s="136">
        <f>kedelai!K42</f>
        <v>0</v>
      </c>
      <c r="O215" s="136">
        <f>kedelai!L42</f>
        <v>0</v>
      </c>
      <c r="P215" s="124">
        <f>SUM(J215:O215)</f>
        <v>0</v>
      </c>
      <c r="Q215" s="127">
        <f>SUM(I215,P215)</f>
        <v>0</v>
      </c>
    </row>
    <row r="216" spans="1:17" x14ac:dyDescent="0.25">
      <c r="A216" s="84">
        <v>2</v>
      </c>
      <c r="B216" s="12" t="s">
        <v>19</v>
      </c>
      <c r="C216" s="16">
        <v>0</v>
      </c>
      <c r="D216" s="16">
        <v>0</v>
      </c>
      <c r="E216" s="16">
        <v>0</v>
      </c>
      <c r="F216" s="59">
        <f>kedelai!C43</f>
        <v>0</v>
      </c>
      <c r="G216" s="59">
        <f>kedelai!D43</f>
        <v>0</v>
      </c>
      <c r="H216" s="155">
        <f>kedelai!E43</f>
        <v>0</v>
      </c>
      <c r="I216" s="125">
        <f t="shared" ref="I216:I222" si="88">SUM(C216:H216)</f>
        <v>0</v>
      </c>
      <c r="J216" s="59">
        <v>0</v>
      </c>
      <c r="K216" s="59">
        <v>0</v>
      </c>
      <c r="L216" s="59">
        <v>0</v>
      </c>
      <c r="M216" s="59">
        <f>kedelai!J43</f>
        <v>0</v>
      </c>
      <c r="N216" s="59">
        <f>kedelai!K43</f>
        <v>0</v>
      </c>
      <c r="O216" s="155">
        <f>kedelai!L43</f>
        <v>0</v>
      </c>
      <c r="P216" s="125">
        <f t="shared" ref="P216:P221" si="89">SUM(J216:O216)</f>
        <v>0</v>
      </c>
      <c r="Q216" s="128">
        <f t="shared" ref="Q216:Q222" si="90">SUM(I216,P216)</f>
        <v>0</v>
      </c>
    </row>
    <row r="217" spans="1:17" x14ac:dyDescent="0.25">
      <c r="A217" s="84">
        <v>3</v>
      </c>
      <c r="B217" s="7" t="s">
        <v>20</v>
      </c>
      <c r="C217" s="16">
        <v>0</v>
      </c>
      <c r="D217" s="16">
        <v>0</v>
      </c>
      <c r="E217" s="16">
        <v>0</v>
      </c>
      <c r="F217" s="59">
        <f>kedelai!C44</f>
        <v>0</v>
      </c>
      <c r="G217" s="59">
        <f>kedelai!D44</f>
        <v>0</v>
      </c>
      <c r="H217" s="155">
        <f>kedelai!E44</f>
        <v>0</v>
      </c>
      <c r="I217" s="125">
        <f t="shared" si="88"/>
        <v>0</v>
      </c>
      <c r="J217" s="59">
        <v>0</v>
      </c>
      <c r="K217" s="59">
        <v>0</v>
      </c>
      <c r="L217" s="59">
        <v>0</v>
      </c>
      <c r="M217" s="59">
        <f>kedelai!J44</f>
        <v>0</v>
      </c>
      <c r="N217" s="59">
        <f>kedelai!K44</f>
        <v>0</v>
      </c>
      <c r="O217" s="155">
        <f>kedelai!L44</f>
        <v>0</v>
      </c>
      <c r="P217" s="125">
        <f t="shared" si="89"/>
        <v>0</v>
      </c>
      <c r="Q217" s="128">
        <f t="shared" si="90"/>
        <v>0</v>
      </c>
    </row>
    <row r="218" spans="1:17" x14ac:dyDescent="0.25">
      <c r="A218" s="85">
        <v>4</v>
      </c>
      <c r="B218" s="15" t="s">
        <v>21</v>
      </c>
      <c r="C218" s="16">
        <v>0</v>
      </c>
      <c r="D218" s="16">
        <v>1</v>
      </c>
      <c r="E218" s="16">
        <v>0</v>
      </c>
      <c r="F218" s="59">
        <f>kedelai!C45</f>
        <v>0</v>
      </c>
      <c r="G218" s="59">
        <f>kedelai!D45</f>
        <v>0</v>
      </c>
      <c r="H218" s="155">
        <f>kedelai!E45</f>
        <v>0</v>
      </c>
      <c r="I218" s="125">
        <f t="shared" si="88"/>
        <v>1</v>
      </c>
      <c r="J218" s="59">
        <v>0</v>
      </c>
      <c r="K218" s="59">
        <v>0</v>
      </c>
      <c r="L218" s="59">
        <v>0</v>
      </c>
      <c r="M218" s="59">
        <f>kedelai!J45</f>
        <v>0</v>
      </c>
      <c r="N218" s="59">
        <f>kedelai!K45</f>
        <v>0</v>
      </c>
      <c r="O218" s="155">
        <f>kedelai!L45</f>
        <v>0</v>
      </c>
      <c r="P218" s="125">
        <f t="shared" si="89"/>
        <v>0</v>
      </c>
      <c r="Q218" s="128">
        <f t="shared" si="90"/>
        <v>1</v>
      </c>
    </row>
    <row r="219" spans="1:17" x14ac:dyDescent="0.25">
      <c r="A219" s="85">
        <v>5</v>
      </c>
      <c r="B219" s="19" t="s">
        <v>22</v>
      </c>
      <c r="C219" s="16">
        <v>0</v>
      </c>
      <c r="D219" s="16">
        <v>0</v>
      </c>
      <c r="E219" s="16">
        <v>0</v>
      </c>
      <c r="F219" s="59">
        <f>kedelai!C46</f>
        <v>0</v>
      </c>
      <c r="G219" s="59">
        <f>kedelai!D46</f>
        <v>0</v>
      </c>
      <c r="H219" s="155">
        <f>kedelai!E46</f>
        <v>0</v>
      </c>
      <c r="I219" s="125">
        <f t="shared" si="88"/>
        <v>0</v>
      </c>
      <c r="J219" s="59">
        <v>0</v>
      </c>
      <c r="K219" s="59">
        <v>0</v>
      </c>
      <c r="L219" s="59">
        <v>0</v>
      </c>
      <c r="M219" s="59">
        <f>kedelai!J46</f>
        <v>0</v>
      </c>
      <c r="N219" s="59">
        <f>kedelai!K46</f>
        <v>0</v>
      </c>
      <c r="O219" s="155">
        <f>kedelai!L46</f>
        <v>0</v>
      </c>
      <c r="P219" s="125">
        <f t="shared" si="89"/>
        <v>0</v>
      </c>
      <c r="Q219" s="128">
        <f t="shared" si="90"/>
        <v>0</v>
      </c>
    </row>
    <row r="220" spans="1:17" x14ac:dyDescent="0.25">
      <c r="A220" s="85">
        <v>6</v>
      </c>
      <c r="B220" s="19" t="s">
        <v>23</v>
      </c>
      <c r="C220" s="16">
        <v>0</v>
      </c>
      <c r="D220" s="16">
        <v>0</v>
      </c>
      <c r="E220" s="16">
        <v>0</v>
      </c>
      <c r="F220" s="59">
        <f>kedelai!C47</f>
        <v>0</v>
      </c>
      <c r="G220" s="59">
        <f>kedelai!D47</f>
        <v>0</v>
      </c>
      <c r="H220" s="155">
        <f>kedelai!E47</f>
        <v>0</v>
      </c>
      <c r="I220" s="125">
        <f t="shared" si="88"/>
        <v>0</v>
      </c>
      <c r="J220" s="59">
        <v>0</v>
      </c>
      <c r="K220" s="59">
        <v>0</v>
      </c>
      <c r="L220" s="59">
        <v>0</v>
      </c>
      <c r="M220" s="59">
        <f>kedelai!J47</f>
        <v>0</v>
      </c>
      <c r="N220" s="59">
        <f>kedelai!K47</f>
        <v>0</v>
      </c>
      <c r="O220" s="155">
        <f>kedelai!L47</f>
        <v>0</v>
      </c>
      <c r="P220" s="125">
        <f t="shared" si="89"/>
        <v>0</v>
      </c>
      <c r="Q220" s="128">
        <f t="shared" si="90"/>
        <v>0</v>
      </c>
    </row>
    <row r="221" spans="1:17" x14ac:dyDescent="0.25">
      <c r="A221" s="85">
        <v>7</v>
      </c>
      <c r="B221" s="19" t="s">
        <v>24</v>
      </c>
      <c r="C221" s="16">
        <v>0</v>
      </c>
      <c r="D221" s="16">
        <v>0</v>
      </c>
      <c r="E221" s="16">
        <v>0</v>
      </c>
      <c r="F221" s="59">
        <f>kedelai!C48</f>
        <v>0</v>
      </c>
      <c r="G221" s="59">
        <f>kedelai!D48</f>
        <v>0</v>
      </c>
      <c r="H221" s="155">
        <f>kedelai!E48</f>
        <v>0</v>
      </c>
      <c r="I221" s="125">
        <f t="shared" si="88"/>
        <v>0</v>
      </c>
      <c r="J221" s="59">
        <v>0</v>
      </c>
      <c r="K221" s="59">
        <v>0</v>
      </c>
      <c r="L221" s="59">
        <v>0</v>
      </c>
      <c r="M221" s="59">
        <f>kedelai!J48</f>
        <v>0</v>
      </c>
      <c r="N221" s="59">
        <f>kedelai!K48</f>
        <v>0</v>
      </c>
      <c r="O221" s="155">
        <f>kedelai!L48</f>
        <v>0</v>
      </c>
      <c r="P221" s="125">
        <f t="shared" si="89"/>
        <v>0</v>
      </c>
      <c r="Q221" s="128">
        <f t="shared" si="90"/>
        <v>0</v>
      </c>
    </row>
    <row r="222" spans="1:17" ht="15.75" thickBot="1" x14ac:dyDescent="0.3">
      <c r="A222" s="86">
        <v>8</v>
      </c>
      <c r="B222" s="15" t="s">
        <v>25</v>
      </c>
      <c r="C222" s="17">
        <v>0</v>
      </c>
      <c r="D222" s="17">
        <v>0</v>
      </c>
      <c r="E222" s="17">
        <v>0</v>
      </c>
      <c r="F222" s="137">
        <f>kedelai!C49</f>
        <v>0</v>
      </c>
      <c r="G222" s="137">
        <f>kedelai!D49</f>
        <v>0</v>
      </c>
      <c r="H222" s="137">
        <f>kedelai!E49</f>
        <v>0</v>
      </c>
      <c r="I222" s="126">
        <f t="shared" si="88"/>
        <v>0</v>
      </c>
      <c r="J222" s="137">
        <v>0</v>
      </c>
      <c r="K222" s="137">
        <v>0</v>
      </c>
      <c r="L222" s="137">
        <v>0</v>
      </c>
      <c r="M222" s="137">
        <f>kedelai!J49</f>
        <v>0</v>
      </c>
      <c r="N222" s="137">
        <f>kedelai!K49</f>
        <v>0</v>
      </c>
      <c r="O222" s="137">
        <f>kedelai!L49</f>
        <v>0</v>
      </c>
      <c r="P222" s="126">
        <f>SUM(J222:O222)</f>
        <v>0</v>
      </c>
      <c r="Q222" s="129">
        <f t="shared" si="90"/>
        <v>0</v>
      </c>
    </row>
    <row r="223" spans="1:17" ht="16.5" thickTop="1" thickBot="1" x14ac:dyDescent="0.3">
      <c r="A223" s="339" t="s">
        <v>26</v>
      </c>
      <c r="B223" s="340"/>
      <c r="C223" s="112">
        <f t="shared" ref="C223:H223" si="91">SUM(C215:C222)</f>
        <v>0</v>
      </c>
      <c r="D223" s="112">
        <f t="shared" si="91"/>
        <v>1</v>
      </c>
      <c r="E223" s="112">
        <f t="shared" si="91"/>
        <v>0</v>
      </c>
      <c r="F223" s="112">
        <f t="shared" si="91"/>
        <v>0</v>
      </c>
      <c r="G223" s="112">
        <f t="shared" si="91"/>
        <v>0</v>
      </c>
      <c r="H223" s="121">
        <f t="shared" si="91"/>
        <v>0</v>
      </c>
      <c r="I223" s="123">
        <f>SUM(I215:I222)</f>
        <v>1</v>
      </c>
      <c r="J223" s="133">
        <f t="shared" ref="J223:O223" si="92">SUM(J215:J222)</f>
        <v>0</v>
      </c>
      <c r="K223" s="112">
        <f t="shared" si="92"/>
        <v>0</v>
      </c>
      <c r="L223" s="112">
        <f t="shared" si="92"/>
        <v>0</v>
      </c>
      <c r="M223" s="112">
        <f t="shared" si="92"/>
        <v>0</v>
      </c>
      <c r="N223" s="112">
        <f t="shared" si="92"/>
        <v>0</v>
      </c>
      <c r="O223" s="121">
        <f t="shared" si="92"/>
        <v>0</v>
      </c>
      <c r="P223" s="123">
        <f>SUM(P215:P222)</f>
        <v>0</v>
      </c>
      <c r="Q223" s="130">
        <f>SUM(Q215:Q222)</f>
        <v>1</v>
      </c>
    </row>
    <row r="225" spans="1:17" ht="15.75" x14ac:dyDescent="0.25">
      <c r="A225" s="341" t="s">
        <v>161</v>
      </c>
      <c r="B225" s="341"/>
      <c r="C225" s="341"/>
      <c r="D225" s="341"/>
      <c r="E225" s="341"/>
      <c r="F225" s="341"/>
      <c r="G225" s="341"/>
      <c r="H225" s="341"/>
      <c r="I225" s="341"/>
      <c r="J225" s="341"/>
      <c r="K225" s="341"/>
      <c r="L225" s="341"/>
      <c r="M225" s="341"/>
      <c r="N225" s="341"/>
      <c r="O225" s="341"/>
      <c r="P225" s="341"/>
      <c r="Q225" s="341"/>
    </row>
    <row r="226" spans="1:17" ht="15.75" x14ac:dyDescent="0.25">
      <c r="A226" s="341" t="s">
        <v>81</v>
      </c>
      <c r="B226" s="341"/>
      <c r="C226" s="341"/>
      <c r="D226" s="341"/>
      <c r="E226" s="341"/>
      <c r="F226" s="341"/>
      <c r="G226" s="341"/>
      <c r="H226" s="341"/>
      <c r="I226" s="341"/>
      <c r="J226" s="341"/>
      <c r="K226" s="341"/>
      <c r="L226" s="341"/>
      <c r="M226" s="341"/>
      <c r="N226" s="341"/>
      <c r="O226" s="341"/>
      <c r="P226" s="341"/>
      <c r="Q226" s="341"/>
    </row>
    <row r="227" spans="1:17" ht="15.75" thickBot="1" x14ac:dyDescent="0.3">
      <c r="Q227" s="75" t="s">
        <v>1</v>
      </c>
    </row>
    <row r="228" spans="1:17" x14ac:dyDescent="0.25">
      <c r="A228" s="334" t="s">
        <v>2</v>
      </c>
      <c r="B228" s="336" t="s">
        <v>3</v>
      </c>
      <c r="C228" s="342" t="s">
        <v>183</v>
      </c>
      <c r="D228" s="343"/>
      <c r="E228" s="343"/>
      <c r="F228" s="343"/>
      <c r="G228" s="343"/>
      <c r="H228" s="344"/>
      <c r="I228" s="345" t="s">
        <v>82</v>
      </c>
      <c r="J228" s="347">
        <v>2020</v>
      </c>
      <c r="K228" s="343"/>
      <c r="L228" s="343"/>
      <c r="M228" s="343"/>
      <c r="N228" s="343"/>
      <c r="O228" s="344"/>
      <c r="P228" s="345" t="s">
        <v>83</v>
      </c>
      <c r="Q228" s="348" t="s">
        <v>5</v>
      </c>
    </row>
    <row r="229" spans="1:17" x14ac:dyDescent="0.25">
      <c r="A229" s="335"/>
      <c r="B229" s="324"/>
      <c r="C229" s="300" t="s">
        <v>15</v>
      </c>
      <c r="D229" s="300" t="s">
        <v>16</v>
      </c>
      <c r="E229" s="300" t="s">
        <v>17</v>
      </c>
      <c r="F229" s="300" t="s">
        <v>6</v>
      </c>
      <c r="G229" s="300" t="s">
        <v>76</v>
      </c>
      <c r="H229" s="119" t="s">
        <v>77</v>
      </c>
      <c r="I229" s="346"/>
      <c r="J229" s="109" t="s">
        <v>78</v>
      </c>
      <c r="K229" s="300" t="s">
        <v>10</v>
      </c>
      <c r="L229" s="300" t="s">
        <v>11</v>
      </c>
      <c r="M229" s="300" t="s">
        <v>12</v>
      </c>
      <c r="N229" s="300" t="s">
        <v>79</v>
      </c>
      <c r="O229" s="119" t="s">
        <v>80</v>
      </c>
      <c r="P229" s="346"/>
      <c r="Q229" s="349"/>
    </row>
    <row r="230" spans="1:17" ht="15.75" thickBot="1" x14ac:dyDescent="0.3">
      <c r="A230" s="111">
        <v>1</v>
      </c>
      <c r="B230" s="5">
        <v>2</v>
      </c>
      <c r="C230" s="5">
        <v>3</v>
      </c>
      <c r="D230" s="5">
        <v>4</v>
      </c>
      <c r="E230" s="5">
        <v>5</v>
      </c>
      <c r="F230" s="5">
        <v>6</v>
      </c>
      <c r="G230" s="5">
        <v>7</v>
      </c>
      <c r="H230" s="120">
        <v>8</v>
      </c>
      <c r="I230" s="122">
        <v>9</v>
      </c>
      <c r="J230" s="110">
        <v>10</v>
      </c>
      <c r="K230" s="5">
        <v>11</v>
      </c>
      <c r="L230" s="5">
        <v>12</v>
      </c>
      <c r="M230" s="5">
        <v>13</v>
      </c>
      <c r="N230" s="5">
        <v>14</v>
      </c>
      <c r="O230" s="120">
        <v>15</v>
      </c>
      <c r="P230" s="122">
        <v>16</v>
      </c>
      <c r="Q230" s="131">
        <v>17</v>
      </c>
    </row>
    <row r="231" spans="1:17" ht="15.75" thickTop="1" x14ac:dyDescent="0.25">
      <c r="A231" s="83">
        <v>1</v>
      </c>
      <c r="B231" s="7" t="s">
        <v>18</v>
      </c>
      <c r="C231" s="28">
        <v>0</v>
      </c>
      <c r="D231" s="46">
        <v>0</v>
      </c>
      <c r="E231" s="46">
        <v>0</v>
      </c>
      <c r="F231" s="136">
        <f>'kc tanah'!C42</f>
        <v>0</v>
      </c>
      <c r="G231" s="136">
        <f>'kc tanah'!D42</f>
        <v>0</v>
      </c>
      <c r="H231" s="136">
        <f>'kc tanah'!E42</f>
        <v>0</v>
      </c>
      <c r="I231" s="124">
        <f>SUM(C231:H231)</f>
        <v>0</v>
      </c>
      <c r="J231" s="156">
        <f>'kc tanah'!F42</f>
        <v>60</v>
      </c>
      <c r="K231" s="156">
        <f>'kc tanah'!G42</f>
        <v>40</v>
      </c>
      <c r="L231" s="156">
        <f>'kc tanah'!H42</f>
        <v>0</v>
      </c>
      <c r="M231" s="156">
        <f>'kc tanah'!I42</f>
        <v>0</v>
      </c>
      <c r="N231" s="156">
        <f>'kc tanah'!J42</f>
        <v>0</v>
      </c>
      <c r="O231" s="156">
        <f>'kc tanah'!K42</f>
        <v>0</v>
      </c>
      <c r="P231" s="124">
        <f>SUM(J231:O231)</f>
        <v>100</v>
      </c>
      <c r="Q231" s="127">
        <f>SUM(I231,P231)</f>
        <v>100</v>
      </c>
    </row>
    <row r="232" spans="1:17" x14ac:dyDescent="0.25">
      <c r="A232" s="84">
        <v>2</v>
      </c>
      <c r="B232" s="12" t="s">
        <v>19</v>
      </c>
      <c r="C232" s="16">
        <v>0</v>
      </c>
      <c r="D232" s="47">
        <v>0</v>
      </c>
      <c r="E232" s="47">
        <v>0</v>
      </c>
      <c r="F232" s="59">
        <f>'kc tanah'!C43</f>
        <v>0</v>
      </c>
      <c r="G232" s="59">
        <f>'kc tanah'!D43</f>
        <v>0</v>
      </c>
      <c r="H232" s="155">
        <f>'kc tanah'!E43</f>
        <v>135</v>
      </c>
      <c r="I232" s="125">
        <f t="shared" ref="I232:I238" si="93">SUM(C232:H232)</f>
        <v>135</v>
      </c>
      <c r="J232" s="223">
        <f>'kc tanah'!F43</f>
        <v>45</v>
      </c>
      <c r="K232" s="132">
        <f>'kc tanah'!G43</f>
        <v>0</v>
      </c>
      <c r="L232" s="132">
        <f>'kc tanah'!H43</f>
        <v>110</v>
      </c>
      <c r="M232" s="132">
        <f>'kc tanah'!I43</f>
        <v>35</v>
      </c>
      <c r="N232" s="132">
        <f>'kc tanah'!J43</f>
        <v>0</v>
      </c>
      <c r="O232" s="157">
        <f>'kc tanah'!K43</f>
        <v>0</v>
      </c>
      <c r="P232" s="125">
        <f t="shared" ref="P232:P237" si="94">SUM(J232:O232)</f>
        <v>190</v>
      </c>
      <c r="Q232" s="128">
        <f t="shared" ref="Q232:Q238" si="95">SUM(I232,P232)</f>
        <v>325</v>
      </c>
    </row>
    <row r="233" spans="1:17" x14ac:dyDescent="0.25">
      <c r="A233" s="84">
        <v>3</v>
      </c>
      <c r="B233" s="7" t="s">
        <v>20</v>
      </c>
      <c r="C233" s="16">
        <v>0</v>
      </c>
      <c r="D233" s="16">
        <v>0</v>
      </c>
      <c r="E233" s="16">
        <v>0</v>
      </c>
      <c r="F233" s="59">
        <f>'kc tanah'!C44</f>
        <v>50</v>
      </c>
      <c r="G233" s="59">
        <f>'kc tanah'!D44</f>
        <v>0</v>
      </c>
      <c r="H233" s="155">
        <f>'kc tanah'!E44</f>
        <v>0</v>
      </c>
      <c r="I233" s="125">
        <f t="shared" si="93"/>
        <v>50</v>
      </c>
      <c r="J233" s="223">
        <f>'kc tanah'!F44</f>
        <v>80</v>
      </c>
      <c r="K233" s="132">
        <f>'kc tanah'!G44</f>
        <v>0</v>
      </c>
      <c r="L233" s="132">
        <f>'kc tanah'!H44</f>
        <v>0</v>
      </c>
      <c r="M233" s="132">
        <f>'kc tanah'!I44</f>
        <v>120</v>
      </c>
      <c r="N233" s="132">
        <f>'kc tanah'!J44</f>
        <v>0</v>
      </c>
      <c r="O233" s="157">
        <f>'kc tanah'!K44</f>
        <v>0</v>
      </c>
      <c r="P233" s="125">
        <f t="shared" si="94"/>
        <v>200</v>
      </c>
      <c r="Q233" s="128">
        <f t="shared" si="95"/>
        <v>250</v>
      </c>
    </row>
    <row r="234" spans="1:17" x14ac:dyDescent="0.25">
      <c r="A234" s="85">
        <v>4</v>
      </c>
      <c r="B234" s="15" t="s">
        <v>21</v>
      </c>
      <c r="C234" s="16">
        <v>10</v>
      </c>
      <c r="D234" s="16">
        <v>0</v>
      </c>
      <c r="E234" s="16">
        <v>20</v>
      </c>
      <c r="F234" s="59">
        <f>'kc tanah'!C45</f>
        <v>0</v>
      </c>
      <c r="G234" s="59">
        <f>'kc tanah'!D45</f>
        <v>0</v>
      </c>
      <c r="H234" s="155">
        <f>'kc tanah'!E45</f>
        <v>40</v>
      </c>
      <c r="I234" s="125">
        <f t="shared" si="93"/>
        <v>70</v>
      </c>
      <c r="J234" s="223">
        <f>'kc tanah'!F45</f>
        <v>0</v>
      </c>
      <c r="K234" s="132">
        <f>'kc tanah'!G45</f>
        <v>5</v>
      </c>
      <c r="L234" s="132">
        <f>'kc tanah'!H45</f>
        <v>23</v>
      </c>
      <c r="M234" s="132">
        <f>'kc tanah'!I45</f>
        <v>0</v>
      </c>
      <c r="N234" s="132">
        <f>'kc tanah'!J45</f>
        <v>0</v>
      </c>
      <c r="O234" s="157">
        <f>'kc tanah'!K45</f>
        <v>20</v>
      </c>
      <c r="P234" s="125">
        <f t="shared" si="94"/>
        <v>48</v>
      </c>
      <c r="Q234" s="128">
        <f t="shared" si="95"/>
        <v>118</v>
      </c>
    </row>
    <row r="235" spans="1:17" x14ac:dyDescent="0.25">
      <c r="A235" s="85">
        <v>5</v>
      </c>
      <c r="B235" s="19" t="s">
        <v>22</v>
      </c>
      <c r="C235" s="16">
        <v>0</v>
      </c>
      <c r="D235" s="16">
        <v>0</v>
      </c>
      <c r="E235" s="16">
        <v>0</v>
      </c>
      <c r="F235" s="59">
        <f>'kc tanah'!C46</f>
        <v>0</v>
      </c>
      <c r="G235" s="59">
        <f>'kc tanah'!D46</f>
        <v>0</v>
      </c>
      <c r="H235" s="155">
        <f>'kc tanah'!E46</f>
        <v>271</v>
      </c>
      <c r="I235" s="125">
        <f t="shared" si="93"/>
        <v>271</v>
      </c>
      <c r="J235" s="223">
        <f>'kc tanah'!F46</f>
        <v>0</v>
      </c>
      <c r="K235" s="132">
        <f>'kc tanah'!G46</f>
        <v>0</v>
      </c>
      <c r="L235" s="132">
        <f>'kc tanah'!H46</f>
        <v>12</v>
      </c>
      <c r="M235" s="132">
        <f>'kc tanah'!I46</f>
        <v>50</v>
      </c>
      <c r="N235" s="132">
        <f>'kc tanah'!J46</f>
        <v>0</v>
      </c>
      <c r="O235" s="157">
        <f>'kc tanah'!K46</f>
        <v>0</v>
      </c>
      <c r="P235" s="125">
        <f t="shared" si="94"/>
        <v>62</v>
      </c>
      <c r="Q235" s="128">
        <f t="shared" si="95"/>
        <v>333</v>
      </c>
    </row>
    <row r="236" spans="1:17" x14ac:dyDescent="0.25">
      <c r="A236" s="85">
        <v>6</v>
      </c>
      <c r="B236" s="19" t="s">
        <v>23</v>
      </c>
      <c r="C236" s="16">
        <v>4</v>
      </c>
      <c r="D236" s="16">
        <v>0</v>
      </c>
      <c r="E236" s="16">
        <v>0</v>
      </c>
      <c r="F236" s="59">
        <f>'kc tanah'!C47</f>
        <v>0</v>
      </c>
      <c r="G236" s="59">
        <f>'kc tanah'!D47</f>
        <v>45</v>
      </c>
      <c r="H236" s="155">
        <f>'kc tanah'!E47</f>
        <v>25</v>
      </c>
      <c r="I236" s="125">
        <f t="shared" si="93"/>
        <v>74</v>
      </c>
      <c r="J236" s="223">
        <f>'kc tanah'!F47</f>
        <v>0</v>
      </c>
      <c r="K236" s="132">
        <f>'kc tanah'!G47</f>
        <v>0</v>
      </c>
      <c r="L236" s="132">
        <f>'kc tanah'!H47</f>
        <v>40</v>
      </c>
      <c r="M236" s="132">
        <f>'kc tanah'!I47</f>
        <v>25</v>
      </c>
      <c r="N236" s="132">
        <f>'kc tanah'!J47</f>
        <v>0</v>
      </c>
      <c r="O236" s="157">
        <f>'kc tanah'!K47</f>
        <v>2</v>
      </c>
      <c r="P236" s="125">
        <f t="shared" si="94"/>
        <v>67</v>
      </c>
      <c r="Q236" s="128">
        <f t="shared" si="95"/>
        <v>141</v>
      </c>
    </row>
    <row r="237" spans="1:17" x14ac:dyDescent="0.25">
      <c r="A237" s="85">
        <v>7</v>
      </c>
      <c r="B237" s="19" t="s">
        <v>24</v>
      </c>
      <c r="C237" s="16">
        <v>0</v>
      </c>
      <c r="D237" s="16">
        <v>1</v>
      </c>
      <c r="E237" s="16">
        <v>0</v>
      </c>
      <c r="F237" s="59">
        <f>'kc tanah'!C48</f>
        <v>0</v>
      </c>
      <c r="G237" s="59">
        <f>'kc tanah'!D48</f>
        <v>0</v>
      </c>
      <c r="H237" s="155">
        <f>'kc tanah'!E48</f>
        <v>1</v>
      </c>
      <c r="I237" s="125">
        <f t="shared" si="93"/>
        <v>2</v>
      </c>
      <c r="J237" s="223">
        <f>'kc tanah'!F48</f>
        <v>0</v>
      </c>
      <c r="K237" s="132">
        <f>'kc tanah'!G48</f>
        <v>0</v>
      </c>
      <c r="L237" s="132">
        <f>'kc tanah'!H48</f>
        <v>0</v>
      </c>
      <c r="M237" s="132">
        <f>'kc tanah'!I48</f>
        <v>1</v>
      </c>
      <c r="N237" s="132">
        <f>'kc tanah'!J48</f>
        <v>0</v>
      </c>
      <c r="O237" s="157">
        <f>'kc tanah'!K48</f>
        <v>0</v>
      </c>
      <c r="P237" s="125">
        <f t="shared" si="94"/>
        <v>1</v>
      </c>
      <c r="Q237" s="128">
        <f t="shared" si="95"/>
        <v>3</v>
      </c>
    </row>
    <row r="238" spans="1:17" ht="15.75" thickBot="1" x14ac:dyDescent="0.3">
      <c r="A238" s="86">
        <v>8</v>
      </c>
      <c r="B238" s="15" t="s">
        <v>25</v>
      </c>
      <c r="C238" s="17">
        <v>4</v>
      </c>
      <c r="D238" s="17">
        <v>0</v>
      </c>
      <c r="E238" s="49">
        <v>0</v>
      </c>
      <c r="F238" s="137">
        <f>'kc tanah'!C49</f>
        <v>0</v>
      </c>
      <c r="G238" s="137">
        <f>'kc tanah'!D49</f>
        <v>135</v>
      </c>
      <c r="H238" s="137">
        <f>'kc tanah'!E49</f>
        <v>10</v>
      </c>
      <c r="I238" s="126">
        <f t="shared" si="93"/>
        <v>149</v>
      </c>
      <c r="J238" s="232">
        <f>'kc tanah'!F49</f>
        <v>0</v>
      </c>
      <c r="K238" s="232">
        <f>'kc tanah'!G49</f>
        <v>0</v>
      </c>
      <c r="L238" s="232">
        <f>'kc tanah'!H49</f>
        <v>25</v>
      </c>
      <c r="M238" s="232">
        <f>'kc tanah'!I49</f>
        <v>120</v>
      </c>
      <c r="N238" s="232">
        <f>'kc tanah'!J49</f>
        <v>0</v>
      </c>
      <c r="O238" s="232">
        <f>'kc tanah'!K49</f>
        <v>0</v>
      </c>
      <c r="P238" s="126">
        <f>SUM(J238:O238)</f>
        <v>145</v>
      </c>
      <c r="Q238" s="129">
        <f t="shared" si="95"/>
        <v>294</v>
      </c>
    </row>
    <row r="239" spans="1:17" ht="16.5" thickTop="1" thickBot="1" x14ac:dyDescent="0.3">
      <c r="A239" s="339" t="s">
        <v>26</v>
      </c>
      <c r="B239" s="340"/>
      <c r="C239" s="112">
        <f t="shared" ref="C239:H239" si="96">SUM(C231:C238)</f>
        <v>18</v>
      </c>
      <c r="D239" s="112">
        <f t="shared" si="96"/>
        <v>1</v>
      </c>
      <c r="E239" s="112">
        <f t="shared" si="96"/>
        <v>20</v>
      </c>
      <c r="F239" s="112">
        <f t="shared" si="96"/>
        <v>50</v>
      </c>
      <c r="G239" s="112">
        <f t="shared" si="96"/>
        <v>180</v>
      </c>
      <c r="H239" s="121">
        <f t="shared" si="96"/>
        <v>482</v>
      </c>
      <c r="I239" s="123">
        <f>SUM(I231:I238)</f>
        <v>751</v>
      </c>
      <c r="J239" s="133">
        <f t="shared" ref="J239:O239" si="97">SUM(J231:J238)</f>
        <v>185</v>
      </c>
      <c r="K239" s="112">
        <f t="shared" si="97"/>
        <v>45</v>
      </c>
      <c r="L239" s="112">
        <f t="shared" si="97"/>
        <v>210</v>
      </c>
      <c r="M239" s="112">
        <f t="shared" si="97"/>
        <v>351</v>
      </c>
      <c r="N239" s="112">
        <f t="shared" si="97"/>
        <v>0</v>
      </c>
      <c r="O239" s="121">
        <f t="shared" si="97"/>
        <v>22</v>
      </c>
      <c r="P239" s="123">
        <f>SUM(P231:P238)</f>
        <v>813</v>
      </c>
      <c r="Q239" s="130">
        <f>SUM(Q231:Q238)</f>
        <v>1564</v>
      </c>
    </row>
    <row r="241" spans="1:17" ht="15.75" x14ac:dyDescent="0.25">
      <c r="A241" s="341" t="s">
        <v>162</v>
      </c>
      <c r="B241" s="341"/>
      <c r="C241" s="341"/>
      <c r="D241" s="341"/>
      <c r="E241" s="341"/>
      <c r="F241" s="341"/>
      <c r="G241" s="341"/>
      <c r="H241" s="341"/>
      <c r="I241" s="341"/>
      <c r="J241" s="341"/>
      <c r="K241" s="341"/>
      <c r="L241" s="341"/>
      <c r="M241" s="341"/>
      <c r="N241" s="341"/>
      <c r="O241" s="341"/>
      <c r="P241" s="341"/>
      <c r="Q241" s="341"/>
    </row>
    <row r="242" spans="1:17" ht="15.75" x14ac:dyDescent="0.25">
      <c r="A242" s="341" t="s">
        <v>81</v>
      </c>
      <c r="B242" s="341"/>
      <c r="C242" s="341"/>
      <c r="D242" s="341"/>
      <c r="E242" s="341"/>
      <c r="F242" s="341"/>
      <c r="G242" s="341"/>
      <c r="H242" s="341"/>
      <c r="I242" s="341"/>
      <c r="J242" s="341"/>
      <c r="K242" s="341"/>
      <c r="L242" s="341"/>
      <c r="M242" s="341"/>
      <c r="N242" s="341"/>
      <c r="O242" s="341"/>
      <c r="P242" s="341"/>
      <c r="Q242" s="341"/>
    </row>
    <row r="243" spans="1:17" ht="15.75" thickBot="1" x14ac:dyDescent="0.3">
      <c r="Q243" s="75" t="s">
        <v>1</v>
      </c>
    </row>
    <row r="244" spans="1:17" x14ac:dyDescent="0.25">
      <c r="A244" s="334" t="s">
        <v>2</v>
      </c>
      <c r="B244" s="336" t="s">
        <v>3</v>
      </c>
      <c r="C244" s="342" t="s">
        <v>183</v>
      </c>
      <c r="D244" s="343"/>
      <c r="E244" s="343"/>
      <c r="F244" s="343"/>
      <c r="G244" s="343"/>
      <c r="H244" s="344"/>
      <c r="I244" s="345" t="s">
        <v>82</v>
      </c>
      <c r="J244" s="347">
        <v>2020</v>
      </c>
      <c r="K244" s="343"/>
      <c r="L244" s="343"/>
      <c r="M244" s="343"/>
      <c r="N244" s="343"/>
      <c r="O244" s="344"/>
      <c r="P244" s="345" t="s">
        <v>83</v>
      </c>
      <c r="Q244" s="348" t="s">
        <v>5</v>
      </c>
    </row>
    <row r="245" spans="1:17" x14ac:dyDescent="0.25">
      <c r="A245" s="335"/>
      <c r="B245" s="324"/>
      <c r="C245" s="300" t="s">
        <v>15</v>
      </c>
      <c r="D245" s="300" t="s">
        <v>16</v>
      </c>
      <c r="E245" s="300" t="s">
        <v>17</v>
      </c>
      <c r="F245" s="300" t="s">
        <v>6</v>
      </c>
      <c r="G245" s="300" t="s">
        <v>76</v>
      </c>
      <c r="H245" s="119" t="s">
        <v>77</v>
      </c>
      <c r="I245" s="346"/>
      <c r="J245" s="109" t="s">
        <v>78</v>
      </c>
      <c r="K245" s="300" t="s">
        <v>10</v>
      </c>
      <c r="L245" s="300" t="s">
        <v>11</v>
      </c>
      <c r="M245" s="300" t="s">
        <v>12</v>
      </c>
      <c r="N245" s="300" t="s">
        <v>79</v>
      </c>
      <c r="O245" s="119" t="s">
        <v>80</v>
      </c>
      <c r="P245" s="346"/>
      <c r="Q245" s="349"/>
    </row>
    <row r="246" spans="1:17" ht="15.75" thickBot="1" x14ac:dyDescent="0.3">
      <c r="A246" s="111">
        <v>1</v>
      </c>
      <c r="B246" s="5">
        <v>2</v>
      </c>
      <c r="C246" s="5">
        <v>3</v>
      </c>
      <c r="D246" s="5">
        <v>4</v>
      </c>
      <c r="E246" s="5">
        <v>5</v>
      </c>
      <c r="F246" s="5">
        <v>6</v>
      </c>
      <c r="G246" s="5">
        <v>7</v>
      </c>
      <c r="H246" s="120">
        <v>8</v>
      </c>
      <c r="I246" s="122">
        <v>9</v>
      </c>
      <c r="J246" s="110">
        <v>10</v>
      </c>
      <c r="K246" s="5">
        <v>11</v>
      </c>
      <c r="L246" s="5">
        <v>12</v>
      </c>
      <c r="M246" s="5">
        <v>13</v>
      </c>
      <c r="N246" s="5">
        <v>14</v>
      </c>
      <c r="O246" s="120">
        <v>15</v>
      </c>
      <c r="P246" s="122">
        <v>16</v>
      </c>
      <c r="Q246" s="131">
        <v>17</v>
      </c>
    </row>
    <row r="247" spans="1:17" ht="15.75" thickTop="1" x14ac:dyDescent="0.25">
      <c r="A247" s="83">
        <v>1</v>
      </c>
      <c r="B247" s="7" t="s">
        <v>18</v>
      </c>
      <c r="C247" s="28">
        <v>0</v>
      </c>
      <c r="D247" s="28">
        <v>0</v>
      </c>
      <c r="E247" s="16">
        <v>0</v>
      </c>
      <c r="F247" s="136">
        <f>'ubi kayu'!C41</f>
        <v>0</v>
      </c>
      <c r="G247" s="136">
        <f>'ubi kayu'!D41</f>
        <v>0</v>
      </c>
      <c r="H247" s="136">
        <f>'ubi kayu'!E41</f>
        <v>0</v>
      </c>
      <c r="I247" s="124">
        <f>SUM(C247:H247)</f>
        <v>0</v>
      </c>
      <c r="J247" s="156">
        <f>'ubi kayu'!F41</f>
        <v>0</v>
      </c>
      <c r="K247" s="156">
        <f>'ubi kayu'!G41</f>
        <v>2</v>
      </c>
      <c r="L247" s="156">
        <f>'ubi kayu'!H41</f>
        <v>0</v>
      </c>
      <c r="M247" s="156">
        <f>'ubi kayu'!I41</f>
        <v>0</v>
      </c>
      <c r="N247" s="156">
        <f>'ubi kayu'!J41</f>
        <v>2</v>
      </c>
      <c r="O247" s="156">
        <f>'ubi kayu'!K41</f>
        <v>1</v>
      </c>
      <c r="P247" s="124">
        <f>SUM(J247:O247)</f>
        <v>5</v>
      </c>
      <c r="Q247" s="127">
        <f>SUM(I247,P247)</f>
        <v>5</v>
      </c>
    </row>
    <row r="248" spans="1:17" x14ac:dyDescent="0.25">
      <c r="A248" s="84">
        <v>2</v>
      </c>
      <c r="B248" s="12" t="s">
        <v>19</v>
      </c>
      <c r="C248" s="16">
        <v>0</v>
      </c>
      <c r="D248" s="16">
        <v>0</v>
      </c>
      <c r="E248" s="17">
        <v>1</v>
      </c>
      <c r="F248" s="59">
        <f>'ubi kayu'!C42</f>
        <v>2</v>
      </c>
      <c r="G248" s="59">
        <f>'ubi kayu'!D42</f>
        <v>0</v>
      </c>
      <c r="H248" s="155">
        <f>'ubi kayu'!E42</f>
        <v>0</v>
      </c>
      <c r="I248" s="125">
        <f t="shared" ref="I248:I254" si="98">SUM(C248:H248)</f>
        <v>3</v>
      </c>
      <c r="J248" s="223">
        <f>'ubi kayu'!F42</f>
        <v>0</v>
      </c>
      <c r="K248" s="132">
        <f>'ubi kayu'!G42</f>
        <v>0</v>
      </c>
      <c r="L248" s="132">
        <f>'ubi kayu'!H42</f>
        <v>0</v>
      </c>
      <c r="M248" s="132">
        <f>'ubi kayu'!I42</f>
        <v>0</v>
      </c>
      <c r="N248" s="132">
        <f>'ubi kayu'!J42</f>
        <v>0</v>
      </c>
      <c r="O248" s="157">
        <f>'ubi kayu'!K42</f>
        <v>0</v>
      </c>
      <c r="P248" s="125">
        <f t="shared" ref="P248:P253" si="99">SUM(J248:O248)</f>
        <v>0</v>
      </c>
      <c r="Q248" s="128">
        <f t="shared" ref="Q248:Q254" si="100">SUM(I248,P248)</f>
        <v>3</v>
      </c>
    </row>
    <row r="249" spans="1:17" x14ac:dyDescent="0.25">
      <c r="A249" s="84">
        <v>3</v>
      </c>
      <c r="B249" s="7" t="s">
        <v>20</v>
      </c>
      <c r="C249" s="16">
        <v>0</v>
      </c>
      <c r="D249" s="16">
        <v>0</v>
      </c>
      <c r="E249" s="16">
        <v>0</v>
      </c>
      <c r="F249" s="59">
        <f>'ubi kayu'!C43</f>
        <v>0</v>
      </c>
      <c r="G249" s="59">
        <f>'ubi kayu'!D43</f>
        <v>0</v>
      </c>
      <c r="H249" s="155">
        <f>'ubi kayu'!E43</f>
        <v>0</v>
      </c>
      <c r="I249" s="125">
        <f t="shared" si="98"/>
        <v>0</v>
      </c>
      <c r="J249" s="223">
        <f>'ubi kayu'!F43</f>
        <v>0</v>
      </c>
      <c r="K249" s="132">
        <f>'ubi kayu'!G43</f>
        <v>0</v>
      </c>
      <c r="L249" s="132">
        <f>'ubi kayu'!H43</f>
        <v>0</v>
      </c>
      <c r="M249" s="132">
        <f>'ubi kayu'!I43</f>
        <v>0</v>
      </c>
      <c r="N249" s="132">
        <f>'ubi kayu'!J43</f>
        <v>0</v>
      </c>
      <c r="O249" s="157">
        <f>'ubi kayu'!K43</f>
        <v>0</v>
      </c>
      <c r="P249" s="125">
        <f t="shared" si="99"/>
        <v>0</v>
      </c>
      <c r="Q249" s="128">
        <f t="shared" si="100"/>
        <v>0</v>
      </c>
    </row>
    <row r="250" spans="1:17" x14ac:dyDescent="0.25">
      <c r="A250" s="85">
        <v>4</v>
      </c>
      <c r="B250" s="15" t="s">
        <v>21</v>
      </c>
      <c r="C250" s="16">
        <v>1</v>
      </c>
      <c r="D250" s="16">
        <v>0</v>
      </c>
      <c r="E250" s="17">
        <v>0</v>
      </c>
      <c r="F250" s="59">
        <f>'ubi kayu'!C44</f>
        <v>0</v>
      </c>
      <c r="G250" s="59">
        <f>'ubi kayu'!D44</f>
        <v>0</v>
      </c>
      <c r="H250" s="155">
        <f>'ubi kayu'!E44</f>
        <v>0</v>
      </c>
      <c r="I250" s="125">
        <f t="shared" si="98"/>
        <v>1</v>
      </c>
      <c r="J250" s="223">
        <f>'ubi kayu'!F44</f>
        <v>0</v>
      </c>
      <c r="K250" s="132">
        <f>'ubi kayu'!G44</f>
        <v>0</v>
      </c>
      <c r="L250" s="132">
        <f>'ubi kayu'!H44</f>
        <v>0</v>
      </c>
      <c r="M250" s="132">
        <f>'ubi kayu'!I44</f>
        <v>0</v>
      </c>
      <c r="N250" s="132">
        <f>'ubi kayu'!J44</f>
        <v>0</v>
      </c>
      <c r="O250" s="157">
        <f>'ubi kayu'!K44</f>
        <v>0</v>
      </c>
      <c r="P250" s="125">
        <f t="shared" si="99"/>
        <v>0</v>
      </c>
      <c r="Q250" s="128">
        <f t="shared" si="100"/>
        <v>1</v>
      </c>
    </row>
    <row r="251" spans="1:17" x14ac:dyDescent="0.25">
      <c r="A251" s="85">
        <v>5</v>
      </c>
      <c r="B251" s="19" t="s">
        <v>22</v>
      </c>
      <c r="C251" s="16">
        <v>0</v>
      </c>
      <c r="D251" s="16">
        <v>0</v>
      </c>
      <c r="E251" s="16">
        <v>1</v>
      </c>
      <c r="F251" s="59">
        <f>'ubi kayu'!C45</f>
        <v>0</v>
      </c>
      <c r="G251" s="59">
        <f>'ubi kayu'!D45</f>
        <v>0</v>
      </c>
      <c r="H251" s="155">
        <f>'ubi kayu'!E45</f>
        <v>0</v>
      </c>
      <c r="I251" s="125">
        <f t="shared" si="98"/>
        <v>1</v>
      </c>
      <c r="J251" s="223">
        <f>'ubi kayu'!F45</f>
        <v>0</v>
      </c>
      <c r="K251" s="132">
        <f>'ubi kayu'!G45</f>
        <v>0</v>
      </c>
      <c r="L251" s="132">
        <f>'ubi kayu'!H45</f>
        <v>2</v>
      </c>
      <c r="M251" s="132">
        <f>'ubi kayu'!I45</f>
        <v>1</v>
      </c>
      <c r="N251" s="132">
        <f>'ubi kayu'!J45</f>
        <v>0</v>
      </c>
      <c r="O251" s="157">
        <f>'ubi kayu'!K45</f>
        <v>0</v>
      </c>
      <c r="P251" s="125">
        <f t="shared" si="99"/>
        <v>3</v>
      </c>
      <c r="Q251" s="128">
        <f t="shared" si="100"/>
        <v>4</v>
      </c>
    </row>
    <row r="252" spans="1:17" x14ac:dyDescent="0.25">
      <c r="A252" s="85">
        <v>6</v>
      </c>
      <c r="B252" s="19" t="s">
        <v>23</v>
      </c>
      <c r="C252" s="16">
        <v>0</v>
      </c>
      <c r="D252" s="16">
        <v>1</v>
      </c>
      <c r="E252" s="16">
        <v>1</v>
      </c>
      <c r="F252" s="59">
        <f>'ubi kayu'!C46</f>
        <v>0</v>
      </c>
      <c r="G252" s="59">
        <f>'ubi kayu'!D46</f>
        <v>0</v>
      </c>
      <c r="H252" s="155">
        <f>'ubi kayu'!E46</f>
        <v>0</v>
      </c>
      <c r="I252" s="125">
        <f t="shared" si="98"/>
        <v>2</v>
      </c>
      <c r="J252" s="223">
        <f>'ubi kayu'!F46</f>
        <v>0</v>
      </c>
      <c r="K252" s="132">
        <f>'ubi kayu'!G46</f>
        <v>1</v>
      </c>
      <c r="L252" s="132">
        <f>'ubi kayu'!H46</f>
        <v>0</v>
      </c>
      <c r="M252" s="132">
        <f>'ubi kayu'!I46</f>
        <v>0</v>
      </c>
      <c r="N252" s="132">
        <f>'ubi kayu'!J46</f>
        <v>0</v>
      </c>
      <c r="O252" s="157">
        <f>'ubi kayu'!K46</f>
        <v>0</v>
      </c>
      <c r="P252" s="125">
        <f t="shared" si="99"/>
        <v>1</v>
      </c>
      <c r="Q252" s="128">
        <f t="shared" si="100"/>
        <v>3</v>
      </c>
    </row>
    <row r="253" spans="1:17" x14ac:dyDescent="0.25">
      <c r="A253" s="85">
        <v>7</v>
      </c>
      <c r="B253" s="19" t="s">
        <v>24</v>
      </c>
      <c r="C253" s="16">
        <v>0</v>
      </c>
      <c r="D253" s="16">
        <v>0</v>
      </c>
      <c r="E253" s="16">
        <v>0</v>
      </c>
      <c r="F253" s="59">
        <f>'ubi kayu'!C47</f>
        <v>0</v>
      </c>
      <c r="G253" s="59">
        <f>'ubi kayu'!D47</f>
        <v>0</v>
      </c>
      <c r="H253" s="155">
        <f>'ubi kayu'!E47</f>
        <v>0</v>
      </c>
      <c r="I253" s="125">
        <f t="shared" si="98"/>
        <v>0</v>
      </c>
      <c r="J253" s="223">
        <f>'ubi kayu'!F47</f>
        <v>0</v>
      </c>
      <c r="K253" s="132">
        <f>'ubi kayu'!G47</f>
        <v>0</v>
      </c>
      <c r="L253" s="132">
        <f>'ubi kayu'!H47</f>
        <v>0</v>
      </c>
      <c r="M253" s="132">
        <f>'ubi kayu'!I47</f>
        <v>0</v>
      </c>
      <c r="N253" s="132">
        <f>'ubi kayu'!J47</f>
        <v>0</v>
      </c>
      <c r="O253" s="157">
        <f>'ubi kayu'!K47</f>
        <v>0</v>
      </c>
      <c r="P253" s="125">
        <f t="shared" si="99"/>
        <v>0</v>
      </c>
      <c r="Q253" s="128">
        <f t="shared" si="100"/>
        <v>0</v>
      </c>
    </row>
    <row r="254" spans="1:17" ht="15.75" thickBot="1" x14ac:dyDescent="0.3">
      <c r="A254" s="86">
        <v>8</v>
      </c>
      <c r="B254" s="15" t="s">
        <v>25</v>
      </c>
      <c r="C254" s="17">
        <v>0</v>
      </c>
      <c r="D254" s="17">
        <v>0</v>
      </c>
      <c r="E254" s="17">
        <v>1</v>
      </c>
      <c r="F254" s="137">
        <f>'ubi kayu'!C48</f>
        <v>0</v>
      </c>
      <c r="G254" s="137">
        <f>'ubi kayu'!D48</f>
        <v>0</v>
      </c>
      <c r="H254" s="137">
        <f>'ubi kayu'!E48</f>
        <v>0</v>
      </c>
      <c r="I254" s="126">
        <f t="shared" si="98"/>
        <v>1</v>
      </c>
      <c r="J254" s="232">
        <f>'ubi kayu'!F48</f>
        <v>2</v>
      </c>
      <c r="K254" s="232">
        <f>'ubi kayu'!G48</f>
        <v>0</v>
      </c>
      <c r="L254" s="232">
        <f>'ubi kayu'!H48</f>
        <v>1</v>
      </c>
      <c r="M254" s="232">
        <f>'ubi kayu'!I48</f>
        <v>1</v>
      </c>
      <c r="N254" s="232">
        <f>'ubi kayu'!J48</f>
        <v>2</v>
      </c>
      <c r="O254" s="232">
        <f>'ubi kayu'!K48</f>
        <v>0</v>
      </c>
      <c r="P254" s="126">
        <f>SUM(J254:O254)</f>
        <v>6</v>
      </c>
      <c r="Q254" s="129">
        <f t="shared" si="100"/>
        <v>7</v>
      </c>
    </row>
    <row r="255" spans="1:17" ht="16.5" thickTop="1" thickBot="1" x14ac:dyDescent="0.3">
      <c r="A255" s="339" t="s">
        <v>26</v>
      </c>
      <c r="B255" s="340"/>
      <c r="C255" s="112">
        <f t="shared" ref="C255:H255" si="101">SUM(C247:C254)</f>
        <v>1</v>
      </c>
      <c r="D255" s="112">
        <f t="shared" si="101"/>
        <v>1</v>
      </c>
      <c r="E255" s="112">
        <f t="shared" si="101"/>
        <v>4</v>
      </c>
      <c r="F255" s="112">
        <f t="shared" si="101"/>
        <v>2</v>
      </c>
      <c r="G255" s="112">
        <f t="shared" si="101"/>
        <v>0</v>
      </c>
      <c r="H255" s="121">
        <f t="shared" si="101"/>
        <v>0</v>
      </c>
      <c r="I255" s="123">
        <f>SUM(I247:I254)</f>
        <v>8</v>
      </c>
      <c r="J255" s="133">
        <f t="shared" ref="J255:O255" si="102">SUM(J247:J254)</f>
        <v>2</v>
      </c>
      <c r="K255" s="112">
        <f t="shared" si="102"/>
        <v>3</v>
      </c>
      <c r="L255" s="112">
        <f t="shared" si="102"/>
        <v>3</v>
      </c>
      <c r="M255" s="112">
        <f t="shared" si="102"/>
        <v>2</v>
      </c>
      <c r="N255" s="112">
        <f t="shared" si="102"/>
        <v>4</v>
      </c>
      <c r="O255" s="121">
        <f t="shared" si="102"/>
        <v>1</v>
      </c>
      <c r="P255" s="123">
        <f>SUM(P247:P254)</f>
        <v>15</v>
      </c>
      <c r="Q255" s="130">
        <f>SUM(Q247:Q254)</f>
        <v>23</v>
      </c>
    </row>
    <row r="257" spans="1:17" ht="15.75" x14ac:dyDescent="0.25">
      <c r="A257" s="341" t="s">
        <v>163</v>
      </c>
      <c r="B257" s="341"/>
      <c r="C257" s="341"/>
      <c r="D257" s="341"/>
      <c r="E257" s="341"/>
      <c r="F257" s="341"/>
      <c r="G257" s="341"/>
      <c r="H257" s="341"/>
      <c r="I257" s="341"/>
      <c r="J257" s="341"/>
      <c r="K257" s="341"/>
      <c r="L257" s="341"/>
      <c r="M257" s="341"/>
      <c r="N257" s="341"/>
      <c r="O257" s="341"/>
      <c r="P257" s="341"/>
      <c r="Q257" s="341"/>
    </row>
    <row r="258" spans="1:17" ht="15.75" x14ac:dyDescent="0.25">
      <c r="A258" s="341" t="s">
        <v>81</v>
      </c>
      <c r="B258" s="341"/>
      <c r="C258" s="341"/>
      <c r="D258" s="341"/>
      <c r="E258" s="341"/>
      <c r="F258" s="341"/>
      <c r="G258" s="341"/>
      <c r="H258" s="341"/>
      <c r="I258" s="341"/>
      <c r="J258" s="341"/>
      <c r="K258" s="341"/>
      <c r="L258" s="341"/>
      <c r="M258" s="341"/>
      <c r="N258" s="341"/>
      <c r="O258" s="341"/>
      <c r="P258" s="341"/>
      <c r="Q258" s="341"/>
    </row>
    <row r="259" spans="1:17" ht="15.75" thickBot="1" x14ac:dyDescent="0.3">
      <c r="Q259" s="75" t="s">
        <v>1</v>
      </c>
    </row>
    <row r="260" spans="1:17" x14ac:dyDescent="0.25">
      <c r="A260" s="334" t="s">
        <v>2</v>
      </c>
      <c r="B260" s="336" t="s">
        <v>3</v>
      </c>
      <c r="C260" s="342" t="s">
        <v>183</v>
      </c>
      <c r="D260" s="343"/>
      <c r="E260" s="343"/>
      <c r="F260" s="343"/>
      <c r="G260" s="343"/>
      <c r="H260" s="344"/>
      <c r="I260" s="345" t="s">
        <v>82</v>
      </c>
      <c r="J260" s="347">
        <v>2020</v>
      </c>
      <c r="K260" s="343"/>
      <c r="L260" s="343"/>
      <c r="M260" s="343"/>
      <c r="N260" s="343"/>
      <c r="O260" s="344"/>
      <c r="P260" s="345" t="s">
        <v>83</v>
      </c>
      <c r="Q260" s="348" t="s">
        <v>5</v>
      </c>
    </row>
    <row r="261" spans="1:17" x14ac:dyDescent="0.25">
      <c r="A261" s="335"/>
      <c r="B261" s="324"/>
      <c r="C261" s="300" t="s">
        <v>15</v>
      </c>
      <c r="D261" s="300" t="s">
        <v>16</v>
      </c>
      <c r="E261" s="300" t="s">
        <v>17</v>
      </c>
      <c r="F261" s="300" t="s">
        <v>6</v>
      </c>
      <c r="G261" s="300" t="s">
        <v>76</v>
      </c>
      <c r="H261" s="119" t="s">
        <v>77</v>
      </c>
      <c r="I261" s="346"/>
      <c r="J261" s="109" t="s">
        <v>78</v>
      </c>
      <c r="K261" s="300" t="s">
        <v>10</v>
      </c>
      <c r="L261" s="300" t="s">
        <v>11</v>
      </c>
      <c r="M261" s="300" t="s">
        <v>12</v>
      </c>
      <c r="N261" s="300" t="s">
        <v>79</v>
      </c>
      <c r="O261" s="119" t="s">
        <v>80</v>
      </c>
      <c r="P261" s="346"/>
      <c r="Q261" s="349"/>
    </row>
    <row r="262" spans="1:17" ht="15.75" thickBot="1" x14ac:dyDescent="0.3">
      <c r="A262" s="111">
        <v>1</v>
      </c>
      <c r="B262" s="5">
        <v>2</v>
      </c>
      <c r="C262" s="5">
        <v>3</v>
      </c>
      <c r="D262" s="5">
        <v>4</v>
      </c>
      <c r="E262" s="5">
        <v>5</v>
      </c>
      <c r="F262" s="5">
        <v>6</v>
      </c>
      <c r="G262" s="5">
        <v>7</v>
      </c>
      <c r="H262" s="120">
        <v>8</v>
      </c>
      <c r="I262" s="122">
        <v>9</v>
      </c>
      <c r="J262" s="110">
        <v>10</v>
      </c>
      <c r="K262" s="5">
        <v>11</v>
      </c>
      <c r="L262" s="5">
        <v>12</v>
      </c>
      <c r="M262" s="5">
        <v>13</v>
      </c>
      <c r="N262" s="5">
        <v>14</v>
      </c>
      <c r="O262" s="120">
        <v>15</v>
      </c>
      <c r="P262" s="122">
        <v>16</v>
      </c>
      <c r="Q262" s="131">
        <v>17</v>
      </c>
    </row>
    <row r="263" spans="1:17" ht="15.75" thickTop="1" x14ac:dyDescent="0.25">
      <c r="A263" s="83">
        <v>1</v>
      </c>
      <c r="B263" s="7" t="s">
        <v>18</v>
      </c>
      <c r="C263" s="28">
        <v>0</v>
      </c>
      <c r="D263" s="28">
        <v>0</v>
      </c>
      <c r="E263" s="28">
        <v>0</v>
      </c>
      <c r="F263" s="136">
        <f>'ubi jalar'!C42</f>
        <v>0</v>
      </c>
      <c r="G263" s="136">
        <f>'ubi jalar'!D42</f>
        <v>0</v>
      </c>
      <c r="H263" s="136">
        <f>'ubi jalar'!E42</f>
        <v>0</v>
      </c>
      <c r="I263" s="124">
        <f>SUM(C263:H263)</f>
        <v>0</v>
      </c>
      <c r="J263" s="156">
        <f>'ubi jalar'!F42</f>
        <v>0</v>
      </c>
      <c r="K263" s="156">
        <f>'ubi jalar'!G42</f>
        <v>9</v>
      </c>
      <c r="L263" s="156">
        <f>'ubi jalar'!H42</f>
        <v>0</v>
      </c>
      <c r="M263" s="156">
        <f>'ubi jalar'!I42</f>
        <v>0</v>
      </c>
      <c r="N263" s="156">
        <f>'ubi jalar'!J42</f>
        <v>1</v>
      </c>
      <c r="O263" s="156">
        <f>'ubi jalar'!K42</f>
        <v>0</v>
      </c>
      <c r="P263" s="124">
        <f>SUM(J263:O263)</f>
        <v>10</v>
      </c>
      <c r="Q263" s="127">
        <f>SUM(I263,P263)</f>
        <v>10</v>
      </c>
    </row>
    <row r="264" spans="1:17" x14ac:dyDescent="0.25">
      <c r="A264" s="84">
        <v>2</v>
      </c>
      <c r="B264" s="12" t="s">
        <v>19</v>
      </c>
      <c r="C264" s="16">
        <v>0</v>
      </c>
      <c r="D264" s="16">
        <v>1</v>
      </c>
      <c r="E264" s="16">
        <v>0</v>
      </c>
      <c r="F264" s="59">
        <f>'ubi jalar'!C43</f>
        <v>0</v>
      </c>
      <c r="G264" s="59">
        <f>'ubi jalar'!D43</f>
        <v>0</v>
      </c>
      <c r="H264" s="155">
        <f>'ubi jalar'!E43</f>
        <v>1</v>
      </c>
      <c r="I264" s="125">
        <f t="shared" ref="I264:I270" si="103">SUM(C264:H264)</f>
        <v>2</v>
      </c>
      <c r="J264" s="223">
        <f>'ubi jalar'!F43</f>
        <v>1</v>
      </c>
      <c r="K264" s="132">
        <f>'ubi jalar'!G43</f>
        <v>0</v>
      </c>
      <c r="L264" s="132">
        <f>'ubi jalar'!H43</f>
        <v>0</v>
      </c>
      <c r="M264" s="132">
        <f>'ubi jalar'!I43</f>
        <v>0</v>
      </c>
      <c r="N264" s="132">
        <f>'ubi jalar'!J43</f>
        <v>1</v>
      </c>
      <c r="O264" s="157">
        <f>'ubi jalar'!K43</f>
        <v>1</v>
      </c>
      <c r="P264" s="125">
        <f t="shared" ref="P264:P269" si="104">SUM(J264:O264)</f>
        <v>3</v>
      </c>
      <c r="Q264" s="128">
        <f t="shared" ref="Q264:Q270" si="105">SUM(I264,P264)</f>
        <v>5</v>
      </c>
    </row>
    <row r="265" spans="1:17" x14ac:dyDescent="0.25">
      <c r="A265" s="84">
        <v>3</v>
      </c>
      <c r="B265" s="7" t="s">
        <v>20</v>
      </c>
      <c r="C265" s="16">
        <v>0</v>
      </c>
      <c r="D265" s="16">
        <v>0</v>
      </c>
      <c r="E265" s="16">
        <v>0</v>
      </c>
      <c r="F265" s="59">
        <f>'ubi jalar'!C44</f>
        <v>0</v>
      </c>
      <c r="G265" s="59">
        <f>'ubi jalar'!D44</f>
        <v>0</v>
      </c>
      <c r="H265" s="155">
        <f>'ubi jalar'!E44</f>
        <v>0</v>
      </c>
      <c r="I265" s="125">
        <f t="shared" si="103"/>
        <v>0</v>
      </c>
      <c r="J265" s="223">
        <f>'ubi jalar'!F44</f>
        <v>0</v>
      </c>
      <c r="K265" s="132">
        <f>'ubi jalar'!G44</f>
        <v>0</v>
      </c>
      <c r="L265" s="132">
        <f>'ubi jalar'!H44</f>
        <v>0</v>
      </c>
      <c r="M265" s="132">
        <f>'ubi jalar'!I44</f>
        <v>0</v>
      </c>
      <c r="N265" s="132">
        <f>'ubi jalar'!J44</f>
        <v>0</v>
      </c>
      <c r="O265" s="157">
        <f>'ubi jalar'!K44</f>
        <v>0</v>
      </c>
      <c r="P265" s="125">
        <f t="shared" si="104"/>
        <v>0</v>
      </c>
      <c r="Q265" s="128">
        <f t="shared" si="105"/>
        <v>0</v>
      </c>
    </row>
    <row r="266" spans="1:17" x14ac:dyDescent="0.25">
      <c r="A266" s="85">
        <v>4</v>
      </c>
      <c r="B266" s="15" t="s">
        <v>21</v>
      </c>
      <c r="C266" s="16">
        <v>0</v>
      </c>
      <c r="D266" s="16">
        <v>0</v>
      </c>
      <c r="E266" s="16">
        <v>0</v>
      </c>
      <c r="F266" s="59">
        <f>'ubi jalar'!C45</f>
        <v>0</v>
      </c>
      <c r="G266" s="59">
        <f>'ubi jalar'!D45</f>
        <v>0</v>
      </c>
      <c r="H266" s="155">
        <f>'ubi jalar'!E45</f>
        <v>0</v>
      </c>
      <c r="I266" s="125">
        <f t="shared" si="103"/>
        <v>0</v>
      </c>
      <c r="J266" s="223">
        <f>'ubi jalar'!F45</f>
        <v>0</v>
      </c>
      <c r="K266" s="132">
        <f>'ubi jalar'!G45</f>
        <v>0</v>
      </c>
      <c r="L266" s="132">
        <f>'ubi jalar'!H45</f>
        <v>0</v>
      </c>
      <c r="M266" s="132">
        <f>'ubi jalar'!I45</f>
        <v>0</v>
      </c>
      <c r="N266" s="132">
        <f>'ubi jalar'!J45</f>
        <v>0</v>
      </c>
      <c r="O266" s="157">
        <f>'ubi jalar'!K45</f>
        <v>0</v>
      </c>
      <c r="P266" s="125">
        <f t="shared" si="104"/>
        <v>0</v>
      </c>
      <c r="Q266" s="128">
        <f t="shared" si="105"/>
        <v>0</v>
      </c>
    </row>
    <row r="267" spans="1:17" x14ac:dyDescent="0.25">
      <c r="A267" s="85">
        <v>5</v>
      </c>
      <c r="B267" s="19" t="s">
        <v>22</v>
      </c>
      <c r="C267" s="16">
        <v>0</v>
      </c>
      <c r="D267" s="16">
        <v>0</v>
      </c>
      <c r="E267" s="16">
        <v>3</v>
      </c>
      <c r="F267" s="59">
        <f>'ubi jalar'!C46</f>
        <v>0</v>
      </c>
      <c r="G267" s="59">
        <f>'ubi jalar'!D46</f>
        <v>0</v>
      </c>
      <c r="H267" s="155">
        <f>'ubi jalar'!E46</f>
        <v>0</v>
      </c>
      <c r="I267" s="125">
        <f t="shared" si="103"/>
        <v>3</v>
      </c>
      <c r="J267" s="223">
        <f>'ubi jalar'!F46</f>
        <v>0</v>
      </c>
      <c r="K267" s="132">
        <f>'ubi jalar'!G46</f>
        <v>0</v>
      </c>
      <c r="L267" s="132">
        <f>'ubi jalar'!H46</f>
        <v>0</v>
      </c>
      <c r="M267" s="132">
        <f>'ubi jalar'!I46</f>
        <v>0</v>
      </c>
      <c r="N267" s="132">
        <f>'ubi jalar'!J46</f>
        <v>0</v>
      </c>
      <c r="O267" s="157">
        <f>'ubi jalar'!K46</f>
        <v>0</v>
      </c>
      <c r="P267" s="125">
        <f t="shared" si="104"/>
        <v>0</v>
      </c>
      <c r="Q267" s="128">
        <f t="shared" si="105"/>
        <v>3</v>
      </c>
    </row>
    <row r="268" spans="1:17" x14ac:dyDescent="0.25">
      <c r="A268" s="85">
        <v>6</v>
      </c>
      <c r="B268" s="19" t="s">
        <v>23</v>
      </c>
      <c r="C268" s="16">
        <v>0</v>
      </c>
      <c r="D268" s="16">
        <v>1</v>
      </c>
      <c r="E268" s="16">
        <v>1</v>
      </c>
      <c r="F268" s="59">
        <f>'ubi jalar'!C47</f>
        <v>0</v>
      </c>
      <c r="G268" s="59">
        <f>'ubi jalar'!D47</f>
        <v>1</v>
      </c>
      <c r="H268" s="155">
        <f>'ubi jalar'!E47</f>
        <v>0</v>
      </c>
      <c r="I268" s="125">
        <f t="shared" si="103"/>
        <v>3</v>
      </c>
      <c r="J268" s="223">
        <f>'ubi jalar'!F47</f>
        <v>0</v>
      </c>
      <c r="K268" s="132">
        <f>'ubi jalar'!G47</f>
        <v>1</v>
      </c>
      <c r="L268" s="132">
        <f>'ubi jalar'!H47</f>
        <v>0</v>
      </c>
      <c r="M268" s="132">
        <f>'ubi jalar'!I47</f>
        <v>0</v>
      </c>
      <c r="N268" s="132">
        <f>'ubi jalar'!J47</f>
        <v>0</v>
      </c>
      <c r="O268" s="157">
        <f>'ubi jalar'!K47</f>
        <v>0</v>
      </c>
      <c r="P268" s="125">
        <f t="shared" si="104"/>
        <v>1</v>
      </c>
      <c r="Q268" s="128">
        <f t="shared" si="105"/>
        <v>4</v>
      </c>
    </row>
    <row r="269" spans="1:17" x14ac:dyDescent="0.25">
      <c r="A269" s="85">
        <v>7</v>
      </c>
      <c r="B269" s="19" t="s">
        <v>24</v>
      </c>
      <c r="C269" s="16">
        <v>0</v>
      </c>
      <c r="D269" s="16">
        <v>0</v>
      </c>
      <c r="E269" s="16">
        <v>0</v>
      </c>
      <c r="F269" s="59">
        <f>'ubi jalar'!C48</f>
        <v>0</v>
      </c>
      <c r="G269" s="59">
        <f>'ubi jalar'!D48</f>
        <v>0</v>
      </c>
      <c r="H269" s="155">
        <f>'ubi jalar'!E48</f>
        <v>0</v>
      </c>
      <c r="I269" s="125">
        <f t="shared" si="103"/>
        <v>0</v>
      </c>
      <c r="J269" s="223">
        <f>'ubi jalar'!F48</f>
        <v>0</v>
      </c>
      <c r="K269" s="132">
        <f>'ubi jalar'!G48</f>
        <v>0</v>
      </c>
      <c r="L269" s="132">
        <f>'ubi jalar'!H48</f>
        <v>0</v>
      </c>
      <c r="M269" s="132">
        <f>'ubi jalar'!I48</f>
        <v>0</v>
      </c>
      <c r="N269" s="132">
        <f>'ubi jalar'!J48</f>
        <v>0</v>
      </c>
      <c r="O269" s="157">
        <f>'ubi jalar'!K48</f>
        <v>0</v>
      </c>
      <c r="P269" s="125">
        <f t="shared" si="104"/>
        <v>0</v>
      </c>
      <c r="Q269" s="128">
        <f t="shared" si="105"/>
        <v>0</v>
      </c>
    </row>
    <row r="270" spans="1:17" ht="15.75" thickBot="1" x14ac:dyDescent="0.3">
      <c r="A270" s="86">
        <v>8</v>
      </c>
      <c r="B270" s="15" t="s">
        <v>25</v>
      </c>
      <c r="C270" s="54">
        <v>0</v>
      </c>
      <c r="D270" s="54">
        <v>0</v>
      </c>
      <c r="E270" s="54">
        <v>0</v>
      </c>
      <c r="F270" s="137">
        <f>'ubi jalar'!C49</f>
        <v>0</v>
      </c>
      <c r="G270" s="137">
        <f>'ubi jalar'!D49</f>
        <v>0</v>
      </c>
      <c r="H270" s="137">
        <f>'ubi jalar'!E49</f>
        <v>1</v>
      </c>
      <c r="I270" s="126">
        <f t="shared" si="103"/>
        <v>1</v>
      </c>
      <c r="J270" s="232">
        <f>'ubi jalar'!F49</f>
        <v>0</v>
      </c>
      <c r="K270" s="232">
        <f>'ubi jalar'!G49</f>
        <v>0</v>
      </c>
      <c r="L270" s="232">
        <f>'ubi jalar'!H49</f>
        <v>0</v>
      </c>
      <c r="M270" s="232">
        <f>'ubi jalar'!I49</f>
        <v>1</v>
      </c>
      <c r="N270" s="232">
        <f>'ubi jalar'!J49</f>
        <v>0</v>
      </c>
      <c r="O270" s="232">
        <f>'ubi jalar'!K49</f>
        <v>0</v>
      </c>
      <c r="P270" s="126">
        <f>SUM(J270:O270)</f>
        <v>1</v>
      </c>
      <c r="Q270" s="129">
        <f t="shared" si="105"/>
        <v>2</v>
      </c>
    </row>
    <row r="271" spans="1:17" ht="16.5" thickTop="1" thickBot="1" x14ac:dyDescent="0.3">
      <c r="A271" s="339" t="s">
        <v>26</v>
      </c>
      <c r="B271" s="340"/>
      <c r="C271" s="112">
        <f t="shared" ref="C271:H271" si="106">SUM(C263:C270)</f>
        <v>0</v>
      </c>
      <c r="D271" s="112">
        <f t="shared" si="106"/>
        <v>2</v>
      </c>
      <c r="E271" s="112">
        <f t="shared" si="106"/>
        <v>4</v>
      </c>
      <c r="F271" s="112">
        <f t="shared" si="106"/>
        <v>0</v>
      </c>
      <c r="G271" s="112">
        <f t="shared" si="106"/>
        <v>1</v>
      </c>
      <c r="H271" s="121">
        <f t="shared" si="106"/>
        <v>2</v>
      </c>
      <c r="I271" s="123">
        <f>SUM(I263:I270)</f>
        <v>9</v>
      </c>
      <c r="J271" s="133">
        <f t="shared" ref="J271:O271" si="107">SUM(J263:J270)</f>
        <v>1</v>
      </c>
      <c r="K271" s="112">
        <f t="shared" si="107"/>
        <v>10</v>
      </c>
      <c r="L271" s="112">
        <f t="shared" si="107"/>
        <v>0</v>
      </c>
      <c r="M271" s="112">
        <f t="shared" si="107"/>
        <v>1</v>
      </c>
      <c r="N271" s="112">
        <f t="shared" si="107"/>
        <v>2</v>
      </c>
      <c r="O271" s="121">
        <f t="shared" si="107"/>
        <v>1</v>
      </c>
      <c r="P271" s="123">
        <f>SUM(P263:P270)</f>
        <v>15</v>
      </c>
      <c r="Q271" s="130">
        <f>SUM(Q263:Q270)</f>
        <v>24</v>
      </c>
    </row>
    <row r="273" spans="1:17" ht="15.75" x14ac:dyDescent="0.25">
      <c r="A273" s="341" t="s">
        <v>164</v>
      </c>
      <c r="B273" s="341"/>
      <c r="C273" s="341"/>
      <c r="D273" s="341"/>
      <c r="E273" s="341"/>
      <c r="F273" s="341"/>
      <c r="G273" s="341"/>
      <c r="H273" s="341"/>
      <c r="I273" s="341"/>
      <c r="J273" s="341"/>
      <c r="K273" s="341"/>
      <c r="L273" s="341"/>
      <c r="M273" s="341"/>
      <c r="N273" s="341"/>
      <c r="O273" s="341"/>
      <c r="P273" s="341"/>
      <c r="Q273" s="341"/>
    </row>
    <row r="274" spans="1:17" ht="15.75" x14ac:dyDescent="0.25">
      <c r="A274" s="341" t="s">
        <v>81</v>
      </c>
      <c r="B274" s="341"/>
      <c r="C274" s="341"/>
      <c r="D274" s="341"/>
      <c r="E274" s="341"/>
      <c r="F274" s="341"/>
      <c r="G274" s="341"/>
      <c r="H274" s="341"/>
      <c r="I274" s="341"/>
      <c r="J274" s="341"/>
      <c r="K274" s="341"/>
      <c r="L274" s="341"/>
      <c r="M274" s="341"/>
      <c r="N274" s="341"/>
      <c r="O274" s="341"/>
      <c r="P274" s="341"/>
      <c r="Q274" s="341"/>
    </row>
    <row r="275" spans="1:17" ht="15.75" thickBot="1" x14ac:dyDescent="0.3">
      <c r="Q275" s="75" t="s">
        <v>1</v>
      </c>
    </row>
    <row r="276" spans="1:17" x14ac:dyDescent="0.25">
      <c r="A276" s="334" t="s">
        <v>2</v>
      </c>
      <c r="B276" s="336" t="s">
        <v>3</v>
      </c>
      <c r="C276" s="342" t="s">
        <v>183</v>
      </c>
      <c r="D276" s="343"/>
      <c r="E276" s="343"/>
      <c r="F276" s="343"/>
      <c r="G276" s="343"/>
      <c r="H276" s="344"/>
      <c r="I276" s="345" t="s">
        <v>82</v>
      </c>
      <c r="J276" s="347">
        <v>2020</v>
      </c>
      <c r="K276" s="343"/>
      <c r="L276" s="343"/>
      <c r="M276" s="343"/>
      <c r="N276" s="343"/>
      <c r="O276" s="344"/>
      <c r="P276" s="345" t="s">
        <v>83</v>
      </c>
      <c r="Q276" s="348" t="s">
        <v>5</v>
      </c>
    </row>
    <row r="277" spans="1:17" x14ac:dyDescent="0.25">
      <c r="A277" s="335"/>
      <c r="B277" s="324"/>
      <c r="C277" s="300" t="s">
        <v>15</v>
      </c>
      <c r="D277" s="300" t="s">
        <v>16</v>
      </c>
      <c r="E277" s="300" t="s">
        <v>17</v>
      </c>
      <c r="F277" s="300" t="s">
        <v>6</v>
      </c>
      <c r="G277" s="300" t="s">
        <v>76</v>
      </c>
      <c r="H277" s="119" t="s">
        <v>77</v>
      </c>
      <c r="I277" s="346"/>
      <c r="J277" s="109" t="s">
        <v>78</v>
      </c>
      <c r="K277" s="300" t="s">
        <v>10</v>
      </c>
      <c r="L277" s="300" t="s">
        <v>11</v>
      </c>
      <c r="M277" s="300" t="s">
        <v>12</v>
      </c>
      <c r="N277" s="300" t="s">
        <v>79</v>
      </c>
      <c r="O277" s="119" t="s">
        <v>80</v>
      </c>
      <c r="P277" s="346"/>
      <c r="Q277" s="349"/>
    </row>
    <row r="278" spans="1:17" ht="15.75" thickBot="1" x14ac:dyDescent="0.3">
      <c r="A278" s="111">
        <v>1</v>
      </c>
      <c r="B278" s="5">
        <v>2</v>
      </c>
      <c r="C278" s="5">
        <v>3</v>
      </c>
      <c r="D278" s="5">
        <v>4</v>
      </c>
      <c r="E278" s="5">
        <v>5</v>
      </c>
      <c r="F278" s="5">
        <v>6</v>
      </c>
      <c r="G278" s="5">
        <v>7</v>
      </c>
      <c r="H278" s="120">
        <v>8</v>
      </c>
      <c r="I278" s="122">
        <v>9</v>
      </c>
      <c r="J278" s="110">
        <v>10</v>
      </c>
      <c r="K278" s="5">
        <v>11</v>
      </c>
      <c r="L278" s="5">
        <v>12</v>
      </c>
      <c r="M278" s="5">
        <v>13</v>
      </c>
      <c r="N278" s="5">
        <v>14</v>
      </c>
      <c r="O278" s="120">
        <v>15</v>
      </c>
      <c r="P278" s="122">
        <v>16</v>
      </c>
      <c r="Q278" s="131">
        <v>17</v>
      </c>
    </row>
    <row r="279" spans="1:17" ht="15.75" thickTop="1" x14ac:dyDescent="0.25">
      <c r="A279" s="83">
        <v>1</v>
      </c>
      <c r="B279" s="7" t="s">
        <v>18</v>
      </c>
      <c r="C279" s="28">
        <v>0</v>
      </c>
      <c r="D279" s="28">
        <v>0</v>
      </c>
      <c r="E279" s="67">
        <v>0</v>
      </c>
      <c r="F279" s="136">
        <f>'kc ijo'!C42</f>
        <v>0</v>
      </c>
      <c r="G279" s="136">
        <f>'kc ijo'!D42</f>
        <v>0</v>
      </c>
      <c r="H279" s="136">
        <f>'kc ijo'!E42</f>
        <v>0</v>
      </c>
      <c r="I279" s="124">
        <f>SUM(C279:H279)</f>
        <v>0</v>
      </c>
      <c r="J279" s="156">
        <f>'kc ijo'!F42</f>
        <v>1</v>
      </c>
      <c r="K279" s="156">
        <f>'kc ijo'!G42</f>
        <v>5</v>
      </c>
      <c r="L279" s="156">
        <f>'kc ijo'!H42</f>
        <v>0</v>
      </c>
      <c r="M279" s="156">
        <f>'kc ijo'!I42</f>
        <v>0</v>
      </c>
      <c r="N279" s="156">
        <f>'kc ijo'!J42</f>
        <v>0</v>
      </c>
      <c r="O279" s="156">
        <f>'kc ijo'!K42</f>
        <v>0</v>
      </c>
      <c r="P279" s="124">
        <f>SUM(J279:O279)</f>
        <v>6</v>
      </c>
      <c r="Q279" s="127">
        <f>SUM(I279,P279)</f>
        <v>6</v>
      </c>
    </row>
    <row r="280" spans="1:17" x14ac:dyDescent="0.25">
      <c r="A280" s="84">
        <v>2</v>
      </c>
      <c r="B280" s="12" t="s">
        <v>19</v>
      </c>
      <c r="C280" s="16">
        <v>0</v>
      </c>
      <c r="D280" s="16">
        <v>0</v>
      </c>
      <c r="E280" s="48">
        <v>0</v>
      </c>
      <c r="F280" s="59">
        <f>'kc ijo'!C43</f>
        <v>0</v>
      </c>
      <c r="G280" s="59">
        <f>'kc ijo'!D43</f>
        <v>0</v>
      </c>
      <c r="H280" s="155">
        <f>'kc ijo'!E43</f>
        <v>1</v>
      </c>
      <c r="I280" s="125">
        <f t="shared" ref="I280:I286" si="108">SUM(C280:H280)</f>
        <v>1</v>
      </c>
      <c r="J280" s="223">
        <f>'kc ijo'!F43</f>
        <v>0</v>
      </c>
      <c r="K280" s="132">
        <f>'kc ijo'!G43</f>
        <v>0</v>
      </c>
      <c r="L280" s="132">
        <f>'kc ijo'!H43</f>
        <v>0</v>
      </c>
      <c r="M280" s="132">
        <f>'kc ijo'!I43</f>
        <v>0</v>
      </c>
      <c r="N280" s="132">
        <f>'kc ijo'!J43</f>
        <v>0</v>
      </c>
      <c r="O280" s="157">
        <f>'kc ijo'!K43</f>
        <v>0</v>
      </c>
      <c r="P280" s="125">
        <f t="shared" ref="P280:P285" si="109">SUM(J280:O280)</f>
        <v>0</v>
      </c>
      <c r="Q280" s="128">
        <f t="shared" ref="Q280:Q286" si="110">SUM(I280,P280)</f>
        <v>1</v>
      </c>
    </row>
    <row r="281" spans="1:17" x14ac:dyDescent="0.25">
      <c r="A281" s="84">
        <v>3</v>
      </c>
      <c r="B281" s="7" t="s">
        <v>20</v>
      </c>
      <c r="C281" s="16">
        <v>0</v>
      </c>
      <c r="D281" s="16">
        <v>0</v>
      </c>
      <c r="E281" s="16">
        <v>0</v>
      </c>
      <c r="F281" s="59">
        <f>'kc ijo'!C44</f>
        <v>0</v>
      </c>
      <c r="G281" s="59">
        <f>'kc ijo'!D44</f>
        <v>0</v>
      </c>
      <c r="H281" s="155">
        <f>'kc ijo'!E44</f>
        <v>0</v>
      </c>
      <c r="I281" s="125">
        <f t="shared" si="108"/>
        <v>0</v>
      </c>
      <c r="J281" s="223">
        <f>'kc ijo'!F44</f>
        <v>0</v>
      </c>
      <c r="K281" s="132">
        <f>'kc ijo'!G44</f>
        <v>0</v>
      </c>
      <c r="L281" s="132">
        <f>'kc ijo'!H44</f>
        <v>0</v>
      </c>
      <c r="M281" s="132">
        <f>'kc ijo'!I44</f>
        <v>0</v>
      </c>
      <c r="N281" s="132">
        <f>'kc ijo'!J44</f>
        <v>0</v>
      </c>
      <c r="O281" s="157">
        <f>'kc ijo'!K44</f>
        <v>0</v>
      </c>
      <c r="P281" s="125">
        <f t="shared" si="109"/>
        <v>0</v>
      </c>
      <c r="Q281" s="128">
        <f t="shared" si="110"/>
        <v>0</v>
      </c>
    </row>
    <row r="282" spans="1:17" x14ac:dyDescent="0.25">
      <c r="A282" s="85">
        <v>4</v>
      </c>
      <c r="B282" s="15" t="s">
        <v>21</v>
      </c>
      <c r="C282" s="16">
        <v>0</v>
      </c>
      <c r="D282" s="16">
        <v>0</v>
      </c>
      <c r="E282" s="16">
        <v>5</v>
      </c>
      <c r="F282" s="59">
        <f>'kc ijo'!C45</f>
        <v>0</v>
      </c>
      <c r="G282" s="59">
        <f>'kc ijo'!D45</f>
        <v>0</v>
      </c>
      <c r="H282" s="155">
        <f>'kc ijo'!E45</f>
        <v>10</v>
      </c>
      <c r="I282" s="125">
        <f t="shared" si="108"/>
        <v>15</v>
      </c>
      <c r="J282" s="223">
        <f>'kc ijo'!F45</f>
        <v>0</v>
      </c>
      <c r="K282" s="132">
        <f>'kc ijo'!G45</f>
        <v>0</v>
      </c>
      <c r="L282" s="132">
        <f>'kc ijo'!H45</f>
        <v>10</v>
      </c>
      <c r="M282" s="132">
        <f>'kc ijo'!I45</f>
        <v>10</v>
      </c>
      <c r="N282" s="132">
        <f>'kc ijo'!J45</f>
        <v>0</v>
      </c>
      <c r="O282" s="157">
        <f>'kc ijo'!K45</f>
        <v>0</v>
      </c>
      <c r="P282" s="125">
        <f t="shared" si="109"/>
        <v>20</v>
      </c>
      <c r="Q282" s="128">
        <f t="shared" si="110"/>
        <v>35</v>
      </c>
    </row>
    <row r="283" spans="1:17" x14ac:dyDescent="0.25">
      <c r="A283" s="85">
        <v>5</v>
      </c>
      <c r="B283" s="19" t="s">
        <v>22</v>
      </c>
      <c r="C283" s="16">
        <v>0</v>
      </c>
      <c r="D283" s="16">
        <v>0</v>
      </c>
      <c r="E283" s="16">
        <v>0</v>
      </c>
      <c r="F283" s="59">
        <f>'kc ijo'!C46</f>
        <v>0</v>
      </c>
      <c r="G283" s="59">
        <f>'kc ijo'!D46</f>
        <v>0</v>
      </c>
      <c r="H283" s="155">
        <f>'kc ijo'!E46</f>
        <v>0</v>
      </c>
      <c r="I283" s="125">
        <f t="shared" si="108"/>
        <v>0</v>
      </c>
      <c r="J283" s="223">
        <f>'kc ijo'!F46</f>
        <v>0</v>
      </c>
      <c r="K283" s="132">
        <f>'kc ijo'!G46</f>
        <v>0</v>
      </c>
      <c r="L283" s="132">
        <f>'kc ijo'!H46</f>
        <v>0</v>
      </c>
      <c r="M283" s="132">
        <f>'kc ijo'!I46</f>
        <v>0</v>
      </c>
      <c r="N283" s="132">
        <f>'kc ijo'!J46</f>
        <v>0</v>
      </c>
      <c r="O283" s="157">
        <f>'kc ijo'!K46</f>
        <v>0</v>
      </c>
      <c r="P283" s="125">
        <f t="shared" si="109"/>
        <v>0</v>
      </c>
      <c r="Q283" s="128">
        <f t="shared" si="110"/>
        <v>0</v>
      </c>
    </row>
    <row r="284" spans="1:17" x14ac:dyDescent="0.25">
      <c r="A284" s="85">
        <v>6</v>
      </c>
      <c r="B284" s="19" t="s">
        <v>23</v>
      </c>
      <c r="C284" s="16">
        <v>0</v>
      </c>
      <c r="D284" s="16">
        <v>0</v>
      </c>
      <c r="E284" s="16">
        <v>0</v>
      </c>
      <c r="F284" s="59">
        <f>'kc ijo'!C47</f>
        <v>0</v>
      </c>
      <c r="G284" s="59">
        <f>'kc ijo'!D47</f>
        <v>0</v>
      </c>
      <c r="H284" s="155">
        <f>'kc ijo'!E47</f>
        <v>0</v>
      </c>
      <c r="I284" s="125">
        <f t="shared" si="108"/>
        <v>0</v>
      </c>
      <c r="J284" s="223">
        <f>'kc ijo'!F47</f>
        <v>0</v>
      </c>
      <c r="K284" s="132">
        <f>'kc ijo'!G47</f>
        <v>0</v>
      </c>
      <c r="L284" s="132">
        <f>'kc ijo'!H47</f>
        <v>0</v>
      </c>
      <c r="M284" s="132">
        <f>'kc ijo'!I47</f>
        <v>0</v>
      </c>
      <c r="N284" s="132">
        <f>'kc ijo'!J47</f>
        <v>0</v>
      </c>
      <c r="O284" s="157">
        <f>'kc ijo'!K47</f>
        <v>0</v>
      </c>
      <c r="P284" s="125">
        <f t="shared" si="109"/>
        <v>0</v>
      </c>
      <c r="Q284" s="128">
        <f t="shared" si="110"/>
        <v>0</v>
      </c>
    </row>
    <row r="285" spans="1:17" x14ac:dyDescent="0.25">
      <c r="A285" s="85">
        <v>7</v>
      </c>
      <c r="B285" s="19" t="s">
        <v>24</v>
      </c>
      <c r="C285" s="16">
        <v>0</v>
      </c>
      <c r="D285" s="16">
        <v>0</v>
      </c>
      <c r="E285" s="16">
        <v>0</v>
      </c>
      <c r="F285" s="59">
        <f>'kc ijo'!C48</f>
        <v>0</v>
      </c>
      <c r="G285" s="59">
        <f>'kc ijo'!D48</f>
        <v>0</v>
      </c>
      <c r="H285" s="155">
        <f>'kc ijo'!E48</f>
        <v>0</v>
      </c>
      <c r="I285" s="125">
        <f t="shared" si="108"/>
        <v>0</v>
      </c>
      <c r="J285" s="223">
        <f>'kc ijo'!F48</f>
        <v>0</v>
      </c>
      <c r="K285" s="132">
        <f>'kc ijo'!G48</f>
        <v>0</v>
      </c>
      <c r="L285" s="132">
        <f>'kc ijo'!H48</f>
        <v>0</v>
      </c>
      <c r="M285" s="132">
        <f>'kc ijo'!I48</f>
        <v>0</v>
      </c>
      <c r="N285" s="132">
        <f>'kc ijo'!J48</f>
        <v>0</v>
      </c>
      <c r="O285" s="157">
        <f>'kc ijo'!K48</f>
        <v>0</v>
      </c>
      <c r="P285" s="125">
        <f t="shared" si="109"/>
        <v>0</v>
      </c>
      <c r="Q285" s="128">
        <f t="shared" si="110"/>
        <v>0</v>
      </c>
    </row>
    <row r="286" spans="1:17" ht="15.75" thickBot="1" x14ac:dyDescent="0.3">
      <c r="A286" s="86">
        <v>8</v>
      </c>
      <c r="B286" s="15" t="s">
        <v>25</v>
      </c>
      <c r="C286" s="17">
        <v>0</v>
      </c>
      <c r="D286" s="17">
        <v>0</v>
      </c>
      <c r="E286" s="17">
        <v>0</v>
      </c>
      <c r="F286" s="137">
        <f>'kc ijo'!C49</f>
        <v>0</v>
      </c>
      <c r="G286" s="137">
        <f>'kc ijo'!D49</f>
        <v>1</v>
      </c>
      <c r="H286" s="137">
        <f>'kc ijo'!E49</f>
        <v>0</v>
      </c>
      <c r="I286" s="126">
        <f t="shared" si="108"/>
        <v>1</v>
      </c>
      <c r="J286" s="232">
        <f>'kc ijo'!F49</f>
        <v>0</v>
      </c>
      <c r="K286" s="232">
        <f>'kc ijo'!G49</f>
        <v>0</v>
      </c>
      <c r="L286" s="232">
        <f>'kc ijo'!H49</f>
        <v>1</v>
      </c>
      <c r="M286" s="232">
        <f>'kc ijo'!I49</f>
        <v>0</v>
      </c>
      <c r="N286" s="232">
        <f>'kc ijo'!J49</f>
        <v>0</v>
      </c>
      <c r="O286" s="232">
        <f>'kc ijo'!K49</f>
        <v>0</v>
      </c>
      <c r="P286" s="126">
        <f>SUM(J286:O286)</f>
        <v>1</v>
      </c>
      <c r="Q286" s="129">
        <f t="shared" si="110"/>
        <v>2</v>
      </c>
    </row>
    <row r="287" spans="1:17" ht="16.5" thickTop="1" thickBot="1" x14ac:dyDescent="0.3">
      <c r="A287" s="339" t="s">
        <v>26</v>
      </c>
      <c r="B287" s="340"/>
      <c r="C287" s="112">
        <f t="shared" ref="C287:H287" si="111">SUM(C279:C286)</f>
        <v>0</v>
      </c>
      <c r="D287" s="112">
        <f t="shared" si="111"/>
        <v>0</v>
      </c>
      <c r="E287" s="112">
        <f t="shared" si="111"/>
        <v>5</v>
      </c>
      <c r="F287" s="112">
        <f t="shared" si="111"/>
        <v>0</v>
      </c>
      <c r="G287" s="112">
        <f t="shared" si="111"/>
        <v>1</v>
      </c>
      <c r="H287" s="121">
        <f t="shared" si="111"/>
        <v>11</v>
      </c>
      <c r="I287" s="123">
        <f>SUM(I279:I286)</f>
        <v>17</v>
      </c>
      <c r="J287" s="133">
        <f t="shared" ref="J287:O287" si="112">SUM(J279:J286)</f>
        <v>1</v>
      </c>
      <c r="K287" s="112">
        <f t="shared" si="112"/>
        <v>5</v>
      </c>
      <c r="L287" s="112">
        <f t="shared" si="112"/>
        <v>11</v>
      </c>
      <c r="M287" s="112">
        <f t="shared" si="112"/>
        <v>10</v>
      </c>
      <c r="N287" s="112">
        <f t="shared" si="112"/>
        <v>0</v>
      </c>
      <c r="O287" s="121">
        <f t="shared" si="112"/>
        <v>0</v>
      </c>
      <c r="P287" s="123">
        <f>SUM(P279:P286)</f>
        <v>27</v>
      </c>
      <c r="Q287" s="130">
        <f>SUM(Q279:Q286)</f>
        <v>44</v>
      </c>
    </row>
    <row r="289" spans="1:17" ht="15.75" x14ac:dyDescent="0.25">
      <c r="A289" s="341" t="s">
        <v>165</v>
      </c>
      <c r="B289" s="341"/>
      <c r="C289" s="341"/>
      <c r="D289" s="341"/>
      <c r="E289" s="341"/>
      <c r="F289" s="341"/>
      <c r="G289" s="341"/>
      <c r="H289" s="341"/>
      <c r="I289" s="341"/>
      <c r="J289" s="341"/>
      <c r="K289" s="341"/>
      <c r="L289" s="341"/>
      <c r="M289" s="341"/>
      <c r="N289" s="341"/>
      <c r="O289" s="341"/>
      <c r="P289" s="341"/>
      <c r="Q289" s="341"/>
    </row>
    <row r="290" spans="1:17" ht="15.75" x14ac:dyDescent="0.25">
      <c r="A290" s="341" t="s">
        <v>81</v>
      </c>
      <c r="B290" s="341"/>
      <c r="C290" s="341"/>
      <c r="D290" s="341"/>
      <c r="E290" s="341"/>
      <c r="F290" s="341"/>
      <c r="G290" s="341"/>
      <c r="H290" s="341"/>
      <c r="I290" s="341"/>
      <c r="J290" s="341"/>
      <c r="K290" s="341"/>
      <c r="L290" s="341"/>
      <c r="M290" s="341"/>
      <c r="N290" s="341"/>
      <c r="O290" s="341"/>
      <c r="P290" s="341"/>
      <c r="Q290" s="341"/>
    </row>
    <row r="291" spans="1:17" ht="15.75" thickBot="1" x14ac:dyDescent="0.3">
      <c r="Q291" s="75" t="s">
        <v>29</v>
      </c>
    </row>
    <row r="292" spans="1:17" x14ac:dyDescent="0.25">
      <c r="A292" s="334" t="s">
        <v>2</v>
      </c>
      <c r="B292" s="336" t="s">
        <v>3</v>
      </c>
      <c r="C292" s="342" t="s">
        <v>183</v>
      </c>
      <c r="D292" s="343"/>
      <c r="E292" s="343"/>
      <c r="F292" s="343"/>
      <c r="G292" s="343"/>
      <c r="H292" s="344"/>
      <c r="I292" s="345" t="s">
        <v>82</v>
      </c>
      <c r="J292" s="347">
        <v>2020</v>
      </c>
      <c r="K292" s="343"/>
      <c r="L292" s="343"/>
      <c r="M292" s="343"/>
      <c r="N292" s="343"/>
      <c r="O292" s="344"/>
      <c r="P292" s="345" t="s">
        <v>83</v>
      </c>
      <c r="Q292" s="348" t="s">
        <v>5</v>
      </c>
    </row>
    <row r="293" spans="1:17" x14ac:dyDescent="0.25">
      <c r="A293" s="335"/>
      <c r="B293" s="324"/>
      <c r="C293" s="300" t="s">
        <v>15</v>
      </c>
      <c r="D293" s="300" t="s">
        <v>16</v>
      </c>
      <c r="E293" s="300" t="s">
        <v>17</v>
      </c>
      <c r="F293" s="300" t="s">
        <v>6</v>
      </c>
      <c r="G293" s="300" t="s">
        <v>76</v>
      </c>
      <c r="H293" s="119" t="s">
        <v>77</v>
      </c>
      <c r="I293" s="346"/>
      <c r="J293" s="109" t="s">
        <v>78</v>
      </c>
      <c r="K293" s="300" t="s">
        <v>10</v>
      </c>
      <c r="L293" s="300" t="s">
        <v>11</v>
      </c>
      <c r="M293" s="300" t="s">
        <v>12</v>
      </c>
      <c r="N293" s="300" t="s">
        <v>79</v>
      </c>
      <c r="O293" s="119" t="s">
        <v>80</v>
      </c>
      <c r="P293" s="346"/>
      <c r="Q293" s="349"/>
    </row>
    <row r="294" spans="1:17" ht="15.75" thickBot="1" x14ac:dyDescent="0.3">
      <c r="A294" s="111">
        <v>1</v>
      </c>
      <c r="B294" s="5">
        <v>2</v>
      </c>
      <c r="C294" s="5">
        <v>3</v>
      </c>
      <c r="D294" s="5">
        <v>4</v>
      </c>
      <c r="E294" s="5">
        <v>5</v>
      </c>
      <c r="F294" s="5">
        <v>6</v>
      </c>
      <c r="G294" s="5">
        <v>7</v>
      </c>
      <c r="H294" s="120">
        <v>8</v>
      </c>
      <c r="I294" s="122">
        <v>9</v>
      </c>
      <c r="J294" s="110">
        <v>10</v>
      </c>
      <c r="K294" s="5">
        <v>11</v>
      </c>
      <c r="L294" s="5">
        <v>12</v>
      </c>
      <c r="M294" s="5">
        <v>13</v>
      </c>
      <c r="N294" s="5">
        <v>14</v>
      </c>
      <c r="O294" s="120">
        <v>15</v>
      </c>
      <c r="P294" s="122">
        <v>16</v>
      </c>
      <c r="Q294" s="131">
        <v>17</v>
      </c>
    </row>
    <row r="295" spans="1:17" ht="15.75" thickTop="1" x14ac:dyDescent="0.25">
      <c r="A295" s="83">
        <v>1</v>
      </c>
      <c r="B295" s="7" t="s">
        <v>18</v>
      </c>
      <c r="C295" s="136">
        <v>0</v>
      </c>
      <c r="D295" s="136">
        <v>67</v>
      </c>
      <c r="E295" s="136">
        <v>0</v>
      </c>
      <c r="F295" s="156">
        <f>SUM(F311,F327)</f>
        <v>0</v>
      </c>
      <c r="G295" s="156">
        <f t="shared" ref="G295:H295" si="113">SUM(G311,G327)</f>
        <v>0</v>
      </c>
      <c r="H295" s="156">
        <f t="shared" si="113"/>
        <v>0</v>
      </c>
      <c r="I295" s="124">
        <f>SUM(C295:H295)</f>
        <v>67</v>
      </c>
      <c r="J295" s="156">
        <f>SUM(J311,J327)</f>
        <v>805.2</v>
      </c>
      <c r="K295" s="156">
        <f t="shared" ref="K295:O295" si="114">SUM(K311,K327)</f>
        <v>371.9</v>
      </c>
      <c r="L295" s="156">
        <f t="shared" si="114"/>
        <v>0</v>
      </c>
      <c r="M295" s="156">
        <f t="shared" si="114"/>
        <v>0</v>
      </c>
      <c r="N295" s="156">
        <f t="shared" si="114"/>
        <v>118.5</v>
      </c>
      <c r="O295" s="156">
        <f t="shared" si="114"/>
        <v>248.7</v>
      </c>
      <c r="P295" s="124">
        <f>SUM(J295:O295)</f>
        <v>1544.3</v>
      </c>
      <c r="Q295" s="127">
        <f>SUM(I295,P295)</f>
        <v>1611.3</v>
      </c>
    </row>
    <row r="296" spans="1:17" x14ac:dyDescent="0.25">
      <c r="A296" s="84">
        <v>2</v>
      </c>
      <c r="B296" s="12" t="s">
        <v>19</v>
      </c>
      <c r="C296" s="59">
        <v>450</v>
      </c>
      <c r="D296" s="59">
        <v>6</v>
      </c>
      <c r="E296" s="59">
        <v>24</v>
      </c>
      <c r="F296" s="59">
        <f t="shared" ref="F296:H296" si="115">SUM(F312,F328)</f>
        <v>12.1</v>
      </c>
      <c r="G296" s="132">
        <f t="shared" si="115"/>
        <v>0</v>
      </c>
      <c r="H296" s="157">
        <f t="shared" si="115"/>
        <v>87.5</v>
      </c>
      <c r="I296" s="125">
        <f t="shared" ref="I296:I302" si="116">SUM(C296:H296)</f>
        <v>579.6</v>
      </c>
      <c r="J296" s="223">
        <f t="shared" ref="J296:O296" si="117">SUM(J312,J328)</f>
        <v>670.3</v>
      </c>
      <c r="K296" s="132">
        <f t="shared" si="117"/>
        <v>524.5</v>
      </c>
      <c r="L296" s="132">
        <f t="shared" si="117"/>
        <v>0</v>
      </c>
      <c r="M296" s="132">
        <f t="shared" si="117"/>
        <v>31.2</v>
      </c>
      <c r="N296" s="132">
        <f t="shared" si="117"/>
        <v>123.7</v>
      </c>
      <c r="O296" s="157">
        <f t="shared" si="117"/>
        <v>508.3</v>
      </c>
      <c r="P296" s="125">
        <f t="shared" ref="P296:P301" si="118">SUM(J296:O296)</f>
        <v>1858</v>
      </c>
      <c r="Q296" s="128">
        <f t="shared" ref="Q296:Q302" si="119">SUM(I296,P296)</f>
        <v>2437.6</v>
      </c>
    </row>
    <row r="297" spans="1:17" x14ac:dyDescent="0.25">
      <c r="A297" s="84">
        <v>3</v>
      </c>
      <c r="B297" s="7" t="s">
        <v>20</v>
      </c>
      <c r="C297" s="59">
        <v>0</v>
      </c>
      <c r="D297" s="59">
        <v>0</v>
      </c>
      <c r="E297" s="59">
        <v>0</v>
      </c>
      <c r="F297" s="59">
        <f t="shared" ref="F297:H297" si="120">SUM(F313,F329)</f>
        <v>0</v>
      </c>
      <c r="G297" s="132">
        <f t="shared" si="120"/>
        <v>0</v>
      </c>
      <c r="H297" s="157">
        <f t="shared" si="120"/>
        <v>0</v>
      </c>
      <c r="I297" s="125">
        <f t="shared" si="116"/>
        <v>0</v>
      </c>
      <c r="J297" s="223">
        <f t="shared" ref="J297:O297" si="121">SUM(J313,J329)</f>
        <v>145</v>
      </c>
      <c r="K297" s="132">
        <f t="shared" si="121"/>
        <v>0</v>
      </c>
      <c r="L297" s="132">
        <f t="shared" si="121"/>
        <v>0</v>
      </c>
      <c r="M297" s="132">
        <f t="shared" si="121"/>
        <v>0</v>
      </c>
      <c r="N297" s="132">
        <f t="shared" si="121"/>
        <v>59.3</v>
      </c>
      <c r="O297" s="157">
        <f t="shared" si="121"/>
        <v>0</v>
      </c>
      <c r="P297" s="125">
        <f t="shared" si="118"/>
        <v>204.3</v>
      </c>
      <c r="Q297" s="128">
        <f t="shared" si="119"/>
        <v>204.3</v>
      </c>
    </row>
    <row r="298" spans="1:17" x14ac:dyDescent="0.25">
      <c r="A298" s="85">
        <v>4</v>
      </c>
      <c r="B298" s="15" t="s">
        <v>21</v>
      </c>
      <c r="C298" s="59">
        <v>0</v>
      </c>
      <c r="D298" s="59">
        <v>7</v>
      </c>
      <c r="E298" s="59">
        <v>43</v>
      </c>
      <c r="F298" s="59">
        <f t="shared" ref="F298:H298" si="122">SUM(F314,F330)</f>
        <v>0</v>
      </c>
      <c r="G298" s="132">
        <f t="shared" si="122"/>
        <v>0</v>
      </c>
      <c r="H298" s="157">
        <f t="shared" si="122"/>
        <v>0</v>
      </c>
      <c r="I298" s="125">
        <f t="shared" si="116"/>
        <v>50</v>
      </c>
      <c r="J298" s="223">
        <f t="shared" ref="J298:O298" si="123">SUM(J314,J330)</f>
        <v>1044.7</v>
      </c>
      <c r="K298" s="132">
        <f t="shared" si="123"/>
        <v>0</v>
      </c>
      <c r="L298" s="132">
        <f t="shared" si="123"/>
        <v>0</v>
      </c>
      <c r="M298" s="132">
        <f t="shared" si="123"/>
        <v>18.7</v>
      </c>
      <c r="N298" s="132">
        <f t="shared" si="123"/>
        <v>63</v>
      </c>
      <c r="O298" s="157">
        <f t="shared" si="123"/>
        <v>31.7</v>
      </c>
      <c r="P298" s="125">
        <f t="shared" si="118"/>
        <v>1158.1000000000001</v>
      </c>
      <c r="Q298" s="128">
        <f t="shared" si="119"/>
        <v>1208.1000000000001</v>
      </c>
    </row>
    <row r="299" spans="1:17" x14ac:dyDescent="0.25">
      <c r="A299" s="85">
        <v>5</v>
      </c>
      <c r="B299" s="19" t="s">
        <v>22</v>
      </c>
      <c r="C299" s="59">
        <v>0</v>
      </c>
      <c r="D299" s="59">
        <v>0</v>
      </c>
      <c r="E299" s="59">
        <v>68</v>
      </c>
      <c r="F299" s="59">
        <f t="shared" ref="F299:H299" si="124">SUM(F315,F331)</f>
        <v>0</v>
      </c>
      <c r="G299" s="132">
        <f t="shared" si="124"/>
        <v>0</v>
      </c>
      <c r="H299" s="157">
        <f t="shared" si="124"/>
        <v>0</v>
      </c>
      <c r="I299" s="125">
        <f t="shared" si="116"/>
        <v>68</v>
      </c>
      <c r="J299" s="223">
        <f t="shared" ref="J299:O299" si="125">SUM(J315,J331)</f>
        <v>911.3</v>
      </c>
      <c r="K299" s="132">
        <f t="shared" si="125"/>
        <v>0</v>
      </c>
      <c r="L299" s="132">
        <f t="shared" si="125"/>
        <v>0</v>
      </c>
      <c r="M299" s="132">
        <f t="shared" si="125"/>
        <v>0</v>
      </c>
      <c r="N299" s="132">
        <f t="shared" si="125"/>
        <v>0</v>
      </c>
      <c r="O299" s="157">
        <f t="shared" si="125"/>
        <v>82.9</v>
      </c>
      <c r="P299" s="125">
        <f t="shared" si="118"/>
        <v>994.19999999999993</v>
      </c>
      <c r="Q299" s="128">
        <f t="shared" si="119"/>
        <v>1062.1999999999998</v>
      </c>
    </row>
    <row r="300" spans="1:17" x14ac:dyDescent="0.25">
      <c r="A300" s="85">
        <v>6</v>
      </c>
      <c r="B300" s="19" t="s">
        <v>23</v>
      </c>
      <c r="C300" s="59">
        <v>36</v>
      </c>
      <c r="D300" s="59">
        <v>0</v>
      </c>
      <c r="E300" s="59">
        <v>0</v>
      </c>
      <c r="F300" s="59">
        <f t="shared" ref="F300:H300" si="126">SUM(F316,F332)</f>
        <v>30.1</v>
      </c>
      <c r="G300" s="132">
        <f t="shared" si="126"/>
        <v>0</v>
      </c>
      <c r="H300" s="157">
        <f t="shared" si="126"/>
        <v>0</v>
      </c>
      <c r="I300" s="125">
        <f t="shared" si="116"/>
        <v>66.099999999999994</v>
      </c>
      <c r="J300" s="223">
        <f t="shared" ref="J300:O300" si="127">SUM(J316,J332)</f>
        <v>79.400000000000006</v>
      </c>
      <c r="K300" s="132">
        <f t="shared" si="127"/>
        <v>204</v>
      </c>
      <c r="L300" s="132">
        <f t="shared" si="127"/>
        <v>0</v>
      </c>
      <c r="M300" s="132">
        <f t="shared" si="127"/>
        <v>0</v>
      </c>
      <c r="N300" s="132">
        <f t="shared" si="127"/>
        <v>24.7</v>
      </c>
      <c r="O300" s="157">
        <f t="shared" si="127"/>
        <v>38.700000000000003</v>
      </c>
      <c r="P300" s="125">
        <f t="shared" si="118"/>
        <v>346.79999999999995</v>
      </c>
      <c r="Q300" s="128">
        <f t="shared" si="119"/>
        <v>412.9</v>
      </c>
    </row>
    <row r="301" spans="1:17" x14ac:dyDescent="0.25">
      <c r="A301" s="85">
        <v>7</v>
      </c>
      <c r="B301" s="19" t="s">
        <v>24</v>
      </c>
      <c r="C301" s="59">
        <v>17</v>
      </c>
      <c r="D301" s="59">
        <v>0</v>
      </c>
      <c r="E301" s="59">
        <v>21</v>
      </c>
      <c r="F301" s="59">
        <f t="shared" ref="F301:H301" si="128">SUM(F317,F333)</f>
        <v>0</v>
      </c>
      <c r="G301" s="132">
        <f t="shared" si="128"/>
        <v>0</v>
      </c>
      <c r="H301" s="157">
        <f t="shared" si="128"/>
        <v>121.3</v>
      </c>
      <c r="I301" s="125">
        <f t="shared" si="116"/>
        <v>159.30000000000001</v>
      </c>
      <c r="J301" s="223">
        <f t="shared" ref="J301:O301" si="129">SUM(J317,J333)</f>
        <v>1086.3</v>
      </c>
      <c r="K301" s="132">
        <f t="shared" si="129"/>
        <v>780</v>
      </c>
      <c r="L301" s="132">
        <f t="shared" si="129"/>
        <v>0</v>
      </c>
      <c r="M301" s="132">
        <f t="shared" si="129"/>
        <v>0</v>
      </c>
      <c r="N301" s="132">
        <f t="shared" si="129"/>
        <v>6.2</v>
      </c>
      <c r="O301" s="157">
        <f t="shared" si="129"/>
        <v>1101.2</v>
      </c>
      <c r="P301" s="125">
        <f t="shared" si="118"/>
        <v>2973.7</v>
      </c>
      <c r="Q301" s="128">
        <f t="shared" si="119"/>
        <v>3133</v>
      </c>
    </row>
    <row r="302" spans="1:17" ht="15.75" thickBot="1" x14ac:dyDescent="0.3">
      <c r="A302" s="86">
        <v>8</v>
      </c>
      <c r="B302" s="15" t="s">
        <v>25</v>
      </c>
      <c r="C302" s="137">
        <v>0</v>
      </c>
      <c r="D302" s="137">
        <v>306</v>
      </c>
      <c r="E302" s="137">
        <v>175</v>
      </c>
      <c r="F302" s="232">
        <f t="shared" ref="F302:H302" si="130">SUM(F318,F334)</f>
        <v>114.5</v>
      </c>
      <c r="G302" s="232">
        <f t="shared" si="130"/>
        <v>60.3</v>
      </c>
      <c r="H302" s="232">
        <f t="shared" si="130"/>
        <v>0</v>
      </c>
      <c r="I302" s="126">
        <f t="shared" si="116"/>
        <v>655.8</v>
      </c>
      <c r="J302" s="232">
        <f t="shared" ref="J302:O302" si="131">SUM(J318,J334)</f>
        <v>369.9</v>
      </c>
      <c r="K302" s="232">
        <f t="shared" si="131"/>
        <v>150.5</v>
      </c>
      <c r="L302" s="232">
        <f t="shared" si="131"/>
        <v>0</v>
      </c>
      <c r="M302" s="232">
        <f t="shared" si="131"/>
        <v>289</v>
      </c>
      <c r="N302" s="232">
        <f t="shared" si="131"/>
        <v>410</v>
      </c>
      <c r="O302" s="232">
        <f t="shared" si="131"/>
        <v>652.30000000000007</v>
      </c>
      <c r="P302" s="126">
        <f>SUM(J302:O302)</f>
        <v>1871.7000000000003</v>
      </c>
      <c r="Q302" s="129">
        <f t="shared" si="119"/>
        <v>2527.5</v>
      </c>
    </row>
    <row r="303" spans="1:17" ht="16.5" thickTop="1" thickBot="1" x14ac:dyDescent="0.3">
      <c r="A303" s="339" t="s">
        <v>26</v>
      </c>
      <c r="B303" s="340"/>
      <c r="C303" s="112">
        <f t="shared" ref="C303:H303" si="132">SUM(C295:C302)</f>
        <v>503</v>
      </c>
      <c r="D303" s="112">
        <f t="shared" si="132"/>
        <v>386</v>
      </c>
      <c r="E303" s="112">
        <f t="shared" si="132"/>
        <v>331</v>
      </c>
      <c r="F303" s="112">
        <f t="shared" si="132"/>
        <v>156.69999999999999</v>
      </c>
      <c r="G303" s="112">
        <f t="shared" si="132"/>
        <v>60.3</v>
      </c>
      <c r="H303" s="121">
        <f t="shared" si="132"/>
        <v>208.8</v>
      </c>
      <c r="I303" s="123">
        <f>SUM(I295:I302)</f>
        <v>1645.8</v>
      </c>
      <c r="J303" s="133">
        <f t="shared" ref="J303:O303" si="133">SUM(J295:J302)</f>
        <v>5112.0999999999995</v>
      </c>
      <c r="K303" s="112">
        <f t="shared" si="133"/>
        <v>2030.9</v>
      </c>
      <c r="L303" s="112">
        <f t="shared" si="133"/>
        <v>0</v>
      </c>
      <c r="M303" s="112">
        <f t="shared" si="133"/>
        <v>338.9</v>
      </c>
      <c r="N303" s="112">
        <f t="shared" si="133"/>
        <v>805.4</v>
      </c>
      <c r="O303" s="121">
        <f t="shared" si="133"/>
        <v>2663.8</v>
      </c>
      <c r="P303" s="123">
        <f>SUM(P295:P302)</f>
        <v>10951.100000000002</v>
      </c>
      <c r="Q303" s="130">
        <f>SUM(Q295:Q302)</f>
        <v>12596.9</v>
      </c>
    </row>
    <row r="305" spans="1:17" ht="15.75" x14ac:dyDescent="0.25">
      <c r="A305" s="341" t="s">
        <v>166</v>
      </c>
      <c r="B305" s="341"/>
      <c r="C305" s="341"/>
      <c r="D305" s="341"/>
      <c r="E305" s="341"/>
      <c r="F305" s="341"/>
      <c r="G305" s="341"/>
      <c r="H305" s="341"/>
      <c r="I305" s="341"/>
      <c r="J305" s="341"/>
      <c r="K305" s="341"/>
      <c r="L305" s="341"/>
      <c r="M305" s="341"/>
      <c r="N305" s="341"/>
      <c r="O305" s="341"/>
      <c r="P305" s="341"/>
      <c r="Q305" s="341"/>
    </row>
    <row r="306" spans="1:17" ht="15.75" x14ac:dyDescent="0.25">
      <c r="A306" s="341" t="s">
        <v>81</v>
      </c>
      <c r="B306" s="341"/>
      <c r="C306" s="341"/>
      <c r="D306" s="341"/>
      <c r="E306" s="341"/>
      <c r="F306" s="341"/>
      <c r="G306" s="341"/>
      <c r="H306" s="341"/>
      <c r="I306" s="341"/>
      <c r="J306" s="341"/>
      <c r="K306" s="341"/>
      <c r="L306" s="341"/>
      <c r="M306" s="341"/>
      <c r="N306" s="341"/>
      <c r="O306" s="341"/>
      <c r="P306" s="341"/>
      <c r="Q306" s="341"/>
    </row>
    <row r="307" spans="1:17" ht="15.75" thickBot="1" x14ac:dyDescent="0.3">
      <c r="Q307" s="75" t="s">
        <v>29</v>
      </c>
    </row>
    <row r="308" spans="1:17" x14ac:dyDescent="0.25">
      <c r="A308" s="334" t="s">
        <v>2</v>
      </c>
      <c r="B308" s="336" t="s">
        <v>3</v>
      </c>
      <c r="C308" s="342" t="s">
        <v>183</v>
      </c>
      <c r="D308" s="343"/>
      <c r="E308" s="343"/>
      <c r="F308" s="343"/>
      <c r="G308" s="343"/>
      <c r="H308" s="344"/>
      <c r="I308" s="345" t="s">
        <v>82</v>
      </c>
      <c r="J308" s="347">
        <v>2020</v>
      </c>
      <c r="K308" s="343"/>
      <c r="L308" s="343"/>
      <c r="M308" s="343"/>
      <c r="N308" s="343"/>
      <c r="O308" s="344"/>
      <c r="P308" s="345" t="s">
        <v>83</v>
      </c>
      <c r="Q308" s="348" t="s">
        <v>5</v>
      </c>
    </row>
    <row r="309" spans="1:17" x14ac:dyDescent="0.25">
      <c r="A309" s="335"/>
      <c r="B309" s="324"/>
      <c r="C309" s="300" t="s">
        <v>15</v>
      </c>
      <c r="D309" s="300" t="s">
        <v>16</v>
      </c>
      <c r="E309" s="300" t="s">
        <v>17</v>
      </c>
      <c r="F309" s="300" t="s">
        <v>6</v>
      </c>
      <c r="G309" s="300" t="s">
        <v>76</v>
      </c>
      <c r="H309" s="119" t="s">
        <v>77</v>
      </c>
      <c r="I309" s="346"/>
      <c r="J309" s="109" t="s">
        <v>78</v>
      </c>
      <c r="K309" s="300" t="s">
        <v>10</v>
      </c>
      <c r="L309" s="300" t="s">
        <v>11</v>
      </c>
      <c r="M309" s="300" t="s">
        <v>12</v>
      </c>
      <c r="N309" s="300" t="s">
        <v>79</v>
      </c>
      <c r="O309" s="119" t="s">
        <v>80</v>
      </c>
      <c r="P309" s="346"/>
      <c r="Q309" s="349"/>
    </row>
    <row r="310" spans="1:17" ht="15.75" thickBot="1" x14ac:dyDescent="0.3">
      <c r="A310" s="111">
        <v>1</v>
      </c>
      <c r="B310" s="5">
        <v>2</v>
      </c>
      <c r="C310" s="5">
        <v>3</v>
      </c>
      <c r="D310" s="5">
        <v>4</v>
      </c>
      <c r="E310" s="5">
        <v>5</v>
      </c>
      <c r="F310" s="5">
        <v>6</v>
      </c>
      <c r="G310" s="5">
        <v>7</v>
      </c>
      <c r="H310" s="120">
        <v>8</v>
      </c>
      <c r="I310" s="122">
        <v>9</v>
      </c>
      <c r="J310" s="110">
        <v>10</v>
      </c>
      <c r="K310" s="5">
        <v>11</v>
      </c>
      <c r="L310" s="5">
        <v>12</v>
      </c>
      <c r="M310" s="5">
        <v>13</v>
      </c>
      <c r="N310" s="5">
        <v>14</v>
      </c>
      <c r="O310" s="120">
        <v>15</v>
      </c>
      <c r="P310" s="122">
        <v>16</v>
      </c>
      <c r="Q310" s="131">
        <v>17</v>
      </c>
    </row>
    <row r="311" spans="1:17" ht="15.75" thickTop="1" x14ac:dyDescent="0.25">
      <c r="A311" s="83">
        <v>1</v>
      </c>
      <c r="B311" s="7" t="s">
        <v>18</v>
      </c>
      <c r="C311" s="136">
        <v>0</v>
      </c>
      <c r="D311" s="136">
        <v>67</v>
      </c>
      <c r="E311" s="136">
        <v>0</v>
      </c>
      <c r="F311" s="136">
        <f>'padi sawah'!C75</f>
        <v>0</v>
      </c>
      <c r="G311" s="136">
        <f>'padi sawah'!D75</f>
        <v>0</v>
      </c>
      <c r="H311" s="136">
        <f>'padi sawah'!E75</f>
        <v>0</v>
      </c>
      <c r="I311" s="124">
        <f>SUM(C311:H311)</f>
        <v>67</v>
      </c>
      <c r="J311" s="156">
        <f>'padi sawah'!F75</f>
        <v>805.2</v>
      </c>
      <c r="K311" s="156">
        <f>'padi sawah'!G75</f>
        <v>371.9</v>
      </c>
      <c r="L311" s="156">
        <f>'padi sawah'!H75</f>
        <v>0</v>
      </c>
      <c r="M311" s="156">
        <f>'padi sawah'!I75</f>
        <v>0</v>
      </c>
      <c r="N311" s="156">
        <f>'padi sawah'!J75</f>
        <v>118.5</v>
      </c>
      <c r="O311" s="156">
        <f>'padi sawah'!K75</f>
        <v>248.7</v>
      </c>
      <c r="P311" s="124">
        <f>SUM(J311:O311)</f>
        <v>1544.3</v>
      </c>
      <c r="Q311" s="127">
        <f>SUM(I311,P311)</f>
        <v>1611.3</v>
      </c>
    </row>
    <row r="312" spans="1:17" x14ac:dyDescent="0.25">
      <c r="A312" s="84">
        <v>2</v>
      </c>
      <c r="B312" s="12" t="s">
        <v>19</v>
      </c>
      <c r="C312" s="59">
        <v>450</v>
      </c>
      <c r="D312" s="59">
        <v>6</v>
      </c>
      <c r="E312" s="59">
        <v>24</v>
      </c>
      <c r="F312" s="59">
        <f>'padi sawah'!C76</f>
        <v>12.1</v>
      </c>
      <c r="G312" s="59">
        <f>'padi sawah'!D76</f>
        <v>0</v>
      </c>
      <c r="H312" s="155">
        <f>'padi sawah'!E76</f>
        <v>87.5</v>
      </c>
      <c r="I312" s="125">
        <f t="shared" ref="I312:I318" si="134">SUM(C312:H312)</f>
        <v>579.6</v>
      </c>
      <c r="J312" s="223">
        <f>'padi sawah'!F76</f>
        <v>670.3</v>
      </c>
      <c r="K312" s="132">
        <f>'padi sawah'!G76</f>
        <v>524.5</v>
      </c>
      <c r="L312" s="132">
        <f>'padi sawah'!H76</f>
        <v>0</v>
      </c>
      <c r="M312" s="132">
        <f>'padi sawah'!I76</f>
        <v>31.2</v>
      </c>
      <c r="N312" s="132">
        <f>'padi sawah'!J76</f>
        <v>123.7</v>
      </c>
      <c r="O312" s="157">
        <f>'padi sawah'!K76</f>
        <v>508.3</v>
      </c>
      <c r="P312" s="125">
        <f t="shared" ref="P312:P317" si="135">SUM(J312:O312)</f>
        <v>1858</v>
      </c>
      <c r="Q312" s="128">
        <f t="shared" ref="Q312:Q318" si="136">SUM(I312,P312)</f>
        <v>2437.6</v>
      </c>
    </row>
    <row r="313" spans="1:17" x14ac:dyDescent="0.25">
      <c r="A313" s="84">
        <v>3</v>
      </c>
      <c r="B313" s="7" t="s">
        <v>20</v>
      </c>
      <c r="C313" s="59">
        <v>0</v>
      </c>
      <c r="D313" s="59">
        <v>0</v>
      </c>
      <c r="E313" s="59">
        <v>0</v>
      </c>
      <c r="F313" s="59">
        <f>'padi sawah'!C77</f>
        <v>0</v>
      </c>
      <c r="G313" s="59">
        <f>'padi sawah'!D77</f>
        <v>0</v>
      </c>
      <c r="H313" s="155">
        <f>'padi sawah'!E77</f>
        <v>0</v>
      </c>
      <c r="I313" s="125">
        <f t="shared" si="134"/>
        <v>0</v>
      </c>
      <c r="J313" s="223">
        <f>'padi sawah'!F77</f>
        <v>145</v>
      </c>
      <c r="K313" s="132">
        <f>'padi sawah'!G77</f>
        <v>0</v>
      </c>
      <c r="L313" s="132">
        <f>'padi sawah'!H77</f>
        <v>0</v>
      </c>
      <c r="M313" s="132">
        <f>'padi sawah'!I77</f>
        <v>0</v>
      </c>
      <c r="N313" s="132">
        <f>'padi sawah'!J77</f>
        <v>59.3</v>
      </c>
      <c r="O313" s="157">
        <f>'padi sawah'!K77</f>
        <v>0</v>
      </c>
      <c r="P313" s="125">
        <f t="shared" si="135"/>
        <v>204.3</v>
      </c>
      <c r="Q313" s="128">
        <f t="shared" si="136"/>
        <v>204.3</v>
      </c>
    </row>
    <row r="314" spans="1:17" x14ac:dyDescent="0.25">
      <c r="A314" s="85">
        <v>4</v>
      </c>
      <c r="B314" s="15" t="s">
        <v>21</v>
      </c>
      <c r="C314" s="59">
        <v>0</v>
      </c>
      <c r="D314" s="59">
        <v>7</v>
      </c>
      <c r="E314" s="59">
        <v>43</v>
      </c>
      <c r="F314" s="59">
        <f>'padi sawah'!C78</f>
        <v>0</v>
      </c>
      <c r="G314" s="59">
        <f>'padi sawah'!D78</f>
        <v>0</v>
      </c>
      <c r="H314" s="155">
        <f>'padi sawah'!E78</f>
        <v>0</v>
      </c>
      <c r="I314" s="125">
        <f t="shared" si="134"/>
        <v>50</v>
      </c>
      <c r="J314" s="223">
        <f>'padi sawah'!F78</f>
        <v>1044.7</v>
      </c>
      <c r="K314" s="132">
        <f>'padi sawah'!G78</f>
        <v>0</v>
      </c>
      <c r="L314" s="132">
        <f>'padi sawah'!H78</f>
        <v>0</v>
      </c>
      <c r="M314" s="132">
        <f>'padi sawah'!I78</f>
        <v>18.7</v>
      </c>
      <c r="N314" s="132">
        <f>'padi sawah'!J78</f>
        <v>63</v>
      </c>
      <c r="O314" s="157">
        <f>'padi sawah'!K78</f>
        <v>31.7</v>
      </c>
      <c r="P314" s="125">
        <f t="shared" si="135"/>
        <v>1158.1000000000001</v>
      </c>
      <c r="Q314" s="128">
        <f t="shared" si="136"/>
        <v>1208.1000000000001</v>
      </c>
    </row>
    <row r="315" spans="1:17" x14ac:dyDescent="0.25">
      <c r="A315" s="85">
        <v>5</v>
      </c>
      <c r="B315" s="19" t="s">
        <v>22</v>
      </c>
      <c r="C315" s="59">
        <v>0</v>
      </c>
      <c r="D315" s="59">
        <v>0</v>
      </c>
      <c r="E315" s="59">
        <v>68</v>
      </c>
      <c r="F315" s="59">
        <f>'padi sawah'!C79</f>
        <v>0</v>
      </c>
      <c r="G315" s="59">
        <f>'padi sawah'!D79</f>
        <v>0</v>
      </c>
      <c r="H315" s="155">
        <f>'padi sawah'!E79</f>
        <v>0</v>
      </c>
      <c r="I315" s="125">
        <f t="shared" si="134"/>
        <v>68</v>
      </c>
      <c r="J315" s="223">
        <f>'padi sawah'!F79</f>
        <v>911.3</v>
      </c>
      <c r="K315" s="132">
        <f>'padi sawah'!G79</f>
        <v>0</v>
      </c>
      <c r="L315" s="132">
        <f>'padi sawah'!H79</f>
        <v>0</v>
      </c>
      <c r="M315" s="132">
        <f>'padi sawah'!I79</f>
        <v>0</v>
      </c>
      <c r="N315" s="132">
        <f>'padi sawah'!J79</f>
        <v>0</v>
      </c>
      <c r="O315" s="157">
        <f>'padi sawah'!K79</f>
        <v>82.9</v>
      </c>
      <c r="P315" s="125">
        <f t="shared" si="135"/>
        <v>994.19999999999993</v>
      </c>
      <c r="Q315" s="128">
        <f t="shared" si="136"/>
        <v>1062.1999999999998</v>
      </c>
    </row>
    <row r="316" spans="1:17" x14ac:dyDescent="0.25">
      <c r="A316" s="85">
        <v>6</v>
      </c>
      <c r="B316" s="19" t="s">
        <v>23</v>
      </c>
      <c r="C316" s="59">
        <v>36</v>
      </c>
      <c r="D316" s="59">
        <v>0</v>
      </c>
      <c r="E316" s="59">
        <v>0</v>
      </c>
      <c r="F316" s="59">
        <f>'padi sawah'!C80</f>
        <v>30.1</v>
      </c>
      <c r="G316" s="59">
        <f>'padi sawah'!D80</f>
        <v>0</v>
      </c>
      <c r="H316" s="155">
        <f>'padi sawah'!E80</f>
        <v>0</v>
      </c>
      <c r="I316" s="125">
        <f t="shared" si="134"/>
        <v>66.099999999999994</v>
      </c>
      <c r="J316" s="223">
        <f>'padi sawah'!F80</f>
        <v>79.400000000000006</v>
      </c>
      <c r="K316" s="132">
        <f>'padi sawah'!G80</f>
        <v>204</v>
      </c>
      <c r="L316" s="132">
        <f>'padi sawah'!H80</f>
        <v>0</v>
      </c>
      <c r="M316" s="132">
        <f>'padi sawah'!I80</f>
        <v>0</v>
      </c>
      <c r="N316" s="132">
        <f>'padi sawah'!J80</f>
        <v>24.7</v>
      </c>
      <c r="O316" s="157">
        <f>'padi sawah'!K80</f>
        <v>38.700000000000003</v>
      </c>
      <c r="P316" s="125">
        <f t="shared" si="135"/>
        <v>346.79999999999995</v>
      </c>
      <c r="Q316" s="128">
        <f t="shared" si="136"/>
        <v>412.9</v>
      </c>
    </row>
    <row r="317" spans="1:17" x14ac:dyDescent="0.25">
      <c r="A317" s="85">
        <v>7</v>
      </c>
      <c r="B317" s="19" t="s">
        <v>24</v>
      </c>
      <c r="C317" s="59">
        <v>17</v>
      </c>
      <c r="D317" s="59">
        <v>0</v>
      </c>
      <c r="E317" s="59">
        <v>21</v>
      </c>
      <c r="F317" s="59">
        <f>'padi sawah'!C81</f>
        <v>0</v>
      </c>
      <c r="G317" s="59">
        <f>'padi sawah'!D81</f>
        <v>0</v>
      </c>
      <c r="H317" s="155">
        <f>'padi sawah'!E81</f>
        <v>121.3</v>
      </c>
      <c r="I317" s="125">
        <f t="shared" si="134"/>
        <v>159.30000000000001</v>
      </c>
      <c r="J317" s="223">
        <f>'padi sawah'!F81</f>
        <v>1086.3</v>
      </c>
      <c r="K317" s="132">
        <f>'padi sawah'!G81</f>
        <v>780</v>
      </c>
      <c r="L317" s="132">
        <f>'padi sawah'!H81</f>
        <v>0</v>
      </c>
      <c r="M317" s="132">
        <f>'padi sawah'!I81</f>
        <v>0</v>
      </c>
      <c r="N317" s="132">
        <f>'padi sawah'!J81</f>
        <v>6.2</v>
      </c>
      <c r="O317" s="157">
        <f>'padi sawah'!K81</f>
        <v>1101.2</v>
      </c>
      <c r="P317" s="125">
        <f t="shared" si="135"/>
        <v>2973.7</v>
      </c>
      <c r="Q317" s="128">
        <f t="shared" si="136"/>
        <v>3133</v>
      </c>
    </row>
    <row r="318" spans="1:17" ht="15.75" thickBot="1" x14ac:dyDescent="0.3">
      <c r="A318" s="86">
        <v>8</v>
      </c>
      <c r="B318" s="15" t="s">
        <v>25</v>
      </c>
      <c r="C318" s="137">
        <v>0</v>
      </c>
      <c r="D318" s="137">
        <v>306</v>
      </c>
      <c r="E318" s="137">
        <v>175</v>
      </c>
      <c r="F318" s="137">
        <f>'padi sawah'!C82</f>
        <v>114.5</v>
      </c>
      <c r="G318" s="137">
        <f>'padi sawah'!D82</f>
        <v>60.3</v>
      </c>
      <c r="H318" s="137">
        <f>'padi sawah'!E82</f>
        <v>0</v>
      </c>
      <c r="I318" s="126">
        <f t="shared" si="134"/>
        <v>655.8</v>
      </c>
      <c r="J318" s="232">
        <f>'padi sawah'!F82</f>
        <v>369.9</v>
      </c>
      <c r="K318" s="232">
        <f>'padi sawah'!G82</f>
        <v>150.5</v>
      </c>
      <c r="L318" s="232">
        <f>'padi sawah'!H82</f>
        <v>0</v>
      </c>
      <c r="M318" s="232">
        <f>'padi sawah'!I82</f>
        <v>289</v>
      </c>
      <c r="N318" s="232">
        <f>'padi sawah'!J82</f>
        <v>410</v>
      </c>
      <c r="O318" s="232">
        <f>'padi sawah'!K82</f>
        <v>641.1</v>
      </c>
      <c r="P318" s="126">
        <f>SUM(J318:O318)</f>
        <v>1860.5</v>
      </c>
      <c r="Q318" s="129">
        <f t="shared" si="136"/>
        <v>2516.3000000000002</v>
      </c>
    </row>
    <row r="319" spans="1:17" ht="16.5" thickTop="1" thickBot="1" x14ac:dyDescent="0.3">
      <c r="A319" s="339" t="s">
        <v>26</v>
      </c>
      <c r="B319" s="340"/>
      <c r="C319" s="112">
        <f t="shared" ref="C319:H319" si="137">SUM(C311:C318)</f>
        <v>503</v>
      </c>
      <c r="D319" s="112">
        <f t="shared" si="137"/>
        <v>386</v>
      </c>
      <c r="E319" s="112">
        <f t="shared" si="137"/>
        <v>331</v>
      </c>
      <c r="F319" s="112">
        <f t="shared" si="137"/>
        <v>156.69999999999999</v>
      </c>
      <c r="G319" s="112">
        <f t="shared" si="137"/>
        <v>60.3</v>
      </c>
      <c r="H319" s="121">
        <f t="shared" si="137"/>
        <v>208.8</v>
      </c>
      <c r="I319" s="123">
        <f>SUM(I311:I318)</f>
        <v>1645.8</v>
      </c>
      <c r="J319" s="133">
        <f t="shared" ref="J319:O319" si="138">SUM(J311:J318)</f>
        <v>5112.0999999999995</v>
      </c>
      <c r="K319" s="112">
        <f t="shared" si="138"/>
        <v>2030.9</v>
      </c>
      <c r="L319" s="112">
        <f t="shared" si="138"/>
        <v>0</v>
      </c>
      <c r="M319" s="112">
        <f t="shared" si="138"/>
        <v>338.9</v>
      </c>
      <c r="N319" s="112">
        <f t="shared" si="138"/>
        <v>805.4</v>
      </c>
      <c r="O319" s="121">
        <f t="shared" si="138"/>
        <v>2652.6</v>
      </c>
      <c r="P319" s="123">
        <f>SUM(P311:P318)</f>
        <v>10939.900000000001</v>
      </c>
      <c r="Q319" s="130">
        <f>SUM(Q311:Q318)</f>
        <v>12585.7</v>
      </c>
    </row>
    <row r="321" spans="1:17" ht="15.75" x14ac:dyDescent="0.25">
      <c r="A321" s="341" t="s">
        <v>167</v>
      </c>
      <c r="B321" s="341"/>
      <c r="C321" s="341"/>
      <c r="D321" s="341"/>
      <c r="E321" s="341"/>
      <c r="F321" s="341"/>
      <c r="G321" s="341"/>
      <c r="H321" s="341"/>
      <c r="I321" s="341"/>
      <c r="J321" s="341"/>
      <c r="K321" s="341"/>
      <c r="L321" s="341"/>
      <c r="M321" s="341"/>
      <c r="N321" s="341"/>
      <c r="O321" s="341"/>
      <c r="P321" s="341"/>
      <c r="Q321" s="341"/>
    </row>
    <row r="322" spans="1:17" ht="15.75" x14ac:dyDescent="0.25">
      <c r="A322" s="341" t="s">
        <v>81</v>
      </c>
      <c r="B322" s="341"/>
      <c r="C322" s="341"/>
      <c r="D322" s="341"/>
      <c r="E322" s="341"/>
      <c r="F322" s="341"/>
      <c r="G322" s="341"/>
      <c r="H322" s="341"/>
      <c r="I322" s="341"/>
      <c r="J322" s="341"/>
      <c r="K322" s="341"/>
      <c r="L322" s="341"/>
      <c r="M322" s="341"/>
      <c r="N322" s="341"/>
      <c r="O322" s="341"/>
      <c r="P322" s="341"/>
      <c r="Q322" s="341"/>
    </row>
    <row r="323" spans="1:17" ht="15.75" thickBot="1" x14ac:dyDescent="0.3">
      <c r="Q323" s="75" t="s">
        <v>29</v>
      </c>
    </row>
    <row r="324" spans="1:17" x14ac:dyDescent="0.25">
      <c r="A324" s="334" t="s">
        <v>2</v>
      </c>
      <c r="B324" s="336" t="s">
        <v>3</v>
      </c>
      <c r="C324" s="342" t="s">
        <v>183</v>
      </c>
      <c r="D324" s="343"/>
      <c r="E324" s="343"/>
      <c r="F324" s="343"/>
      <c r="G324" s="343"/>
      <c r="H324" s="344"/>
      <c r="I324" s="345" t="s">
        <v>82</v>
      </c>
      <c r="J324" s="347">
        <v>2020</v>
      </c>
      <c r="K324" s="343"/>
      <c r="L324" s="343"/>
      <c r="M324" s="343"/>
      <c r="N324" s="343"/>
      <c r="O324" s="344"/>
      <c r="P324" s="345" t="s">
        <v>83</v>
      </c>
      <c r="Q324" s="348" t="s">
        <v>5</v>
      </c>
    </row>
    <row r="325" spans="1:17" x14ac:dyDescent="0.25">
      <c r="A325" s="335"/>
      <c r="B325" s="324"/>
      <c r="C325" s="300" t="s">
        <v>15</v>
      </c>
      <c r="D325" s="300" t="s">
        <v>16</v>
      </c>
      <c r="E325" s="300" t="s">
        <v>17</v>
      </c>
      <c r="F325" s="300" t="s">
        <v>6</v>
      </c>
      <c r="G325" s="300" t="s">
        <v>76</v>
      </c>
      <c r="H325" s="119" t="s">
        <v>77</v>
      </c>
      <c r="I325" s="346"/>
      <c r="J325" s="109" t="s">
        <v>78</v>
      </c>
      <c r="K325" s="300" t="s">
        <v>10</v>
      </c>
      <c r="L325" s="300" t="s">
        <v>11</v>
      </c>
      <c r="M325" s="300" t="s">
        <v>12</v>
      </c>
      <c r="N325" s="300" t="s">
        <v>79</v>
      </c>
      <c r="O325" s="119" t="s">
        <v>80</v>
      </c>
      <c r="P325" s="346"/>
      <c r="Q325" s="349"/>
    </row>
    <row r="326" spans="1:17" ht="15.75" thickBot="1" x14ac:dyDescent="0.3">
      <c r="A326" s="111">
        <v>1</v>
      </c>
      <c r="B326" s="5">
        <v>2</v>
      </c>
      <c r="C326" s="5">
        <v>3</v>
      </c>
      <c r="D326" s="5">
        <v>4</v>
      </c>
      <c r="E326" s="5">
        <v>5</v>
      </c>
      <c r="F326" s="5">
        <v>6</v>
      </c>
      <c r="G326" s="5">
        <v>7</v>
      </c>
      <c r="H326" s="120">
        <v>8</v>
      </c>
      <c r="I326" s="122">
        <v>9</v>
      </c>
      <c r="J326" s="110">
        <v>10</v>
      </c>
      <c r="K326" s="5">
        <v>11</v>
      </c>
      <c r="L326" s="5">
        <v>12</v>
      </c>
      <c r="M326" s="5">
        <v>13</v>
      </c>
      <c r="N326" s="5">
        <v>14</v>
      </c>
      <c r="O326" s="120">
        <v>15</v>
      </c>
      <c r="P326" s="122">
        <v>16</v>
      </c>
      <c r="Q326" s="131">
        <v>17</v>
      </c>
    </row>
    <row r="327" spans="1:17" ht="15.75" thickTop="1" x14ac:dyDescent="0.25">
      <c r="A327" s="83">
        <v>1</v>
      </c>
      <c r="B327" s="7" t="s">
        <v>18</v>
      </c>
      <c r="C327" s="136">
        <v>0</v>
      </c>
      <c r="D327" s="136">
        <v>0</v>
      </c>
      <c r="E327" s="136">
        <v>0</v>
      </c>
      <c r="F327" s="136">
        <f>'padi ladang'!C75</f>
        <v>0</v>
      </c>
      <c r="G327" s="136">
        <f>'padi ladang'!D75</f>
        <v>0</v>
      </c>
      <c r="H327" s="136">
        <f>'padi ladang'!E75</f>
        <v>0</v>
      </c>
      <c r="I327" s="124">
        <f>SUM(C327:H327)</f>
        <v>0</v>
      </c>
      <c r="J327" s="156">
        <f>'padi ladang'!F75</f>
        <v>0</v>
      </c>
      <c r="K327" s="156">
        <f>'padi ladang'!G75</f>
        <v>0</v>
      </c>
      <c r="L327" s="156">
        <f>'padi ladang'!H75</f>
        <v>0</v>
      </c>
      <c r="M327" s="156">
        <f>'padi ladang'!I75</f>
        <v>0</v>
      </c>
      <c r="N327" s="156">
        <f>'padi ladang'!J75</f>
        <v>0</v>
      </c>
      <c r="O327" s="156">
        <f>'padi ladang'!K75</f>
        <v>0</v>
      </c>
      <c r="P327" s="124">
        <f>SUM(J327:O327)</f>
        <v>0</v>
      </c>
      <c r="Q327" s="127">
        <f>SUM(I327,P327)</f>
        <v>0</v>
      </c>
    </row>
    <row r="328" spans="1:17" x14ac:dyDescent="0.25">
      <c r="A328" s="84">
        <v>2</v>
      </c>
      <c r="B328" s="12" t="s">
        <v>19</v>
      </c>
      <c r="C328" s="59">
        <v>0</v>
      </c>
      <c r="D328" s="59">
        <v>0</v>
      </c>
      <c r="E328" s="59">
        <v>0</v>
      </c>
      <c r="F328" s="59">
        <f>'padi ladang'!C76</f>
        <v>0</v>
      </c>
      <c r="G328" s="59">
        <f>'padi ladang'!D76</f>
        <v>0</v>
      </c>
      <c r="H328" s="155">
        <f>'padi ladang'!E76</f>
        <v>0</v>
      </c>
      <c r="I328" s="125">
        <f t="shared" ref="I328:I334" si="139">SUM(C328:H328)</f>
        <v>0</v>
      </c>
      <c r="J328" s="223">
        <f>'padi ladang'!F76</f>
        <v>0</v>
      </c>
      <c r="K328" s="132">
        <f>'padi ladang'!G76</f>
        <v>0</v>
      </c>
      <c r="L328" s="132">
        <f>'padi ladang'!H76</f>
        <v>0</v>
      </c>
      <c r="M328" s="132">
        <f>'padi ladang'!I76</f>
        <v>0</v>
      </c>
      <c r="N328" s="132">
        <f>'padi ladang'!J76</f>
        <v>0</v>
      </c>
      <c r="O328" s="157">
        <f>'padi ladang'!K76</f>
        <v>0</v>
      </c>
      <c r="P328" s="125">
        <f t="shared" ref="P328:P333" si="140">SUM(J328:O328)</f>
        <v>0</v>
      </c>
      <c r="Q328" s="128">
        <f t="shared" ref="Q328:Q334" si="141">SUM(I328,P328)</f>
        <v>0</v>
      </c>
    </row>
    <row r="329" spans="1:17" x14ac:dyDescent="0.25">
      <c r="A329" s="84">
        <v>3</v>
      </c>
      <c r="B329" s="7" t="s">
        <v>20</v>
      </c>
      <c r="C329" s="59">
        <v>0</v>
      </c>
      <c r="D329" s="59">
        <v>0</v>
      </c>
      <c r="E329" s="59">
        <v>0</v>
      </c>
      <c r="F329" s="59">
        <f>'padi ladang'!C77</f>
        <v>0</v>
      </c>
      <c r="G329" s="59">
        <f>'padi ladang'!D77</f>
        <v>0</v>
      </c>
      <c r="H329" s="155">
        <f>'padi ladang'!E77</f>
        <v>0</v>
      </c>
      <c r="I329" s="125">
        <f t="shared" si="139"/>
        <v>0</v>
      </c>
      <c r="J329" s="223">
        <f>'padi ladang'!F77</f>
        <v>0</v>
      </c>
      <c r="K329" s="132">
        <f>'padi ladang'!G77</f>
        <v>0</v>
      </c>
      <c r="L329" s="132">
        <f>'padi ladang'!H77</f>
        <v>0</v>
      </c>
      <c r="M329" s="132">
        <f>'padi ladang'!I77</f>
        <v>0</v>
      </c>
      <c r="N329" s="132">
        <f>'padi ladang'!J77</f>
        <v>0</v>
      </c>
      <c r="O329" s="157">
        <f>'padi ladang'!K77</f>
        <v>0</v>
      </c>
      <c r="P329" s="125">
        <f t="shared" si="140"/>
        <v>0</v>
      </c>
      <c r="Q329" s="128">
        <f t="shared" si="141"/>
        <v>0</v>
      </c>
    </row>
    <row r="330" spans="1:17" x14ac:dyDescent="0.25">
      <c r="A330" s="85">
        <v>4</v>
      </c>
      <c r="B330" s="15" t="s">
        <v>21</v>
      </c>
      <c r="C330" s="59">
        <v>0</v>
      </c>
      <c r="D330" s="59">
        <v>0</v>
      </c>
      <c r="E330" s="59">
        <v>0</v>
      </c>
      <c r="F330" s="59">
        <f>'padi ladang'!C78</f>
        <v>0</v>
      </c>
      <c r="G330" s="59">
        <f>'padi ladang'!D78</f>
        <v>0</v>
      </c>
      <c r="H330" s="155">
        <f>'padi ladang'!E78</f>
        <v>0</v>
      </c>
      <c r="I330" s="125">
        <f t="shared" si="139"/>
        <v>0</v>
      </c>
      <c r="J330" s="223">
        <f>'padi ladang'!F78</f>
        <v>0</v>
      </c>
      <c r="K330" s="132">
        <f>'padi ladang'!G78</f>
        <v>0</v>
      </c>
      <c r="L330" s="132">
        <f>'padi ladang'!H78</f>
        <v>0</v>
      </c>
      <c r="M330" s="132">
        <f>'padi ladang'!I78</f>
        <v>0</v>
      </c>
      <c r="N330" s="132">
        <f>'padi ladang'!J78</f>
        <v>0</v>
      </c>
      <c r="O330" s="157">
        <f>'padi ladang'!K78</f>
        <v>0</v>
      </c>
      <c r="P330" s="125">
        <f t="shared" si="140"/>
        <v>0</v>
      </c>
      <c r="Q330" s="128">
        <f t="shared" si="141"/>
        <v>0</v>
      </c>
    </row>
    <row r="331" spans="1:17" x14ac:dyDescent="0.25">
      <c r="A331" s="85">
        <v>5</v>
      </c>
      <c r="B331" s="19" t="s">
        <v>22</v>
      </c>
      <c r="C331" s="59">
        <v>0</v>
      </c>
      <c r="D331" s="59">
        <v>0</v>
      </c>
      <c r="E331" s="59">
        <v>0</v>
      </c>
      <c r="F331" s="59">
        <f>'padi ladang'!C79</f>
        <v>0</v>
      </c>
      <c r="G331" s="59">
        <f>'padi ladang'!D79</f>
        <v>0</v>
      </c>
      <c r="H331" s="155">
        <f>'padi ladang'!E79</f>
        <v>0</v>
      </c>
      <c r="I331" s="125">
        <f t="shared" si="139"/>
        <v>0</v>
      </c>
      <c r="J331" s="223">
        <f>'padi ladang'!F79</f>
        <v>0</v>
      </c>
      <c r="K331" s="132">
        <f>'padi ladang'!G79</f>
        <v>0</v>
      </c>
      <c r="L331" s="132">
        <f>'padi ladang'!H79</f>
        <v>0</v>
      </c>
      <c r="M331" s="132">
        <f>'padi ladang'!I79</f>
        <v>0</v>
      </c>
      <c r="N331" s="132">
        <f>'padi ladang'!J79</f>
        <v>0</v>
      </c>
      <c r="O331" s="157">
        <f>'padi ladang'!K79</f>
        <v>0</v>
      </c>
      <c r="P331" s="125">
        <f t="shared" si="140"/>
        <v>0</v>
      </c>
      <c r="Q331" s="128">
        <f t="shared" si="141"/>
        <v>0</v>
      </c>
    </row>
    <row r="332" spans="1:17" x14ac:dyDescent="0.25">
      <c r="A332" s="85">
        <v>6</v>
      </c>
      <c r="B332" s="19" t="s">
        <v>23</v>
      </c>
      <c r="C332" s="59">
        <v>0</v>
      </c>
      <c r="D332" s="59">
        <v>0</v>
      </c>
      <c r="E332" s="59">
        <v>0</v>
      </c>
      <c r="F332" s="59">
        <f>'padi ladang'!C80</f>
        <v>0</v>
      </c>
      <c r="G332" s="59">
        <f>'padi ladang'!D80</f>
        <v>0</v>
      </c>
      <c r="H332" s="155">
        <f>'padi ladang'!E80</f>
        <v>0</v>
      </c>
      <c r="I332" s="125">
        <f t="shared" si="139"/>
        <v>0</v>
      </c>
      <c r="J332" s="223">
        <f>'padi ladang'!F80</f>
        <v>0</v>
      </c>
      <c r="K332" s="132">
        <f>'padi ladang'!G80</f>
        <v>0</v>
      </c>
      <c r="L332" s="132">
        <f>'padi ladang'!H80</f>
        <v>0</v>
      </c>
      <c r="M332" s="132">
        <f>'padi ladang'!I80</f>
        <v>0</v>
      </c>
      <c r="N332" s="132">
        <f>'padi ladang'!J80</f>
        <v>0</v>
      </c>
      <c r="O332" s="157">
        <f>'padi ladang'!K80</f>
        <v>0</v>
      </c>
      <c r="P332" s="125">
        <f t="shared" si="140"/>
        <v>0</v>
      </c>
      <c r="Q332" s="128">
        <f t="shared" si="141"/>
        <v>0</v>
      </c>
    </row>
    <row r="333" spans="1:17" x14ac:dyDescent="0.25">
      <c r="A333" s="85">
        <v>7</v>
      </c>
      <c r="B333" s="19" t="s">
        <v>24</v>
      </c>
      <c r="C333" s="59">
        <v>0</v>
      </c>
      <c r="D333" s="59">
        <v>0</v>
      </c>
      <c r="E333" s="59">
        <v>0</v>
      </c>
      <c r="F333" s="59">
        <f>'padi ladang'!C81</f>
        <v>0</v>
      </c>
      <c r="G333" s="59">
        <f>'padi ladang'!D81</f>
        <v>0</v>
      </c>
      <c r="H333" s="155">
        <f>'padi ladang'!E81</f>
        <v>0</v>
      </c>
      <c r="I333" s="125">
        <f t="shared" si="139"/>
        <v>0</v>
      </c>
      <c r="J333" s="223">
        <f>'padi ladang'!F81</f>
        <v>0</v>
      </c>
      <c r="K333" s="132">
        <f>'padi ladang'!G81</f>
        <v>0</v>
      </c>
      <c r="L333" s="132">
        <f>'padi ladang'!H81</f>
        <v>0</v>
      </c>
      <c r="M333" s="132">
        <f>'padi ladang'!I81</f>
        <v>0</v>
      </c>
      <c r="N333" s="132">
        <f>'padi ladang'!J81</f>
        <v>0</v>
      </c>
      <c r="O333" s="157">
        <f>'padi ladang'!K81</f>
        <v>0</v>
      </c>
      <c r="P333" s="125">
        <f t="shared" si="140"/>
        <v>0</v>
      </c>
      <c r="Q333" s="128">
        <f t="shared" si="141"/>
        <v>0</v>
      </c>
    </row>
    <row r="334" spans="1:17" ht="15.75" thickBot="1" x14ac:dyDescent="0.3">
      <c r="A334" s="86">
        <v>8</v>
      </c>
      <c r="B334" s="15" t="s">
        <v>25</v>
      </c>
      <c r="C334" s="137">
        <v>0</v>
      </c>
      <c r="D334" s="137">
        <v>0</v>
      </c>
      <c r="E334" s="137">
        <v>0</v>
      </c>
      <c r="F334" s="137">
        <f>'padi ladang'!C82</f>
        <v>0</v>
      </c>
      <c r="G334" s="137">
        <f>'padi ladang'!D82</f>
        <v>0</v>
      </c>
      <c r="H334" s="137">
        <f>'padi ladang'!E82</f>
        <v>0</v>
      </c>
      <c r="I334" s="126">
        <f t="shared" si="139"/>
        <v>0</v>
      </c>
      <c r="J334" s="232">
        <f>'padi ladang'!F82</f>
        <v>0</v>
      </c>
      <c r="K334" s="232">
        <f>'padi ladang'!G82</f>
        <v>0</v>
      </c>
      <c r="L334" s="232">
        <f>'padi ladang'!H82</f>
        <v>0</v>
      </c>
      <c r="M334" s="232">
        <f>'padi ladang'!I82</f>
        <v>0</v>
      </c>
      <c r="N334" s="232">
        <f>'padi ladang'!J82</f>
        <v>0</v>
      </c>
      <c r="O334" s="232">
        <f>'padi ladang'!K82</f>
        <v>11.2</v>
      </c>
      <c r="P334" s="126">
        <f>SUM(J334:O334)</f>
        <v>11.2</v>
      </c>
      <c r="Q334" s="129">
        <f t="shared" si="141"/>
        <v>11.2</v>
      </c>
    </row>
    <row r="335" spans="1:17" ht="16.5" thickTop="1" thickBot="1" x14ac:dyDescent="0.3">
      <c r="A335" s="339" t="s">
        <v>26</v>
      </c>
      <c r="B335" s="340"/>
      <c r="C335" s="112">
        <f t="shared" ref="C335:H335" si="142">SUM(C327:C334)</f>
        <v>0</v>
      </c>
      <c r="D335" s="112">
        <f t="shared" si="142"/>
        <v>0</v>
      </c>
      <c r="E335" s="112">
        <f t="shared" si="142"/>
        <v>0</v>
      </c>
      <c r="F335" s="112">
        <f t="shared" si="142"/>
        <v>0</v>
      </c>
      <c r="G335" s="112">
        <f t="shared" si="142"/>
        <v>0</v>
      </c>
      <c r="H335" s="121">
        <f t="shared" si="142"/>
        <v>0</v>
      </c>
      <c r="I335" s="123">
        <f>SUM(I327:I334)</f>
        <v>0</v>
      </c>
      <c r="J335" s="133">
        <f t="shared" ref="J335:O335" si="143">SUM(J327:J334)</f>
        <v>0</v>
      </c>
      <c r="K335" s="112">
        <f t="shared" si="143"/>
        <v>0</v>
      </c>
      <c r="L335" s="112">
        <f t="shared" si="143"/>
        <v>0</v>
      </c>
      <c r="M335" s="112">
        <f t="shared" si="143"/>
        <v>0</v>
      </c>
      <c r="N335" s="112">
        <f t="shared" si="143"/>
        <v>0</v>
      </c>
      <c r="O335" s="121">
        <f t="shared" si="143"/>
        <v>11.2</v>
      </c>
      <c r="P335" s="123">
        <f>SUM(P327:P334)</f>
        <v>11.2</v>
      </c>
      <c r="Q335" s="130">
        <f>SUM(Q327:Q334)</f>
        <v>11.2</v>
      </c>
    </row>
    <row r="337" spans="1:17" ht="15.75" x14ac:dyDescent="0.25">
      <c r="A337" s="341" t="s">
        <v>168</v>
      </c>
      <c r="B337" s="341"/>
      <c r="C337" s="341"/>
      <c r="D337" s="341"/>
      <c r="E337" s="341"/>
      <c r="F337" s="341"/>
      <c r="G337" s="341"/>
      <c r="H337" s="341"/>
      <c r="I337" s="341"/>
      <c r="J337" s="341"/>
      <c r="K337" s="341"/>
      <c r="L337" s="341"/>
      <c r="M337" s="341"/>
      <c r="N337" s="341"/>
      <c r="O337" s="341"/>
      <c r="P337" s="341"/>
      <c r="Q337" s="341"/>
    </row>
    <row r="338" spans="1:17" ht="15.75" x14ac:dyDescent="0.25">
      <c r="A338" s="341" t="s">
        <v>81</v>
      </c>
      <c r="B338" s="341"/>
      <c r="C338" s="341"/>
      <c r="D338" s="341"/>
      <c r="E338" s="341"/>
      <c r="F338" s="341"/>
      <c r="G338" s="341"/>
      <c r="H338" s="341"/>
      <c r="I338" s="341"/>
      <c r="J338" s="341"/>
      <c r="K338" s="341"/>
      <c r="L338" s="341"/>
      <c r="M338" s="341"/>
      <c r="N338" s="341"/>
      <c r="O338" s="341"/>
      <c r="P338" s="341"/>
      <c r="Q338" s="341"/>
    </row>
    <row r="339" spans="1:17" ht="15.75" thickBot="1" x14ac:dyDescent="0.3">
      <c r="Q339" s="75" t="s">
        <v>29</v>
      </c>
    </row>
    <row r="340" spans="1:17" x14ac:dyDescent="0.25">
      <c r="A340" s="334" t="s">
        <v>2</v>
      </c>
      <c r="B340" s="336" t="s">
        <v>3</v>
      </c>
      <c r="C340" s="342" t="s">
        <v>183</v>
      </c>
      <c r="D340" s="343"/>
      <c r="E340" s="343"/>
      <c r="F340" s="343"/>
      <c r="G340" s="343"/>
      <c r="H340" s="344"/>
      <c r="I340" s="345" t="s">
        <v>82</v>
      </c>
      <c r="J340" s="347">
        <v>2020</v>
      </c>
      <c r="K340" s="343"/>
      <c r="L340" s="343"/>
      <c r="M340" s="343"/>
      <c r="N340" s="343"/>
      <c r="O340" s="344"/>
      <c r="P340" s="345" t="s">
        <v>83</v>
      </c>
      <c r="Q340" s="348" t="s">
        <v>5</v>
      </c>
    </row>
    <row r="341" spans="1:17" x14ac:dyDescent="0.25">
      <c r="A341" s="335"/>
      <c r="B341" s="324"/>
      <c r="C341" s="300" t="s">
        <v>15</v>
      </c>
      <c r="D341" s="300" t="s">
        <v>16</v>
      </c>
      <c r="E341" s="300" t="s">
        <v>17</v>
      </c>
      <c r="F341" s="300" t="s">
        <v>6</v>
      </c>
      <c r="G341" s="300" t="s">
        <v>76</v>
      </c>
      <c r="H341" s="119" t="s">
        <v>77</v>
      </c>
      <c r="I341" s="346"/>
      <c r="J341" s="109" t="s">
        <v>78</v>
      </c>
      <c r="K341" s="300" t="s">
        <v>10</v>
      </c>
      <c r="L341" s="300" t="s">
        <v>11</v>
      </c>
      <c r="M341" s="300" t="s">
        <v>12</v>
      </c>
      <c r="N341" s="300" t="s">
        <v>79</v>
      </c>
      <c r="O341" s="119" t="s">
        <v>80</v>
      </c>
      <c r="P341" s="346"/>
      <c r="Q341" s="349"/>
    </row>
    <row r="342" spans="1:17" ht="15.75" thickBot="1" x14ac:dyDescent="0.3">
      <c r="A342" s="111">
        <v>1</v>
      </c>
      <c r="B342" s="5">
        <v>2</v>
      </c>
      <c r="C342" s="5">
        <v>3</v>
      </c>
      <c r="D342" s="5">
        <v>4</v>
      </c>
      <c r="E342" s="5">
        <v>5</v>
      </c>
      <c r="F342" s="5">
        <v>6</v>
      </c>
      <c r="G342" s="5">
        <v>7</v>
      </c>
      <c r="H342" s="120">
        <v>8</v>
      </c>
      <c r="I342" s="122">
        <v>9</v>
      </c>
      <c r="J342" s="110">
        <v>10</v>
      </c>
      <c r="K342" s="5">
        <v>11</v>
      </c>
      <c r="L342" s="5">
        <v>12</v>
      </c>
      <c r="M342" s="5">
        <v>13</v>
      </c>
      <c r="N342" s="5">
        <v>14</v>
      </c>
      <c r="O342" s="120">
        <v>15</v>
      </c>
      <c r="P342" s="122">
        <v>16</v>
      </c>
      <c r="Q342" s="131">
        <v>17</v>
      </c>
    </row>
    <row r="343" spans="1:17" ht="15.75" thickTop="1" x14ac:dyDescent="0.25">
      <c r="A343" s="83">
        <v>1</v>
      </c>
      <c r="B343" s="7" t="s">
        <v>18</v>
      </c>
      <c r="C343" s="136">
        <v>0</v>
      </c>
      <c r="D343" s="136">
        <v>0</v>
      </c>
      <c r="E343" s="136">
        <v>0</v>
      </c>
      <c r="F343" s="136">
        <f>jagung!C75</f>
        <v>0</v>
      </c>
      <c r="G343" s="136">
        <f>jagung!D75</f>
        <v>0</v>
      </c>
      <c r="H343" s="136">
        <f>jagung!E75</f>
        <v>0</v>
      </c>
      <c r="I343" s="124">
        <f>SUM(C343:H343)</f>
        <v>0</v>
      </c>
      <c r="J343" s="156">
        <f>jagung!F75</f>
        <v>17.100000000000001</v>
      </c>
      <c r="K343" s="156">
        <f>jagung!G75</f>
        <v>9</v>
      </c>
      <c r="L343" s="156">
        <f>jagung!H75</f>
        <v>0</v>
      </c>
      <c r="M343" s="156">
        <f>jagung!I75</f>
        <v>0</v>
      </c>
      <c r="N343" s="156">
        <f>jagung!J75</f>
        <v>0</v>
      </c>
      <c r="O343" s="156">
        <f>jagung!K75</f>
        <v>0</v>
      </c>
      <c r="P343" s="124">
        <f>SUM(J343:O343)</f>
        <v>26.1</v>
      </c>
      <c r="Q343" s="127">
        <f>SUM(I343,P343)</f>
        <v>26.1</v>
      </c>
    </row>
    <row r="344" spans="1:17" x14ac:dyDescent="0.25">
      <c r="A344" s="84">
        <v>2</v>
      </c>
      <c r="B344" s="12" t="s">
        <v>19</v>
      </c>
      <c r="C344" s="59">
        <v>3</v>
      </c>
      <c r="D344" s="59">
        <v>0</v>
      </c>
      <c r="E344" s="59">
        <v>0</v>
      </c>
      <c r="F344" s="59">
        <f>jagung!C76</f>
        <v>0</v>
      </c>
      <c r="G344" s="59">
        <f>jagung!D76</f>
        <v>0</v>
      </c>
      <c r="H344" s="155">
        <f>jagung!E76</f>
        <v>0</v>
      </c>
      <c r="I344" s="125">
        <f t="shared" ref="I344:I350" si="144">SUM(C344:H344)</f>
        <v>3</v>
      </c>
      <c r="J344" s="223">
        <f>jagung!F76</f>
        <v>0</v>
      </c>
      <c r="K344" s="132">
        <f>jagung!G76</f>
        <v>0</v>
      </c>
      <c r="L344" s="132">
        <f>jagung!H76</f>
        <v>0</v>
      </c>
      <c r="M344" s="132">
        <f>jagung!I76</f>
        <v>0</v>
      </c>
      <c r="N344" s="132">
        <f>jagung!J76</f>
        <v>0</v>
      </c>
      <c r="O344" s="157">
        <f>jagung!K76</f>
        <v>0</v>
      </c>
      <c r="P344" s="125">
        <f t="shared" ref="P344:P349" si="145">SUM(J344:O344)</f>
        <v>0</v>
      </c>
      <c r="Q344" s="128">
        <f t="shared" ref="Q344:Q350" si="146">SUM(I344,P344)</f>
        <v>3</v>
      </c>
    </row>
    <row r="345" spans="1:17" x14ac:dyDescent="0.25">
      <c r="A345" s="84">
        <v>3</v>
      </c>
      <c r="B345" s="7" t="s">
        <v>20</v>
      </c>
      <c r="C345" s="59">
        <v>0</v>
      </c>
      <c r="D345" s="59">
        <v>0</v>
      </c>
      <c r="E345" s="59">
        <v>0</v>
      </c>
      <c r="F345" s="59">
        <f>jagung!C77</f>
        <v>0</v>
      </c>
      <c r="G345" s="59">
        <f>jagung!D77</f>
        <v>0</v>
      </c>
      <c r="H345" s="155">
        <f>jagung!E77</f>
        <v>0</v>
      </c>
      <c r="I345" s="125">
        <f t="shared" si="144"/>
        <v>0</v>
      </c>
      <c r="J345" s="223">
        <f>jagung!F77</f>
        <v>0</v>
      </c>
      <c r="K345" s="132">
        <f>jagung!G77</f>
        <v>0</v>
      </c>
      <c r="L345" s="132">
        <f>jagung!H77</f>
        <v>0</v>
      </c>
      <c r="M345" s="132">
        <f>jagung!I77</f>
        <v>0</v>
      </c>
      <c r="N345" s="132">
        <f>jagung!J77</f>
        <v>0</v>
      </c>
      <c r="O345" s="157">
        <f>jagung!K77</f>
        <v>0</v>
      </c>
      <c r="P345" s="125">
        <f t="shared" si="145"/>
        <v>0</v>
      </c>
      <c r="Q345" s="128">
        <f t="shared" si="146"/>
        <v>0</v>
      </c>
    </row>
    <row r="346" spans="1:17" x14ac:dyDescent="0.25">
      <c r="A346" s="85">
        <v>4</v>
      </c>
      <c r="B346" s="15" t="s">
        <v>21</v>
      </c>
      <c r="C346" s="59">
        <v>0</v>
      </c>
      <c r="D346" s="59">
        <v>4</v>
      </c>
      <c r="E346" s="59">
        <v>0</v>
      </c>
      <c r="F346" s="59">
        <f>jagung!C78</f>
        <v>0</v>
      </c>
      <c r="G346" s="59">
        <f>jagung!D78</f>
        <v>0</v>
      </c>
      <c r="H346" s="155">
        <f>jagung!E78</f>
        <v>0</v>
      </c>
      <c r="I346" s="125">
        <f t="shared" si="144"/>
        <v>4</v>
      </c>
      <c r="J346" s="223">
        <f>jagung!F78</f>
        <v>0</v>
      </c>
      <c r="K346" s="132">
        <f>jagung!G78</f>
        <v>0</v>
      </c>
      <c r="L346" s="132">
        <f>jagung!H78</f>
        <v>2.5</v>
      </c>
      <c r="M346" s="132">
        <f>jagung!I78</f>
        <v>0</v>
      </c>
      <c r="N346" s="132">
        <f>jagung!J78</f>
        <v>2.9</v>
      </c>
      <c r="O346" s="157">
        <f>jagung!K78</f>
        <v>0</v>
      </c>
      <c r="P346" s="125">
        <f t="shared" si="145"/>
        <v>5.4</v>
      </c>
      <c r="Q346" s="128">
        <f t="shared" si="146"/>
        <v>9.4</v>
      </c>
    </row>
    <row r="347" spans="1:17" x14ac:dyDescent="0.25">
      <c r="A347" s="85">
        <v>5</v>
      </c>
      <c r="B347" s="19" t="s">
        <v>22</v>
      </c>
      <c r="C347" s="59">
        <v>0</v>
      </c>
      <c r="D347" s="59">
        <v>3</v>
      </c>
      <c r="E347" s="59">
        <v>0</v>
      </c>
      <c r="F347" s="59">
        <f>jagung!C79</f>
        <v>0</v>
      </c>
      <c r="G347" s="59">
        <f>jagung!D79</f>
        <v>0</v>
      </c>
      <c r="H347" s="155">
        <f>jagung!E79</f>
        <v>0</v>
      </c>
      <c r="I347" s="125">
        <f t="shared" si="144"/>
        <v>3</v>
      </c>
      <c r="J347" s="223">
        <f>jagung!F79</f>
        <v>0</v>
      </c>
      <c r="K347" s="132">
        <f>jagung!G79</f>
        <v>0</v>
      </c>
      <c r="L347" s="132">
        <f>jagung!H79</f>
        <v>0</v>
      </c>
      <c r="M347" s="132">
        <f>jagung!I79</f>
        <v>0</v>
      </c>
      <c r="N347" s="132">
        <f>jagung!J79</f>
        <v>0</v>
      </c>
      <c r="O347" s="157">
        <f>jagung!K79</f>
        <v>0</v>
      </c>
      <c r="P347" s="125">
        <f t="shared" si="145"/>
        <v>0</v>
      </c>
      <c r="Q347" s="128">
        <f t="shared" si="146"/>
        <v>3</v>
      </c>
    </row>
    <row r="348" spans="1:17" x14ac:dyDescent="0.25">
      <c r="A348" s="85">
        <v>6</v>
      </c>
      <c r="B348" s="19" t="s">
        <v>23</v>
      </c>
      <c r="C348" s="59">
        <v>0</v>
      </c>
      <c r="D348" s="59">
        <v>8</v>
      </c>
      <c r="E348" s="59">
        <v>0</v>
      </c>
      <c r="F348" s="59">
        <f>jagung!C80</f>
        <v>0</v>
      </c>
      <c r="G348" s="59">
        <f>jagung!D80</f>
        <v>0</v>
      </c>
      <c r="H348" s="155">
        <f>jagung!E80</f>
        <v>0</v>
      </c>
      <c r="I348" s="125">
        <f t="shared" si="144"/>
        <v>8</v>
      </c>
      <c r="J348" s="223">
        <f>jagung!F80</f>
        <v>0</v>
      </c>
      <c r="K348" s="132">
        <f>jagung!G80</f>
        <v>0</v>
      </c>
      <c r="L348" s="132">
        <f>jagung!H80</f>
        <v>0</v>
      </c>
      <c r="M348" s="132">
        <f>jagung!I80</f>
        <v>0</v>
      </c>
      <c r="N348" s="132">
        <f>jagung!J80</f>
        <v>0</v>
      </c>
      <c r="O348" s="157">
        <f>jagung!K80</f>
        <v>0</v>
      </c>
      <c r="P348" s="125">
        <f t="shared" si="145"/>
        <v>0</v>
      </c>
      <c r="Q348" s="128">
        <f t="shared" si="146"/>
        <v>8</v>
      </c>
    </row>
    <row r="349" spans="1:17" x14ac:dyDescent="0.25">
      <c r="A349" s="85">
        <v>7</v>
      </c>
      <c r="B349" s="19" t="s">
        <v>24</v>
      </c>
      <c r="C349" s="59">
        <v>0</v>
      </c>
      <c r="D349" s="59">
        <v>2</v>
      </c>
      <c r="E349" s="59">
        <v>0</v>
      </c>
      <c r="F349" s="59">
        <f>jagung!C81</f>
        <v>0</v>
      </c>
      <c r="G349" s="59">
        <f>jagung!D81</f>
        <v>0</v>
      </c>
      <c r="H349" s="155">
        <f>jagung!E81</f>
        <v>0</v>
      </c>
      <c r="I349" s="125">
        <f t="shared" si="144"/>
        <v>2</v>
      </c>
      <c r="J349" s="223">
        <f>jagung!F81</f>
        <v>0</v>
      </c>
      <c r="K349" s="132">
        <f>jagung!G81</f>
        <v>0</v>
      </c>
      <c r="L349" s="132">
        <f>jagung!H81</f>
        <v>0</v>
      </c>
      <c r="M349" s="132">
        <f>jagung!I81</f>
        <v>0</v>
      </c>
      <c r="N349" s="132">
        <f>jagung!J81</f>
        <v>0</v>
      </c>
      <c r="O349" s="157">
        <f>jagung!K81</f>
        <v>0</v>
      </c>
      <c r="P349" s="125">
        <f t="shared" si="145"/>
        <v>0</v>
      </c>
      <c r="Q349" s="128">
        <f t="shared" si="146"/>
        <v>2</v>
      </c>
    </row>
    <row r="350" spans="1:17" ht="15.75" thickBot="1" x14ac:dyDescent="0.3">
      <c r="A350" s="86">
        <v>8</v>
      </c>
      <c r="B350" s="15" t="s">
        <v>25</v>
      </c>
      <c r="C350" s="137">
        <v>0</v>
      </c>
      <c r="D350" s="137">
        <v>3</v>
      </c>
      <c r="E350" s="137">
        <v>3</v>
      </c>
      <c r="F350" s="137">
        <f>jagung!C82</f>
        <v>2.6</v>
      </c>
      <c r="G350" s="137">
        <f>jagung!D82</f>
        <v>0</v>
      </c>
      <c r="H350" s="137">
        <f>jagung!E82</f>
        <v>0</v>
      </c>
      <c r="I350" s="126">
        <f t="shared" si="144"/>
        <v>8.6</v>
      </c>
      <c r="J350" s="232">
        <f>jagung!F82</f>
        <v>0</v>
      </c>
      <c r="K350" s="232">
        <f>jagung!G82</f>
        <v>0</v>
      </c>
      <c r="L350" s="232">
        <f>jagung!H82</f>
        <v>2.5</v>
      </c>
      <c r="M350" s="232">
        <f>jagung!I82</f>
        <v>0</v>
      </c>
      <c r="N350" s="232">
        <f>jagung!J82</f>
        <v>0</v>
      </c>
      <c r="O350" s="232">
        <f>jagung!K82</f>
        <v>0</v>
      </c>
      <c r="P350" s="126">
        <f>SUM(J350:O350)</f>
        <v>2.5</v>
      </c>
      <c r="Q350" s="129">
        <f t="shared" si="146"/>
        <v>11.1</v>
      </c>
    </row>
    <row r="351" spans="1:17" ht="16.5" thickTop="1" thickBot="1" x14ac:dyDescent="0.3">
      <c r="A351" s="339" t="s">
        <v>26</v>
      </c>
      <c r="B351" s="340"/>
      <c r="C351" s="112">
        <f t="shared" ref="C351:H351" si="147">SUM(C343:C350)</f>
        <v>3</v>
      </c>
      <c r="D351" s="112">
        <f t="shared" si="147"/>
        <v>20</v>
      </c>
      <c r="E351" s="112">
        <f t="shared" si="147"/>
        <v>3</v>
      </c>
      <c r="F351" s="112">
        <f t="shared" si="147"/>
        <v>2.6</v>
      </c>
      <c r="G351" s="112">
        <f t="shared" si="147"/>
        <v>0</v>
      </c>
      <c r="H351" s="121">
        <f t="shared" si="147"/>
        <v>0</v>
      </c>
      <c r="I351" s="123">
        <f>SUM(I343:I350)</f>
        <v>28.6</v>
      </c>
      <c r="J351" s="133">
        <f t="shared" ref="J351:O351" si="148">SUM(J343:J350)</f>
        <v>17.100000000000001</v>
      </c>
      <c r="K351" s="112">
        <f t="shared" si="148"/>
        <v>9</v>
      </c>
      <c r="L351" s="112">
        <f t="shared" si="148"/>
        <v>5</v>
      </c>
      <c r="M351" s="112">
        <f t="shared" si="148"/>
        <v>0</v>
      </c>
      <c r="N351" s="112">
        <f t="shared" si="148"/>
        <v>2.9</v>
      </c>
      <c r="O351" s="121">
        <f t="shared" si="148"/>
        <v>0</v>
      </c>
      <c r="P351" s="123">
        <f>SUM(P343:P350)</f>
        <v>34</v>
      </c>
      <c r="Q351" s="130">
        <f>SUM(Q343:Q350)</f>
        <v>62.6</v>
      </c>
    </row>
    <row r="353" spans="1:17" ht="15.75" x14ac:dyDescent="0.25">
      <c r="A353" s="341" t="s">
        <v>169</v>
      </c>
      <c r="B353" s="341"/>
      <c r="C353" s="341"/>
      <c r="D353" s="341"/>
      <c r="E353" s="341"/>
      <c r="F353" s="341"/>
      <c r="G353" s="341"/>
      <c r="H353" s="341"/>
      <c r="I353" s="341"/>
      <c r="J353" s="341"/>
      <c r="K353" s="341"/>
      <c r="L353" s="341"/>
      <c r="M353" s="341"/>
      <c r="N353" s="341"/>
      <c r="O353" s="341"/>
      <c r="P353" s="341"/>
      <c r="Q353" s="341"/>
    </row>
    <row r="354" spans="1:17" ht="15.75" x14ac:dyDescent="0.25">
      <c r="A354" s="341" t="s">
        <v>81</v>
      </c>
      <c r="B354" s="341"/>
      <c r="C354" s="341"/>
      <c r="D354" s="341"/>
      <c r="E354" s="341"/>
      <c r="F354" s="341"/>
      <c r="G354" s="341"/>
      <c r="H354" s="341"/>
      <c r="I354" s="341"/>
      <c r="J354" s="341"/>
      <c r="K354" s="341"/>
      <c r="L354" s="341"/>
      <c r="M354" s="341"/>
      <c r="N354" s="341"/>
      <c r="O354" s="341"/>
      <c r="P354" s="341"/>
      <c r="Q354" s="341"/>
    </row>
    <row r="355" spans="1:17" ht="15.75" thickBot="1" x14ac:dyDescent="0.3">
      <c r="Q355" s="75" t="s">
        <v>29</v>
      </c>
    </row>
    <row r="356" spans="1:17" x14ac:dyDescent="0.25">
      <c r="A356" s="334" t="s">
        <v>2</v>
      </c>
      <c r="B356" s="336" t="s">
        <v>3</v>
      </c>
      <c r="C356" s="342" t="s">
        <v>183</v>
      </c>
      <c r="D356" s="343"/>
      <c r="E356" s="343"/>
      <c r="F356" s="343"/>
      <c r="G356" s="343"/>
      <c r="H356" s="344"/>
      <c r="I356" s="345" t="s">
        <v>82</v>
      </c>
      <c r="J356" s="347">
        <v>2020</v>
      </c>
      <c r="K356" s="343"/>
      <c r="L356" s="343"/>
      <c r="M356" s="343"/>
      <c r="N356" s="343"/>
      <c r="O356" s="344"/>
      <c r="P356" s="345" t="s">
        <v>83</v>
      </c>
      <c r="Q356" s="348" t="s">
        <v>5</v>
      </c>
    </row>
    <row r="357" spans="1:17" x14ac:dyDescent="0.25">
      <c r="A357" s="335"/>
      <c r="B357" s="324"/>
      <c r="C357" s="300" t="s">
        <v>15</v>
      </c>
      <c r="D357" s="300" t="s">
        <v>16</v>
      </c>
      <c r="E357" s="300" t="s">
        <v>17</v>
      </c>
      <c r="F357" s="300" t="s">
        <v>6</v>
      </c>
      <c r="G357" s="300" t="s">
        <v>76</v>
      </c>
      <c r="H357" s="119" t="s">
        <v>77</v>
      </c>
      <c r="I357" s="346"/>
      <c r="J357" s="109" t="s">
        <v>78</v>
      </c>
      <c r="K357" s="300" t="s">
        <v>10</v>
      </c>
      <c r="L357" s="300" t="s">
        <v>11</v>
      </c>
      <c r="M357" s="300" t="s">
        <v>12</v>
      </c>
      <c r="N357" s="300" t="s">
        <v>79</v>
      </c>
      <c r="O357" s="119" t="s">
        <v>80</v>
      </c>
      <c r="P357" s="346"/>
      <c r="Q357" s="349"/>
    </row>
    <row r="358" spans="1:17" ht="15.75" thickBot="1" x14ac:dyDescent="0.3">
      <c r="A358" s="111">
        <v>1</v>
      </c>
      <c r="B358" s="5">
        <v>2</v>
      </c>
      <c r="C358" s="5">
        <v>3</v>
      </c>
      <c r="D358" s="5">
        <v>4</v>
      </c>
      <c r="E358" s="5">
        <v>5</v>
      </c>
      <c r="F358" s="5">
        <v>6</v>
      </c>
      <c r="G358" s="5">
        <v>7</v>
      </c>
      <c r="H358" s="120">
        <v>8</v>
      </c>
      <c r="I358" s="122">
        <v>9</v>
      </c>
      <c r="J358" s="110">
        <v>10</v>
      </c>
      <c r="K358" s="5">
        <v>11</v>
      </c>
      <c r="L358" s="5">
        <v>12</v>
      </c>
      <c r="M358" s="5">
        <v>13</v>
      </c>
      <c r="N358" s="5">
        <v>14</v>
      </c>
      <c r="O358" s="120">
        <v>15</v>
      </c>
      <c r="P358" s="122">
        <v>16</v>
      </c>
      <c r="Q358" s="131">
        <v>17</v>
      </c>
    </row>
    <row r="359" spans="1:17" ht="15.75" thickTop="1" x14ac:dyDescent="0.25">
      <c r="A359" s="83">
        <v>1</v>
      </c>
      <c r="B359" s="7" t="s">
        <v>18</v>
      </c>
      <c r="C359" s="136">
        <v>0</v>
      </c>
      <c r="D359" s="136">
        <v>0</v>
      </c>
      <c r="E359" s="136">
        <v>0</v>
      </c>
      <c r="F359" s="136">
        <f>kedelai!C75</f>
        <v>0</v>
      </c>
      <c r="G359" s="136">
        <f>kedelai!D75</f>
        <v>0</v>
      </c>
      <c r="H359" s="136">
        <f>kedelai!E75</f>
        <v>0</v>
      </c>
      <c r="I359" s="124">
        <f>SUM(C359:H359)</f>
        <v>0</v>
      </c>
      <c r="J359" s="136">
        <v>0</v>
      </c>
      <c r="K359" s="136">
        <v>0</v>
      </c>
      <c r="L359" s="136">
        <v>0</v>
      </c>
      <c r="M359" s="136">
        <f>kedelai!J75</f>
        <v>0</v>
      </c>
      <c r="N359" s="136">
        <f>kedelai!K75</f>
        <v>0</v>
      </c>
      <c r="O359" s="136">
        <f>kedelai!L75</f>
        <v>0</v>
      </c>
      <c r="P359" s="124">
        <f>SUM(J359:O359)</f>
        <v>0</v>
      </c>
      <c r="Q359" s="127">
        <f>SUM(I359,P359)</f>
        <v>0</v>
      </c>
    </row>
    <row r="360" spans="1:17" x14ac:dyDescent="0.25">
      <c r="A360" s="84">
        <v>2</v>
      </c>
      <c r="B360" s="12" t="s">
        <v>19</v>
      </c>
      <c r="C360" s="59">
        <v>0</v>
      </c>
      <c r="D360" s="59">
        <v>0</v>
      </c>
      <c r="E360" s="59">
        <v>0</v>
      </c>
      <c r="F360" s="59">
        <f>kedelai!C76</f>
        <v>0</v>
      </c>
      <c r="G360" s="59">
        <f>kedelai!D76</f>
        <v>0</v>
      </c>
      <c r="H360" s="155">
        <f>kedelai!E76</f>
        <v>0</v>
      </c>
      <c r="I360" s="125">
        <f t="shared" ref="I360:I366" si="149">SUM(C360:H360)</f>
        <v>0</v>
      </c>
      <c r="J360" s="59">
        <v>0</v>
      </c>
      <c r="K360" s="59">
        <v>0</v>
      </c>
      <c r="L360" s="59">
        <v>0</v>
      </c>
      <c r="M360" s="59">
        <f>kedelai!J76</f>
        <v>0</v>
      </c>
      <c r="N360" s="59">
        <f>kedelai!K76</f>
        <v>0</v>
      </c>
      <c r="O360" s="155">
        <f>kedelai!L76</f>
        <v>0</v>
      </c>
      <c r="P360" s="125">
        <f t="shared" ref="P360:P365" si="150">SUM(J360:O360)</f>
        <v>0</v>
      </c>
      <c r="Q360" s="128">
        <f t="shared" ref="Q360:Q366" si="151">SUM(I360,P360)</f>
        <v>0</v>
      </c>
    </row>
    <row r="361" spans="1:17" x14ac:dyDescent="0.25">
      <c r="A361" s="84">
        <v>3</v>
      </c>
      <c r="B361" s="7" t="s">
        <v>20</v>
      </c>
      <c r="C361" s="59">
        <v>0</v>
      </c>
      <c r="D361" s="59">
        <v>0</v>
      </c>
      <c r="E361" s="59">
        <v>0</v>
      </c>
      <c r="F361" s="59">
        <f>kedelai!C77</f>
        <v>0</v>
      </c>
      <c r="G361" s="59">
        <f>kedelai!D77</f>
        <v>0</v>
      </c>
      <c r="H361" s="155">
        <f>kedelai!E77</f>
        <v>0</v>
      </c>
      <c r="I361" s="125">
        <f t="shared" si="149"/>
        <v>0</v>
      </c>
      <c r="J361" s="59">
        <v>0</v>
      </c>
      <c r="K361" s="59">
        <v>0</v>
      </c>
      <c r="L361" s="59">
        <v>0</v>
      </c>
      <c r="M361" s="59">
        <f>kedelai!J77</f>
        <v>0</v>
      </c>
      <c r="N361" s="59">
        <f>kedelai!K77</f>
        <v>0</v>
      </c>
      <c r="O361" s="155">
        <f>kedelai!L77</f>
        <v>0</v>
      </c>
      <c r="P361" s="125">
        <f t="shared" si="150"/>
        <v>0</v>
      </c>
      <c r="Q361" s="128">
        <f t="shared" si="151"/>
        <v>0</v>
      </c>
    </row>
    <row r="362" spans="1:17" x14ac:dyDescent="0.25">
      <c r="A362" s="85">
        <v>4</v>
      </c>
      <c r="B362" s="15" t="s">
        <v>21</v>
      </c>
      <c r="C362" s="59">
        <v>0</v>
      </c>
      <c r="D362" s="59">
        <v>0</v>
      </c>
      <c r="E362" s="59">
        <v>0</v>
      </c>
      <c r="F362" s="59">
        <f>kedelai!C78</f>
        <v>0</v>
      </c>
      <c r="G362" s="59">
        <f>kedelai!D78</f>
        <v>0</v>
      </c>
      <c r="H362" s="155">
        <f>kedelai!E78</f>
        <v>0</v>
      </c>
      <c r="I362" s="125">
        <f t="shared" si="149"/>
        <v>0</v>
      </c>
      <c r="J362" s="59">
        <v>0</v>
      </c>
      <c r="K362" s="59">
        <v>0</v>
      </c>
      <c r="L362" s="59">
        <v>0</v>
      </c>
      <c r="M362" s="59">
        <f>kedelai!J78</f>
        <v>0</v>
      </c>
      <c r="N362" s="59">
        <f>kedelai!K78</f>
        <v>0</v>
      </c>
      <c r="O362" s="155">
        <f>kedelai!L78</f>
        <v>0</v>
      </c>
      <c r="P362" s="125">
        <f t="shared" si="150"/>
        <v>0</v>
      </c>
      <c r="Q362" s="128">
        <f t="shared" si="151"/>
        <v>0</v>
      </c>
    </row>
    <row r="363" spans="1:17" x14ac:dyDescent="0.25">
      <c r="A363" s="85">
        <v>5</v>
      </c>
      <c r="B363" s="19" t="s">
        <v>22</v>
      </c>
      <c r="C363" s="59">
        <v>0</v>
      </c>
      <c r="D363" s="59">
        <v>0</v>
      </c>
      <c r="E363" s="59">
        <v>0</v>
      </c>
      <c r="F363" s="59">
        <f>kedelai!C79</f>
        <v>0</v>
      </c>
      <c r="G363" s="59">
        <f>kedelai!D79</f>
        <v>0</v>
      </c>
      <c r="H363" s="155">
        <f>kedelai!E79</f>
        <v>0</v>
      </c>
      <c r="I363" s="125">
        <f t="shared" si="149"/>
        <v>0</v>
      </c>
      <c r="J363" s="59">
        <v>0</v>
      </c>
      <c r="K363" s="59">
        <v>0</v>
      </c>
      <c r="L363" s="59">
        <v>0</v>
      </c>
      <c r="M363" s="59">
        <f>kedelai!J79</f>
        <v>0</v>
      </c>
      <c r="N363" s="59">
        <f>kedelai!K79</f>
        <v>0</v>
      </c>
      <c r="O363" s="155">
        <f>kedelai!L79</f>
        <v>0</v>
      </c>
      <c r="P363" s="125">
        <f t="shared" si="150"/>
        <v>0</v>
      </c>
      <c r="Q363" s="128">
        <f t="shared" si="151"/>
        <v>0</v>
      </c>
    </row>
    <row r="364" spans="1:17" x14ac:dyDescent="0.25">
      <c r="A364" s="85">
        <v>6</v>
      </c>
      <c r="B364" s="19" t="s">
        <v>23</v>
      </c>
      <c r="C364" s="59">
        <v>0</v>
      </c>
      <c r="D364" s="59">
        <v>0</v>
      </c>
      <c r="E364" s="59">
        <v>0</v>
      </c>
      <c r="F364" s="59">
        <f>kedelai!C80</f>
        <v>0</v>
      </c>
      <c r="G364" s="59">
        <f>kedelai!D80</f>
        <v>0</v>
      </c>
      <c r="H364" s="155">
        <f>kedelai!E80</f>
        <v>0</v>
      </c>
      <c r="I364" s="125">
        <f t="shared" si="149"/>
        <v>0</v>
      </c>
      <c r="J364" s="59">
        <v>0</v>
      </c>
      <c r="K364" s="59">
        <v>0</v>
      </c>
      <c r="L364" s="59">
        <v>0</v>
      </c>
      <c r="M364" s="59">
        <f>kedelai!J80</f>
        <v>0</v>
      </c>
      <c r="N364" s="59">
        <f>kedelai!K80</f>
        <v>0</v>
      </c>
      <c r="O364" s="155">
        <f>kedelai!L80</f>
        <v>0</v>
      </c>
      <c r="P364" s="125">
        <f t="shared" si="150"/>
        <v>0</v>
      </c>
      <c r="Q364" s="128">
        <f t="shared" si="151"/>
        <v>0</v>
      </c>
    </row>
    <row r="365" spans="1:17" x14ac:dyDescent="0.25">
      <c r="A365" s="85">
        <v>7</v>
      </c>
      <c r="B365" s="19" t="s">
        <v>24</v>
      </c>
      <c r="C365" s="59">
        <v>0</v>
      </c>
      <c r="D365" s="59">
        <v>0</v>
      </c>
      <c r="E365" s="59">
        <v>0</v>
      </c>
      <c r="F365" s="59">
        <f>kedelai!C81</f>
        <v>0</v>
      </c>
      <c r="G365" s="59">
        <f>kedelai!D81</f>
        <v>0</v>
      </c>
      <c r="H365" s="155">
        <f>kedelai!E81</f>
        <v>0</v>
      </c>
      <c r="I365" s="125">
        <f t="shared" si="149"/>
        <v>0</v>
      </c>
      <c r="J365" s="59">
        <v>0</v>
      </c>
      <c r="K365" s="59">
        <v>0</v>
      </c>
      <c r="L365" s="59">
        <v>0</v>
      </c>
      <c r="M365" s="59">
        <f>kedelai!J81</f>
        <v>0</v>
      </c>
      <c r="N365" s="59">
        <f>kedelai!K81</f>
        <v>0</v>
      </c>
      <c r="O365" s="155">
        <f>kedelai!L81</f>
        <v>0</v>
      </c>
      <c r="P365" s="125">
        <f t="shared" si="150"/>
        <v>0</v>
      </c>
      <c r="Q365" s="128">
        <f t="shared" si="151"/>
        <v>0</v>
      </c>
    </row>
    <row r="366" spans="1:17" ht="15.75" thickBot="1" x14ac:dyDescent="0.3">
      <c r="A366" s="86">
        <v>8</v>
      </c>
      <c r="B366" s="15" t="s">
        <v>25</v>
      </c>
      <c r="C366" s="137">
        <v>0</v>
      </c>
      <c r="D366" s="137">
        <v>0</v>
      </c>
      <c r="E366" s="137">
        <v>0</v>
      </c>
      <c r="F366" s="137">
        <f>kedelai!C82</f>
        <v>0</v>
      </c>
      <c r="G366" s="137">
        <f>kedelai!D82</f>
        <v>0</v>
      </c>
      <c r="H366" s="137">
        <f>kedelai!E82</f>
        <v>0</v>
      </c>
      <c r="I366" s="126">
        <f t="shared" si="149"/>
        <v>0</v>
      </c>
      <c r="J366" s="137">
        <v>0</v>
      </c>
      <c r="K366" s="137">
        <v>0</v>
      </c>
      <c r="L366" s="137">
        <v>0</v>
      </c>
      <c r="M366" s="137">
        <f>kedelai!J82</f>
        <v>0</v>
      </c>
      <c r="N366" s="137">
        <f>kedelai!K82</f>
        <v>0</v>
      </c>
      <c r="O366" s="137">
        <f>kedelai!L82</f>
        <v>0</v>
      </c>
      <c r="P366" s="126">
        <f>SUM(J366:O366)</f>
        <v>0</v>
      </c>
      <c r="Q366" s="129">
        <f t="shared" si="151"/>
        <v>0</v>
      </c>
    </row>
    <row r="367" spans="1:17" ht="16.5" thickTop="1" thickBot="1" x14ac:dyDescent="0.3">
      <c r="A367" s="339" t="s">
        <v>26</v>
      </c>
      <c r="B367" s="340"/>
      <c r="C367" s="112">
        <f t="shared" ref="C367:H367" si="152">SUM(C359:C366)</f>
        <v>0</v>
      </c>
      <c r="D367" s="112">
        <f t="shared" si="152"/>
        <v>0</v>
      </c>
      <c r="E367" s="112">
        <f t="shared" si="152"/>
        <v>0</v>
      </c>
      <c r="F367" s="112">
        <f t="shared" si="152"/>
        <v>0</v>
      </c>
      <c r="G367" s="112">
        <f t="shared" si="152"/>
        <v>0</v>
      </c>
      <c r="H367" s="121">
        <f t="shared" si="152"/>
        <v>0</v>
      </c>
      <c r="I367" s="123">
        <f>SUM(I359:I366)</f>
        <v>0</v>
      </c>
      <c r="J367" s="133">
        <f t="shared" ref="J367:O367" si="153">SUM(J359:J366)</f>
        <v>0</v>
      </c>
      <c r="K367" s="112">
        <f t="shared" si="153"/>
        <v>0</v>
      </c>
      <c r="L367" s="112">
        <f t="shared" si="153"/>
        <v>0</v>
      </c>
      <c r="M367" s="112">
        <f t="shared" si="153"/>
        <v>0</v>
      </c>
      <c r="N367" s="112">
        <f t="shared" si="153"/>
        <v>0</v>
      </c>
      <c r="O367" s="121">
        <f t="shared" si="153"/>
        <v>0</v>
      </c>
      <c r="P367" s="123">
        <f>SUM(P359:P366)</f>
        <v>0</v>
      </c>
      <c r="Q367" s="130">
        <f>SUM(Q359:Q366)</f>
        <v>0</v>
      </c>
    </row>
    <row r="369" spans="1:17" ht="15.75" x14ac:dyDescent="0.25">
      <c r="A369" s="341" t="s">
        <v>170</v>
      </c>
      <c r="B369" s="341"/>
      <c r="C369" s="341"/>
      <c r="D369" s="341"/>
      <c r="E369" s="341"/>
      <c r="F369" s="341"/>
      <c r="G369" s="341"/>
      <c r="H369" s="341"/>
      <c r="I369" s="341"/>
      <c r="J369" s="341"/>
      <c r="K369" s="341"/>
      <c r="L369" s="341"/>
      <c r="M369" s="341"/>
      <c r="N369" s="341"/>
      <c r="O369" s="341"/>
      <c r="P369" s="341"/>
      <c r="Q369" s="341"/>
    </row>
    <row r="370" spans="1:17" ht="15.75" x14ac:dyDescent="0.25">
      <c r="A370" s="341" t="s">
        <v>81</v>
      </c>
      <c r="B370" s="341"/>
      <c r="C370" s="341"/>
      <c r="D370" s="341"/>
      <c r="E370" s="341"/>
      <c r="F370" s="341"/>
      <c r="G370" s="341"/>
      <c r="H370" s="341"/>
      <c r="I370" s="341"/>
      <c r="J370" s="341"/>
      <c r="K370" s="341"/>
      <c r="L370" s="341"/>
      <c r="M370" s="341"/>
      <c r="N370" s="341"/>
      <c r="O370" s="341"/>
      <c r="P370" s="341"/>
      <c r="Q370" s="341"/>
    </row>
    <row r="371" spans="1:17" ht="15.75" thickBot="1" x14ac:dyDescent="0.3">
      <c r="Q371" s="75" t="s">
        <v>29</v>
      </c>
    </row>
    <row r="372" spans="1:17" x14ac:dyDescent="0.25">
      <c r="A372" s="334" t="s">
        <v>2</v>
      </c>
      <c r="B372" s="336" t="s">
        <v>3</v>
      </c>
      <c r="C372" s="342" t="s">
        <v>183</v>
      </c>
      <c r="D372" s="343"/>
      <c r="E372" s="343"/>
      <c r="F372" s="343"/>
      <c r="G372" s="343"/>
      <c r="H372" s="344"/>
      <c r="I372" s="345" t="s">
        <v>82</v>
      </c>
      <c r="J372" s="347">
        <v>2020</v>
      </c>
      <c r="K372" s="343"/>
      <c r="L372" s="343"/>
      <c r="M372" s="343"/>
      <c r="N372" s="343"/>
      <c r="O372" s="344"/>
      <c r="P372" s="345" t="s">
        <v>83</v>
      </c>
      <c r="Q372" s="348" t="s">
        <v>5</v>
      </c>
    </row>
    <row r="373" spans="1:17" x14ac:dyDescent="0.25">
      <c r="A373" s="335"/>
      <c r="B373" s="324"/>
      <c r="C373" s="300" t="s">
        <v>15</v>
      </c>
      <c r="D373" s="300" t="s">
        <v>16</v>
      </c>
      <c r="E373" s="300" t="s">
        <v>17</v>
      </c>
      <c r="F373" s="300" t="s">
        <v>6</v>
      </c>
      <c r="G373" s="300" t="s">
        <v>76</v>
      </c>
      <c r="H373" s="119" t="s">
        <v>77</v>
      </c>
      <c r="I373" s="346"/>
      <c r="J373" s="109" t="s">
        <v>78</v>
      </c>
      <c r="K373" s="300" t="s">
        <v>10</v>
      </c>
      <c r="L373" s="300" t="s">
        <v>11</v>
      </c>
      <c r="M373" s="300" t="s">
        <v>12</v>
      </c>
      <c r="N373" s="300" t="s">
        <v>79</v>
      </c>
      <c r="O373" s="119" t="s">
        <v>80</v>
      </c>
      <c r="P373" s="346"/>
      <c r="Q373" s="349"/>
    </row>
    <row r="374" spans="1:17" ht="15.75" thickBot="1" x14ac:dyDescent="0.3">
      <c r="A374" s="111">
        <v>1</v>
      </c>
      <c r="B374" s="5">
        <v>2</v>
      </c>
      <c r="C374" s="5">
        <v>3</v>
      </c>
      <c r="D374" s="5">
        <v>4</v>
      </c>
      <c r="E374" s="5">
        <v>5</v>
      </c>
      <c r="F374" s="5">
        <v>6</v>
      </c>
      <c r="G374" s="5">
        <v>7</v>
      </c>
      <c r="H374" s="120">
        <v>8</v>
      </c>
      <c r="I374" s="122">
        <v>9</v>
      </c>
      <c r="J374" s="110">
        <v>10</v>
      </c>
      <c r="K374" s="5">
        <v>11</v>
      </c>
      <c r="L374" s="5">
        <v>12</v>
      </c>
      <c r="M374" s="5">
        <v>13</v>
      </c>
      <c r="N374" s="5">
        <v>14</v>
      </c>
      <c r="O374" s="120">
        <v>15</v>
      </c>
      <c r="P374" s="122">
        <v>16</v>
      </c>
      <c r="Q374" s="131">
        <v>17</v>
      </c>
    </row>
    <row r="375" spans="1:17" ht="15.75" thickTop="1" x14ac:dyDescent="0.25">
      <c r="A375" s="83">
        <v>1</v>
      </c>
      <c r="B375" s="7" t="s">
        <v>18</v>
      </c>
      <c r="C375" s="136">
        <v>0</v>
      </c>
      <c r="D375" s="136">
        <v>0</v>
      </c>
      <c r="E375" s="136">
        <v>0</v>
      </c>
      <c r="F375" s="136">
        <f>'kc tanah'!C75</f>
        <v>0</v>
      </c>
      <c r="G375" s="136">
        <f>'kc tanah'!D75</f>
        <v>0</v>
      </c>
      <c r="H375" s="136">
        <f>'kc tanah'!E75</f>
        <v>0</v>
      </c>
      <c r="I375" s="124">
        <f>SUM(C375:H375)</f>
        <v>0</v>
      </c>
      <c r="J375" s="156">
        <f>'kc tanah'!F75</f>
        <v>69</v>
      </c>
      <c r="K375" s="156">
        <f>'kc tanah'!G75</f>
        <v>37.299999999999997</v>
      </c>
      <c r="L375" s="156">
        <f>'kc tanah'!H75</f>
        <v>0</v>
      </c>
      <c r="M375" s="156">
        <f>'kc tanah'!I75</f>
        <v>0</v>
      </c>
      <c r="N375" s="156">
        <f>'kc tanah'!J75</f>
        <v>0</v>
      </c>
      <c r="O375" s="156">
        <f>'kc tanah'!K75</f>
        <v>0</v>
      </c>
      <c r="P375" s="124">
        <f>SUM(J375:O375)</f>
        <v>106.3</v>
      </c>
      <c r="Q375" s="127">
        <f>SUM(I375,P375)</f>
        <v>106.3</v>
      </c>
    </row>
    <row r="376" spans="1:17" x14ac:dyDescent="0.25">
      <c r="A376" s="84">
        <v>2</v>
      </c>
      <c r="B376" s="12" t="s">
        <v>19</v>
      </c>
      <c r="C376" s="59">
        <v>0</v>
      </c>
      <c r="D376" s="59">
        <v>0</v>
      </c>
      <c r="E376" s="59">
        <v>0</v>
      </c>
      <c r="F376" s="59">
        <f>'kc tanah'!C76</f>
        <v>0</v>
      </c>
      <c r="G376" s="59">
        <f>'kc tanah'!D76</f>
        <v>0</v>
      </c>
      <c r="H376" s="155">
        <f>'kc tanah'!E76</f>
        <v>178.9</v>
      </c>
      <c r="I376" s="125">
        <f t="shared" ref="I376:I382" si="154">SUM(C376:H376)</f>
        <v>178.9</v>
      </c>
      <c r="J376" s="223">
        <f>'kc tanah'!F76</f>
        <v>51.7</v>
      </c>
      <c r="K376" s="132">
        <f>'kc tanah'!G76</f>
        <v>0</v>
      </c>
      <c r="L376" s="132">
        <f>'kc tanah'!H76</f>
        <v>128.30000000000001</v>
      </c>
      <c r="M376" s="132">
        <f>'kc tanah'!I76</f>
        <v>38.9</v>
      </c>
      <c r="N376" s="132">
        <f>'kc tanah'!J76</f>
        <v>0</v>
      </c>
      <c r="O376" s="157">
        <f>'kc tanah'!K76</f>
        <v>0</v>
      </c>
      <c r="P376" s="125">
        <f t="shared" ref="P376:P381" si="155">SUM(J376:O376)</f>
        <v>218.9</v>
      </c>
      <c r="Q376" s="128">
        <f t="shared" ref="Q376:Q382" si="156">SUM(I376,P376)</f>
        <v>397.8</v>
      </c>
    </row>
    <row r="377" spans="1:17" x14ac:dyDescent="0.25">
      <c r="A377" s="84">
        <v>3</v>
      </c>
      <c r="B377" s="7" t="s">
        <v>20</v>
      </c>
      <c r="C377" s="59">
        <v>0</v>
      </c>
      <c r="D377" s="59">
        <v>0</v>
      </c>
      <c r="E377" s="59">
        <v>0</v>
      </c>
      <c r="F377" s="59">
        <f>'kc tanah'!C77</f>
        <v>60.1</v>
      </c>
      <c r="G377" s="59">
        <f>'kc tanah'!D77</f>
        <v>0</v>
      </c>
      <c r="H377" s="155">
        <f>'kc tanah'!E77</f>
        <v>0</v>
      </c>
      <c r="I377" s="125">
        <f t="shared" si="154"/>
        <v>60.1</v>
      </c>
      <c r="J377" s="223">
        <f>'kc tanah'!F77</f>
        <v>94.1</v>
      </c>
      <c r="K377" s="132">
        <f>'kc tanah'!G77</f>
        <v>0</v>
      </c>
      <c r="L377" s="132">
        <f>'kc tanah'!H77</f>
        <v>0</v>
      </c>
      <c r="M377" s="132">
        <f>'kc tanah'!I77</f>
        <v>138</v>
      </c>
      <c r="N377" s="132">
        <f>'kc tanah'!J77</f>
        <v>0</v>
      </c>
      <c r="O377" s="157">
        <f>'kc tanah'!K77</f>
        <v>0</v>
      </c>
      <c r="P377" s="125">
        <f t="shared" si="155"/>
        <v>232.1</v>
      </c>
      <c r="Q377" s="128">
        <f t="shared" si="156"/>
        <v>292.2</v>
      </c>
    </row>
    <row r="378" spans="1:17" x14ac:dyDescent="0.25">
      <c r="A378" s="85">
        <v>4</v>
      </c>
      <c r="B378" s="15" t="s">
        <v>21</v>
      </c>
      <c r="C378" s="59">
        <v>19</v>
      </c>
      <c r="D378" s="59">
        <v>0</v>
      </c>
      <c r="E378" s="59">
        <v>0</v>
      </c>
      <c r="F378" s="59">
        <f>'kc tanah'!C78</f>
        <v>0</v>
      </c>
      <c r="G378" s="59">
        <f>'kc tanah'!D78</f>
        <v>0</v>
      </c>
      <c r="H378" s="155">
        <f>'kc tanah'!E78</f>
        <v>57</v>
      </c>
      <c r="I378" s="125">
        <f t="shared" si="154"/>
        <v>76</v>
      </c>
      <c r="J378" s="223">
        <f>'kc tanah'!F78</f>
        <v>0</v>
      </c>
      <c r="K378" s="132">
        <f>'kc tanah'!G78</f>
        <v>4.8</v>
      </c>
      <c r="L378" s="132">
        <f>'kc tanah'!H78</f>
        <v>25.9</v>
      </c>
      <c r="M378" s="132">
        <f>'kc tanah'!I78</f>
        <v>0</v>
      </c>
      <c r="N378" s="132">
        <f>'kc tanah'!J78</f>
        <v>0</v>
      </c>
      <c r="O378" s="157">
        <f>'kc tanah'!K78</f>
        <v>22.6</v>
      </c>
      <c r="P378" s="125">
        <f t="shared" si="155"/>
        <v>53.3</v>
      </c>
      <c r="Q378" s="128">
        <f t="shared" si="156"/>
        <v>129.30000000000001</v>
      </c>
    </row>
    <row r="379" spans="1:17" x14ac:dyDescent="0.25">
      <c r="A379" s="85">
        <v>5</v>
      </c>
      <c r="B379" s="19" t="s">
        <v>22</v>
      </c>
      <c r="C379" s="59">
        <v>0</v>
      </c>
      <c r="D379" s="59">
        <v>0</v>
      </c>
      <c r="E379" s="59">
        <v>0</v>
      </c>
      <c r="F379" s="59">
        <f>'kc tanah'!C79</f>
        <v>0</v>
      </c>
      <c r="G379" s="59">
        <f>'kc tanah'!D79</f>
        <v>0</v>
      </c>
      <c r="H379" s="155">
        <f>'kc tanah'!E79</f>
        <v>301.60000000000002</v>
      </c>
      <c r="I379" s="125">
        <f t="shared" si="154"/>
        <v>301.60000000000002</v>
      </c>
      <c r="J379" s="223">
        <f>'kc tanah'!F79</f>
        <v>0</v>
      </c>
      <c r="K379" s="132">
        <f>'kc tanah'!G79</f>
        <v>0</v>
      </c>
      <c r="L379" s="132">
        <f>'kc tanah'!H79</f>
        <v>15.2</v>
      </c>
      <c r="M379" s="132">
        <f>'kc tanah'!I79</f>
        <v>55.1</v>
      </c>
      <c r="N379" s="132">
        <f>'kc tanah'!J79</f>
        <v>0</v>
      </c>
      <c r="O379" s="157">
        <f>'kc tanah'!K79</f>
        <v>0</v>
      </c>
      <c r="P379" s="125">
        <f t="shared" si="155"/>
        <v>70.3</v>
      </c>
      <c r="Q379" s="128">
        <f t="shared" si="156"/>
        <v>371.90000000000003</v>
      </c>
    </row>
    <row r="380" spans="1:17" x14ac:dyDescent="0.25">
      <c r="A380" s="85">
        <v>6</v>
      </c>
      <c r="B380" s="19" t="s">
        <v>23</v>
      </c>
      <c r="C380" s="59">
        <v>16</v>
      </c>
      <c r="D380" s="59">
        <v>7</v>
      </c>
      <c r="E380" s="59">
        <v>0</v>
      </c>
      <c r="F380" s="59">
        <f>'kc tanah'!C80</f>
        <v>0</v>
      </c>
      <c r="G380" s="59">
        <f>'kc tanah'!D80</f>
        <v>60.7</v>
      </c>
      <c r="H380" s="155">
        <f>'kc tanah'!E80</f>
        <v>31.1</v>
      </c>
      <c r="I380" s="125">
        <f t="shared" si="154"/>
        <v>114.80000000000001</v>
      </c>
      <c r="J380" s="223">
        <f>'kc tanah'!F80</f>
        <v>0</v>
      </c>
      <c r="K380" s="132">
        <f>'kc tanah'!G80</f>
        <v>0</v>
      </c>
      <c r="L380" s="132">
        <f>'kc tanah'!H80</f>
        <v>45.2</v>
      </c>
      <c r="M380" s="132">
        <f>'kc tanah'!I80</f>
        <v>27.6</v>
      </c>
      <c r="N380" s="132">
        <f>'kc tanah'!J80</f>
        <v>0</v>
      </c>
      <c r="O380" s="157">
        <f>'kc tanah'!K80</f>
        <v>2.1</v>
      </c>
      <c r="P380" s="125">
        <f t="shared" si="155"/>
        <v>74.900000000000006</v>
      </c>
      <c r="Q380" s="128">
        <f t="shared" si="156"/>
        <v>189.70000000000002</v>
      </c>
    </row>
    <row r="381" spans="1:17" x14ac:dyDescent="0.25">
      <c r="A381" s="85">
        <v>7</v>
      </c>
      <c r="B381" s="19" t="s">
        <v>24</v>
      </c>
      <c r="C381" s="59">
        <v>0</v>
      </c>
      <c r="D381" s="59">
        <v>0</v>
      </c>
      <c r="E381" s="59">
        <v>0</v>
      </c>
      <c r="F381" s="59">
        <f>'kc tanah'!C81</f>
        <v>0</v>
      </c>
      <c r="G381" s="59">
        <f>'kc tanah'!D81</f>
        <v>0</v>
      </c>
      <c r="H381" s="155">
        <f>'kc tanah'!E81</f>
        <v>1.1000000000000001</v>
      </c>
      <c r="I381" s="125">
        <f t="shared" si="154"/>
        <v>1.1000000000000001</v>
      </c>
      <c r="J381" s="223">
        <f>'kc tanah'!F81</f>
        <v>0</v>
      </c>
      <c r="K381" s="132">
        <f>'kc tanah'!G81</f>
        <v>0</v>
      </c>
      <c r="L381" s="132">
        <f>'kc tanah'!H81</f>
        <v>0</v>
      </c>
      <c r="M381" s="132">
        <f>'kc tanah'!I81</f>
        <v>1.1000000000000001</v>
      </c>
      <c r="N381" s="132">
        <f>'kc tanah'!J81</f>
        <v>0</v>
      </c>
      <c r="O381" s="157">
        <f>'kc tanah'!K81</f>
        <v>0</v>
      </c>
      <c r="P381" s="125">
        <f t="shared" si="155"/>
        <v>1.1000000000000001</v>
      </c>
      <c r="Q381" s="128">
        <f t="shared" si="156"/>
        <v>2.2000000000000002</v>
      </c>
    </row>
    <row r="382" spans="1:17" ht="15.75" thickBot="1" x14ac:dyDescent="0.3">
      <c r="A382" s="86">
        <v>8</v>
      </c>
      <c r="B382" s="15" t="s">
        <v>25</v>
      </c>
      <c r="C382" s="137">
        <v>255</v>
      </c>
      <c r="D382" s="137">
        <v>28</v>
      </c>
      <c r="E382" s="137">
        <v>151</v>
      </c>
      <c r="F382" s="137">
        <f>'kc tanah'!C82</f>
        <v>0</v>
      </c>
      <c r="G382" s="137">
        <f>'kc tanah'!D82</f>
        <v>170.4</v>
      </c>
      <c r="H382" s="137">
        <f>'kc tanah'!E82</f>
        <v>12.5</v>
      </c>
      <c r="I382" s="126">
        <f t="shared" si="154"/>
        <v>616.9</v>
      </c>
      <c r="J382" s="232">
        <f>'kc tanah'!F82</f>
        <v>0</v>
      </c>
      <c r="K382" s="232">
        <f>'kc tanah'!G82</f>
        <v>0</v>
      </c>
      <c r="L382" s="232">
        <f>'kc tanah'!H82</f>
        <v>30.3</v>
      </c>
      <c r="M382" s="232">
        <f>'kc tanah'!I82</f>
        <v>134.5</v>
      </c>
      <c r="N382" s="232">
        <f>'kc tanah'!J82</f>
        <v>0</v>
      </c>
      <c r="O382" s="232">
        <f>'kc tanah'!K82</f>
        <v>0</v>
      </c>
      <c r="P382" s="126">
        <f>SUM(J382:O382)</f>
        <v>164.8</v>
      </c>
      <c r="Q382" s="129">
        <f t="shared" si="156"/>
        <v>781.7</v>
      </c>
    </row>
    <row r="383" spans="1:17" ht="16.5" thickTop="1" thickBot="1" x14ac:dyDescent="0.3">
      <c r="A383" s="339" t="s">
        <v>26</v>
      </c>
      <c r="B383" s="340"/>
      <c r="C383" s="112">
        <f t="shared" ref="C383:H383" si="157">SUM(C375:C382)</f>
        <v>290</v>
      </c>
      <c r="D383" s="112">
        <f t="shared" si="157"/>
        <v>35</v>
      </c>
      <c r="E383" s="112">
        <f t="shared" si="157"/>
        <v>151</v>
      </c>
      <c r="F383" s="112">
        <f t="shared" si="157"/>
        <v>60.1</v>
      </c>
      <c r="G383" s="112">
        <f t="shared" si="157"/>
        <v>231.10000000000002</v>
      </c>
      <c r="H383" s="121">
        <f t="shared" si="157"/>
        <v>582.20000000000005</v>
      </c>
      <c r="I383" s="123">
        <f>SUM(I375:I382)</f>
        <v>1349.4</v>
      </c>
      <c r="J383" s="133">
        <f t="shared" ref="J383:O383" si="158">SUM(J375:J382)</f>
        <v>214.8</v>
      </c>
      <c r="K383" s="112">
        <f t="shared" si="158"/>
        <v>42.099999999999994</v>
      </c>
      <c r="L383" s="112">
        <f t="shared" si="158"/>
        <v>244.90000000000003</v>
      </c>
      <c r="M383" s="112">
        <f t="shared" si="158"/>
        <v>395.20000000000005</v>
      </c>
      <c r="N383" s="112">
        <f t="shared" si="158"/>
        <v>0</v>
      </c>
      <c r="O383" s="121">
        <f t="shared" si="158"/>
        <v>24.700000000000003</v>
      </c>
      <c r="P383" s="123">
        <f>SUM(P375:P382)</f>
        <v>921.69999999999982</v>
      </c>
      <c r="Q383" s="130">
        <f>SUM(Q375:Q382)</f>
        <v>2271.1000000000004</v>
      </c>
    </row>
    <row r="385" spans="1:17" ht="15.75" x14ac:dyDescent="0.25">
      <c r="A385" s="341" t="s">
        <v>171</v>
      </c>
      <c r="B385" s="341"/>
      <c r="C385" s="341"/>
      <c r="D385" s="341"/>
      <c r="E385" s="341"/>
      <c r="F385" s="341"/>
      <c r="G385" s="341"/>
      <c r="H385" s="341"/>
      <c r="I385" s="341"/>
      <c r="J385" s="341"/>
      <c r="K385" s="341"/>
      <c r="L385" s="341"/>
      <c r="M385" s="341"/>
      <c r="N385" s="341"/>
      <c r="O385" s="341"/>
      <c r="P385" s="341"/>
      <c r="Q385" s="341"/>
    </row>
    <row r="386" spans="1:17" ht="15.75" x14ac:dyDescent="0.25">
      <c r="A386" s="341" t="s">
        <v>81</v>
      </c>
      <c r="B386" s="341"/>
      <c r="C386" s="341"/>
      <c r="D386" s="341"/>
      <c r="E386" s="341"/>
      <c r="F386" s="341"/>
      <c r="G386" s="341"/>
      <c r="H386" s="341"/>
      <c r="I386" s="341"/>
      <c r="J386" s="341"/>
      <c r="K386" s="341"/>
      <c r="L386" s="341"/>
      <c r="M386" s="341"/>
      <c r="N386" s="341"/>
      <c r="O386" s="341"/>
      <c r="P386" s="341"/>
      <c r="Q386" s="341"/>
    </row>
    <row r="387" spans="1:17" ht="15.75" thickBot="1" x14ac:dyDescent="0.3">
      <c r="Q387" s="75" t="s">
        <v>29</v>
      </c>
    </row>
    <row r="388" spans="1:17" x14ac:dyDescent="0.25">
      <c r="A388" s="334" t="s">
        <v>2</v>
      </c>
      <c r="B388" s="336" t="s">
        <v>3</v>
      </c>
      <c r="C388" s="342" t="s">
        <v>183</v>
      </c>
      <c r="D388" s="343"/>
      <c r="E388" s="343"/>
      <c r="F388" s="343"/>
      <c r="G388" s="343"/>
      <c r="H388" s="344"/>
      <c r="I388" s="345" t="s">
        <v>82</v>
      </c>
      <c r="J388" s="347">
        <v>2020</v>
      </c>
      <c r="K388" s="343"/>
      <c r="L388" s="343"/>
      <c r="M388" s="343"/>
      <c r="N388" s="343"/>
      <c r="O388" s="344"/>
      <c r="P388" s="345" t="s">
        <v>83</v>
      </c>
      <c r="Q388" s="348" t="s">
        <v>5</v>
      </c>
    </row>
    <row r="389" spans="1:17" x14ac:dyDescent="0.25">
      <c r="A389" s="335"/>
      <c r="B389" s="324"/>
      <c r="C389" s="300" t="s">
        <v>15</v>
      </c>
      <c r="D389" s="300" t="s">
        <v>16</v>
      </c>
      <c r="E389" s="300" t="s">
        <v>17</v>
      </c>
      <c r="F389" s="300" t="s">
        <v>6</v>
      </c>
      <c r="G389" s="300" t="s">
        <v>76</v>
      </c>
      <c r="H389" s="119" t="s">
        <v>77</v>
      </c>
      <c r="I389" s="346"/>
      <c r="J389" s="109" t="s">
        <v>78</v>
      </c>
      <c r="K389" s="300" t="s">
        <v>10</v>
      </c>
      <c r="L389" s="300" t="s">
        <v>11</v>
      </c>
      <c r="M389" s="300" t="s">
        <v>12</v>
      </c>
      <c r="N389" s="300" t="s">
        <v>79</v>
      </c>
      <c r="O389" s="119" t="s">
        <v>80</v>
      </c>
      <c r="P389" s="346"/>
      <c r="Q389" s="349"/>
    </row>
    <row r="390" spans="1:17" ht="15.75" thickBot="1" x14ac:dyDescent="0.3">
      <c r="A390" s="111">
        <v>1</v>
      </c>
      <c r="B390" s="5">
        <v>2</v>
      </c>
      <c r="C390" s="5">
        <v>3</v>
      </c>
      <c r="D390" s="5">
        <v>4</v>
      </c>
      <c r="E390" s="5">
        <v>5</v>
      </c>
      <c r="F390" s="5">
        <v>6</v>
      </c>
      <c r="G390" s="5">
        <v>7</v>
      </c>
      <c r="H390" s="120">
        <v>8</v>
      </c>
      <c r="I390" s="122">
        <v>9</v>
      </c>
      <c r="J390" s="110">
        <v>10</v>
      </c>
      <c r="K390" s="5">
        <v>11</v>
      </c>
      <c r="L390" s="5">
        <v>12</v>
      </c>
      <c r="M390" s="5">
        <v>13</v>
      </c>
      <c r="N390" s="5">
        <v>14</v>
      </c>
      <c r="O390" s="120">
        <v>15</v>
      </c>
      <c r="P390" s="122">
        <v>16</v>
      </c>
      <c r="Q390" s="131">
        <v>17</v>
      </c>
    </row>
    <row r="391" spans="1:17" ht="15.75" thickTop="1" x14ac:dyDescent="0.25">
      <c r="A391" s="83">
        <v>1</v>
      </c>
      <c r="B391" s="7" t="s">
        <v>18</v>
      </c>
      <c r="C391" s="136">
        <v>19</v>
      </c>
      <c r="D391" s="136">
        <v>0</v>
      </c>
      <c r="E391" s="136">
        <v>0</v>
      </c>
      <c r="F391" s="136">
        <f>'ubi kayu'!C75</f>
        <v>0</v>
      </c>
      <c r="G391" s="136">
        <f>'ubi kayu'!D75</f>
        <v>0</v>
      </c>
      <c r="H391" s="136">
        <f>'ubi kayu'!E75</f>
        <v>0</v>
      </c>
      <c r="I391" s="124">
        <f>SUM(C391:H391)</f>
        <v>19</v>
      </c>
      <c r="J391" s="156">
        <f>'ubi kayu'!F75</f>
        <v>0</v>
      </c>
      <c r="K391" s="156">
        <f>'ubi kayu'!G75</f>
        <v>20.399999999999999</v>
      </c>
      <c r="L391" s="156">
        <f>'ubi kayu'!H75</f>
        <v>0</v>
      </c>
      <c r="M391" s="156">
        <f>'ubi kayu'!I75</f>
        <v>0</v>
      </c>
      <c r="N391" s="156">
        <f>'ubi kayu'!J75</f>
        <v>28</v>
      </c>
      <c r="O391" s="156">
        <f>'ubi kayu'!K75</f>
        <v>12</v>
      </c>
      <c r="P391" s="124">
        <f>SUM(J391:O391)</f>
        <v>60.4</v>
      </c>
      <c r="Q391" s="127">
        <f>SUM(I391,P391)</f>
        <v>79.400000000000006</v>
      </c>
    </row>
    <row r="392" spans="1:17" x14ac:dyDescent="0.25">
      <c r="A392" s="84">
        <v>2</v>
      </c>
      <c r="B392" s="12" t="s">
        <v>19</v>
      </c>
      <c r="C392" s="59">
        <v>0</v>
      </c>
      <c r="D392" s="59">
        <v>0</v>
      </c>
      <c r="E392" s="59">
        <v>0</v>
      </c>
      <c r="F392" s="59">
        <f>'ubi kayu'!C76</f>
        <v>25.6</v>
      </c>
      <c r="G392" s="59">
        <f>'ubi kayu'!D76</f>
        <v>0</v>
      </c>
      <c r="H392" s="155">
        <f>'ubi kayu'!E76</f>
        <v>0</v>
      </c>
      <c r="I392" s="125">
        <f t="shared" ref="I392:I398" si="159">SUM(C392:H392)</f>
        <v>25.6</v>
      </c>
      <c r="J392" s="223">
        <f>'ubi kayu'!F76</f>
        <v>0</v>
      </c>
      <c r="K392" s="132">
        <f>'ubi kayu'!G76</f>
        <v>0</v>
      </c>
      <c r="L392" s="132">
        <f>'ubi kayu'!H76</f>
        <v>0</v>
      </c>
      <c r="M392" s="132">
        <f>'ubi kayu'!I76</f>
        <v>0</v>
      </c>
      <c r="N392" s="132">
        <f>'ubi kayu'!J76</f>
        <v>0</v>
      </c>
      <c r="O392" s="157">
        <f>'ubi kayu'!K76</f>
        <v>0</v>
      </c>
      <c r="P392" s="125">
        <f t="shared" ref="P392:P397" si="160">SUM(J392:O392)</f>
        <v>0</v>
      </c>
      <c r="Q392" s="128">
        <f t="shared" ref="Q392:Q398" si="161">SUM(I392,P392)</f>
        <v>25.6</v>
      </c>
    </row>
    <row r="393" spans="1:17" x14ac:dyDescent="0.25">
      <c r="A393" s="84">
        <v>3</v>
      </c>
      <c r="B393" s="7" t="s">
        <v>20</v>
      </c>
      <c r="C393" s="59">
        <v>26</v>
      </c>
      <c r="D393" s="59">
        <v>0</v>
      </c>
      <c r="E393" s="59">
        <v>0</v>
      </c>
      <c r="F393" s="59">
        <f>'ubi kayu'!C77</f>
        <v>0</v>
      </c>
      <c r="G393" s="59">
        <f>'ubi kayu'!D77</f>
        <v>0</v>
      </c>
      <c r="H393" s="155">
        <f>'ubi kayu'!E77</f>
        <v>0</v>
      </c>
      <c r="I393" s="125">
        <f t="shared" si="159"/>
        <v>26</v>
      </c>
      <c r="J393" s="223">
        <f>'ubi kayu'!F77</f>
        <v>0</v>
      </c>
      <c r="K393" s="132">
        <f>'ubi kayu'!G77</f>
        <v>0</v>
      </c>
      <c r="L393" s="132">
        <f>'ubi kayu'!H77</f>
        <v>0</v>
      </c>
      <c r="M393" s="132">
        <f>'ubi kayu'!I77</f>
        <v>0</v>
      </c>
      <c r="N393" s="132">
        <f>'ubi kayu'!J77</f>
        <v>0</v>
      </c>
      <c r="O393" s="157">
        <f>'ubi kayu'!K77</f>
        <v>0</v>
      </c>
      <c r="P393" s="125">
        <f t="shared" si="160"/>
        <v>0</v>
      </c>
      <c r="Q393" s="128">
        <f t="shared" si="161"/>
        <v>26</v>
      </c>
    </row>
    <row r="394" spans="1:17" x14ac:dyDescent="0.25">
      <c r="A394" s="85">
        <v>4</v>
      </c>
      <c r="B394" s="15" t="s">
        <v>21</v>
      </c>
      <c r="C394" s="59">
        <v>0</v>
      </c>
      <c r="D394" s="59">
        <v>15</v>
      </c>
      <c r="E394" s="59">
        <v>37</v>
      </c>
      <c r="F394" s="59">
        <f>'ubi kayu'!C78</f>
        <v>0</v>
      </c>
      <c r="G394" s="59">
        <f>'ubi kayu'!D78</f>
        <v>0</v>
      </c>
      <c r="H394" s="155">
        <f>'ubi kayu'!E78</f>
        <v>0</v>
      </c>
      <c r="I394" s="125">
        <f t="shared" si="159"/>
        <v>52</v>
      </c>
      <c r="J394" s="223">
        <f>'ubi kayu'!F78</f>
        <v>0</v>
      </c>
      <c r="K394" s="132">
        <f>'ubi kayu'!G78</f>
        <v>0</v>
      </c>
      <c r="L394" s="132">
        <f>'ubi kayu'!H78</f>
        <v>0</v>
      </c>
      <c r="M394" s="132">
        <f>'ubi kayu'!I78</f>
        <v>0</v>
      </c>
      <c r="N394" s="132">
        <f>'ubi kayu'!J78</f>
        <v>0</v>
      </c>
      <c r="O394" s="157">
        <f>'ubi kayu'!K78</f>
        <v>0</v>
      </c>
      <c r="P394" s="125">
        <f t="shared" si="160"/>
        <v>0</v>
      </c>
      <c r="Q394" s="128">
        <f t="shared" si="161"/>
        <v>52</v>
      </c>
    </row>
    <row r="395" spans="1:17" x14ac:dyDescent="0.25">
      <c r="A395" s="85">
        <v>5</v>
      </c>
      <c r="B395" s="19" t="s">
        <v>22</v>
      </c>
      <c r="C395" s="59">
        <v>0</v>
      </c>
      <c r="D395" s="59">
        <v>0</v>
      </c>
      <c r="E395" s="59">
        <v>0</v>
      </c>
      <c r="F395" s="59">
        <f>'ubi kayu'!C79</f>
        <v>0</v>
      </c>
      <c r="G395" s="59">
        <f>'ubi kayu'!D79</f>
        <v>0</v>
      </c>
      <c r="H395" s="155">
        <f>'ubi kayu'!E79</f>
        <v>0</v>
      </c>
      <c r="I395" s="125">
        <f t="shared" si="159"/>
        <v>0</v>
      </c>
      <c r="J395" s="223">
        <f>'ubi kayu'!F79</f>
        <v>0</v>
      </c>
      <c r="K395" s="132">
        <f>'ubi kayu'!G79</f>
        <v>0</v>
      </c>
      <c r="L395" s="132">
        <f>'ubi kayu'!H79</f>
        <v>30</v>
      </c>
      <c r="M395" s="132">
        <f>'ubi kayu'!I79</f>
        <v>15</v>
      </c>
      <c r="N395" s="132">
        <f>'ubi kayu'!J79</f>
        <v>0</v>
      </c>
      <c r="O395" s="157">
        <f>'ubi kayu'!K79</f>
        <v>0</v>
      </c>
      <c r="P395" s="125">
        <f t="shared" si="160"/>
        <v>45</v>
      </c>
      <c r="Q395" s="128">
        <f t="shared" si="161"/>
        <v>45</v>
      </c>
    </row>
    <row r="396" spans="1:17" x14ac:dyDescent="0.25">
      <c r="A396" s="85">
        <v>6</v>
      </c>
      <c r="B396" s="19" t="s">
        <v>23</v>
      </c>
      <c r="C396" s="59">
        <v>0</v>
      </c>
      <c r="D396" s="59">
        <v>60</v>
      </c>
      <c r="E396" s="59">
        <v>0</v>
      </c>
      <c r="F396" s="59">
        <f>'ubi kayu'!C80</f>
        <v>0</v>
      </c>
      <c r="G396" s="59">
        <f>'ubi kayu'!D80</f>
        <v>0</v>
      </c>
      <c r="H396" s="155">
        <f>'ubi kayu'!E80</f>
        <v>0</v>
      </c>
      <c r="I396" s="125">
        <f t="shared" si="159"/>
        <v>60</v>
      </c>
      <c r="J396" s="223">
        <f>'ubi kayu'!F80</f>
        <v>0</v>
      </c>
      <c r="K396" s="132">
        <f>'ubi kayu'!G80</f>
        <v>10</v>
      </c>
      <c r="L396" s="132">
        <f>'ubi kayu'!H80</f>
        <v>0</v>
      </c>
      <c r="M396" s="132">
        <f>'ubi kayu'!I80</f>
        <v>0</v>
      </c>
      <c r="N396" s="132">
        <f>'ubi kayu'!J80</f>
        <v>0</v>
      </c>
      <c r="O396" s="157">
        <f>'ubi kayu'!K80</f>
        <v>0</v>
      </c>
      <c r="P396" s="125">
        <f t="shared" si="160"/>
        <v>10</v>
      </c>
      <c r="Q396" s="128">
        <f t="shared" si="161"/>
        <v>70</v>
      </c>
    </row>
    <row r="397" spans="1:17" x14ac:dyDescent="0.25">
      <c r="A397" s="85">
        <v>7</v>
      </c>
      <c r="B397" s="19" t="s">
        <v>24</v>
      </c>
      <c r="C397" s="59">
        <v>0</v>
      </c>
      <c r="D397" s="59">
        <v>0</v>
      </c>
      <c r="E397" s="59">
        <v>0</v>
      </c>
      <c r="F397" s="59">
        <f>'ubi kayu'!C81</f>
        <v>0</v>
      </c>
      <c r="G397" s="59">
        <f>'ubi kayu'!D81</f>
        <v>0</v>
      </c>
      <c r="H397" s="155">
        <f>'ubi kayu'!E81</f>
        <v>0</v>
      </c>
      <c r="I397" s="125">
        <f t="shared" si="159"/>
        <v>0</v>
      </c>
      <c r="J397" s="223">
        <f>'ubi kayu'!F81</f>
        <v>0</v>
      </c>
      <c r="K397" s="132">
        <f>'ubi kayu'!G81</f>
        <v>0</v>
      </c>
      <c r="L397" s="132">
        <f>'ubi kayu'!H81</f>
        <v>0</v>
      </c>
      <c r="M397" s="132">
        <f>'ubi kayu'!I81</f>
        <v>0</v>
      </c>
      <c r="N397" s="132">
        <f>'ubi kayu'!J81</f>
        <v>0</v>
      </c>
      <c r="O397" s="157">
        <f>'ubi kayu'!K81</f>
        <v>0</v>
      </c>
      <c r="P397" s="125">
        <f t="shared" si="160"/>
        <v>0</v>
      </c>
      <c r="Q397" s="128">
        <f t="shared" si="161"/>
        <v>0</v>
      </c>
    </row>
    <row r="398" spans="1:17" ht="15.75" thickBot="1" x14ac:dyDescent="0.3">
      <c r="A398" s="86">
        <v>8</v>
      </c>
      <c r="B398" s="15" t="s">
        <v>25</v>
      </c>
      <c r="C398" s="137">
        <v>0</v>
      </c>
      <c r="D398" s="137">
        <v>0</v>
      </c>
      <c r="E398" s="137">
        <v>31</v>
      </c>
      <c r="F398" s="137">
        <f>'ubi kayu'!C82</f>
        <v>0</v>
      </c>
      <c r="G398" s="137">
        <f>'ubi kayu'!D82</f>
        <v>0</v>
      </c>
      <c r="H398" s="137">
        <f>'ubi kayu'!E82</f>
        <v>0</v>
      </c>
      <c r="I398" s="126">
        <f t="shared" si="159"/>
        <v>31</v>
      </c>
      <c r="J398" s="232">
        <f>'ubi kayu'!F82</f>
        <v>22</v>
      </c>
      <c r="K398" s="232">
        <f>'ubi kayu'!G82</f>
        <v>0</v>
      </c>
      <c r="L398" s="232">
        <f>'ubi kayu'!H82</f>
        <v>12</v>
      </c>
      <c r="M398" s="232">
        <f>'ubi kayu'!I82</f>
        <v>15</v>
      </c>
      <c r="N398" s="232">
        <f>'ubi kayu'!J82</f>
        <v>30</v>
      </c>
      <c r="O398" s="232">
        <f>'ubi kayu'!K82</f>
        <v>0</v>
      </c>
      <c r="P398" s="126">
        <f>SUM(J398:O398)</f>
        <v>79</v>
      </c>
      <c r="Q398" s="129">
        <f t="shared" si="161"/>
        <v>110</v>
      </c>
    </row>
    <row r="399" spans="1:17" ht="16.5" thickTop="1" thickBot="1" x14ac:dyDescent="0.3">
      <c r="A399" s="339" t="s">
        <v>26</v>
      </c>
      <c r="B399" s="340"/>
      <c r="C399" s="112">
        <f t="shared" ref="C399:H399" si="162">SUM(C391:C398)</f>
        <v>45</v>
      </c>
      <c r="D399" s="112">
        <f t="shared" si="162"/>
        <v>75</v>
      </c>
      <c r="E399" s="112">
        <f t="shared" si="162"/>
        <v>68</v>
      </c>
      <c r="F399" s="112">
        <f t="shared" si="162"/>
        <v>25.6</v>
      </c>
      <c r="G399" s="112">
        <f t="shared" si="162"/>
        <v>0</v>
      </c>
      <c r="H399" s="121">
        <f t="shared" si="162"/>
        <v>0</v>
      </c>
      <c r="I399" s="123">
        <f>SUM(I391:I398)</f>
        <v>213.6</v>
      </c>
      <c r="J399" s="133">
        <f t="shared" ref="J399:O399" si="163">SUM(J391:J398)</f>
        <v>22</v>
      </c>
      <c r="K399" s="112">
        <f t="shared" si="163"/>
        <v>30.4</v>
      </c>
      <c r="L399" s="112">
        <f t="shared" si="163"/>
        <v>42</v>
      </c>
      <c r="M399" s="112">
        <f t="shared" si="163"/>
        <v>30</v>
      </c>
      <c r="N399" s="112">
        <f t="shared" si="163"/>
        <v>58</v>
      </c>
      <c r="O399" s="121">
        <f t="shared" si="163"/>
        <v>12</v>
      </c>
      <c r="P399" s="123">
        <f>SUM(P391:P398)</f>
        <v>194.4</v>
      </c>
      <c r="Q399" s="130">
        <f>SUM(Q391:Q398)</f>
        <v>408</v>
      </c>
    </row>
    <row r="401" spans="1:17" ht="15.75" x14ac:dyDescent="0.25">
      <c r="A401" s="341" t="s">
        <v>172</v>
      </c>
      <c r="B401" s="341"/>
      <c r="C401" s="341"/>
      <c r="D401" s="341"/>
      <c r="E401" s="341"/>
      <c r="F401" s="341"/>
      <c r="G401" s="341"/>
      <c r="H401" s="341"/>
      <c r="I401" s="341"/>
      <c r="J401" s="341"/>
      <c r="K401" s="341"/>
      <c r="L401" s="341"/>
      <c r="M401" s="341"/>
      <c r="N401" s="341"/>
      <c r="O401" s="341"/>
      <c r="P401" s="341"/>
      <c r="Q401" s="341"/>
    </row>
    <row r="402" spans="1:17" ht="15.75" x14ac:dyDescent="0.25">
      <c r="A402" s="341" t="s">
        <v>81</v>
      </c>
      <c r="B402" s="341"/>
      <c r="C402" s="341"/>
      <c r="D402" s="341"/>
      <c r="E402" s="341"/>
      <c r="F402" s="341"/>
      <c r="G402" s="341"/>
      <c r="H402" s="341"/>
      <c r="I402" s="341"/>
      <c r="J402" s="341"/>
      <c r="K402" s="341"/>
      <c r="L402" s="341"/>
      <c r="M402" s="341"/>
      <c r="N402" s="341"/>
      <c r="O402" s="341"/>
      <c r="P402" s="341"/>
      <c r="Q402" s="341"/>
    </row>
    <row r="403" spans="1:17" ht="15.75" thickBot="1" x14ac:dyDescent="0.3">
      <c r="Q403" s="75" t="s">
        <v>29</v>
      </c>
    </row>
    <row r="404" spans="1:17" x14ac:dyDescent="0.25">
      <c r="A404" s="334" t="s">
        <v>2</v>
      </c>
      <c r="B404" s="336" t="s">
        <v>3</v>
      </c>
      <c r="C404" s="342" t="s">
        <v>183</v>
      </c>
      <c r="D404" s="343"/>
      <c r="E404" s="343"/>
      <c r="F404" s="343"/>
      <c r="G404" s="343"/>
      <c r="H404" s="344"/>
      <c r="I404" s="345" t="s">
        <v>82</v>
      </c>
      <c r="J404" s="347">
        <v>2020</v>
      </c>
      <c r="K404" s="343"/>
      <c r="L404" s="343"/>
      <c r="M404" s="343"/>
      <c r="N404" s="343"/>
      <c r="O404" s="344"/>
      <c r="P404" s="345" t="s">
        <v>83</v>
      </c>
      <c r="Q404" s="348" t="s">
        <v>5</v>
      </c>
    </row>
    <row r="405" spans="1:17" x14ac:dyDescent="0.25">
      <c r="A405" s="335"/>
      <c r="B405" s="324"/>
      <c r="C405" s="300" t="s">
        <v>15</v>
      </c>
      <c r="D405" s="300" t="s">
        <v>16</v>
      </c>
      <c r="E405" s="300" t="s">
        <v>17</v>
      </c>
      <c r="F405" s="300" t="s">
        <v>6</v>
      </c>
      <c r="G405" s="300" t="s">
        <v>76</v>
      </c>
      <c r="H405" s="119" t="s">
        <v>77</v>
      </c>
      <c r="I405" s="346"/>
      <c r="J405" s="109" t="s">
        <v>78</v>
      </c>
      <c r="K405" s="300" t="s">
        <v>10</v>
      </c>
      <c r="L405" s="300" t="s">
        <v>11</v>
      </c>
      <c r="M405" s="300" t="s">
        <v>12</v>
      </c>
      <c r="N405" s="300" t="s">
        <v>79</v>
      </c>
      <c r="O405" s="119" t="s">
        <v>80</v>
      </c>
      <c r="P405" s="346"/>
      <c r="Q405" s="349"/>
    </row>
    <row r="406" spans="1:17" ht="15.75" thickBot="1" x14ac:dyDescent="0.3">
      <c r="A406" s="111">
        <v>1</v>
      </c>
      <c r="B406" s="5">
        <v>2</v>
      </c>
      <c r="C406" s="5">
        <v>3</v>
      </c>
      <c r="D406" s="5">
        <v>4</v>
      </c>
      <c r="E406" s="5">
        <v>5</v>
      </c>
      <c r="F406" s="5">
        <v>6</v>
      </c>
      <c r="G406" s="5">
        <v>7</v>
      </c>
      <c r="H406" s="120">
        <v>8</v>
      </c>
      <c r="I406" s="122">
        <v>9</v>
      </c>
      <c r="J406" s="110">
        <v>10</v>
      </c>
      <c r="K406" s="5">
        <v>11</v>
      </c>
      <c r="L406" s="5">
        <v>12</v>
      </c>
      <c r="M406" s="5">
        <v>13</v>
      </c>
      <c r="N406" s="5">
        <v>14</v>
      </c>
      <c r="O406" s="120">
        <v>15</v>
      </c>
      <c r="P406" s="122">
        <v>16</v>
      </c>
      <c r="Q406" s="131">
        <v>17</v>
      </c>
    </row>
    <row r="407" spans="1:17" ht="15.75" thickTop="1" x14ac:dyDescent="0.25">
      <c r="A407" s="83">
        <v>1</v>
      </c>
      <c r="B407" s="7" t="s">
        <v>18</v>
      </c>
      <c r="C407" s="136">
        <v>0</v>
      </c>
      <c r="D407" s="136">
        <v>0</v>
      </c>
      <c r="E407" s="136">
        <v>0</v>
      </c>
      <c r="F407" s="136">
        <f>'ubi jalar'!C75</f>
        <v>0</v>
      </c>
      <c r="G407" s="136">
        <f>'ubi jalar'!D75</f>
        <v>0</v>
      </c>
      <c r="H407" s="136">
        <f>'ubi jalar'!E75</f>
        <v>0</v>
      </c>
      <c r="I407" s="124">
        <f>SUM(C407:H407)</f>
        <v>0</v>
      </c>
      <c r="J407" s="156">
        <f>'ubi jalar'!F75</f>
        <v>0</v>
      </c>
      <c r="K407" s="156">
        <f>'ubi jalar'!G75</f>
        <v>86.7</v>
      </c>
      <c r="L407" s="156">
        <f>'ubi jalar'!H75</f>
        <v>0</v>
      </c>
      <c r="M407" s="156">
        <f>'ubi jalar'!I75</f>
        <v>0</v>
      </c>
      <c r="N407" s="156">
        <f>'ubi jalar'!J75</f>
        <v>10</v>
      </c>
      <c r="O407" s="156">
        <f>'ubi jalar'!K75</f>
        <v>0</v>
      </c>
      <c r="P407" s="124">
        <f>SUM(J407:O407)</f>
        <v>96.7</v>
      </c>
      <c r="Q407" s="127">
        <f>SUM(I407,P407)</f>
        <v>96.7</v>
      </c>
    </row>
    <row r="408" spans="1:17" x14ac:dyDescent="0.25">
      <c r="A408" s="84">
        <v>2</v>
      </c>
      <c r="B408" s="12" t="s">
        <v>19</v>
      </c>
      <c r="C408" s="59">
        <v>9</v>
      </c>
      <c r="D408" s="59">
        <v>0</v>
      </c>
      <c r="E408" s="59">
        <v>0</v>
      </c>
      <c r="F408" s="59">
        <f>'ubi jalar'!C76</f>
        <v>0</v>
      </c>
      <c r="G408" s="59">
        <f>'ubi jalar'!D76</f>
        <v>0</v>
      </c>
      <c r="H408" s="155">
        <f>'ubi jalar'!E76</f>
        <v>10.199999999999999</v>
      </c>
      <c r="I408" s="125">
        <f t="shared" ref="I408:I414" si="164">SUM(C408:H408)</f>
        <v>19.2</v>
      </c>
      <c r="J408" s="223">
        <f>'ubi jalar'!F76</f>
        <v>10.4</v>
      </c>
      <c r="K408" s="132">
        <f>'ubi jalar'!G76</f>
        <v>0</v>
      </c>
      <c r="L408" s="132">
        <f>'ubi jalar'!H76</f>
        <v>0</v>
      </c>
      <c r="M408" s="132">
        <f>'ubi jalar'!I76</f>
        <v>0</v>
      </c>
      <c r="N408" s="132">
        <f>'ubi jalar'!J76</f>
        <v>10.1</v>
      </c>
      <c r="O408" s="157">
        <f>'ubi jalar'!K76</f>
        <v>10.199999999999999</v>
      </c>
      <c r="P408" s="125">
        <f t="shared" ref="P408:P413" si="165">SUM(J408:O408)</f>
        <v>30.7</v>
      </c>
      <c r="Q408" s="128">
        <f t="shared" ref="Q408:Q414" si="166">SUM(I408,P408)</f>
        <v>49.9</v>
      </c>
    </row>
    <row r="409" spans="1:17" x14ac:dyDescent="0.25">
      <c r="A409" s="84">
        <v>3</v>
      </c>
      <c r="B409" s="7" t="s">
        <v>20</v>
      </c>
      <c r="C409" s="59">
        <v>0</v>
      </c>
      <c r="D409" s="59">
        <v>0</v>
      </c>
      <c r="E409" s="59">
        <v>0</v>
      </c>
      <c r="F409" s="59">
        <f>'ubi jalar'!C77</f>
        <v>0</v>
      </c>
      <c r="G409" s="59">
        <f>'ubi jalar'!D77</f>
        <v>0</v>
      </c>
      <c r="H409" s="155">
        <f>'ubi jalar'!E77</f>
        <v>0</v>
      </c>
      <c r="I409" s="125">
        <f t="shared" si="164"/>
        <v>0</v>
      </c>
      <c r="J409" s="223">
        <f>'ubi jalar'!F77</f>
        <v>0</v>
      </c>
      <c r="K409" s="132">
        <f>'ubi jalar'!G77</f>
        <v>0</v>
      </c>
      <c r="L409" s="132">
        <f>'ubi jalar'!H77</f>
        <v>0</v>
      </c>
      <c r="M409" s="132">
        <f>'ubi jalar'!I77</f>
        <v>0</v>
      </c>
      <c r="N409" s="132">
        <f>'ubi jalar'!J77</f>
        <v>0</v>
      </c>
      <c r="O409" s="157">
        <f>'ubi jalar'!K77</f>
        <v>0</v>
      </c>
      <c r="P409" s="125">
        <f t="shared" si="165"/>
        <v>0</v>
      </c>
      <c r="Q409" s="128">
        <f t="shared" si="166"/>
        <v>0</v>
      </c>
    </row>
    <row r="410" spans="1:17" x14ac:dyDescent="0.25">
      <c r="A410" s="85">
        <v>4</v>
      </c>
      <c r="B410" s="15" t="s">
        <v>21</v>
      </c>
      <c r="C410" s="59">
        <v>30</v>
      </c>
      <c r="D410" s="59">
        <v>0</v>
      </c>
      <c r="E410" s="59">
        <v>25</v>
      </c>
      <c r="F410" s="59">
        <f>'ubi jalar'!C78</f>
        <v>0</v>
      </c>
      <c r="G410" s="59">
        <f>'ubi jalar'!D78</f>
        <v>0</v>
      </c>
      <c r="H410" s="155">
        <f>'ubi jalar'!E78</f>
        <v>0</v>
      </c>
      <c r="I410" s="125">
        <f t="shared" si="164"/>
        <v>55</v>
      </c>
      <c r="J410" s="223">
        <f>'ubi jalar'!F78</f>
        <v>0</v>
      </c>
      <c r="K410" s="132">
        <f>'ubi jalar'!G78</f>
        <v>0</v>
      </c>
      <c r="L410" s="132">
        <f>'ubi jalar'!H78</f>
        <v>0</v>
      </c>
      <c r="M410" s="132">
        <f>'ubi jalar'!I78</f>
        <v>0</v>
      </c>
      <c r="N410" s="132">
        <f>'ubi jalar'!J78</f>
        <v>0</v>
      </c>
      <c r="O410" s="157">
        <f>'ubi jalar'!K78</f>
        <v>0</v>
      </c>
      <c r="P410" s="125">
        <f t="shared" si="165"/>
        <v>0</v>
      </c>
      <c r="Q410" s="128">
        <f t="shared" si="166"/>
        <v>55</v>
      </c>
    </row>
    <row r="411" spans="1:17" x14ac:dyDescent="0.25">
      <c r="A411" s="85">
        <v>5</v>
      </c>
      <c r="B411" s="19" t="s">
        <v>22</v>
      </c>
      <c r="C411" s="59">
        <v>10</v>
      </c>
      <c r="D411" s="59">
        <v>0</v>
      </c>
      <c r="E411" s="59">
        <v>0</v>
      </c>
      <c r="F411" s="59">
        <f>'ubi jalar'!C79</f>
        <v>0</v>
      </c>
      <c r="G411" s="59">
        <f>'ubi jalar'!D79</f>
        <v>0</v>
      </c>
      <c r="H411" s="155">
        <f>'ubi jalar'!E79</f>
        <v>0</v>
      </c>
      <c r="I411" s="125">
        <f t="shared" si="164"/>
        <v>10</v>
      </c>
      <c r="J411" s="223">
        <f>'ubi jalar'!F79</f>
        <v>0</v>
      </c>
      <c r="K411" s="132">
        <f>'ubi jalar'!G79</f>
        <v>0</v>
      </c>
      <c r="L411" s="132">
        <f>'ubi jalar'!H79</f>
        <v>0</v>
      </c>
      <c r="M411" s="132">
        <f>'ubi jalar'!I79</f>
        <v>0</v>
      </c>
      <c r="N411" s="132">
        <f>'ubi jalar'!J79</f>
        <v>0</v>
      </c>
      <c r="O411" s="157">
        <f>'ubi jalar'!K79</f>
        <v>0</v>
      </c>
      <c r="P411" s="125">
        <f t="shared" si="165"/>
        <v>0</v>
      </c>
      <c r="Q411" s="128">
        <f t="shared" si="166"/>
        <v>10</v>
      </c>
    </row>
    <row r="412" spans="1:17" x14ac:dyDescent="0.25">
      <c r="A412" s="85">
        <v>6</v>
      </c>
      <c r="B412" s="19" t="s">
        <v>23</v>
      </c>
      <c r="C412" s="59">
        <v>0</v>
      </c>
      <c r="D412" s="59">
        <v>0</v>
      </c>
      <c r="E412" s="59">
        <v>0</v>
      </c>
      <c r="F412" s="59">
        <f>'ubi jalar'!C80</f>
        <v>0</v>
      </c>
      <c r="G412" s="59">
        <f>'ubi jalar'!D80</f>
        <v>9.1</v>
      </c>
      <c r="H412" s="155">
        <f>'ubi jalar'!E80</f>
        <v>0</v>
      </c>
      <c r="I412" s="125">
        <f t="shared" si="164"/>
        <v>9.1</v>
      </c>
      <c r="J412" s="223">
        <f>'ubi jalar'!F80</f>
        <v>0</v>
      </c>
      <c r="K412" s="132">
        <f>'ubi jalar'!G80</f>
        <v>9.5</v>
      </c>
      <c r="L412" s="132">
        <f>'ubi jalar'!H80</f>
        <v>0</v>
      </c>
      <c r="M412" s="132">
        <f>'ubi jalar'!I80</f>
        <v>0</v>
      </c>
      <c r="N412" s="132">
        <f>'ubi jalar'!J80</f>
        <v>0</v>
      </c>
      <c r="O412" s="157">
        <f>'ubi jalar'!K80</f>
        <v>0</v>
      </c>
      <c r="P412" s="125">
        <f t="shared" si="165"/>
        <v>9.5</v>
      </c>
      <c r="Q412" s="128">
        <f t="shared" si="166"/>
        <v>18.600000000000001</v>
      </c>
    </row>
    <row r="413" spans="1:17" x14ac:dyDescent="0.25">
      <c r="A413" s="85">
        <v>7</v>
      </c>
      <c r="B413" s="19" t="s">
        <v>24</v>
      </c>
      <c r="C413" s="59">
        <v>0</v>
      </c>
      <c r="D413" s="59">
        <v>0</v>
      </c>
      <c r="E413" s="59">
        <v>0</v>
      </c>
      <c r="F413" s="59">
        <f>'ubi jalar'!C81</f>
        <v>0</v>
      </c>
      <c r="G413" s="59">
        <f>'ubi jalar'!D81</f>
        <v>0</v>
      </c>
      <c r="H413" s="155">
        <f>'ubi jalar'!E81</f>
        <v>0</v>
      </c>
      <c r="I413" s="125">
        <f t="shared" si="164"/>
        <v>0</v>
      </c>
      <c r="J413" s="223">
        <f>'ubi jalar'!F81</f>
        <v>0</v>
      </c>
      <c r="K413" s="132">
        <f>'ubi jalar'!G81</f>
        <v>0</v>
      </c>
      <c r="L413" s="132">
        <f>'ubi jalar'!H81</f>
        <v>0</v>
      </c>
      <c r="M413" s="132">
        <f>'ubi jalar'!I81</f>
        <v>0</v>
      </c>
      <c r="N413" s="132">
        <f>'ubi jalar'!J81</f>
        <v>0</v>
      </c>
      <c r="O413" s="157">
        <f>'ubi jalar'!K81</f>
        <v>0</v>
      </c>
      <c r="P413" s="125">
        <f t="shared" si="165"/>
        <v>0</v>
      </c>
      <c r="Q413" s="128">
        <f t="shared" si="166"/>
        <v>0</v>
      </c>
    </row>
    <row r="414" spans="1:17" ht="15.75" thickBot="1" x14ac:dyDescent="0.3">
      <c r="A414" s="86">
        <v>8</v>
      </c>
      <c r="B414" s="15" t="s">
        <v>25</v>
      </c>
      <c r="C414" s="137">
        <v>8</v>
      </c>
      <c r="D414" s="137">
        <v>0</v>
      </c>
      <c r="E414" s="137">
        <v>0</v>
      </c>
      <c r="F414" s="137">
        <f>'ubi jalar'!C82</f>
        <v>0</v>
      </c>
      <c r="G414" s="137">
        <f>'ubi jalar'!D82</f>
        <v>0</v>
      </c>
      <c r="H414" s="137">
        <f>'ubi jalar'!E82</f>
        <v>10</v>
      </c>
      <c r="I414" s="126">
        <f t="shared" si="164"/>
        <v>18</v>
      </c>
      <c r="J414" s="232">
        <f>'ubi jalar'!F82</f>
        <v>0</v>
      </c>
      <c r="K414" s="232">
        <f>'ubi jalar'!G82</f>
        <v>0</v>
      </c>
      <c r="L414" s="232">
        <f>'ubi jalar'!H82</f>
        <v>0</v>
      </c>
      <c r="M414" s="232">
        <f>'ubi jalar'!I82</f>
        <v>9.1</v>
      </c>
      <c r="N414" s="232">
        <f>'ubi jalar'!J82</f>
        <v>0</v>
      </c>
      <c r="O414" s="232">
        <f>'ubi jalar'!K82</f>
        <v>0</v>
      </c>
      <c r="P414" s="126">
        <f>SUM(J414:O414)</f>
        <v>9.1</v>
      </c>
      <c r="Q414" s="129">
        <f t="shared" si="166"/>
        <v>27.1</v>
      </c>
    </row>
    <row r="415" spans="1:17" ht="16.5" thickTop="1" thickBot="1" x14ac:dyDescent="0.3">
      <c r="A415" s="339" t="s">
        <v>26</v>
      </c>
      <c r="B415" s="340"/>
      <c r="C415" s="112">
        <f t="shared" ref="C415:H415" si="167">SUM(C407:C414)</f>
        <v>57</v>
      </c>
      <c r="D415" s="112">
        <f t="shared" si="167"/>
        <v>0</v>
      </c>
      <c r="E415" s="112">
        <f t="shared" si="167"/>
        <v>25</v>
      </c>
      <c r="F415" s="112">
        <f t="shared" si="167"/>
        <v>0</v>
      </c>
      <c r="G415" s="112">
        <f t="shared" si="167"/>
        <v>9.1</v>
      </c>
      <c r="H415" s="121">
        <f t="shared" si="167"/>
        <v>20.2</v>
      </c>
      <c r="I415" s="123">
        <f>SUM(I407:I414)</f>
        <v>111.3</v>
      </c>
      <c r="J415" s="133">
        <f t="shared" ref="J415:O415" si="168">SUM(J407:J414)</f>
        <v>10.4</v>
      </c>
      <c r="K415" s="112">
        <f t="shared" si="168"/>
        <v>96.2</v>
      </c>
      <c r="L415" s="112">
        <f t="shared" si="168"/>
        <v>0</v>
      </c>
      <c r="M415" s="112">
        <f t="shared" si="168"/>
        <v>9.1</v>
      </c>
      <c r="N415" s="112">
        <f t="shared" si="168"/>
        <v>20.100000000000001</v>
      </c>
      <c r="O415" s="121">
        <f t="shared" si="168"/>
        <v>10.199999999999999</v>
      </c>
      <c r="P415" s="123">
        <f>SUM(P407:P414)</f>
        <v>146</v>
      </c>
      <c r="Q415" s="130">
        <f>SUM(Q407:Q414)</f>
        <v>257.3</v>
      </c>
    </row>
    <row r="417" spans="1:17" ht="15.75" x14ac:dyDescent="0.25">
      <c r="A417" s="341" t="s">
        <v>173</v>
      </c>
      <c r="B417" s="341"/>
      <c r="C417" s="341"/>
      <c r="D417" s="341"/>
      <c r="E417" s="341"/>
      <c r="F417" s="341"/>
      <c r="G417" s="341"/>
      <c r="H417" s="341"/>
      <c r="I417" s="341"/>
      <c r="J417" s="341"/>
      <c r="K417" s="341"/>
      <c r="L417" s="341"/>
      <c r="M417" s="341"/>
      <c r="N417" s="341"/>
      <c r="O417" s="341"/>
      <c r="P417" s="341"/>
      <c r="Q417" s="341"/>
    </row>
    <row r="418" spans="1:17" ht="15.75" x14ac:dyDescent="0.25">
      <c r="A418" s="341" t="s">
        <v>81</v>
      </c>
      <c r="B418" s="341"/>
      <c r="C418" s="341"/>
      <c r="D418" s="341"/>
      <c r="E418" s="341"/>
      <c r="F418" s="341"/>
      <c r="G418" s="341"/>
      <c r="H418" s="341"/>
      <c r="I418" s="341"/>
      <c r="J418" s="341"/>
      <c r="K418" s="341"/>
      <c r="L418" s="341"/>
      <c r="M418" s="341"/>
      <c r="N418" s="341"/>
      <c r="O418" s="341"/>
      <c r="P418" s="341"/>
      <c r="Q418" s="341"/>
    </row>
    <row r="419" spans="1:17" ht="15.75" thickBot="1" x14ac:dyDescent="0.3">
      <c r="Q419" s="75" t="s">
        <v>29</v>
      </c>
    </row>
    <row r="420" spans="1:17" x14ac:dyDescent="0.25">
      <c r="A420" s="334" t="s">
        <v>2</v>
      </c>
      <c r="B420" s="336" t="s">
        <v>3</v>
      </c>
      <c r="C420" s="342" t="s">
        <v>183</v>
      </c>
      <c r="D420" s="343"/>
      <c r="E420" s="343"/>
      <c r="F420" s="343"/>
      <c r="G420" s="343"/>
      <c r="H420" s="344"/>
      <c r="I420" s="345" t="s">
        <v>82</v>
      </c>
      <c r="J420" s="347">
        <v>2020</v>
      </c>
      <c r="K420" s="343"/>
      <c r="L420" s="343"/>
      <c r="M420" s="343"/>
      <c r="N420" s="343"/>
      <c r="O420" s="344"/>
      <c r="P420" s="345" t="s">
        <v>83</v>
      </c>
      <c r="Q420" s="348" t="s">
        <v>5</v>
      </c>
    </row>
    <row r="421" spans="1:17" x14ac:dyDescent="0.25">
      <c r="A421" s="335"/>
      <c r="B421" s="324"/>
      <c r="C421" s="300" t="s">
        <v>15</v>
      </c>
      <c r="D421" s="300" t="s">
        <v>16</v>
      </c>
      <c r="E421" s="300" t="s">
        <v>17</v>
      </c>
      <c r="F421" s="300" t="s">
        <v>6</v>
      </c>
      <c r="G421" s="300" t="s">
        <v>76</v>
      </c>
      <c r="H421" s="119" t="s">
        <v>77</v>
      </c>
      <c r="I421" s="346"/>
      <c r="J421" s="109" t="s">
        <v>78</v>
      </c>
      <c r="K421" s="300" t="s">
        <v>10</v>
      </c>
      <c r="L421" s="300" t="s">
        <v>11</v>
      </c>
      <c r="M421" s="300" t="s">
        <v>12</v>
      </c>
      <c r="N421" s="300" t="s">
        <v>79</v>
      </c>
      <c r="O421" s="119" t="s">
        <v>80</v>
      </c>
      <c r="P421" s="346"/>
      <c r="Q421" s="349"/>
    </row>
    <row r="422" spans="1:17" ht="15.75" thickBot="1" x14ac:dyDescent="0.3">
      <c r="A422" s="111">
        <v>1</v>
      </c>
      <c r="B422" s="5">
        <v>2</v>
      </c>
      <c r="C422" s="5">
        <v>3</v>
      </c>
      <c r="D422" s="5">
        <v>4</v>
      </c>
      <c r="E422" s="5">
        <v>5</v>
      </c>
      <c r="F422" s="5">
        <v>6</v>
      </c>
      <c r="G422" s="5">
        <v>7</v>
      </c>
      <c r="H422" s="120">
        <v>8</v>
      </c>
      <c r="I422" s="122">
        <v>9</v>
      </c>
      <c r="J422" s="110">
        <v>10</v>
      </c>
      <c r="K422" s="5">
        <v>11</v>
      </c>
      <c r="L422" s="5">
        <v>12</v>
      </c>
      <c r="M422" s="5">
        <v>13</v>
      </c>
      <c r="N422" s="5">
        <v>14</v>
      </c>
      <c r="O422" s="120">
        <v>15</v>
      </c>
      <c r="P422" s="122">
        <v>16</v>
      </c>
      <c r="Q422" s="131">
        <v>17</v>
      </c>
    </row>
    <row r="423" spans="1:17" ht="15.75" thickTop="1" x14ac:dyDescent="0.25">
      <c r="A423" s="83">
        <v>1</v>
      </c>
      <c r="B423" s="7" t="s">
        <v>18</v>
      </c>
      <c r="C423" s="177">
        <v>0</v>
      </c>
      <c r="D423" s="177">
        <v>0</v>
      </c>
      <c r="E423" s="177"/>
      <c r="F423" s="136">
        <f>'kc ijo'!C75</f>
        <v>0</v>
      </c>
      <c r="G423" s="136">
        <f>'kc ijo'!D75</f>
        <v>0</v>
      </c>
      <c r="H423" s="136">
        <f>'kc ijo'!E75</f>
        <v>0</v>
      </c>
      <c r="I423" s="173">
        <f>SUM(C423:H423)</f>
        <v>0</v>
      </c>
      <c r="J423" s="156">
        <f>'kc ijo'!F75</f>
        <v>0.8</v>
      </c>
      <c r="K423" s="156">
        <f>'kc ijo'!G75</f>
        <v>4</v>
      </c>
      <c r="L423" s="156">
        <f>'kc ijo'!H75</f>
        <v>0</v>
      </c>
      <c r="M423" s="156">
        <f>'kc ijo'!I75</f>
        <v>0</v>
      </c>
      <c r="N423" s="156">
        <f>'kc ijo'!J75</f>
        <v>0</v>
      </c>
      <c r="O423" s="156">
        <f>'kc ijo'!K75</f>
        <v>0</v>
      </c>
      <c r="P423" s="124">
        <f>SUM(J423:O423)</f>
        <v>4.8</v>
      </c>
      <c r="Q423" s="188">
        <f>SUM(I423,P423)</f>
        <v>4.8</v>
      </c>
    </row>
    <row r="424" spans="1:17" x14ac:dyDescent="0.25">
      <c r="A424" s="84">
        <v>2</v>
      </c>
      <c r="B424" s="12" t="s">
        <v>19</v>
      </c>
      <c r="C424" s="178">
        <v>0</v>
      </c>
      <c r="D424" s="178">
        <v>0</v>
      </c>
      <c r="E424" s="178">
        <v>0</v>
      </c>
      <c r="F424" s="59">
        <f>'kc ijo'!C76</f>
        <v>0</v>
      </c>
      <c r="G424" s="59">
        <f>'kc ijo'!D76</f>
        <v>0</v>
      </c>
      <c r="H424" s="155">
        <f>'kc ijo'!E76</f>
        <v>0.9</v>
      </c>
      <c r="I424" s="174">
        <f t="shared" ref="I424:I430" si="169">SUM(C424:H424)</f>
        <v>0.9</v>
      </c>
      <c r="J424" s="223">
        <f>'kc ijo'!F76</f>
        <v>0</v>
      </c>
      <c r="K424" s="132">
        <f>'kc ijo'!G76</f>
        <v>0</v>
      </c>
      <c r="L424" s="132">
        <f>'kc ijo'!H76</f>
        <v>0</v>
      </c>
      <c r="M424" s="132">
        <f>'kc ijo'!I76</f>
        <v>0</v>
      </c>
      <c r="N424" s="132">
        <f>'kc ijo'!J76</f>
        <v>0</v>
      </c>
      <c r="O424" s="157">
        <f>'kc ijo'!K76</f>
        <v>0</v>
      </c>
      <c r="P424" s="125">
        <f t="shared" ref="P424:P429" si="170">SUM(J424:O424)</f>
        <v>0</v>
      </c>
      <c r="Q424" s="189">
        <f t="shared" ref="Q424:Q430" si="171">SUM(I424,P424)</f>
        <v>0.9</v>
      </c>
    </row>
    <row r="425" spans="1:17" x14ac:dyDescent="0.25">
      <c r="A425" s="84">
        <v>3</v>
      </c>
      <c r="B425" s="7" t="s">
        <v>20</v>
      </c>
      <c r="C425" s="178">
        <v>0</v>
      </c>
      <c r="D425" s="178">
        <v>0</v>
      </c>
      <c r="E425" s="178">
        <v>0</v>
      </c>
      <c r="F425" s="59">
        <f>'kc ijo'!C77</f>
        <v>0</v>
      </c>
      <c r="G425" s="59">
        <f>'kc ijo'!D77</f>
        <v>0</v>
      </c>
      <c r="H425" s="155">
        <f>'kc ijo'!E77</f>
        <v>0</v>
      </c>
      <c r="I425" s="174">
        <f t="shared" si="169"/>
        <v>0</v>
      </c>
      <c r="J425" s="223">
        <f>'kc ijo'!F77</f>
        <v>0</v>
      </c>
      <c r="K425" s="132">
        <f>'kc ijo'!G77</f>
        <v>0</v>
      </c>
      <c r="L425" s="132">
        <f>'kc ijo'!H77</f>
        <v>0</v>
      </c>
      <c r="M425" s="132">
        <f>'kc ijo'!I77</f>
        <v>0</v>
      </c>
      <c r="N425" s="132">
        <f>'kc ijo'!J77</f>
        <v>0</v>
      </c>
      <c r="O425" s="157">
        <f>'kc ijo'!K77</f>
        <v>0</v>
      </c>
      <c r="P425" s="125">
        <f t="shared" si="170"/>
        <v>0</v>
      </c>
      <c r="Q425" s="189">
        <f t="shared" si="171"/>
        <v>0</v>
      </c>
    </row>
    <row r="426" spans="1:17" x14ac:dyDescent="0.25">
      <c r="A426" s="85">
        <v>4</v>
      </c>
      <c r="B426" s="15" t="s">
        <v>21</v>
      </c>
      <c r="C426" s="178">
        <v>0</v>
      </c>
      <c r="D426" s="178">
        <v>0</v>
      </c>
      <c r="E426" s="178">
        <v>0.6</v>
      </c>
      <c r="F426" s="59">
        <f>'kc ijo'!C78</f>
        <v>0</v>
      </c>
      <c r="G426" s="59">
        <f>'kc ijo'!D78</f>
        <v>0</v>
      </c>
      <c r="H426" s="155">
        <f>'kc ijo'!E78</f>
        <v>9</v>
      </c>
      <c r="I426" s="174">
        <f t="shared" si="169"/>
        <v>9.6</v>
      </c>
      <c r="J426" s="223">
        <f>'kc ijo'!F78</f>
        <v>0</v>
      </c>
      <c r="K426" s="132">
        <f>'kc ijo'!G78</f>
        <v>0</v>
      </c>
      <c r="L426" s="132">
        <f>'kc ijo'!H78</f>
        <v>8.1999999999999993</v>
      </c>
      <c r="M426" s="132">
        <f>'kc ijo'!I78</f>
        <v>8.1999999999999993</v>
      </c>
      <c r="N426" s="132">
        <f>'kc ijo'!J78</f>
        <v>0</v>
      </c>
      <c r="O426" s="157">
        <f>'kc ijo'!K78</f>
        <v>0</v>
      </c>
      <c r="P426" s="125">
        <f t="shared" si="170"/>
        <v>16.399999999999999</v>
      </c>
      <c r="Q426" s="189">
        <f t="shared" si="171"/>
        <v>26</v>
      </c>
    </row>
    <row r="427" spans="1:17" x14ac:dyDescent="0.25">
      <c r="A427" s="85">
        <v>5</v>
      </c>
      <c r="B427" s="19" t="s">
        <v>22</v>
      </c>
      <c r="C427" s="178">
        <v>0</v>
      </c>
      <c r="D427" s="178">
        <v>0</v>
      </c>
      <c r="E427" s="178">
        <v>0</v>
      </c>
      <c r="F427" s="59">
        <f>'kc ijo'!C79</f>
        <v>0</v>
      </c>
      <c r="G427" s="59">
        <f>'kc ijo'!D79</f>
        <v>0</v>
      </c>
      <c r="H427" s="155">
        <f>'kc ijo'!E79</f>
        <v>0</v>
      </c>
      <c r="I427" s="174">
        <f t="shared" si="169"/>
        <v>0</v>
      </c>
      <c r="J427" s="223">
        <f>'kc ijo'!F79</f>
        <v>0</v>
      </c>
      <c r="K427" s="132">
        <f>'kc ijo'!G79</f>
        <v>0</v>
      </c>
      <c r="L427" s="132">
        <f>'kc ijo'!H79</f>
        <v>0</v>
      </c>
      <c r="M427" s="132">
        <f>'kc ijo'!I79</f>
        <v>0</v>
      </c>
      <c r="N427" s="132">
        <f>'kc ijo'!J79</f>
        <v>0</v>
      </c>
      <c r="O427" s="157">
        <f>'kc ijo'!K79</f>
        <v>0</v>
      </c>
      <c r="P427" s="125">
        <f t="shared" si="170"/>
        <v>0</v>
      </c>
      <c r="Q427" s="189">
        <f t="shared" si="171"/>
        <v>0</v>
      </c>
    </row>
    <row r="428" spans="1:17" x14ac:dyDescent="0.25">
      <c r="A428" s="85">
        <v>6</v>
      </c>
      <c r="B428" s="19" t="s">
        <v>23</v>
      </c>
      <c r="C428" s="178">
        <v>0</v>
      </c>
      <c r="D428" s="178">
        <v>0</v>
      </c>
      <c r="E428" s="178">
        <v>0</v>
      </c>
      <c r="F428" s="59">
        <f>'kc ijo'!C80</f>
        <v>0</v>
      </c>
      <c r="G428" s="59">
        <f>'kc ijo'!D80</f>
        <v>0</v>
      </c>
      <c r="H428" s="155">
        <f>'kc ijo'!E80</f>
        <v>0</v>
      </c>
      <c r="I428" s="174">
        <f t="shared" si="169"/>
        <v>0</v>
      </c>
      <c r="J428" s="223">
        <f>'kc ijo'!F80</f>
        <v>0</v>
      </c>
      <c r="K428" s="132">
        <f>'kc ijo'!G80</f>
        <v>0</v>
      </c>
      <c r="L428" s="132">
        <f>'kc ijo'!H80</f>
        <v>0</v>
      </c>
      <c r="M428" s="132">
        <f>'kc ijo'!I80</f>
        <v>0</v>
      </c>
      <c r="N428" s="132">
        <f>'kc ijo'!J80</f>
        <v>0</v>
      </c>
      <c r="O428" s="157">
        <f>'kc ijo'!K80</f>
        <v>0</v>
      </c>
      <c r="P428" s="125">
        <f t="shared" si="170"/>
        <v>0</v>
      </c>
      <c r="Q428" s="189">
        <f t="shared" si="171"/>
        <v>0</v>
      </c>
    </row>
    <row r="429" spans="1:17" x14ac:dyDescent="0.25">
      <c r="A429" s="85">
        <v>7</v>
      </c>
      <c r="B429" s="19" t="s">
        <v>24</v>
      </c>
      <c r="C429" s="178">
        <v>0</v>
      </c>
      <c r="D429" s="178">
        <v>0</v>
      </c>
      <c r="E429" s="178">
        <v>0</v>
      </c>
      <c r="F429" s="59">
        <f>'kc ijo'!C81</f>
        <v>0</v>
      </c>
      <c r="G429" s="59">
        <f>'kc ijo'!D81</f>
        <v>0</v>
      </c>
      <c r="H429" s="155">
        <f>'kc ijo'!E81</f>
        <v>0</v>
      </c>
      <c r="I429" s="174">
        <f t="shared" si="169"/>
        <v>0</v>
      </c>
      <c r="J429" s="223">
        <f>'kc ijo'!F81</f>
        <v>0</v>
      </c>
      <c r="K429" s="132">
        <f>'kc ijo'!G81</f>
        <v>0</v>
      </c>
      <c r="L429" s="132">
        <f>'kc ijo'!H81</f>
        <v>0</v>
      </c>
      <c r="M429" s="132">
        <f>'kc ijo'!I81</f>
        <v>0</v>
      </c>
      <c r="N429" s="132">
        <f>'kc ijo'!J81</f>
        <v>0</v>
      </c>
      <c r="O429" s="157">
        <f>'kc ijo'!K81</f>
        <v>0</v>
      </c>
      <c r="P429" s="125">
        <f t="shared" si="170"/>
        <v>0</v>
      </c>
      <c r="Q429" s="189">
        <f t="shared" si="171"/>
        <v>0</v>
      </c>
    </row>
    <row r="430" spans="1:17" ht="15.75" thickBot="1" x14ac:dyDescent="0.3">
      <c r="A430" s="86">
        <v>8</v>
      </c>
      <c r="B430" s="15" t="s">
        <v>25</v>
      </c>
      <c r="C430" s="171">
        <v>0.3</v>
      </c>
      <c r="D430" s="171">
        <v>0</v>
      </c>
      <c r="E430" s="171">
        <v>0</v>
      </c>
      <c r="F430" s="137">
        <f>'kc ijo'!C82</f>
        <v>0</v>
      </c>
      <c r="G430" s="137">
        <f>'kc ijo'!D82</f>
        <v>0.8</v>
      </c>
      <c r="H430" s="137">
        <f>'kc ijo'!E82</f>
        <v>0</v>
      </c>
      <c r="I430" s="175">
        <f t="shared" si="169"/>
        <v>1.1000000000000001</v>
      </c>
      <c r="J430" s="232">
        <f>'kc ijo'!F82</f>
        <v>0</v>
      </c>
      <c r="K430" s="232">
        <f>'kc ijo'!G82</f>
        <v>0</v>
      </c>
      <c r="L430" s="232">
        <f>'kc ijo'!H82</f>
        <v>0.8</v>
      </c>
      <c r="M430" s="232">
        <f>'kc ijo'!I82</f>
        <v>0</v>
      </c>
      <c r="N430" s="232">
        <f>'kc ijo'!J82</f>
        <v>0</v>
      </c>
      <c r="O430" s="232">
        <f>'kc ijo'!K82</f>
        <v>0</v>
      </c>
      <c r="P430" s="126">
        <f>SUM(J430:O430)</f>
        <v>0.8</v>
      </c>
      <c r="Q430" s="190">
        <f t="shared" si="171"/>
        <v>1.9000000000000001</v>
      </c>
    </row>
    <row r="431" spans="1:17" ht="16.5" thickTop="1" thickBot="1" x14ac:dyDescent="0.3">
      <c r="A431" s="339" t="s">
        <v>26</v>
      </c>
      <c r="B431" s="340"/>
      <c r="C431" s="172">
        <f t="shared" ref="C431:H431" si="172">SUM(C423:C430)</f>
        <v>0.3</v>
      </c>
      <c r="D431" s="172">
        <f t="shared" si="172"/>
        <v>0</v>
      </c>
      <c r="E431" s="172">
        <f t="shared" si="172"/>
        <v>0.6</v>
      </c>
      <c r="F431" s="112">
        <f t="shared" si="172"/>
        <v>0</v>
      </c>
      <c r="G431" s="112">
        <f t="shared" si="172"/>
        <v>0.8</v>
      </c>
      <c r="H431" s="121">
        <f t="shared" si="172"/>
        <v>9.9</v>
      </c>
      <c r="I431" s="176">
        <f>SUM(I423:I430)</f>
        <v>11.6</v>
      </c>
      <c r="J431" s="133">
        <f t="shared" ref="J431:O431" si="173">SUM(J423:J430)</f>
        <v>0.8</v>
      </c>
      <c r="K431" s="112">
        <f t="shared" si="173"/>
        <v>4</v>
      </c>
      <c r="L431" s="112">
        <f t="shared" si="173"/>
        <v>9</v>
      </c>
      <c r="M431" s="112">
        <f t="shared" si="173"/>
        <v>8.1999999999999993</v>
      </c>
      <c r="N431" s="112">
        <f t="shared" si="173"/>
        <v>0</v>
      </c>
      <c r="O431" s="121">
        <f t="shared" si="173"/>
        <v>0</v>
      </c>
      <c r="P431" s="123">
        <f>SUM(P423:P430)</f>
        <v>22</v>
      </c>
      <c r="Q431" s="203">
        <f>SUM(Q423:Q430)</f>
        <v>33.6</v>
      </c>
    </row>
    <row r="433" spans="1:17" ht="15.75" x14ac:dyDescent="0.25">
      <c r="A433" s="341" t="s">
        <v>174</v>
      </c>
      <c r="B433" s="341"/>
      <c r="C433" s="341"/>
      <c r="D433" s="341"/>
      <c r="E433" s="341"/>
      <c r="F433" s="341"/>
      <c r="G433" s="341"/>
      <c r="H433" s="341"/>
      <c r="I433" s="341"/>
      <c r="J433" s="341"/>
      <c r="K433" s="341"/>
      <c r="L433" s="341"/>
      <c r="M433" s="341"/>
      <c r="N433" s="341"/>
      <c r="O433" s="341"/>
      <c r="P433" s="341"/>
      <c r="Q433" s="341"/>
    </row>
    <row r="434" spans="1:17" ht="15.75" x14ac:dyDescent="0.25">
      <c r="A434" s="341" t="s">
        <v>81</v>
      </c>
      <c r="B434" s="341"/>
      <c r="C434" s="341"/>
      <c r="D434" s="341"/>
      <c r="E434" s="341"/>
      <c r="F434" s="341"/>
      <c r="G434" s="341"/>
      <c r="H434" s="341"/>
      <c r="I434" s="341"/>
      <c r="J434" s="341"/>
      <c r="K434" s="341"/>
      <c r="L434" s="341"/>
      <c r="M434" s="341"/>
      <c r="N434" s="341"/>
      <c r="O434" s="341"/>
      <c r="P434" s="341"/>
      <c r="Q434" s="341"/>
    </row>
    <row r="435" spans="1:17" ht="15.75" thickBot="1" x14ac:dyDescent="0.3">
      <c r="Q435" s="75" t="s">
        <v>31</v>
      </c>
    </row>
    <row r="436" spans="1:17" x14ac:dyDescent="0.25">
      <c r="A436" s="334" t="s">
        <v>2</v>
      </c>
      <c r="B436" s="336" t="s">
        <v>3</v>
      </c>
      <c r="C436" s="342" t="s">
        <v>183</v>
      </c>
      <c r="D436" s="343"/>
      <c r="E436" s="343"/>
      <c r="F436" s="343"/>
      <c r="G436" s="343"/>
      <c r="H436" s="344"/>
      <c r="I436" s="345" t="s">
        <v>82</v>
      </c>
      <c r="J436" s="347">
        <v>2020</v>
      </c>
      <c r="K436" s="343"/>
      <c r="L436" s="343"/>
      <c r="M436" s="343"/>
      <c r="N436" s="343"/>
      <c r="O436" s="344"/>
      <c r="P436" s="345" t="s">
        <v>83</v>
      </c>
      <c r="Q436" s="348" t="s">
        <v>5</v>
      </c>
    </row>
    <row r="437" spans="1:17" x14ac:dyDescent="0.25">
      <c r="A437" s="335"/>
      <c r="B437" s="324"/>
      <c r="C437" s="300" t="s">
        <v>15</v>
      </c>
      <c r="D437" s="300" t="s">
        <v>16</v>
      </c>
      <c r="E437" s="300" t="s">
        <v>17</v>
      </c>
      <c r="F437" s="300" t="s">
        <v>6</v>
      </c>
      <c r="G437" s="300" t="s">
        <v>76</v>
      </c>
      <c r="H437" s="119" t="s">
        <v>77</v>
      </c>
      <c r="I437" s="346"/>
      <c r="J437" s="109" t="s">
        <v>78</v>
      </c>
      <c r="K437" s="300" t="s">
        <v>10</v>
      </c>
      <c r="L437" s="300" t="s">
        <v>11</v>
      </c>
      <c r="M437" s="300" t="s">
        <v>12</v>
      </c>
      <c r="N437" s="300" t="s">
        <v>79</v>
      </c>
      <c r="O437" s="119" t="s">
        <v>80</v>
      </c>
      <c r="P437" s="346"/>
      <c r="Q437" s="349"/>
    </row>
    <row r="438" spans="1:17" ht="15.75" thickBot="1" x14ac:dyDescent="0.3">
      <c r="A438" s="111">
        <v>1</v>
      </c>
      <c r="B438" s="5">
        <v>2</v>
      </c>
      <c r="C438" s="5">
        <v>3</v>
      </c>
      <c r="D438" s="5">
        <v>4</v>
      </c>
      <c r="E438" s="5">
        <v>5</v>
      </c>
      <c r="F438" s="5">
        <v>6</v>
      </c>
      <c r="G438" s="5">
        <v>7</v>
      </c>
      <c r="H438" s="120">
        <v>8</v>
      </c>
      <c r="I438" s="122">
        <v>9</v>
      </c>
      <c r="J438" s="110">
        <v>10</v>
      </c>
      <c r="K438" s="5">
        <v>11</v>
      </c>
      <c r="L438" s="5">
        <v>12</v>
      </c>
      <c r="M438" s="5">
        <v>13</v>
      </c>
      <c r="N438" s="5">
        <v>14</v>
      </c>
      <c r="O438" s="120">
        <v>15</v>
      </c>
      <c r="P438" s="122">
        <v>16</v>
      </c>
      <c r="Q438" s="131">
        <v>17</v>
      </c>
    </row>
    <row r="439" spans="1:17" ht="15.75" thickTop="1" x14ac:dyDescent="0.25">
      <c r="A439" s="83">
        <v>1</v>
      </c>
      <c r="B439" s="7" t="s">
        <v>18</v>
      </c>
      <c r="C439" s="179">
        <v>0</v>
      </c>
      <c r="D439" s="179">
        <v>75</v>
      </c>
      <c r="E439" s="179">
        <v>0</v>
      </c>
      <c r="F439" s="179" t="e">
        <f>F295/F151*10</f>
        <v>#DIV/0!</v>
      </c>
      <c r="G439" s="179">
        <v>0</v>
      </c>
      <c r="H439" s="179" t="e">
        <f>H295/H151*10</f>
        <v>#DIV/0!</v>
      </c>
      <c r="I439" s="187">
        <f>I295/I151*10</f>
        <v>74.444444444444443</v>
      </c>
      <c r="J439" s="197">
        <f>J295/J151*10</f>
        <v>55.531034482758628</v>
      </c>
      <c r="K439" s="197">
        <f t="shared" ref="K439:O439" si="174">K295/K151*10</f>
        <v>57.215384615384615</v>
      </c>
      <c r="L439" s="197" t="e">
        <f t="shared" si="174"/>
        <v>#DIV/0!</v>
      </c>
      <c r="M439" s="197" t="e">
        <f t="shared" si="174"/>
        <v>#DIV/0!</v>
      </c>
      <c r="N439" s="197">
        <f t="shared" si="174"/>
        <v>59.25</v>
      </c>
      <c r="O439" s="197">
        <f t="shared" si="174"/>
        <v>55.266666666666666</v>
      </c>
      <c r="P439" s="187">
        <f>P295/P151*10</f>
        <v>56.156363636363629</v>
      </c>
      <c r="Q439" s="187">
        <f>Q295/Q151*10</f>
        <v>56.735915492957744</v>
      </c>
    </row>
    <row r="440" spans="1:17" x14ac:dyDescent="0.25">
      <c r="A440" s="84">
        <v>2</v>
      </c>
      <c r="B440" s="12" t="s">
        <v>19</v>
      </c>
      <c r="C440" s="180">
        <v>76.510000000000005</v>
      </c>
      <c r="D440" s="180">
        <v>60</v>
      </c>
      <c r="E440" s="180">
        <v>61.25</v>
      </c>
      <c r="F440" s="240">
        <f t="shared" ref="F440:H440" si="175">F296/F152*10</f>
        <v>60.5</v>
      </c>
      <c r="G440" s="240" t="e">
        <f t="shared" si="175"/>
        <v>#DIV/0!</v>
      </c>
      <c r="H440" s="240">
        <f t="shared" si="175"/>
        <v>62.5</v>
      </c>
      <c r="I440" s="241">
        <f t="shared" ref="I440:I446" si="176">I296/I152*10</f>
        <v>71.555555555555557</v>
      </c>
      <c r="J440" s="242">
        <f t="shared" ref="J440:Q440" si="177">J296/J152*10</f>
        <v>65.715686274509807</v>
      </c>
      <c r="K440" s="242">
        <f t="shared" si="177"/>
        <v>64.753086419753089</v>
      </c>
      <c r="L440" s="242" t="e">
        <f t="shared" si="177"/>
        <v>#DIV/0!</v>
      </c>
      <c r="M440" s="242">
        <f t="shared" si="177"/>
        <v>62.400000000000006</v>
      </c>
      <c r="N440" s="242">
        <f t="shared" si="177"/>
        <v>65.10526315789474</v>
      </c>
      <c r="O440" s="243">
        <f t="shared" si="177"/>
        <v>65.166666666666671</v>
      </c>
      <c r="P440" s="241">
        <f t="shared" si="177"/>
        <v>65.192982456140356</v>
      </c>
      <c r="Q440" s="241">
        <f t="shared" si="177"/>
        <v>66.601092896174862</v>
      </c>
    </row>
    <row r="441" spans="1:17" x14ac:dyDescent="0.25">
      <c r="A441" s="84">
        <v>3</v>
      </c>
      <c r="B441" s="7" t="s">
        <v>20</v>
      </c>
      <c r="C441" s="180">
        <v>0</v>
      </c>
      <c r="D441" s="180">
        <v>0</v>
      </c>
      <c r="E441" s="180">
        <v>0</v>
      </c>
      <c r="F441" s="240">
        <v>0</v>
      </c>
      <c r="G441" s="240" t="e">
        <f>G297/G153*10</f>
        <v>#DIV/0!</v>
      </c>
      <c r="H441" s="240" t="e">
        <f>H297/H153*10</f>
        <v>#DIV/0!</v>
      </c>
      <c r="I441" s="241" t="e">
        <f t="shared" si="176"/>
        <v>#DIV/0!</v>
      </c>
      <c r="J441" s="242">
        <f>J297/J153*10</f>
        <v>58</v>
      </c>
      <c r="K441" s="242">
        <v>0</v>
      </c>
      <c r="L441" s="242" t="e">
        <f t="shared" ref="L441:Q441" si="178">L297/L153*10</f>
        <v>#DIV/0!</v>
      </c>
      <c r="M441" s="242" t="e">
        <f t="shared" si="178"/>
        <v>#DIV/0!</v>
      </c>
      <c r="N441" s="242">
        <f t="shared" si="178"/>
        <v>59.3</v>
      </c>
      <c r="O441" s="243" t="e">
        <f t="shared" si="178"/>
        <v>#DIV/0!</v>
      </c>
      <c r="P441" s="241">
        <f t="shared" si="178"/>
        <v>58.371428571428574</v>
      </c>
      <c r="Q441" s="241">
        <f t="shared" si="178"/>
        <v>58.371428571428574</v>
      </c>
    </row>
    <row r="442" spans="1:17" x14ac:dyDescent="0.25">
      <c r="A442" s="85">
        <v>4</v>
      </c>
      <c r="B442" s="15" t="s">
        <v>21</v>
      </c>
      <c r="C442" s="180">
        <v>0</v>
      </c>
      <c r="D442" s="180">
        <v>69.36</v>
      </c>
      <c r="E442" s="180">
        <v>85.68</v>
      </c>
      <c r="F442" s="240" t="e">
        <f>F298/F154*10</f>
        <v>#DIV/0!</v>
      </c>
      <c r="G442" s="240">
        <v>0</v>
      </c>
      <c r="H442" s="240" t="e">
        <f>H298/H154*10</f>
        <v>#DIV/0!</v>
      </c>
      <c r="I442" s="241">
        <f t="shared" si="176"/>
        <v>83.333333333333343</v>
      </c>
      <c r="J442" s="242">
        <f t="shared" ref="J442:Q442" si="179">J298/J154*10</f>
        <v>56.777173913043484</v>
      </c>
      <c r="K442" s="242" t="e">
        <f t="shared" si="179"/>
        <v>#DIV/0!</v>
      </c>
      <c r="L442" s="242" t="e">
        <f t="shared" si="179"/>
        <v>#DIV/0!</v>
      </c>
      <c r="M442" s="242">
        <f t="shared" si="179"/>
        <v>62.333333333333336</v>
      </c>
      <c r="N442" s="242">
        <f t="shared" si="179"/>
        <v>63</v>
      </c>
      <c r="O442" s="243">
        <f t="shared" si="179"/>
        <v>63.4</v>
      </c>
      <c r="P442" s="241">
        <f t="shared" si="179"/>
        <v>57.331683168316836</v>
      </c>
      <c r="Q442" s="241">
        <f t="shared" si="179"/>
        <v>58.081730769230774</v>
      </c>
    </row>
    <row r="443" spans="1:17" x14ac:dyDescent="0.25">
      <c r="A443" s="85">
        <v>5</v>
      </c>
      <c r="B443" s="19" t="s">
        <v>22</v>
      </c>
      <c r="C443" s="180">
        <v>0</v>
      </c>
      <c r="D443" s="180">
        <v>0</v>
      </c>
      <c r="E443" s="180">
        <v>68</v>
      </c>
      <c r="F443" s="240">
        <v>0</v>
      </c>
      <c r="G443" s="240" t="e">
        <f>G299/G155*10</f>
        <v>#DIV/0!</v>
      </c>
      <c r="H443" s="240" t="e">
        <f>H299/H155*10</f>
        <v>#DIV/0!</v>
      </c>
      <c r="I443" s="241">
        <f t="shared" si="176"/>
        <v>68</v>
      </c>
      <c r="J443" s="242">
        <f>J299/J155*10</f>
        <v>56.253086419753082</v>
      </c>
      <c r="K443" s="242">
        <v>0</v>
      </c>
      <c r="L443" s="242" t="e">
        <f t="shared" ref="L443:Q444" si="180">L299/L155*10</f>
        <v>#DIV/0!</v>
      </c>
      <c r="M443" s="242" t="e">
        <f t="shared" si="180"/>
        <v>#DIV/0!</v>
      </c>
      <c r="N443" s="242" t="e">
        <f t="shared" si="180"/>
        <v>#DIV/0!</v>
      </c>
      <c r="O443" s="243">
        <f t="shared" si="180"/>
        <v>55.266666666666673</v>
      </c>
      <c r="P443" s="241">
        <f t="shared" si="180"/>
        <v>56.169491525423723</v>
      </c>
      <c r="Q443" s="241">
        <f t="shared" si="180"/>
        <v>56.802139037433143</v>
      </c>
    </row>
    <row r="444" spans="1:17" x14ac:dyDescent="0.25">
      <c r="A444" s="85">
        <v>6</v>
      </c>
      <c r="B444" s="19" t="s">
        <v>23</v>
      </c>
      <c r="C444" s="180">
        <v>60.35</v>
      </c>
      <c r="D444" s="180">
        <v>0</v>
      </c>
      <c r="E444" s="180">
        <v>0</v>
      </c>
      <c r="F444" s="240">
        <f>F300/F156*10</f>
        <v>60.2</v>
      </c>
      <c r="G444" s="240" t="e">
        <f>G300/G156*10</f>
        <v>#DIV/0!</v>
      </c>
      <c r="H444" s="240">
        <v>0</v>
      </c>
      <c r="I444" s="241">
        <f t="shared" si="176"/>
        <v>60.090909090909086</v>
      </c>
      <c r="J444" s="242">
        <v>0</v>
      </c>
      <c r="K444" s="242">
        <f>K300/K156*10</f>
        <v>56.666666666666671</v>
      </c>
      <c r="L444" s="242" t="e">
        <f t="shared" si="180"/>
        <v>#DIV/0!</v>
      </c>
      <c r="M444" s="242" t="e">
        <f t="shared" si="180"/>
        <v>#DIV/0!</v>
      </c>
      <c r="N444" s="242">
        <f t="shared" si="180"/>
        <v>61.75</v>
      </c>
      <c r="O444" s="243">
        <f t="shared" si="180"/>
        <v>55.285714285714292</v>
      </c>
      <c r="P444" s="241">
        <f t="shared" si="180"/>
        <v>56.852459016393439</v>
      </c>
      <c r="Q444" s="241">
        <f t="shared" si="180"/>
        <v>57.347222222222214</v>
      </c>
    </row>
    <row r="445" spans="1:17" x14ac:dyDescent="0.25">
      <c r="A445" s="85">
        <v>7</v>
      </c>
      <c r="B445" s="19" t="s">
        <v>24</v>
      </c>
      <c r="C445" s="180">
        <v>57.8</v>
      </c>
      <c r="D445" s="180">
        <v>0</v>
      </c>
      <c r="E445" s="180">
        <v>52.7</v>
      </c>
      <c r="F445" s="240" t="e">
        <f t="shared" ref="F445:H445" si="181">F301/F157*10</f>
        <v>#DIV/0!</v>
      </c>
      <c r="G445" s="240" t="e">
        <f t="shared" si="181"/>
        <v>#DIV/0!</v>
      </c>
      <c r="H445" s="240">
        <f t="shared" si="181"/>
        <v>60.649999999999991</v>
      </c>
      <c r="I445" s="241">
        <f t="shared" si="176"/>
        <v>59</v>
      </c>
      <c r="J445" s="242">
        <f t="shared" ref="J445:Q445" si="182">J301/J157*10</f>
        <v>60.35</v>
      </c>
      <c r="K445" s="242">
        <f t="shared" si="182"/>
        <v>65</v>
      </c>
      <c r="L445" s="242" t="e">
        <f t="shared" si="182"/>
        <v>#DIV/0!</v>
      </c>
      <c r="M445" s="242" t="e">
        <f t="shared" si="182"/>
        <v>#DIV/0!</v>
      </c>
      <c r="N445" s="242">
        <f t="shared" si="182"/>
        <v>62</v>
      </c>
      <c r="O445" s="243">
        <f t="shared" si="182"/>
        <v>59.847826086956523</v>
      </c>
      <c r="P445" s="241">
        <f t="shared" si="182"/>
        <v>61.313402061855669</v>
      </c>
      <c r="Q445" s="241">
        <f t="shared" si="182"/>
        <v>61.19140625</v>
      </c>
    </row>
    <row r="446" spans="1:17" ht="15.75" thickBot="1" x14ac:dyDescent="0.3">
      <c r="A446" s="86">
        <v>8</v>
      </c>
      <c r="B446" s="15" t="s">
        <v>25</v>
      </c>
      <c r="C446" s="181">
        <v>0</v>
      </c>
      <c r="D446" s="181">
        <v>63.75</v>
      </c>
      <c r="E446" s="181">
        <v>65</v>
      </c>
      <c r="F446" s="181">
        <f t="shared" ref="F446:H446" si="183">F302/F158*10</f>
        <v>60.263157894736842</v>
      </c>
      <c r="G446" s="181">
        <f t="shared" si="183"/>
        <v>60.3</v>
      </c>
      <c r="H446" s="181" t="e">
        <f t="shared" si="183"/>
        <v>#DIV/0!</v>
      </c>
      <c r="I446" s="194">
        <f t="shared" si="176"/>
        <v>63.057692307692299</v>
      </c>
      <c r="J446" s="225">
        <v>0</v>
      </c>
      <c r="K446" s="225">
        <f t="shared" ref="K446:Q446" si="184">K302/K158*10</f>
        <v>60.199999999999996</v>
      </c>
      <c r="L446" s="225" t="e">
        <f t="shared" si="184"/>
        <v>#DIV/0!</v>
      </c>
      <c r="M446" s="225">
        <f t="shared" si="184"/>
        <v>61.489361702127653</v>
      </c>
      <c r="N446" s="225">
        <f t="shared" si="184"/>
        <v>61.194029850746276</v>
      </c>
      <c r="O446" s="225">
        <f t="shared" si="184"/>
        <v>65.23</v>
      </c>
      <c r="P446" s="194">
        <f t="shared" si="184"/>
        <v>61.772277227722782</v>
      </c>
      <c r="Q446" s="194">
        <f t="shared" si="184"/>
        <v>62.100737100737106</v>
      </c>
    </row>
    <row r="447" spans="1:17" ht="16.5" thickTop="1" thickBot="1" x14ac:dyDescent="0.3">
      <c r="A447" s="339" t="s">
        <v>26</v>
      </c>
      <c r="B447" s="340"/>
      <c r="C447" s="182" t="e">
        <f>C303/#REF!*10</f>
        <v>#REF!</v>
      </c>
      <c r="D447" s="182" t="e">
        <f>D303/#REF!*10</f>
        <v>#REF!</v>
      </c>
      <c r="E447" s="182" t="e">
        <f>E303/#REF!*10</f>
        <v>#REF!</v>
      </c>
      <c r="F447" s="182">
        <f>F303/F159*10</f>
        <v>60.269230769230766</v>
      </c>
      <c r="G447" s="182">
        <f t="shared" ref="G447:Q447" si="185">G303/G159*10</f>
        <v>60.3</v>
      </c>
      <c r="H447" s="182">
        <f t="shared" si="185"/>
        <v>61.411764705882355</v>
      </c>
      <c r="I447" s="182">
        <f t="shared" si="185"/>
        <v>66.362903225806448</v>
      </c>
      <c r="J447" s="182">
        <f t="shared" si="185"/>
        <v>58.357305936073054</v>
      </c>
      <c r="K447" s="182">
        <f t="shared" si="185"/>
        <v>62.107033639143729</v>
      </c>
      <c r="L447" s="182" t="e">
        <f t="shared" si="185"/>
        <v>#DIV/0!</v>
      </c>
      <c r="M447" s="182">
        <f t="shared" si="185"/>
        <v>61.61818181818181</v>
      </c>
      <c r="N447" s="182">
        <f t="shared" si="185"/>
        <v>61.480916030534345</v>
      </c>
      <c r="O447" s="182">
        <f t="shared" si="185"/>
        <v>61.377880184331801</v>
      </c>
      <c r="P447" s="182">
        <f t="shared" si="185"/>
        <v>60.07185957213386</v>
      </c>
      <c r="Q447" s="182">
        <f t="shared" si="185"/>
        <v>60.825205214872042</v>
      </c>
    </row>
    <row r="449" spans="1:17" ht="15.75" x14ac:dyDescent="0.25">
      <c r="A449" s="341" t="s">
        <v>175</v>
      </c>
      <c r="B449" s="341"/>
      <c r="C449" s="341"/>
      <c r="D449" s="341"/>
      <c r="E449" s="341"/>
      <c r="F449" s="341"/>
      <c r="G449" s="341"/>
      <c r="H449" s="341"/>
      <c r="I449" s="341"/>
      <c r="J449" s="341"/>
      <c r="K449" s="341"/>
      <c r="L449" s="341"/>
      <c r="M449" s="341"/>
      <c r="N449" s="341"/>
      <c r="O449" s="341"/>
      <c r="P449" s="341"/>
      <c r="Q449" s="341"/>
    </row>
    <row r="450" spans="1:17" ht="15.75" x14ac:dyDescent="0.25">
      <c r="A450" s="341" t="s">
        <v>81</v>
      </c>
      <c r="B450" s="341"/>
      <c r="C450" s="341"/>
      <c r="D450" s="341"/>
      <c r="E450" s="341"/>
      <c r="F450" s="341"/>
      <c r="G450" s="341"/>
      <c r="H450" s="341"/>
      <c r="I450" s="341"/>
      <c r="J450" s="341"/>
      <c r="K450" s="341"/>
      <c r="L450" s="341"/>
      <c r="M450" s="341"/>
      <c r="N450" s="341"/>
      <c r="O450" s="341"/>
      <c r="P450" s="341"/>
      <c r="Q450" s="341"/>
    </row>
    <row r="451" spans="1:17" ht="15.75" thickBot="1" x14ac:dyDescent="0.3">
      <c r="Q451" s="75" t="s">
        <v>31</v>
      </c>
    </row>
    <row r="452" spans="1:17" x14ac:dyDescent="0.25">
      <c r="A452" s="334" t="s">
        <v>2</v>
      </c>
      <c r="B452" s="336" t="s">
        <v>3</v>
      </c>
      <c r="C452" s="342" t="s">
        <v>183</v>
      </c>
      <c r="D452" s="343"/>
      <c r="E452" s="343"/>
      <c r="F452" s="343"/>
      <c r="G452" s="343"/>
      <c r="H452" s="344"/>
      <c r="I452" s="345" t="s">
        <v>82</v>
      </c>
      <c r="J452" s="347">
        <v>2020</v>
      </c>
      <c r="K452" s="343"/>
      <c r="L452" s="343"/>
      <c r="M452" s="343"/>
      <c r="N452" s="343"/>
      <c r="O452" s="344"/>
      <c r="P452" s="345" t="s">
        <v>83</v>
      </c>
      <c r="Q452" s="348" t="s">
        <v>5</v>
      </c>
    </row>
    <row r="453" spans="1:17" x14ac:dyDescent="0.25">
      <c r="A453" s="335"/>
      <c r="B453" s="324"/>
      <c r="C453" s="300" t="s">
        <v>15</v>
      </c>
      <c r="D453" s="300" t="s">
        <v>16</v>
      </c>
      <c r="E453" s="300" t="s">
        <v>17</v>
      </c>
      <c r="F453" s="300" t="s">
        <v>6</v>
      </c>
      <c r="G453" s="300" t="s">
        <v>76</v>
      </c>
      <c r="H453" s="119" t="s">
        <v>77</v>
      </c>
      <c r="I453" s="346"/>
      <c r="J453" s="109" t="s">
        <v>78</v>
      </c>
      <c r="K453" s="300" t="s">
        <v>10</v>
      </c>
      <c r="L453" s="300" t="s">
        <v>11</v>
      </c>
      <c r="M453" s="300" t="s">
        <v>12</v>
      </c>
      <c r="N453" s="300" t="s">
        <v>79</v>
      </c>
      <c r="O453" s="119" t="s">
        <v>80</v>
      </c>
      <c r="P453" s="346"/>
      <c r="Q453" s="349"/>
    </row>
    <row r="454" spans="1:17" ht="15.75" thickBot="1" x14ac:dyDescent="0.3">
      <c r="A454" s="111">
        <v>1</v>
      </c>
      <c r="B454" s="5">
        <v>2</v>
      </c>
      <c r="C454" s="5">
        <v>3</v>
      </c>
      <c r="D454" s="5">
        <v>4</v>
      </c>
      <c r="E454" s="5">
        <v>5</v>
      </c>
      <c r="F454" s="5">
        <v>6</v>
      </c>
      <c r="G454" s="5">
        <v>7</v>
      </c>
      <c r="H454" s="120">
        <v>8</v>
      </c>
      <c r="I454" s="122">
        <v>9</v>
      </c>
      <c r="J454" s="110">
        <v>10</v>
      </c>
      <c r="K454" s="5">
        <v>11</v>
      </c>
      <c r="L454" s="5">
        <v>12</v>
      </c>
      <c r="M454" s="5">
        <v>13</v>
      </c>
      <c r="N454" s="5">
        <v>14</v>
      </c>
      <c r="O454" s="120">
        <v>15</v>
      </c>
      <c r="P454" s="122">
        <v>16</v>
      </c>
      <c r="Q454" s="131">
        <v>17</v>
      </c>
    </row>
    <row r="455" spans="1:17" ht="15.75" thickTop="1" x14ac:dyDescent="0.25">
      <c r="A455" s="83">
        <v>1</v>
      </c>
      <c r="B455" s="7" t="s">
        <v>18</v>
      </c>
      <c r="C455" s="179">
        <v>0</v>
      </c>
      <c r="D455" s="179">
        <v>75</v>
      </c>
      <c r="E455" s="179">
        <v>0</v>
      </c>
      <c r="F455" s="179">
        <f>'padi sawah'!C108</f>
        <v>0</v>
      </c>
      <c r="G455" s="179">
        <f>'padi sawah'!D108</f>
        <v>0</v>
      </c>
      <c r="H455" s="179">
        <f>'padi sawah'!E108</f>
        <v>0</v>
      </c>
      <c r="I455" s="187">
        <f t="shared" ref="I455:I463" si="186">I311/I151*10</f>
        <v>74.444444444444443</v>
      </c>
      <c r="J455" s="197">
        <f>'padi sawah'!F108</f>
        <v>55.53</v>
      </c>
      <c r="K455" s="197">
        <f>'padi sawah'!G108</f>
        <v>57.22</v>
      </c>
      <c r="L455" s="224">
        <f>'padi sawah'!H108</f>
        <v>0</v>
      </c>
      <c r="M455" s="224">
        <f>'padi sawah'!I108</f>
        <v>0</v>
      </c>
      <c r="N455" s="224">
        <f>'padi sawah'!J108</f>
        <v>59.25</v>
      </c>
      <c r="O455" s="224">
        <f>'padi sawah'!K108</f>
        <v>55.27</v>
      </c>
      <c r="P455" s="187">
        <f>SUM(J455:O455)</f>
        <v>227.27</v>
      </c>
      <c r="Q455" s="191">
        <f t="shared" ref="Q455:Q463" si="187">Q311/Q151*10</f>
        <v>56.735915492957744</v>
      </c>
    </row>
    <row r="456" spans="1:17" x14ac:dyDescent="0.25">
      <c r="A456" s="84">
        <v>2</v>
      </c>
      <c r="B456" s="12" t="s">
        <v>19</v>
      </c>
      <c r="C456" s="180">
        <v>76.510000000000005</v>
      </c>
      <c r="D456" s="180">
        <v>60</v>
      </c>
      <c r="E456" s="180">
        <v>61.25</v>
      </c>
      <c r="F456" s="180">
        <f>'padi sawah'!C109</f>
        <v>60.33</v>
      </c>
      <c r="G456" s="180">
        <f>'padi sawah'!D109</f>
        <v>0</v>
      </c>
      <c r="H456" s="180">
        <f>'padi sawah'!E109</f>
        <v>62.52</v>
      </c>
      <c r="I456" s="196">
        <f t="shared" si="186"/>
        <v>71.555555555555557</v>
      </c>
      <c r="J456" s="198">
        <f>'padi sawah'!F109</f>
        <v>65.72</v>
      </c>
      <c r="K456" s="198">
        <f>'padi sawah'!G109</f>
        <v>64.75</v>
      </c>
      <c r="L456" s="230">
        <f>'padi sawah'!H109</f>
        <v>0</v>
      </c>
      <c r="M456" s="230">
        <f>'padi sawah'!I109</f>
        <v>62.51</v>
      </c>
      <c r="N456" s="230">
        <f>'padi sawah'!J109</f>
        <v>65.12</v>
      </c>
      <c r="O456" s="231">
        <f>'padi sawah'!K109</f>
        <v>65.17</v>
      </c>
      <c r="P456" s="196">
        <f t="shared" ref="P456:P461" si="188">SUM(J456:O456)</f>
        <v>323.27000000000004</v>
      </c>
      <c r="Q456" s="192">
        <f t="shared" si="187"/>
        <v>66.601092896174862</v>
      </c>
    </row>
    <row r="457" spans="1:17" x14ac:dyDescent="0.25">
      <c r="A457" s="84">
        <v>3</v>
      </c>
      <c r="B457" s="7" t="s">
        <v>20</v>
      </c>
      <c r="C457" s="180">
        <v>0</v>
      </c>
      <c r="D457" s="180">
        <v>0</v>
      </c>
      <c r="E457" s="180">
        <v>0</v>
      </c>
      <c r="F457" s="180">
        <f>'padi sawah'!C110</f>
        <v>0</v>
      </c>
      <c r="G457" s="180">
        <f>'padi sawah'!D110</f>
        <v>0</v>
      </c>
      <c r="H457" s="180">
        <f>'padi sawah'!E110</f>
        <v>0</v>
      </c>
      <c r="I457" s="196" t="e">
        <f t="shared" si="186"/>
        <v>#DIV/0!</v>
      </c>
      <c r="J457" s="198">
        <f>'padi sawah'!F110</f>
        <v>58</v>
      </c>
      <c r="K457" s="198">
        <f>'padi sawah'!G110</f>
        <v>0</v>
      </c>
      <c r="L457" s="230">
        <f>'padi sawah'!H110</f>
        <v>0</v>
      </c>
      <c r="M457" s="230">
        <f>'padi sawah'!I110</f>
        <v>0</v>
      </c>
      <c r="N457" s="230">
        <f>'padi sawah'!J110</f>
        <v>59.33</v>
      </c>
      <c r="O457" s="231">
        <f>'padi sawah'!K110</f>
        <v>0</v>
      </c>
      <c r="P457" s="196">
        <f t="shared" si="188"/>
        <v>117.33</v>
      </c>
      <c r="Q457" s="192">
        <f t="shared" si="187"/>
        <v>58.371428571428574</v>
      </c>
    </row>
    <row r="458" spans="1:17" x14ac:dyDescent="0.25">
      <c r="A458" s="85">
        <v>4</v>
      </c>
      <c r="B458" s="15" t="s">
        <v>21</v>
      </c>
      <c r="C458" s="180">
        <v>0</v>
      </c>
      <c r="D458" s="180">
        <v>69.36</v>
      </c>
      <c r="E458" s="180">
        <v>85.68</v>
      </c>
      <c r="F458" s="180">
        <f>'padi sawah'!C111</f>
        <v>0</v>
      </c>
      <c r="G458" s="180">
        <f>'padi sawah'!D111</f>
        <v>0</v>
      </c>
      <c r="H458" s="180">
        <f>'padi sawah'!E111</f>
        <v>0</v>
      </c>
      <c r="I458" s="196">
        <f t="shared" si="186"/>
        <v>83.333333333333343</v>
      </c>
      <c r="J458" s="198">
        <f>'padi sawah'!F111</f>
        <v>56.78</v>
      </c>
      <c r="K458" s="198">
        <f>'padi sawah'!G111</f>
        <v>0</v>
      </c>
      <c r="L458" s="230">
        <f>'padi sawah'!H111</f>
        <v>0</v>
      </c>
      <c r="M458" s="230">
        <f>'padi sawah'!I111</f>
        <v>62.25</v>
      </c>
      <c r="N458" s="230">
        <f>'padi sawah'!J111</f>
        <v>63.01</v>
      </c>
      <c r="O458" s="231">
        <f>'padi sawah'!K111</f>
        <v>63.32</v>
      </c>
      <c r="P458" s="196">
        <f t="shared" si="188"/>
        <v>245.35999999999999</v>
      </c>
      <c r="Q458" s="192">
        <f t="shared" si="187"/>
        <v>58.081730769230774</v>
      </c>
    </row>
    <row r="459" spans="1:17" x14ac:dyDescent="0.25">
      <c r="A459" s="85">
        <v>5</v>
      </c>
      <c r="B459" s="19" t="s">
        <v>22</v>
      </c>
      <c r="C459" s="180">
        <v>0</v>
      </c>
      <c r="D459" s="180">
        <v>0</v>
      </c>
      <c r="E459" s="180">
        <v>68</v>
      </c>
      <c r="F459" s="180">
        <f>'padi sawah'!C112</f>
        <v>0</v>
      </c>
      <c r="G459" s="180">
        <f>'padi sawah'!D112</f>
        <v>0</v>
      </c>
      <c r="H459" s="180">
        <f>'padi sawah'!E112</f>
        <v>0</v>
      </c>
      <c r="I459" s="196">
        <f t="shared" si="186"/>
        <v>68</v>
      </c>
      <c r="J459" s="198">
        <f>'padi sawah'!F112</f>
        <v>56.25</v>
      </c>
      <c r="K459" s="198">
        <f>'padi sawah'!G112</f>
        <v>0</v>
      </c>
      <c r="L459" s="230">
        <f>'padi sawah'!H112</f>
        <v>0</v>
      </c>
      <c r="M459" s="230">
        <f>'padi sawah'!I112</f>
        <v>0</v>
      </c>
      <c r="N459" s="230">
        <f>'padi sawah'!J112</f>
        <v>0</v>
      </c>
      <c r="O459" s="231">
        <f>'padi sawah'!K112</f>
        <v>55.3</v>
      </c>
      <c r="P459" s="196">
        <f t="shared" si="188"/>
        <v>111.55</v>
      </c>
      <c r="Q459" s="192">
        <f t="shared" si="187"/>
        <v>56.802139037433143</v>
      </c>
    </row>
    <row r="460" spans="1:17" x14ac:dyDescent="0.25">
      <c r="A460" s="85">
        <v>6</v>
      </c>
      <c r="B460" s="19" t="s">
        <v>23</v>
      </c>
      <c r="C460" s="180">
        <v>60.35</v>
      </c>
      <c r="D460" s="180">
        <v>0</v>
      </c>
      <c r="E460" s="180">
        <v>0</v>
      </c>
      <c r="F460" s="180">
        <f>'padi sawah'!C113</f>
        <v>60.32</v>
      </c>
      <c r="G460" s="180">
        <f>'padi sawah'!D113</f>
        <v>0</v>
      </c>
      <c r="H460" s="180">
        <f>'padi sawah'!E113</f>
        <v>0</v>
      </c>
      <c r="I460" s="196">
        <f t="shared" si="186"/>
        <v>60.090909090909086</v>
      </c>
      <c r="J460" s="198">
        <f>'padi sawah'!F113</f>
        <v>56.75</v>
      </c>
      <c r="K460" s="198">
        <f>'padi sawah'!G113</f>
        <v>56.67</v>
      </c>
      <c r="L460" s="230">
        <f>'padi sawah'!H113</f>
        <v>0</v>
      </c>
      <c r="M460" s="230">
        <f>'padi sawah'!I113</f>
        <v>0</v>
      </c>
      <c r="N460" s="230">
        <f>'padi sawah'!J113</f>
        <v>61.87</v>
      </c>
      <c r="O460" s="231">
        <f>'padi sawah'!K113</f>
        <v>55.25</v>
      </c>
      <c r="P460" s="196">
        <f t="shared" si="188"/>
        <v>230.54</v>
      </c>
      <c r="Q460" s="192">
        <f t="shared" si="187"/>
        <v>57.347222222222214</v>
      </c>
    </row>
    <row r="461" spans="1:17" x14ac:dyDescent="0.25">
      <c r="A461" s="85">
        <v>7</v>
      </c>
      <c r="B461" s="19" t="s">
        <v>24</v>
      </c>
      <c r="C461" s="180">
        <v>57.8</v>
      </c>
      <c r="D461" s="180">
        <v>0</v>
      </c>
      <c r="E461" s="180">
        <v>52.7</v>
      </c>
      <c r="F461" s="180">
        <f>'padi sawah'!C114</f>
        <v>0</v>
      </c>
      <c r="G461" s="180">
        <f>'padi sawah'!D114</f>
        <v>0</v>
      </c>
      <c r="H461" s="180">
        <f>'padi sawah'!E114</f>
        <v>60.65</v>
      </c>
      <c r="I461" s="196">
        <f t="shared" si="186"/>
        <v>59</v>
      </c>
      <c r="J461" s="198">
        <f>'padi sawah'!F114</f>
        <v>60.35</v>
      </c>
      <c r="K461" s="198">
        <f>'padi sawah'!G114</f>
        <v>65</v>
      </c>
      <c r="L461" s="230">
        <f>'padi sawah'!H114</f>
        <v>0</v>
      </c>
      <c r="M461" s="230">
        <f>'padi sawah'!I114</f>
        <v>0</v>
      </c>
      <c r="N461" s="230">
        <f>'padi sawah'!J114</f>
        <v>62.05</v>
      </c>
      <c r="O461" s="231">
        <f>'padi sawah'!K114</f>
        <v>59.85</v>
      </c>
      <c r="P461" s="196">
        <f t="shared" si="188"/>
        <v>247.24999999999997</v>
      </c>
      <c r="Q461" s="192">
        <f t="shared" si="187"/>
        <v>61.19140625</v>
      </c>
    </row>
    <row r="462" spans="1:17" ht="15.75" thickBot="1" x14ac:dyDescent="0.3">
      <c r="A462" s="86">
        <v>8</v>
      </c>
      <c r="B462" s="15" t="s">
        <v>25</v>
      </c>
      <c r="C462" s="181">
        <v>0</v>
      </c>
      <c r="D462" s="181">
        <v>63.75</v>
      </c>
      <c r="E462" s="181">
        <v>65</v>
      </c>
      <c r="F462" s="181">
        <f>'padi sawah'!C115</f>
        <v>60.25</v>
      </c>
      <c r="G462" s="181">
        <f>'padi sawah'!D115</f>
        <v>60.29</v>
      </c>
      <c r="H462" s="181">
        <f>'padi sawah'!E115</f>
        <v>0</v>
      </c>
      <c r="I462" s="194">
        <f t="shared" si="186"/>
        <v>63.057692307692299</v>
      </c>
      <c r="J462" s="225">
        <f>'padi sawah'!F115</f>
        <v>57.8</v>
      </c>
      <c r="K462" s="225">
        <f>'padi sawah'!G115</f>
        <v>60.21</v>
      </c>
      <c r="L462" s="229">
        <f>'padi sawah'!H115</f>
        <v>0</v>
      </c>
      <c r="M462" s="229">
        <f>'padi sawah'!I115</f>
        <v>61.5</v>
      </c>
      <c r="N462" s="229">
        <f>'padi sawah'!J115</f>
        <v>61.2</v>
      </c>
      <c r="O462" s="229">
        <f>'padi sawah'!K115</f>
        <v>64.11</v>
      </c>
      <c r="P462" s="200">
        <f>SUM(J462:O462)</f>
        <v>304.82</v>
      </c>
      <c r="Q462" s="195">
        <f t="shared" si="187"/>
        <v>61.825552825552833</v>
      </c>
    </row>
    <row r="463" spans="1:17" ht="16.5" thickTop="1" thickBot="1" x14ac:dyDescent="0.3">
      <c r="A463" s="339" t="s">
        <v>26</v>
      </c>
      <c r="B463" s="340"/>
      <c r="C463" s="182">
        <f t="shared" ref="C463:H463" si="189">C319/C159*10</f>
        <v>72.898550724637687</v>
      </c>
      <c r="D463" s="182">
        <f t="shared" si="189"/>
        <v>65.423728813559322</v>
      </c>
      <c r="E463" s="182">
        <f t="shared" si="189"/>
        <v>66.2</v>
      </c>
      <c r="F463" s="182">
        <f t="shared" si="189"/>
        <v>60.269230769230766</v>
      </c>
      <c r="G463" s="182">
        <f t="shared" si="189"/>
        <v>60.3</v>
      </c>
      <c r="H463" s="183">
        <f t="shared" si="189"/>
        <v>61.411764705882355</v>
      </c>
      <c r="I463" s="185">
        <f t="shared" si="186"/>
        <v>66.362903225806448</v>
      </c>
      <c r="J463" s="184">
        <f t="shared" ref="J463:P463" si="190">J319/J159*10</f>
        <v>58.357305936073054</v>
      </c>
      <c r="K463" s="182">
        <f t="shared" si="190"/>
        <v>62.107033639143729</v>
      </c>
      <c r="L463" s="182" t="e">
        <f t="shared" si="190"/>
        <v>#DIV/0!</v>
      </c>
      <c r="M463" s="182">
        <f t="shared" si="190"/>
        <v>61.61818181818181</v>
      </c>
      <c r="N463" s="182">
        <f t="shared" si="190"/>
        <v>61.480916030534345</v>
      </c>
      <c r="O463" s="183">
        <f t="shared" si="190"/>
        <v>61.119815668202762</v>
      </c>
      <c r="P463" s="185">
        <f t="shared" si="190"/>
        <v>60.010422380691175</v>
      </c>
      <c r="Q463" s="186">
        <f t="shared" si="187"/>
        <v>60.771125060357321</v>
      </c>
    </row>
    <row r="465" spans="1:17" ht="15.75" x14ac:dyDescent="0.25">
      <c r="A465" s="341" t="s">
        <v>176</v>
      </c>
      <c r="B465" s="341"/>
      <c r="C465" s="341"/>
      <c r="D465" s="341"/>
      <c r="E465" s="341"/>
      <c r="F465" s="341"/>
      <c r="G465" s="341"/>
      <c r="H465" s="341"/>
      <c r="I465" s="341"/>
      <c r="J465" s="341"/>
      <c r="K465" s="341"/>
      <c r="L465" s="341"/>
      <c r="M465" s="341"/>
      <c r="N465" s="341"/>
      <c r="O465" s="341"/>
      <c r="P465" s="341"/>
      <c r="Q465" s="341"/>
    </row>
    <row r="466" spans="1:17" ht="15.75" x14ac:dyDescent="0.25">
      <c r="A466" s="341" t="s">
        <v>81</v>
      </c>
      <c r="B466" s="341"/>
      <c r="C466" s="341"/>
      <c r="D466" s="341"/>
      <c r="E466" s="341"/>
      <c r="F466" s="341"/>
      <c r="G466" s="341"/>
      <c r="H466" s="341"/>
      <c r="I466" s="341"/>
      <c r="J466" s="341"/>
      <c r="K466" s="341"/>
      <c r="L466" s="341"/>
      <c r="M466" s="341"/>
      <c r="N466" s="341"/>
      <c r="O466" s="341"/>
      <c r="P466" s="341"/>
      <c r="Q466" s="341"/>
    </row>
    <row r="467" spans="1:17" ht="15.75" thickBot="1" x14ac:dyDescent="0.3">
      <c r="Q467" s="75" t="s">
        <v>31</v>
      </c>
    </row>
    <row r="468" spans="1:17" x14ac:dyDescent="0.25">
      <c r="A468" s="334" t="s">
        <v>2</v>
      </c>
      <c r="B468" s="336" t="s">
        <v>3</v>
      </c>
      <c r="C468" s="342" t="s">
        <v>183</v>
      </c>
      <c r="D468" s="343"/>
      <c r="E468" s="343"/>
      <c r="F468" s="343"/>
      <c r="G468" s="343"/>
      <c r="H468" s="344"/>
      <c r="I468" s="345" t="s">
        <v>82</v>
      </c>
      <c r="J468" s="347">
        <v>2020</v>
      </c>
      <c r="K468" s="343"/>
      <c r="L468" s="343"/>
      <c r="M468" s="343"/>
      <c r="N468" s="343"/>
      <c r="O468" s="344"/>
      <c r="P468" s="345" t="s">
        <v>83</v>
      </c>
      <c r="Q468" s="348" t="s">
        <v>5</v>
      </c>
    </row>
    <row r="469" spans="1:17" x14ac:dyDescent="0.25">
      <c r="A469" s="335"/>
      <c r="B469" s="324"/>
      <c r="C469" s="300" t="s">
        <v>15</v>
      </c>
      <c r="D469" s="300" t="s">
        <v>16</v>
      </c>
      <c r="E469" s="300" t="s">
        <v>17</v>
      </c>
      <c r="F469" s="300" t="s">
        <v>6</v>
      </c>
      <c r="G469" s="300" t="s">
        <v>76</v>
      </c>
      <c r="H469" s="119" t="s">
        <v>77</v>
      </c>
      <c r="I469" s="346"/>
      <c r="J469" s="109" t="s">
        <v>78</v>
      </c>
      <c r="K469" s="300" t="s">
        <v>10</v>
      </c>
      <c r="L469" s="300" t="s">
        <v>11</v>
      </c>
      <c r="M469" s="300" t="s">
        <v>12</v>
      </c>
      <c r="N469" s="300" t="s">
        <v>79</v>
      </c>
      <c r="O469" s="119" t="s">
        <v>80</v>
      </c>
      <c r="P469" s="346"/>
      <c r="Q469" s="349"/>
    </row>
    <row r="470" spans="1:17" ht="15.75" thickBot="1" x14ac:dyDescent="0.3">
      <c r="A470" s="111">
        <v>1</v>
      </c>
      <c r="B470" s="5">
        <v>2</v>
      </c>
      <c r="C470" s="5">
        <v>3</v>
      </c>
      <c r="D470" s="5">
        <v>4</v>
      </c>
      <c r="E470" s="5">
        <v>5</v>
      </c>
      <c r="F470" s="5">
        <v>6</v>
      </c>
      <c r="G470" s="5">
        <v>7</v>
      </c>
      <c r="H470" s="120">
        <v>8</v>
      </c>
      <c r="I470" s="122">
        <v>9</v>
      </c>
      <c r="J470" s="110">
        <v>10</v>
      </c>
      <c r="K470" s="5">
        <v>11</v>
      </c>
      <c r="L470" s="5">
        <v>12</v>
      </c>
      <c r="M470" s="5">
        <v>13</v>
      </c>
      <c r="N470" s="5">
        <v>14</v>
      </c>
      <c r="O470" s="120">
        <v>15</v>
      </c>
      <c r="P470" s="122">
        <v>16</v>
      </c>
      <c r="Q470" s="131">
        <v>17</v>
      </c>
    </row>
    <row r="471" spans="1:17" ht="15.75" thickTop="1" x14ac:dyDescent="0.25">
      <c r="A471" s="83">
        <v>1</v>
      </c>
      <c r="B471" s="7" t="s">
        <v>18</v>
      </c>
      <c r="C471" s="136">
        <v>0</v>
      </c>
      <c r="D471" s="136">
        <v>0</v>
      </c>
      <c r="E471" s="136">
        <v>0</v>
      </c>
      <c r="F471" s="179">
        <f>'padi ladang'!C108</f>
        <v>0</v>
      </c>
      <c r="G471" s="179">
        <f>'padi ladang'!D108</f>
        <v>0</v>
      </c>
      <c r="H471" s="179">
        <f>'padi ladang'!E108</f>
        <v>0</v>
      </c>
      <c r="I471" s="124">
        <f>SUM(C471:H471)</f>
        <v>0</v>
      </c>
      <c r="J471" s="197">
        <f>'padi ladang'!F108</f>
        <v>0</v>
      </c>
      <c r="K471" s="197">
        <f>'padi ladang'!G108</f>
        <v>0</v>
      </c>
      <c r="L471" s="197">
        <f>'padi ladang'!H108</f>
        <v>0</v>
      </c>
      <c r="M471" s="197">
        <f>'padi ladang'!I108</f>
        <v>0</v>
      </c>
      <c r="N471" s="197">
        <f>'padi ladang'!J108</f>
        <v>0</v>
      </c>
      <c r="O471" s="197">
        <f>'padi ladang'!K108</f>
        <v>0</v>
      </c>
      <c r="P471" s="124">
        <f>SUM(J471:O471)</f>
        <v>0</v>
      </c>
      <c r="Q471" s="127">
        <f>SUM(I471,P471)</f>
        <v>0</v>
      </c>
    </row>
    <row r="472" spans="1:17" x14ac:dyDescent="0.25">
      <c r="A472" s="84">
        <v>2</v>
      </c>
      <c r="B472" s="12" t="s">
        <v>19</v>
      </c>
      <c r="C472" s="59">
        <v>0</v>
      </c>
      <c r="D472" s="59">
        <v>0</v>
      </c>
      <c r="E472" s="59">
        <v>0</v>
      </c>
      <c r="F472" s="180">
        <f>'padi ladang'!C109</f>
        <v>0</v>
      </c>
      <c r="G472" s="180">
        <f>'padi ladang'!D109</f>
        <v>0</v>
      </c>
      <c r="H472" s="180">
        <f>'padi ladang'!E109</f>
        <v>0</v>
      </c>
      <c r="I472" s="125">
        <f t="shared" ref="I472:I478" si="191">SUM(C472:H472)</f>
        <v>0</v>
      </c>
      <c r="J472" s="198">
        <f>'padi ladang'!F109</f>
        <v>0</v>
      </c>
      <c r="K472" s="198">
        <f>'padi ladang'!G109</f>
        <v>0</v>
      </c>
      <c r="L472" s="198">
        <f>'padi ladang'!H109</f>
        <v>0</v>
      </c>
      <c r="M472" s="198">
        <f>'padi ladang'!I109</f>
        <v>0</v>
      </c>
      <c r="N472" s="198">
        <f>'padi ladang'!J109</f>
        <v>0</v>
      </c>
      <c r="O472" s="199">
        <f>'padi ladang'!K109</f>
        <v>0</v>
      </c>
      <c r="P472" s="125">
        <f t="shared" ref="P472:P477" si="192">SUM(J472:O472)</f>
        <v>0</v>
      </c>
      <c r="Q472" s="128">
        <f t="shared" ref="Q472:Q478" si="193">SUM(I472,P472)</f>
        <v>0</v>
      </c>
    </row>
    <row r="473" spans="1:17" x14ac:dyDescent="0.25">
      <c r="A473" s="84">
        <v>3</v>
      </c>
      <c r="B473" s="7" t="s">
        <v>20</v>
      </c>
      <c r="C473" s="59">
        <v>0</v>
      </c>
      <c r="D473" s="59">
        <v>0</v>
      </c>
      <c r="E473" s="59">
        <v>0</v>
      </c>
      <c r="F473" s="180">
        <f>'padi ladang'!C110</f>
        <v>0</v>
      </c>
      <c r="G473" s="180">
        <f>'padi ladang'!D110</f>
        <v>0</v>
      </c>
      <c r="H473" s="180">
        <f>'padi ladang'!E110</f>
        <v>0</v>
      </c>
      <c r="I473" s="125">
        <f t="shared" si="191"/>
        <v>0</v>
      </c>
      <c r="J473" s="198">
        <f>'padi ladang'!F110</f>
        <v>0</v>
      </c>
      <c r="K473" s="198">
        <f>'padi ladang'!G110</f>
        <v>0</v>
      </c>
      <c r="L473" s="198">
        <f>'padi ladang'!H110</f>
        <v>0</v>
      </c>
      <c r="M473" s="198">
        <f>'padi ladang'!I110</f>
        <v>0</v>
      </c>
      <c r="N473" s="198">
        <f>'padi ladang'!J110</f>
        <v>0</v>
      </c>
      <c r="O473" s="199">
        <f>'padi ladang'!K110</f>
        <v>0</v>
      </c>
      <c r="P473" s="125">
        <f t="shared" si="192"/>
        <v>0</v>
      </c>
      <c r="Q473" s="128">
        <f t="shared" si="193"/>
        <v>0</v>
      </c>
    </row>
    <row r="474" spans="1:17" x14ac:dyDescent="0.25">
      <c r="A474" s="85">
        <v>4</v>
      </c>
      <c r="B474" s="15" t="s">
        <v>21</v>
      </c>
      <c r="C474" s="59">
        <v>0</v>
      </c>
      <c r="D474" s="59">
        <v>0</v>
      </c>
      <c r="E474" s="59">
        <v>0</v>
      </c>
      <c r="F474" s="180">
        <f>'padi ladang'!C111</f>
        <v>0</v>
      </c>
      <c r="G474" s="180">
        <f>'padi ladang'!D111</f>
        <v>0</v>
      </c>
      <c r="H474" s="180">
        <f>'padi ladang'!E111</f>
        <v>0</v>
      </c>
      <c r="I474" s="125">
        <f t="shared" si="191"/>
        <v>0</v>
      </c>
      <c r="J474" s="198">
        <f>'padi ladang'!F111</f>
        <v>0</v>
      </c>
      <c r="K474" s="198">
        <f>'padi ladang'!G111</f>
        <v>0</v>
      </c>
      <c r="L474" s="198">
        <f>'padi ladang'!H111</f>
        <v>0</v>
      </c>
      <c r="M474" s="198">
        <f>'padi ladang'!I111</f>
        <v>0</v>
      </c>
      <c r="N474" s="198">
        <f>'padi ladang'!J111</f>
        <v>0</v>
      </c>
      <c r="O474" s="199">
        <f>'padi ladang'!K111</f>
        <v>0</v>
      </c>
      <c r="P474" s="125">
        <f t="shared" si="192"/>
        <v>0</v>
      </c>
      <c r="Q474" s="128">
        <f t="shared" si="193"/>
        <v>0</v>
      </c>
    </row>
    <row r="475" spans="1:17" x14ac:dyDescent="0.25">
      <c r="A475" s="85">
        <v>5</v>
      </c>
      <c r="B475" s="19" t="s">
        <v>22</v>
      </c>
      <c r="C475" s="59">
        <v>0</v>
      </c>
      <c r="D475" s="59">
        <v>0</v>
      </c>
      <c r="E475" s="59">
        <v>0</v>
      </c>
      <c r="F475" s="180">
        <f>'padi ladang'!C112</f>
        <v>0</v>
      </c>
      <c r="G475" s="180">
        <f>'padi ladang'!D112</f>
        <v>0</v>
      </c>
      <c r="H475" s="180">
        <f>'padi ladang'!E112</f>
        <v>0</v>
      </c>
      <c r="I475" s="125">
        <f t="shared" si="191"/>
        <v>0</v>
      </c>
      <c r="J475" s="198">
        <f>'padi ladang'!F112</f>
        <v>0</v>
      </c>
      <c r="K475" s="198">
        <f>'padi ladang'!G112</f>
        <v>0</v>
      </c>
      <c r="L475" s="198">
        <f>'padi ladang'!H112</f>
        <v>0</v>
      </c>
      <c r="M475" s="198">
        <f>'padi ladang'!I112</f>
        <v>0</v>
      </c>
      <c r="N475" s="198">
        <f>'padi ladang'!J112</f>
        <v>0</v>
      </c>
      <c r="O475" s="199">
        <f>'padi ladang'!K112</f>
        <v>0</v>
      </c>
      <c r="P475" s="125">
        <f t="shared" si="192"/>
        <v>0</v>
      </c>
      <c r="Q475" s="128">
        <f t="shared" si="193"/>
        <v>0</v>
      </c>
    </row>
    <row r="476" spans="1:17" x14ac:dyDescent="0.25">
      <c r="A476" s="85">
        <v>6</v>
      </c>
      <c r="B476" s="19" t="s">
        <v>23</v>
      </c>
      <c r="C476" s="59">
        <v>0</v>
      </c>
      <c r="D476" s="59">
        <v>0</v>
      </c>
      <c r="E476" s="59">
        <v>0</v>
      </c>
      <c r="F476" s="180">
        <f>'padi ladang'!C113</f>
        <v>0</v>
      </c>
      <c r="G476" s="180">
        <f>'padi ladang'!D113</f>
        <v>0</v>
      </c>
      <c r="H476" s="180">
        <f>'padi ladang'!E113</f>
        <v>0</v>
      </c>
      <c r="I476" s="125">
        <f t="shared" si="191"/>
        <v>0</v>
      </c>
      <c r="J476" s="198">
        <f>'padi ladang'!F113</f>
        <v>0</v>
      </c>
      <c r="K476" s="198">
        <f>'padi ladang'!G113</f>
        <v>0</v>
      </c>
      <c r="L476" s="198">
        <f>'padi ladang'!H113</f>
        <v>0</v>
      </c>
      <c r="M476" s="198">
        <f>'padi ladang'!I113</f>
        <v>0</v>
      </c>
      <c r="N476" s="198">
        <f>'padi ladang'!J113</f>
        <v>0</v>
      </c>
      <c r="O476" s="199">
        <f>'padi ladang'!K113</f>
        <v>0</v>
      </c>
      <c r="P476" s="125">
        <f t="shared" si="192"/>
        <v>0</v>
      </c>
      <c r="Q476" s="128">
        <f t="shared" si="193"/>
        <v>0</v>
      </c>
    </row>
    <row r="477" spans="1:17" x14ac:dyDescent="0.25">
      <c r="A477" s="85">
        <v>7</v>
      </c>
      <c r="B477" s="19" t="s">
        <v>24</v>
      </c>
      <c r="C477" s="59">
        <v>0</v>
      </c>
      <c r="D477" s="59">
        <v>0</v>
      </c>
      <c r="E477" s="59">
        <v>0</v>
      </c>
      <c r="F477" s="180">
        <f>'padi ladang'!C114</f>
        <v>0</v>
      </c>
      <c r="G477" s="180">
        <f>'padi ladang'!D114</f>
        <v>0</v>
      </c>
      <c r="H477" s="180">
        <f>'padi ladang'!E114</f>
        <v>0</v>
      </c>
      <c r="I477" s="125">
        <f t="shared" si="191"/>
        <v>0</v>
      </c>
      <c r="J477" s="198">
        <f>'padi ladang'!F114</f>
        <v>0</v>
      </c>
      <c r="K477" s="198">
        <f>'padi ladang'!G114</f>
        <v>0</v>
      </c>
      <c r="L477" s="198">
        <f>'padi ladang'!H114</f>
        <v>0</v>
      </c>
      <c r="M477" s="198">
        <f>'padi ladang'!I114</f>
        <v>0</v>
      </c>
      <c r="N477" s="198">
        <f>'padi ladang'!J114</f>
        <v>0</v>
      </c>
      <c r="O477" s="199">
        <f>'padi ladang'!K114</f>
        <v>0</v>
      </c>
      <c r="P477" s="125">
        <f t="shared" si="192"/>
        <v>0</v>
      </c>
      <c r="Q477" s="128">
        <f t="shared" si="193"/>
        <v>0</v>
      </c>
    </row>
    <row r="478" spans="1:17" ht="15.75" thickBot="1" x14ac:dyDescent="0.3">
      <c r="A478" s="86">
        <v>8</v>
      </c>
      <c r="B478" s="15" t="s">
        <v>25</v>
      </c>
      <c r="C478" s="137">
        <v>0</v>
      </c>
      <c r="D478" s="137">
        <v>0</v>
      </c>
      <c r="E478" s="137">
        <v>0</v>
      </c>
      <c r="F478" s="181">
        <f>'padi ladang'!C115</f>
        <v>0</v>
      </c>
      <c r="G478" s="181">
        <f>'padi ladang'!D115</f>
        <v>0</v>
      </c>
      <c r="H478" s="181">
        <f>'padi ladang'!E115</f>
        <v>0</v>
      </c>
      <c r="I478" s="126">
        <f t="shared" si="191"/>
        <v>0</v>
      </c>
      <c r="J478" s="225">
        <f>'padi ladang'!F115</f>
        <v>0</v>
      </c>
      <c r="K478" s="225">
        <f>'padi ladang'!G115</f>
        <v>0</v>
      </c>
      <c r="L478" s="225">
        <f>'padi ladang'!H115</f>
        <v>0</v>
      </c>
      <c r="M478" s="225">
        <f>'padi ladang'!I115</f>
        <v>0</v>
      </c>
      <c r="N478" s="225">
        <f>'padi ladang'!J115</f>
        <v>0</v>
      </c>
      <c r="O478" s="225">
        <f>'padi ladang'!K115</f>
        <v>0</v>
      </c>
      <c r="P478" s="126">
        <f>SUM(J478:O478)</f>
        <v>0</v>
      </c>
      <c r="Q478" s="129">
        <f t="shared" si="193"/>
        <v>0</v>
      </c>
    </row>
    <row r="479" spans="1:17" ht="16.5" thickTop="1" thickBot="1" x14ac:dyDescent="0.3">
      <c r="A479" s="339" t="s">
        <v>26</v>
      </c>
      <c r="B479" s="340"/>
      <c r="C479" s="112">
        <f t="shared" ref="C479:H479" si="194">SUM(C471:C478)</f>
        <v>0</v>
      </c>
      <c r="D479" s="112">
        <f t="shared" si="194"/>
        <v>0</v>
      </c>
      <c r="E479" s="112">
        <f t="shared" si="194"/>
        <v>0</v>
      </c>
      <c r="F479" s="112">
        <f t="shared" si="194"/>
        <v>0</v>
      </c>
      <c r="G479" s="182">
        <f t="shared" si="194"/>
        <v>0</v>
      </c>
      <c r="H479" s="183">
        <f t="shared" si="194"/>
        <v>0</v>
      </c>
      <c r="I479" s="185">
        <f>SUM(I471:I478)</f>
        <v>0</v>
      </c>
      <c r="J479" s="133">
        <f t="shared" ref="J479:O479" si="195">SUM(J471:J478)</f>
        <v>0</v>
      </c>
      <c r="K479" s="112">
        <f t="shared" si="195"/>
        <v>0</v>
      </c>
      <c r="L479" s="112">
        <f t="shared" si="195"/>
        <v>0</v>
      </c>
      <c r="M479" s="112">
        <f t="shared" si="195"/>
        <v>0</v>
      </c>
      <c r="N479" s="112">
        <f t="shared" si="195"/>
        <v>0</v>
      </c>
      <c r="O479" s="121">
        <f t="shared" si="195"/>
        <v>0</v>
      </c>
      <c r="P479" s="123">
        <f>SUM(P471:P478)</f>
        <v>0</v>
      </c>
      <c r="Q479" s="130">
        <f>SUM(Q471:Q478)</f>
        <v>0</v>
      </c>
    </row>
    <row r="481" spans="1:17" ht="15.75" x14ac:dyDescent="0.25">
      <c r="A481" s="341" t="s">
        <v>177</v>
      </c>
      <c r="B481" s="341"/>
      <c r="C481" s="341"/>
      <c r="D481" s="341"/>
      <c r="E481" s="341"/>
      <c r="F481" s="341"/>
      <c r="G481" s="341"/>
      <c r="H481" s="341"/>
      <c r="I481" s="341"/>
      <c r="J481" s="341"/>
      <c r="K481" s="341"/>
      <c r="L481" s="341"/>
      <c r="M481" s="341"/>
      <c r="N481" s="341"/>
      <c r="O481" s="341"/>
      <c r="P481" s="341"/>
      <c r="Q481" s="341"/>
    </row>
    <row r="482" spans="1:17" ht="15.75" x14ac:dyDescent="0.25">
      <c r="A482" s="341" t="s">
        <v>81</v>
      </c>
      <c r="B482" s="341"/>
      <c r="C482" s="341"/>
      <c r="D482" s="341"/>
      <c r="E482" s="341"/>
      <c r="F482" s="341"/>
      <c r="G482" s="341"/>
      <c r="H482" s="341"/>
      <c r="I482" s="341"/>
      <c r="J482" s="341"/>
      <c r="K482" s="341"/>
      <c r="L482" s="341"/>
      <c r="M482" s="341"/>
      <c r="N482" s="341"/>
      <c r="O482" s="341"/>
      <c r="P482" s="341"/>
      <c r="Q482" s="341"/>
    </row>
    <row r="483" spans="1:17" ht="15.75" thickBot="1" x14ac:dyDescent="0.3">
      <c r="Q483" s="75" t="s">
        <v>31</v>
      </c>
    </row>
    <row r="484" spans="1:17" x14ac:dyDescent="0.25">
      <c r="A484" s="334" t="s">
        <v>2</v>
      </c>
      <c r="B484" s="336" t="s">
        <v>3</v>
      </c>
      <c r="C484" s="342" t="s">
        <v>183</v>
      </c>
      <c r="D484" s="343"/>
      <c r="E484" s="343"/>
      <c r="F484" s="343"/>
      <c r="G484" s="343"/>
      <c r="H484" s="344"/>
      <c r="I484" s="345" t="s">
        <v>82</v>
      </c>
      <c r="J484" s="347">
        <v>2020</v>
      </c>
      <c r="K484" s="343"/>
      <c r="L484" s="343"/>
      <c r="M484" s="343"/>
      <c r="N484" s="343"/>
      <c r="O484" s="344"/>
      <c r="P484" s="345" t="s">
        <v>83</v>
      </c>
      <c r="Q484" s="348" t="s">
        <v>5</v>
      </c>
    </row>
    <row r="485" spans="1:17" x14ac:dyDescent="0.25">
      <c r="A485" s="335"/>
      <c r="B485" s="324"/>
      <c r="C485" s="300" t="s">
        <v>15</v>
      </c>
      <c r="D485" s="300" t="s">
        <v>16</v>
      </c>
      <c r="E485" s="300" t="s">
        <v>17</v>
      </c>
      <c r="F485" s="300" t="s">
        <v>6</v>
      </c>
      <c r="G485" s="300" t="s">
        <v>76</v>
      </c>
      <c r="H485" s="119" t="s">
        <v>77</v>
      </c>
      <c r="I485" s="346"/>
      <c r="J485" s="109" t="s">
        <v>78</v>
      </c>
      <c r="K485" s="300" t="s">
        <v>10</v>
      </c>
      <c r="L485" s="300" t="s">
        <v>11</v>
      </c>
      <c r="M485" s="300" t="s">
        <v>12</v>
      </c>
      <c r="N485" s="300" t="s">
        <v>79</v>
      </c>
      <c r="O485" s="119" t="s">
        <v>80</v>
      </c>
      <c r="P485" s="346"/>
      <c r="Q485" s="349"/>
    </row>
    <row r="486" spans="1:17" ht="15.75" thickBot="1" x14ac:dyDescent="0.3">
      <c r="A486" s="111">
        <v>1</v>
      </c>
      <c r="B486" s="5">
        <v>2</v>
      </c>
      <c r="C486" s="5">
        <v>3</v>
      </c>
      <c r="D486" s="5">
        <v>4</v>
      </c>
      <c r="E486" s="5">
        <v>5</v>
      </c>
      <c r="F486" s="5">
        <v>6</v>
      </c>
      <c r="G486" s="5">
        <v>7</v>
      </c>
      <c r="H486" s="120">
        <v>8</v>
      </c>
      <c r="I486" s="122">
        <v>9</v>
      </c>
      <c r="J486" s="110">
        <v>10</v>
      </c>
      <c r="K486" s="5">
        <v>11</v>
      </c>
      <c r="L486" s="5">
        <v>12</v>
      </c>
      <c r="M486" s="5">
        <v>13</v>
      </c>
      <c r="N486" s="5">
        <v>14</v>
      </c>
      <c r="O486" s="120">
        <v>15</v>
      </c>
      <c r="P486" s="122">
        <v>16</v>
      </c>
      <c r="Q486" s="131">
        <v>17</v>
      </c>
    </row>
    <row r="487" spans="1:17" ht="15.75" thickTop="1" x14ac:dyDescent="0.25">
      <c r="A487" s="83">
        <v>1</v>
      </c>
      <c r="B487" s="7" t="s">
        <v>18</v>
      </c>
      <c r="C487" s="179">
        <v>0</v>
      </c>
      <c r="D487" s="179">
        <v>0</v>
      </c>
      <c r="E487" s="179">
        <v>0</v>
      </c>
      <c r="F487" s="179">
        <f>jagung!C108</f>
        <v>0</v>
      </c>
      <c r="G487" s="179">
        <f>jagung!D108</f>
        <v>0</v>
      </c>
      <c r="H487" s="179">
        <f>jagung!E108</f>
        <v>0</v>
      </c>
      <c r="I487" s="187" t="e">
        <f t="shared" ref="I487:I495" si="196">I343/I199*10</f>
        <v>#DIV/0!</v>
      </c>
      <c r="J487" s="197">
        <f>jagung!F108</f>
        <v>28.5</v>
      </c>
      <c r="K487" s="197">
        <f>jagung!G108</f>
        <v>30.12</v>
      </c>
      <c r="L487" s="197">
        <f>jagung!H108</f>
        <v>0</v>
      </c>
      <c r="M487" s="197">
        <f>jagung!I108</f>
        <v>0</v>
      </c>
      <c r="N487" s="197">
        <f>jagung!J108</f>
        <v>0</v>
      </c>
      <c r="O487" s="197">
        <f>jagung!K108</f>
        <v>0</v>
      </c>
      <c r="P487" s="187">
        <f>SUM(J487:O487)</f>
        <v>58.620000000000005</v>
      </c>
      <c r="Q487" s="191">
        <f t="shared" ref="Q487:Q495" si="197">Q343/Q199*10</f>
        <v>29.000000000000004</v>
      </c>
    </row>
    <row r="488" spans="1:17" x14ac:dyDescent="0.25">
      <c r="A488" s="84">
        <v>2</v>
      </c>
      <c r="B488" s="12" t="s">
        <v>19</v>
      </c>
      <c r="C488" s="180">
        <v>29.13</v>
      </c>
      <c r="D488" s="180">
        <v>0</v>
      </c>
      <c r="E488" s="180">
        <v>0</v>
      </c>
      <c r="F488" s="180">
        <f>jagung!C109</f>
        <v>0</v>
      </c>
      <c r="G488" s="180">
        <f>jagung!D109</f>
        <v>0</v>
      </c>
      <c r="H488" s="180">
        <f>jagung!E109</f>
        <v>0</v>
      </c>
      <c r="I488" s="196" t="e">
        <f t="shared" si="196"/>
        <v>#DIV/0!</v>
      </c>
      <c r="J488" s="198">
        <f>jagung!F109</f>
        <v>0</v>
      </c>
      <c r="K488" s="198">
        <f>jagung!G109</f>
        <v>0</v>
      </c>
      <c r="L488" s="198">
        <f>jagung!H109</f>
        <v>0</v>
      </c>
      <c r="M488" s="198">
        <f>jagung!I109</f>
        <v>0</v>
      </c>
      <c r="N488" s="198">
        <f>jagung!J109</f>
        <v>0</v>
      </c>
      <c r="O488" s="199">
        <f>jagung!K109</f>
        <v>0</v>
      </c>
      <c r="P488" s="196">
        <f t="shared" ref="P488:P493" si="198">SUM(J488:O488)</f>
        <v>0</v>
      </c>
      <c r="Q488" s="192" t="e">
        <f t="shared" si="197"/>
        <v>#DIV/0!</v>
      </c>
    </row>
    <row r="489" spans="1:17" x14ac:dyDescent="0.25">
      <c r="A489" s="84">
        <v>3</v>
      </c>
      <c r="B489" s="7" t="s">
        <v>20</v>
      </c>
      <c r="C489" s="180">
        <v>0</v>
      </c>
      <c r="D489" s="180">
        <v>0</v>
      </c>
      <c r="E489" s="180">
        <v>0</v>
      </c>
      <c r="F489" s="180">
        <f>jagung!C110</f>
        <v>0</v>
      </c>
      <c r="G489" s="180">
        <f>jagung!D110</f>
        <v>0</v>
      </c>
      <c r="H489" s="180">
        <f>jagung!E110</f>
        <v>0</v>
      </c>
      <c r="I489" s="196" t="e">
        <f t="shared" si="196"/>
        <v>#DIV/0!</v>
      </c>
      <c r="J489" s="198">
        <f>jagung!F110</f>
        <v>0</v>
      </c>
      <c r="K489" s="198">
        <f>jagung!G110</f>
        <v>0</v>
      </c>
      <c r="L489" s="198">
        <f>jagung!H110</f>
        <v>0</v>
      </c>
      <c r="M489" s="198">
        <f>jagung!I110</f>
        <v>0</v>
      </c>
      <c r="N489" s="198">
        <f>jagung!J110</f>
        <v>0</v>
      </c>
      <c r="O489" s="199">
        <f>jagung!K110</f>
        <v>0</v>
      </c>
      <c r="P489" s="196">
        <f t="shared" si="198"/>
        <v>0</v>
      </c>
      <c r="Q489" s="192" t="e">
        <f t="shared" si="197"/>
        <v>#DIV/0!</v>
      </c>
    </row>
    <row r="490" spans="1:17" x14ac:dyDescent="0.25">
      <c r="A490" s="85">
        <v>4</v>
      </c>
      <c r="B490" s="15" t="s">
        <v>21</v>
      </c>
      <c r="C490" s="180">
        <v>0</v>
      </c>
      <c r="D490" s="180">
        <v>46.8</v>
      </c>
      <c r="E490" s="180">
        <v>0</v>
      </c>
      <c r="F490" s="180">
        <f>jagung!C111</f>
        <v>0</v>
      </c>
      <c r="G490" s="180">
        <f>jagung!D111</f>
        <v>0</v>
      </c>
      <c r="H490" s="180">
        <f>jagung!E111</f>
        <v>0</v>
      </c>
      <c r="I490" s="196">
        <f t="shared" si="196"/>
        <v>20</v>
      </c>
      <c r="J490" s="198">
        <f>jagung!F111</f>
        <v>0</v>
      </c>
      <c r="K490" s="198">
        <f>jagung!G111</f>
        <v>0</v>
      </c>
      <c r="L490" s="198">
        <f>jagung!H111</f>
        <v>25.1</v>
      </c>
      <c r="M490" s="198">
        <f>jagung!I111</f>
        <v>0</v>
      </c>
      <c r="N490" s="198">
        <f>jagung!J111</f>
        <v>29.5</v>
      </c>
      <c r="O490" s="199">
        <f>jagung!K111</f>
        <v>0</v>
      </c>
      <c r="P490" s="196">
        <f t="shared" si="198"/>
        <v>54.6</v>
      </c>
      <c r="Q490" s="192">
        <f t="shared" si="197"/>
        <v>23.5</v>
      </c>
    </row>
    <row r="491" spans="1:17" x14ac:dyDescent="0.25">
      <c r="A491" s="85">
        <v>5</v>
      </c>
      <c r="B491" s="19" t="s">
        <v>22</v>
      </c>
      <c r="C491" s="180">
        <v>0</v>
      </c>
      <c r="D491" s="180">
        <v>30.15</v>
      </c>
      <c r="E491" s="180">
        <v>0</v>
      </c>
      <c r="F491" s="180">
        <f>jagung!C112</f>
        <v>0</v>
      </c>
      <c r="G491" s="180">
        <f>jagung!D112</f>
        <v>0</v>
      </c>
      <c r="H491" s="180">
        <f>jagung!E112</f>
        <v>0</v>
      </c>
      <c r="I491" s="196" t="e">
        <f t="shared" si="196"/>
        <v>#DIV/0!</v>
      </c>
      <c r="J491" s="198">
        <f>jagung!F112</f>
        <v>0</v>
      </c>
      <c r="K491" s="198">
        <f>jagung!G112</f>
        <v>0</v>
      </c>
      <c r="L491" s="198">
        <f>jagung!H112</f>
        <v>0</v>
      </c>
      <c r="M491" s="198">
        <f>jagung!I112</f>
        <v>0</v>
      </c>
      <c r="N491" s="198">
        <f>jagung!J112</f>
        <v>0</v>
      </c>
      <c r="O491" s="199">
        <f>jagung!K112</f>
        <v>0</v>
      </c>
      <c r="P491" s="196">
        <f t="shared" si="198"/>
        <v>0</v>
      </c>
      <c r="Q491" s="192" t="e">
        <f t="shared" si="197"/>
        <v>#DIV/0!</v>
      </c>
    </row>
    <row r="492" spans="1:17" x14ac:dyDescent="0.25">
      <c r="A492" s="85">
        <v>6</v>
      </c>
      <c r="B492" s="19" t="s">
        <v>23</v>
      </c>
      <c r="C492" s="180">
        <v>0</v>
      </c>
      <c r="D492" s="180">
        <v>40</v>
      </c>
      <c r="E492" s="180">
        <v>0</v>
      </c>
      <c r="F492" s="180">
        <f>jagung!C113</f>
        <v>0</v>
      </c>
      <c r="G492" s="180">
        <f>jagung!D113</f>
        <v>0</v>
      </c>
      <c r="H492" s="180">
        <f>jagung!E113</f>
        <v>0</v>
      </c>
      <c r="I492" s="196" t="e">
        <f t="shared" si="196"/>
        <v>#DIV/0!</v>
      </c>
      <c r="J492" s="198">
        <f>jagung!F113</f>
        <v>0</v>
      </c>
      <c r="K492" s="198">
        <f>jagung!G113</f>
        <v>0</v>
      </c>
      <c r="L492" s="198">
        <f>jagung!H113</f>
        <v>0</v>
      </c>
      <c r="M492" s="198">
        <f>jagung!I113</f>
        <v>0</v>
      </c>
      <c r="N492" s="198">
        <f>jagung!J113</f>
        <v>0</v>
      </c>
      <c r="O492" s="199">
        <f>jagung!K113</f>
        <v>0</v>
      </c>
      <c r="P492" s="196">
        <f t="shared" si="198"/>
        <v>0</v>
      </c>
      <c r="Q492" s="192" t="e">
        <f t="shared" si="197"/>
        <v>#DIV/0!</v>
      </c>
    </row>
    <row r="493" spans="1:17" x14ac:dyDescent="0.25">
      <c r="A493" s="85">
        <v>7</v>
      </c>
      <c r="B493" s="19" t="s">
        <v>24</v>
      </c>
      <c r="C493" s="180">
        <v>0</v>
      </c>
      <c r="D493" s="180">
        <v>35</v>
      </c>
      <c r="E493" s="180">
        <v>0</v>
      </c>
      <c r="F493" s="180">
        <f>jagung!C114</f>
        <v>0</v>
      </c>
      <c r="G493" s="180">
        <f>jagung!D114</f>
        <v>0</v>
      </c>
      <c r="H493" s="180">
        <f>jagung!E114</f>
        <v>0</v>
      </c>
      <c r="I493" s="196" t="e">
        <f t="shared" si="196"/>
        <v>#DIV/0!</v>
      </c>
      <c r="J493" s="198">
        <f>jagung!F114</f>
        <v>0</v>
      </c>
      <c r="K493" s="198">
        <f>jagung!G114</f>
        <v>0</v>
      </c>
      <c r="L493" s="198">
        <f>jagung!H114</f>
        <v>0</v>
      </c>
      <c r="M493" s="198">
        <f>jagung!I114</f>
        <v>0</v>
      </c>
      <c r="N493" s="198">
        <f>jagung!J114</f>
        <v>0</v>
      </c>
      <c r="O493" s="199">
        <f>jagung!K114</f>
        <v>0</v>
      </c>
      <c r="P493" s="196">
        <f t="shared" si="198"/>
        <v>0</v>
      </c>
      <c r="Q493" s="192" t="e">
        <f t="shared" si="197"/>
        <v>#DIV/0!</v>
      </c>
    </row>
    <row r="494" spans="1:17" ht="15.75" thickBot="1" x14ac:dyDescent="0.3">
      <c r="A494" s="86">
        <v>8</v>
      </c>
      <c r="B494" s="15" t="s">
        <v>25</v>
      </c>
      <c r="C494" s="181">
        <v>0</v>
      </c>
      <c r="D494" s="181">
        <v>29</v>
      </c>
      <c r="E494" s="181">
        <v>30</v>
      </c>
      <c r="F494" s="181">
        <f>jagung!C115</f>
        <v>26.22</v>
      </c>
      <c r="G494" s="181">
        <f>jagung!D115</f>
        <v>0</v>
      </c>
      <c r="H494" s="181">
        <f>jagung!E115</f>
        <v>0</v>
      </c>
      <c r="I494" s="194">
        <f t="shared" si="196"/>
        <v>86</v>
      </c>
      <c r="J494" s="225">
        <f>jagung!F115</f>
        <v>0</v>
      </c>
      <c r="K494" s="225">
        <f>jagung!G115</f>
        <v>0</v>
      </c>
      <c r="L494" s="225">
        <f>jagung!H115</f>
        <v>25.05</v>
      </c>
      <c r="M494" s="225">
        <f>jagung!I115</f>
        <v>0</v>
      </c>
      <c r="N494" s="225">
        <f>jagung!J115</f>
        <v>0</v>
      </c>
      <c r="O494" s="225">
        <f>jagung!K115</f>
        <v>0</v>
      </c>
      <c r="P494" s="200">
        <f>SUM(J494:O494)</f>
        <v>25.05</v>
      </c>
      <c r="Q494" s="195">
        <f t="shared" si="197"/>
        <v>55.5</v>
      </c>
    </row>
    <row r="495" spans="1:17" ht="16.5" thickTop="1" thickBot="1" x14ac:dyDescent="0.3">
      <c r="A495" s="339" t="s">
        <v>26</v>
      </c>
      <c r="B495" s="340"/>
      <c r="C495" s="182">
        <f t="shared" ref="C495:E495" si="199">SUM(C487:C494)</f>
        <v>29.13</v>
      </c>
      <c r="D495" s="182" t="e">
        <f>D351/D207*10</f>
        <v>#DIV/0!</v>
      </c>
      <c r="E495" s="182">
        <f t="shared" si="199"/>
        <v>30</v>
      </c>
      <c r="F495" s="182">
        <f>F351/F207*10</f>
        <v>26</v>
      </c>
      <c r="G495" s="182" t="e">
        <f>G351/G207*10</f>
        <v>#DIV/0!</v>
      </c>
      <c r="H495" s="183" t="e">
        <f>H351/H207*10</f>
        <v>#DIV/0!</v>
      </c>
      <c r="I495" s="185">
        <f t="shared" si="196"/>
        <v>95.333333333333329</v>
      </c>
      <c r="J495" s="184">
        <f t="shared" ref="J495:P495" si="200">J351/J207*10</f>
        <v>28.5</v>
      </c>
      <c r="K495" s="182">
        <f t="shared" si="200"/>
        <v>30</v>
      </c>
      <c r="L495" s="182">
        <f t="shared" si="200"/>
        <v>25</v>
      </c>
      <c r="M495" s="182" t="e">
        <f t="shared" si="200"/>
        <v>#DIV/0!</v>
      </c>
      <c r="N495" s="182">
        <f t="shared" si="200"/>
        <v>29</v>
      </c>
      <c r="O495" s="183" t="e">
        <f t="shared" si="200"/>
        <v>#DIV/0!</v>
      </c>
      <c r="P495" s="185">
        <f t="shared" si="200"/>
        <v>28.333333333333336</v>
      </c>
      <c r="Q495" s="186">
        <f t="shared" si="197"/>
        <v>41.733333333333334</v>
      </c>
    </row>
    <row r="497" spans="1:17" ht="15.75" x14ac:dyDescent="0.25">
      <c r="A497" s="341" t="s">
        <v>178</v>
      </c>
      <c r="B497" s="341"/>
      <c r="C497" s="341"/>
      <c r="D497" s="341"/>
      <c r="E497" s="341"/>
      <c r="F497" s="341"/>
      <c r="G497" s="341"/>
      <c r="H497" s="341"/>
      <c r="I497" s="341"/>
      <c r="J497" s="341"/>
      <c r="K497" s="341"/>
      <c r="L497" s="341"/>
      <c r="M497" s="341"/>
      <c r="N497" s="341"/>
      <c r="O497" s="341"/>
      <c r="P497" s="341"/>
      <c r="Q497" s="341"/>
    </row>
    <row r="498" spans="1:17" ht="15.75" x14ac:dyDescent="0.25">
      <c r="A498" s="341" t="s">
        <v>81</v>
      </c>
      <c r="B498" s="341"/>
      <c r="C498" s="341"/>
      <c r="D498" s="341"/>
      <c r="E498" s="341"/>
      <c r="F498" s="341"/>
      <c r="G498" s="341"/>
      <c r="H498" s="341"/>
      <c r="I498" s="341"/>
      <c r="J498" s="341"/>
      <c r="K498" s="341"/>
      <c r="L498" s="341"/>
      <c r="M498" s="341"/>
      <c r="N498" s="341"/>
      <c r="O498" s="341"/>
      <c r="P498" s="341"/>
      <c r="Q498" s="341"/>
    </row>
    <row r="499" spans="1:17" ht="15.75" thickBot="1" x14ac:dyDescent="0.3">
      <c r="Q499" s="75" t="s">
        <v>31</v>
      </c>
    </row>
    <row r="500" spans="1:17" x14ac:dyDescent="0.25">
      <c r="A500" s="334" t="s">
        <v>2</v>
      </c>
      <c r="B500" s="336" t="s">
        <v>3</v>
      </c>
      <c r="C500" s="342" t="s">
        <v>183</v>
      </c>
      <c r="D500" s="343"/>
      <c r="E500" s="343"/>
      <c r="F500" s="343"/>
      <c r="G500" s="343"/>
      <c r="H500" s="344"/>
      <c r="I500" s="345" t="s">
        <v>82</v>
      </c>
      <c r="J500" s="347">
        <v>2020</v>
      </c>
      <c r="K500" s="343"/>
      <c r="L500" s="343"/>
      <c r="M500" s="343"/>
      <c r="N500" s="343"/>
      <c r="O500" s="344"/>
      <c r="P500" s="345" t="s">
        <v>83</v>
      </c>
      <c r="Q500" s="348" t="s">
        <v>5</v>
      </c>
    </row>
    <row r="501" spans="1:17" x14ac:dyDescent="0.25">
      <c r="A501" s="335"/>
      <c r="B501" s="324"/>
      <c r="C501" s="300" t="s">
        <v>15</v>
      </c>
      <c r="D501" s="300" t="s">
        <v>16</v>
      </c>
      <c r="E501" s="300" t="s">
        <v>17</v>
      </c>
      <c r="F501" s="300" t="s">
        <v>6</v>
      </c>
      <c r="G501" s="300" t="s">
        <v>76</v>
      </c>
      <c r="H501" s="119" t="s">
        <v>77</v>
      </c>
      <c r="I501" s="346"/>
      <c r="J501" s="109" t="s">
        <v>78</v>
      </c>
      <c r="K501" s="300" t="s">
        <v>10</v>
      </c>
      <c r="L501" s="300" t="s">
        <v>11</v>
      </c>
      <c r="M501" s="300" t="s">
        <v>12</v>
      </c>
      <c r="N501" s="300" t="s">
        <v>79</v>
      </c>
      <c r="O501" s="119" t="s">
        <v>80</v>
      </c>
      <c r="P501" s="346"/>
      <c r="Q501" s="349"/>
    </row>
    <row r="502" spans="1:17" ht="15.75" thickBot="1" x14ac:dyDescent="0.3">
      <c r="A502" s="111">
        <v>1</v>
      </c>
      <c r="B502" s="5">
        <v>2</v>
      </c>
      <c r="C502" s="5">
        <v>3</v>
      </c>
      <c r="D502" s="5">
        <v>4</v>
      </c>
      <c r="E502" s="5">
        <v>5</v>
      </c>
      <c r="F502" s="5">
        <v>6</v>
      </c>
      <c r="G502" s="5">
        <v>7</v>
      </c>
      <c r="H502" s="120">
        <v>8</v>
      </c>
      <c r="I502" s="122">
        <v>9</v>
      </c>
      <c r="J502" s="110">
        <v>10</v>
      </c>
      <c r="K502" s="5">
        <v>11</v>
      </c>
      <c r="L502" s="5">
        <v>12</v>
      </c>
      <c r="M502" s="5">
        <v>13</v>
      </c>
      <c r="N502" s="5">
        <v>14</v>
      </c>
      <c r="O502" s="120">
        <v>15</v>
      </c>
      <c r="P502" s="122">
        <v>16</v>
      </c>
      <c r="Q502" s="131">
        <v>17</v>
      </c>
    </row>
    <row r="503" spans="1:17" ht="15.75" thickTop="1" x14ac:dyDescent="0.25">
      <c r="A503" s="83">
        <v>1</v>
      </c>
      <c r="B503" s="7" t="s">
        <v>18</v>
      </c>
      <c r="C503" s="136">
        <v>0</v>
      </c>
      <c r="D503" s="136">
        <v>0</v>
      </c>
      <c r="E503" s="136">
        <v>0</v>
      </c>
      <c r="F503" s="136">
        <f>'kc ijo'!C329</f>
        <v>0</v>
      </c>
      <c r="G503" s="136">
        <f>'kc ijo'!D329</f>
        <v>0</v>
      </c>
      <c r="H503" s="136">
        <f>'kc ijo'!E329</f>
        <v>0</v>
      </c>
      <c r="I503" s="124">
        <f>SUM(C503:H503)</f>
        <v>0</v>
      </c>
      <c r="J503" s="136">
        <v>0</v>
      </c>
      <c r="K503" s="136">
        <v>0</v>
      </c>
      <c r="L503" s="136">
        <v>0</v>
      </c>
      <c r="M503" s="136">
        <f>'kc ijo'!J329</f>
        <v>0</v>
      </c>
      <c r="N503" s="136">
        <f>'kc ijo'!K329</f>
        <v>0</v>
      </c>
      <c r="O503" s="136">
        <f>'kc ijo'!L329</f>
        <v>0</v>
      </c>
      <c r="P503" s="124">
        <f>SUM(J503:O503)</f>
        <v>0</v>
      </c>
      <c r="Q503" s="127">
        <f>SUM(I503,P503)</f>
        <v>0</v>
      </c>
    </row>
    <row r="504" spans="1:17" x14ac:dyDescent="0.25">
      <c r="A504" s="84">
        <v>2</v>
      </c>
      <c r="B504" s="12" t="s">
        <v>19</v>
      </c>
      <c r="C504" s="59">
        <v>0</v>
      </c>
      <c r="D504" s="59">
        <v>0</v>
      </c>
      <c r="E504" s="59">
        <v>0</v>
      </c>
      <c r="F504" s="59">
        <f>'kc ijo'!C330</f>
        <v>0</v>
      </c>
      <c r="G504" s="59">
        <f>'kc ijo'!D330</f>
        <v>0</v>
      </c>
      <c r="H504" s="155">
        <f>'kc ijo'!E330</f>
        <v>0</v>
      </c>
      <c r="I504" s="125">
        <f t="shared" ref="I504:I510" si="201">SUM(C504:H504)</f>
        <v>0</v>
      </c>
      <c r="J504" s="59">
        <v>0</v>
      </c>
      <c r="K504" s="59">
        <v>0</v>
      </c>
      <c r="L504" s="59">
        <v>0</v>
      </c>
      <c r="M504" s="59">
        <f>'kc ijo'!J330</f>
        <v>0</v>
      </c>
      <c r="N504" s="59">
        <f>'kc ijo'!K330</f>
        <v>0</v>
      </c>
      <c r="O504" s="155">
        <f>'kc ijo'!L330</f>
        <v>0</v>
      </c>
      <c r="P504" s="125">
        <f t="shared" ref="P504:P509" si="202">SUM(J504:O504)</f>
        <v>0</v>
      </c>
      <c r="Q504" s="128">
        <f t="shared" ref="Q504:Q510" si="203">SUM(I504,P504)</f>
        <v>0</v>
      </c>
    </row>
    <row r="505" spans="1:17" x14ac:dyDescent="0.25">
      <c r="A505" s="84">
        <v>3</v>
      </c>
      <c r="B505" s="7" t="s">
        <v>20</v>
      </c>
      <c r="C505" s="59">
        <v>0</v>
      </c>
      <c r="D505" s="59">
        <v>0</v>
      </c>
      <c r="E505" s="59">
        <v>0</v>
      </c>
      <c r="F505" s="59">
        <f>'kc ijo'!C331</f>
        <v>0</v>
      </c>
      <c r="G505" s="59">
        <f>'kc ijo'!D331</f>
        <v>0</v>
      </c>
      <c r="H505" s="155">
        <f>'kc ijo'!E331</f>
        <v>0</v>
      </c>
      <c r="I505" s="125">
        <f t="shared" si="201"/>
        <v>0</v>
      </c>
      <c r="J505" s="59">
        <v>0</v>
      </c>
      <c r="K505" s="59">
        <v>0</v>
      </c>
      <c r="L505" s="59">
        <v>0</v>
      </c>
      <c r="M505" s="59">
        <f>'kc ijo'!J331</f>
        <v>0</v>
      </c>
      <c r="N505" s="59">
        <f>'kc ijo'!K331</f>
        <v>0</v>
      </c>
      <c r="O505" s="155">
        <f>'kc ijo'!L331</f>
        <v>0</v>
      </c>
      <c r="P505" s="125">
        <f t="shared" si="202"/>
        <v>0</v>
      </c>
      <c r="Q505" s="128">
        <f t="shared" si="203"/>
        <v>0</v>
      </c>
    </row>
    <row r="506" spans="1:17" x14ac:dyDescent="0.25">
      <c r="A506" s="85">
        <v>4</v>
      </c>
      <c r="B506" s="15" t="s">
        <v>21</v>
      </c>
      <c r="C506" s="59">
        <v>0</v>
      </c>
      <c r="D506" s="59">
        <v>0</v>
      </c>
      <c r="E506" s="59">
        <v>0</v>
      </c>
      <c r="F506" s="59">
        <f>'kc ijo'!C332</f>
        <v>0</v>
      </c>
      <c r="G506" s="59">
        <f>'kc ijo'!D332</f>
        <v>0</v>
      </c>
      <c r="H506" s="155">
        <f>'kc ijo'!E332</f>
        <v>0</v>
      </c>
      <c r="I506" s="125">
        <f t="shared" si="201"/>
        <v>0</v>
      </c>
      <c r="J506" s="59">
        <v>0</v>
      </c>
      <c r="K506" s="59">
        <v>0</v>
      </c>
      <c r="L506" s="59">
        <v>0</v>
      </c>
      <c r="M506" s="59">
        <f>'kc ijo'!J332</f>
        <v>0</v>
      </c>
      <c r="N506" s="59">
        <f>'kc ijo'!K332</f>
        <v>0</v>
      </c>
      <c r="O506" s="155">
        <f>'kc ijo'!L332</f>
        <v>0</v>
      </c>
      <c r="P506" s="125">
        <f t="shared" si="202"/>
        <v>0</v>
      </c>
      <c r="Q506" s="128">
        <f t="shared" si="203"/>
        <v>0</v>
      </c>
    </row>
    <row r="507" spans="1:17" x14ac:dyDescent="0.25">
      <c r="A507" s="85">
        <v>5</v>
      </c>
      <c r="B507" s="19" t="s">
        <v>22</v>
      </c>
      <c r="C507" s="59">
        <v>0</v>
      </c>
      <c r="D507" s="59">
        <v>0</v>
      </c>
      <c r="E507" s="59">
        <v>0</v>
      </c>
      <c r="F507" s="59">
        <f>'kc ijo'!C333</f>
        <v>0</v>
      </c>
      <c r="G507" s="59">
        <f>'kc ijo'!D333</f>
        <v>0</v>
      </c>
      <c r="H507" s="155">
        <f>'kc ijo'!E333</f>
        <v>0</v>
      </c>
      <c r="I507" s="125">
        <f t="shared" si="201"/>
        <v>0</v>
      </c>
      <c r="J507" s="59">
        <v>0</v>
      </c>
      <c r="K507" s="59">
        <v>0</v>
      </c>
      <c r="L507" s="59">
        <v>0</v>
      </c>
      <c r="M507" s="59">
        <f>'kc ijo'!J333</f>
        <v>0</v>
      </c>
      <c r="N507" s="59">
        <f>'kc ijo'!K333</f>
        <v>0</v>
      </c>
      <c r="O507" s="155">
        <f>'kc ijo'!L333</f>
        <v>0</v>
      </c>
      <c r="P507" s="125">
        <f t="shared" si="202"/>
        <v>0</v>
      </c>
      <c r="Q507" s="128">
        <f t="shared" si="203"/>
        <v>0</v>
      </c>
    </row>
    <row r="508" spans="1:17" x14ac:dyDescent="0.25">
      <c r="A508" s="85">
        <v>6</v>
      </c>
      <c r="B508" s="19" t="s">
        <v>23</v>
      </c>
      <c r="C508" s="59">
        <v>0</v>
      </c>
      <c r="D508" s="59">
        <v>0</v>
      </c>
      <c r="E508" s="59">
        <v>0</v>
      </c>
      <c r="F508" s="59">
        <f>'kc ijo'!C334</f>
        <v>0</v>
      </c>
      <c r="G508" s="59">
        <f>'kc ijo'!D334</f>
        <v>0</v>
      </c>
      <c r="H508" s="155">
        <f>'kc ijo'!E334</f>
        <v>0</v>
      </c>
      <c r="I508" s="125">
        <f t="shared" si="201"/>
        <v>0</v>
      </c>
      <c r="J508" s="59">
        <v>0</v>
      </c>
      <c r="K508" s="59">
        <v>0</v>
      </c>
      <c r="L508" s="59">
        <v>0</v>
      </c>
      <c r="M508" s="59">
        <f>'kc ijo'!J334</f>
        <v>0</v>
      </c>
      <c r="N508" s="59">
        <f>'kc ijo'!K334</f>
        <v>0</v>
      </c>
      <c r="O508" s="155">
        <f>'kc ijo'!L334</f>
        <v>0</v>
      </c>
      <c r="P508" s="125">
        <f t="shared" si="202"/>
        <v>0</v>
      </c>
      <c r="Q508" s="128">
        <f t="shared" si="203"/>
        <v>0</v>
      </c>
    </row>
    <row r="509" spans="1:17" x14ac:dyDescent="0.25">
      <c r="A509" s="85">
        <v>7</v>
      </c>
      <c r="B509" s="19" t="s">
        <v>24</v>
      </c>
      <c r="C509" s="59">
        <v>0</v>
      </c>
      <c r="D509" s="59">
        <v>0</v>
      </c>
      <c r="E509" s="59">
        <v>0</v>
      </c>
      <c r="F509" s="59">
        <f>'kc ijo'!C335</f>
        <v>0</v>
      </c>
      <c r="G509" s="59">
        <f>'kc ijo'!D335</f>
        <v>0</v>
      </c>
      <c r="H509" s="155">
        <f>'kc ijo'!E335</f>
        <v>0</v>
      </c>
      <c r="I509" s="125">
        <f t="shared" si="201"/>
        <v>0</v>
      </c>
      <c r="J509" s="59">
        <v>0</v>
      </c>
      <c r="K509" s="59">
        <v>0</v>
      </c>
      <c r="L509" s="59">
        <v>0</v>
      </c>
      <c r="M509" s="59">
        <f>'kc ijo'!J335</f>
        <v>0</v>
      </c>
      <c r="N509" s="59">
        <f>'kc ijo'!K335</f>
        <v>0</v>
      </c>
      <c r="O509" s="155">
        <f>'kc ijo'!L335</f>
        <v>0</v>
      </c>
      <c r="P509" s="125">
        <f t="shared" si="202"/>
        <v>0</v>
      </c>
      <c r="Q509" s="128">
        <f t="shared" si="203"/>
        <v>0</v>
      </c>
    </row>
    <row r="510" spans="1:17" ht="15.75" thickBot="1" x14ac:dyDescent="0.3">
      <c r="A510" s="86">
        <v>8</v>
      </c>
      <c r="B510" s="15" t="s">
        <v>25</v>
      </c>
      <c r="C510" s="137">
        <v>0</v>
      </c>
      <c r="D510" s="137">
        <v>0</v>
      </c>
      <c r="E510" s="137">
        <v>0</v>
      </c>
      <c r="F510" s="137">
        <f>'kc ijo'!C336</f>
        <v>0</v>
      </c>
      <c r="G510" s="137">
        <f>'kc ijo'!D336</f>
        <v>0</v>
      </c>
      <c r="H510" s="137">
        <f>'kc ijo'!E336</f>
        <v>0</v>
      </c>
      <c r="I510" s="126">
        <f t="shared" si="201"/>
        <v>0</v>
      </c>
      <c r="J510" s="137">
        <v>0</v>
      </c>
      <c r="K510" s="137">
        <v>0</v>
      </c>
      <c r="L510" s="137">
        <v>0</v>
      </c>
      <c r="M510" s="137">
        <f>'kc ijo'!J336</f>
        <v>0</v>
      </c>
      <c r="N510" s="137">
        <f>'kc ijo'!K336</f>
        <v>0</v>
      </c>
      <c r="O510" s="137">
        <f>'kc ijo'!L336</f>
        <v>0</v>
      </c>
      <c r="P510" s="126">
        <f>SUM(J510:O510)</f>
        <v>0</v>
      </c>
      <c r="Q510" s="129">
        <f t="shared" si="203"/>
        <v>0</v>
      </c>
    </row>
    <row r="511" spans="1:17" ht="16.5" thickTop="1" thickBot="1" x14ac:dyDescent="0.3">
      <c r="A511" s="339" t="s">
        <v>26</v>
      </c>
      <c r="B511" s="340"/>
      <c r="C511" s="112">
        <f t="shared" ref="C511:H511" si="204">SUM(C503:C510)</f>
        <v>0</v>
      </c>
      <c r="D511" s="112">
        <f t="shared" si="204"/>
        <v>0</v>
      </c>
      <c r="E511" s="112">
        <f t="shared" si="204"/>
        <v>0</v>
      </c>
      <c r="F511" s="112">
        <f t="shared" si="204"/>
        <v>0</v>
      </c>
      <c r="G511" s="112">
        <f t="shared" si="204"/>
        <v>0</v>
      </c>
      <c r="H511" s="121">
        <f t="shared" si="204"/>
        <v>0</v>
      </c>
      <c r="I511" s="123">
        <f>SUM(I503:I510)</f>
        <v>0</v>
      </c>
      <c r="J511" s="133">
        <f t="shared" ref="J511:O511" si="205">SUM(J503:J510)</f>
        <v>0</v>
      </c>
      <c r="K511" s="112">
        <f t="shared" si="205"/>
        <v>0</v>
      </c>
      <c r="L511" s="112">
        <f t="shared" si="205"/>
        <v>0</v>
      </c>
      <c r="M511" s="112">
        <f t="shared" si="205"/>
        <v>0</v>
      </c>
      <c r="N511" s="112">
        <f t="shared" si="205"/>
        <v>0</v>
      </c>
      <c r="O511" s="121">
        <f t="shared" si="205"/>
        <v>0</v>
      </c>
      <c r="P511" s="123">
        <f>SUM(P503:P510)</f>
        <v>0</v>
      </c>
      <c r="Q511" s="130">
        <f>SUM(Q503:Q510)</f>
        <v>0</v>
      </c>
    </row>
    <row r="513" spans="1:17" ht="15.75" x14ac:dyDescent="0.25">
      <c r="A513" s="341" t="s">
        <v>179</v>
      </c>
      <c r="B513" s="341"/>
      <c r="C513" s="341"/>
      <c r="D513" s="341"/>
      <c r="E513" s="341"/>
      <c r="F513" s="341"/>
      <c r="G513" s="341"/>
      <c r="H513" s="341"/>
      <c r="I513" s="341"/>
      <c r="J513" s="341"/>
      <c r="K513" s="341"/>
      <c r="L513" s="341"/>
      <c r="M513" s="341"/>
      <c r="N513" s="341"/>
      <c r="O513" s="341"/>
      <c r="P513" s="341"/>
      <c r="Q513" s="341"/>
    </row>
    <row r="514" spans="1:17" ht="15.75" x14ac:dyDescent="0.25">
      <c r="A514" s="341" t="s">
        <v>81</v>
      </c>
      <c r="B514" s="341"/>
      <c r="C514" s="341"/>
      <c r="D514" s="341"/>
      <c r="E514" s="341"/>
      <c r="F514" s="341"/>
      <c r="G514" s="341"/>
      <c r="H514" s="341"/>
      <c r="I514" s="341"/>
      <c r="J514" s="341"/>
      <c r="K514" s="341"/>
      <c r="L514" s="341"/>
      <c r="M514" s="341"/>
      <c r="N514" s="341"/>
      <c r="O514" s="341"/>
      <c r="P514" s="341"/>
      <c r="Q514" s="341"/>
    </row>
    <row r="515" spans="1:17" ht="15.75" thickBot="1" x14ac:dyDescent="0.3">
      <c r="Q515" s="75" t="s">
        <v>31</v>
      </c>
    </row>
    <row r="516" spans="1:17" x14ac:dyDescent="0.25">
      <c r="A516" s="334" t="s">
        <v>2</v>
      </c>
      <c r="B516" s="336" t="s">
        <v>3</v>
      </c>
      <c r="C516" s="342" t="s">
        <v>183</v>
      </c>
      <c r="D516" s="343"/>
      <c r="E516" s="343"/>
      <c r="F516" s="343"/>
      <c r="G516" s="343"/>
      <c r="H516" s="344"/>
      <c r="I516" s="345" t="s">
        <v>82</v>
      </c>
      <c r="J516" s="347">
        <v>2020</v>
      </c>
      <c r="K516" s="343"/>
      <c r="L516" s="343"/>
      <c r="M516" s="343"/>
      <c r="N516" s="343"/>
      <c r="O516" s="344"/>
      <c r="P516" s="345" t="s">
        <v>83</v>
      </c>
      <c r="Q516" s="348" t="s">
        <v>5</v>
      </c>
    </row>
    <row r="517" spans="1:17" x14ac:dyDescent="0.25">
      <c r="A517" s="335"/>
      <c r="B517" s="324"/>
      <c r="C517" s="300" t="s">
        <v>15</v>
      </c>
      <c r="D517" s="300" t="s">
        <v>16</v>
      </c>
      <c r="E517" s="300" t="s">
        <v>17</v>
      </c>
      <c r="F517" s="300" t="s">
        <v>6</v>
      </c>
      <c r="G517" s="300" t="s">
        <v>76</v>
      </c>
      <c r="H517" s="119" t="s">
        <v>77</v>
      </c>
      <c r="I517" s="346"/>
      <c r="J517" s="109" t="s">
        <v>78</v>
      </c>
      <c r="K517" s="300" t="s">
        <v>10</v>
      </c>
      <c r="L517" s="300" t="s">
        <v>11</v>
      </c>
      <c r="M517" s="300" t="s">
        <v>12</v>
      </c>
      <c r="N517" s="300" t="s">
        <v>79</v>
      </c>
      <c r="O517" s="119" t="s">
        <v>80</v>
      </c>
      <c r="P517" s="346"/>
      <c r="Q517" s="349"/>
    </row>
    <row r="518" spans="1:17" ht="15.75" thickBot="1" x14ac:dyDescent="0.3">
      <c r="A518" s="111">
        <v>1</v>
      </c>
      <c r="B518" s="5">
        <v>2</v>
      </c>
      <c r="C518" s="5">
        <v>3</v>
      </c>
      <c r="D518" s="5">
        <v>4</v>
      </c>
      <c r="E518" s="5">
        <v>5</v>
      </c>
      <c r="F518" s="5">
        <v>6</v>
      </c>
      <c r="G518" s="5">
        <v>7</v>
      </c>
      <c r="H518" s="120">
        <v>8</v>
      </c>
      <c r="I518" s="122">
        <v>9</v>
      </c>
      <c r="J518" s="110">
        <v>10</v>
      </c>
      <c r="K518" s="5">
        <v>11</v>
      </c>
      <c r="L518" s="5">
        <v>12</v>
      </c>
      <c r="M518" s="5">
        <v>13</v>
      </c>
      <c r="N518" s="5">
        <v>14</v>
      </c>
      <c r="O518" s="120">
        <v>15</v>
      </c>
      <c r="P518" s="122">
        <v>16</v>
      </c>
      <c r="Q518" s="131">
        <v>17</v>
      </c>
    </row>
    <row r="519" spans="1:17" ht="15.75" thickTop="1" x14ac:dyDescent="0.25">
      <c r="A519" s="83">
        <v>1</v>
      </c>
      <c r="B519" s="7" t="s">
        <v>18</v>
      </c>
      <c r="C519" s="179">
        <v>0</v>
      </c>
      <c r="D519" s="179">
        <v>0</v>
      </c>
      <c r="E519" s="179">
        <v>0</v>
      </c>
      <c r="F519" s="179">
        <f>'kc tanah'!C108</f>
        <v>0</v>
      </c>
      <c r="G519" s="179">
        <f>'kc tanah'!D108</f>
        <v>0</v>
      </c>
      <c r="H519" s="179">
        <f>'kc tanah'!E108</f>
        <v>0</v>
      </c>
      <c r="I519" s="187" t="e">
        <f t="shared" ref="I519:I527" si="206">I375/I231*10</f>
        <v>#DIV/0!</v>
      </c>
      <c r="J519" s="197">
        <f>'kc tanah'!F108</f>
        <v>11.5</v>
      </c>
      <c r="K519" s="197">
        <f>'kc tanah'!G108</f>
        <v>9.33</v>
      </c>
      <c r="L519" s="197">
        <f>'kc tanah'!H108</f>
        <v>0</v>
      </c>
      <c r="M519" s="197">
        <f>'kc tanah'!I108</f>
        <v>0</v>
      </c>
      <c r="N519" s="197">
        <f>'kc tanah'!J108</f>
        <v>0</v>
      </c>
      <c r="O519" s="197">
        <f>'kc tanah'!K108</f>
        <v>0</v>
      </c>
      <c r="P519" s="187">
        <f>SUM(J519:O519)</f>
        <v>20.83</v>
      </c>
      <c r="Q519" s="191">
        <f t="shared" ref="Q519:Q527" si="207">Q375/Q231*10</f>
        <v>10.629999999999999</v>
      </c>
    </row>
    <row r="520" spans="1:17" x14ac:dyDescent="0.25">
      <c r="A520" s="84">
        <v>2</v>
      </c>
      <c r="B520" s="12" t="s">
        <v>19</v>
      </c>
      <c r="C520" s="180">
        <v>0</v>
      </c>
      <c r="D520" s="180">
        <v>0</v>
      </c>
      <c r="E520" s="180">
        <v>0</v>
      </c>
      <c r="F520" s="180">
        <f>'kc tanah'!C109</f>
        <v>0</v>
      </c>
      <c r="G520" s="180">
        <f>'kc tanah'!D109</f>
        <v>0</v>
      </c>
      <c r="H520" s="180">
        <f>'kc tanah'!E109</f>
        <v>13.25</v>
      </c>
      <c r="I520" s="196">
        <f t="shared" si="206"/>
        <v>13.251851851851853</v>
      </c>
      <c r="J520" s="227">
        <f>'kc tanah'!F109</f>
        <v>11</v>
      </c>
      <c r="K520" s="198">
        <f>'kc tanah'!G109</f>
        <v>0</v>
      </c>
      <c r="L520" s="198">
        <f>'kc tanah'!H109</f>
        <v>11.66</v>
      </c>
      <c r="M520" s="198">
        <f>'kc tanah'!I109</f>
        <v>11.13</v>
      </c>
      <c r="N520" s="198">
        <f>'kc tanah'!J109</f>
        <v>0</v>
      </c>
      <c r="O520" s="199">
        <f>'kc tanah'!K109</f>
        <v>0</v>
      </c>
      <c r="P520" s="196">
        <f t="shared" ref="P520:P525" si="208">SUM(J520:O520)</f>
        <v>33.79</v>
      </c>
      <c r="Q520" s="192">
        <f t="shared" si="207"/>
        <v>12.24</v>
      </c>
    </row>
    <row r="521" spans="1:17" x14ac:dyDescent="0.25">
      <c r="A521" s="84">
        <v>3</v>
      </c>
      <c r="B521" s="7" t="s">
        <v>20</v>
      </c>
      <c r="C521" s="180">
        <v>0</v>
      </c>
      <c r="D521" s="180">
        <v>0</v>
      </c>
      <c r="E521" s="180">
        <v>0</v>
      </c>
      <c r="F521" s="180">
        <f>'kc tanah'!C110</f>
        <v>12.02</v>
      </c>
      <c r="G521" s="180">
        <f>'kc tanah'!D110</f>
        <v>0</v>
      </c>
      <c r="H521" s="180">
        <f>'kc tanah'!E110</f>
        <v>0</v>
      </c>
      <c r="I521" s="196">
        <f t="shared" si="206"/>
        <v>12.02</v>
      </c>
      <c r="J521" s="227">
        <f>'kc tanah'!F110</f>
        <v>11.76</v>
      </c>
      <c r="K521" s="198">
        <f>'kc tanah'!G110</f>
        <v>0</v>
      </c>
      <c r="L521" s="198">
        <f>'kc tanah'!H110</f>
        <v>0</v>
      </c>
      <c r="M521" s="198">
        <f>'kc tanah'!I110</f>
        <v>11.5</v>
      </c>
      <c r="N521" s="198">
        <f>'kc tanah'!J110</f>
        <v>0</v>
      </c>
      <c r="O521" s="199">
        <f>'kc tanah'!K110</f>
        <v>0</v>
      </c>
      <c r="P521" s="196">
        <f t="shared" si="208"/>
        <v>23.259999999999998</v>
      </c>
      <c r="Q521" s="192">
        <f t="shared" si="207"/>
        <v>11.688000000000001</v>
      </c>
    </row>
    <row r="522" spans="1:17" x14ac:dyDescent="0.25">
      <c r="A522" s="85">
        <v>4</v>
      </c>
      <c r="B522" s="15" t="s">
        <v>21</v>
      </c>
      <c r="C522" s="180">
        <v>11.25</v>
      </c>
      <c r="D522" s="180">
        <v>0</v>
      </c>
      <c r="E522" s="180">
        <v>0</v>
      </c>
      <c r="F522" s="180">
        <f>'kc tanah'!C111</f>
        <v>0</v>
      </c>
      <c r="G522" s="180">
        <f>'kc tanah'!D111</f>
        <v>0</v>
      </c>
      <c r="H522" s="180">
        <f>'kc tanah'!E111</f>
        <v>14.26</v>
      </c>
      <c r="I522" s="196">
        <f t="shared" si="206"/>
        <v>10.857142857142856</v>
      </c>
      <c r="J522" s="227">
        <f>'kc tanah'!F111</f>
        <v>0</v>
      </c>
      <c r="K522" s="198">
        <f>'kc tanah'!G111</f>
        <v>9.5399999999999991</v>
      </c>
      <c r="L522" s="198">
        <f>'kc tanah'!H111</f>
        <v>11.25</v>
      </c>
      <c r="M522" s="198">
        <f>'kc tanah'!I111</f>
        <v>0</v>
      </c>
      <c r="N522" s="198">
        <f>'kc tanah'!J111</f>
        <v>0</v>
      </c>
      <c r="O522" s="199">
        <f>'kc tanah'!K111</f>
        <v>11.32</v>
      </c>
      <c r="P522" s="196">
        <f t="shared" si="208"/>
        <v>32.11</v>
      </c>
      <c r="Q522" s="192">
        <f t="shared" si="207"/>
        <v>10.957627118644069</v>
      </c>
    </row>
    <row r="523" spans="1:17" x14ac:dyDescent="0.25">
      <c r="A523" s="85">
        <v>5</v>
      </c>
      <c r="B523" s="19" t="s">
        <v>22</v>
      </c>
      <c r="C523" s="180">
        <v>0</v>
      </c>
      <c r="D523" s="180">
        <v>0</v>
      </c>
      <c r="E523" s="180">
        <v>0</v>
      </c>
      <c r="F523" s="180">
        <f>'kc tanah'!C112</f>
        <v>0</v>
      </c>
      <c r="G523" s="180">
        <f>'kc tanah'!D112</f>
        <v>0</v>
      </c>
      <c r="H523" s="180">
        <f>'kc tanah'!E112</f>
        <v>11.13</v>
      </c>
      <c r="I523" s="196">
        <f t="shared" si="206"/>
        <v>11.129151291512915</v>
      </c>
      <c r="J523" s="227">
        <f>'kc tanah'!F112</f>
        <v>0</v>
      </c>
      <c r="K523" s="198">
        <f>'kc tanah'!G112</f>
        <v>0</v>
      </c>
      <c r="L523" s="198">
        <f>'kc tanah'!H112</f>
        <v>12.65</v>
      </c>
      <c r="M523" s="198">
        <f>'kc tanah'!I112</f>
        <v>11.01</v>
      </c>
      <c r="N523" s="198">
        <f>'kc tanah'!J112</f>
        <v>0</v>
      </c>
      <c r="O523" s="199">
        <f>'kc tanah'!K112</f>
        <v>0</v>
      </c>
      <c r="P523" s="196">
        <f t="shared" si="208"/>
        <v>23.66</v>
      </c>
      <c r="Q523" s="192">
        <f t="shared" si="207"/>
        <v>11.168168168168169</v>
      </c>
    </row>
    <row r="524" spans="1:17" x14ac:dyDescent="0.25">
      <c r="A524" s="85">
        <v>6</v>
      </c>
      <c r="B524" s="19" t="s">
        <v>23</v>
      </c>
      <c r="C524" s="180">
        <v>10.88</v>
      </c>
      <c r="D524" s="180">
        <v>13.76</v>
      </c>
      <c r="E524" s="180">
        <v>0</v>
      </c>
      <c r="F524" s="180">
        <f>'kc tanah'!C113</f>
        <v>0</v>
      </c>
      <c r="G524" s="180">
        <f>'kc tanah'!D113</f>
        <v>13.5</v>
      </c>
      <c r="H524" s="180">
        <f>'kc tanah'!E113</f>
        <v>12.45</v>
      </c>
      <c r="I524" s="196">
        <f t="shared" si="206"/>
        <v>15.513513513513516</v>
      </c>
      <c r="J524" s="227">
        <f>'kc tanah'!F113</f>
        <v>0</v>
      </c>
      <c r="K524" s="198">
        <f>'kc tanah'!G113</f>
        <v>0</v>
      </c>
      <c r="L524" s="198">
        <f>'kc tanah'!H113</f>
        <v>11.3</v>
      </c>
      <c r="M524" s="198">
        <f>'kc tanah'!I113</f>
        <v>11.05</v>
      </c>
      <c r="N524" s="198">
        <f>'kc tanah'!J113</f>
        <v>0</v>
      </c>
      <c r="O524" s="199">
        <f>'kc tanah'!K113</f>
        <v>10.51</v>
      </c>
      <c r="P524" s="196">
        <f t="shared" si="208"/>
        <v>32.86</v>
      </c>
      <c r="Q524" s="192">
        <f t="shared" si="207"/>
        <v>13.453900709219859</v>
      </c>
    </row>
    <row r="525" spans="1:17" x14ac:dyDescent="0.25">
      <c r="A525" s="85">
        <v>7</v>
      </c>
      <c r="B525" s="19" t="s">
        <v>24</v>
      </c>
      <c r="C525" s="180">
        <v>0</v>
      </c>
      <c r="D525" s="180">
        <v>0</v>
      </c>
      <c r="E525" s="180">
        <v>0</v>
      </c>
      <c r="F525" s="180">
        <f>'kc tanah'!C114</f>
        <v>0</v>
      </c>
      <c r="G525" s="180">
        <f>'kc tanah'!D114</f>
        <v>0</v>
      </c>
      <c r="H525" s="180">
        <f>'kc tanah'!E114</f>
        <v>11.22</v>
      </c>
      <c r="I525" s="196">
        <f t="shared" si="206"/>
        <v>5.5</v>
      </c>
      <c r="J525" s="227">
        <f>'kc tanah'!F114</f>
        <v>0</v>
      </c>
      <c r="K525" s="198">
        <f>'kc tanah'!G114</f>
        <v>0</v>
      </c>
      <c r="L525" s="198">
        <f>'kc tanah'!H114</f>
        <v>0</v>
      </c>
      <c r="M525" s="198">
        <f>'kc tanah'!I114</f>
        <v>10.95</v>
      </c>
      <c r="N525" s="198">
        <f>'kc tanah'!J114</f>
        <v>0</v>
      </c>
      <c r="O525" s="199">
        <f>'kc tanah'!K114</f>
        <v>0</v>
      </c>
      <c r="P525" s="196">
        <f t="shared" si="208"/>
        <v>10.95</v>
      </c>
      <c r="Q525" s="192">
        <f t="shared" si="207"/>
        <v>7.3333333333333339</v>
      </c>
    </row>
    <row r="526" spans="1:17" ht="15.75" thickBot="1" x14ac:dyDescent="0.3">
      <c r="A526" s="86">
        <v>8</v>
      </c>
      <c r="B526" s="15" t="s">
        <v>25</v>
      </c>
      <c r="C526" s="181">
        <v>11.32</v>
      </c>
      <c r="D526" s="181">
        <v>11.2</v>
      </c>
      <c r="E526" s="181">
        <v>8.6300000000000008</v>
      </c>
      <c r="F526" s="181">
        <f>'kc tanah'!C115</f>
        <v>0</v>
      </c>
      <c r="G526" s="181">
        <f>'kc tanah'!D115</f>
        <v>12.62</v>
      </c>
      <c r="H526" s="181">
        <f>'kc tanah'!E115</f>
        <v>12.51</v>
      </c>
      <c r="I526" s="194">
        <f t="shared" si="206"/>
        <v>41.402684563758392</v>
      </c>
      <c r="J526" s="225">
        <f>'kc tanah'!F115</f>
        <v>0</v>
      </c>
      <c r="K526" s="225">
        <f>'kc tanah'!G115</f>
        <v>0</v>
      </c>
      <c r="L526" s="225">
        <f>'kc tanah'!H115</f>
        <v>12.13</v>
      </c>
      <c r="M526" s="225">
        <f>'kc tanah'!I115</f>
        <v>11.21</v>
      </c>
      <c r="N526" s="225">
        <f>'kc tanah'!J115</f>
        <v>0</v>
      </c>
      <c r="O526" s="225">
        <f>'kc tanah'!K115</f>
        <v>0</v>
      </c>
      <c r="P526" s="200">
        <f>SUM(J526:O526)</f>
        <v>23.340000000000003</v>
      </c>
      <c r="Q526" s="195">
        <f t="shared" si="207"/>
        <v>26.588435374149661</v>
      </c>
    </row>
    <row r="527" spans="1:17" ht="16.5" thickTop="1" thickBot="1" x14ac:dyDescent="0.3">
      <c r="A527" s="339" t="s">
        <v>26</v>
      </c>
      <c r="B527" s="340"/>
      <c r="C527" s="182">
        <f t="shared" ref="C527:H527" si="209">C383/C239*10</f>
        <v>161.11111111111111</v>
      </c>
      <c r="D527" s="182">
        <f t="shared" si="209"/>
        <v>350</v>
      </c>
      <c r="E527" s="182">
        <f t="shared" si="209"/>
        <v>75.5</v>
      </c>
      <c r="F527" s="182">
        <f t="shared" si="209"/>
        <v>12.02</v>
      </c>
      <c r="G527" s="182">
        <f t="shared" si="209"/>
        <v>12.83888888888889</v>
      </c>
      <c r="H527" s="183">
        <f t="shared" si="209"/>
        <v>12.07883817427386</v>
      </c>
      <c r="I527" s="185">
        <f t="shared" si="206"/>
        <v>17.96804260985353</v>
      </c>
      <c r="J527" s="184">
        <f t="shared" ref="J527:P527" si="210">J383/J239*10</f>
        <v>11.610810810810811</v>
      </c>
      <c r="K527" s="182">
        <f t="shared" si="210"/>
        <v>9.3555555555555543</v>
      </c>
      <c r="L527" s="182">
        <f t="shared" si="210"/>
        <v>11.661904761904765</v>
      </c>
      <c r="M527" s="182">
        <f t="shared" si="210"/>
        <v>11.25925925925926</v>
      </c>
      <c r="N527" s="182" t="e">
        <f t="shared" si="210"/>
        <v>#DIV/0!</v>
      </c>
      <c r="O527" s="183">
        <f t="shared" si="210"/>
        <v>11.227272727272728</v>
      </c>
      <c r="P527" s="185">
        <f t="shared" si="210"/>
        <v>11.337023370233702</v>
      </c>
      <c r="Q527" s="186">
        <f t="shared" si="207"/>
        <v>14.521099744245527</v>
      </c>
    </row>
    <row r="529" spans="1:17" ht="15.75" x14ac:dyDescent="0.25">
      <c r="A529" s="341" t="s">
        <v>180</v>
      </c>
      <c r="B529" s="341"/>
      <c r="C529" s="341"/>
      <c r="D529" s="341"/>
      <c r="E529" s="341"/>
      <c r="F529" s="341"/>
      <c r="G529" s="341"/>
      <c r="H529" s="341"/>
      <c r="I529" s="341"/>
      <c r="J529" s="341"/>
      <c r="K529" s="341"/>
      <c r="L529" s="341"/>
      <c r="M529" s="341"/>
      <c r="N529" s="341"/>
      <c r="O529" s="341"/>
      <c r="P529" s="341"/>
      <c r="Q529" s="341"/>
    </row>
    <row r="530" spans="1:17" ht="15.75" x14ac:dyDescent="0.25">
      <c r="A530" s="341" t="s">
        <v>81</v>
      </c>
      <c r="B530" s="341"/>
      <c r="C530" s="341"/>
      <c r="D530" s="341"/>
      <c r="E530" s="341"/>
      <c r="F530" s="341"/>
      <c r="G530" s="341"/>
      <c r="H530" s="341"/>
      <c r="I530" s="341"/>
      <c r="J530" s="341"/>
      <c r="K530" s="341"/>
      <c r="L530" s="341"/>
      <c r="M530" s="341"/>
      <c r="N530" s="341"/>
      <c r="O530" s="341"/>
      <c r="P530" s="341"/>
      <c r="Q530" s="341"/>
    </row>
    <row r="531" spans="1:17" ht="15.75" thickBot="1" x14ac:dyDescent="0.3">
      <c r="Q531" s="75" t="s">
        <v>31</v>
      </c>
    </row>
    <row r="532" spans="1:17" x14ac:dyDescent="0.25">
      <c r="A532" s="334" t="s">
        <v>2</v>
      </c>
      <c r="B532" s="336" t="s">
        <v>3</v>
      </c>
      <c r="C532" s="342" t="s">
        <v>183</v>
      </c>
      <c r="D532" s="343"/>
      <c r="E532" s="343"/>
      <c r="F532" s="343"/>
      <c r="G532" s="343"/>
      <c r="H532" s="344"/>
      <c r="I532" s="345" t="s">
        <v>82</v>
      </c>
      <c r="J532" s="347">
        <v>2020</v>
      </c>
      <c r="K532" s="343"/>
      <c r="L532" s="343"/>
      <c r="M532" s="343"/>
      <c r="N532" s="343"/>
      <c r="O532" s="344"/>
      <c r="P532" s="345" t="s">
        <v>83</v>
      </c>
      <c r="Q532" s="348" t="s">
        <v>5</v>
      </c>
    </row>
    <row r="533" spans="1:17" x14ac:dyDescent="0.25">
      <c r="A533" s="335"/>
      <c r="B533" s="324"/>
      <c r="C533" s="300" t="s">
        <v>15</v>
      </c>
      <c r="D533" s="300" t="s">
        <v>16</v>
      </c>
      <c r="E533" s="300" t="s">
        <v>17</v>
      </c>
      <c r="F533" s="300" t="s">
        <v>6</v>
      </c>
      <c r="G533" s="300" t="s">
        <v>76</v>
      </c>
      <c r="H533" s="119" t="s">
        <v>77</v>
      </c>
      <c r="I533" s="346"/>
      <c r="J533" s="109" t="s">
        <v>78</v>
      </c>
      <c r="K533" s="300" t="s">
        <v>10</v>
      </c>
      <c r="L533" s="300" t="s">
        <v>11</v>
      </c>
      <c r="M533" s="300" t="s">
        <v>12</v>
      </c>
      <c r="N533" s="300" t="s">
        <v>79</v>
      </c>
      <c r="O533" s="119" t="s">
        <v>80</v>
      </c>
      <c r="P533" s="346"/>
      <c r="Q533" s="349"/>
    </row>
    <row r="534" spans="1:17" ht="15.75" thickBot="1" x14ac:dyDescent="0.3">
      <c r="A534" s="111">
        <v>1</v>
      </c>
      <c r="B534" s="5">
        <v>2</v>
      </c>
      <c r="C534" s="5">
        <v>3</v>
      </c>
      <c r="D534" s="5">
        <v>4</v>
      </c>
      <c r="E534" s="5">
        <v>5</v>
      </c>
      <c r="F534" s="5">
        <v>6</v>
      </c>
      <c r="G534" s="5">
        <v>7</v>
      </c>
      <c r="H534" s="120">
        <v>8</v>
      </c>
      <c r="I534" s="122">
        <v>9</v>
      </c>
      <c r="J534" s="110">
        <v>10</v>
      </c>
      <c r="K534" s="5">
        <v>11</v>
      </c>
      <c r="L534" s="5">
        <v>12</v>
      </c>
      <c r="M534" s="5">
        <v>13</v>
      </c>
      <c r="N534" s="5">
        <v>14</v>
      </c>
      <c r="O534" s="120">
        <v>15</v>
      </c>
      <c r="P534" s="122">
        <v>16</v>
      </c>
      <c r="Q534" s="131">
        <v>17</v>
      </c>
    </row>
    <row r="535" spans="1:17" ht="15.75" thickTop="1" x14ac:dyDescent="0.25">
      <c r="A535" s="83">
        <v>1</v>
      </c>
      <c r="B535" s="7" t="s">
        <v>18</v>
      </c>
      <c r="C535" s="205">
        <v>95.21</v>
      </c>
      <c r="D535" s="205">
        <v>0</v>
      </c>
      <c r="E535" s="205">
        <v>0</v>
      </c>
      <c r="F535" s="205">
        <f>'ubi kayu'!C103</f>
        <v>0</v>
      </c>
      <c r="G535" s="205">
        <f>'ubi kayu'!D103</f>
        <v>0</v>
      </c>
      <c r="H535" s="205">
        <f>'ubi kayu'!E103</f>
        <v>0</v>
      </c>
      <c r="I535" s="206" t="e">
        <f t="shared" ref="I535:I540" si="211">I391/I247*10</f>
        <v>#DIV/0!</v>
      </c>
      <c r="J535" s="207">
        <f>'ubi kayu'!F103</f>
        <v>0</v>
      </c>
      <c r="K535" s="207">
        <f>'ubi kayu'!G103</f>
        <v>102.11</v>
      </c>
      <c r="L535" s="207">
        <f>'ubi kayu'!H103</f>
        <v>0</v>
      </c>
      <c r="M535" s="207">
        <f>'ubi kayu'!I103</f>
        <v>0</v>
      </c>
      <c r="N535" s="207">
        <f>'ubi kayu'!J103</f>
        <v>140.21</v>
      </c>
      <c r="O535" s="207">
        <f>'ubi kayu'!K103</f>
        <v>120.1</v>
      </c>
      <c r="P535" s="206">
        <f>SUM(J535:O535)</f>
        <v>362.41999999999996</v>
      </c>
      <c r="Q535" s="208">
        <f t="shared" ref="Q535:Q543" si="212">Q391/Q247*10</f>
        <v>158.80000000000001</v>
      </c>
    </row>
    <row r="536" spans="1:17" x14ac:dyDescent="0.25">
      <c r="A536" s="84">
        <v>2</v>
      </c>
      <c r="B536" s="12" t="s">
        <v>19</v>
      </c>
      <c r="C536" s="209">
        <v>0</v>
      </c>
      <c r="D536" s="209">
        <v>0</v>
      </c>
      <c r="E536" s="209">
        <v>0</v>
      </c>
      <c r="F536" s="209">
        <f>'ubi kayu'!C104</f>
        <v>128.02000000000001</v>
      </c>
      <c r="G536" s="209">
        <f>'ubi kayu'!D104</f>
        <v>0</v>
      </c>
      <c r="H536" s="209">
        <f>'ubi kayu'!E104</f>
        <v>0</v>
      </c>
      <c r="I536" s="210">
        <f t="shared" si="211"/>
        <v>85.333333333333329</v>
      </c>
      <c r="J536" s="228">
        <f>'ubi kayu'!F104</f>
        <v>0</v>
      </c>
      <c r="K536" s="211">
        <f>'ubi kayu'!G104</f>
        <v>0</v>
      </c>
      <c r="L536" s="211">
        <f>'ubi kayu'!H104</f>
        <v>0</v>
      </c>
      <c r="M536" s="211">
        <f>'ubi kayu'!I104</f>
        <v>0</v>
      </c>
      <c r="N536" s="211">
        <f>'ubi kayu'!J104</f>
        <v>0</v>
      </c>
      <c r="O536" s="212">
        <f>'ubi kayu'!K104</f>
        <v>0</v>
      </c>
      <c r="P536" s="210">
        <f t="shared" ref="P536:P541" si="213">SUM(J536:O536)</f>
        <v>0</v>
      </c>
      <c r="Q536" s="213">
        <f t="shared" si="212"/>
        <v>85.333333333333329</v>
      </c>
    </row>
    <row r="537" spans="1:17" x14ac:dyDescent="0.25">
      <c r="A537" s="84">
        <v>3</v>
      </c>
      <c r="B537" s="7" t="s">
        <v>20</v>
      </c>
      <c r="C537" s="209">
        <v>131.5</v>
      </c>
      <c r="D537" s="209">
        <v>0</v>
      </c>
      <c r="E537" s="209">
        <v>0</v>
      </c>
      <c r="F537" s="209">
        <f>'ubi kayu'!C105</f>
        <v>0</v>
      </c>
      <c r="G537" s="209">
        <f>'ubi kayu'!D105</f>
        <v>0</v>
      </c>
      <c r="H537" s="209">
        <f>'ubi kayu'!E105</f>
        <v>0</v>
      </c>
      <c r="I537" s="210" t="e">
        <f t="shared" si="211"/>
        <v>#DIV/0!</v>
      </c>
      <c r="J537" s="228">
        <f>'ubi kayu'!F105</f>
        <v>0</v>
      </c>
      <c r="K537" s="211">
        <f>'ubi kayu'!G105</f>
        <v>0</v>
      </c>
      <c r="L537" s="211">
        <f>'ubi kayu'!H105</f>
        <v>0</v>
      </c>
      <c r="M537" s="211">
        <f>'ubi kayu'!I105</f>
        <v>0</v>
      </c>
      <c r="N537" s="211">
        <f>'ubi kayu'!J105</f>
        <v>0</v>
      </c>
      <c r="O537" s="212">
        <f>'ubi kayu'!K105</f>
        <v>0</v>
      </c>
      <c r="P537" s="210">
        <f t="shared" si="213"/>
        <v>0</v>
      </c>
      <c r="Q537" s="213" t="e">
        <f t="shared" si="212"/>
        <v>#DIV/0!</v>
      </c>
    </row>
    <row r="538" spans="1:17" x14ac:dyDescent="0.25">
      <c r="A538" s="85">
        <v>4</v>
      </c>
      <c r="B538" s="15" t="s">
        <v>21</v>
      </c>
      <c r="C538" s="209">
        <v>0</v>
      </c>
      <c r="D538" s="209">
        <v>150.25</v>
      </c>
      <c r="E538" s="209">
        <v>187</v>
      </c>
      <c r="F538" s="209">
        <f>'ubi kayu'!C106</f>
        <v>0</v>
      </c>
      <c r="G538" s="209">
        <f>'ubi kayu'!D106</f>
        <v>0</v>
      </c>
      <c r="H538" s="209">
        <f>'ubi kayu'!E106</f>
        <v>0</v>
      </c>
      <c r="I538" s="210">
        <f t="shared" si="211"/>
        <v>520</v>
      </c>
      <c r="J538" s="228">
        <f>'ubi kayu'!F106</f>
        <v>0</v>
      </c>
      <c r="K538" s="211">
        <f>'ubi kayu'!G106</f>
        <v>0</v>
      </c>
      <c r="L538" s="211">
        <f>'ubi kayu'!H106</f>
        <v>0</v>
      </c>
      <c r="M538" s="211">
        <f>'ubi kayu'!I106</f>
        <v>0</v>
      </c>
      <c r="N538" s="211">
        <f>'ubi kayu'!J106</f>
        <v>0</v>
      </c>
      <c r="O538" s="212">
        <f>'ubi kayu'!K106</f>
        <v>0</v>
      </c>
      <c r="P538" s="210">
        <f t="shared" si="213"/>
        <v>0</v>
      </c>
      <c r="Q538" s="213">
        <f t="shared" si="212"/>
        <v>520</v>
      </c>
    </row>
    <row r="539" spans="1:17" x14ac:dyDescent="0.25">
      <c r="A539" s="85">
        <v>5</v>
      </c>
      <c r="B539" s="19" t="s">
        <v>22</v>
      </c>
      <c r="C539" s="209">
        <v>0</v>
      </c>
      <c r="D539" s="209">
        <v>0</v>
      </c>
      <c r="E539" s="209">
        <v>0</v>
      </c>
      <c r="F539" s="209">
        <f>'ubi kayu'!C107</f>
        <v>0</v>
      </c>
      <c r="G539" s="209">
        <f>'ubi kayu'!D107</f>
        <v>0</v>
      </c>
      <c r="H539" s="209">
        <f>'ubi kayu'!E107</f>
        <v>0</v>
      </c>
      <c r="I539" s="210">
        <f t="shared" si="211"/>
        <v>0</v>
      </c>
      <c r="J539" s="228">
        <f>'ubi kayu'!F107</f>
        <v>0</v>
      </c>
      <c r="K539" s="211">
        <f>'ubi kayu'!G107</f>
        <v>0</v>
      </c>
      <c r="L539" s="211">
        <f>'ubi kayu'!H107</f>
        <v>150.21</v>
      </c>
      <c r="M539" s="211">
        <f>'ubi kayu'!I107</f>
        <v>150.21</v>
      </c>
      <c r="N539" s="211">
        <f>'ubi kayu'!J107</f>
        <v>0</v>
      </c>
      <c r="O539" s="212">
        <f>'ubi kayu'!K107</f>
        <v>0</v>
      </c>
      <c r="P539" s="210">
        <f t="shared" si="213"/>
        <v>300.42</v>
      </c>
      <c r="Q539" s="213">
        <f t="shared" si="212"/>
        <v>112.5</v>
      </c>
    </row>
    <row r="540" spans="1:17" x14ac:dyDescent="0.25">
      <c r="A540" s="85">
        <v>6</v>
      </c>
      <c r="B540" s="19" t="s">
        <v>23</v>
      </c>
      <c r="C540" s="209">
        <v>0</v>
      </c>
      <c r="D540" s="209">
        <v>150.01</v>
      </c>
      <c r="E540" s="209">
        <v>0</v>
      </c>
      <c r="F540" s="209">
        <f>'ubi kayu'!C108</f>
        <v>0</v>
      </c>
      <c r="G540" s="209">
        <f>'ubi kayu'!D108</f>
        <v>0</v>
      </c>
      <c r="H540" s="209">
        <f>'ubi kayu'!E108</f>
        <v>0</v>
      </c>
      <c r="I540" s="210">
        <f t="shared" si="211"/>
        <v>300</v>
      </c>
      <c r="J540" s="228">
        <f>'ubi kayu'!F108</f>
        <v>0</v>
      </c>
      <c r="K540" s="211">
        <f>'ubi kayu'!G108</f>
        <v>100.15</v>
      </c>
      <c r="L540" s="211">
        <f>'ubi kayu'!H108</f>
        <v>0</v>
      </c>
      <c r="M540" s="211">
        <f>'ubi kayu'!I108</f>
        <v>0</v>
      </c>
      <c r="N540" s="211">
        <f>'ubi kayu'!J108</f>
        <v>0</v>
      </c>
      <c r="O540" s="212">
        <f>'ubi kayu'!K108</f>
        <v>0</v>
      </c>
      <c r="P540" s="210">
        <f t="shared" si="213"/>
        <v>100.15</v>
      </c>
      <c r="Q540" s="213">
        <f t="shared" si="212"/>
        <v>233.33333333333331</v>
      </c>
    </row>
    <row r="541" spans="1:17" x14ac:dyDescent="0.25">
      <c r="A541" s="85">
        <v>7</v>
      </c>
      <c r="B541" s="19" t="s">
        <v>24</v>
      </c>
      <c r="C541" s="209">
        <v>0</v>
      </c>
      <c r="D541" s="209">
        <v>0</v>
      </c>
      <c r="E541" s="209">
        <v>0</v>
      </c>
      <c r="F541" s="209">
        <f>'ubi kayu'!C109</f>
        <v>0</v>
      </c>
      <c r="G541" s="209">
        <f>'ubi kayu'!D109</f>
        <v>0</v>
      </c>
      <c r="H541" s="209">
        <f>'ubi kayu'!E109</f>
        <v>0</v>
      </c>
      <c r="I541" s="210">
        <v>0</v>
      </c>
      <c r="J541" s="228">
        <f>'ubi kayu'!F109</f>
        <v>0</v>
      </c>
      <c r="K541" s="211">
        <f>'ubi kayu'!G109</f>
        <v>0</v>
      </c>
      <c r="L541" s="211">
        <f>'ubi kayu'!H109</f>
        <v>0</v>
      </c>
      <c r="M541" s="211">
        <f>'ubi kayu'!I109</f>
        <v>0</v>
      </c>
      <c r="N541" s="211">
        <f>'ubi kayu'!J109</f>
        <v>0</v>
      </c>
      <c r="O541" s="212">
        <f>'ubi kayu'!K109</f>
        <v>0</v>
      </c>
      <c r="P541" s="210">
        <f t="shared" si="213"/>
        <v>0</v>
      </c>
      <c r="Q541" s="213" t="e">
        <f t="shared" si="212"/>
        <v>#DIV/0!</v>
      </c>
    </row>
    <row r="542" spans="1:17" ht="15.75" thickBot="1" x14ac:dyDescent="0.3">
      <c r="A542" s="86">
        <v>8</v>
      </c>
      <c r="B542" s="15" t="s">
        <v>25</v>
      </c>
      <c r="C542" s="214">
        <v>0</v>
      </c>
      <c r="D542" s="214">
        <v>0</v>
      </c>
      <c r="E542" s="214">
        <v>157.5</v>
      </c>
      <c r="F542" s="214">
        <f>'ubi kayu'!C110</f>
        <v>0</v>
      </c>
      <c r="G542" s="214">
        <f>'ubi kayu'!D110</f>
        <v>0</v>
      </c>
      <c r="H542" s="214">
        <f>'ubi kayu'!E110</f>
        <v>0</v>
      </c>
      <c r="I542" s="219">
        <f>I398/I254*10</f>
        <v>310</v>
      </c>
      <c r="J542" s="226">
        <f>'ubi kayu'!F110</f>
        <v>110.12</v>
      </c>
      <c r="K542" s="226">
        <f>'ubi kayu'!G110</f>
        <v>0</v>
      </c>
      <c r="L542" s="226">
        <f>'ubi kayu'!H110</f>
        <v>120.22</v>
      </c>
      <c r="M542" s="226">
        <f>'ubi kayu'!I110</f>
        <v>150.25</v>
      </c>
      <c r="N542" s="226">
        <f>'ubi kayu'!J110</f>
        <v>150.11000000000001</v>
      </c>
      <c r="O542" s="226">
        <f>'ubi kayu'!K110</f>
        <v>0</v>
      </c>
      <c r="P542" s="215">
        <f>SUM(J542:O542)</f>
        <v>530.70000000000005</v>
      </c>
      <c r="Q542" s="220">
        <f t="shared" si="212"/>
        <v>157.14285714285714</v>
      </c>
    </row>
    <row r="543" spans="1:17" ht="16.5" thickTop="1" thickBot="1" x14ac:dyDescent="0.3">
      <c r="A543" s="339" t="s">
        <v>26</v>
      </c>
      <c r="B543" s="340"/>
      <c r="C543" s="216">
        <f t="shared" ref="C543:H543" si="214">C399/C255*10</f>
        <v>450</v>
      </c>
      <c r="D543" s="216">
        <f t="shared" si="214"/>
        <v>750</v>
      </c>
      <c r="E543" s="216">
        <f t="shared" si="214"/>
        <v>170</v>
      </c>
      <c r="F543" s="216">
        <f t="shared" si="214"/>
        <v>128</v>
      </c>
      <c r="G543" s="216" t="e">
        <f t="shared" si="214"/>
        <v>#DIV/0!</v>
      </c>
      <c r="H543" s="217" t="e">
        <f t="shared" si="214"/>
        <v>#DIV/0!</v>
      </c>
      <c r="I543" s="218">
        <f>I399/I255*10</f>
        <v>267</v>
      </c>
      <c r="J543" s="221">
        <f t="shared" ref="J543:P543" si="215">J399/J255*10</f>
        <v>110</v>
      </c>
      <c r="K543" s="216">
        <f t="shared" si="215"/>
        <v>101.33333333333333</v>
      </c>
      <c r="L543" s="216">
        <f t="shared" si="215"/>
        <v>140</v>
      </c>
      <c r="M543" s="216">
        <f t="shared" si="215"/>
        <v>150</v>
      </c>
      <c r="N543" s="216">
        <f t="shared" si="215"/>
        <v>145</v>
      </c>
      <c r="O543" s="217">
        <f t="shared" si="215"/>
        <v>120</v>
      </c>
      <c r="P543" s="218">
        <f t="shared" si="215"/>
        <v>129.60000000000002</v>
      </c>
      <c r="Q543" s="222">
        <f t="shared" si="212"/>
        <v>177.39130434782609</v>
      </c>
    </row>
    <row r="545" spans="1:17" ht="15.75" x14ac:dyDescent="0.25">
      <c r="A545" s="341" t="s">
        <v>181</v>
      </c>
      <c r="B545" s="341"/>
      <c r="C545" s="341"/>
      <c r="D545" s="341"/>
      <c r="E545" s="341"/>
      <c r="F545" s="341"/>
      <c r="G545" s="341"/>
      <c r="H545" s="341"/>
      <c r="I545" s="341"/>
      <c r="J545" s="341"/>
      <c r="K545" s="341"/>
      <c r="L545" s="341"/>
      <c r="M545" s="341"/>
      <c r="N545" s="341"/>
      <c r="O545" s="341"/>
      <c r="P545" s="341"/>
      <c r="Q545" s="341"/>
    </row>
    <row r="546" spans="1:17" ht="15.75" x14ac:dyDescent="0.25">
      <c r="A546" s="341" t="s">
        <v>81</v>
      </c>
      <c r="B546" s="341"/>
      <c r="C546" s="341"/>
      <c r="D546" s="341"/>
      <c r="E546" s="341"/>
      <c r="F546" s="341"/>
      <c r="G546" s="341"/>
      <c r="H546" s="341"/>
      <c r="I546" s="341"/>
      <c r="J546" s="341"/>
      <c r="K546" s="341"/>
      <c r="L546" s="341"/>
      <c r="M546" s="341"/>
      <c r="N546" s="341"/>
      <c r="O546" s="341"/>
      <c r="P546" s="341"/>
      <c r="Q546" s="341"/>
    </row>
    <row r="547" spans="1:17" ht="15.75" thickBot="1" x14ac:dyDescent="0.3">
      <c r="Q547" s="75" t="s">
        <v>31</v>
      </c>
    </row>
    <row r="548" spans="1:17" x14ac:dyDescent="0.25">
      <c r="A548" s="334" t="s">
        <v>2</v>
      </c>
      <c r="B548" s="336" t="s">
        <v>3</v>
      </c>
      <c r="C548" s="342" t="s">
        <v>183</v>
      </c>
      <c r="D548" s="343"/>
      <c r="E548" s="343"/>
      <c r="F548" s="343"/>
      <c r="G548" s="343"/>
      <c r="H548" s="344"/>
      <c r="I548" s="345" t="s">
        <v>82</v>
      </c>
      <c r="J548" s="347">
        <v>2020</v>
      </c>
      <c r="K548" s="343"/>
      <c r="L548" s="343"/>
      <c r="M548" s="343"/>
      <c r="N548" s="343"/>
      <c r="O548" s="344"/>
      <c r="P548" s="345" t="s">
        <v>83</v>
      </c>
      <c r="Q548" s="348" t="s">
        <v>5</v>
      </c>
    </row>
    <row r="549" spans="1:17" x14ac:dyDescent="0.25">
      <c r="A549" s="335"/>
      <c r="B549" s="324"/>
      <c r="C549" s="300" t="s">
        <v>15</v>
      </c>
      <c r="D549" s="300" t="s">
        <v>16</v>
      </c>
      <c r="E549" s="300" t="s">
        <v>17</v>
      </c>
      <c r="F549" s="300" t="s">
        <v>6</v>
      </c>
      <c r="G549" s="300" t="s">
        <v>76</v>
      </c>
      <c r="H549" s="119" t="s">
        <v>77</v>
      </c>
      <c r="I549" s="346"/>
      <c r="J549" s="109" t="s">
        <v>78</v>
      </c>
      <c r="K549" s="300" t="s">
        <v>10</v>
      </c>
      <c r="L549" s="300" t="s">
        <v>11</v>
      </c>
      <c r="M549" s="300" t="s">
        <v>12</v>
      </c>
      <c r="N549" s="300" t="s">
        <v>79</v>
      </c>
      <c r="O549" s="119" t="s">
        <v>80</v>
      </c>
      <c r="P549" s="346"/>
      <c r="Q549" s="349"/>
    </row>
    <row r="550" spans="1:17" ht="15.75" thickBot="1" x14ac:dyDescent="0.3">
      <c r="A550" s="111">
        <v>1</v>
      </c>
      <c r="B550" s="5">
        <v>2</v>
      </c>
      <c r="C550" s="5">
        <v>3</v>
      </c>
      <c r="D550" s="5">
        <v>4</v>
      </c>
      <c r="E550" s="5">
        <v>5</v>
      </c>
      <c r="F550" s="5">
        <v>6</v>
      </c>
      <c r="G550" s="5">
        <v>7</v>
      </c>
      <c r="H550" s="120">
        <v>8</v>
      </c>
      <c r="I550" s="122">
        <v>9</v>
      </c>
      <c r="J550" s="110">
        <v>10</v>
      </c>
      <c r="K550" s="5">
        <v>11</v>
      </c>
      <c r="L550" s="5">
        <v>12</v>
      </c>
      <c r="M550" s="5">
        <v>13</v>
      </c>
      <c r="N550" s="5">
        <v>14</v>
      </c>
      <c r="O550" s="120">
        <v>15</v>
      </c>
      <c r="P550" s="122">
        <v>16</v>
      </c>
      <c r="Q550" s="131">
        <v>17</v>
      </c>
    </row>
    <row r="551" spans="1:17" ht="15.75" thickTop="1" x14ac:dyDescent="0.25">
      <c r="A551" s="83">
        <v>1</v>
      </c>
      <c r="B551" s="7" t="s">
        <v>18</v>
      </c>
      <c r="C551" s="205">
        <v>0</v>
      </c>
      <c r="D551" s="205">
        <v>0</v>
      </c>
      <c r="E551" s="205">
        <v>0</v>
      </c>
      <c r="F551" s="205">
        <f>'ubi jalar'!C108</f>
        <v>0</v>
      </c>
      <c r="G551" s="205">
        <f>'ubi jalar'!D108</f>
        <v>0</v>
      </c>
      <c r="H551" s="205">
        <f>'ubi jalar'!E108</f>
        <v>0</v>
      </c>
      <c r="I551" s="206" t="e">
        <f>I407/I263*10</f>
        <v>#DIV/0!</v>
      </c>
      <c r="J551" s="207">
        <f>'ubi jalar'!F108</f>
        <v>0</v>
      </c>
      <c r="K551" s="207">
        <f>'ubi jalar'!G108</f>
        <v>96.33</v>
      </c>
      <c r="L551" s="207">
        <f>'ubi jalar'!H108</f>
        <v>0</v>
      </c>
      <c r="M551" s="207">
        <f>'ubi jalar'!I108</f>
        <v>0</v>
      </c>
      <c r="N551" s="207">
        <f>'ubi jalar'!J108</f>
        <v>100.15</v>
      </c>
      <c r="O551" s="207">
        <f>'ubi jalar'!K108</f>
        <v>0</v>
      </c>
      <c r="P551" s="206">
        <f>SUM(J551:O551)</f>
        <v>196.48000000000002</v>
      </c>
      <c r="Q551" s="208">
        <f t="shared" ref="Q551:Q559" si="216">Q407/Q263*10</f>
        <v>96.7</v>
      </c>
    </row>
    <row r="552" spans="1:17" x14ac:dyDescent="0.25">
      <c r="A552" s="84">
        <v>2</v>
      </c>
      <c r="B552" s="12" t="s">
        <v>19</v>
      </c>
      <c r="C552" s="209">
        <v>90.31</v>
      </c>
      <c r="D552" s="209">
        <v>0</v>
      </c>
      <c r="E552" s="209">
        <v>0</v>
      </c>
      <c r="F552" s="209">
        <f>'ubi jalar'!C109</f>
        <v>0</v>
      </c>
      <c r="G552" s="209">
        <f>'ubi jalar'!D109</f>
        <v>0</v>
      </c>
      <c r="H552" s="209">
        <f>'ubi jalar'!E109</f>
        <v>102.2</v>
      </c>
      <c r="I552" s="210">
        <f>I408/I264*10</f>
        <v>96</v>
      </c>
      <c r="J552" s="228">
        <f>'ubi jalar'!F109</f>
        <v>104</v>
      </c>
      <c r="K552" s="211">
        <f>'ubi jalar'!G109</f>
        <v>0</v>
      </c>
      <c r="L552" s="211">
        <f>'ubi jalar'!H109</f>
        <v>0</v>
      </c>
      <c r="M552" s="211">
        <f>'ubi jalar'!I109</f>
        <v>0</v>
      </c>
      <c r="N552" s="211">
        <f>'ubi jalar'!J109</f>
        <v>101.41</v>
      </c>
      <c r="O552" s="212">
        <f>'ubi jalar'!K109</f>
        <v>102.11</v>
      </c>
      <c r="P552" s="210">
        <f t="shared" ref="P552:P557" si="217">SUM(J552:O552)</f>
        <v>307.52</v>
      </c>
      <c r="Q552" s="213">
        <f t="shared" si="216"/>
        <v>99.800000000000011</v>
      </c>
    </row>
    <row r="553" spans="1:17" x14ac:dyDescent="0.25">
      <c r="A553" s="84">
        <v>3</v>
      </c>
      <c r="B553" s="7" t="s">
        <v>20</v>
      </c>
      <c r="C553" s="209">
        <v>0</v>
      </c>
      <c r="D553" s="209">
        <v>0</v>
      </c>
      <c r="E553" s="209">
        <v>0</v>
      </c>
      <c r="F553" s="209">
        <f>'ubi jalar'!C110</f>
        <v>0</v>
      </c>
      <c r="G553" s="209">
        <f>'ubi jalar'!D110</f>
        <v>0</v>
      </c>
      <c r="H553" s="209">
        <f>'ubi jalar'!E110</f>
        <v>0</v>
      </c>
      <c r="I553" s="210">
        <v>0</v>
      </c>
      <c r="J553" s="228">
        <f>'ubi jalar'!F110</f>
        <v>0</v>
      </c>
      <c r="K553" s="211">
        <f>'ubi jalar'!G110</f>
        <v>0</v>
      </c>
      <c r="L553" s="211">
        <f>'ubi jalar'!H110</f>
        <v>0</v>
      </c>
      <c r="M553" s="211">
        <f>'ubi jalar'!I110</f>
        <v>0</v>
      </c>
      <c r="N553" s="211">
        <f>'ubi jalar'!J110</f>
        <v>0</v>
      </c>
      <c r="O553" s="212">
        <f>'ubi jalar'!K110</f>
        <v>0</v>
      </c>
      <c r="P553" s="210">
        <f t="shared" si="217"/>
        <v>0</v>
      </c>
      <c r="Q553" s="213" t="e">
        <f t="shared" si="216"/>
        <v>#DIV/0!</v>
      </c>
    </row>
    <row r="554" spans="1:17" x14ac:dyDescent="0.25">
      <c r="A554" s="85">
        <v>4</v>
      </c>
      <c r="B554" s="15" t="s">
        <v>21</v>
      </c>
      <c r="C554" s="209">
        <v>150</v>
      </c>
      <c r="D554" s="209">
        <v>0</v>
      </c>
      <c r="E554" s="209">
        <v>125.25</v>
      </c>
      <c r="F554" s="209">
        <f>'ubi jalar'!C111</f>
        <v>0</v>
      </c>
      <c r="G554" s="209">
        <f>'ubi jalar'!D111</f>
        <v>0</v>
      </c>
      <c r="H554" s="209">
        <f>'ubi jalar'!E111</f>
        <v>0</v>
      </c>
      <c r="I554" s="210" t="e">
        <f>I410/I266*10</f>
        <v>#DIV/0!</v>
      </c>
      <c r="J554" s="228">
        <f>'ubi jalar'!F111</f>
        <v>0</v>
      </c>
      <c r="K554" s="211">
        <f>'ubi jalar'!G111</f>
        <v>0</v>
      </c>
      <c r="L554" s="211">
        <f>'ubi jalar'!H111</f>
        <v>0</v>
      </c>
      <c r="M554" s="211">
        <f>'ubi jalar'!I111</f>
        <v>0</v>
      </c>
      <c r="N554" s="211">
        <f>'ubi jalar'!J111</f>
        <v>0</v>
      </c>
      <c r="O554" s="212">
        <f>'ubi jalar'!K111</f>
        <v>0</v>
      </c>
      <c r="P554" s="210">
        <f t="shared" si="217"/>
        <v>0</v>
      </c>
      <c r="Q554" s="213" t="e">
        <f t="shared" si="216"/>
        <v>#DIV/0!</v>
      </c>
    </row>
    <row r="555" spans="1:17" x14ac:dyDescent="0.25">
      <c r="A555" s="85">
        <v>5</v>
      </c>
      <c r="B555" s="19" t="s">
        <v>22</v>
      </c>
      <c r="C555" s="209">
        <v>101.26</v>
      </c>
      <c r="D555" s="209">
        <v>0</v>
      </c>
      <c r="E555" s="209">
        <v>0</v>
      </c>
      <c r="F555" s="209">
        <f>'ubi jalar'!C112</f>
        <v>0</v>
      </c>
      <c r="G555" s="209">
        <f>'ubi jalar'!D112</f>
        <v>0</v>
      </c>
      <c r="H555" s="209">
        <f>'ubi jalar'!E112</f>
        <v>0</v>
      </c>
      <c r="I555" s="210">
        <f>I411/I267*10</f>
        <v>33.333333333333336</v>
      </c>
      <c r="J555" s="228">
        <f>'ubi jalar'!F112</f>
        <v>0</v>
      </c>
      <c r="K555" s="211">
        <f>'ubi jalar'!G112</f>
        <v>0</v>
      </c>
      <c r="L555" s="211">
        <f>'ubi jalar'!H112</f>
        <v>0</v>
      </c>
      <c r="M555" s="211">
        <f>'ubi jalar'!I112</f>
        <v>0</v>
      </c>
      <c r="N555" s="211">
        <f>'ubi jalar'!J112</f>
        <v>0</v>
      </c>
      <c r="O555" s="212">
        <f>'ubi jalar'!K112</f>
        <v>0</v>
      </c>
      <c r="P555" s="210">
        <f t="shared" si="217"/>
        <v>0</v>
      </c>
      <c r="Q555" s="213">
        <f t="shared" si="216"/>
        <v>33.333333333333336</v>
      </c>
    </row>
    <row r="556" spans="1:17" x14ac:dyDescent="0.25">
      <c r="A556" s="85">
        <v>6</v>
      </c>
      <c r="B556" s="19" t="s">
        <v>23</v>
      </c>
      <c r="C556" s="209">
        <v>0</v>
      </c>
      <c r="D556" s="209">
        <v>0</v>
      </c>
      <c r="E556" s="209">
        <v>0</v>
      </c>
      <c r="F556" s="209">
        <f>'ubi jalar'!C113</f>
        <v>0</v>
      </c>
      <c r="G556" s="209">
        <f>'ubi jalar'!D113</f>
        <v>91.05</v>
      </c>
      <c r="H556" s="209">
        <f>'ubi jalar'!E113</f>
        <v>0</v>
      </c>
      <c r="I556" s="210">
        <v>0</v>
      </c>
      <c r="J556" s="228">
        <f>'ubi jalar'!F113</f>
        <v>0</v>
      </c>
      <c r="K556" s="211">
        <f>'ubi jalar'!G113</f>
        <v>95.21</v>
      </c>
      <c r="L556" s="211">
        <f>'ubi jalar'!H113</f>
        <v>0</v>
      </c>
      <c r="M556" s="211">
        <f>'ubi jalar'!I113</f>
        <v>0</v>
      </c>
      <c r="N556" s="211">
        <f>'ubi jalar'!J113</f>
        <v>0</v>
      </c>
      <c r="O556" s="212">
        <f>'ubi jalar'!K113</f>
        <v>0</v>
      </c>
      <c r="P556" s="210">
        <f t="shared" si="217"/>
        <v>95.21</v>
      </c>
      <c r="Q556" s="213">
        <f t="shared" si="216"/>
        <v>46.5</v>
      </c>
    </row>
    <row r="557" spans="1:17" x14ac:dyDescent="0.25">
      <c r="A557" s="85">
        <v>7</v>
      </c>
      <c r="B557" s="19" t="s">
        <v>24</v>
      </c>
      <c r="C557" s="209">
        <v>0</v>
      </c>
      <c r="D557" s="209">
        <v>0</v>
      </c>
      <c r="E557" s="209">
        <v>0</v>
      </c>
      <c r="F557" s="209">
        <f>'ubi jalar'!C114</f>
        <v>0</v>
      </c>
      <c r="G557" s="209">
        <f>'ubi jalar'!D114</f>
        <v>0</v>
      </c>
      <c r="H557" s="209">
        <f>'ubi jalar'!E114</f>
        <v>0</v>
      </c>
      <c r="I557" s="210">
        <v>0</v>
      </c>
      <c r="J557" s="228">
        <f>'ubi jalar'!F114</f>
        <v>0</v>
      </c>
      <c r="K557" s="211">
        <f>'ubi jalar'!G114</f>
        <v>0</v>
      </c>
      <c r="L557" s="211">
        <f>'ubi jalar'!H114</f>
        <v>0</v>
      </c>
      <c r="M557" s="211">
        <f>'ubi jalar'!I114</f>
        <v>0</v>
      </c>
      <c r="N557" s="211">
        <f>'ubi jalar'!J114</f>
        <v>0</v>
      </c>
      <c r="O557" s="212">
        <f>'ubi jalar'!K114</f>
        <v>0</v>
      </c>
      <c r="P557" s="210">
        <f t="shared" si="217"/>
        <v>0</v>
      </c>
      <c r="Q557" s="213" t="e">
        <f t="shared" si="216"/>
        <v>#DIV/0!</v>
      </c>
    </row>
    <row r="558" spans="1:17" ht="15.75" thickBot="1" x14ac:dyDescent="0.3">
      <c r="A558" s="86">
        <v>8</v>
      </c>
      <c r="B558" s="15" t="s">
        <v>25</v>
      </c>
      <c r="C558" s="214">
        <v>80.12</v>
      </c>
      <c r="D558" s="214">
        <v>0</v>
      </c>
      <c r="E558" s="214">
        <v>0</v>
      </c>
      <c r="F558" s="214">
        <f>'ubi jalar'!C115</f>
        <v>0</v>
      </c>
      <c r="G558" s="214">
        <f>'ubi jalar'!D115</f>
        <v>0</v>
      </c>
      <c r="H558" s="214">
        <f>'ubi jalar'!E115</f>
        <v>100.3</v>
      </c>
      <c r="I558" s="219">
        <f>I414/I270*10</f>
        <v>180</v>
      </c>
      <c r="J558" s="226">
        <f>'ubi jalar'!F115</f>
        <v>0</v>
      </c>
      <c r="K558" s="226">
        <f>'ubi jalar'!G115</f>
        <v>0</v>
      </c>
      <c r="L558" s="226">
        <f>'ubi jalar'!H115</f>
        <v>0</v>
      </c>
      <c r="M558" s="226">
        <f>'ubi jalar'!I115</f>
        <v>90.81</v>
      </c>
      <c r="N558" s="226">
        <f>'ubi jalar'!J115</f>
        <v>0</v>
      </c>
      <c r="O558" s="226">
        <f>'ubi jalar'!K115</f>
        <v>0</v>
      </c>
      <c r="P558" s="215">
        <f>SUM(J558:O558)</f>
        <v>90.81</v>
      </c>
      <c r="Q558" s="220">
        <f t="shared" si="216"/>
        <v>135.5</v>
      </c>
    </row>
    <row r="559" spans="1:17" ht="16.5" thickTop="1" thickBot="1" x14ac:dyDescent="0.3">
      <c r="A559" s="339" t="s">
        <v>26</v>
      </c>
      <c r="B559" s="340"/>
      <c r="C559" s="216" t="e">
        <f>C415/C271*10</f>
        <v>#DIV/0!</v>
      </c>
      <c r="D559" s="216">
        <f t="shared" ref="D559:E559" si="218">SUM(D551:D558)</f>
        <v>0</v>
      </c>
      <c r="E559" s="216">
        <f t="shared" si="218"/>
        <v>125.25</v>
      </c>
      <c r="F559" s="216" t="e">
        <f>F415/F271*10</f>
        <v>#DIV/0!</v>
      </c>
      <c r="G559" s="216">
        <f>G415/G271*10</f>
        <v>91</v>
      </c>
      <c r="H559" s="217">
        <f>H415/H271*10</f>
        <v>101</v>
      </c>
      <c r="I559" s="218">
        <f>I415/I271*10</f>
        <v>123.66666666666667</v>
      </c>
      <c r="J559" s="221">
        <v>90.51</v>
      </c>
      <c r="K559" s="216">
        <f t="shared" ref="K559:P559" si="219">K415/K271*10</f>
        <v>96.200000000000017</v>
      </c>
      <c r="L559" s="216" t="e">
        <f t="shared" si="219"/>
        <v>#DIV/0!</v>
      </c>
      <c r="M559" s="216">
        <f t="shared" si="219"/>
        <v>91</v>
      </c>
      <c r="N559" s="216">
        <f t="shared" si="219"/>
        <v>100.5</v>
      </c>
      <c r="O559" s="217">
        <f t="shared" si="219"/>
        <v>102</v>
      </c>
      <c r="P559" s="218">
        <f t="shared" si="219"/>
        <v>97.333333333333329</v>
      </c>
      <c r="Q559" s="222">
        <f t="shared" si="216"/>
        <v>107.20833333333333</v>
      </c>
    </row>
    <row r="561" spans="1:17" ht="15.75" x14ac:dyDescent="0.25">
      <c r="A561" s="341" t="s">
        <v>182</v>
      </c>
      <c r="B561" s="341"/>
      <c r="C561" s="341"/>
      <c r="D561" s="341"/>
      <c r="E561" s="341"/>
      <c r="F561" s="341"/>
      <c r="G561" s="341"/>
      <c r="H561" s="341"/>
      <c r="I561" s="341"/>
      <c r="J561" s="341"/>
      <c r="K561" s="341"/>
      <c r="L561" s="341"/>
      <c r="M561" s="341"/>
      <c r="N561" s="341"/>
      <c r="O561" s="341"/>
      <c r="P561" s="341"/>
      <c r="Q561" s="341"/>
    </row>
    <row r="562" spans="1:17" ht="15.75" x14ac:dyDescent="0.25">
      <c r="A562" s="341" t="s">
        <v>81</v>
      </c>
      <c r="B562" s="341"/>
      <c r="C562" s="341"/>
      <c r="D562" s="341"/>
      <c r="E562" s="341"/>
      <c r="F562" s="341"/>
      <c r="G562" s="341"/>
      <c r="H562" s="341"/>
      <c r="I562" s="341"/>
      <c r="J562" s="341"/>
      <c r="K562" s="341"/>
      <c r="L562" s="341"/>
      <c r="M562" s="341"/>
      <c r="N562" s="341"/>
      <c r="O562" s="341"/>
      <c r="P562" s="341"/>
      <c r="Q562" s="341"/>
    </row>
    <row r="563" spans="1:17" ht="15.75" thickBot="1" x14ac:dyDescent="0.3">
      <c r="Q563" s="75" t="s">
        <v>31</v>
      </c>
    </row>
    <row r="564" spans="1:17" x14ac:dyDescent="0.25">
      <c r="A564" s="334" t="s">
        <v>2</v>
      </c>
      <c r="B564" s="336" t="s">
        <v>3</v>
      </c>
      <c r="C564" s="342" t="s">
        <v>183</v>
      </c>
      <c r="D564" s="343"/>
      <c r="E564" s="343"/>
      <c r="F564" s="343"/>
      <c r="G564" s="343"/>
      <c r="H564" s="344"/>
      <c r="I564" s="345" t="s">
        <v>82</v>
      </c>
      <c r="J564" s="347">
        <v>2020</v>
      </c>
      <c r="K564" s="343"/>
      <c r="L564" s="343"/>
      <c r="M564" s="343"/>
      <c r="N564" s="343"/>
      <c r="O564" s="344"/>
      <c r="P564" s="345" t="s">
        <v>83</v>
      </c>
      <c r="Q564" s="348" t="s">
        <v>5</v>
      </c>
    </row>
    <row r="565" spans="1:17" x14ac:dyDescent="0.25">
      <c r="A565" s="335"/>
      <c r="B565" s="324"/>
      <c r="C565" s="300" t="s">
        <v>15</v>
      </c>
      <c r="D565" s="300" t="s">
        <v>16</v>
      </c>
      <c r="E565" s="300" t="s">
        <v>17</v>
      </c>
      <c r="F565" s="300" t="s">
        <v>6</v>
      </c>
      <c r="G565" s="300" t="s">
        <v>76</v>
      </c>
      <c r="H565" s="119" t="s">
        <v>77</v>
      </c>
      <c r="I565" s="346"/>
      <c r="J565" s="109" t="s">
        <v>78</v>
      </c>
      <c r="K565" s="300" t="s">
        <v>10</v>
      </c>
      <c r="L565" s="300" t="s">
        <v>11</v>
      </c>
      <c r="M565" s="300" t="s">
        <v>12</v>
      </c>
      <c r="N565" s="300" t="s">
        <v>79</v>
      </c>
      <c r="O565" s="119" t="s">
        <v>80</v>
      </c>
      <c r="P565" s="346"/>
      <c r="Q565" s="349"/>
    </row>
    <row r="566" spans="1:17" ht="15.75" thickBot="1" x14ac:dyDescent="0.3">
      <c r="A566" s="111">
        <v>1</v>
      </c>
      <c r="B566" s="5">
        <v>2</v>
      </c>
      <c r="C566" s="5">
        <v>3</v>
      </c>
      <c r="D566" s="5">
        <v>4</v>
      </c>
      <c r="E566" s="5">
        <v>5</v>
      </c>
      <c r="F566" s="5">
        <v>6</v>
      </c>
      <c r="G566" s="5">
        <v>7</v>
      </c>
      <c r="H566" s="120">
        <v>8</v>
      </c>
      <c r="I566" s="122">
        <v>9</v>
      </c>
      <c r="J566" s="110">
        <v>10</v>
      </c>
      <c r="K566" s="5">
        <v>11</v>
      </c>
      <c r="L566" s="5">
        <v>12</v>
      </c>
      <c r="M566" s="5">
        <v>13</v>
      </c>
      <c r="N566" s="5">
        <v>14</v>
      </c>
      <c r="O566" s="120">
        <v>15</v>
      </c>
      <c r="P566" s="122">
        <v>16</v>
      </c>
      <c r="Q566" s="131">
        <v>17</v>
      </c>
    </row>
    <row r="567" spans="1:17" ht="15.75" thickTop="1" x14ac:dyDescent="0.25">
      <c r="A567" s="83">
        <v>1</v>
      </c>
      <c r="B567" s="7" t="s">
        <v>18</v>
      </c>
      <c r="C567" s="179">
        <v>0</v>
      </c>
      <c r="D567" s="179">
        <v>0</v>
      </c>
      <c r="E567" s="179">
        <v>0</v>
      </c>
      <c r="F567" s="179">
        <f>'kc ijo'!C108</f>
        <v>0</v>
      </c>
      <c r="G567" s="179">
        <f>'kc ijo'!D108</f>
        <v>0</v>
      </c>
      <c r="H567" s="179">
        <f>'kc ijo'!E108</f>
        <v>0</v>
      </c>
      <c r="I567" s="187">
        <f>SUM(C567:H567)</f>
        <v>0</v>
      </c>
      <c r="J567" s="197">
        <f>'kc ijo'!F108</f>
        <v>8.1</v>
      </c>
      <c r="K567" s="197">
        <f>'kc ijo'!G108</f>
        <v>8.0299999999999994</v>
      </c>
      <c r="L567" s="197">
        <f>'kc ijo'!H108</f>
        <v>0</v>
      </c>
      <c r="M567" s="197">
        <f>'kc ijo'!I108</f>
        <v>0</v>
      </c>
      <c r="N567" s="197">
        <f>'kc ijo'!J108</f>
        <v>0</v>
      </c>
      <c r="O567" s="197">
        <f>'kc ijo'!K108</f>
        <v>0</v>
      </c>
      <c r="P567" s="187">
        <f>SUM(J567:O567)</f>
        <v>16.13</v>
      </c>
      <c r="Q567" s="191">
        <f>SUM(I567,P567)</f>
        <v>16.13</v>
      </c>
    </row>
    <row r="568" spans="1:17" x14ac:dyDescent="0.25">
      <c r="A568" s="84">
        <v>2</v>
      </c>
      <c r="B568" s="12" t="s">
        <v>19</v>
      </c>
      <c r="C568" s="180">
        <v>0</v>
      </c>
      <c r="D568" s="180">
        <v>0</v>
      </c>
      <c r="E568" s="180">
        <v>0</v>
      </c>
      <c r="F568" s="180">
        <f>'kc ijo'!C109</f>
        <v>0</v>
      </c>
      <c r="G568" s="180">
        <f>'kc ijo'!D109</f>
        <v>0</v>
      </c>
      <c r="H568" s="204">
        <f>'kc ijo'!E109</f>
        <v>9.1</v>
      </c>
      <c r="I568" s="196">
        <f t="shared" ref="I568:I574" si="220">SUM(C568:H568)</f>
        <v>9.1</v>
      </c>
      <c r="J568" s="227">
        <f>'kc ijo'!F109</f>
        <v>0</v>
      </c>
      <c r="K568" s="198">
        <f>'kc ijo'!G109</f>
        <v>0</v>
      </c>
      <c r="L568" s="198">
        <f>'kc ijo'!H109</f>
        <v>0</v>
      </c>
      <c r="M568" s="198">
        <f>'kc ijo'!I109</f>
        <v>0</v>
      </c>
      <c r="N568" s="198">
        <f>'kc ijo'!J109</f>
        <v>0</v>
      </c>
      <c r="O568" s="199">
        <f>'kc ijo'!K109</f>
        <v>0</v>
      </c>
      <c r="P568" s="196">
        <f t="shared" ref="P568:P573" si="221">SUM(J568:O568)</f>
        <v>0</v>
      </c>
      <c r="Q568" s="192">
        <f t="shared" ref="Q568:Q574" si="222">SUM(I568,P568)</f>
        <v>9.1</v>
      </c>
    </row>
    <row r="569" spans="1:17" x14ac:dyDescent="0.25">
      <c r="A569" s="84">
        <v>3</v>
      </c>
      <c r="B569" s="7" t="s">
        <v>20</v>
      </c>
      <c r="C569" s="180">
        <v>0</v>
      </c>
      <c r="D569" s="180">
        <v>0</v>
      </c>
      <c r="E569" s="180">
        <v>0</v>
      </c>
      <c r="F569" s="180">
        <f>'kc ijo'!C110</f>
        <v>0</v>
      </c>
      <c r="G569" s="180">
        <f>'kc ijo'!D110</f>
        <v>0</v>
      </c>
      <c r="H569" s="204">
        <f>'kc ijo'!E110</f>
        <v>0</v>
      </c>
      <c r="I569" s="196">
        <f t="shared" si="220"/>
        <v>0</v>
      </c>
      <c r="J569" s="227">
        <f>'kc ijo'!F110</f>
        <v>0</v>
      </c>
      <c r="K569" s="198">
        <f>'kc ijo'!G110</f>
        <v>0</v>
      </c>
      <c r="L569" s="198">
        <f>'kc ijo'!H110</f>
        <v>0</v>
      </c>
      <c r="M569" s="198">
        <f>'kc ijo'!I110</f>
        <v>0</v>
      </c>
      <c r="N569" s="198">
        <f>'kc ijo'!J110</f>
        <v>0</v>
      </c>
      <c r="O569" s="199">
        <f>'kc ijo'!K110</f>
        <v>0</v>
      </c>
      <c r="P569" s="196">
        <f t="shared" si="221"/>
        <v>0</v>
      </c>
      <c r="Q569" s="192">
        <f t="shared" si="222"/>
        <v>0</v>
      </c>
    </row>
    <row r="570" spans="1:17" x14ac:dyDescent="0.25">
      <c r="A570" s="85">
        <v>4</v>
      </c>
      <c r="B570" s="15" t="s">
        <v>21</v>
      </c>
      <c r="C570" s="180">
        <v>0</v>
      </c>
      <c r="D570" s="180">
        <v>0</v>
      </c>
      <c r="E570" s="180">
        <v>6</v>
      </c>
      <c r="F570" s="180">
        <f>'kc ijo'!C111</f>
        <v>0</v>
      </c>
      <c r="G570" s="180">
        <f>'kc ijo'!D111</f>
        <v>0</v>
      </c>
      <c r="H570" s="204">
        <f>'kc ijo'!E111</f>
        <v>9.02</v>
      </c>
      <c r="I570" s="196">
        <f t="shared" si="220"/>
        <v>15.02</v>
      </c>
      <c r="J570" s="227">
        <f>'kc ijo'!F111</f>
        <v>0</v>
      </c>
      <c r="K570" s="198">
        <f>'kc ijo'!G111</f>
        <v>0</v>
      </c>
      <c r="L570" s="198">
        <f>'kc ijo'!H111</f>
        <v>8.25</v>
      </c>
      <c r="M570" s="198">
        <f>'kc ijo'!I111</f>
        <v>8.19</v>
      </c>
      <c r="N570" s="198">
        <f>'kc ijo'!J111</f>
        <v>0</v>
      </c>
      <c r="O570" s="199">
        <f>'kc ijo'!K111</f>
        <v>0</v>
      </c>
      <c r="P570" s="196">
        <f t="shared" si="221"/>
        <v>16.439999999999998</v>
      </c>
      <c r="Q570" s="192">
        <f t="shared" si="222"/>
        <v>31.459999999999997</v>
      </c>
    </row>
    <row r="571" spans="1:17" x14ac:dyDescent="0.25">
      <c r="A571" s="85">
        <v>5</v>
      </c>
      <c r="B571" s="19" t="s">
        <v>22</v>
      </c>
      <c r="C571" s="180">
        <v>0</v>
      </c>
      <c r="D571" s="180">
        <v>0</v>
      </c>
      <c r="E571" s="180">
        <v>0</v>
      </c>
      <c r="F571" s="180">
        <f>'kc ijo'!C112</f>
        <v>0</v>
      </c>
      <c r="G571" s="180">
        <f>'kc ijo'!D112</f>
        <v>0</v>
      </c>
      <c r="H571" s="204">
        <f>'kc ijo'!E112</f>
        <v>0</v>
      </c>
      <c r="I571" s="196">
        <f t="shared" si="220"/>
        <v>0</v>
      </c>
      <c r="J571" s="227">
        <f>'kc ijo'!F112</f>
        <v>0</v>
      </c>
      <c r="K571" s="198">
        <f>'kc ijo'!G112</f>
        <v>0</v>
      </c>
      <c r="L571" s="198">
        <f>'kc ijo'!H112</f>
        <v>0</v>
      </c>
      <c r="M571" s="198">
        <f>'kc ijo'!I112</f>
        <v>0</v>
      </c>
      <c r="N571" s="198">
        <f>'kc ijo'!J112</f>
        <v>0</v>
      </c>
      <c r="O571" s="199">
        <f>'kc ijo'!K112</f>
        <v>0</v>
      </c>
      <c r="P571" s="196">
        <f t="shared" si="221"/>
        <v>0</v>
      </c>
      <c r="Q571" s="192">
        <f t="shared" si="222"/>
        <v>0</v>
      </c>
    </row>
    <row r="572" spans="1:17" x14ac:dyDescent="0.25">
      <c r="A572" s="85">
        <v>6</v>
      </c>
      <c r="B572" s="19" t="s">
        <v>23</v>
      </c>
      <c r="C572" s="180">
        <v>0</v>
      </c>
      <c r="D572" s="180">
        <v>0</v>
      </c>
      <c r="E572" s="180">
        <v>0</v>
      </c>
      <c r="F572" s="180">
        <f>'kc ijo'!C113</f>
        <v>0</v>
      </c>
      <c r="G572" s="180">
        <f>'kc ijo'!D113</f>
        <v>0</v>
      </c>
      <c r="H572" s="204">
        <f>'kc ijo'!E113</f>
        <v>0</v>
      </c>
      <c r="I572" s="196">
        <f t="shared" si="220"/>
        <v>0</v>
      </c>
      <c r="J572" s="227">
        <f>'kc ijo'!F113</f>
        <v>0</v>
      </c>
      <c r="K572" s="198">
        <f>'kc ijo'!G113</f>
        <v>0</v>
      </c>
      <c r="L572" s="198">
        <f>'kc ijo'!H113</f>
        <v>0</v>
      </c>
      <c r="M572" s="198">
        <f>'kc ijo'!I113</f>
        <v>0</v>
      </c>
      <c r="N572" s="198">
        <f>'kc ijo'!J113</f>
        <v>0</v>
      </c>
      <c r="O572" s="199">
        <f>'kc ijo'!K113</f>
        <v>0</v>
      </c>
      <c r="P572" s="196">
        <f t="shared" si="221"/>
        <v>0</v>
      </c>
      <c r="Q572" s="192">
        <f t="shared" si="222"/>
        <v>0</v>
      </c>
    </row>
    <row r="573" spans="1:17" x14ac:dyDescent="0.25">
      <c r="A573" s="85">
        <v>7</v>
      </c>
      <c r="B573" s="19" t="s">
        <v>24</v>
      </c>
      <c r="C573" s="180">
        <v>0</v>
      </c>
      <c r="D573" s="180">
        <v>0</v>
      </c>
      <c r="E573" s="180">
        <v>0</v>
      </c>
      <c r="F573" s="180">
        <f>'kc ijo'!C114</f>
        <v>0</v>
      </c>
      <c r="G573" s="180">
        <f>'kc ijo'!D114</f>
        <v>0</v>
      </c>
      <c r="H573" s="204">
        <f>'kc ijo'!E114</f>
        <v>0</v>
      </c>
      <c r="I573" s="196">
        <f t="shared" si="220"/>
        <v>0</v>
      </c>
      <c r="J573" s="227">
        <f>'kc ijo'!F114</f>
        <v>0</v>
      </c>
      <c r="K573" s="198">
        <f>'kc ijo'!G114</f>
        <v>0</v>
      </c>
      <c r="L573" s="198">
        <f>'kc ijo'!H114</f>
        <v>0</v>
      </c>
      <c r="M573" s="198">
        <f>'kc ijo'!I114</f>
        <v>0</v>
      </c>
      <c r="N573" s="198">
        <f>'kc ijo'!J114</f>
        <v>0</v>
      </c>
      <c r="O573" s="199">
        <f>'kc ijo'!K114</f>
        <v>0</v>
      </c>
      <c r="P573" s="196">
        <f t="shared" si="221"/>
        <v>0</v>
      </c>
      <c r="Q573" s="192">
        <f t="shared" si="222"/>
        <v>0</v>
      </c>
    </row>
    <row r="574" spans="1:17" ht="15.75" thickBot="1" x14ac:dyDescent="0.3">
      <c r="A574" s="86">
        <v>8</v>
      </c>
      <c r="B574" s="15" t="s">
        <v>25</v>
      </c>
      <c r="C574" s="181">
        <v>3.11</v>
      </c>
      <c r="D574" s="181">
        <v>0</v>
      </c>
      <c r="E574" s="181">
        <v>0</v>
      </c>
      <c r="F574" s="181">
        <f>'kc ijo'!C115</f>
        <v>0</v>
      </c>
      <c r="G574" s="181">
        <f>'kc ijo'!D115</f>
        <v>8</v>
      </c>
      <c r="H574" s="181">
        <f>'kc ijo'!E115</f>
        <v>0</v>
      </c>
      <c r="I574" s="200">
        <f t="shared" si="220"/>
        <v>11.11</v>
      </c>
      <c r="J574" s="225">
        <f>'kc ijo'!F115</f>
        <v>0</v>
      </c>
      <c r="K574" s="225">
        <f>'kc ijo'!G115</f>
        <v>0</v>
      </c>
      <c r="L574" s="225">
        <f>'kc ijo'!H115</f>
        <v>8.11</v>
      </c>
      <c r="M574" s="225">
        <f>'kc ijo'!I115</f>
        <v>0</v>
      </c>
      <c r="N574" s="225">
        <f>'kc ijo'!J115</f>
        <v>0</v>
      </c>
      <c r="O574" s="225">
        <f>'kc ijo'!K115</f>
        <v>0</v>
      </c>
      <c r="P574" s="200">
        <f>SUM(J574:O574)</f>
        <v>8.11</v>
      </c>
      <c r="Q574" s="193">
        <f t="shared" si="222"/>
        <v>19.22</v>
      </c>
    </row>
    <row r="575" spans="1:17" ht="16.5" thickTop="1" thickBot="1" x14ac:dyDescent="0.3">
      <c r="A575" s="339" t="s">
        <v>26</v>
      </c>
      <c r="B575" s="340"/>
      <c r="C575" s="182">
        <f t="shared" ref="C575:H575" si="223">SUM(C567:C574)</f>
        <v>3.11</v>
      </c>
      <c r="D575" s="182">
        <f t="shared" si="223"/>
        <v>0</v>
      </c>
      <c r="E575" s="182">
        <f t="shared" si="223"/>
        <v>6</v>
      </c>
      <c r="F575" s="182">
        <f t="shared" si="223"/>
        <v>0</v>
      </c>
      <c r="G575" s="182">
        <f t="shared" si="223"/>
        <v>8</v>
      </c>
      <c r="H575" s="183">
        <f t="shared" si="223"/>
        <v>18.119999999999997</v>
      </c>
      <c r="I575" s="185">
        <f>I431/I287*10</f>
        <v>6.8235294117647065</v>
      </c>
      <c r="J575" s="201">
        <f t="shared" ref="J575:O575" si="224">SUM(J567:J574)</f>
        <v>8.1</v>
      </c>
      <c r="K575" s="182">
        <f t="shared" si="224"/>
        <v>8.0299999999999994</v>
      </c>
      <c r="L575" s="182">
        <f t="shared" si="224"/>
        <v>16.36</v>
      </c>
      <c r="M575" s="182">
        <f t="shared" si="224"/>
        <v>8.19</v>
      </c>
      <c r="N575" s="182">
        <f t="shared" si="224"/>
        <v>0</v>
      </c>
      <c r="O575" s="183">
        <f t="shared" si="224"/>
        <v>0</v>
      </c>
      <c r="P575" s="185">
        <f>SUM(P567:P574)</f>
        <v>40.679999999999993</v>
      </c>
      <c r="Q575" s="202">
        <f>SUM(Q567:Q574)</f>
        <v>75.91</v>
      </c>
    </row>
  </sheetData>
  <mergeCells count="360">
    <mergeCell ref="A255:B255"/>
    <mergeCell ref="A257:Q257"/>
    <mergeCell ref="A258:Q258"/>
    <mergeCell ref="A260:A261"/>
    <mergeCell ref="B260:B261"/>
    <mergeCell ref="C260:H260"/>
    <mergeCell ref="I260:I261"/>
    <mergeCell ref="J260:O260"/>
    <mergeCell ref="P260:P261"/>
    <mergeCell ref="Q260:Q261"/>
    <mergeCell ref="A575:B575"/>
    <mergeCell ref="A559:B559"/>
    <mergeCell ref="A561:Q561"/>
    <mergeCell ref="A562:Q562"/>
    <mergeCell ref="A564:A565"/>
    <mergeCell ref="B564:B565"/>
    <mergeCell ref="C564:H564"/>
    <mergeCell ref="I564:I565"/>
    <mergeCell ref="J564:O564"/>
    <mergeCell ref="P564:P565"/>
    <mergeCell ref="Q564:Q565"/>
    <mergeCell ref="A543:B543"/>
    <mergeCell ref="A545:Q545"/>
    <mergeCell ref="A546:Q546"/>
    <mergeCell ref="A548:A549"/>
    <mergeCell ref="B548:B549"/>
    <mergeCell ref="C548:H548"/>
    <mergeCell ref="I548:I549"/>
    <mergeCell ref="J548:O548"/>
    <mergeCell ref="P548:P549"/>
    <mergeCell ref="Q548:Q549"/>
    <mergeCell ref="A527:B527"/>
    <mergeCell ref="A529:Q529"/>
    <mergeCell ref="A530:Q530"/>
    <mergeCell ref="A532:A533"/>
    <mergeCell ref="B532:B533"/>
    <mergeCell ref="C532:H532"/>
    <mergeCell ref="I532:I533"/>
    <mergeCell ref="J532:O532"/>
    <mergeCell ref="P532:P533"/>
    <mergeCell ref="Q532:Q533"/>
    <mergeCell ref="A511:B511"/>
    <mergeCell ref="A513:Q513"/>
    <mergeCell ref="A514:Q514"/>
    <mergeCell ref="A516:A517"/>
    <mergeCell ref="B516:B517"/>
    <mergeCell ref="C516:H516"/>
    <mergeCell ref="I516:I517"/>
    <mergeCell ref="J516:O516"/>
    <mergeCell ref="P516:P517"/>
    <mergeCell ref="Q516:Q517"/>
    <mergeCell ref="A495:B495"/>
    <mergeCell ref="A497:Q497"/>
    <mergeCell ref="A498:Q498"/>
    <mergeCell ref="A500:A501"/>
    <mergeCell ref="B500:B501"/>
    <mergeCell ref="C500:H500"/>
    <mergeCell ref="I500:I501"/>
    <mergeCell ref="J500:O500"/>
    <mergeCell ref="P500:P501"/>
    <mergeCell ref="Q500:Q501"/>
    <mergeCell ref="A479:B479"/>
    <mergeCell ref="A481:Q481"/>
    <mergeCell ref="A482:Q482"/>
    <mergeCell ref="A484:A485"/>
    <mergeCell ref="B484:B485"/>
    <mergeCell ref="C484:H484"/>
    <mergeCell ref="I484:I485"/>
    <mergeCell ref="J484:O484"/>
    <mergeCell ref="P484:P485"/>
    <mergeCell ref="Q484:Q485"/>
    <mergeCell ref="A463:B463"/>
    <mergeCell ref="A465:Q465"/>
    <mergeCell ref="A466:Q466"/>
    <mergeCell ref="A468:A469"/>
    <mergeCell ref="B468:B469"/>
    <mergeCell ref="C468:H468"/>
    <mergeCell ref="I468:I469"/>
    <mergeCell ref="J468:O468"/>
    <mergeCell ref="P468:P469"/>
    <mergeCell ref="Q468:Q469"/>
    <mergeCell ref="A431:B431"/>
    <mergeCell ref="A449:Q449"/>
    <mergeCell ref="A450:Q450"/>
    <mergeCell ref="A452:A453"/>
    <mergeCell ref="B452:B453"/>
    <mergeCell ref="C452:H452"/>
    <mergeCell ref="I452:I453"/>
    <mergeCell ref="J452:O452"/>
    <mergeCell ref="P452:P453"/>
    <mergeCell ref="Q452:Q453"/>
    <mergeCell ref="A433:Q433"/>
    <mergeCell ref="A434:Q434"/>
    <mergeCell ref="A436:A437"/>
    <mergeCell ref="B436:B437"/>
    <mergeCell ref="C436:H436"/>
    <mergeCell ref="I436:I437"/>
    <mergeCell ref="J436:O436"/>
    <mergeCell ref="P436:P437"/>
    <mergeCell ref="Q436:Q437"/>
    <mergeCell ref="A447:B447"/>
    <mergeCell ref="A415:B415"/>
    <mergeCell ref="A417:Q417"/>
    <mergeCell ref="A418:Q418"/>
    <mergeCell ref="A420:A421"/>
    <mergeCell ref="B420:B421"/>
    <mergeCell ref="C420:H420"/>
    <mergeCell ref="I420:I421"/>
    <mergeCell ref="J420:O420"/>
    <mergeCell ref="P420:P421"/>
    <mergeCell ref="Q420:Q421"/>
    <mergeCell ref="A399:B399"/>
    <mergeCell ref="A401:Q401"/>
    <mergeCell ref="A402:Q402"/>
    <mergeCell ref="A404:A405"/>
    <mergeCell ref="B404:B405"/>
    <mergeCell ref="C404:H404"/>
    <mergeCell ref="I404:I405"/>
    <mergeCell ref="J404:O404"/>
    <mergeCell ref="P404:P405"/>
    <mergeCell ref="Q404:Q405"/>
    <mergeCell ref="A383:B383"/>
    <mergeCell ref="A385:Q385"/>
    <mergeCell ref="A386:Q386"/>
    <mergeCell ref="A388:A389"/>
    <mergeCell ref="B388:B389"/>
    <mergeCell ref="C388:H388"/>
    <mergeCell ref="I388:I389"/>
    <mergeCell ref="J388:O388"/>
    <mergeCell ref="P388:P389"/>
    <mergeCell ref="Q388:Q389"/>
    <mergeCell ref="A367:B367"/>
    <mergeCell ref="A369:Q369"/>
    <mergeCell ref="A370:Q370"/>
    <mergeCell ref="A372:A373"/>
    <mergeCell ref="B372:B373"/>
    <mergeCell ref="C372:H372"/>
    <mergeCell ref="I372:I373"/>
    <mergeCell ref="J372:O372"/>
    <mergeCell ref="P372:P373"/>
    <mergeCell ref="Q372:Q373"/>
    <mergeCell ref="A351:B351"/>
    <mergeCell ref="A353:Q353"/>
    <mergeCell ref="A354:Q354"/>
    <mergeCell ref="A356:A357"/>
    <mergeCell ref="B356:B357"/>
    <mergeCell ref="C356:H356"/>
    <mergeCell ref="I356:I357"/>
    <mergeCell ref="J356:O356"/>
    <mergeCell ref="P356:P357"/>
    <mergeCell ref="Q356:Q357"/>
    <mergeCell ref="A335:B335"/>
    <mergeCell ref="A337:Q337"/>
    <mergeCell ref="A338:Q338"/>
    <mergeCell ref="A340:A341"/>
    <mergeCell ref="B340:B341"/>
    <mergeCell ref="C340:H340"/>
    <mergeCell ref="I340:I341"/>
    <mergeCell ref="J340:O340"/>
    <mergeCell ref="P340:P341"/>
    <mergeCell ref="Q340:Q341"/>
    <mergeCell ref="A319:B319"/>
    <mergeCell ref="A321:Q321"/>
    <mergeCell ref="A322:Q322"/>
    <mergeCell ref="A324:A325"/>
    <mergeCell ref="B324:B325"/>
    <mergeCell ref="C324:H324"/>
    <mergeCell ref="I324:I325"/>
    <mergeCell ref="J324:O324"/>
    <mergeCell ref="P324:P325"/>
    <mergeCell ref="Q324:Q325"/>
    <mergeCell ref="A305:Q305"/>
    <mergeCell ref="A306:Q306"/>
    <mergeCell ref="A308:A309"/>
    <mergeCell ref="B308:B309"/>
    <mergeCell ref="C308:H308"/>
    <mergeCell ref="I308:I309"/>
    <mergeCell ref="J308:O308"/>
    <mergeCell ref="P308:P309"/>
    <mergeCell ref="Q308:Q309"/>
    <mergeCell ref="A303:B303"/>
    <mergeCell ref="A271:B271"/>
    <mergeCell ref="A273:Q273"/>
    <mergeCell ref="A274:Q274"/>
    <mergeCell ref="A276:A277"/>
    <mergeCell ref="B276:B277"/>
    <mergeCell ref="C276:H276"/>
    <mergeCell ref="I276:I277"/>
    <mergeCell ref="J276:O276"/>
    <mergeCell ref="P276:P277"/>
    <mergeCell ref="Q276:Q277"/>
    <mergeCell ref="A289:Q289"/>
    <mergeCell ref="A290:Q290"/>
    <mergeCell ref="A292:A293"/>
    <mergeCell ref="B292:B293"/>
    <mergeCell ref="C292:H292"/>
    <mergeCell ref="I292:I293"/>
    <mergeCell ref="J292:O292"/>
    <mergeCell ref="P292:P293"/>
    <mergeCell ref="Q292:Q293"/>
    <mergeCell ref="A287:B287"/>
    <mergeCell ref="A244:A245"/>
    <mergeCell ref="B244:B245"/>
    <mergeCell ref="C244:H244"/>
    <mergeCell ref="I244:I245"/>
    <mergeCell ref="J244:O244"/>
    <mergeCell ref="P244:P245"/>
    <mergeCell ref="Q244:Q245"/>
    <mergeCell ref="A223:B223"/>
    <mergeCell ref="A225:Q225"/>
    <mergeCell ref="A226:Q226"/>
    <mergeCell ref="A228:A229"/>
    <mergeCell ref="B228:B229"/>
    <mergeCell ref="C228:H228"/>
    <mergeCell ref="I228:I229"/>
    <mergeCell ref="J228:O228"/>
    <mergeCell ref="P228:P229"/>
    <mergeCell ref="Q228:Q229"/>
    <mergeCell ref="A239:B239"/>
    <mergeCell ref="A241:Q241"/>
    <mergeCell ref="A242:Q242"/>
    <mergeCell ref="A207:B207"/>
    <mergeCell ref="A209:Q209"/>
    <mergeCell ref="A210:Q210"/>
    <mergeCell ref="A212:A213"/>
    <mergeCell ref="B212:B213"/>
    <mergeCell ref="C212:H212"/>
    <mergeCell ref="I212:I213"/>
    <mergeCell ref="J212:O212"/>
    <mergeCell ref="P212:P213"/>
    <mergeCell ref="Q212:Q213"/>
    <mergeCell ref="A191:B191"/>
    <mergeCell ref="A193:Q193"/>
    <mergeCell ref="A194:Q194"/>
    <mergeCell ref="A196:A197"/>
    <mergeCell ref="B196:B197"/>
    <mergeCell ref="C196:H196"/>
    <mergeCell ref="I196:I197"/>
    <mergeCell ref="J196:O196"/>
    <mergeCell ref="P196:P197"/>
    <mergeCell ref="Q196:Q197"/>
    <mergeCell ref="A159:B159"/>
    <mergeCell ref="A177:Q177"/>
    <mergeCell ref="A178:Q178"/>
    <mergeCell ref="A180:A181"/>
    <mergeCell ref="B180:B181"/>
    <mergeCell ref="C180:H180"/>
    <mergeCell ref="I180:I181"/>
    <mergeCell ref="J180:O180"/>
    <mergeCell ref="P180:P181"/>
    <mergeCell ref="Q180:Q181"/>
    <mergeCell ref="A161:Q161"/>
    <mergeCell ref="A162:Q162"/>
    <mergeCell ref="A164:A165"/>
    <mergeCell ref="B164:B165"/>
    <mergeCell ref="C164:H164"/>
    <mergeCell ref="I164:I165"/>
    <mergeCell ref="J164:O164"/>
    <mergeCell ref="P164:P165"/>
    <mergeCell ref="Q164:Q165"/>
    <mergeCell ref="A175:B175"/>
    <mergeCell ref="A145:Q145"/>
    <mergeCell ref="A146:Q146"/>
    <mergeCell ref="A148:A149"/>
    <mergeCell ref="B148:B149"/>
    <mergeCell ref="C148:H148"/>
    <mergeCell ref="I148:I149"/>
    <mergeCell ref="J148:O148"/>
    <mergeCell ref="P148:P149"/>
    <mergeCell ref="Q148:Q149"/>
    <mergeCell ref="A15:B15"/>
    <mergeCell ref="A1:Q1"/>
    <mergeCell ref="A2:Q2"/>
    <mergeCell ref="A4:A5"/>
    <mergeCell ref="B4:B5"/>
    <mergeCell ref="C4:H4"/>
    <mergeCell ref="I4:I5"/>
    <mergeCell ref="J4:O4"/>
    <mergeCell ref="P4:P5"/>
    <mergeCell ref="Q4:Q5"/>
    <mergeCell ref="A17:Q17"/>
    <mergeCell ref="A18:Q18"/>
    <mergeCell ref="A20:A21"/>
    <mergeCell ref="B20:B21"/>
    <mergeCell ref="C20:H20"/>
    <mergeCell ref="I20:I21"/>
    <mergeCell ref="J20:O20"/>
    <mergeCell ref="P20:P21"/>
    <mergeCell ref="Q20:Q21"/>
    <mergeCell ref="A31:B31"/>
    <mergeCell ref="A33:Q33"/>
    <mergeCell ref="A34:Q34"/>
    <mergeCell ref="A36:A37"/>
    <mergeCell ref="B36:B37"/>
    <mergeCell ref="C36:H36"/>
    <mergeCell ref="I36:I37"/>
    <mergeCell ref="J36:O36"/>
    <mergeCell ref="P36:P37"/>
    <mergeCell ref="Q36:Q37"/>
    <mergeCell ref="A47:B47"/>
    <mergeCell ref="A49:Q49"/>
    <mergeCell ref="A50:Q50"/>
    <mergeCell ref="A52:A53"/>
    <mergeCell ref="B52:B53"/>
    <mergeCell ref="C52:H52"/>
    <mergeCell ref="I52:I53"/>
    <mergeCell ref="J52:O52"/>
    <mergeCell ref="P52:P53"/>
    <mergeCell ref="Q52:Q53"/>
    <mergeCell ref="A63:B63"/>
    <mergeCell ref="A65:Q65"/>
    <mergeCell ref="A66:Q66"/>
    <mergeCell ref="A68:A69"/>
    <mergeCell ref="B68:B69"/>
    <mergeCell ref="C68:H68"/>
    <mergeCell ref="I68:I69"/>
    <mergeCell ref="J68:O68"/>
    <mergeCell ref="P68:P69"/>
    <mergeCell ref="Q68:Q69"/>
    <mergeCell ref="A79:B79"/>
    <mergeCell ref="A81:Q81"/>
    <mergeCell ref="A82:Q82"/>
    <mergeCell ref="A84:A85"/>
    <mergeCell ref="B84:B85"/>
    <mergeCell ref="C84:H84"/>
    <mergeCell ref="I84:I85"/>
    <mergeCell ref="J84:O84"/>
    <mergeCell ref="P84:P85"/>
    <mergeCell ref="Q84:Q85"/>
    <mergeCell ref="A95:B95"/>
    <mergeCell ref="A97:Q97"/>
    <mergeCell ref="A98:Q98"/>
    <mergeCell ref="A100:A101"/>
    <mergeCell ref="B100:B101"/>
    <mergeCell ref="C100:H100"/>
    <mergeCell ref="I100:I101"/>
    <mergeCell ref="J100:O100"/>
    <mergeCell ref="P100:P101"/>
    <mergeCell ref="Q100:Q101"/>
    <mergeCell ref="A111:B111"/>
    <mergeCell ref="A113:Q113"/>
    <mergeCell ref="A114:Q114"/>
    <mergeCell ref="A116:A117"/>
    <mergeCell ref="B116:B117"/>
    <mergeCell ref="C116:H116"/>
    <mergeCell ref="I116:I117"/>
    <mergeCell ref="J116:O116"/>
    <mergeCell ref="P116:P117"/>
    <mergeCell ref="Q116:Q117"/>
    <mergeCell ref="A143:B143"/>
    <mergeCell ref="A127:B127"/>
    <mergeCell ref="A129:Q129"/>
    <mergeCell ref="A130:Q130"/>
    <mergeCell ref="A132:A133"/>
    <mergeCell ref="B132:B133"/>
    <mergeCell ref="C132:H132"/>
    <mergeCell ref="I132:I133"/>
    <mergeCell ref="J132:O132"/>
    <mergeCell ref="P132:P133"/>
    <mergeCell ref="Q132:Q133"/>
  </mergeCells>
  <pageMargins left="1.2204724409448819" right="0.59055118110236227" top="0.74803149606299213" bottom="0.74803149606299213" header="0.31496062992125984" footer="0.31496062992125984"/>
  <pageSetup paperSize="9" scale="90" orientation="landscape" horizontalDpi="4294967293" vertic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593"/>
  <sheetViews>
    <sheetView topLeftCell="A10" zoomScale="90" zoomScaleNormal="90" workbookViewId="0">
      <selection activeCell="A17" sqref="A17:Q31"/>
    </sheetView>
  </sheetViews>
  <sheetFormatPr defaultRowHeight="15" x14ac:dyDescent="0.25"/>
  <cols>
    <col min="1" max="1" width="4.28515625" customWidth="1"/>
    <col min="2" max="2" width="14.140625" customWidth="1"/>
    <col min="3" max="5" width="7.85546875" customWidth="1"/>
    <col min="6" max="6" width="8.140625" customWidth="1"/>
    <col min="7" max="8" width="8.7109375" customWidth="1"/>
    <col min="9" max="9" width="8.5703125" customWidth="1"/>
    <col min="10" max="15" width="7.85546875" customWidth="1"/>
    <col min="16" max="17" width="8.5703125" customWidth="1"/>
  </cols>
  <sheetData>
    <row r="1" spans="1:23" ht="15.75" x14ac:dyDescent="0.25">
      <c r="A1" s="341" t="s">
        <v>143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</row>
    <row r="2" spans="1:23" ht="15.75" x14ac:dyDescent="0.25">
      <c r="A2" s="341" t="s">
        <v>81</v>
      </c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  <c r="P2" s="341"/>
      <c r="Q2" s="341"/>
    </row>
    <row r="3" spans="1:23" ht="15.75" thickBot="1" x14ac:dyDescent="0.3">
      <c r="Q3" s="75" t="s">
        <v>1</v>
      </c>
    </row>
    <row r="4" spans="1:23" x14ac:dyDescent="0.25">
      <c r="A4" s="334" t="s">
        <v>2</v>
      </c>
      <c r="B4" s="336" t="s">
        <v>3</v>
      </c>
      <c r="C4" s="342" t="s">
        <v>142</v>
      </c>
      <c r="D4" s="343"/>
      <c r="E4" s="343"/>
      <c r="F4" s="343"/>
      <c r="G4" s="343"/>
      <c r="H4" s="344"/>
      <c r="I4" s="345" t="s">
        <v>82</v>
      </c>
      <c r="J4" s="347">
        <v>2020</v>
      </c>
      <c r="K4" s="343"/>
      <c r="L4" s="343"/>
      <c r="M4" s="343"/>
      <c r="N4" s="343"/>
      <c r="O4" s="344"/>
      <c r="P4" s="345" t="s">
        <v>83</v>
      </c>
      <c r="Q4" s="348" t="s">
        <v>5</v>
      </c>
    </row>
    <row r="5" spans="1:23" x14ac:dyDescent="0.25">
      <c r="A5" s="335"/>
      <c r="B5" s="324"/>
      <c r="C5" s="296" t="s">
        <v>15</v>
      </c>
      <c r="D5" s="296" t="s">
        <v>16</v>
      </c>
      <c r="E5" s="296" t="s">
        <v>17</v>
      </c>
      <c r="F5" s="296" t="s">
        <v>6</v>
      </c>
      <c r="G5" s="296" t="s">
        <v>76</v>
      </c>
      <c r="H5" s="119" t="s">
        <v>77</v>
      </c>
      <c r="I5" s="346"/>
      <c r="J5" s="109" t="s">
        <v>78</v>
      </c>
      <c r="K5" s="296" t="s">
        <v>10</v>
      </c>
      <c r="L5" s="296" t="s">
        <v>11</v>
      </c>
      <c r="M5" s="296" t="s">
        <v>12</v>
      </c>
      <c r="N5" s="296" t="s">
        <v>79</v>
      </c>
      <c r="O5" s="119" t="s">
        <v>80</v>
      </c>
      <c r="P5" s="346"/>
      <c r="Q5" s="349"/>
    </row>
    <row r="6" spans="1:23" ht="15.75" thickBot="1" x14ac:dyDescent="0.3">
      <c r="A6" s="111">
        <v>1</v>
      </c>
      <c r="B6" s="5">
        <v>2</v>
      </c>
      <c r="C6" s="5">
        <v>3</v>
      </c>
      <c r="D6" s="5">
        <v>4</v>
      </c>
      <c r="E6" s="5">
        <v>5</v>
      </c>
      <c r="F6" s="5">
        <v>6</v>
      </c>
      <c r="G6" s="5">
        <v>7</v>
      </c>
      <c r="H6" s="120">
        <v>8</v>
      </c>
      <c r="I6" s="122">
        <v>9</v>
      </c>
      <c r="J6" s="110">
        <v>10</v>
      </c>
      <c r="K6" s="5">
        <v>11</v>
      </c>
      <c r="L6" s="5">
        <v>12</v>
      </c>
      <c r="M6" s="5">
        <v>13</v>
      </c>
      <c r="N6" s="5">
        <v>14</v>
      </c>
      <c r="O6" s="120">
        <v>15</v>
      </c>
      <c r="P6" s="122">
        <v>16</v>
      </c>
      <c r="Q6" s="131">
        <v>17</v>
      </c>
      <c r="T6" s="41" t="s">
        <v>103</v>
      </c>
    </row>
    <row r="7" spans="1:23" ht="15.75" thickTop="1" x14ac:dyDescent="0.25">
      <c r="A7" s="83">
        <v>1</v>
      </c>
      <c r="B7" s="7" t="s">
        <v>18</v>
      </c>
      <c r="C7" s="136">
        <f>SUM(C23,C39)</f>
        <v>0</v>
      </c>
      <c r="D7" s="136">
        <f t="shared" ref="C7:H14" si="0">SUM(D23,D39)</f>
        <v>0</v>
      </c>
      <c r="E7" s="136">
        <f t="shared" si="0"/>
        <v>0</v>
      </c>
      <c r="F7" s="136">
        <f>SUM(F23,F39)</f>
        <v>67.3</v>
      </c>
      <c r="G7" s="136">
        <f t="shared" si="0"/>
        <v>72.099999999999994</v>
      </c>
      <c r="H7" s="136">
        <f t="shared" si="0"/>
        <v>62.5</v>
      </c>
      <c r="I7" s="124">
        <f>SUM(C7:H7)</f>
        <v>201.89999999999998</v>
      </c>
      <c r="J7" s="136">
        <f>SUM(J23,J39)</f>
        <v>14.4</v>
      </c>
      <c r="K7" s="136">
        <f>SUM(K23,K39)</f>
        <v>0</v>
      </c>
      <c r="L7" s="136">
        <f t="shared" ref="L7:O7" si="1">SUM(L23,L39)</f>
        <v>0</v>
      </c>
      <c r="M7" s="136">
        <f t="shared" si="1"/>
        <v>0</v>
      </c>
      <c r="N7" s="136">
        <f t="shared" si="1"/>
        <v>0</v>
      </c>
      <c r="O7" s="136">
        <f t="shared" si="1"/>
        <v>0</v>
      </c>
      <c r="P7" s="124">
        <f>SUM(J7:O7)</f>
        <v>14.4</v>
      </c>
      <c r="Q7" s="127">
        <f>SUM(I7,P7)</f>
        <v>216.29999999999998</v>
      </c>
      <c r="S7" s="104">
        <f>SUM(K7:M7)</f>
        <v>0</v>
      </c>
      <c r="T7" s="104">
        <f t="shared" ref="T7:T14" si="2">SUM(C7:H7,J7:K7)</f>
        <v>216.29999999999998</v>
      </c>
      <c r="U7" s="104">
        <f>T7-S7</f>
        <v>216.29999999999998</v>
      </c>
      <c r="V7">
        <v>450</v>
      </c>
      <c r="W7" s="71">
        <f>Q7/V7*100</f>
        <v>48.066666666666663</v>
      </c>
    </row>
    <row r="8" spans="1:23" x14ac:dyDescent="0.25">
      <c r="A8" s="84">
        <v>2</v>
      </c>
      <c r="B8" s="12" t="s">
        <v>19</v>
      </c>
      <c r="C8" s="59">
        <f t="shared" si="0"/>
        <v>1.9</v>
      </c>
      <c r="D8" s="59">
        <f t="shared" si="0"/>
        <v>1</v>
      </c>
      <c r="E8" s="59">
        <f t="shared" si="0"/>
        <v>4.8</v>
      </c>
      <c r="F8" s="59">
        <f t="shared" si="0"/>
        <v>103.9</v>
      </c>
      <c r="G8" s="59">
        <f t="shared" si="0"/>
        <v>79.8</v>
      </c>
      <c r="H8" s="155">
        <f t="shared" si="0"/>
        <v>0</v>
      </c>
      <c r="I8" s="125">
        <f t="shared" ref="I8:I14" si="3">SUM(C8:H8)</f>
        <v>191.4</v>
      </c>
      <c r="J8" s="223">
        <f t="shared" ref="J8:O14" si="4">SUM(J24,J40)</f>
        <v>4.8</v>
      </c>
      <c r="K8" s="59">
        <f t="shared" si="4"/>
        <v>0</v>
      </c>
      <c r="L8" s="59">
        <f t="shared" si="4"/>
        <v>0</v>
      </c>
      <c r="M8" s="59">
        <f t="shared" si="4"/>
        <v>0</v>
      </c>
      <c r="N8" s="59">
        <f t="shared" si="4"/>
        <v>0</v>
      </c>
      <c r="O8" s="155">
        <f t="shared" si="4"/>
        <v>0</v>
      </c>
      <c r="P8" s="125">
        <f t="shared" ref="P8:P13" si="5">SUM(J8:O8)</f>
        <v>4.8</v>
      </c>
      <c r="Q8" s="128">
        <f t="shared" ref="Q8:Q14" si="6">SUM(I8,P8)</f>
        <v>196.20000000000002</v>
      </c>
      <c r="S8" s="104">
        <f>SUM(K8:M8)</f>
        <v>0</v>
      </c>
      <c r="T8" s="104">
        <f t="shared" si="2"/>
        <v>196.20000000000002</v>
      </c>
      <c r="U8" s="104">
        <f t="shared" ref="U8:U14" si="7">T8-S8</f>
        <v>196.20000000000002</v>
      </c>
      <c r="V8">
        <v>331</v>
      </c>
      <c r="W8" s="71">
        <f t="shared" ref="W8:W14" si="8">Q8/V8*100</f>
        <v>59.274924471299094</v>
      </c>
    </row>
    <row r="9" spans="1:23" x14ac:dyDescent="0.25">
      <c r="A9" s="84">
        <v>3</v>
      </c>
      <c r="B9" s="7" t="s">
        <v>20</v>
      </c>
      <c r="C9" s="59">
        <f t="shared" si="0"/>
        <v>0</v>
      </c>
      <c r="D9" s="59">
        <f t="shared" si="0"/>
        <v>0</v>
      </c>
      <c r="E9" s="59">
        <f t="shared" si="0"/>
        <v>0</v>
      </c>
      <c r="F9" s="59">
        <f t="shared" si="0"/>
        <v>24</v>
      </c>
      <c r="G9" s="59">
        <f t="shared" si="0"/>
        <v>0</v>
      </c>
      <c r="H9" s="155">
        <f t="shared" si="0"/>
        <v>0</v>
      </c>
      <c r="I9" s="125">
        <f t="shared" si="3"/>
        <v>24</v>
      </c>
      <c r="J9" s="223">
        <f t="shared" si="4"/>
        <v>0</v>
      </c>
      <c r="K9" s="59">
        <f t="shared" si="4"/>
        <v>0</v>
      </c>
      <c r="L9" s="59">
        <f t="shared" si="4"/>
        <v>0</v>
      </c>
      <c r="M9" s="59">
        <f t="shared" si="4"/>
        <v>0</v>
      </c>
      <c r="N9" s="59">
        <f t="shared" si="4"/>
        <v>0</v>
      </c>
      <c r="O9" s="155">
        <f t="shared" si="4"/>
        <v>0</v>
      </c>
      <c r="P9" s="125">
        <f t="shared" si="5"/>
        <v>0</v>
      </c>
      <c r="Q9" s="128">
        <f t="shared" si="6"/>
        <v>24</v>
      </c>
      <c r="S9" s="104">
        <f t="shared" ref="S9:S14" si="9">SUM(K9:M9)</f>
        <v>0</v>
      </c>
      <c r="T9" s="104">
        <f t="shared" si="2"/>
        <v>24</v>
      </c>
      <c r="U9" s="104">
        <f t="shared" si="7"/>
        <v>24</v>
      </c>
      <c r="V9">
        <v>36</v>
      </c>
      <c r="W9" s="71">
        <f t="shared" si="8"/>
        <v>66.666666666666657</v>
      </c>
    </row>
    <row r="10" spans="1:23" x14ac:dyDescent="0.25">
      <c r="A10" s="85">
        <v>4</v>
      </c>
      <c r="B10" s="15" t="s">
        <v>21</v>
      </c>
      <c r="C10" s="59">
        <f t="shared" si="0"/>
        <v>0</v>
      </c>
      <c r="D10" s="59">
        <f t="shared" si="0"/>
        <v>0</v>
      </c>
      <c r="E10" s="59">
        <f t="shared" si="0"/>
        <v>1.9</v>
      </c>
      <c r="F10" s="59">
        <f t="shared" si="0"/>
        <v>175.1</v>
      </c>
      <c r="G10" s="59">
        <f t="shared" si="0"/>
        <v>0</v>
      </c>
      <c r="H10" s="155">
        <f t="shared" si="0"/>
        <v>0</v>
      </c>
      <c r="I10" s="125">
        <f t="shared" si="3"/>
        <v>177</v>
      </c>
      <c r="J10" s="223">
        <f t="shared" si="4"/>
        <v>2.9</v>
      </c>
      <c r="K10" s="59">
        <f t="shared" si="4"/>
        <v>0</v>
      </c>
      <c r="L10" s="59">
        <f t="shared" si="4"/>
        <v>0</v>
      </c>
      <c r="M10" s="59">
        <f t="shared" si="4"/>
        <v>0</v>
      </c>
      <c r="N10" s="59">
        <f t="shared" si="4"/>
        <v>0</v>
      </c>
      <c r="O10" s="155">
        <f t="shared" si="4"/>
        <v>0</v>
      </c>
      <c r="P10" s="125">
        <f t="shared" si="5"/>
        <v>2.9</v>
      </c>
      <c r="Q10" s="128">
        <f t="shared" si="6"/>
        <v>179.9</v>
      </c>
      <c r="S10" s="104">
        <f t="shared" si="9"/>
        <v>0</v>
      </c>
      <c r="T10" s="104">
        <f t="shared" si="2"/>
        <v>179.9</v>
      </c>
      <c r="U10" s="104">
        <f t="shared" si="7"/>
        <v>179.9</v>
      </c>
      <c r="V10">
        <v>286</v>
      </c>
      <c r="W10" s="71">
        <f t="shared" si="8"/>
        <v>62.902097902097907</v>
      </c>
    </row>
    <row r="11" spans="1:23" x14ac:dyDescent="0.25">
      <c r="A11" s="85">
        <v>5</v>
      </c>
      <c r="B11" s="19" t="s">
        <v>22</v>
      </c>
      <c r="C11" s="59">
        <f t="shared" si="0"/>
        <v>0</v>
      </c>
      <c r="D11" s="59">
        <f t="shared" si="0"/>
        <v>0</v>
      </c>
      <c r="E11" s="59">
        <v>0</v>
      </c>
      <c r="F11" s="59">
        <f t="shared" si="0"/>
        <v>155.80000000000001</v>
      </c>
      <c r="G11" s="59">
        <f t="shared" si="0"/>
        <v>0</v>
      </c>
      <c r="H11" s="155">
        <f t="shared" si="0"/>
        <v>0</v>
      </c>
      <c r="I11" s="125">
        <f t="shared" si="3"/>
        <v>155.80000000000001</v>
      </c>
      <c r="J11" s="223">
        <f t="shared" si="4"/>
        <v>0</v>
      </c>
      <c r="K11" s="59">
        <f t="shared" si="4"/>
        <v>0</v>
      </c>
      <c r="L11" s="59">
        <f t="shared" si="4"/>
        <v>0</v>
      </c>
      <c r="M11" s="59">
        <f t="shared" si="4"/>
        <v>0</v>
      </c>
      <c r="N11" s="59">
        <f t="shared" si="4"/>
        <v>0</v>
      </c>
      <c r="O11" s="155">
        <f t="shared" si="4"/>
        <v>0</v>
      </c>
      <c r="P11" s="125">
        <f t="shared" si="5"/>
        <v>0</v>
      </c>
      <c r="Q11" s="128">
        <f t="shared" si="6"/>
        <v>155.80000000000001</v>
      </c>
      <c r="S11" s="104">
        <f t="shared" si="9"/>
        <v>0</v>
      </c>
      <c r="T11" s="104">
        <f t="shared" si="2"/>
        <v>155.80000000000001</v>
      </c>
      <c r="U11" s="104">
        <f t="shared" si="7"/>
        <v>155.80000000000001</v>
      </c>
      <c r="V11">
        <v>235</v>
      </c>
      <c r="W11" s="71">
        <f t="shared" si="8"/>
        <v>66.297872340425528</v>
      </c>
    </row>
    <row r="12" spans="1:23" x14ac:dyDescent="0.25">
      <c r="A12" s="85">
        <v>6</v>
      </c>
      <c r="B12" s="19" t="s">
        <v>23</v>
      </c>
      <c r="C12" s="59">
        <f t="shared" si="0"/>
        <v>0</v>
      </c>
      <c r="D12" s="59">
        <f t="shared" si="0"/>
        <v>0</v>
      </c>
      <c r="E12" s="59">
        <f t="shared" si="0"/>
        <v>0</v>
      </c>
      <c r="F12" s="59">
        <f t="shared" si="0"/>
        <v>13.5</v>
      </c>
      <c r="G12" s="59">
        <f t="shared" si="0"/>
        <v>34.6</v>
      </c>
      <c r="H12" s="155">
        <f t="shared" si="0"/>
        <v>0</v>
      </c>
      <c r="I12" s="125">
        <f t="shared" si="3"/>
        <v>48.1</v>
      </c>
      <c r="J12" s="223">
        <f t="shared" si="4"/>
        <v>0</v>
      </c>
      <c r="K12" s="59">
        <f t="shared" si="4"/>
        <v>0</v>
      </c>
      <c r="L12" s="59">
        <f t="shared" si="4"/>
        <v>0</v>
      </c>
      <c r="M12" s="59">
        <f t="shared" si="4"/>
        <v>0</v>
      </c>
      <c r="N12" s="59">
        <f t="shared" si="4"/>
        <v>0</v>
      </c>
      <c r="O12" s="155">
        <f t="shared" si="4"/>
        <v>0</v>
      </c>
      <c r="P12" s="125">
        <f t="shared" si="5"/>
        <v>0</v>
      </c>
      <c r="Q12" s="128">
        <f t="shared" si="6"/>
        <v>48.1</v>
      </c>
      <c r="S12" s="104">
        <f t="shared" si="9"/>
        <v>0</v>
      </c>
      <c r="T12" s="104">
        <f t="shared" si="2"/>
        <v>48.1</v>
      </c>
      <c r="U12" s="104">
        <f t="shared" si="7"/>
        <v>48.1</v>
      </c>
      <c r="V12">
        <v>141</v>
      </c>
      <c r="W12" s="71">
        <f t="shared" si="8"/>
        <v>34.113475177304963</v>
      </c>
    </row>
    <row r="13" spans="1:23" x14ac:dyDescent="0.25">
      <c r="A13" s="85">
        <v>7</v>
      </c>
      <c r="B13" s="19" t="s">
        <v>24</v>
      </c>
      <c r="C13" s="59">
        <f>SUM(C29,C45)</f>
        <v>0</v>
      </c>
      <c r="D13" s="59">
        <f t="shared" si="0"/>
        <v>0</v>
      </c>
      <c r="E13" s="59">
        <f>SUM(E29,E45)</f>
        <v>19.2</v>
      </c>
      <c r="F13" s="59">
        <f t="shared" si="0"/>
        <v>173.1</v>
      </c>
      <c r="G13" s="59">
        <f t="shared" si="0"/>
        <v>115.4</v>
      </c>
      <c r="H13" s="155">
        <f t="shared" si="0"/>
        <v>0</v>
      </c>
      <c r="I13" s="125">
        <f t="shared" si="3"/>
        <v>307.7</v>
      </c>
      <c r="J13" s="223">
        <f t="shared" si="4"/>
        <v>0</v>
      </c>
      <c r="K13" s="59">
        <f t="shared" si="4"/>
        <v>0</v>
      </c>
      <c r="L13" s="59">
        <f t="shared" si="4"/>
        <v>0</v>
      </c>
      <c r="M13" s="59">
        <f t="shared" si="4"/>
        <v>0</v>
      </c>
      <c r="N13" s="59">
        <f t="shared" si="4"/>
        <v>0</v>
      </c>
      <c r="O13" s="155">
        <f t="shared" si="4"/>
        <v>0</v>
      </c>
      <c r="P13" s="125">
        <f t="shared" si="5"/>
        <v>0</v>
      </c>
      <c r="Q13" s="128">
        <f t="shared" si="6"/>
        <v>307.7</v>
      </c>
      <c r="S13" s="104">
        <f t="shared" si="9"/>
        <v>0</v>
      </c>
      <c r="T13" s="104">
        <f t="shared" si="2"/>
        <v>307.7</v>
      </c>
      <c r="U13" s="104">
        <f t="shared" si="7"/>
        <v>307.7</v>
      </c>
      <c r="V13">
        <v>701</v>
      </c>
      <c r="W13" s="71">
        <f t="shared" si="8"/>
        <v>43.8944365192582</v>
      </c>
    </row>
    <row r="14" spans="1:23" ht="15.75" thickBot="1" x14ac:dyDescent="0.3">
      <c r="A14" s="86">
        <v>8</v>
      </c>
      <c r="B14" s="15" t="s">
        <v>25</v>
      </c>
      <c r="C14" s="137">
        <f>SUM(C30,C46)</f>
        <v>10.6</v>
      </c>
      <c r="D14" s="137">
        <f t="shared" si="0"/>
        <v>0</v>
      </c>
      <c r="E14" s="137">
        <f t="shared" si="0"/>
        <v>9.6</v>
      </c>
      <c r="F14" s="137">
        <f t="shared" si="0"/>
        <v>42.3</v>
      </c>
      <c r="G14" s="137">
        <f t="shared" si="0"/>
        <v>19.2</v>
      </c>
      <c r="H14" s="137">
        <f t="shared" si="0"/>
        <v>24</v>
      </c>
      <c r="I14" s="126">
        <f t="shared" si="3"/>
        <v>105.7</v>
      </c>
      <c r="J14" s="137">
        <f t="shared" si="4"/>
        <v>4.8</v>
      </c>
      <c r="K14" s="59">
        <f t="shared" si="4"/>
        <v>0</v>
      </c>
      <c r="L14" s="137">
        <f t="shared" si="4"/>
        <v>2</v>
      </c>
      <c r="M14" s="137">
        <f t="shared" si="4"/>
        <v>0</v>
      </c>
      <c r="N14" s="137">
        <f t="shared" si="4"/>
        <v>0</v>
      </c>
      <c r="O14" s="137">
        <f t="shared" si="4"/>
        <v>0</v>
      </c>
      <c r="P14" s="126">
        <f>SUM(J14:O14)</f>
        <v>6.8</v>
      </c>
      <c r="Q14" s="129">
        <f t="shared" si="6"/>
        <v>112.5</v>
      </c>
      <c r="S14" s="104">
        <f t="shared" si="9"/>
        <v>2</v>
      </c>
      <c r="T14" s="104">
        <f t="shared" si="2"/>
        <v>110.5</v>
      </c>
      <c r="U14" s="104">
        <f t="shared" si="7"/>
        <v>108.5</v>
      </c>
      <c r="V14">
        <v>593</v>
      </c>
      <c r="W14" s="71">
        <f t="shared" si="8"/>
        <v>18.97133220910624</v>
      </c>
    </row>
    <row r="15" spans="1:23" ht="16.5" thickTop="1" thickBot="1" x14ac:dyDescent="0.3">
      <c r="A15" s="339" t="s">
        <v>26</v>
      </c>
      <c r="B15" s="340"/>
      <c r="C15" s="112">
        <f t="shared" ref="C15:H15" si="10">SUM(C7:C14)</f>
        <v>12.5</v>
      </c>
      <c r="D15" s="112">
        <f t="shared" si="10"/>
        <v>1</v>
      </c>
      <c r="E15" s="112">
        <f t="shared" si="10"/>
        <v>35.5</v>
      </c>
      <c r="F15" s="112">
        <f t="shared" si="10"/>
        <v>754.99999999999989</v>
      </c>
      <c r="G15" s="112">
        <f t="shared" si="10"/>
        <v>321.09999999999997</v>
      </c>
      <c r="H15" s="121">
        <f t="shared" si="10"/>
        <v>86.5</v>
      </c>
      <c r="I15" s="123">
        <f>SUM(I7:I14)</f>
        <v>1211.5999999999999</v>
      </c>
      <c r="J15" s="133">
        <f t="shared" ref="J15:O15" si="11">SUM(J7:J14)</f>
        <v>26.9</v>
      </c>
      <c r="K15" s="112">
        <f t="shared" si="11"/>
        <v>0</v>
      </c>
      <c r="L15" s="112">
        <f t="shared" si="11"/>
        <v>2</v>
      </c>
      <c r="M15" s="112">
        <f t="shared" si="11"/>
        <v>0</v>
      </c>
      <c r="N15" s="112">
        <f t="shared" si="11"/>
        <v>0</v>
      </c>
      <c r="O15" s="121">
        <f t="shared" si="11"/>
        <v>0</v>
      </c>
      <c r="P15" s="123">
        <f>SUM(P7:P14)</f>
        <v>28.9</v>
      </c>
      <c r="Q15" s="130">
        <f>SUM(Q7:Q14)</f>
        <v>1240.5</v>
      </c>
      <c r="S15" s="104">
        <f>SUM(S7:S14)</f>
        <v>2</v>
      </c>
      <c r="T15" s="104">
        <f>SUM(T7:T14)</f>
        <v>1238.5</v>
      </c>
      <c r="U15" s="104">
        <f>SUM(U7:U14)</f>
        <v>1236.5</v>
      </c>
      <c r="W15" s="71">
        <f>Q15/W16*100</f>
        <v>44.734944103858638</v>
      </c>
    </row>
    <row r="16" spans="1:23" x14ac:dyDescent="0.25">
      <c r="K16" s="295">
        <f>96%*K15</f>
        <v>0</v>
      </c>
      <c r="L16" s="295">
        <f t="shared" ref="L16:M16" si="12">96%*L15</f>
        <v>1.92</v>
      </c>
      <c r="M16" s="295">
        <f t="shared" si="12"/>
        <v>0</v>
      </c>
      <c r="W16">
        <v>2773</v>
      </c>
    </row>
    <row r="17" spans="1:23" ht="15.75" x14ac:dyDescent="0.25">
      <c r="A17" s="341" t="s">
        <v>144</v>
      </c>
      <c r="B17" s="341"/>
      <c r="C17" s="341"/>
      <c r="D17" s="341"/>
      <c r="E17" s="341"/>
      <c r="F17" s="341"/>
      <c r="G17" s="341"/>
      <c r="H17" s="341"/>
      <c r="I17" s="341"/>
      <c r="J17" s="341"/>
      <c r="K17" s="341"/>
      <c r="L17" s="341"/>
      <c r="M17" s="341"/>
      <c r="N17" s="341"/>
      <c r="O17" s="341"/>
      <c r="P17" s="341"/>
      <c r="Q17" s="341"/>
      <c r="S17">
        <f>Q15/'[1]TANAM 2019'!$Q$17*100</f>
        <v>55.528200537153097</v>
      </c>
    </row>
    <row r="18" spans="1:23" ht="15.75" x14ac:dyDescent="0.25">
      <c r="A18" s="341" t="s">
        <v>81</v>
      </c>
      <c r="B18" s="341"/>
      <c r="C18" s="341"/>
      <c r="D18" s="341"/>
      <c r="E18" s="341"/>
      <c r="F18" s="341"/>
      <c r="G18" s="341"/>
      <c r="H18" s="341"/>
      <c r="I18" s="341"/>
      <c r="J18" s="341"/>
      <c r="K18" s="341"/>
      <c r="L18" s="341"/>
      <c r="M18" s="341"/>
      <c r="N18" s="341"/>
      <c r="O18" s="341"/>
      <c r="P18" s="341"/>
      <c r="Q18" s="341"/>
      <c r="W18">
        <f>4/173*100</f>
        <v>2.3121387283236992</v>
      </c>
    </row>
    <row r="19" spans="1:23" ht="15.75" thickBot="1" x14ac:dyDescent="0.3">
      <c r="Q19" s="75" t="s">
        <v>1</v>
      </c>
      <c r="S19">
        <f>142.8/641*100</f>
        <v>22.277691107644308</v>
      </c>
    </row>
    <row r="20" spans="1:23" x14ac:dyDescent="0.25">
      <c r="A20" s="334" t="s">
        <v>2</v>
      </c>
      <c r="B20" s="336" t="s">
        <v>3</v>
      </c>
      <c r="C20" s="342" t="s">
        <v>142</v>
      </c>
      <c r="D20" s="343"/>
      <c r="E20" s="343"/>
      <c r="F20" s="343"/>
      <c r="G20" s="343"/>
      <c r="H20" s="344"/>
      <c r="I20" s="345" t="s">
        <v>82</v>
      </c>
      <c r="J20" s="347">
        <v>2020</v>
      </c>
      <c r="K20" s="343"/>
      <c r="L20" s="343"/>
      <c r="M20" s="343"/>
      <c r="N20" s="343"/>
      <c r="O20" s="344"/>
      <c r="P20" s="345" t="s">
        <v>83</v>
      </c>
      <c r="Q20" s="348" t="s">
        <v>5</v>
      </c>
    </row>
    <row r="21" spans="1:23" x14ac:dyDescent="0.25">
      <c r="A21" s="335"/>
      <c r="B21" s="324"/>
      <c r="C21" s="296" t="s">
        <v>15</v>
      </c>
      <c r="D21" s="296" t="s">
        <v>16</v>
      </c>
      <c r="E21" s="296" t="s">
        <v>17</v>
      </c>
      <c r="F21" s="296" t="s">
        <v>6</v>
      </c>
      <c r="G21" s="296" t="s">
        <v>76</v>
      </c>
      <c r="H21" s="119" t="s">
        <v>77</v>
      </c>
      <c r="I21" s="346"/>
      <c r="J21" s="109" t="s">
        <v>78</v>
      </c>
      <c r="K21" s="296" t="s">
        <v>10</v>
      </c>
      <c r="L21" s="296" t="s">
        <v>11</v>
      </c>
      <c r="M21" s="296" t="s">
        <v>12</v>
      </c>
      <c r="N21" s="296" t="s">
        <v>79</v>
      </c>
      <c r="O21" s="119" t="s">
        <v>80</v>
      </c>
      <c r="P21" s="346"/>
      <c r="Q21" s="349"/>
      <c r="T21">
        <v>1564</v>
      </c>
      <c r="U21" s="104">
        <f>T21-I15</f>
        <v>352.40000000000009</v>
      </c>
    </row>
    <row r="22" spans="1:23" ht="15.75" thickBot="1" x14ac:dyDescent="0.3">
      <c r="A22" s="111">
        <v>1</v>
      </c>
      <c r="B22" s="5">
        <v>2</v>
      </c>
      <c r="C22" s="5">
        <v>3</v>
      </c>
      <c r="D22" s="5">
        <v>4</v>
      </c>
      <c r="E22" s="5">
        <v>5</v>
      </c>
      <c r="F22" s="5">
        <v>6</v>
      </c>
      <c r="G22" s="5">
        <v>7</v>
      </c>
      <c r="H22" s="120">
        <v>8</v>
      </c>
      <c r="I22" s="122">
        <v>9</v>
      </c>
      <c r="J22" s="110">
        <v>10</v>
      </c>
      <c r="K22" s="5">
        <v>11</v>
      </c>
      <c r="L22" s="5">
        <v>12</v>
      </c>
      <c r="M22" s="5">
        <v>13</v>
      </c>
      <c r="N22" s="5">
        <v>14</v>
      </c>
      <c r="O22" s="120">
        <v>15</v>
      </c>
      <c r="P22" s="122">
        <v>16</v>
      </c>
      <c r="Q22" s="131">
        <v>17</v>
      </c>
    </row>
    <row r="23" spans="1:23" ht="15.75" thickTop="1" x14ac:dyDescent="0.25">
      <c r="A23" s="83">
        <v>1</v>
      </c>
      <c r="B23" s="7" t="s">
        <v>18</v>
      </c>
      <c r="C23" s="301">
        <v>0</v>
      </c>
      <c r="D23" s="302">
        <v>0</v>
      </c>
      <c r="E23" s="302">
        <v>0</v>
      </c>
      <c r="F23" s="177">
        <v>67.3</v>
      </c>
      <c r="G23" s="177">
        <v>72.099999999999994</v>
      </c>
      <c r="H23" s="177">
        <v>62.5</v>
      </c>
      <c r="I23" s="173">
        <f>SUM(C23:H23)</f>
        <v>201.89999999999998</v>
      </c>
      <c r="J23" s="177">
        <v>14.4</v>
      </c>
      <c r="K23" s="136"/>
      <c r="L23" s="136"/>
      <c r="M23" s="136"/>
      <c r="N23" s="136"/>
      <c r="O23" s="136"/>
      <c r="P23" s="173">
        <f>SUM(J23:O23)</f>
        <v>14.4</v>
      </c>
      <c r="Q23" s="188">
        <f>SUM(I23,P23)</f>
        <v>216.29999999999998</v>
      </c>
    </row>
    <row r="24" spans="1:23" x14ac:dyDescent="0.25">
      <c r="A24" s="84">
        <v>2</v>
      </c>
      <c r="B24" s="12" t="s">
        <v>19</v>
      </c>
      <c r="C24" s="303">
        <v>1.9</v>
      </c>
      <c r="D24" s="304">
        <v>1</v>
      </c>
      <c r="E24" s="304">
        <v>4.8</v>
      </c>
      <c r="F24" s="178">
        <v>103.9</v>
      </c>
      <c r="G24" s="178">
        <v>79.8</v>
      </c>
      <c r="H24" s="178">
        <v>0</v>
      </c>
      <c r="I24" s="174">
        <f t="shared" ref="I24:I30" si="13">SUM(C24:H24)</f>
        <v>191.4</v>
      </c>
      <c r="J24" s="178">
        <v>4.8</v>
      </c>
      <c r="K24" s="59"/>
      <c r="L24" s="59"/>
      <c r="M24" s="59"/>
      <c r="N24" s="59"/>
      <c r="O24" s="155"/>
      <c r="P24" s="174">
        <f t="shared" ref="P24:P29" si="14">SUM(J24:O24)</f>
        <v>4.8</v>
      </c>
      <c r="Q24" s="189">
        <f t="shared" ref="Q24:Q30" si="15">SUM(I24,P24)</f>
        <v>196.20000000000002</v>
      </c>
    </row>
    <row r="25" spans="1:23" x14ac:dyDescent="0.25">
      <c r="A25" s="84">
        <v>3</v>
      </c>
      <c r="B25" s="7" t="s">
        <v>20</v>
      </c>
      <c r="C25" s="303">
        <v>0</v>
      </c>
      <c r="D25" s="304">
        <v>0</v>
      </c>
      <c r="E25" s="304">
        <v>0</v>
      </c>
      <c r="F25" s="178">
        <v>24</v>
      </c>
      <c r="G25" s="178">
        <v>0</v>
      </c>
      <c r="H25" s="178">
        <v>0</v>
      </c>
      <c r="I25" s="174">
        <f t="shared" si="13"/>
        <v>24</v>
      </c>
      <c r="J25" s="178">
        <v>0</v>
      </c>
      <c r="K25" s="59"/>
      <c r="L25" s="59"/>
      <c r="M25" s="59"/>
      <c r="N25" s="59"/>
      <c r="O25" s="155"/>
      <c r="P25" s="174">
        <f t="shared" si="14"/>
        <v>0</v>
      </c>
      <c r="Q25" s="189">
        <f t="shared" si="15"/>
        <v>24</v>
      </c>
    </row>
    <row r="26" spans="1:23" x14ac:dyDescent="0.25">
      <c r="A26" s="85">
        <v>4</v>
      </c>
      <c r="B26" s="15" t="s">
        <v>21</v>
      </c>
      <c r="C26" s="303">
        <v>0</v>
      </c>
      <c r="D26" s="304">
        <v>0</v>
      </c>
      <c r="E26" s="304">
        <v>1.9</v>
      </c>
      <c r="F26" s="178">
        <v>175.1</v>
      </c>
      <c r="G26" s="178">
        <v>0</v>
      </c>
      <c r="H26" s="178">
        <v>0</v>
      </c>
      <c r="I26" s="174">
        <f t="shared" si="13"/>
        <v>177</v>
      </c>
      <c r="J26" s="178">
        <v>2.9</v>
      </c>
      <c r="K26" s="59"/>
      <c r="L26" s="59"/>
      <c r="M26" s="59"/>
      <c r="N26" s="59"/>
      <c r="O26" s="155"/>
      <c r="P26" s="174">
        <f t="shared" si="14"/>
        <v>2.9</v>
      </c>
      <c r="Q26" s="189">
        <f t="shared" si="15"/>
        <v>179.9</v>
      </c>
    </row>
    <row r="27" spans="1:23" x14ac:dyDescent="0.25">
      <c r="A27" s="85">
        <v>5</v>
      </c>
      <c r="B27" s="19" t="s">
        <v>22</v>
      </c>
      <c r="C27" s="303">
        <v>0</v>
      </c>
      <c r="D27" s="304">
        <v>0</v>
      </c>
      <c r="E27" s="304">
        <v>0</v>
      </c>
      <c r="F27" s="178">
        <v>155.80000000000001</v>
      </c>
      <c r="G27" s="178">
        <v>0</v>
      </c>
      <c r="H27" s="178">
        <v>0</v>
      </c>
      <c r="I27" s="174">
        <f t="shared" si="13"/>
        <v>155.80000000000001</v>
      </c>
      <c r="J27" s="178">
        <v>0</v>
      </c>
      <c r="K27" s="59"/>
      <c r="L27" s="59"/>
      <c r="M27" s="59"/>
      <c r="N27" s="59"/>
      <c r="O27" s="155"/>
      <c r="P27" s="174">
        <f t="shared" si="14"/>
        <v>0</v>
      </c>
      <c r="Q27" s="189">
        <f t="shared" si="15"/>
        <v>155.80000000000001</v>
      </c>
    </row>
    <row r="28" spans="1:23" x14ac:dyDescent="0.25">
      <c r="A28" s="85">
        <v>6</v>
      </c>
      <c r="B28" s="19" t="s">
        <v>23</v>
      </c>
      <c r="C28" s="303">
        <v>0</v>
      </c>
      <c r="D28" s="304">
        <v>0</v>
      </c>
      <c r="E28" s="304">
        <v>0</v>
      </c>
      <c r="F28" s="178">
        <v>13.5</v>
      </c>
      <c r="G28" s="178">
        <v>34.6</v>
      </c>
      <c r="H28" s="178">
        <v>0</v>
      </c>
      <c r="I28" s="174">
        <f t="shared" si="13"/>
        <v>48.1</v>
      </c>
      <c r="J28" s="178">
        <v>0</v>
      </c>
      <c r="K28" s="59"/>
      <c r="L28" s="59"/>
      <c r="M28" s="59"/>
      <c r="N28" s="59"/>
      <c r="O28" s="155"/>
      <c r="P28" s="174">
        <f t="shared" si="14"/>
        <v>0</v>
      </c>
      <c r="Q28" s="189">
        <f t="shared" si="15"/>
        <v>48.1</v>
      </c>
    </row>
    <row r="29" spans="1:23" x14ac:dyDescent="0.25">
      <c r="A29" s="85">
        <v>7</v>
      </c>
      <c r="B29" s="19" t="s">
        <v>24</v>
      </c>
      <c r="C29" s="303">
        <v>0</v>
      </c>
      <c r="D29" s="304">
        <v>0</v>
      </c>
      <c r="E29" s="304">
        <v>19.2</v>
      </c>
      <c r="F29" s="178">
        <v>173.1</v>
      </c>
      <c r="G29" s="178">
        <v>115.4</v>
      </c>
      <c r="H29" s="178">
        <v>0</v>
      </c>
      <c r="I29" s="174">
        <f t="shared" si="13"/>
        <v>307.7</v>
      </c>
      <c r="J29" s="178">
        <v>0</v>
      </c>
      <c r="K29" s="59"/>
      <c r="L29" s="59"/>
      <c r="M29" s="59"/>
      <c r="N29" s="59"/>
      <c r="O29" s="155"/>
      <c r="P29" s="174">
        <f t="shared" si="14"/>
        <v>0</v>
      </c>
      <c r="Q29" s="189">
        <f t="shared" si="15"/>
        <v>307.7</v>
      </c>
    </row>
    <row r="30" spans="1:23" ht="15.75" thickBot="1" x14ac:dyDescent="0.3">
      <c r="A30" s="86">
        <v>8</v>
      </c>
      <c r="B30" s="15" t="s">
        <v>25</v>
      </c>
      <c r="C30" s="305">
        <v>10.6</v>
      </c>
      <c r="D30" s="306">
        <v>0</v>
      </c>
      <c r="E30" s="306">
        <v>9.6</v>
      </c>
      <c r="F30" s="171">
        <v>42.3</v>
      </c>
      <c r="G30" s="171">
        <v>19.2</v>
      </c>
      <c r="H30" s="171">
        <v>24</v>
      </c>
      <c r="I30" s="175">
        <f t="shared" si="13"/>
        <v>105.7</v>
      </c>
      <c r="J30" s="171">
        <v>4.8</v>
      </c>
      <c r="K30" s="137"/>
      <c r="L30" s="137"/>
      <c r="M30" s="137"/>
      <c r="N30" s="137"/>
      <c r="O30" s="137"/>
      <c r="P30" s="175">
        <f>SUM(J30:O30)</f>
        <v>4.8</v>
      </c>
      <c r="Q30" s="190">
        <f t="shared" si="15"/>
        <v>110.5</v>
      </c>
    </row>
    <row r="31" spans="1:23" ht="16.5" thickTop="1" thickBot="1" x14ac:dyDescent="0.3">
      <c r="A31" s="339" t="s">
        <v>26</v>
      </c>
      <c r="B31" s="340"/>
      <c r="C31" s="307">
        <f>SUM(C23:C30)</f>
        <v>12.5</v>
      </c>
      <c r="D31" s="307">
        <f t="shared" ref="D31:E31" si="16">SUM(D23:D30)</f>
        <v>1</v>
      </c>
      <c r="E31" s="307">
        <f t="shared" si="16"/>
        <v>35.5</v>
      </c>
      <c r="F31" s="172">
        <f t="shared" ref="F31:H31" si="17">SUM(F23:F30)</f>
        <v>754.99999999999989</v>
      </c>
      <c r="G31" s="172">
        <f t="shared" si="17"/>
        <v>321.09999999999997</v>
      </c>
      <c r="H31" s="308">
        <f t="shared" si="17"/>
        <v>86.5</v>
      </c>
      <c r="I31" s="176">
        <f>SUM(I23:I30)</f>
        <v>1211.5999999999999</v>
      </c>
      <c r="J31" s="160">
        <f t="shared" ref="J31:O31" si="18">SUM(J23:J30)</f>
        <v>26.9</v>
      </c>
      <c r="K31" s="112">
        <f t="shared" si="18"/>
        <v>0</v>
      </c>
      <c r="L31" s="112">
        <f t="shared" si="18"/>
        <v>0</v>
      </c>
      <c r="M31" s="112">
        <f t="shared" si="18"/>
        <v>0</v>
      </c>
      <c r="N31" s="112">
        <f t="shared" si="18"/>
        <v>0</v>
      </c>
      <c r="O31" s="121">
        <f t="shared" si="18"/>
        <v>0</v>
      </c>
      <c r="P31" s="176">
        <f>SUM(P23:P30)</f>
        <v>26.9</v>
      </c>
      <c r="Q31" s="203">
        <f>SUM(Q23:Q30)</f>
        <v>1238.5</v>
      </c>
    </row>
    <row r="33" spans="1:17" ht="15.75" x14ac:dyDescent="0.25">
      <c r="A33" s="341" t="s">
        <v>105</v>
      </c>
      <c r="B33" s="341"/>
      <c r="C33" s="341"/>
      <c r="D33" s="341"/>
      <c r="E33" s="341"/>
      <c r="F33" s="341"/>
      <c r="G33" s="341"/>
      <c r="H33" s="341"/>
      <c r="I33" s="341"/>
      <c r="J33" s="341"/>
      <c r="K33" s="341"/>
      <c r="L33" s="341"/>
      <c r="M33" s="341"/>
      <c r="N33" s="341"/>
      <c r="O33" s="341"/>
      <c r="P33" s="341"/>
      <c r="Q33" s="341"/>
    </row>
    <row r="34" spans="1:17" ht="15.75" x14ac:dyDescent="0.25">
      <c r="A34" s="341" t="s">
        <v>81</v>
      </c>
      <c r="B34" s="341"/>
      <c r="C34" s="341"/>
      <c r="D34" s="341"/>
      <c r="E34" s="341"/>
      <c r="F34" s="341"/>
      <c r="G34" s="341"/>
      <c r="H34" s="341"/>
      <c r="I34" s="341"/>
      <c r="J34" s="341"/>
      <c r="K34" s="341"/>
      <c r="L34" s="341"/>
      <c r="M34" s="341"/>
      <c r="N34" s="341"/>
      <c r="O34" s="341"/>
      <c r="P34" s="341"/>
      <c r="Q34" s="341"/>
    </row>
    <row r="35" spans="1:17" ht="15.75" thickBot="1" x14ac:dyDescent="0.3">
      <c r="Q35" s="75" t="s">
        <v>1</v>
      </c>
    </row>
    <row r="36" spans="1:17" x14ac:dyDescent="0.25">
      <c r="A36" s="334" t="s">
        <v>2</v>
      </c>
      <c r="B36" s="336" t="s">
        <v>3</v>
      </c>
      <c r="C36" s="342" t="s">
        <v>142</v>
      </c>
      <c r="D36" s="343"/>
      <c r="E36" s="343"/>
      <c r="F36" s="343"/>
      <c r="G36" s="343"/>
      <c r="H36" s="344"/>
      <c r="I36" s="345" t="s">
        <v>82</v>
      </c>
      <c r="J36" s="347">
        <v>2020</v>
      </c>
      <c r="K36" s="343"/>
      <c r="L36" s="343"/>
      <c r="M36" s="343"/>
      <c r="N36" s="343"/>
      <c r="O36" s="344"/>
      <c r="P36" s="345" t="s">
        <v>83</v>
      </c>
      <c r="Q36" s="348" t="s">
        <v>5</v>
      </c>
    </row>
    <row r="37" spans="1:17" x14ac:dyDescent="0.25">
      <c r="A37" s="335"/>
      <c r="B37" s="324"/>
      <c r="C37" s="296" t="s">
        <v>15</v>
      </c>
      <c r="D37" s="296" t="s">
        <v>16</v>
      </c>
      <c r="E37" s="296" t="s">
        <v>17</v>
      </c>
      <c r="F37" s="296" t="s">
        <v>6</v>
      </c>
      <c r="G37" s="296" t="s">
        <v>76</v>
      </c>
      <c r="H37" s="119" t="s">
        <v>77</v>
      </c>
      <c r="I37" s="346"/>
      <c r="J37" s="109" t="s">
        <v>78</v>
      </c>
      <c r="K37" s="296" t="s">
        <v>10</v>
      </c>
      <c r="L37" s="296" t="s">
        <v>11</v>
      </c>
      <c r="M37" s="296" t="s">
        <v>12</v>
      </c>
      <c r="N37" s="296" t="s">
        <v>79</v>
      </c>
      <c r="O37" s="119" t="s">
        <v>80</v>
      </c>
      <c r="P37" s="346"/>
      <c r="Q37" s="349"/>
    </row>
    <row r="38" spans="1:17" ht="15.75" thickBot="1" x14ac:dyDescent="0.3">
      <c r="A38" s="111">
        <v>1</v>
      </c>
      <c r="B38" s="5">
        <v>2</v>
      </c>
      <c r="C38" s="5">
        <v>3</v>
      </c>
      <c r="D38" s="5">
        <v>4</v>
      </c>
      <c r="E38" s="5">
        <v>5</v>
      </c>
      <c r="F38" s="5">
        <v>6</v>
      </c>
      <c r="G38" s="5">
        <v>7</v>
      </c>
      <c r="H38" s="120">
        <v>8</v>
      </c>
      <c r="I38" s="122">
        <v>9</v>
      </c>
      <c r="J38" s="110">
        <v>10</v>
      </c>
      <c r="K38" s="5">
        <v>11</v>
      </c>
      <c r="L38" s="5">
        <v>12</v>
      </c>
      <c r="M38" s="5">
        <v>13</v>
      </c>
      <c r="N38" s="5">
        <v>14</v>
      </c>
      <c r="O38" s="120">
        <v>15</v>
      </c>
      <c r="P38" s="122">
        <v>16</v>
      </c>
      <c r="Q38" s="131">
        <v>17</v>
      </c>
    </row>
    <row r="39" spans="1:17" ht="15.75" thickTop="1" x14ac:dyDescent="0.25">
      <c r="A39" s="83">
        <v>1</v>
      </c>
      <c r="B39" s="7" t="s">
        <v>18</v>
      </c>
      <c r="C39" s="136">
        <v>0</v>
      </c>
      <c r="D39" s="136">
        <v>0</v>
      </c>
      <c r="E39" s="136">
        <v>0</v>
      </c>
      <c r="F39" s="136">
        <f>'padi ladang'!C9</f>
        <v>0</v>
      </c>
      <c r="G39" s="136">
        <f>'padi ladang'!D9</f>
        <v>0</v>
      </c>
      <c r="H39" s="136">
        <f>'padi ladang'!E9</f>
        <v>0</v>
      </c>
      <c r="I39" s="124">
        <f>SUM(C39:H39)</f>
        <v>0</v>
      </c>
      <c r="J39" s="156">
        <f>'padi ladang'!F9</f>
        <v>0</v>
      </c>
      <c r="K39" s="156">
        <f>'padi ladang'!G9</f>
        <v>0</v>
      </c>
      <c r="L39" s="156">
        <f>'padi ladang'!H9</f>
        <v>0</v>
      </c>
      <c r="M39" s="156">
        <f>'padi ladang'!I9</f>
        <v>0</v>
      </c>
      <c r="N39" s="156">
        <f>'padi ladang'!J9</f>
        <v>0</v>
      </c>
      <c r="O39" s="156">
        <f>'padi ladang'!K9</f>
        <v>0</v>
      </c>
      <c r="P39" s="124">
        <f>SUM(J39:O39)</f>
        <v>0</v>
      </c>
      <c r="Q39" s="127">
        <f>SUM(I39,P39)</f>
        <v>0</v>
      </c>
    </row>
    <row r="40" spans="1:17" x14ac:dyDescent="0.25">
      <c r="A40" s="84">
        <v>2</v>
      </c>
      <c r="B40" s="12" t="s">
        <v>19</v>
      </c>
      <c r="C40" s="59">
        <v>0</v>
      </c>
      <c r="D40" s="59">
        <v>0</v>
      </c>
      <c r="E40" s="59">
        <v>0</v>
      </c>
      <c r="F40" s="59">
        <f>'padi ladang'!C10</f>
        <v>0</v>
      </c>
      <c r="G40" s="59">
        <f>'padi ladang'!D10</f>
        <v>0</v>
      </c>
      <c r="H40" s="155">
        <f>'padi ladang'!E10</f>
        <v>0</v>
      </c>
      <c r="I40" s="125">
        <f t="shared" ref="I40:I46" si="19">SUM(C40:H40)</f>
        <v>0</v>
      </c>
      <c r="J40" s="223">
        <f>'padi ladang'!F10</f>
        <v>0</v>
      </c>
      <c r="K40" s="132">
        <f>'padi ladang'!G10</f>
        <v>0</v>
      </c>
      <c r="L40" s="132">
        <f>'padi ladang'!H10</f>
        <v>0</v>
      </c>
      <c r="M40" s="132">
        <f>'padi ladang'!I10</f>
        <v>0</v>
      </c>
      <c r="N40" s="132">
        <f>'padi ladang'!J10</f>
        <v>0</v>
      </c>
      <c r="O40" s="157">
        <f>'padi ladang'!K10</f>
        <v>0</v>
      </c>
      <c r="P40" s="125">
        <f t="shared" ref="P40:P45" si="20">SUM(J40:O40)</f>
        <v>0</v>
      </c>
      <c r="Q40" s="128">
        <f t="shared" ref="Q40:Q46" si="21">SUM(I40,P40)</f>
        <v>0</v>
      </c>
    </row>
    <row r="41" spans="1:17" x14ac:dyDescent="0.25">
      <c r="A41" s="84">
        <v>3</v>
      </c>
      <c r="B41" s="7" t="s">
        <v>20</v>
      </c>
      <c r="C41" s="59">
        <v>0</v>
      </c>
      <c r="D41" s="59">
        <v>0</v>
      </c>
      <c r="E41" s="59">
        <v>0</v>
      </c>
      <c r="F41" s="59">
        <v>0</v>
      </c>
      <c r="G41" s="59">
        <f>'padi ladang'!D11</f>
        <v>0</v>
      </c>
      <c r="H41" s="155">
        <f>'padi ladang'!E11</f>
        <v>0</v>
      </c>
      <c r="I41" s="125">
        <f t="shared" si="19"/>
        <v>0</v>
      </c>
      <c r="J41" s="223">
        <f>'padi ladang'!F11</f>
        <v>0</v>
      </c>
      <c r="K41" s="132">
        <f>'padi ladang'!G11</f>
        <v>0</v>
      </c>
      <c r="L41" s="132">
        <f>'padi ladang'!H11</f>
        <v>0</v>
      </c>
      <c r="M41" s="132">
        <f>'padi ladang'!I11</f>
        <v>0</v>
      </c>
      <c r="N41" s="132">
        <f>'padi ladang'!J11</f>
        <v>0</v>
      </c>
      <c r="O41" s="157">
        <f>'padi ladang'!K11</f>
        <v>0</v>
      </c>
      <c r="P41" s="125">
        <f t="shared" si="20"/>
        <v>0</v>
      </c>
      <c r="Q41" s="128">
        <f t="shared" si="21"/>
        <v>0</v>
      </c>
    </row>
    <row r="42" spans="1:17" x14ac:dyDescent="0.25">
      <c r="A42" s="85">
        <v>4</v>
      </c>
      <c r="B42" s="15" t="s">
        <v>21</v>
      </c>
      <c r="C42" s="59">
        <v>0</v>
      </c>
      <c r="D42" s="59">
        <v>0</v>
      </c>
      <c r="E42" s="59">
        <v>0</v>
      </c>
      <c r="F42" s="59">
        <f>'padi ladang'!C12</f>
        <v>0</v>
      </c>
      <c r="G42" s="59">
        <f>'padi ladang'!D12</f>
        <v>0</v>
      </c>
      <c r="H42" s="155">
        <f>'padi ladang'!E12</f>
        <v>0</v>
      </c>
      <c r="I42" s="125">
        <f t="shared" si="19"/>
        <v>0</v>
      </c>
      <c r="J42" s="223">
        <f>'padi ladang'!F12</f>
        <v>0</v>
      </c>
      <c r="K42" s="132">
        <f>'padi ladang'!G12</f>
        <v>0</v>
      </c>
      <c r="L42" s="132">
        <f>'padi ladang'!H12</f>
        <v>0</v>
      </c>
      <c r="M42" s="132">
        <f>'padi ladang'!I12</f>
        <v>0</v>
      </c>
      <c r="N42" s="132">
        <f>'padi ladang'!J12</f>
        <v>0</v>
      </c>
      <c r="O42" s="157">
        <f>'padi ladang'!K12</f>
        <v>0</v>
      </c>
      <c r="P42" s="125">
        <f t="shared" si="20"/>
        <v>0</v>
      </c>
      <c r="Q42" s="128">
        <f t="shared" si="21"/>
        <v>0</v>
      </c>
    </row>
    <row r="43" spans="1:17" x14ac:dyDescent="0.25">
      <c r="A43" s="85">
        <v>5</v>
      </c>
      <c r="B43" s="19" t="s">
        <v>22</v>
      </c>
      <c r="C43" s="59">
        <v>0</v>
      </c>
      <c r="D43" s="59">
        <v>0</v>
      </c>
      <c r="E43" s="59">
        <v>0</v>
      </c>
      <c r="F43" s="59">
        <f>'padi ladang'!C13</f>
        <v>0</v>
      </c>
      <c r="G43" s="59">
        <f>'padi ladang'!D13</f>
        <v>0</v>
      </c>
      <c r="H43" s="155">
        <f>'padi ladang'!E13</f>
        <v>0</v>
      </c>
      <c r="I43" s="125">
        <f t="shared" si="19"/>
        <v>0</v>
      </c>
      <c r="J43" s="223">
        <f>'padi ladang'!F13</f>
        <v>0</v>
      </c>
      <c r="K43" s="132">
        <f>'padi ladang'!G13</f>
        <v>0</v>
      </c>
      <c r="L43" s="132">
        <f>'padi ladang'!H13</f>
        <v>0</v>
      </c>
      <c r="M43" s="132">
        <f>'padi ladang'!I13</f>
        <v>0</v>
      </c>
      <c r="N43" s="132">
        <f>'padi ladang'!J13</f>
        <v>0</v>
      </c>
      <c r="O43" s="157">
        <f>'padi ladang'!K13</f>
        <v>0</v>
      </c>
      <c r="P43" s="125">
        <f t="shared" si="20"/>
        <v>0</v>
      </c>
      <c r="Q43" s="128">
        <f t="shared" si="21"/>
        <v>0</v>
      </c>
    </row>
    <row r="44" spans="1:17" x14ac:dyDescent="0.25">
      <c r="A44" s="85">
        <v>6</v>
      </c>
      <c r="B44" s="19" t="s">
        <v>23</v>
      </c>
      <c r="C44" s="59">
        <v>0</v>
      </c>
      <c r="D44" s="59">
        <v>0</v>
      </c>
      <c r="E44" s="59">
        <v>0</v>
      </c>
      <c r="F44" s="59">
        <f>'padi ladang'!C14</f>
        <v>0</v>
      </c>
      <c r="G44" s="59">
        <f>'padi ladang'!D14</f>
        <v>0</v>
      </c>
      <c r="H44" s="155">
        <f>'padi ladang'!E14</f>
        <v>0</v>
      </c>
      <c r="I44" s="125">
        <f t="shared" si="19"/>
        <v>0</v>
      </c>
      <c r="J44" s="223">
        <f>'padi ladang'!F14</f>
        <v>0</v>
      </c>
      <c r="K44" s="132">
        <f>'padi ladang'!G14</f>
        <v>0</v>
      </c>
      <c r="L44" s="132">
        <f>'padi ladang'!H14</f>
        <v>0</v>
      </c>
      <c r="M44" s="132">
        <f>'padi ladang'!I14</f>
        <v>0</v>
      </c>
      <c r="N44" s="132">
        <f>'padi ladang'!J14</f>
        <v>0</v>
      </c>
      <c r="O44" s="157">
        <f>'padi ladang'!K14</f>
        <v>0</v>
      </c>
      <c r="P44" s="125">
        <f t="shared" si="20"/>
        <v>0</v>
      </c>
      <c r="Q44" s="128">
        <f t="shared" si="21"/>
        <v>0</v>
      </c>
    </row>
    <row r="45" spans="1:17" x14ac:dyDescent="0.25">
      <c r="A45" s="85">
        <v>7</v>
      </c>
      <c r="B45" s="19" t="s">
        <v>24</v>
      </c>
      <c r="C45" s="59">
        <v>0</v>
      </c>
      <c r="D45" s="59">
        <v>0</v>
      </c>
      <c r="E45" s="59">
        <v>0</v>
      </c>
      <c r="F45" s="59">
        <f>'padi ladang'!C15</f>
        <v>0</v>
      </c>
      <c r="G45" s="59">
        <f>'padi ladang'!D15</f>
        <v>0</v>
      </c>
      <c r="H45" s="155">
        <f>'padi ladang'!E15</f>
        <v>0</v>
      </c>
      <c r="I45" s="125">
        <f t="shared" si="19"/>
        <v>0</v>
      </c>
      <c r="J45" s="223">
        <f>'padi ladang'!F15</f>
        <v>0</v>
      </c>
      <c r="K45" s="132">
        <f>'padi ladang'!G15</f>
        <v>0</v>
      </c>
      <c r="L45" s="132">
        <f>'padi ladang'!H15</f>
        <v>0</v>
      </c>
      <c r="M45" s="132">
        <f>'padi ladang'!I15</f>
        <v>0</v>
      </c>
      <c r="N45" s="132">
        <f>'padi ladang'!J15</f>
        <v>0</v>
      </c>
      <c r="O45" s="157">
        <f>'padi ladang'!K15</f>
        <v>0</v>
      </c>
      <c r="P45" s="125">
        <f t="shared" si="20"/>
        <v>0</v>
      </c>
      <c r="Q45" s="128">
        <f t="shared" si="21"/>
        <v>0</v>
      </c>
    </row>
    <row r="46" spans="1:17" ht="15.75" thickBot="1" x14ac:dyDescent="0.3">
      <c r="A46" s="86">
        <v>8</v>
      </c>
      <c r="B46" s="15" t="s">
        <v>25</v>
      </c>
      <c r="C46" s="137">
        <v>0</v>
      </c>
      <c r="D46" s="137">
        <v>0</v>
      </c>
      <c r="E46" s="137">
        <v>0</v>
      </c>
      <c r="F46" s="137">
        <f>'padi ladang'!C16</f>
        <v>0</v>
      </c>
      <c r="G46" s="137">
        <f>'padi ladang'!D16</f>
        <v>0</v>
      </c>
      <c r="H46" s="137">
        <f>'padi ladang'!E16</f>
        <v>0</v>
      </c>
      <c r="I46" s="126">
        <f t="shared" si="19"/>
        <v>0</v>
      </c>
      <c r="J46" s="232">
        <f>'padi ladang'!F16</f>
        <v>0</v>
      </c>
      <c r="K46" s="232">
        <f>'padi ladang'!G16</f>
        <v>0</v>
      </c>
      <c r="L46" s="232">
        <f>'padi ladang'!H16</f>
        <v>2</v>
      </c>
      <c r="M46" s="232">
        <f>'padi ladang'!I16</f>
        <v>0</v>
      </c>
      <c r="N46" s="232">
        <f>'padi ladang'!J16</f>
        <v>0</v>
      </c>
      <c r="O46" s="232">
        <f>'padi ladang'!K16</f>
        <v>0</v>
      </c>
      <c r="P46" s="126">
        <f>SUM(J46:O46)</f>
        <v>2</v>
      </c>
      <c r="Q46" s="129">
        <f t="shared" si="21"/>
        <v>2</v>
      </c>
    </row>
    <row r="47" spans="1:17" ht="16.5" thickTop="1" thickBot="1" x14ac:dyDescent="0.3">
      <c r="A47" s="339" t="s">
        <v>26</v>
      </c>
      <c r="B47" s="340"/>
      <c r="C47" s="112">
        <f t="shared" ref="C47:H47" si="22">SUM(C39:C46)</f>
        <v>0</v>
      </c>
      <c r="D47" s="112">
        <f t="shared" si="22"/>
        <v>0</v>
      </c>
      <c r="E47" s="112">
        <f t="shared" si="22"/>
        <v>0</v>
      </c>
      <c r="F47" s="112">
        <f t="shared" si="22"/>
        <v>0</v>
      </c>
      <c r="G47" s="112">
        <f t="shared" si="22"/>
        <v>0</v>
      </c>
      <c r="H47" s="121">
        <f t="shared" si="22"/>
        <v>0</v>
      </c>
      <c r="I47" s="123">
        <f>SUM(I39:I46)</f>
        <v>0</v>
      </c>
      <c r="J47" s="133">
        <f t="shared" ref="J47:O47" si="23">SUM(J39:J46)</f>
        <v>0</v>
      </c>
      <c r="K47" s="112">
        <f t="shared" si="23"/>
        <v>0</v>
      </c>
      <c r="L47" s="112">
        <f t="shared" si="23"/>
        <v>2</v>
      </c>
      <c r="M47" s="112">
        <f t="shared" si="23"/>
        <v>0</v>
      </c>
      <c r="N47" s="112">
        <f t="shared" si="23"/>
        <v>0</v>
      </c>
      <c r="O47" s="121">
        <f t="shared" si="23"/>
        <v>0</v>
      </c>
      <c r="P47" s="123">
        <f>SUM(P39:P46)</f>
        <v>2</v>
      </c>
      <c r="Q47" s="130">
        <f>SUM(Q39:Q46)</f>
        <v>2</v>
      </c>
    </row>
    <row r="49" spans="1:17" ht="15.75" x14ac:dyDescent="0.25">
      <c r="A49" s="341" t="s">
        <v>145</v>
      </c>
      <c r="B49" s="341"/>
      <c r="C49" s="341"/>
      <c r="D49" s="341"/>
      <c r="E49" s="341"/>
      <c r="F49" s="341"/>
      <c r="G49" s="341"/>
      <c r="H49" s="341"/>
      <c r="I49" s="341"/>
      <c r="J49" s="341"/>
      <c r="K49" s="341"/>
      <c r="L49" s="341"/>
      <c r="M49" s="341"/>
      <c r="N49" s="341"/>
      <c r="O49" s="341"/>
      <c r="P49" s="341"/>
      <c r="Q49" s="341"/>
    </row>
    <row r="50" spans="1:17" ht="15.75" x14ac:dyDescent="0.25">
      <c r="A50" s="341" t="s">
        <v>81</v>
      </c>
      <c r="B50" s="341"/>
      <c r="C50" s="341"/>
      <c r="D50" s="341"/>
      <c r="E50" s="341"/>
      <c r="F50" s="341"/>
      <c r="G50" s="341"/>
      <c r="H50" s="341"/>
      <c r="I50" s="341"/>
      <c r="J50" s="341"/>
      <c r="K50" s="341"/>
      <c r="L50" s="341"/>
      <c r="M50" s="341"/>
      <c r="N50" s="341"/>
      <c r="O50" s="341"/>
      <c r="P50" s="341"/>
      <c r="Q50" s="341"/>
    </row>
    <row r="51" spans="1:17" ht="15.75" thickBot="1" x14ac:dyDescent="0.3">
      <c r="Q51" s="75" t="s">
        <v>1</v>
      </c>
    </row>
    <row r="52" spans="1:17" x14ac:dyDescent="0.25">
      <c r="A52" s="334" t="s">
        <v>2</v>
      </c>
      <c r="B52" s="336" t="s">
        <v>3</v>
      </c>
      <c r="C52" s="342" t="s">
        <v>142</v>
      </c>
      <c r="D52" s="343"/>
      <c r="E52" s="343"/>
      <c r="F52" s="343"/>
      <c r="G52" s="343"/>
      <c r="H52" s="344"/>
      <c r="I52" s="345" t="s">
        <v>82</v>
      </c>
      <c r="J52" s="347">
        <v>2020</v>
      </c>
      <c r="K52" s="343"/>
      <c r="L52" s="343"/>
      <c r="M52" s="343"/>
      <c r="N52" s="343"/>
      <c r="O52" s="344"/>
      <c r="P52" s="345" t="s">
        <v>83</v>
      </c>
      <c r="Q52" s="348" t="s">
        <v>5</v>
      </c>
    </row>
    <row r="53" spans="1:17" x14ac:dyDescent="0.25">
      <c r="A53" s="335"/>
      <c r="B53" s="324"/>
      <c r="C53" s="296" t="s">
        <v>15</v>
      </c>
      <c r="D53" s="296" t="s">
        <v>16</v>
      </c>
      <c r="E53" s="296" t="s">
        <v>17</v>
      </c>
      <c r="F53" s="296" t="s">
        <v>6</v>
      </c>
      <c r="G53" s="296" t="s">
        <v>76</v>
      </c>
      <c r="H53" s="119" t="s">
        <v>77</v>
      </c>
      <c r="I53" s="346"/>
      <c r="J53" s="109" t="s">
        <v>78</v>
      </c>
      <c r="K53" s="296" t="s">
        <v>10</v>
      </c>
      <c r="L53" s="296" t="s">
        <v>11</v>
      </c>
      <c r="M53" s="296" t="s">
        <v>12</v>
      </c>
      <c r="N53" s="296" t="s">
        <v>79</v>
      </c>
      <c r="O53" s="119" t="s">
        <v>80</v>
      </c>
      <c r="P53" s="346"/>
      <c r="Q53" s="349"/>
    </row>
    <row r="54" spans="1:17" ht="15.75" thickBot="1" x14ac:dyDescent="0.3">
      <c r="A54" s="111">
        <v>1</v>
      </c>
      <c r="B54" s="5">
        <v>2</v>
      </c>
      <c r="C54" s="5">
        <v>3</v>
      </c>
      <c r="D54" s="5">
        <v>4</v>
      </c>
      <c r="E54" s="5">
        <v>5</v>
      </c>
      <c r="F54" s="5">
        <v>6</v>
      </c>
      <c r="G54" s="5">
        <v>7</v>
      </c>
      <c r="H54" s="120">
        <v>8</v>
      </c>
      <c r="I54" s="122">
        <v>9</v>
      </c>
      <c r="J54" s="110">
        <v>10</v>
      </c>
      <c r="K54" s="5">
        <v>11</v>
      </c>
      <c r="L54" s="5">
        <v>12</v>
      </c>
      <c r="M54" s="5">
        <v>13</v>
      </c>
      <c r="N54" s="5">
        <v>14</v>
      </c>
      <c r="O54" s="120">
        <v>15</v>
      </c>
      <c r="P54" s="122">
        <v>16</v>
      </c>
      <c r="Q54" s="131">
        <v>17</v>
      </c>
    </row>
    <row r="55" spans="1:17" ht="15.75" thickTop="1" x14ac:dyDescent="0.25">
      <c r="A55" s="83">
        <v>1</v>
      </c>
      <c r="B55" s="7" t="s">
        <v>18</v>
      </c>
      <c r="C55" s="297">
        <f>jagung!L9</f>
        <v>1</v>
      </c>
      <c r="D55" s="297">
        <f>jagung!M9</f>
        <v>0</v>
      </c>
      <c r="E55" s="297">
        <f>jagung!N9</f>
        <v>0</v>
      </c>
      <c r="F55" s="136"/>
      <c r="G55" s="136"/>
      <c r="H55" s="136"/>
      <c r="I55" s="124">
        <f>SUM(C55:H55)</f>
        <v>1</v>
      </c>
      <c r="J55" s="156"/>
      <c r="K55" s="156"/>
      <c r="L55" s="156"/>
      <c r="M55" s="156"/>
      <c r="N55" s="156"/>
      <c r="O55" s="156"/>
      <c r="P55" s="124">
        <f>SUM(J55:O55)</f>
        <v>0</v>
      </c>
      <c r="Q55" s="127">
        <f>SUM(I55,P55)</f>
        <v>1</v>
      </c>
    </row>
    <row r="56" spans="1:17" x14ac:dyDescent="0.25">
      <c r="A56" s="84">
        <v>2</v>
      </c>
      <c r="B56" s="12" t="s">
        <v>19</v>
      </c>
      <c r="C56" s="16">
        <f>jagung!L10</f>
        <v>1</v>
      </c>
      <c r="D56" s="16">
        <f>jagung!M10</f>
        <v>0</v>
      </c>
      <c r="E56" s="16">
        <f>jagung!N10</f>
        <v>1</v>
      </c>
      <c r="F56" s="59"/>
      <c r="G56" s="59"/>
      <c r="H56" s="59"/>
      <c r="I56" s="125">
        <f t="shared" ref="I56:I62" si="24">SUM(C56:H56)</f>
        <v>2</v>
      </c>
      <c r="J56" s="132"/>
      <c r="K56" s="132"/>
      <c r="L56" s="132"/>
      <c r="M56" s="132"/>
      <c r="N56" s="132"/>
      <c r="O56" s="157"/>
      <c r="P56" s="125">
        <f t="shared" ref="P56:P61" si="25">SUM(J56:O56)</f>
        <v>0</v>
      </c>
      <c r="Q56" s="128">
        <f t="shared" ref="Q56:Q62" si="26">SUM(I56,P56)</f>
        <v>2</v>
      </c>
    </row>
    <row r="57" spans="1:17" x14ac:dyDescent="0.25">
      <c r="A57" s="84">
        <v>3</v>
      </c>
      <c r="B57" s="7" t="s">
        <v>20</v>
      </c>
      <c r="C57" s="16">
        <f>jagung!L11</f>
        <v>0</v>
      </c>
      <c r="D57" s="16">
        <f>jagung!M11</f>
        <v>0</v>
      </c>
      <c r="E57" s="16">
        <f>jagung!N11</f>
        <v>0</v>
      </c>
      <c r="F57" s="59"/>
      <c r="G57" s="59"/>
      <c r="H57" s="59"/>
      <c r="I57" s="125">
        <f t="shared" si="24"/>
        <v>0</v>
      </c>
      <c r="J57" s="132"/>
      <c r="K57" s="132"/>
      <c r="L57" s="132"/>
      <c r="M57" s="132"/>
      <c r="N57" s="132"/>
      <c r="O57" s="157"/>
      <c r="P57" s="125">
        <f t="shared" si="25"/>
        <v>0</v>
      </c>
      <c r="Q57" s="128">
        <f t="shared" si="26"/>
        <v>0</v>
      </c>
    </row>
    <row r="58" spans="1:17" x14ac:dyDescent="0.25">
      <c r="A58" s="85">
        <v>4</v>
      </c>
      <c r="B58" s="15" t="s">
        <v>21</v>
      </c>
      <c r="C58" s="16">
        <f>jagung!L12</f>
        <v>0</v>
      </c>
      <c r="D58" s="16">
        <f>jagung!M12</f>
        <v>0</v>
      </c>
      <c r="E58" s="16">
        <f>jagung!N12</f>
        <v>0</v>
      </c>
      <c r="F58" s="59"/>
      <c r="G58" s="59"/>
      <c r="H58" s="59"/>
      <c r="I58" s="125">
        <f t="shared" si="24"/>
        <v>0</v>
      </c>
      <c r="J58" s="132"/>
      <c r="K58" s="132"/>
      <c r="L58" s="132"/>
      <c r="M58" s="132"/>
      <c r="N58" s="132"/>
      <c r="O58" s="157"/>
      <c r="P58" s="125">
        <f t="shared" si="25"/>
        <v>0</v>
      </c>
      <c r="Q58" s="128">
        <f t="shared" si="26"/>
        <v>0</v>
      </c>
    </row>
    <row r="59" spans="1:17" x14ac:dyDescent="0.25">
      <c r="A59" s="85">
        <v>5</v>
      </c>
      <c r="B59" s="19" t="s">
        <v>22</v>
      </c>
      <c r="C59" s="16">
        <f>jagung!L13</f>
        <v>0</v>
      </c>
      <c r="D59" s="16">
        <f>jagung!M13</f>
        <v>0</v>
      </c>
      <c r="E59" s="16">
        <f>jagung!N13</f>
        <v>0</v>
      </c>
      <c r="F59" s="59"/>
      <c r="G59" s="59"/>
      <c r="H59" s="59"/>
      <c r="I59" s="125">
        <f t="shared" si="24"/>
        <v>0</v>
      </c>
      <c r="J59" s="132"/>
      <c r="K59" s="132"/>
      <c r="L59" s="132"/>
      <c r="M59" s="132"/>
      <c r="N59" s="132"/>
      <c r="O59" s="157"/>
      <c r="P59" s="125">
        <f t="shared" si="25"/>
        <v>0</v>
      </c>
      <c r="Q59" s="128">
        <f t="shared" si="26"/>
        <v>0</v>
      </c>
    </row>
    <row r="60" spans="1:17" x14ac:dyDescent="0.25">
      <c r="A60" s="85">
        <v>6</v>
      </c>
      <c r="B60" s="19" t="s">
        <v>23</v>
      </c>
      <c r="C60" s="16">
        <f>jagung!L14</f>
        <v>0</v>
      </c>
      <c r="D60" s="16">
        <f>jagung!M14</f>
        <v>0</v>
      </c>
      <c r="E60" s="16">
        <f>jagung!N14</f>
        <v>0.5</v>
      </c>
      <c r="F60" s="59"/>
      <c r="G60" s="59"/>
      <c r="H60" s="59"/>
      <c r="I60" s="125">
        <f t="shared" si="24"/>
        <v>0.5</v>
      </c>
      <c r="J60" s="132"/>
      <c r="K60" s="132"/>
      <c r="L60" s="132"/>
      <c r="M60" s="132"/>
      <c r="N60" s="132"/>
      <c r="O60" s="157"/>
      <c r="P60" s="125">
        <f t="shared" si="25"/>
        <v>0</v>
      </c>
      <c r="Q60" s="128">
        <f t="shared" si="26"/>
        <v>0.5</v>
      </c>
    </row>
    <row r="61" spans="1:17" x14ac:dyDescent="0.25">
      <c r="A61" s="85">
        <v>7</v>
      </c>
      <c r="B61" s="19" t="s">
        <v>24</v>
      </c>
      <c r="C61" s="16">
        <f>jagung!L15</f>
        <v>0</v>
      </c>
      <c r="D61" s="16">
        <f>jagung!M15</f>
        <v>1</v>
      </c>
      <c r="E61" s="16">
        <f>jagung!N15</f>
        <v>0</v>
      </c>
      <c r="F61" s="59"/>
      <c r="G61" s="59"/>
      <c r="H61" s="59"/>
      <c r="I61" s="125">
        <f t="shared" si="24"/>
        <v>1</v>
      </c>
      <c r="J61" s="132"/>
      <c r="K61" s="132"/>
      <c r="L61" s="132"/>
      <c r="M61" s="132"/>
      <c r="N61" s="132"/>
      <c r="O61" s="157"/>
      <c r="P61" s="125">
        <f t="shared" si="25"/>
        <v>0</v>
      </c>
      <c r="Q61" s="128">
        <f t="shared" si="26"/>
        <v>1</v>
      </c>
    </row>
    <row r="62" spans="1:17" ht="15.75" thickBot="1" x14ac:dyDescent="0.3">
      <c r="A62" s="86">
        <v>8</v>
      </c>
      <c r="B62" s="15" t="s">
        <v>25</v>
      </c>
      <c r="C62" s="298">
        <f>jagung!L16</f>
        <v>0</v>
      </c>
      <c r="D62" s="298">
        <f>jagung!M16</f>
        <v>2</v>
      </c>
      <c r="E62" s="298">
        <f>jagung!N16</f>
        <v>0</v>
      </c>
      <c r="F62" s="137"/>
      <c r="G62" s="137"/>
      <c r="H62" s="137"/>
      <c r="I62" s="126">
        <f t="shared" si="24"/>
        <v>2</v>
      </c>
      <c r="J62" s="232"/>
      <c r="K62" s="232"/>
      <c r="L62" s="232"/>
      <c r="M62" s="232"/>
      <c r="N62" s="232"/>
      <c r="O62" s="232"/>
      <c r="P62" s="126">
        <f>SUM(J62:O62)</f>
        <v>0</v>
      </c>
      <c r="Q62" s="129">
        <f t="shared" si="26"/>
        <v>2</v>
      </c>
    </row>
    <row r="63" spans="1:17" ht="16.5" thickTop="1" thickBot="1" x14ac:dyDescent="0.3">
      <c r="A63" s="339" t="s">
        <v>26</v>
      </c>
      <c r="B63" s="340"/>
      <c r="C63" s="112">
        <f t="shared" ref="C63:H63" si="27">SUM(C55:C62)</f>
        <v>2</v>
      </c>
      <c r="D63" s="112">
        <f t="shared" si="27"/>
        <v>3</v>
      </c>
      <c r="E63" s="112">
        <f t="shared" si="27"/>
        <v>1.5</v>
      </c>
      <c r="F63" s="112">
        <f t="shared" si="27"/>
        <v>0</v>
      </c>
      <c r="G63" s="112">
        <f t="shared" si="27"/>
        <v>0</v>
      </c>
      <c r="H63" s="121">
        <f t="shared" si="27"/>
        <v>0</v>
      </c>
      <c r="I63" s="123">
        <f>SUM(I55:I62)</f>
        <v>6.5</v>
      </c>
      <c r="J63" s="160">
        <f t="shared" ref="J63:O63" si="28">SUM(J55:J62)</f>
        <v>0</v>
      </c>
      <c r="K63" s="112">
        <f t="shared" si="28"/>
        <v>0</v>
      </c>
      <c r="L63" s="112">
        <f t="shared" si="28"/>
        <v>0</v>
      </c>
      <c r="M63" s="112">
        <f t="shared" si="28"/>
        <v>0</v>
      </c>
      <c r="N63" s="112">
        <f t="shared" si="28"/>
        <v>0</v>
      </c>
      <c r="O63" s="121">
        <f t="shared" si="28"/>
        <v>0</v>
      </c>
      <c r="P63" s="123">
        <f>SUM(P55:P62)</f>
        <v>0</v>
      </c>
      <c r="Q63" s="130">
        <f>SUM(Q55:Q62)</f>
        <v>6.5</v>
      </c>
    </row>
    <row r="65" spans="1:17" ht="15.75" x14ac:dyDescent="0.25">
      <c r="A65" s="341" t="s">
        <v>106</v>
      </c>
      <c r="B65" s="341"/>
      <c r="C65" s="341"/>
      <c r="D65" s="341"/>
      <c r="E65" s="341"/>
      <c r="F65" s="341"/>
      <c r="G65" s="341"/>
      <c r="H65" s="341"/>
      <c r="I65" s="341"/>
      <c r="J65" s="341"/>
      <c r="K65" s="341"/>
      <c r="L65" s="341"/>
      <c r="M65" s="341"/>
      <c r="N65" s="341"/>
      <c r="O65" s="341"/>
      <c r="P65" s="341"/>
      <c r="Q65" s="341"/>
    </row>
    <row r="66" spans="1:17" ht="15.75" x14ac:dyDescent="0.25">
      <c r="A66" s="341" t="s">
        <v>81</v>
      </c>
      <c r="B66" s="341"/>
      <c r="C66" s="341"/>
      <c r="D66" s="341"/>
      <c r="E66" s="341"/>
      <c r="F66" s="341"/>
      <c r="G66" s="341"/>
      <c r="H66" s="341"/>
      <c r="I66" s="341"/>
      <c r="J66" s="341"/>
      <c r="K66" s="341"/>
      <c r="L66" s="341"/>
      <c r="M66" s="341"/>
      <c r="N66" s="341"/>
      <c r="O66" s="341"/>
      <c r="P66" s="341"/>
      <c r="Q66" s="341"/>
    </row>
    <row r="67" spans="1:17" ht="15.75" thickBot="1" x14ac:dyDescent="0.3">
      <c r="Q67" s="75" t="s">
        <v>1</v>
      </c>
    </row>
    <row r="68" spans="1:17" x14ac:dyDescent="0.25">
      <c r="A68" s="334" t="s">
        <v>2</v>
      </c>
      <c r="B68" s="336" t="s">
        <v>3</v>
      </c>
      <c r="C68" s="342" t="s">
        <v>138</v>
      </c>
      <c r="D68" s="343"/>
      <c r="E68" s="343"/>
      <c r="F68" s="343"/>
      <c r="G68" s="343"/>
      <c r="H68" s="343"/>
      <c r="I68" s="345" t="s">
        <v>82</v>
      </c>
      <c r="J68" s="343">
        <v>2019</v>
      </c>
      <c r="K68" s="343"/>
      <c r="L68" s="343"/>
      <c r="M68" s="343"/>
      <c r="N68" s="343"/>
      <c r="O68" s="343"/>
      <c r="P68" s="345" t="s">
        <v>83</v>
      </c>
      <c r="Q68" s="348" t="s">
        <v>5</v>
      </c>
    </row>
    <row r="69" spans="1:17" x14ac:dyDescent="0.25">
      <c r="A69" s="335"/>
      <c r="B69" s="324"/>
      <c r="C69" s="296" t="s">
        <v>15</v>
      </c>
      <c r="D69" s="296" t="s">
        <v>16</v>
      </c>
      <c r="E69" s="296" t="s">
        <v>17</v>
      </c>
      <c r="F69" s="296" t="s">
        <v>6</v>
      </c>
      <c r="G69" s="296" t="s">
        <v>76</v>
      </c>
      <c r="H69" s="119" t="s">
        <v>77</v>
      </c>
      <c r="I69" s="346"/>
      <c r="J69" s="109" t="s">
        <v>78</v>
      </c>
      <c r="K69" s="296" t="s">
        <v>10</v>
      </c>
      <c r="L69" s="296" t="s">
        <v>11</v>
      </c>
      <c r="M69" s="296" t="s">
        <v>12</v>
      </c>
      <c r="N69" s="296" t="s">
        <v>79</v>
      </c>
      <c r="O69" s="119" t="s">
        <v>80</v>
      </c>
      <c r="P69" s="346"/>
      <c r="Q69" s="349"/>
    </row>
    <row r="70" spans="1:17" ht="15.75" thickBot="1" x14ac:dyDescent="0.3">
      <c r="A70" s="111">
        <v>1</v>
      </c>
      <c r="B70" s="5">
        <v>2</v>
      </c>
      <c r="C70" s="5">
        <v>3</v>
      </c>
      <c r="D70" s="5">
        <v>4</v>
      </c>
      <c r="E70" s="5">
        <v>5</v>
      </c>
      <c r="F70" s="5">
        <v>6</v>
      </c>
      <c r="G70" s="5">
        <v>7</v>
      </c>
      <c r="H70" s="120">
        <v>8</v>
      </c>
      <c r="I70" s="122">
        <v>9</v>
      </c>
      <c r="J70" s="110">
        <v>10</v>
      </c>
      <c r="K70" s="5">
        <v>11</v>
      </c>
      <c r="L70" s="5">
        <v>12</v>
      </c>
      <c r="M70" s="5">
        <v>13</v>
      </c>
      <c r="N70" s="5">
        <v>14</v>
      </c>
      <c r="O70" s="120">
        <v>15</v>
      </c>
      <c r="P70" s="122">
        <v>16</v>
      </c>
      <c r="Q70" s="131">
        <v>17</v>
      </c>
    </row>
    <row r="71" spans="1:17" ht="15.75" thickTop="1" x14ac:dyDescent="0.25">
      <c r="A71" s="83">
        <v>1</v>
      </c>
      <c r="B71" s="7" t="s">
        <v>18</v>
      </c>
      <c r="C71" s="28">
        <v>0</v>
      </c>
      <c r="D71" s="28">
        <v>0</v>
      </c>
      <c r="E71" s="28">
        <v>0</v>
      </c>
      <c r="F71" s="136">
        <f>kedelai!C9</f>
        <v>0</v>
      </c>
      <c r="G71" s="136">
        <f>kedelai!D9</f>
        <v>0</v>
      </c>
      <c r="H71" s="136">
        <f>kedelai!E9</f>
        <v>0</v>
      </c>
      <c r="I71" s="124">
        <f>SUM(C71:H71)</f>
        <v>0</v>
      </c>
      <c r="J71" s="136">
        <v>0</v>
      </c>
      <c r="K71" s="136">
        <v>0</v>
      </c>
      <c r="L71" s="136">
        <v>0</v>
      </c>
      <c r="M71" s="136">
        <f>kedelai!J9</f>
        <v>0</v>
      </c>
      <c r="N71" s="136">
        <f>kedelai!K9</f>
        <v>0</v>
      </c>
      <c r="O71" s="136">
        <f>kedelai!L9</f>
        <v>0</v>
      </c>
      <c r="P71" s="124">
        <f>SUM(J71:O71)</f>
        <v>0</v>
      </c>
      <c r="Q71" s="127">
        <f>SUM(I71,P71)</f>
        <v>0</v>
      </c>
    </row>
    <row r="72" spans="1:17" x14ac:dyDescent="0.25">
      <c r="A72" s="84">
        <v>2</v>
      </c>
      <c r="B72" s="12" t="s">
        <v>19</v>
      </c>
      <c r="C72" s="16">
        <v>0</v>
      </c>
      <c r="D72" s="16">
        <v>0</v>
      </c>
      <c r="E72" s="16">
        <v>0</v>
      </c>
      <c r="F72" s="59">
        <f>kedelai!C10</f>
        <v>0</v>
      </c>
      <c r="G72" s="59">
        <f>kedelai!D10</f>
        <v>0</v>
      </c>
      <c r="H72" s="155">
        <f>kedelai!E10</f>
        <v>0</v>
      </c>
      <c r="I72" s="125">
        <f t="shared" ref="I72:I78" si="29">SUM(C72:H72)</f>
        <v>0</v>
      </c>
      <c r="J72" s="59">
        <v>0</v>
      </c>
      <c r="K72" s="59">
        <v>0</v>
      </c>
      <c r="L72" s="59">
        <v>0</v>
      </c>
      <c r="M72" s="59">
        <f>kedelai!J10</f>
        <v>0</v>
      </c>
      <c r="N72" s="59">
        <f>kedelai!K10</f>
        <v>0</v>
      </c>
      <c r="O72" s="155">
        <f>kedelai!L10</f>
        <v>0</v>
      </c>
      <c r="P72" s="125">
        <f t="shared" ref="P72:P77" si="30">SUM(J72:O72)</f>
        <v>0</v>
      </c>
      <c r="Q72" s="128">
        <f t="shared" ref="Q72:Q78" si="31">SUM(I72,P72)</f>
        <v>0</v>
      </c>
    </row>
    <row r="73" spans="1:17" x14ac:dyDescent="0.25">
      <c r="A73" s="84">
        <v>3</v>
      </c>
      <c r="B73" s="7" t="s">
        <v>20</v>
      </c>
      <c r="C73" s="16">
        <v>0</v>
      </c>
      <c r="D73" s="16">
        <v>0</v>
      </c>
      <c r="E73" s="16">
        <v>0</v>
      </c>
      <c r="F73" s="59">
        <f>kedelai!C11</f>
        <v>0</v>
      </c>
      <c r="G73" s="59">
        <f>kedelai!D11</f>
        <v>0</v>
      </c>
      <c r="H73" s="155">
        <f>kedelai!E11</f>
        <v>0</v>
      </c>
      <c r="I73" s="125">
        <f t="shared" si="29"/>
        <v>0</v>
      </c>
      <c r="J73" s="59">
        <v>0</v>
      </c>
      <c r="K73" s="59">
        <v>0</v>
      </c>
      <c r="L73" s="59">
        <v>0</v>
      </c>
      <c r="M73" s="59">
        <f>kedelai!J11</f>
        <v>0</v>
      </c>
      <c r="N73" s="59">
        <f>kedelai!K11</f>
        <v>0</v>
      </c>
      <c r="O73" s="155">
        <f>kedelai!L11</f>
        <v>0</v>
      </c>
      <c r="P73" s="125">
        <f t="shared" si="30"/>
        <v>0</v>
      </c>
      <c r="Q73" s="128">
        <f t="shared" si="31"/>
        <v>0</v>
      </c>
    </row>
    <row r="74" spans="1:17" x14ac:dyDescent="0.25">
      <c r="A74" s="85">
        <v>4</v>
      </c>
      <c r="B74" s="15" t="s">
        <v>21</v>
      </c>
      <c r="C74" s="16">
        <v>1</v>
      </c>
      <c r="D74" s="16">
        <v>0</v>
      </c>
      <c r="E74" s="16">
        <v>0</v>
      </c>
      <c r="F74" s="59">
        <f>kedelai!C12</f>
        <v>0</v>
      </c>
      <c r="G74" s="59">
        <f>kedelai!D12</f>
        <v>0</v>
      </c>
      <c r="H74" s="155">
        <f>kedelai!E12</f>
        <v>0</v>
      </c>
      <c r="I74" s="125">
        <f t="shared" si="29"/>
        <v>1</v>
      </c>
      <c r="J74" s="59">
        <v>0</v>
      </c>
      <c r="K74" s="59">
        <v>0</v>
      </c>
      <c r="L74" s="59">
        <v>0</v>
      </c>
      <c r="M74" s="59">
        <f>kedelai!J12</f>
        <v>0</v>
      </c>
      <c r="N74" s="59">
        <f>kedelai!K12</f>
        <v>0</v>
      </c>
      <c r="O74" s="155">
        <f>kedelai!L12</f>
        <v>0</v>
      </c>
      <c r="P74" s="125">
        <f t="shared" si="30"/>
        <v>0</v>
      </c>
      <c r="Q74" s="128">
        <f t="shared" si="31"/>
        <v>1</v>
      </c>
    </row>
    <row r="75" spans="1:17" x14ac:dyDescent="0.25">
      <c r="A75" s="85">
        <v>5</v>
      </c>
      <c r="B75" s="19" t="s">
        <v>22</v>
      </c>
      <c r="C75" s="16">
        <v>0</v>
      </c>
      <c r="D75" s="16">
        <v>0</v>
      </c>
      <c r="E75" s="16">
        <v>0</v>
      </c>
      <c r="F75" s="59">
        <f>kedelai!C13</f>
        <v>0</v>
      </c>
      <c r="G75" s="59">
        <f>kedelai!D13</f>
        <v>0</v>
      </c>
      <c r="H75" s="155">
        <f>kedelai!E13</f>
        <v>0</v>
      </c>
      <c r="I75" s="125">
        <f t="shared" si="29"/>
        <v>0</v>
      </c>
      <c r="J75" s="59">
        <v>0</v>
      </c>
      <c r="K75" s="59">
        <v>0</v>
      </c>
      <c r="L75" s="59">
        <v>0</v>
      </c>
      <c r="M75" s="59">
        <f>kedelai!J13</f>
        <v>0</v>
      </c>
      <c r="N75" s="59">
        <f>kedelai!K13</f>
        <v>0</v>
      </c>
      <c r="O75" s="155">
        <f>kedelai!L13</f>
        <v>0</v>
      </c>
      <c r="P75" s="125">
        <f t="shared" si="30"/>
        <v>0</v>
      </c>
      <c r="Q75" s="128">
        <f t="shared" si="31"/>
        <v>0</v>
      </c>
    </row>
    <row r="76" spans="1:17" x14ac:dyDescent="0.25">
      <c r="A76" s="85">
        <v>6</v>
      </c>
      <c r="B76" s="19" t="s">
        <v>23</v>
      </c>
      <c r="C76" s="16">
        <v>0</v>
      </c>
      <c r="D76" s="16">
        <v>0</v>
      </c>
      <c r="E76" s="16">
        <v>0</v>
      </c>
      <c r="F76" s="59">
        <f>kedelai!C14</f>
        <v>0</v>
      </c>
      <c r="G76" s="59">
        <f>kedelai!D14</f>
        <v>0</v>
      </c>
      <c r="H76" s="155">
        <f>kedelai!E14</f>
        <v>0</v>
      </c>
      <c r="I76" s="125">
        <f t="shared" si="29"/>
        <v>0</v>
      </c>
      <c r="J76" s="59">
        <v>0</v>
      </c>
      <c r="K76" s="59">
        <v>0</v>
      </c>
      <c r="L76" s="59">
        <v>0</v>
      </c>
      <c r="M76" s="59">
        <f>kedelai!J14</f>
        <v>0</v>
      </c>
      <c r="N76" s="59">
        <f>kedelai!K14</f>
        <v>0</v>
      </c>
      <c r="O76" s="155">
        <f>kedelai!L14</f>
        <v>0</v>
      </c>
      <c r="P76" s="125">
        <f t="shared" si="30"/>
        <v>0</v>
      </c>
      <c r="Q76" s="128">
        <f t="shared" si="31"/>
        <v>0</v>
      </c>
    </row>
    <row r="77" spans="1:17" x14ac:dyDescent="0.25">
      <c r="A77" s="85">
        <v>7</v>
      </c>
      <c r="B77" s="19" t="s">
        <v>24</v>
      </c>
      <c r="C77" s="16">
        <v>0</v>
      </c>
      <c r="D77" s="16">
        <v>0</v>
      </c>
      <c r="E77" s="16">
        <v>0</v>
      </c>
      <c r="F77" s="59">
        <f>kedelai!C15</f>
        <v>0</v>
      </c>
      <c r="G77" s="59">
        <f>kedelai!D15</f>
        <v>0</v>
      </c>
      <c r="H77" s="155">
        <f>kedelai!E15</f>
        <v>0</v>
      </c>
      <c r="I77" s="125">
        <f t="shared" si="29"/>
        <v>0</v>
      </c>
      <c r="J77" s="59">
        <v>0</v>
      </c>
      <c r="K77" s="59">
        <v>0</v>
      </c>
      <c r="L77" s="59">
        <v>0</v>
      </c>
      <c r="M77" s="59">
        <f>kedelai!J15</f>
        <v>0</v>
      </c>
      <c r="N77" s="59">
        <f>kedelai!K15</f>
        <v>0</v>
      </c>
      <c r="O77" s="155">
        <f>kedelai!L15</f>
        <v>0</v>
      </c>
      <c r="P77" s="125">
        <f t="shared" si="30"/>
        <v>0</v>
      </c>
      <c r="Q77" s="128">
        <f t="shared" si="31"/>
        <v>0</v>
      </c>
    </row>
    <row r="78" spans="1:17" ht="15.75" thickBot="1" x14ac:dyDescent="0.3">
      <c r="A78" s="86">
        <v>8</v>
      </c>
      <c r="B78" s="15" t="s">
        <v>25</v>
      </c>
      <c r="C78" s="17">
        <v>0</v>
      </c>
      <c r="D78" s="17">
        <v>0</v>
      </c>
      <c r="E78" s="17">
        <v>0</v>
      </c>
      <c r="F78" s="137">
        <f>kedelai!C16</f>
        <v>0</v>
      </c>
      <c r="G78" s="137">
        <f>kedelai!D16</f>
        <v>0</v>
      </c>
      <c r="H78" s="137">
        <f>kedelai!E16</f>
        <v>0</v>
      </c>
      <c r="I78" s="126">
        <f t="shared" si="29"/>
        <v>0</v>
      </c>
      <c r="J78" s="137">
        <v>0</v>
      </c>
      <c r="K78" s="137">
        <v>0</v>
      </c>
      <c r="L78" s="137">
        <v>0</v>
      </c>
      <c r="M78" s="137">
        <f>kedelai!J16</f>
        <v>0</v>
      </c>
      <c r="N78" s="137">
        <f>kedelai!K16</f>
        <v>0</v>
      </c>
      <c r="O78" s="137">
        <f>kedelai!L16</f>
        <v>0</v>
      </c>
      <c r="P78" s="126">
        <f>SUM(J78:O78)</f>
        <v>0</v>
      </c>
      <c r="Q78" s="129">
        <f t="shared" si="31"/>
        <v>0</v>
      </c>
    </row>
    <row r="79" spans="1:17" ht="16.5" thickTop="1" thickBot="1" x14ac:dyDescent="0.3">
      <c r="A79" s="339" t="s">
        <v>26</v>
      </c>
      <c r="B79" s="340"/>
      <c r="C79" s="112">
        <f t="shared" ref="C79:H79" si="32">SUM(C71:C78)</f>
        <v>1</v>
      </c>
      <c r="D79" s="112">
        <f t="shared" si="32"/>
        <v>0</v>
      </c>
      <c r="E79" s="112">
        <f t="shared" si="32"/>
        <v>0</v>
      </c>
      <c r="F79" s="112">
        <f t="shared" si="32"/>
        <v>0</v>
      </c>
      <c r="G79" s="112">
        <f t="shared" si="32"/>
        <v>0</v>
      </c>
      <c r="H79" s="121">
        <f t="shared" si="32"/>
        <v>0</v>
      </c>
      <c r="I79" s="123">
        <f>SUM(I71:I78)</f>
        <v>1</v>
      </c>
      <c r="J79" s="133">
        <f t="shared" ref="J79:O79" si="33">SUM(J71:J78)</f>
        <v>0</v>
      </c>
      <c r="K79" s="112">
        <f t="shared" si="33"/>
        <v>0</v>
      </c>
      <c r="L79" s="112">
        <f t="shared" si="33"/>
        <v>0</v>
      </c>
      <c r="M79" s="112">
        <f t="shared" si="33"/>
        <v>0</v>
      </c>
      <c r="N79" s="112">
        <f t="shared" si="33"/>
        <v>0</v>
      </c>
      <c r="O79" s="121">
        <f t="shared" si="33"/>
        <v>0</v>
      </c>
      <c r="P79" s="123">
        <f>SUM(P71:P78)</f>
        <v>0</v>
      </c>
      <c r="Q79" s="130">
        <f>SUM(Q71:Q78)</f>
        <v>1</v>
      </c>
    </row>
    <row r="81" spans="1:17" ht="15.75" x14ac:dyDescent="0.25">
      <c r="A81" s="341" t="s">
        <v>107</v>
      </c>
      <c r="B81" s="341"/>
      <c r="C81" s="341"/>
      <c r="D81" s="341"/>
      <c r="E81" s="341"/>
      <c r="F81" s="341"/>
      <c r="G81" s="341"/>
      <c r="H81" s="341"/>
      <c r="I81" s="341"/>
      <c r="J81" s="341"/>
      <c r="K81" s="341"/>
      <c r="L81" s="341"/>
      <c r="M81" s="341"/>
      <c r="N81" s="341"/>
      <c r="O81" s="341"/>
      <c r="P81" s="341"/>
      <c r="Q81" s="341"/>
    </row>
    <row r="82" spans="1:17" ht="15.75" x14ac:dyDescent="0.25">
      <c r="A82" s="341" t="s">
        <v>81</v>
      </c>
      <c r="B82" s="341"/>
      <c r="C82" s="341"/>
      <c r="D82" s="341"/>
      <c r="E82" s="341"/>
      <c r="F82" s="341"/>
      <c r="G82" s="341"/>
      <c r="H82" s="341"/>
      <c r="I82" s="341"/>
      <c r="J82" s="341"/>
      <c r="K82" s="341"/>
      <c r="L82" s="341"/>
      <c r="M82" s="341"/>
      <c r="N82" s="341"/>
      <c r="O82" s="341"/>
      <c r="P82" s="341"/>
      <c r="Q82" s="341"/>
    </row>
    <row r="83" spans="1:17" ht="15.75" thickBot="1" x14ac:dyDescent="0.3">
      <c r="Q83" s="75" t="s">
        <v>1</v>
      </c>
    </row>
    <row r="84" spans="1:17" x14ac:dyDescent="0.25">
      <c r="A84" s="334" t="s">
        <v>2</v>
      </c>
      <c r="B84" s="336" t="s">
        <v>3</v>
      </c>
      <c r="C84" s="342" t="s">
        <v>138</v>
      </c>
      <c r="D84" s="343"/>
      <c r="E84" s="343"/>
      <c r="F84" s="343"/>
      <c r="G84" s="343"/>
      <c r="H84" s="343"/>
      <c r="I84" s="345" t="s">
        <v>82</v>
      </c>
      <c r="J84" s="343">
        <v>2019</v>
      </c>
      <c r="K84" s="343"/>
      <c r="L84" s="343"/>
      <c r="M84" s="343"/>
      <c r="N84" s="343"/>
      <c r="O84" s="343"/>
      <c r="P84" s="345" t="s">
        <v>83</v>
      </c>
      <c r="Q84" s="348" t="s">
        <v>5</v>
      </c>
    </row>
    <row r="85" spans="1:17" x14ac:dyDescent="0.25">
      <c r="A85" s="335"/>
      <c r="B85" s="324"/>
      <c r="C85" s="296" t="s">
        <v>15</v>
      </c>
      <c r="D85" s="296" t="s">
        <v>16</v>
      </c>
      <c r="E85" s="296" t="s">
        <v>17</v>
      </c>
      <c r="F85" s="296" t="s">
        <v>6</v>
      </c>
      <c r="G85" s="296" t="s">
        <v>76</v>
      </c>
      <c r="H85" s="119" t="s">
        <v>77</v>
      </c>
      <c r="I85" s="346"/>
      <c r="J85" s="109" t="s">
        <v>78</v>
      </c>
      <c r="K85" s="296" t="s">
        <v>10</v>
      </c>
      <c r="L85" s="296" t="s">
        <v>11</v>
      </c>
      <c r="M85" s="296" t="s">
        <v>12</v>
      </c>
      <c r="N85" s="296" t="s">
        <v>79</v>
      </c>
      <c r="O85" s="119" t="s">
        <v>80</v>
      </c>
      <c r="P85" s="346"/>
      <c r="Q85" s="349"/>
    </row>
    <row r="86" spans="1:17" ht="15.75" thickBot="1" x14ac:dyDescent="0.3">
      <c r="A86" s="111">
        <v>1</v>
      </c>
      <c r="B86" s="5">
        <v>2</v>
      </c>
      <c r="C86" s="5">
        <v>3</v>
      </c>
      <c r="D86" s="5">
        <v>4</v>
      </c>
      <c r="E86" s="5">
        <v>5</v>
      </c>
      <c r="F86" s="5">
        <v>6</v>
      </c>
      <c r="G86" s="5">
        <v>7</v>
      </c>
      <c r="H86" s="120">
        <v>8</v>
      </c>
      <c r="I86" s="122">
        <v>9</v>
      </c>
      <c r="J86" s="110">
        <v>10</v>
      </c>
      <c r="K86" s="5">
        <v>11</v>
      </c>
      <c r="L86" s="5">
        <v>12</v>
      </c>
      <c r="M86" s="5">
        <v>13</v>
      </c>
      <c r="N86" s="5">
        <v>14</v>
      </c>
      <c r="O86" s="120">
        <v>15</v>
      </c>
      <c r="P86" s="122">
        <v>16</v>
      </c>
      <c r="Q86" s="131">
        <v>17</v>
      </c>
    </row>
    <row r="87" spans="1:17" ht="15.75" thickTop="1" x14ac:dyDescent="0.25">
      <c r="A87" s="83">
        <v>1</v>
      </c>
      <c r="B87" s="7" t="s">
        <v>18</v>
      </c>
      <c r="C87" s="46">
        <v>0</v>
      </c>
      <c r="D87" s="28">
        <v>30</v>
      </c>
      <c r="E87" s="28">
        <v>20</v>
      </c>
      <c r="F87" s="136">
        <f>'kc tanah'!C9</f>
        <v>60</v>
      </c>
      <c r="G87" s="136">
        <f>'kc tanah'!D9</f>
        <v>40</v>
      </c>
      <c r="H87" s="136">
        <f>'kc tanah'!E9</f>
        <v>0</v>
      </c>
      <c r="I87" s="124">
        <f>SUM(C87:H87)</f>
        <v>150</v>
      </c>
      <c r="J87" s="156">
        <f>'kc tanah'!F9</f>
        <v>0</v>
      </c>
      <c r="K87" s="156">
        <f>'kc tanah'!G9</f>
        <v>0</v>
      </c>
      <c r="L87" s="156">
        <f>'kc tanah'!H9</f>
        <v>0</v>
      </c>
      <c r="M87" s="156">
        <f>'kc tanah'!I9</f>
        <v>0</v>
      </c>
      <c r="N87" s="156">
        <f>'kc tanah'!J9</f>
        <v>0</v>
      </c>
      <c r="O87" s="156">
        <f>'kc tanah'!K9</f>
        <v>0</v>
      </c>
      <c r="P87" s="124">
        <f>SUM(J87:O87)</f>
        <v>0</v>
      </c>
      <c r="Q87" s="127">
        <f>SUM(I87,P87)</f>
        <v>150</v>
      </c>
    </row>
    <row r="88" spans="1:17" x14ac:dyDescent="0.25">
      <c r="A88" s="84">
        <v>2</v>
      </c>
      <c r="B88" s="12" t="s">
        <v>19</v>
      </c>
      <c r="C88" s="47">
        <v>0</v>
      </c>
      <c r="D88" s="16">
        <v>15</v>
      </c>
      <c r="E88" s="16">
        <v>166</v>
      </c>
      <c r="F88" s="59">
        <f>'kc tanah'!C10</f>
        <v>45</v>
      </c>
      <c r="G88" s="59">
        <f>'kc tanah'!D10</f>
        <v>0</v>
      </c>
      <c r="H88" s="155">
        <f>'kc tanah'!E10</f>
        <v>110</v>
      </c>
      <c r="I88" s="125">
        <f t="shared" ref="I88:I94" si="34">SUM(C88:H88)</f>
        <v>336</v>
      </c>
      <c r="J88" s="223">
        <f>'kc tanah'!F10</f>
        <v>35</v>
      </c>
      <c r="K88" s="132">
        <f>'kc tanah'!G10</f>
        <v>0</v>
      </c>
      <c r="L88" s="132">
        <f>'kc tanah'!H10</f>
        <v>0</v>
      </c>
      <c r="M88" s="132">
        <f>'kc tanah'!I10</f>
        <v>0</v>
      </c>
      <c r="N88" s="132">
        <f>'kc tanah'!J10</f>
        <v>0</v>
      </c>
      <c r="O88" s="157">
        <f>'kc tanah'!K10</f>
        <v>0</v>
      </c>
      <c r="P88" s="125">
        <f t="shared" ref="P88:P93" si="35">SUM(J88:O88)</f>
        <v>35</v>
      </c>
      <c r="Q88" s="128">
        <f t="shared" ref="Q88:Q94" si="36">SUM(I88,P88)</f>
        <v>371</v>
      </c>
    </row>
    <row r="89" spans="1:17" x14ac:dyDescent="0.25">
      <c r="A89" s="84">
        <v>3</v>
      </c>
      <c r="B89" s="7" t="s">
        <v>20</v>
      </c>
      <c r="C89" s="16">
        <v>0</v>
      </c>
      <c r="D89" s="16">
        <v>50</v>
      </c>
      <c r="E89" s="16">
        <v>200</v>
      </c>
      <c r="F89" s="59">
        <f>'kc tanah'!C11</f>
        <v>80</v>
      </c>
      <c r="G89" s="59">
        <f>'kc tanah'!D11</f>
        <v>0</v>
      </c>
      <c r="H89" s="155">
        <f>'kc tanah'!E11</f>
        <v>0</v>
      </c>
      <c r="I89" s="125">
        <f t="shared" si="34"/>
        <v>330</v>
      </c>
      <c r="J89" s="223">
        <f>'kc tanah'!F11</f>
        <v>120</v>
      </c>
      <c r="K89" s="132">
        <f>'kc tanah'!G11</f>
        <v>0</v>
      </c>
      <c r="L89" s="132">
        <f>'kc tanah'!H11</f>
        <v>0</v>
      </c>
      <c r="M89" s="132">
        <f>'kc tanah'!I11</f>
        <v>80</v>
      </c>
      <c r="N89" s="132">
        <f>'kc tanah'!J11</f>
        <v>0</v>
      </c>
      <c r="O89" s="157">
        <f>'kc tanah'!K11</f>
        <v>0</v>
      </c>
      <c r="P89" s="125">
        <f t="shared" si="35"/>
        <v>200</v>
      </c>
      <c r="Q89" s="128">
        <f t="shared" si="36"/>
        <v>530</v>
      </c>
    </row>
    <row r="90" spans="1:17" x14ac:dyDescent="0.25">
      <c r="A90" s="85">
        <v>4</v>
      </c>
      <c r="B90" s="15" t="s">
        <v>21</v>
      </c>
      <c r="C90" s="16">
        <v>0</v>
      </c>
      <c r="D90" s="16">
        <v>40</v>
      </c>
      <c r="E90" s="16">
        <v>0</v>
      </c>
      <c r="F90" s="59">
        <f>'kc tanah'!C12</f>
        <v>15</v>
      </c>
      <c r="G90" s="59">
        <f>'kc tanah'!D12</f>
        <v>0</v>
      </c>
      <c r="H90" s="155">
        <f>'kc tanah'!E12</f>
        <v>18</v>
      </c>
      <c r="I90" s="125">
        <f t="shared" si="34"/>
        <v>73</v>
      </c>
      <c r="J90" s="223">
        <f>'kc tanah'!F12</f>
        <v>10</v>
      </c>
      <c r="K90" s="132">
        <f>'kc tanah'!G12</f>
        <v>0</v>
      </c>
      <c r="L90" s="132">
        <f>'kc tanah'!H12</f>
        <v>25</v>
      </c>
      <c r="M90" s="132">
        <f>'kc tanah'!I12</f>
        <v>15</v>
      </c>
      <c r="N90" s="132">
        <f>'kc tanah'!J12</f>
        <v>5</v>
      </c>
      <c r="O90" s="157">
        <f>'kc tanah'!K12</f>
        <v>11</v>
      </c>
      <c r="P90" s="125">
        <f t="shared" si="35"/>
        <v>66</v>
      </c>
      <c r="Q90" s="128">
        <f t="shared" si="36"/>
        <v>139</v>
      </c>
    </row>
    <row r="91" spans="1:17" x14ac:dyDescent="0.25">
      <c r="A91" s="85">
        <v>5</v>
      </c>
      <c r="B91" s="19" t="s">
        <v>22</v>
      </c>
      <c r="C91" s="16">
        <v>0</v>
      </c>
      <c r="D91" s="16">
        <v>20</v>
      </c>
      <c r="E91" s="16">
        <v>258</v>
      </c>
      <c r="F91" s="59">
        <f>'kc tanah'!C13</f>
        <v>0</v>
      </c>
      <c r="G91" s="59">
        <f>'kc tanah'!D13</f>
        <v>0</v>
      </c>
      <c r="H91" s="155">
        <f>'kc tanah'!E13</f>
        <v>0</v>
      </c>
      <c r="I91" s="125">
        <f t="shared" si="34"/>
        <v>278</v>
      </c>
      <c r="J91" s="223">
        <f>'kc tanah'!F13</f>
        <v>62</v>
      </c>
      <c r="K91" s="132">
        <f>'kc tanah'!G13</f>
        <v>0</v>
      </c>
      <c r="L91" s="132">
        <f>'kc tanah'!H13</f>
        <v>0</v>
      </c>
      <c r="M91" s="132">
        <f>'kc tanah'!I13</f>
        <v>0</v>
      </c>
      <c r="N91" s="132">
        <f>'kc tanah'!J13</f>
        <v>0</v>
      </c>
      <c r="O91" s="157">
        <f>'kc tanah'!K13</f>
        <v>0</v>
      </c>
      <c r="P91" s="125">
        <f t="shared" si="35"/>
        <v>62</v>
      </c>
      <c r="Q91" s="128">
        <f t="shared" si="36"/>
        <v>340</v>
      </c>
    </row>
    <row r="92" spans="1:17" x14ac:dyDescent="0.25">
      <c r="A92" s="85">
        <v>6</v>
      </c>
      <c r="B92" s="19" t="s">
        <v>23</v>
      </c>
      <c r="C92" s="16">
        <v>1</v>
      </c>
      <c r="D92" s="16">
        <v>43</v>
      </c>
      <c r="E92" s="16">
        <v>17</v>
      </c>
      <c r="F92" s="59">
        <f>'kc tanah'!C14</f>
        <v>25</v>
      </c>
      <c r="G92" s="59">
        <f>'kc tanah'!D14</f>
        <v>0</v>
      </c>
      <c r="H92" s="155">
        <f>'kc tanah'!E14</f>
        <v>40</v>
      </c>
      <c r="I92" s="125">
        <f t="shared" si="34"/>
        <v>126</v>
      </c>
      <c r="J92" s="223">
        <f>'kc tanah'!F14</f>
        <v>25</v>
      </c>
      <c r="K92" s="132">
        <f>'kc tanah'!G14</f>
        <v>0</v>
      </c>
      <c r="L92" s="132">
        <f>'kc tanah'!H14</f>
        <v>0</v>
      </c>
      <c r="M92" s="132">
        <f>'kc tanah'!I14</f>
        <v>2</v>
      </c>
      <c r="N92" s="132">
        <f>'kc tanah'!J14</f>
        <v>0</v>
      </c>
      <c r="O92" s="157">
        <f>'kc tanah'!K14</f>
        <v>0</v>
      </c>
      <c r="P92" s="125">
        <f t="shared" si="35"/>
        <v>27</v>
      </c>
      <c r="Q92" s="128">
        <f t="shared" si="36"/>
        <v>153</v>
      </c>
    </row>
    <row r="93" spans="1:17" x14ac:dyDescent="0.25">
      <c r="A93" s="85">
        <v>7</v>
      </c>
      <c r="B93" s="19" t="s">
        <v>24</v>
      </c>
      <c r="C93" s="16">
        <v>0</v>
      </c>
      <c r="D93" s="16">
        <v>0</v>
      </c>
      <c r="E93" s="16">
        <v>1</v>
      </c>
      <c r="F93" s="59">
        <f>'kc tanah'!C15</f>
        <v>0</v>
      </c>
      <c r="G93" s="59">
        <f>'kc tanah'!D15</f>
        <v>0</v>
      </c>
      <c r="H93" s="155">
        <f>'kc tanah'!E15</f>
        <v>0</v>
      </c>
      <c r="I93" s="125">
        <f t="shared" si="34"/>
        <v>1</v>
      </c>
      <c r="J93" s="223">
        <f>'kc tanah'!F15</f>
        <v>1</v>
      </c>
      <c r="K93" s="132">
        <f>'kc tanah'!G15</f>
        <v>0</v>
      </c>
      <c r="L93" s="132">
        <f>'kc tanah'!H15</f>
        <v>0</v>
      </c>
      <c r="M93" s="132">
        <f>'kc tanah'!I15</f>
        <v>0</v>
      </c>
      <c r="N93" s="132">
        <f>'kc tanah'!J15</f>
        <v>0</v>
      </c>
      <c r="O93" s="157">
        <f>'kc tanah'!K15</f>
        <v>0</v>
      </c>
      <c r="P93" s="125">
        <f t="shared" si="35"/>
        <v>1</v>
      </c>
      <c r="Q93" s="128">
        <f t="shared" si="36"/>
        <v>2</v>
      </c>
    </row>
    <row r="94" spans="1:17" ht="15.75" thickBot="1" x14ac:dyDescent="0.3">
      <c r="A94" s="275">
        <v>8</v>
      </c>
      <c r="B94" s="15" t="s">
        <v>25</v>
      </c>
      <c r="C94" s="17">
        <v>2</v>
      </c>
      <c r="D94" s="17">
        <v>110</v>
      </c>
      <c r="E94" s="17">
        <v>37</v>
      </c>
      <c r="F94" s="137">
        <f>'kc tanah'!C16</f>
        <v>10</v>
      </c>
      <c r="G94" s="137">
        <f>'kc tanah'!D16</f>
        <v>0</v>
      </c>
      <c r="H94" s="137">
        <f>'kc tanah'!E16</f>
        <v>25</v>
      </c>
      <c r="I94" s="126">
        <f t="shared" si="34"/>
        <v>184</v>
      </c>
      <c r="J94" s="232">
        <f>'kc tanah'!F16</f>
        <v>120</v>
      </c>
      <c r="K94" s="232">
        <f>'kc tanah'!G16</f>
        <v>0</v>
      </c>
      <c r="L94" s="232">
        <f>'kc tanah'!H16</f>
        <v>0</v>
      </c>
      <c r="M94" s="232">
        <f>'kc tanah'!I16</f>
        <v>0</v>
      </c>
      <c r="N94" s="232">
        <f>'kc tanah'!J16</f>
        <v>0</v>
      </c>
      <c r="O94" s="232">
        <f>'kc tanah'!K16</f>
        <v>0</v>
      </c>
      <c r="P94" s="126">
        <f>SUM(J94:O94)</f>
        <v>120</v>
      </c>
      <c r="Q94" s="129">
        <f t="shared" si="36"/>
        <v>304</v>
      </c>
    </row>
    <row r="95" spans="1:17" ht="16.5" thickTop="1" thickBot="1" x14ac:dyDescent="0.3">
      <c r="A95" s="339" t="s">
        <v>26</v>
      </c>
      <c r="B95" s="340"/>
      <c r="C95" s="112">
        <f t="shared" ref="C95:H95" si="37">SUM(C87:C94)</f>
        <v>3</v>
      </c>
      <c r="D95" s="112">
        <f t="shared" si="37"/>
        <v>308</v>
      </c>
      <c r="E95" s="112">
        <f t="shared" si="37"/>
        <v>699</v>
      </c>
      <c r="F95" s="112">
        <f t="shared" si="37"/>
        <v>235</v>
      </c>
      <c r="G95" s="112">
        <f t="shared" si="37"/>
        <v>40</v>
      </c>
      <c r="H95" s="121">
        <f t="shared" si="37"/>
        <v>193</v>
      </c>
      <c r="I95" s="123">
        <f>SUM(I87:I94)</f>
        <v>1478</v>
      </c>
      <c r="J95" s="133">
        <f t="shared" ref="J95:O95" si="38">SUM(J87:J94)</f>
        <v>373</v>
      </c>
      <c r="K95" s="112">
        <f t="shared" si="38"/>
        <v>0</v>
      </c>
      <c r="L95" s="112">
        <f t="shared" si="38"/>
        <v>25</v>
      </c>
      <c r="M95" s="112">
        <f t="shared" si="38"/>
        <v>97</v>
      </c>
      <c r="N95" s="112">
        <f t="shared" si="38"/>
        <v>5</v>
      </c>
      <c r="O95" s="121">
        <f t="shared" si="38"/>
        <v>11</v>
      </c>
      <c r="P95" s="123">
        <f>SUM(P87:P94)</f>
        <v>511</v>
      </c>
      <c r="Q95" s="130">
        <f>SUM(Q87:Q94)</f>
        <v>1989</v>
      </c>
    </row>
    <row r="97" spans="1:17" ht="15.75" x14ac:dyDescent="0.25">
      <c r="A97" s="341" t="s">
        <v>108</v>
      </c>
      <c r="B97" s="341"/>
      <c r="C97" s="341"/>
      <c r="D97" s="341"/>
      <c r="E97" s="341"/>
      <c r="F97" s="341"/>
      <c r="G97" s="341"/>
      <c r="H97" s="341"/>
      <c r="I97" s="341"/>
      <c r="J97" s="341"/>
      <c r="K97" s="341"/>
      <c r="L97" s="341"/>
      <c r="M97" s="341"/>
      <c r="N97" s="341"/>
      <c r="O97" s="341"/>
      <c r="P97" s="341"/>
      <c r="Q97" s="341"/>
    </row>
    <row r="98" spans="1:17" ht="15.75" x14ac:dyDescent="0.25">
      <c r="A98" s="341" t="s">
        <v>81</v>
      </c>
      <c r="B98" s="341"/>
      <c r="C98" s="341"/>
      <c r="D98" s="341"/>
      <c r="E98" s="341"/>
      <c r="F98" s="341"/>
      <c r="G98" s="341"/>
      <c r="H98" s="341"/>
      <c r="I98" s="341"/>
      <c r="J98" s="341"/>
      <c r="K98" s="341"/>
      <c r="L98" s="341"/>
      <c r="M98" s="341"/>
      <c r="N98" s="341"/>
      <c r="O98" s="341"/>
      <c r="P98" s="341"/>
      <c r="Q98" s="341"/>
    </row>
    <row r="99" spans="1:17" ht="15.75" thickBot="1" x14ac:dyDescent="0.3">
      <c r="Q99" s="75" t="s">
        <v>1</v>
      </c>
    </row>
    <row r="100" spans="1:17" x14ac:dyDescent="0.25">
      <c r="A100" s="334" t="s">
        <v>2</v>
      </c>
      <c r="B100" s="336" t="s">
        <v>3</v>
      </c>
      <c r="C100" s="342" t="s">
        <v>138</v>
      </c>
      <c r="D100" s="343"/>
      <c r="E100" s="343"/>
      <c r="F100" s="343"/>
      <c r="G100" s="343"/>
      <c r="H100" s="343"/>
      <c r="I100" s="345" t="s">
        <v>82</v>
      </c>
      <c r="J100" s="343">
        <v>2019</v>
      </c>
      <c r="K100" s="343"/>
      <c r="L100" s="343"/>
      <c r="M100" s="343"/>
      <c r="N100" s="343"/>
      <c r="O100" s="343"/>
      <c r="P100" s="345" t="s">
        <v>83</v>
      </c>
      <c r="Q100" s="348" t="s">
        <v>5</v>
      </c>
    </row>
    <row r="101" spans="1:17" x14ac:dyDescent="0.25">
      <c r="A101" s="335"/>
      <c r="B101" s="324"/>
      <c r="C101" s="296" t="s">
        <v>15</v>
      </c>
      <c r="D101" s="296" t="s">
        <v>16</v>
      </c>
      <c r="E101" s="296" t="s">
        <v>17</v>
      </c>
      <c r="F101" s="296" t="s">
        <v>6</v>
      </c>
      <c r="G101" s="296" t="s">
        <v>76</v>
      </c>
      <c r="H101" s="119" t="s">
        <v>77</v>
      </c>
      <c r="I101" s="346"/>
      <c r="J101" s="109" t="s">
        <v>78</v>
      </c>
      <c r="K101" s="296" t="s">
        <v>10</v>
      </c>
      <c r="L101" s="296" t="s">
        <v>11</v>
      </c>
      <c r="M101" s="296" t="s">
        <v>12</v>
      </c>
      <c r="N101" s="296" t="s">
        <v>79</v>
      </c>
      <c r="O101" s="119" t="s">
        <v>80</v>
      </c>
      <c r="P101" s="346"/>
      <c r="Q101" s="349"/>
    </row>
    <row r="102" spans="1:17" ht="15.75" thickBot="1" x14ac:dyDescent="0.3">
      <c r="A102" s="111">
        <v>1</v>
      </c>
      <c r="B102" s="5">
        <v>2</v>
      </c>
      <c r="C102" s="5">
        <v>3</v>
      </c>
      <c r="D102" s="5">
        <v>4</v>
      </c>
      <c r="E102" s="5">
        <v>5</v>
      </c>
      <c r="F102" s="5">
        <v>6</v>
      </c>
      <c r="G102" s="5">
        <v>7</v>
      </c>
      <c r="H102" s="120">
        <v>8</v>
      </c>
      <c r="I102" s="122">
        <v>9</v>
      </c>
      <c r="J102" s="110">
        <v>10</v>
      </c>
      <c r="K102" s="5">
        <v>11</v>
      </c>
      <c r="L102" s="5">
        <v>12</v>
      </c>
      <c r="M102" s="5">
        <v>13</v>
      </c>
      <c r="N102" s="5">
        <v>14</v>
      </c>
      <c r="O102" s="120">
        <v>15</v>
      </c>
      <c r="P102" s="122">
        <v>16</v>
      </c>
      <c r="Q102" s="131">
        <v>17</v>
      </c>
    </row>
    <row r="103" spans="1:17" ht="15.75" thickTop="1" x14ac:dyDescent="0.25">
      <c r="A103" s="83">
        <v>1</v>
      </c>
      <c r="B103" s="7" t="s">
        <v>18</v>
      </c>
      <c r="C103" s="28">
        <v>0</v>
      </c>
      <c r="D103" s="28">
        <v>0</v>
      </c>
      <c r="E103" s="28">
        <v>10</v>
      </c>
      <c r="F103" s="136">
        <f>'ubi kayu'!C9</f>
        <v>6</v>
      </c>
      <c r="G103" s="136">
        <f>'ubi kayu'!D9</f>
        <v>3</v>
      </c>
      <c r="H103" s="136">
        <f>'ubi kayu'!E9</f>
        <v>0</v>
      </c>
      <c r="I103" s="124">
        <f>SUM(C103:H103)</f>
        <v>19</v>
      </c>
      <c r="J103" s="156">
        <f>'ubi kayu'!F9</f>
        <v>0</v>
      </c>
      <c r="K103" s="156">
        <f>'ubi kayu'!G9</f>
        <v>0</v>
      </c>
      <c r="L103" s="156">
        <f>'ubi kayu'!H9</f>
        <v>2</v>
      </c>
      <c r="M103" s="156">
        <f>'ubi kayu'!I9</f>
        <v>0</v>
      </c>
      <c r="N103" s="156">
        <f>'ubi kayu'!J9</f>
        <v>0</v>
      </c>
      <c r="O103" s="156">
        <f>'ubi kayu'!K9</f>
        <v>0</v>
      </c>
      <c r="P103" s="124">
        <f>SUM(J103:O103)</f>
        <v>2</v>
      </c>
      <c r="Q103" s="127">
        <f>SUM(I103,P103)</f>
        <v>21</v>
      </c>
    </row>
    <row r="104" spans="1:17" x14ac:dyDescent="0.25">
      <c r="A104" s="84">
        <v>2</v>
      </c>
      <c r="B104" s="12" t="s">
        <v>19</v>
      </c>
      <c r="C104" s="16">
        <v>0</v>
      </c>
      <c r="D104" s="16">
        <v>0</v>
      </c>
      <c r="E104" s="16">
        <v>1</v>
      </c>
      <c r="F104" s="59">
        <f>'ubi kayu'!C10</f>
        <v>1</v>
      </c>
      <c r="G104" s="59">
        <f>'ubi kayu'!D10</f>
        <v>1</v>
      </c>
      <c r="H104" s="155">
        <f>'ubi kayu'!E10</f>
        <v>0</v>
      </c>
      <c r="I104" s="125">
        <f t="shared" ref="I104:I110" si="39">SUM(C104:H104)</f>
        <v>3</v>
      </c>
      <c r="J104" s="223">
        <f>'ubi kayu'!F10</f>
        <v>1</v>
      </c>
      <c r="K104" s="132">
        <f>'ubi kayu'!G10</f>
        <v>0</v>
      </c>
      <c r="L104" s="132">
        <f>'ubi kayu'!H10</f>
        <v>0</v>
      </c>
      <c r="M104" s="132">
        <f>'ubi kayu'!I10</f>
        <v>0</v>
      </c>
      <c r="N104" s="132">
        <f>'ubi kayu'!J10</f>
        <v>0</v>
      </c>
      <c r="O104" s="157">
        <f>'ubi kayu'!K10</f>
        <v>0</v>
      </c>
      <c r="P104" s="125">
        <f t="shared" ref="P104:P109" si="40">SUM(J104:O104)</f>
        <v>1</v>
      </c>
      <c r="Q104" s="128">
        <f t="shared" ref="Q104:Q110" si="41">SUM(I104,P104)</f>
        <v>4</v>
      </c>
    </row>
    <row r="105" spans="1:17" x14ac:dyDescent="0.25">
      <c r="A105" s="84">
        <v>3</v>
      </c>
      <c r="B105" s="7" t="s">
        <v>20</v>
      </c>
      <c r="C105" s="16">
        <v>0</v>
      </c>
      <c r="D105" s="16">
        <v>2</v>
      </c>
      <c r="E105" s="16">
        <v>5</v>
      </c>
      <c r="F105" s="59">
        <f>'ubi kayu'!C11</f>
        <v>15</v>
      </c>
      <c r="G105" s="59">
        <f>'ubi kayu'!D11</f>
        <v>20</v>
      </c>
      <c r="H105" s="155">
        <f>'ubi kayu'!E11</f>
        <v>0</v>
      </c>
      <c r="I105" s="125">
        <f t="shared" si="39"/>
        <v>42</v>
      </c>
      <c r="J105" s="223">
        <f>'ubi kayu'!F11</f>
        <v>10</v>
      </c>
      <c r="K105" s="132">
        <f>'ubi kayu'!G11</f>
        <v>0</v>
      </c>
      <c r="L105" s="132">
        <f>'ubi kayu'!H11</f>
        <v>10</v>
      </c>
      <c r="M105" s="132">
        <f>'ubi kayu'!I11</f>
        <v>0</v>
      </c>
      <c r="N105" s="132">
        <f>'ubi kayu'!J11</f>
        <v>0</v>
      </c>
      <c r="O105" s="157">
        <f>'ubi kayu'!K11</f>
        <v>0</v>
      </c>
      <c r="P105" s="125">
        <f t="shared" si="40"/>
        <v>20</v>
      </c>
      <c r="Q105" s="128">
        <f t="shared" si="41"/>
        <v>62</v>
      </c>
    </row>
    <row r="106" spans="1:17" x14ac:dyDescent="0.25">
      <c r="A106" s="85">
        <v>4</v>
      </c>
      <c r="B106" s="15" t="s">
        <v>21</v>
      </c>
      <c r="C106" s="16">
        <v>2</v>
      </c>
      <c r="D106" s="16">
        <v>0</v>
      </c>
      <c r="E106" s="16">
        <v>0</v>
      </c>
      <c r="F106" s="59">
        <f>'ubi kayu'!C12</f>
        <v>1</v>
      </c>
      <c r="G106" s="59">
        <f>'ubi kayu'!D12</f>
        <v>0</v>
      </c>
      <c r="H106" s="155">
        <f>'ubi kayu'!E12</f>
        <v>0</v>
      </c>
      <c r="I106" s="125">
        <f t="shared" si="39"/>
        <v>3</v>
      </c>
      <c r="J106" s="223">
        <f>'ubi kayu'!F12</f>
        <v>0</v>
      </c>
      <c r="K106" s="132">
        <f>'ubi kayu'!G12</f>
        <v>0</v>
      </c>
      <c r="L106" s="132">
        <f>'ubi kayu'!H12</f>
        <v>0</v>
      </c>
      <c r="M106" s="132">
        <f>'ubi kayu'!I12</f>
        <v>0</v>
      </c>
      <c r="N106" s="132">
        <f>'ubi kayu'!J12</f>
        <v>0</v>
      </c>
      <c r="O106" s="157">
        <f>'ubi kayu'!K12</f>
        <v>0</v>
      </c>
      <c r="P106" s="125">
        <f t="shared" si="40"/>
        <v>0</v>
      </c>
      <c r="Q106" s="128">
        <f t="shared" si="41"/>
        <v>3</v>
      </c>
    </row>
    <row r="107" spans="1:17" x14ac:dyDescent="0.25">
      <c r="A107" s="85">
        <v>5</v>
      </c>
      <c r="B107" s="19" t="s">
        <v>22</v>
      </c>
      <c r="C107" s="16">
        <v>0</v>
      </c>
      <c r="D107" s="16">
        <v>0</v>
      </c>
      <c r="E107" s="16">
        <v>12</v>
      </c>
      <c r="F107" s="59">
        <f>'ubi kayu'!C13</f>
        <v>0</v>
      </c>
      <c r="G107" s="59">
        <f>'ubi kayu'!D13</f>
        <v>0</v>
      </c>
      <c r="H107" s="155">
        <f>'ubi kayu'!E13</f>
        <v>0</v>
      </c>
      <c r="I107" s="125">
        <f t="shared" si="39"/>
        <v>12</v>
      </c>
      <c r="J107" s="223">
        <f>'ubi kayu'!F13</f>
        <v>0</v>
      </c>
      <c r="K107" s="132">
        <f>'ubi kayu'!G13</f>
        <v>0</v>
      </c>
      <c r="L107" s="132">
        <f>'ubi kayu'!H13</f>
        <v>0</v>
      </c>
      <c r="M107" s="132">
        <f>'ubi kayu'!I13</f>
        <v>0</v>
      </c>
      <c r="N107" s="132">
        <f>'ubi kayu'!J13</f>
        <v>0</v>
      </c>
      <c r="O107" s="157">
        <f>'ubi kayu'!K13</f>
        <v>0</v>
      </c>
      <c r="P107" s="125">
        <f t="shared" si="40"/>
        <v>0</v>
      </c>
      <c r="Q107" s="128">
        <f t="shared" si="41"/>
        <v>12</v>
      </c>
    </row>
    <row r="108" spans="1:17" x14ac:dyDescent="0.25">
      <c r="A108" s="85">
        <v>6</v>
      </c>
      <c r="B108" s="19" t="s">
        <v>23</v>
      </c>
      <c r="C108" s="16">
        <v>1</v>
      </c>
      <c r="D108" s="16">
        <v>1</v>
      </c>
      <c r="E108" s="16">
        <v>1</v>
      </c>
      <c r="F108" s="59">
        <f>'ubi kayu'!C14</f>
        <v>0</v>
      </c>
      <c r="G108" s="59">
        <f>'ubi kayu'!D14</f>
        <v>0</v>
      </c>
      <c r="H108" s="155">
        <f>'ubi kayu'!E14</f>
        <v>0</v>
      </c>
      <c r="I108" s="125">
        <f t="shared" si="39"/>
        <v>3</v>
      </c>
      <c r="J108" s="223">
        <f>'ubi kayu'!F14</f>
        <v>0</v>
      </c>
      <c r="K108" s="132">
        <f>'ubi kayu'!G14</f>
        <v>0</v>
      </c>
      <c r="L108" s="132">
        <f>'ubi kayu'!H14</f>
        <v>0</v>
      </c>
      <c r="M108" s="132">
        <f>'ubi kayu'!I14</f>
        <v>0</v>
      </c>
      <c r="N108" s="132">
        <f>'ubi kayu'!J14</f>
        <v>0</v>
      </c>
      <c r="O108" s="157">
        <f>'ubi kayu'!K14</f>
        <v>0</v>
      </c>
      <c r="P108" s="125">
        <f t="shared" si="40"/>
        <v>0</v>
      </c>
      <c r="Q108" s="128">
        <f t="shared" si="41"/>
        <v>3</v>
      </c>
    </row>
    <row r="109" spans="1:17" x14ac:dyDescent="0.25">
      <c r="A109" s="85">
        <v>7</v>
      </c>
      <c r="B109" s="19" t="s">
        <v>24</v>
      </c>
      <c r="C109" s="16">
        <v>0</v>
      </c>
      <c r="D109" s="16">
        <v>0</v>
      </c>
      <c r="E109" s="16">
        <v>0</v>
      </c>
      <c r="F109" s="59">
        <f>'ubi kayu'!C15</f>
        <v>0</v>
      </c>
      <c r="G109" s="59">
        <f>'ubi kayu'!D15</f>
        <v>1</v>
      </c>
      <c r="H109" s="155">
        <f>'ubi kayu'!E15</f>
        <v>1</v>
      </c>
      <c r="I109" s="125">
        <f t="shared" si="39"/>
        <v>2</v>
      </c>
      <c r="J109" s="223">
        <f>'ubi kayu'!F15</f>
        <v>0</v>
      </c>
      <c r="K109" s="132">
        <f>'ubi kayu'!G15</f>
        <v>0</v>
      </c>
      <c r="L109" s="132">
        <f>'ubi kayu'!H15</f>
        <v>0</v>
      </c>
      <c r="M109" s="132">
        <f>'ubi kayu'!I15</f>
        <v>0</v>
      </c>
      <c r="N109" s="132">
        <f>'ubi kayu'!J15</f>
        <v>0</v>
      </c>
      <c r="O109" s="157">
        <f>'ubi kayu'!K15</f>
        <v>0</v>
      </c>
      <c r="P109" s="125">
        <f t="shared" si="40"/>
        <v>0</v>
      </c>
      <c r="Q109" s="128">
        <f t="shared" si="41"/>
        <v>2</v>
      </c>
    </row>
    <row r="110" spans="1:17" ht="15.75" thickBot="1" x14ac:dyDescent="0.3">
      <c r="A110" s="86">
        <v>8</v>
      </c>
      <c r="B110" s="15" t="s">
        <v>25</v>
      </c>
      <c r="C110" s="17">
        <v>0</v>
      </c>
      <c r="D110" s="17">
        <v>0</v>
      </c>
      <c r="E110" s="17">
        <v>2</v>
      </c>
      <c r="F110" s="137">
        <f>'ubi kayu'!C16</f>
        <v>3</v>
      </c>
      <c r="G110" s="137">
        <f>'ubi kayu'!D16</f>
        <v>1</v>
      </c>
      <c r="H110" s="137">
        <f>'ubi kayu'!E16</f>
        <v>0</v>
      </c>
      <c r="I110" s="126">
        <f t="shared" si="39"/>
        <v>6</v>
      </c>
      <c r="J110" s="232">
        <f>'ubi kayu'!F16</f>
        <v>1</v>
      </c>
      <c r="K110" s="232">
        <f>'ubi kayu'!G16</f>
        <v>0</v>
      </c>
      <c r="L110" s="232">
        <f>'ubi kayu'!H16</f>
        <v>0</v>
      </c>
      <c r="M110" s="232">
        <f>'ubi kayu'!I16</f>
        <v>1</v>
      </c>
      <c r="N110" s="232">
        <f>'ubi kayu'!J16</f>
        <v>1</v>
      </c>
      <c r="O110" s="232">
        <f>'ubi kayu'!K16</f>
        <v>1</v>
      </c>
      <c r="P110" s="126">
        <f>SUM(J110:O110)</f>
        <v>4</v>
      </c>
      <c r="Q110" s="129">
        <f t="shared" si="41"/>
        <v>10</v>
      </c>
    </row>
    <row r="111" spans="1:17" ht="16.5" thickTop="1" thickBot="1" x14ac:dyDescent="0.3">
      <c r="A111" s="339" t="s">
        <v>26</v>
      </c>
      <c r="B111" s="340"/>
      <c r="C111" s="112">
        <f t="shared" ref="C111:H111" si="42">SUM(C103:C110)</f>
        <v>3</v>
      </c>
      <c r="D111" s="112">
        <f t="shared" si="42"/>
        <v>3</v>
      </c>
      <c r="E111" s="112">
        <f t="shared" si="42"/>
        <v>31</v>
      </c>
      <c r="F111" s="112">
        <f t="shared" si="42"/>
        <v>26</v>
      </c>
      <c r="G111" s="112">
        <f t="shared" si="42"/>
        <v>26</v>
      </c>
      <c r="H111" s="121">
        <f t="shared" si="42"/>
        <v>1</v>
      </c>
      <c r="I111" s="123">
        <f>SUM(I103:I110)</f>
        <v>90</v>
      </c>
      <c r="J111" s="133">
        <f t="shared" ref="J111:O111" si="43">SUM(J103:J110)</f>
        <v>12</v>
      </c>
      <c r="K111" s="112">
        <f t="shared" si="43"/>
        <v>0</v>
      </c>
      <c r="L111" s="112">
        <f t="shared" si="43"/>
        <v>12</v>
      </c>
      <c r="M111" s="112">
        <f t="shared" si="43"/>
        <v>1</v>
      </c>
      <c r="N111" s="112">
        <f t="shared" si="43"/>
        <v>1</v>
      </c>
      <c r="O111" s="121">
        <f t="shared" si="43"/>
        <v>1</v>
      </c>
      <c r="P111" s="123">
        <f>SUM(P103:P110)</f>
        <v>27</v>
      </c>
      <c r="Q111" s="130">
        <f>SUM(Q103:Q110)</f>
        <v>117</v>
      </c>
    </row>
    <row r="113" spans="1:17" ht="15.75" x14ac:dyDescent="0.25">
      <c r="A113" s="341" t="s">
        <v>109</v>
      </c>
      <c r="B113" s="341"/>
      <c r="C113" s="341"/>
      <c r="D113" s="341"/>
      <c r="E113" s="341"/>
      <c r="F113" s="341"/>
      <c r="G113" s="341"/>
      <c r="H113" s="341"/>
      <c r="I113" s="341"/>
      <c r="J113" s="341"/>
      <c r="K113" s="341"/>
      <c r="L113" s="341"/>
      <c r="M113" s="341"/>
      <c r="N113" s="341"/>
      <c r="O113" s="341"/>
      <c r="P113" s="341"/>
      <c r="Q113" s="341"/>
    </row>
    <row r="114" spans="1:17" ht="15.75" x14ac:dyDescent="0.25">
      <c r="A114" s="341" t="s">
        <v>81</v>
      </c>
      <c r="B114" s="341"/>
      <c r="C114" s="341"/>
      <c r="D114" s="341"/>
      <c r="E114" s="341"/>
      <c r="F114" s="341"/>
      <c r="G114" s="341"/>
      <c r="H114" s="341"/>
      <c r="I114" s="341"/>
      <c r="J114" s="341"/>
      <c r="K114" s="341"/>
      <c r="L114" s="341"/>
      <c r="M114" s="341"/>
      <c r="N114" s="341"/>
      <c r="O114" s="341"/>
      <c r="P114" s="341"/>
      <c r="Q114" s="341"/>
    </row>
    <row r="115" spans="1:17" ht="15.75" thickBot="1" x14ac:dyDescent="0.3">
      <c r="Q115" s="75" t="s">
        <v>1</v>
      </c>
    </row>
    <row r="116" spans="1:17" x14ac:dyDescent="0.25">
      <c r="A116" s="334" t="s">
        <v>2</v>
      </c>
      <c r="B116" s="336" t="s">
        <v>3</v>
      </c>
      <c r="C116" s="342" t="s">
        <v>138</v>
      </c>
      <c r="D116" s="343"/>
      <c r="E116" s="343"/>
      <c r="F116" s="343"/>
      <c r="G116" s="343"/>
      <c r="H116" s="343"/>
      <c r="I116" s="345" t="s">
        <v>82</v>
      </c>
      <c r="J116" s="343">
        <v>2019</v>
      </c>
      <c r="K116" s="343"/>
      <c r="L116" s="343"/>
      <c r="M116" s="343"/>
      <c r="N116" s="343"/>
      <c r="O116" s="343"/>
      <c r="P116" s="345" t="s">
        <v>83</v>
      </c>
      <c r="Q116" s="348" t="s">
        <v>5</v>
      </c>
    </row>
    <row r="117" spans="1:17" x14ac:dyDescent="0.25">
      <c r="A117" s="335"/>
      <c r="B117" s="324"/>
      <c r="C117" s="296" t="s">
        <v>15</v>
      </c>
      <c r="D117" s="296" t="s">
        <v>16</v>
      </c>
      <c r="E117" s="296" t="s">
        <v>17</v>
      </c>
      <c r="F117" s="296" t="s">
        <v>6</v>
      </c>
      <c r="G117" s="296" t="s">
        <v>76</v>
      </c>
      <c r="H117" s="119" t="s">
        <v>77</v>
      </c>
      <c r="I117" s="346"/>
      <c r="J117" s="109" t="s">
        <v>78</v>
      </c>
      <c r="K117" s="296" t="s">
        <v>10</v>
      </c>
      <c r="L117" s="296" t="s">
        <v>11</v>
      </c>
      <c r="M117" s="296" t="s">
        <v>12</v>
      </c>
      <c r="N117" s="296" t="s">
        <v>79</v>
      </c>
      <c r="O117" s="119" t="s">
        <v>80</v>
      </c>
      <c r="P117" s="346"/>
      <c r="Q117" s="349"/>
    </row>
    <row r="118" spans="1:17" ht="15.75" thickBot="1" x14ac:dyDescent="0.3">
      <c r="A118" s="111">
        <v>1</v>
      </c>
      <c r="B118" s="5">
        <v>2</v>
      </c>
      <c r="C118" s="5">
        <v>3</v>
      </c>
      <c r="D118" s="5">
        <v>4</v>
      </c>
      <c r="E118" s="5">
        <v>5</v>
      </c>
      <c r="F118" s="5">
        <v>6</v>
      </c>
      <c r="G118" s="5">
        <v>7</v>
      </c>
      <c r="H118" s="120">
        <v>8</v>
      </c>
      <c r="I118" s="122">
        <v>9</v>
      </c>
      <c r="J118" s="110">
        <v>10</v>
      </c>
      <c r="K118" s="5">
        <v>11</v>
      </c>
      <c r="L118" s="5">
        <v>12</v>
      </c>
      <c r="M118" s="5">
        <v>13</v>
      </c>
      <c r="N118" s="5">
        <v>14</v>
      </c>
      <c r="O118" s="120">
        <v>15</v>
      </c>
      <c r="P118" s="122">
        <v>16</v>
      </c>
      <c r="Q118" s="131">
        <v>17</v>
      </c>
    </row>
    <row r="119" spans="1:17" ht="15.75" thickTop="1" x14ac:dyDescent="0.25">
      <c r="A119" s="83">
        <v>1</v>
      </c>
      <c r="B119" s="7" t="s">
        <v>18</v>
      </c>
      <c r="C119" s="28">
        <v>0</v>
      </c>
      <c r="D119" s="28">
        <v>0</v>
      </c>
      <c r="E119" s="28">
        <v>5</v>
      </c>
      <c r="F119" s="136">
        <f>'ubi jalar'!C9</f>
        <v>3</v>
      </c>
      <c r="G119" s="136">
        <f>'ubi jalar'!D9</f>
        <v>3</v>
      </c>
      <c r="H119" s="136">
        <f>'ubi jalar'!E9</f>
        <v>3</v>
      </c>
      <c r="I119" s="124">
        <f>SUM(C119:H119)</f>
        <v>14</v>
      </c>
      <c r="J119" s="156">
        <f>'ubi kayu'!F9</f>
        <v>0</v>
      </c>
      <c r="K119" s="156">
        <f>'ubi kayu'!G9</f>
        <v>0</v>
      </c>
      <c r="L119" s="156">
        <f>'ubi kayu'!H9</f>
        <v>2</v>
      </c>
      <c r="M119" s="156">
        <f>'ubi kayu'!I9</f>
        <v>0</v>
      </c>
      <c r="N119" s="156">
        <f>'ubi kayu'!J9</f>
        <v>0</v>
      </c>
      <c r="O119" s="156">
        <f>'ubi kayu'!K9</f>
        <v>0</v>
      </c>
      <c r="P119" s="124">
        <f>SUM(J119:O119)</f>
        <v>2</v>
      </c>
      <c r="Q119" s="127">
        <f>SUM(I119,P119)</f>
        <v>16</v>
      </c>
    </row>
    <row r="120" spans="1:17" x14ac:dyDescent="0.25">
      <c r="A120" s="84">
        <v>2</v>
      </c>
      <c r="B120" s="12" t="s">
        <v>19</v>
      </c>
      <c r="C120" s="16">
        <v>0</v>
      </c>
      <c r="D120" s="16">
        <v>1</v>
      </c>
      <c r="E120" s="16">
        <v>0</v>
      </c>
      <c r="F120" s="59">
        <f>'ubi jalar'!C10</f>
        <v>0</v>
      </c>
      <c r="G120" s="59">
        <f>'ubi jalar'!D10</f>
        <v>0</v>
      </c>
      <c r="H120" s="155">
        <f>'ubi jalar'!E10</f>
        <v>1</v>
      </c>
      <c r="I120" s="125">
        <f t="shared" ref="I120:I126" si="44">SUM(C120:H120)</f>
        <v>2</v>
      </c>
      <c r="J120" s="223">
        <f>'ubi kayu'!F10</f>
        <v>1</v>
      </c>
      <c r="K120" s="132">
        <f>'ubi kayu'!G10</f>
        <v>0</v>
      </c>
      <c r="L120" s="132">
        <f>'ubi kayu'!H10</f>
        <v>0</v>
      </c>
      <c r="M120" s="132">
        <f>'ubi kayu'!I10</f>
        <v>0</v>
      </c>
      <c r="N120" s="132">
        <f>'ubi kayu'!J10</f>
        <v>0</v>
      </c>
      <c r="O120" s="157">
        <f>'ubi kayu'!K10</f>
        <v>0</v>
      </c>
      <c r="P120" s="125">
        <f t="shared" ref="P120:P125" si="45">SUM(J120:O120)</f>
        <v>1</v>
      </c>
      <c r="Q120" s="128">
        <f t="shared" ref="Q120:Q126" si="46">SUM(I120,P120)</f>
        <v>3</v>
      </c>
    </row>
    <row r="121" spans="1:17" x14ac:dyDescent="0.25">
      <c r="A121" s="84">
        <v>3</v>
      </c>
      <c r="B121" s="7" t="s">
        <v>20</v>
      </c>
      <c r="C121" s="16">
        <v>0</v>
      </c>
      <c r="D121" s="16">
        <v>0</v>
      </c>
      <c r="E121" s="16">
        <v>0</v>
      </c>
      <c r="F121" s="59">
        <f>'ubi jalar'!C11</f>
        <v>0</v>
      </c>
      <c r="G121" s="59">
        <f>'ubi jalar'!D11</f>
        <v>0</v>
      </c>
      <c r="H121" s="155">
        <f>'ubi jalar'!E11</f>
        <v>0</v>
      </c>
      <c r="I121" s="125">
        <f t="shared" si="44"/>
        <v>0</v>
      </c>
      <c r="J121" s="223">
        <f>'ubi kayu'!F11</f>
        <v>10</v>
      </c>
      <c r="K121" s="132">
        <f>'ubi kayu'!G11</f>
        <v>0</v>
      </c>
      <c r="L121" s="132">
        <f>'ubi kayu'!H11</f>
        <v>10</v>
      </c>
      <c r="M121" s="132">
        <f>'ubi kayu'!I11</f>
        <v>0</v>
      </c>
      <c r="N121" s="132">
        <f>'ubi kayu'!J11</f>
        <v>0</v>
      </c>
      <c r="O121" s="157">
        <f>'ubi kayu'!K11</f>
        <v>0</v>
      </c>
      <c r="P121" s="125">
        <f t="shared" si="45"/>
        <v>20</v>
      </c>
      <c r="Q121" s="128">
        <f t="shared" si="46"/>
        <v>20</v>
      </c>
    </row>
    <row r="122" spans="1:17" x14ac:dyDescent="0.25">
      <c r="A122" s="85">
        <v>4</v>
      </c>
      <c r="B122" s="15" t="s">
        <v>21</v>
      </c>
      <c r="C122" s="16">
        <v>0</v>
      </c>
      <c r="D122" s="16">
        <v>0</v>
      </c>
      <c r="E122" s="16">
        <v>0</v>
      </c>
      <c r="F122" s="59">
        <f>'ubi jalar'!C12</f>
        <v>0</v>
      </c>
      <c r="G122" s="59">
        <f>'ubi jalar'!D12</f>
        <v>0</v>
      </c>
      <c r="H122" s="155">
        <f>'ubi jalar'!E12</f>
        <v>0</v>
      </c>
      <c r="I122" s="125">
        <f t="shared" si="44"/>
        <v>0</v>
      </c>
      <c r="J122" s="223">
        <f>'ubi kayu'!F12</f>
        <v>0</v>
      </c>
      <c r="K122" s="132">
        <f>'ubi kayu'!G12</f>
        <v>0</v>
      </c>
      <c r="L122" s="132">
        <f>'ubi kayu'!H12</f>
        <v>0</v>
      </c>
      <c r="M122" s="132">
        <f>'ubi kayu'!I12</f>
        <v>0</v>
      </c>
      <c r="N122" s="132">
        <f>'ubi kayu'!J12</f>
        <v>0</v>
      </c>
      <c r="O122" s="157">
        <f>'ubi kayu'!K12</f>
        <v>0</v>
      </c>
      <c r="P122" s="125">
        <f t="shared" si="45"/>
        <v>0</v>
      </c>
      <c r="Q122" s="128">
        <f t="shared" si="46"/>
        <v>0</v>
      </c>
    </row>
    <row r="123" spans="1:17" x14ac:dyDescent="0.25">
      <c r="A123" s="85">
        <v>5</v>
      </c>
      <c r="B123" s="19" t="s">
        <v>22</v>
      </c>
      <c r="C123" s="16">
        <v>0</v>
      </c>
      <c r="D123" s="16">
        <v>0</v>
      </c>
      <c r="E123" s="16">
        <v>0</v>
      </c>
      <c r="F123" s="59">
        <f>'ubi jalar'!C13</f>
        <v>0</v>
      </c>
      <c r="G123" s="59">
        <f>'ubi jalar'!D13</f>
        <v>0</v>
      </c>
      <c r="H123" s="155">
        <f>'ubi jalar'!E13</f>
        <v>0</v>
      </c>
      <c r="I123" s="125">
        <f t="shared" si="44"/>
        <v>0</v>
      </c>
      <c r="J123" s="223">
        <f>'ubi kayu'!F13</f>
        <v>0</v>
      </c>
      <c r="K123" s="132">
        <f>'ubi kayu'!G13</f>
        <v>0</v>
      </c>
      <c r="L123" s="132">
        <f>'ubi kayu'!H13</f>
        <v>0</v>
      </c>
      <c r="M123" s="132">
        <f>'ubi kayu'!I13</f>
        <v>0</v>
      </c>
      <c r="N123" s="132">
        <f>'ubi kayu'!J13</f>
        <v>0</v>
      </c>
      <c r="O123" s="157">
        <f>'ubi kayu'!K13</f>
        <v>0</v>
      </c>
      <c r="P123" s="125">
        <f t="shared" si="45"/>
        <v>0</v>
      </c>
      <c r="Q123" s="128">
        <f t="shared" si="46"/>
        <v>0</v>
      </c>
    </row>
    <row r="124" spans="1:17" x14ac:dyDescent="0.25">
      <c r="A124" s="85">
        <v>6</v>
      </c>
      <c r="B124" s="19" t="s">
        <v>23</v>
      </c>
      <c r="C124" s="16">
        <v>1</v>
      </c>
      <c r="D124" s="16">
        <v>1</v>
      </c>
      <c r="E124" s="16">
        <v>1</v>
      </c>
      <c r="F124" s="59">
        <f>'ubi jalar'!C14</f>
        <v>1</v>
      </c>
      <c r="G124" s="59">
        <f>'ubi jalar'!D14</f>
        <v>1</v>
      </c>
      <c r="H124" s="155">
        <f>'ubi jalar'!E14</f>
        <v>0</v>
      </c>
      <c r="I124" s="125">
        <f t="shared" si="44"/>
        <v>5</v>
      </c>
      <c r="J124" s="223">
        <f>'ubi kayu'!F14</f>
        <v>0</v>
      </c>
      <c r="K124" s="132">
        <f>'ubi kayu'!G14</f>
        <v>0</v>
      </c>
      <c r="L124" s="132">
        <f>'ubi kayu'!H14</f>
        <v>0</v>
      </c>
      <c r="M124" s="132">
        <f>'ubi kayu'!I14</f>
        <v>0</v>
      </c>
      <c r="N124" s="132">
        <f>'ubi kayu'!J14</f>
        <v>0</v>
      </c>
      <c r="O124" s="157">
        <f>'ubi kayu'!K14</f>
        <v>0</v>
      </c>
      <c r="P124" s="125">
        <f t="shared" si="45"/>
        <v>0</v>
      </c>
      <c r="Q124" s="128">
        <f t="shared" si="46"/>
        <v>5</v>
      </c>
    </row>
    <row r="125" spans="1:17" x14ac:dyDescent="0.25">
      <c r="A125" s="85">
        <v>7</v>
      </c>
      <c r="B125" s="19" t="s">
        <v>24</v>
      </c>
      <c r="C125" s="16">
        <v>0</v>
      </c>
      <c r="D125" s="16">
        <v>0</v>
      </c>
      <c r="E125" s="16">
        <v>0</v>
      </c>
      <c r="F125" s="59">
        <f>'ubi jalar'!C15</f>
        <v>0</v>
      </c>
      <c r="G125" s="59">
        <f>'ubi jalar'!D15</f>
        <v>0</v>
      </c>
      <c r="H125" s="155">
        <f>'ubi jalar'!E15</f>
        <v>0</v>
      </c>
      <c r="I125" s="125">
        <f t="shared" si="44"/>
        <v>0</v>
      </c>
      <c r="J125" s="223">
        <f>'ubi kayu'!F15</f>
        <v>0</v>
      </c>
      <c r="K125" s="132">
        <f>'ubi kayu'!G15</f>
        <v>0</v>
      </c>
      <c r="L125" s="132">
        <f>'ubi kayu'!H15</f>
        <v>0</v>
      </c>
      <c r="M125" s="132">
        <f>'ubi kayu'!I15</f>
        <v>0</v>
      </c>
      <c r="N125" s="132">
        <f>'ubi kayu'!J15</f>
        <v>0</v>
      </c>
      <c r="O125" s="157">
        <f>'ubi kayu'!K15</f>
        <v>0</v>
      </c>
      <c r="P125" s="125">
        <f t="shared" si="45"/>
        <v>0</v>
      </c>
      <c r="Q125" s="128">
        <f t="shared" si="46"/>
        <v>0</v>
      </c>
    </row>
    <row r="126" spans="1:17" ht="15.75" thickBot="1" x14ac:dyDescent="0.3">
      <c r="A126" s="86">
        <v>8</v>
      </c>
      <c r="B126" s="15" t="s">
        <v>25</v>
      </c>
      <c r="C126" s="54">
        <v>0</v>
      </c>
      <c r="D126" s="54">
        <v>0</v>
      </c>
      <c r="E126" s="54">
        <v>0</v>
      </c>
      <c r="F126" s="137">
        <f>'ubi jalar'!C16</f>
        <v>0</v>
      </c>
      <c r="G126" s="137">
        <f>'ubi jalar'!D16</f>
        <v>0</v>
      </c>
      <c r="H126" s="137">
        <f>'ubi jalar'!E16</f>
        <v>0</v>
      </c>
      <c r="I126" s="126">
        <f t="shared" si="44"/>
        <v>0</v>
      </c>
      <c r="J126" s="232">
        <f>'ubi kayu'!F16</f>
        <v>1</v>
      </c>
      <c r="K126" s="232">
        <f>'ubi kayu'!G16</f>
        <v>0</v>
      </c>
      <c r="L126" s="232">
        <f>'ubi kayu'!H16</f>
        <v>0</v>
      </c>
      <c r="M126" s="232">
        <f>'ubi kayu'!I16</f>
        <v>1</v>
      </c>
      <c r="N126" s="232">
        <f>'ubi kayu'!J16</f>
        <v>1</v>
      </c>
      <c r="O126" s="232">
        <f>'ubi kayu'!K16</f>
        <v>1</v>
      </c>
      <c r="P126" s="126">
        <f>SUM(J126:O126)</f>
        <v>4</v>
      </c>
      <c r="Q126" s="129">
        <f t="shared" si="46"/>
        <v>4</v>
      </c>
    </row>
    <row r="127" spans="1:17" ht="16.5" thickTop="1" thickBot="1" x14ac:dyDescent="0.3">
      <c r="A127" s="339" t="s">
        <v>26</v>
      </c>
      <c r="B127" s="340"/>
      <c r="C127" s="112">
        <f t="shared" ref="C127:H127" si="47">SUM(C119:C126)</f>
        <v>1</v>
      </c>
      <c r="D127" s="112">
        <f t="shared" si="47"/>
        <v>2</v>
      </c>
      <c r="E127" s="112">
        <f t="shared" si="47"/>
        <v>6</v>
      </c>
      <c r="F127" s="112">
        <f t="shared" si="47"/>
        <v>4</v>
      </c>
      <c r="G127" s="112">
        <f t="shared" si="47"/>
        <v>4</v>
      </c>
      <c r="H127" s="121">
        <f t="shared" si="47"/>
        <v>4</v>
      </c>
      <c r="I127" s="123">
        <f>SUM(I119:I126)</f>
        <v>21</v>
      </c>
      <c r="J127" s="133">
        <f t="shared" ref="J127:O127" si="48">SUM(J119:J126)</f>
        <v>12</v>
      </c>
      <c r="K127" s="112">
        <f t="shared" si="48"/>
        <v>0</v>
      </c>
      <c r="L127" s="112">
        <f t="shared" si="48"/>
        <v>12</v>
      </c>
      <c r="M127" s="112">
        <f t="shared" si="48"/>
        <v>1</v>
      </c>
      <c r="N127" s="112">
        <f t="shared" si="48"/>
        <v>1</v>
      </c>
      <c r="O127" s="121">
        <f t="shared" si="48"/>
        <v>1</v>
      </c>
      <c r="P127" s="123">
        <f>SUM(P119:P126)</f>
        <v>27</v>
      </c>
      <c r="Q127" s="130">
        <f>SUM(Q119:Q126)</f>
        <v>48</v>
      </c>
    </row>
    <row r="129" spans="1:17" ht="15.75" x14ac:dyDescent="0.25">
      <c r="A129" s="341" t="s">
        <v>110</v>
      </c>
      <c r="B129" s="341"/>
      <c r="C129" s="341"/>
      <c r="D129" s="341"/>
      <c r="E129" s="341"/>
      <c r="F129" s="341"/>
      <c r="G129" s="341"/>
      <c r="H129" s="341"/>
      <c r="I129" s="341"/>
      <c r="J129" s="341"/>
      <c r="K129" s="341"/>
      <c r="L129" s="341"/>
      <c r="M129" s="341"/>
      <c r="N129" s="341"/>
      <c r="O129" s="341"/>
      <c r="P129" s="341"/>
      <c r="Q129" s="341"/>
    </row>
    <row r="130" spans="1:17" ht="15.75" x14ac:dyDescent="0.25">
      <c r="A130" s="341" t="s">
        <v>81</v>
      </c>
      <c r="B130" s="341"/>
      <c r="C130" s="341"/>
      <c r="D130" s="341"/>
      <c r="E130" s="341"/>
      <c r="F130" s="341"/>
      <c r="G130" s="341"/>
      <c r="H130" s="341"/>
      <c r="I130" s="341"/>
      <c r="J130" s="341"/>
      <c r="K130" s="341"/>
      <c r="L130" s="341"/>
      <c r="M130" s="341"/>
      <c r="N130" s="341"/>
      <c r="O130" s="341"/>
      <c r="P130" s="341"/>
      <c r="Q130" s="341"/>
    </row>
    <row r="131" spans="1:17" ht="15.75" thickBot="1" x14ac:dyDescent="0.3">
      <c r="Q131" s="75" t="s">
        <v>1</v>
      </c>
    </row>
    <row r="132" spans="1:17" x14ac:dyDescent="0.25">
      <c r="A132" s="334" t="s">
        <v>2</v>
      </c>
      <c r="B132" s="336" t="s">
        <v>3</v>
      </c>
      <c r="C132" s="342" t="s">
        <v>138</v>
      </c>
      <c r="D132" s="343"/>
      <c r="E132" s="343"/>
      <c r="F132" s="343"/>
      <c r="G132" s="343"/>
      <c r="H132" s="343"/>
      <c r="I132" s="345" t="s">
        <v>82</v>
      </c>
      <c r="J132" s="343">
        <v>2019</v>
      </c>
      <c r="K132" s="343"/>
      <c r="L132" s="343"/>
      <c r="M132" s="343"/>
      <c r="N132" s="343"/>
      <c r="O132" s="343"/>
      <c r="P132" s="345" t="s">
        <v>83</v>
      </c>
      <c r="Q132" s="348" t="s">
        <v>5</v>
      </c>
    </row>
    <row r="133" spans="1:17" x14ac:dyDescent="0.25">
      <c r="A133" s="335"/>
      <c r="B133" s="324"/>
      <c r="C133" s="296" t="s">
        <v>15</v>
      </c>
      <c r="D133" s="296" t="s">
        <v>16</v>
      </c>
      <c r="E133" s="296" t="s">
        <v>17</v>
      </c>
      <c r="F133" s="296" t="s">
        <v>6</v>
      </c>
      <c r="G133" s="296" t="s">
        <v>76</v>
      </c>
      <c r="H133" s="119" t="s">
        <v>77</v>
      </c>
      <c r="I133" s="346"/>
      <c r="J133" s="109" t="s">
        <v>78</v>
      </c>
      <c r="K133" s="296" t="s">
        <v>10</v>
      </c>
      <c r="L133" s="296" t="s">
        <v>11</v>
      </c>
      <c r="M133" s="296" t="s">
        <v>12</v>
      </c>
      <c r="N133" s="296" t="s">
        <v>79</v>
      </c>
      <c r="O133" s="119" t="s">
        <v>80</v>
      </c>
      <c r="P133" s="346"/>
      <c r="Q133" s="349"/>
    </row>
    <row r="134" spans="1:17" ht="15.75" thickBot="1" x14ac:dyDescent="0.3">
      <c r="A134" s="111">
        <v>1</v>
      </c>
      <c r="B134" s="5">
        <v>2</v>
      </c>
      <c r="C134" s="5">
        <v>3</v>
      </c>
      <c r="D134" s="5">
        <v>4</v>
      </c>
      <c r="E134" s="5">
        <v>5</v>
      </c>
      <c r="F134" s="5">
        <v>6</v>
      </c>
      <c r="G134" s="5">
        <v>7</v>
      </c>
      <c r="H134" s="120">
        <v>8</v>
      </c>
      <c r="I134" s="122">
        <v>9</v>
      </c>
      <c r="J134" s="110">
        <v>10</v>
      </c>
      <c r="K134" s="5">
        <v>11</v>
      </c>
      <c r="L134" s="5">
        <v>12</v>
      </c>
      <c r="M134" s="5">
        <v>13</v>
      </c>
      <c r="N134" s="5">
        <v>14</v>
      </c>
      <c r="O134" s="120">
        <v>15</v>
      </c>
      <c r="P134" s="122">
        <v>16</v>
      </c>
      <c r="Q134" s="131">
        <v>17</v>
      </c>
    </row>
    <row r="135" spans="1:17" ht="15.75" thickTop="1" x14ac:dyDescent="0.25">
      <c r="A135" s="83">
        <v>1</v>
      </c>
      <c r="B135" s="7" t="s">
        <v>18</v>
      </c>
      <c r="C135" s="67">
        <v>0</v>
      </c>
      <c r="D135" s="28">
        <v>0</v>
      </c>
      <c r="E135" s="67">
        <v>0</v>
      </c>
      <c r="F135" s="136">
        <f>'kc ijo'!C9</f>
        <v>1</v>
      </c>
      <c r="G135" s="136">
        <f>'kc ijo'!D9</f>
        <v>2</v>
      </c>
      <c r="H135" s="136">
        <f>'kc ijo'!E9</f>
        <v>3</v>
      </c>
      <c r="I135" s="124">
        <f>SUM(C135:H135)</f>
        <v>6</v>
      </c>
      <c r="J135" s="156">
        <f>'kc ijo'!F9</f>
        <v>0</v>
      </c>
      <c r="K135" s="156">
        <f>'kc ijo'!G9</f>
        <v>0</v>
      </c>
      <c r="L135" s="156">
        <f>'kc ijo'!H9</f>
        <v>1</v>
      </c>
      <c r="M135" s="156">
        <f>'kc ijo'!I9</f>
        <v>0</v>
      </c>
      <c r="N135" s="156">
        <f>'kc ijo'!J9</f>
        <v>0</v>
      </c>
      <c r="O135" s="156">
        <f>'kc ijo'!K9</f>
        <v>0</v>
      </c>
      <c r="P135" s="124">
        <f>SUM(J135:O135)</f>
        <v>1</v>
      </c>
      <c r="Q135" s="127">
        <f>SUM(I135,P135)</f>
        <v>7</v>
      </c>
    </row>
    <row r="136" spans="1:17" x14ac:dyDescent="0.25">
      <c r="A136" s="84">
        <v>2</v>
      </c>
      <c r="B136" s="12" t="s">
        <v>19</v>
      </c>
      <c r="C136" s="48">
        <v>0</v>
      </c>
      <c r="D136" s="16">
        <v>0</v>
      </c>
      <c r="E136" s="48">
        <v>0</v>
      </c>
      <c r="F136" s="59">
        <f>'kc ijo'!C10</f>
        <v>0</v>
      </c>
      <c r="G136" s="59">
        <f>'kc ijo'!D10</f>
        <v>0</v>
      </c>
      <c r="H136" s="155">
        <f>'kc ijo'!E10</f>
        <v>0</v>
      </c>
      <c r="I136" s="125">
        <f t="shared" ref="I136:I142" si="49">SUM(C136:H136)</f>
        <v>0</v>
      </c>
      <c r="J136" s="223">
        <f>'kc ijo'!F10</f>
        <v>0</v>
      </c>
      <c r="K136" s="132">
        <f>'kc ijo'!G10</f>
        <v>0</v>
      </c>
      <c r="L136" s="132">
        <f>'kc ijo'!H10</f>
        <v>0</v>
      </c>
      <c r="M136" s="132">
        <f>'kc ijo'!I10</f>
        <v>0</v>
      </c>
      <c r="N136" s="132">
        <f>'kc ijo'!J10</f>
        <v>0</v>
      </c>
      <c r="O136" s="157">
        <f>'kc ijo'!K10</f>
        <v>0</v>
      </c>
      <c r="P136" s="125">
        <f t="shared" ref="P136:P141" si="50">SUM(J136:O136)</f>
        <v>0</v>
      </c>
      <c r="Q136" s="128">
        <f t="shared" ref="Q136:Q142" si="51">SUM(I136,P136)</f>
        <v>0</v>
      </c>
    </row>
    <row r="137" spans="1:17" x14ac:dyDescent="0.25">
      <c r="A137" s="84">
        <v>3</v>
      </c>
      <c r="B137" s="7" t="s">
        <v>20</v>
      </c>
      <c r="C137" s="16">
        <v>0</v>
      </c>
      <c r="D137" s="16">
        <v>0</v>
      </c>
      <c r="E137" s="16">
        <v>0</v>
      </c>
      <c r="F137" s="59">
        <f>'kc ijo'!C11</f>
        <v>0</v>
      </c>
      <c r="G137" s="59">
        <f>'kc ijo'!D11</f>
        <v>0</v>
      </c>
      <c r="H137" s="155">
        <f>'kc ijo'!E11</f>
        <v>0</v>
      </c>
      <c r="I137" s="125">
        <f t="shared" si="49"/>
        <v>0</v>
      </c>
      <c r="J137" s="223">
        <f>'kc ijo'!F11</f>
        <v>0</v>
      </c>
      <c r="K137" s="132">
        <f>'kc ijo'!G11</f>
        <v>0</v>
      </c>
      <c r="L137" s="132">
        <f>'kc ijo'!H11</f>
        <v>0</v>
      </c>
      <c r="M137" s="132">
        <f>'kc ijo'!I11</f>
        <v>0</v>
      </c>
      <c r="N137" s="132">
        <f>'kc ijo'!J11</f>
        <v>0</v>
      </c>
      <c r="O137" s="157">
        <f>'kc ijo'!K11</f>
        <v>0</v>
      </c>
      <c r="P137" s="125">
        <f t="shared" si="50"/>
        <v>0</v>
      </c>
      <c r="Q137" s="128">
        <f t="shared" si="51"/>
        <v>0</v>
      </c>
    </row>
    <row r="138" spans="1:17" x14ac:dyDescent="0.25">
      <c r="A138" s="85">
        <v>4</v>
      </c>
      <c r="B138" s="15" t="s">
        <v>21</v>
      </c>
      <c r="C138" s="16">
        <v>2</v>
      </c>
      <c r="D138" s="16">
        <v>0</v>
      </c>
      <c r="E138" s="16">
        <v>0</v>
      </c>
      <c r="F138" s="59">
        <f>'kc ijo'!C12</f>
        <v>0</v>
      </c>
      <c r="G138" s="59">
        <f>'kc ijo'!D12</f>
        <v>15</v>
      </c>
      <c r="H138" s="155">
        <f>'kc ijo'!E12</f>
        <v>0</v>
      </c>
      <c r="I138" s="125">
        <f t="shared" si="49"/>
        <v>17</v>
      </c>
      <c r="J138" s="223">
        <f>'kc ijo'!F12</f>
        <v>0</v>
      </c>
      <c r="K138" s="132">
        <f>'kc ijo'!G12</f>
        <v>0</v>
      </c>
      <c r="L138" s="132">
        <f>'kc ijo'!H12</f>
        <v>5</v>
      </c>
      <c r="M138" s="132">
        <f>'kc ijo'!I12</f>
        <v>0</v>
      </c>
      <c r="N138" s="132">
        <f>'kc ijo'!J12</f>
        <v>15</v>
      </c>
      <c r="O138" s="157">
        <f>'kc ijo'!K12</f>
        <v>0</v>
      </c>
      <c r="P138" s="125">
        <f t="shared" si="50"/>
        <v>20</v>
      </c>
      <c r="Q138" s="128">
        <f t="shared" si="51"/>
        <v>37</v>
      </c>
    </row>
    <row r="139" spans="1:17" x14ac:dyDescent="0.25">
      <c r="A139" s="85">
        <v>5</v>
      </c>
      <c r="B139" s="19" t="s">
        <v>22</v>
      </c>
      <c r="C139" s="16">
        <v>0</v>
      </c>
      <c r="D139" s="16">
        <v>0</v>
      </c>
      <c r="E139" s="16">
        <v>0</v>
      </c>
      <c r="F139" s="59">
        <f>'kc ijo'!C13</f>
        <v>0</v>
      </c>
      <c r="G139" s="59">
        <f>'kc ijo'!D13</f>
        <v>0</v>
      </c>
      <c r="H139" s="155">
        <f>'kc ijo'!E13</f>
        <v>0</v>
      </c>
      <c r="I139" s="125">
        <f t="shared" si="49"/>
        <v>0</v>
      </c>
      <c r="J139" s="223">
        <f>'kc ijo'!F13</f>
        <v>0</v>
      </c>
      <c r="K139" s="132">
        <f>'kc ijo'!G13</f>
        <v>0</v>
      </c>
      <c r="L139" s="132">
        <f>'kc ijo'!H13</f>
        <v>0</v>
      </c>
      <c r="M139" s="132">
        <f>'kc ijo'!I13</f>
        <v>0</v>
      </c>
      <c r="N139" s="132">
        <f>'kc ijo'!J13</f>
        <v>0</v>
      </c>
      <c r="O139" s="157">
        <f>'kc ijo'!K13</f>
        <v>0</v>
      </c>
      <c r="P139" s="125">
        <f t="shared" si="50"/>
        <v>0</v>
      </c>
      <c r="Q139" s="128">
        <f t="shared" si="51"/>
        <v>0</v>
      </c>
    </row>
    <row r="140" spans="1:17" x14ac:dyDescent="0.25">
      <c r="A140" s="85">
        <v>6</v>
      </c>
      <c r="B140" s="19" t="s">
        <v>23</v>
      </c>
      <c r="C140" s="16">
        <v>0</v>
      </c>
      <c r="D140" s="16">
        <v>0</v>
      </c>
      <c r="E140" s="16">
        <v>0</v>
      </c>
      <c r="F140" s="59">
        <f>'kc ijo'!C14</f>
        <v>0</v>
      </c>
      <c r="G140" s="59">
        <f>'kc ijo'!D14</f>
        <v>0</v>
      </c>
      <c r="H140" s="155">
        <f>'kc ijo'!E14</f>
        <v>0</v>
      </c>
      <c r="I140" s="125">
        <f t="shared" si="49"/>
        <v>0</v>
      </c>
      <c r="J140" s="223">
        <f>'kc ijo'!F14</f>
        <v>0</v>
      </c>
      <c r="K140" s="132">
        <f>'kc ijo'!G14</f>
        <v>0</v>
      </c>
      <c r="L140" s="132">
        <f>'kc ijo'!H14</f>
        <v>0</v>
      </c>
      <c r="M140" s="132">
        <f>'kc ijo'!I14</f>
        <v>0</v>
      </c>
      <c r="N140" s="132">
        <f>'kc ijo'!J14</f>
        <v>0</v>
      </c>
      <c r="O140" s="157">
        <f>'kc ijo'!K14</f>
        <v>0</v>
      </c>
      <c r="P140" s="125">
        <f t="shared" si="50"/>
        <v>0</v>
      </c>
      <c r="Q140" s="128">
        <f t="shared" si="51"/>
        <v>0</v>
      </c>
    </row>
    <row r="141" spans="1:17" x14ac:dyDescent="0.25">
      <c r="A141" s="85">
        <v>7</v>
      </c>
      <c r="B141" s="19" t="s">
        <v>24</v>
      </c>
      <c r="C141" s="16">
        <v>0</v>
      </c>
      <c r="D141" s="16">
        <v>0</v>
      </c>
      <c r="E141" s="16">
        <v>0</v>
      </c>
      <c r="F141" s="59">
        <f>'kc ijo'!C15</f>
        <v>0</v>
      </c>
      <c r="G141" s="59">
        <f>'kc ijo'!D15</f>
        <v>0</v>
      </c>
      <c r="H141" s="155">
        <f>'kc ijo'!E15</f>
        <v>0</v>
      </c>
      <c r="I141" s="125">
        <f t="shared" si="49"/>
        <v>0</v>
      </c>
      <c r="J141" s="223">
        <f>'kc ijo'!F15</f>
        <v>0</v>
      </c>
      <c r="K141" s="132">
        <f>'kc ijo'!G15</f>
        <v>0</v>
      </c>
      <c r="L141" s="132">
        <f>'kc ijo'!H15</f>
        <v>0</v>
      </c>
      <c r="M141" s="132">
        <f>'kc ijo'!I15</f>
        <v>0</v>
      </c>
      <c r="N141" s="132">
        <f>'kc ijo'!J15</f>
        <v>0</v>
      </c>
      <c r="O141" s="157">
        <f>'kc ijo'!K15</f>
        <v>0</v>
      </c>
      <c r="P141" s="125">
        <f t="shared" si="50"/>
        <v>0</v>
      </c>
      <c r="Q141" s="128">
        <f t="shared" si="51"/>
        <v>0</v>
      </c>
    </row>
    <row r="142" spans="1:17" ht="15.75" thickBot="1" x14ac:dyDescent="0.3">
      <c r="A142" s="86">
        <v>8</v>
      </c>
      <c r="B142" s="15" t="s">
        <v>25</v>
      </c>
      <c r="C142" s="17">
        <v>0</v>
      </c>
      <c r="D142" s="17">
        <v>0</v>
      </c>
      <c r="E142" s="17">
        <v>0</v>
      </c>
      <c r="F142" s="137">
        <f>'kc ijo'!C16</f>
        <v>0</v>
      </c>
      <c r="G142" s="137">
        <f>'kc ijo'!D16</f>
        <v>0</v>
      </c>
      <c r="H142" s="137">
        <f>'kc ijo'!E16</f>
        <v>0</v>
      </c>
      <c r="I142" s="126">
        <f t="shared" si="49"/>
        <v>0</v>
      </c>
      <c r="J142" s="232">
        <f>'kc ijo'!F16</f>
        <v>1</v>
      </c>
      <c r="K142" s="232">
        <f>'kc ijo'!G16</f>
        <v>0</v>
      </c>
      <c r="L142" s="232">
        <f>'kc ijo'!H16</f>
        <v>0</v>
      </c>
      <c r="M142" s="232">
        <f>'kc ijo'!I16</f>
        <v>0</v>
      </c>
      <c r="N142" s="232">
        <f>'kc ijo'!J16</f>
        <v>0</v>
      </c>
      <c r="O142" s="232">
        <f>'kc ijo'!K16</f>
        <v>0</v>
      </c>
      <c r="P142" s="126">
        <f>SUM(J142:O142)</f>
        <v>1</v>
      </c>
      <c r="Q142" s="129">
        <f t="shared" si="51"/>
        <v>1</v>
      </c>
    </row>
    <row r="143" spans="1:17" ht="16.5" thickTop="1" thickBot="1" x14ac:dyDescent="0.3">
      <c r="A143" s="339" t="s">
        <v>26</v>
      </c>
      <c r="B143" s="340"/>
      <c r="C143" s="112">
        <f t="shared" ref="C143:H143" si="52">SUM(C135:C142)</f>
        <v>2</v>
      </c>
      <c r="D143" s="112">
        <f t="shared" si="52"/>
        <v>0</v>
      </c>
      <c r="E143" s="112">
        <f t="shared" si="52"/>
        <v>0</v>
      </c>
      <c r="F143" s="112">
        <f t="shared" si="52"/>
        <v>1</v>
      </c>
      <c r="G143" s="112">
        <f t="shared" si="52"/>
        <v>17</v>
      </c>
      <c r="H143" s="121">
        <f t="shared" si="52"/>
        <v>3</v>
      </c>
      <c r="I143" s="123">
        <f>SUM(I135:I142)</f>
        <v>23</v>
      </c>
      <c r="J143" s="133">
        <f t="shared" ref="J143:O143" si="53">SUM(J135:J142)</f>
        <v>1</v>
      </c>
      <c r="K143" s="112">
        <f t="shared" si="53"/>
        <v>0</v>
      </c>
      <c r="L143" s="112">
        <f t="shared" si="53"/>
        <v>6</v>
      </c>
      <c r="M143" s="112">
        <f t="shared" si="53"/>
        <v>0</v>
      </c>
      <c r="N143" s="112">
        <f t="shared" si="53"/>
        <v>15</v>
      </c>
      <c r="O143" s="121">
        <f t="shared" si="53"/>
        <v>0</v>
      </c>
      <c r="P143" s="123">
        <f>SUM(P135:P142)</f>
        <v>22</v>
      </c>
      <c r="Q143" s="130">
        <f>SUM(Q135:Q142)</f>
        <v>45</v>
      </c>
    </row>
    <row r="145" spans="1:17" ht="15.75" x14ac:dyDescent="0.25">
      <c r="A145" s="341" t="s">
        <v>111</v>
      </c>
      <c r="B145" s="341"/>
      <c r="C145" s="341"/>
      <c r="D145" s="341"/>
      <c r="E145" s="341"/>
      <c r="F145" s="341"/>
      <c r="G145" s="341"/>
      <c r="H145" s="341"/>
      <c r="I145" s="341"/>
      <c r="J145" s="341"/>
      <c r="K145" s="341"/>
      <c r="L145" s="341"/>
      <c r="M145" s="341"/>
      <c r="N145" s="341"/>
      <c r="O145" s="341"/>
      <c r="P145" s="341"/>
      <c r="Q145" s="341"/>
    </row>
    <row r="146" spans="1:17" ht="15.75" x14ac:dyDescent="0.25">
      <c r="A146" s="341" t="s">
        <v>81</v>
      </c>
      <c r="B146" s="341"/>
      <c r="C146" s="341"/>
      <c r="D146" s="341"/>
      <c r="E146" s="341"/>
      <c r="F146" s="341"/>
      <c r="G146" s="341"/>
      <c r="H146" s="341"/>
      <c r="I146" s="341"/>
      <c r="J146" s="341"/>
      <c r="K146" s="341"/>
      <c r="L146" s="341"/>
      <c r="M146" s="341"/>
      <c r="N146" s="341"/>
      <c r="O146" s="341"/>
      <c r="P146" s="341"/>
      <c r="Q146" s="341"/>
    </row>
    <row r="147" spans="1:17" ht="15.75" thickBot="1" x14ac:dyDescent="0.3">
      <c r="Q147" s="75" t="s">
        <v>1</v>
      </c>
    </row>
    <row r="148" spans="1:17" x14ac:dyDescent="0.25">
      <c r="A148" s="334" t="s">
        <v>2</v>
      </c>
      <c r="B148" s="336" t="s">
        <v>3</v>
      </c>
      <c r="C148" s="342" t="s">
        <v>138</v>
      </c>
      <c r="D148" s="343"/>
      <c r="E148" s="343"/>
      <c r="F148" s="343"/>
      <c r="G148" s="343"/>
      <c r="H148" s="343"/>
      <c r="I148" s="345" t="s">
        <v>82</v>
      </c>
      <c r="J148" s="343">
        <v>2019</v>
      </c>
      <c r="K148" s="343"/>
      <c r="L148" s="343"/>
      <c r="M148" s="343"/>
      <c r="N148" s="343"/>
      <c r="O148" s="343"/>
      <c r="P148" s="345" t="s">
        <v>83</v>
      </c>
      <c r="Q148" s="348" t="s">
        <v>5</v>
      </c>
    </row>
    <row r="149" spans="1:17" x14ac:dyDescent="0.25">
      <c r="A149" s="335"/>
      <c r="B149" s="324"/>
      <c r="C149" s="296" t="s">
        <v>15</v>
      </c>
      <c r="D149" s="296" t="s">
        <v>16</v>
      </c>
      <c r="E149" s="296" t="s">
        <v>17</v>
      </c>
      <c r="F149" s="296" t="s">
        <v>6</v>
      </c>
      <c r="G149" s="296" t="s">
        <v>76</v>
      </c>
      <c r="H149" s="119" t="s">
        <v>77</v>
      </c>
      <c r="I149" s="346"/>
      <c r="J149" s="109" t="s">
        <v>78</v>
      </c>
      <c r="K149" s="296" t="s">
        <v>10</v>
      </c>
      <c r="L149" s="296" t="s">
        <v>11</v>
      </c>
      <c r="M149" s="296" t="s">
        <v>12</v>
      </c>
      <c r="N149" s="296" t="s">
        <v>79</v>
      </c>
      <c r="O149" s="119" t="s">
        <v>80</v>
      </c>
      <c r="P149" s="346"/>
      <c r="Q149" s="349"/>
    </row>
    <row r="150" spans="1:17" ht="15.75" thickBot="1" x14ac:dyDescent="0.3">
      <c r="A150" s="111">
        <v>1</v>
      </c>
      <c r="B150" s="5">
        <v>2</v>
      </c>
      <c r="C150" s="5">
        <v>3</v>
      </c>
      <c r="D150" s="5">
        <v>4</v>
      </c>
      <c r="E150" s="5">
        <v>5</v>
      </c>
      <c r="F150" s="5">
        <v>6</v>
      </c>
      <c r="G150" s="5">
        <v>7</v>
      </c>
      <c r="H150" s="120">
        <v>8</v>
      </c>
      <c r="I150" s="122">
        <v>9</v>
      </c>
      <c r="J150" s="110">
        <v>10</v>
      </c>
      <c r="K150" s="5">
        <v>11</v>
      </c>
      <c r="L150" s="5">
        <v>12</v>
      </c>
      <c r="M150" s="5">
        <v>13</v>
      </c>
      <c r="N150" s="5">
        <v>14</v>
      </c>
      <c r="O150" s="120">
        <v>15</v>
      </c>
      <c r="P150" s="122">
        <v>16</v>
      </c>
      <c r="Q150" s="131">
        <v>17</v>
      </c>
    </row>
    <row r="151" spans="1:17" ht="15.75" thickTop="1" x14ac:dyDescent="0.25">
      <c r="A151" s="83">
        <v>1</v>
      </c>
      <c r="B151" s="7" t="s">
        <v>18</v>
      </c>
      <c r="C151" s="136">
        <v>0</v>
      </c>
      <c r="D151" s="136">
        <v>9</v>
      </c>
      <c r="E151" s="136">
        <v>0</v>
      </c>
      <c r="F151" s="136">
        <f>'padi sawah'!C42</f>
        <v>0</v>
      </c>
      <c r="G151" s="136">
        <f>'padi sawah'!D42</f>
        <v>0</v>
      </c>
      <c r="H151" s="136">
        <f>'padi sawah'!E42</f>
        <v>0</v>
      </c>
      <c r="I151" s="124">
        <f>SUM(C151:H151)</f>
        <v>9</v>
      </c>
      <c r="J151" s="156">
        <f>'padi sawah'!F42</f>
        <v>145</v>
      </c>
      <c r="K151" s="156">
        <f>'padi sawah'!G42</f>
        <v>65</v>
      </c>
      <c r="L151" s="156">
        <f>'padi sawah'!H42</f>
        <v>0</v>
      </c>
      <c r="M151" s="156">
        <f>'padi sawah'!I42</f>
        <v>0</v>
      </c>
      <c r="N151" s="156">
        <f>'padi sawah'!J42</f>
        <v>20</v>
      </c>
      <c r="O151" s="156">
        <f>'padi sawah'!K42</f>
        <v>45</v>
      </c>
      <c r="P151" s="124">
        <f>SUM(J151:O151)</f>
        <v>275</v>
      </c>
      <c r="Q151" s="127">
        <f>SUM(I151,P151)</f>
        <v>284</v>
      </c>
    </row>
    <row r="152" spans="1:17" x14ac:dyDescent="0.25">
      <c r="A152" s="84">
        <v>2</v>
      </c>
      <c r="B152" s="12" t="s">
        <v>19</v>
      </c>
      <c r="C152" s="59">
        <v>60</v>
      </c>
      <c r="D152" s="59">
        <v>1</v>
      </c>
      <c r="E152" s="59">
        <v>4</v>
      </c>
      <c r="F152" s="59">
        <f>'padi sawah'!C43</f>
        <v>2</v>
      </c>
      <c r="G152" s="59">
        <f>'padi sawah'!D43</f>
        <v>0</v>
      </c>
      <c r="H152" s="155">
        <f>'padi sawah'!E43</f>
        <v>14</v>
      </c>
      <c r="I152" s="125">
        <f t="shared" ref="I152:I158" si="54">SUM(C152:H152)</f>
        <v>81</v>
      </c>
      <c r="J152" s="223">
        <f>'padi sawah'!F43</f>
        <v>102</v>
      </c>
      <c r="K152" s="132">
        <f>'padi sawah'!G43</f>
        <v>81</v>
      </c>
      <c r="L152" s="132">
        <f>'padi sawah'!H43</f>
        <v>0</v>
      </c>
      <c r="M152" s="132">
        <f>'padi sawah'!I43</f>
        <v>5</v>
      </c>
      <c r="N152" s="132">
        <f>'padi sawah'!J43</f>
        <v>19</v>
      </c>
      <c r="O152" s="157">
        <f>'padi sawah'!K43</f>
        <v>78</v>
      </c>
      <c r="P152" s="125">
        <f t="shared" ref="P152:P157" si="55">SUM(J152:O152)</f>
        <v>285</v>
      </c>
      <c r="Q152" s="128">
        <f t="shared" ref="Q152:Q158" si="56">SUM(I152,P152)</f>
        <v>366</v>
      </c>
    </row>
    <row r="153" spans="1:17" x14ac:dyDescent="0.25">
      <c r="A153" s="84">
        <v>3</v>
      </c>
      <c r="B153" s="7" t="s">
        <v>20</v>
      </c>
      <c r="C153" s="59">
        <v>0</v>
      </c>
      <c r="D153" s="59">
        <v>0</v>
      </c>
      <c r="E153" s="59">
        <v>0</v>
      </c>
      <c r="F153" s="59">
        <f>'padi sawah'!C44</f>
        <v>0</v>
      </c>
      <c r="G153" s="59">
        <f>'padi sawah'!D44+G185</f>
        <v>0</v>
      </c>
      <c r="H153" s="59">
        <f>'padi sawah'!E44+H185</f>
        <v>0</v>
      </c>
      <c r="I153" s="125">
        <f t="shared" si="54"/>
        <v>0</v>
      </c>
      <c r="J153" s="223">
        <f>'padi sawah'!F44</f>
        <v>25</v>
      </c>
      <c r="K153" s="132">
        <f>'padi sawah'!G44</f>
        <v>0</v>
      </c>
      <c r="L153" s="132">
        <f>'padi sawah'!H44</f>
        <v>0</v>
      </c>
      <c r="M153" s="132">
        <f>'padi sawah'!I44</f>
        <v>0</v>
      </c>
      <c r="N153" s="132">
        <f>'padi sawah'!J44</f>
        <v>10</v>
      </c>
      <c r="O153" s="157">
        <f>'padi sawah'!K44</f>
        <v>0</v>
      </c>
      <c r="P153" s="125">
        <f t="shared" si="55"/>
        <v>35</v>
      </c>
      <c r="Q153" s="128">
        <f t="shared" si="56"/>
        <v>35</v>
      </c>
    </row>
    <row r="154" spans="1:17" x14ac:dyDescent="0.25">
      <c r="A154" s="85">
        <v>4</v>
      </c>
      <c r="B154" s="15" t="s">
        <v>21</v>
      </c>
      <c r="C154" s="59">
        <v>0</v>
      </c>
      <c r="D154" s="59">
        <v>1</v>
      </c>
      <c r="E154" s="59">
        <v>5</v>
      </c>
      <c r="F154" s="59">
        <f>'padi sawah'!C45</f>
        <v>0</v>
      </c>
      <c r="G154" s="59">
        <f>'padi sawah'!D45</f>
        <v>0</v>
      </c>
      <c r="H154" s="155">
        <f>'padi sawah'!E45</f>
        <v>0</v>
      </c>
      <c r="I154" s="125">
        <f t="shared" si="54"/>
        <v>6</v>
      </c>
      <c r="J154" s="223">
        <f>'padi sawah'!F45</f>
        <v>184</v>
      </c>
      <c r="K154" s="132">
        <f>'padi sawah'!G45</f>
        <v>0</v>
      </c>
      <c r="L154" s="132">
        <f>'padi sawah'!H45</f>
        <v>0</v>
      </c>
      <c r="M154" s="132">
        <f>'padi sawah'!I45</f>
        <v>3</v>
      </c>
      <c r="N154" s="132">
        <f>'padi sawah'!J45</f>
        <v>10</v>
      </c>
      <c r="O154" s="157">
        <f>'padi sawah'!K45</f>
        <v>5</v>
      </c>
      <c r="P154" s="125">
        <f t="shared" si="55"/>
        <v>202</v>
      </c>
      <c r="Q154" s="128">
        <f t="shared" si="56"/>
        <v>208</v>
      </c>
    </row>
    <row r="155" spans="1:17" x14ac:dyDescent="0.25">
      <c r="A155" s="85">
        <v>5</v>
      </c>
      <c r="B155" s="19" t="s">
        <v>22</v>
      </c>
      <c r="C155" s="59">
        <v>0</v>
      </c>
      <c r="D155" s="59">
        <v>0</v>
      </c>
      <c r="E155" s="59">
        <v>10</v>
      </c>
      <c r="F155" s="59">
        <f>'padi sawah'!C46</f>
        <v>0</v>
      </c>
      <c r="G155" s="59">
        <f>'padi sawah'!D46</f>
        <v>0</v>
      </c>
      <c r="H155" s="155">
        <f>'padi sawah'!E46</f>
        <v>0</v>
      </c>
      <c r="I155" s="125">
        <f t="shared" si="54"/>
        <v>10</v>
      </c>
      <c r="J155" s="223">
        <f>'padi sawah'!F46</f>
        <v>162</v>
      </c>
      <c r="K155" s="132">
        <f>'padi sawah'!G46</f>
        <v>0</v>
      </c>
      <c r="L155" s="132">
        <f>'padi sawah'!H46</f>
        <v>0</v>
      </c>
      <c r="M155" s="132">
        <f>'padi sawah'!I46</f>
        <v>0</v>
      </c>
      <c r="N155" s="132">
        <f>'padi sawah'!J46</f>
        <v>0</v>
      </c>
      <c r="O155" s="157">
        <f>'padi sawah'!K46</f>
        <v>15</v>
      </c>
      <c r="P155" s="125">
        <f t="shared" si="55"/>
        <v>177</v>
      </c>
      <c r="Q155" s="128">
        <f t="shared" si="56"/>
        <v>187</v>
      </c>
    </row>
    <row r="156" spans="1:17" x14ac:dyDescent="0.25">
      <c r="A156" s="85">
        <v>6</v>
      </c>
      <c r="B156" s="19" t="s">
        <v>23</v>
      </c>
      <c r="C156" s="59">
        <v>6</v>
      </c>
      <c r="D156" s="59">
        <v>0</v>
      </c>
      <c r="E156" s="59">
        <v>0</v>
      </c>
      <c r="F156" s="59">
        <f>'padi sawah'!C47</f>
        <v>5</v>
      </c>
      <c r="G156" s="59">
        <f>'padi sawah'!D47</f>
        <v>0</v>
      </c>
      <c r="H156" s="155">
        <f>'padi sawah'!E47</f>
        <v>0</v>
      </c>
      <c r="I156" s="125">
        <f t="shared" si="54"/>
        <v>11</v>
      </c>
      <c r="J156" s="223">
        <f>'padi sawah'!F47</f>
        <v>14</v>
      </c>
      <c r="K156" s="132">
        <f>'padi sawah'!G47</f>
        <v>36</v>
      </c>
      <c r="L156" s="132">
        <f>'padi sawah'!H47</f>
        <v>0</v>
      </c>
      <c r="M156" s="132">
        <f>'padi sawah'!I47</f>
        <v>0</v>
      </c>
      <c r="N156" s="132">
        <f>'padi sawah'!J47</f>
        <v>4</v>
      </c>
      <c r="O156" s="157">
        <f>'padi sawah'!K47</f>
        <v>7</v>
      </c>
      <c r="P156" s="125">
        <f t="shared" si="55"/>
        <v>61</v>
      </c>
      <c r="Q156" s="128">
        <f t="shared" si="56"/>
        <v>72</v>
      </c>
    </row>
    <row r="157" spans="1:17" x14ac:dyDescent="0.25">
      <c r="A157" s="85">
        <v>7</v>
      </c>
      <c r="B157" s="19" t="s">
        <v>24</v>
      </c>
      <c r="C157" s="59">
        <v>3</v>
      </c>
      <c r="D157" s="59">
        <v>0</v>
      </c>
      <c r="E157" s="59">
        <v>4</v>
      </c>
      <c r="F157" s="59">
        <f>'padi sawah'!C48</f>
        <v>0</v>
      </c>
      <c r="G157" s="59">
        <f>'padi sawah'!D48</f>
        <v>0</v>
      </c>
      <c r="H157" s="155">
        <f>'padi sawah'!E48</f>
        <v>20</v>
      </c>
      <c r="I157" s="125">
        <f t="shared" si="54"/>
        <v>27</v>
      </c>
      <c r="J157" s="223">
        <f>'padi sawah'!F48</f>
        <v>180</v>
      </c>
      <c r="K157" s="132">
        <f>'padi sawah'!G48</f>
        <v>120</v>
      </c>
      <c r="L157" s="132">
        <f>'padi sawah'!H48</f>
        <v>0</v>
      </c>
      <c r="M157" s="132">
        <f>'padi sawah'!I48</f>
        <v>0</v>
      </c>
      <c r="N157" s="132">
        <f>'padi sawah'!J48</f>
        <v>1</v>
      </c>
      <c r="O157" s="157">
        <f>'padi sawah'!K48</f>
        <v>184</v>
      </c>
      <c r="P157" s="125">
        <f t="shared" si="55"/>
        <v>485</v>
      </c>
      <c r="Q157" s="128">
        <f t="shared" si="56"/>
        <v>512</v>
      </c>
    </row>
    <row r="158" spans="1:17" ht="15.75" thickBot="1" x14ac:dyDescent="0.3">
      <c r="A158" s="86">
        <v>8</v>
      </c>
      <c r="B158" s="15" t="s">
        <v>25</v>
      </c>
      <c r="C158" s="137">
        <v>0</v>
      </c>
      <c r="D158" s="137">
        <v>48</v>
      </c>
      <c r="E158" s="137">
        <v>27</v>
      </c>
      <c r="F158" s="137">
        <f>'padi sawah'!C49</f>
        <v>19</v>
      </c>
      <c r="G158" s="137">
        <f>'padi sawah'!D49</f>
        <v>10</v>
      </c>
      <c r="H158" s="137">
        <f>'padi sawah'!E49</f>
        <v>0</v>
      </c>
      <c r="I158" s="126">
        <f t="shared" si="54"/>
        <v>104</v>
      </c>
      <c r="J158" s="232">
        <f>'padi sawah'!F49</f>
        <v>64</v>
      </c>
      <c r="K158" s="232">
        <f>'padi sawah'!G49</f>
        <v>25</v>
      </c>
      <c r="L158" s="232">
        <f>'padi sawah'!H49</f>
        <v>0</v>
      </c>
      <c r="M158" s="232">
        <f>'padi sawah'!I49</f>
        <v>47</v>
      </c>
      <c r="N158" s="232">
        <f>'padi sawah'!J49</f>
        <v>67</v>
      </c>
      <c r="O158" s="232">
        <f>'padi sawah'!K49</f>
        <v>100</v>
      </c>
      <c r="P158" s="126">
        <f>SUM(J158:O158)</f>
        <v>303</v>
      </c>
      <c r="Q158" s="129">
        <f t="shared" si="56"/>
        <v>407</v>
      </c>
    </row>
    <row r="159" spans="1:17" ht="16.5" thickTop="1" thickBot="1" x14ac:dyDescent="0.3">
      <c r="A159" s="339" t="s">
        <v>26</v>
      </c>
      <c r="B159" s="340"/>
      <c r="C159" s="112">
        <f t="shared" ref="C159:H159" si="57">SUM(C151:C158)</f>
        <v>69</v>
      </c>
      <c r="D159" s="112">
        <f t="shared" si="57"/>
        <v>59</v>
      </c>
      <c r="E159" s="112">
        <f t="shared" si="57"/>
        <v>50</v>
      </c>
      <c r="F159" s="112">
        <f t="shared" si="57"/>
        <v>26</v>
      </c>
      <c r="G159" s="112">
        <f t="shared" si="57"/>
        <v>10</v>
      </c>
      <c r="H159" s="121">
        <f t="shared" si="57"/>
        <v>34</v>
      </c>
      <c r="I159" s="123">
        <f>SUM(I151:I158)</f>
        <v>248</v>
      </c>
      <c r="J159" s="133">
        <f t="shared" ref="J159:O159" si="58">SUM(J151:J158)</f>
        <v>876</v>
      </c>
      <c r="K159" s="112">
        <f t="shared" si="58"/>
        <v>327</v>
      </c>
      <c r="L159" s="112">
        <f t="shared" si="58"/>
        <v>0</v>
      </c>
      <c r="M159" s="112">
        <f t="shared" si="58"/>
        <v>55</v>
      </c>
      <c r="N159" s="112">
        <f t="shared" si="58"/>
        <v>131</v>
      </c>
      <c r="O159" s="121">
        <f t="shared" si="58"/>
        <v>434</v>
      </c>
      <c r="P159" s="123">
        <f>SUM(P151:P158)</f>
        <v>1823</v>
      </c>
      <c r="Q159" s="130">
        <f>SUM(Q151:Q158)</f>
        <v>2071</v>
      </c>
    </row>
    <row r="161" spans="1:17" ht="15.75" x14ac:dyDescent="0.25">
      <c r="A161" s="341" t="s">
        <v>112</v>
      </c>
      <c r="B161" s="341"/>
      <c r="C161" s="341"/>
      <c r="D161" s="341"/>
      <c r="E161" s="341"/>
      <c r="F161" s="341"/>
      <c r="G161" s="341"/>
      <c r="H161" s="341"/>
      <c r="I161" s="341"/>
      <c r="J161" s="341"/>
      <c r="K161" s="341"/>
      <c r="L161" s="341"/>
      <c r="M161" s="341"/>
      <c r="N161" s="341"/>
      <c r="O161" s="341"/>
      <c r="P161" s="341"/>
      <c r="Q161" s="341"/>
    </row>
    <row r="162" spans="1:17" ht="15.75" x14ac:dyDescent="0.25">
      <c r="A162" s="341" t="s">
        <v>81</v>
      </c>
      <c r="B162" s="341"/>
      <c r="C162" s="341"/>
      <c r="D162" s="341"/>
      <c r="E162" s="341"/>
      <c r="F162" s="341"/>
      <c r="G162" s="341"/>
      <c r="H162" s="341"/>
      <c r="I162" s="341"/>
      <c r="J162" s="341"/>
      <c r="K162" s="341"/>
      <c r="L162" s="341"/>
      <c r="M162" s="341"/>
      <c r="N162" s="341"/>
      <c r="O162" s="341"/>
      <c r="P162" s="341"/>
      <c r="Q162" s="341"/>
    </row>
    <row r="163" spans="1:17" ht="15.75" thickBot="1" x14ac:dyDescent="0.3">
      <c r="Q163" s="75" t="s">
        <v>1</v>
      </c>
    </row>
    <row r="164" spans="1:17" x14ac:dyDescent="0.25">
      <c r="A164" s="334" t="s">
        <v>2</v>
      </c>
      <c r="B164" s="336" t="s">
        <v>3</v>
      </c>
      <c r="C164" s="342" t="s">
        <v>138</v>
      </c>
      <c r="D164" s="343"/>
      <c r="E164" s="343"/>
      <c r="F164" s="343"/>
      <c r="G164" s="343"/>
      <c r="H164" s="343"/>
      <c r="I164" s="345" t="s">
        <v>82</v>
      </c>
      <c r="J164" s="343">
        <v>2019</v>
      </c>
      <c r="K164" s="343"/>
      <c r="L164" s="343"/>
      <c r="M164" s="343"/>
      <c r="N164" s="343"/>
      <c r="O164" s="343"/>
      <c r="P164" s="345" t="s">
        <v>83</v>
      </c>
      <c r="Q164" s="348" t="s">
        <v>5</v>
      </c>
    </row>
    <row r="165" spans="1:17" x14ac:dyDescent="0.25">
      <c r="A165" s="335"/>
      <c r="B165" s="324"/>
      <c r="C165" s="296" t="s">
        <v>15</v>
      </c>
      <c r="D165" s="296" t="s">
        <v>16</v>
      </c>
      <c r="E165" s="296" t="s">
        <v>17</v>
      </c>
      <c r="F165" s="296" t="s">
        <v>6</v>
      </c>
      <c r="G165" s="296" t="s">
        <v>76</v>
      </c>
      <c r="H165" s="119" t="s">
        <v>77</v>
      </c>
      <c r="I165" s="346"/>
      <c r="J165" s="109" t="s">
        <v>78</v>
      </c>
      <c r="K165" s="296" t="s">
        <v>10</v>
      </c>
      <c r="L165" s="296" t="s">
        <v>11</v>
      </c>
      <c r="M165" s="296" t="s">
        <v>12</v>
      </c>
      <c r="N165" s="296" t="s">
        <v>79</v>
      </c>
      <c r="O165" s="119" t="s">
        <v>80</v>
      </c>
      <c r="P165" s="346"/>
      <c r="Q165" s="349"/>
    </row>
    <row r="166" spans="1:17" ht="15.75" thickBot="1" x14ac:dyDescent="0.3">
      <c r="A166" s="111">
        <v>1</v>
      </c>
      <c r="B166" s="5">
        <v>2</v>
      </c>
      <c r="C166" s="5">
        <v>3</v>
      </c>
      <c r="D166" s="5">
        <v>4</v>
      </c>
      <c r="E166" s="5">
        <v>5</v>
      </c>
      <c r="F166" s="5">
        <v>6</v>
      </c>
      <c r="G166" s="5">
        <v>7</v>
      </c>
      <c r="H166" s="120">
        <v>8</v>
      </c>
      <c r="I166" s="122">
        <v>9</v>
      </c>
      <c r="J166" s="110">
        <v>10</v>
      </c>
      <c r="K166" s="5">
        <v>11</v>
      </c>
      <c r="L166" s="5">
        <v>12</v>
      </c>
      <c r="M166" s="5">
        <v>13</v>
      </c>
      <c r="N166" s="5">
        <v>14</v>
      </c>
      <c r="O166" s="120">
        <v>15</v>
      </c>
      <c r="P166" s="122">
        <v>16</v>
      </c>
      <c r="Q166" s="131">
        <v>17</v>
      </c>
    </row>
    <row r="167" spans="1:17" ht="15.75" thickTop="1" x14ac:dyDescent="0.25">
      <c r="A167" s="83">
        <v>1</v>
      </c>
      <c r="B167" s="7" t="s">
        <v>18</v>
      </c>
      <c r="C167" s="58">
        <v>25</v>
      </c>
      <c r="D167" s="28">
        <v>0</v>
      </c>
      <c r="E167" s="28">
        <v>2</v>
      </c>
      <c r="F167" s="136">
        <f>'padi sawah'!C42</f>
        <v>0</v>
      </c>
      <c r="G167" s="136">
        <f>'padi sawah'!D42</f>
        <v>0</v>
      </c>
      <c r="H167" s="136">
        <f>'padi sawah'!E42</f>
        <v>0</v>
      </c>
      <c r="I167" s="124">
        <f>SUM(C167:H167)</f>
        <v>27</v>
      </c>
      <c r="J167" s="156">
        <f>'padi sawah'!F42</f>
        <v>145</v>
      </c>
      <c r="K167" s="156">
        <f>'padi sawah'!G42</f>
        <v>65</v>
      </c>
      <c r="L167" s="156">
        <f>'padi sawah'!H42</f>
        <v>0</v>
      </c>
      <c r="M167" s="156">
        <f>'padi sawah'!I42</f>
        <v>0</v>
      </c>
      <c r="N167" s="156">
        <f>'padi sawah'!J42</f>
        <v>20</v>
      </c>
      <c r="O167" s="156">
        <f>'padi sawah'!K42</f>
        <v>45</v>
      </c>
      <c r="P167" s="124">
        <f>SUM(J167:O167)</f>
        <v>275</v>
      </c>
      <c r="Q167" s="127">
        <f>SUM(I167,P167)</f>
        <v>302</v>
      </c>
    </row>
    <row r="168" spans="1:17" x14ac:dyDescent="0.25">
      <c r="A168" s="84">
        <v>2</v>
      </c>
      <c r="B168" s="12" t="s">
        <v>19</v>
      </c>
      <c r="C168" s="60">
        <v>82</v>
      </c>
      <c r="D168" s="16">
        <v>1</v>
      </c>
      <c r="E168" s="16">
        <v>0</v>
      </c>
      <c r="F168" s="59">
        <f>'padi sawah'!C43</f>
        <v>2</v>
      </c>
      <c r="G168" s="59">
        <f>'padi sawah'!D43</f>
        <v>0</v>
      </c>
      <c r="H168" s="59">
        <f>'padi sawah'!E43</f>
        <v>14</v>
      </c>
      <c r="I168" s="125">
        <f t="shared" ref="I168:I174" si="59">SUM(C168:H168)</f>
        <v>99</v>
      </c>
      <c r="J168" s="132">
        <f>'padi sawah'!F43</f>
        <v>102</v>
      </c>
      <c r="K168" s="132">
        <f>'padi sawah'!G43</f>
        <v>81</v>
      </c>
      <c r="L168" s="132">
        <f>'padi sawah'!H43</f>
        <v>0</v>
      </c>
      <c r="M168" s="132">
        <f>'padi sawah'!I43</f>
        <v>5</v>
      </c>
      <c r="N168" s="132">
        <f>'padi sawah'!J43</f>
        <v>19</v>
      </c>
      <c r="O168" s="157">
        <f>'padi sawah'!K43</f>
        <v>78</v>
      </c>
      <c r="P168" s="125">
        <f t="shared" ref="P168:P173" si="60">SUM(J168:O168)</f>
        <v>285</v>
      </c>
      <c r="Q168" s="128">
        <f t="shared" ref="Q168:Q174" si="61">SUM(I168,P168)</f>
        <v>384</v>
      </c>
    </row>
    <row r="169" spans="1:17" x14ac:dyDescent="0.25">
      <c r="A169" s="84">
        <v>3</v>
      </c>
      <c r="B169" s="7" t="s">
        <v>20</v>
      </c>
      <c r="C169" s="60">
        <v>0</v>
      </c>
      <c r="D169" s="16">
        <v>0</v>
      </c>
      <c r="E169" s="16">
        <v>0</v>
      </c>
      <c r="F169" s="59">
        <f>'padi sawah'!C44</f>
        <v>0</v>
      </c>
      <c r="G169" s="59">
        <f>'padi sawah'!D44</f>
        <v>0</v>
      </c>
      <c r="H169" s="59">
        <f>'padi sawah'!E44</f>
        <v>0</v>
      </c>
      <c r="I169" s="125">
        <f t="shared" si="59"/>
        <v>0</v>
      </c>
      <c r="J169" s="132">
        <f>'padi sawah'!F44</f>
        <v>25</v>
      </c>
      <c r="K169" s="132">
        <f>'padi sawah'!G44</f>
        <v>0</v>
      </c>
      <c r="L169" s="132">
        <f>'padi sawah'!H44</f>
        <v>0</v>
      </c>
      <c r="M169" s="132">
        <f>'padi sawah'!I44</f>
        <v>0</v>
      </c>
      <c r="N169" s="132">
        <f>'padi sawah'!J44</f>
        <v>10</v>
      </c>
      <c r="O169" s="157">
        <f>'padi sawah'!K44</f>
        <v>0</v>
      </c>
      <c r="P169" s="125">
        <f t="shared" si="60"/>
        <v>35</v>
      </c>
      <c r="Q169" s="128">
        <f t="shared" si="61"/>
        <v>35</v>
      </c>
    </row>
    <row r="170" spans="1:17" x14ac:dyDescent="0.25">
      <c r="A170" s="85">
        <v>4</v>
      </c>
      <c r="B170" s="15" t="s">
        <v>21</v>
      </c>
      <c r="C170" s="60">
        <v>3</v>
      </c>
      <c r="D170" s="16">
        <v>0</v>
      </c>
      <c r="E170" s="16">
        <v>0</v>
      </c>
      <c r="F170" s="59">
        <f>'padi sawah'!C45</f>
        <v>0</v>
      </c>
      <c r="G170" s="59">
        <f>'padi sawah'!D45</f>
        <v>0</v>
      </c>
      <c r="H170" s="59">
        <f>'padi sawah'!E45</f>
        <v>0</v>
      </c>
      <c r="I170" s="125">
        <f t="shared" si="59"/>
        <v>3</v>
      </c>
      <c r="J170" s="132">
        <f>'padi sawah'!F45</f>
        <v>184</v>
      </c>
      <c r="K170" s="132">
        <f>'padi sawah'!G45</f>
        <v>0</v>
      </c>
      <c r="L170" s="132">
        <f>'padi sawah'!H45</f>
        <v>0</v>
      </c>
      <c r="M170" s="132">
        <f>'padi sawah'!I45</f>
        <v>3</v>
      </c>
      <c r="N170" s="132">
        <f>'padi sawah'!J45</f>
        <v>10</v>
      </c>
      <c r="O170" s="157">
        <f>'padi sawah'!K45</f>
        <v>5</v>
      </c>
      <c r="P170" s="125">
        <f t="shared" si="60"/>
        <v>202</v>
      </c>
      <c r="Q170" s="128">
        <f t="shared" si="61"/>
        <v>205</v>
      </c>
    </row>
    <row r="171" spans="1:17" x14ac:dyDescent="0.25">
      <c r="A171" s="85">
        <v>5</v>
      </c>
      <c r="B171" s="19" t="s">
        <v>22</v>
      </c>
      <c r="C171" s="16">
        <v>0</v>
      </c>
      <c r="D171" s="16">
        <v>0</v>
      </c>
      <c r="E171" s="16">
        <v>0</v>
      </c>
      <c r="F171" s="59">
        <f>'padi sawah'!C46</f>
        <v>0</v>
      </c>
      <c r="G171" s="59">
        <f>'padi sawah'!D46</f>
        <v>0</v>
      </c>
      <c r="H171" s="59">
        <f>'padi sawah'!E46</f>
        <v>0</v>
      </c>
      <c r="I171" s="125">
        <f t="shared" si="59"/>
        <v>0</v>
      </c>
      <c r="J171" s="132">
        <f>'padi sawah'!F46</f>
        <v>162</v>
      </c>
      <c r="K171" s="132">
        <f>'padi sawah'!G46</f>
        <v>0</v>
      </c>
      <c r="L171" s="132">
        <f>'padi sawah'!H46</f>
        <v>0</v>
      </c>
      <c r="M171" s="132">
        <f>'padi sawah'!I46</f>
        <v>0</v>
      </c>
      <c r="N171" s="132">
        <f>'padi sawah'!J46</f>
        <v>0</v>
      </c>
      <c r="O171" s="157">
        <f>'padi sawah'!K46</f>
        <v>15</v>
      </c>
      <c r="P171" s="125">
        <f t="shared" si="60"/>
        <v>177</v>
      </c>
      <c r="Q171" s="128">
        <f t="shared" si="61"/>
        <v>177</v>
      </c>
    </row>
    <row r="172" spans="1:17" x14ac:dyDescent="0.25">
      <c r="A172" s="85">
        <v>6</v>
      </c>
      <c r="B172" s="19" t="s">
        <v>23</v>
      </c>
      <c r="C172" s="16">
        <v>9</v>
      </c>
      <c r="D172" s="16">
        <v>4</v>
      </c>
      <c r="E172" s="16">
        <v>0</v>
      </c>
      <c r="F172" s="59">
        <f>'padi sawah'!C47</f>
        <v>5</v>
      </c>
      <c r="G172" s="59">
        <f>'padi sawah'!D47</f>
        <v>0</v>
      </c>
      <c r="H172" s="59">
        <f>'padi sawah'!E47</f>
        <v>0</v>
      </c>
      <c r="I172" s="125">
        <f t="shared" si="59"/>
        <v>18</v>
      </c>
      <c r="J172" s="132">
        <f>'padi sawah'!F47</f>
        <v>14</v>
      </c>
      <c r="K172" s="132">
        <f>'padi sawah'!G47</f>
        <v>36</v>
      </c>
      <c r="L172" s="132">
        <f>'padi sawah'!H47</f>
        <v>0</v>
      </c>
      <c r="M172" s="132">
        <f>'padi sawah'!I47</f>
        <v>0</v>
      </c>
      <c r="N172" s="132">
        <f>'padi sawah'!J47</f>
        <v>4</v>
      </c>
      <c r="O172" s="157">
        <f>'padi sawah'!K47</f>
        <v>7</v>
      </c>
      <c r="P172" s="125">
        <f t="shared" si="60"/>
        <v>61</v>
      </c>
      <c r="Q172" s="128">
        <f t="shared" si="61"/>
        <v>79</v>
      </c>
    </row>
    <row r="173" spans="1:17" x14ac:dyDescent="0.25">
      <c r="A173" s="85">
        <v>7</v>
      </c>
      <c r="B173" s="19" t="s">
        <v>24</v>
      </c>
      <c r="C173" s="16">
        <v>96</v>
      </c>
      <c r="D173" s="16">
        <v>5</v>
      </c>
      <c r="E173" s="16">
        <v>0</v>
      </c>
      <c r="F173" s="59">
        <f>'padi sawah'!C48</f>
        <v>0</v>
      </c>
      <c r="G173" s="59">
        <f>'padi sawah'!D48</f>
        <v>0</v>
      </c>
      <c r="H173" s="59">
        <f>'padi sawah'!E48</f>
        <v>20</v>
      </c>
      <c r="I173" s="125">
        <f t="shared" si="59"/>
        <v>121</v>
      </c>
      <c r="J173" s="132">
        <f>'padi sawah'!F48</f>
        <v>180</v>
      </c>
      <c r="K173" s="132">
        <f>'padi sawah'!G48</f>
        <v>120</v>
      </c>
      <c r="L173" s="132">
        <f>'padi sawah'!H48</f>
        <v>0</v>
      </c>
      <c r="M173" s="132">
        <f>'padi sawah'!I48</f>
        <v>0</v>
      </c>
      <c r="N173" s="132">
        <f>'padi sawah'!J48</f>
        <v>1</v>
      </c>
      <c r="O173" s="157">
        <f>'padi sawah'!K48</f>
        <v>184</v>
      </c>
      <c r="P173" s="125">
        <f t="shared" si="60"/>
        <v>485</v>
      </c>
      <c r="Q173" s="128">
        <f t="shared" si="61"/>
        <v>606</v>
      </c>
    </row>
    <row r="174" spans="1:17" ht="15.75" thickBot="1" x14ac:dyDescent="0.3">
      <c r="A174" s="86">
        <v>8</v>
      </c>
      <c r="B174" s="15" t="s">
        <v>25</v>
      </c>
      <c r="C174" s="252">
        <v>0</v>
      </c>
      <c r="D174" s="252">
        <v>5</v>
      </c>
      <c r="E174" s="252">
        <v>0</v>
      </c>
      <c r="F174" s="137">
        <f>'padi sawah'!C49</f>
        <v>19</v>
      </c>
      <c r="G174" s="137">
        <f>'padi sawah'!D49</f>
        <v>10</v>
      </c>
      <c r="H174" s="137">
        <f>'padi sawah'!E49</f>
        <v>0</v>
      </c>
      <c r="I174" s="126">
        <f t="shared" si="59"/>
        <v>34</v>
      </c>
      <c r="J174" s="232">
        <f>'padi sawah'!F49</f>
        <v>64</v>
      </c>
      <c r="K174" s="232">
        <f>'padi sawah'!G49</f>
        <v>25</v>
      </c>
      <c r="L174" s="232">
        <f>'padi sawah'!H49</f>
        <v>0</v>
      </c>
      <c r="M174" s="232">
        <f>'padi sawah'!I49</f>
        <v>47</v>
      </c>
      <c r="N174" s="232">
        <f>'padi sawah'!J49</f>
        <v>67</v>
      </c>
      <c r="O174" s="232">
        <f>'padi sawah'!K49</f>
        <v>100</v>
      </c>
      <c r="P174" s="126">
        <f>SUM(J174:O174)</f>
        <v>303</v>
      </c>
      <c r="Q174" s="129">
        <f t="shared" si="61"/>
        <v>337</v>
      </c>
    </row>
    <row r="175" spans="1:17" ht="16.5" thickTop="1" thickBot="1" x14ac:dyDescent="0.3">
      <c r="A175" s="339" t="s">
        <v>26</v>
      </c>
      <c r="B175" s="340"/>
      <c r="C175" s="112">
        <f t="shared" ref="C175:H175" si="62">SUM(C167:C174)</f>
        <v>215</v>
      </c>
      <c r="D175" s="112">
        <f t="shared" si="62"/>
        <v>15</v>
      </c>
      <c r="E175" s="112">
        <f t="shared" si="62"/>
        <v>2</v>
      </c>
      <c r="F175" s="112">
        <f t="shared" si="62"/>
        <v>26</v>
      </c>
      <c r="G175" s="112">
        <f t="shared" si="62"/>
        <v>10</v>
      </c>
      <c r="H175" s="121">
        <f t="shared" si="62"/>
        <v>34</v>
      </c>
      <c r="I175" s="123">
        <f>SUM(I167:I174)</f>
        <v>302</v>
      </c>
      <c r="J175" s="133">
        <f t="shared" ref="J175:O175" si="63">SUM(J167:J174)</f>
        <v>876</v>
      </c>
      <c r="K175" s="112">
        <f t="shared" si="63"/>
        <v>327</v>
      </c>
      <c r="L175" s="112">
        <f t="shared" si="63"/>
        <v>0</v>
      </c>
      <c r="M175" s="112">
        <f t="shared" si="63"/>
        <v>55</v>
      </c>
      <c r="N175" s="112">
        <f t="shared" si="63"/>
        <v>131</v>
      </c>
      <c r="O175" s="121">
        <f t="shared" si="63"/>
        <v>434</v>
      </c>
      <c r="P175" s="123">
        <f>SUM(P167:P174)</f>
        <v>1823</v>
      </c>
      <c r="Q175" s="130">
        <f>SUM(Q167:Q174)</f>
        <v>2125</v>
      </c>
    </row>
    <row r="176" spans="1:17" x14ac:dyDescent="0.25">
      <c r="A176" s="95"/>
      <c r="B176" s="95"/>
      <c r="C176" s="244"/>
      <c r="D176" s="244"/>
      <c r="E176" s="244"/>
      <c r="F176" s="244"/>
      <c r="G176" s="244"/>
      <c r="H176" s="244"/>
      <c r="I176" s="244"/>
      <c r="J176" s="245"/>
      <c r="K176" s="244"/>
      <c r="L176" s="244"/>
      <c r="M176" s="244"/>
      <c r="N176" s="244"/>
      <c r="O176" s="244"/>
      <c r="P176" s="244"/>
      <c r="Q176" s="244"/>
    </row>
    <row r="177" spans="1:17" ht="15.75" x14ac:dyDescent="0.25">
      <c r="A177" s="341" t="s">
        <v>113</v>
      </c>
      <c r="B177" s="341"/>
      <c r="C177" s="341"/>
      <c r="D177" s="341"/>
      <c r="E177" s="341"/>
      <c r="F177" s="341"/>
      <c r="G177" s="341"/>
      <c r="H177" s="341"/>
      <c r="I177" s="341"/>
      <c r="J177" s="341"/>
      <c r="K177" s="341"/>
      <c r="L177" s="341"/>
      <c r="M177" s="341"/>
      <c r="N177" s="341"/>
      <c r="O177" s="341"/>
      <c r="P177" s="341"/>
      <c r="Q177" s="341"/>
    </row>
    <row r="178" spans="1:17" ht="15.75" x14ac:dyDescent="0.25">
      <c r="A178" s="341" t="s">
        <v>81</v>
      </c>
      <c r="B178" s="341"/>
      <c r="C178" s="341"/>
      <c r="D178" s="341"/>
      <c r="E178" s="341"/>
      <c r="F178" s="341"/>
      <c r="G178" s="341"/>
      <c r="H178" s="341"/>
      <c r="I178" s="341"/>
      <c r="J178" s="341"/>
      <c r="K178" s="341"/>
      <c r="L178" s="341"/>
      <c r="M178" s="341"/>
      <c r="N178" s="341"/>
      <c r="O178" s="341"/>
      <c r="P178" s="341"/>
      <c r="Q178" s="341"/>
    </row>
    <row r="179" spans="1:17" ht="15.75" thickBot="1" x14ac:dyDescent="0.3">
      <c r="Q179" s="75" t="s">
        <v>1</v>
      </c>
    </row>
    <row r="180" spans="1:17" x14ac:dyDescent="0.25">
      <c r="A180" s="334" t="s">
        <v>2</v>
      </c>
      <c r="B180" s="336" t="s">
        <v>3</v>
      </c>
      <c r="C180" s="342" t="s">
        <v>138</v>
      </c>
      <c r="D180" s="343"/>
      <c r="E180" s="343"/>
      <c r="F180" s="343"/>
      <c r="G180" s="343"/>
      <c r="H180" s="343"/>
      <c r="I180" s="345" t="s">
        <v>82</v>
      </c>
      <c r="J180" s="343">
        <v>2019</v>
      </c>
      <c r="K180" s="343"/>
      <c r="L180" s="343"/>
      <c r="M180" s="343"/>
      <c r="N180" s="343"/>
      <c r="O180" s="343"/>
      <c r="P180" s="345" t="s">
        <v>83</v>
      </c>
      <c r="Q180" s="348" t="s">
        <v>5</v>
      </c>
    </row>
    <row r="181" spans="1:17" x14ac:dyDescent="0.25">
      <c r="A181" s="335"/>
      <c r="B181" s="324"/>
      <c r="C181" s="296" t="s">
        <v>15</v>
      </c>
      <c r="D181" s="296" t="s">
        <v>16</v>
      </c>
      <c r="E181" s="296" t="s">
        <v>17</v>
      </c>
      <c r="F181" s="296" t="s">
        <v>6</v>
      </c>
      <c r="G181" s="296" t="s">
        <v>76</v>
      </c>
      <c r="H181" s="119" t="s">
        <v>77</v>
      </c>
      <c r="I181" s="346"/>
      <c r="J181" s="109" t="s">
        <v>78</v>
      </c>
      <c r="K181" s="296" t="s">
        <v>10</v>
      </c>
      <c r="L181" s="296" t="s">
        <v>11</v>
      </c>
      <c r="M181" s="296" t="s">
        <v>12</v>
      </c>
      <c r="N181" s="296" t="s">
        <v>79</v>
      </c>
      <c r="O181" s="119" t="s">
        <v>80</v>
      </c>
      <c r="P181" s="346"/>
      <c r="Q181" s="349"/>
    </row>
    <row r="182" spans="1:17" ht="15.75" thickBot="1" x14ac:dyDescent="0.3">
      <c r="A182" s="111">
        <v>1</v>
      </c>
      <c r="B182" s="5">
        <v>2</v>
      </c>
      <c r="C182" s="5">
        <v>3</v>
      </c>
      <c r="D182" s="5">
        <v>4</v>
      </c>
      <c r="E182" s="5">
        <v>5</v>
      </c>
      <c r="F182" s="5">
        <v>6</v>
      </c>
      <c r="G182" s="5">
        <v>7</v>
      </c>
      <c r="H182" s="120">
        <v>8</v>
      </c>
      <c r="I182" s="122">
        <v>9</v>
      </c>
      <c r="J182" s="110">
        <v>10</v>
      </c>
      <c r="K182" s="5">
        <v>11</v>
      </c>
      <c r="L182" s="5">
        <v>12</v>
      </c>
      <c r="M182" s="5">
        <v>13</v>
      </c>
      <c r="N182" s="5">
        <v>14</v>
      </c>
      <c r="O182" s="120">
        <v>15</v>
      </c>
      <c r="P182" s="122">
        <v>16</v>
      </c>
      <c r="Q182" s="131">
        <v>17</v>
      </c>
    </row>
    <row r="183" spans="1:17" ht="15.75" thickTop="1" x14ac:dyDescent="0.25">
      <c r="A183" s="83">
        <v>1</v>
      </c>
      <c r="B183" s="7" t="s">
        <v>18</v>
      </c>
      <c r="C183" s="136">
        <v>0</v>
      </c>
      <c r="D183" s="136">
        <v>0</v>
      </c>
      <c r="E183" s="136">
        <v>0</v>
      </c>
      <c r="F183" s="136">
        <f>'padi ladang'!C42</f>
        <v>0</v>
      </c>
      <c r="G183" s="136">
        <f>'padi ladang'!D42</f>
        <v>0</v>
      </c>
      <c r="H183" s="136">
        <f>'padi ladang'!E42</f>
        <v>0</v>
      </c>
      <c r="I183" s="124">
        <f>SUM(C183:H183)</f>
        <v>0</v>
      </c>
      <c r="J183" s="156">
        <f>'padi ladang'!F42</f>
        <v>0</v>
      </c>
      <c r="K183" s="156">
        <f>'padi ladang'!G42</f>
        <v>0</v>
      </c>
      <c r="L183" s="156">
        <f>'padi ladang'!H42</f>
        <v>0</v>
      </c>
      <c r="M183" s="156">
        <f>'padi ladang'!I42</f>
        <v>0</v>
      </c>
      <c r="N183" s="156">
        <f>'padi ladang'!J42</f>
        <v>0</v>
      </c>
      <c r="O183" s="156">
        <f>'padi ladang'!K42</f>
        <v>0</v>
      </c>
      <c r="P183" s="124">
        <f>SUM(J183:O183)</f>
        <v>0</v>
      </c>
      <c r="Q183" s="127">
        <f>SUM(I183,P183)</f>
        <v>0</v>
      </c>
    </row>
    <row r="184" spans="1:17" x14ac:dyDescent="0.25">
      <c r="A184" s="84">
        <v>2</v>
      </c>
      <c r="B184" s="12" t="s">
        <v>19</v>
      </c>
      <c r="C184" s="59">
        <v>0</v>
      </c>
      <c r="D184" s="59">
        <v>0</v>
      </c>
      <c r="E184" s="59">
        <v>0</v>
      </c>
      <c r="F184" s="59">
        <f>'padi ladang'!C43</f>
        <v>0</v>
      </c>
      <c r="G184" s="59">
        <f>'padi ladang'!D43</f>
        <v>0</v>
      </c>
      <c r="H184" s="155">
        <f>'padi ladang'!E43</f>
        <v>0</v>
      </c>
      <c r="I184" s="125">
        <f t="shared" ref="I184:I190" si="64">SUM(C184:H184)</f>
        <v>0</v>
      </c>
      <c r="J184" s="223">
        <f>'padi ladang'!F43</f>
        <v>0</v>
      </c>
      <c r="K184" s="132">
        <f>'padi ladang'!G43</f>
        <v>0</v>
      </c>
      <c r="L184" s="132">
        <f>'padi ladang'!H43</f>
        <v>0</v>
      </c>
      <c r="M184" s="132">
        <f>'padi ladang'!I43</f>
        <v>0</v>
      </c>
      <c r="N184" s="132">
        <f>'padi ladang'!J43</f>
        <v>0</v>
      </c>
      <c r="O184" s="157">
        <f>'padi ladang'!K43</f>
        <v>0</v>
      </c>
      <c r="P184" s="125">
        <f t="shared" ref="P184:P189" si="65">SUM(J184:O184)</f>
        <v>0</v>
      </c>
      <c r="Q184" s="128">
        <f t="shared" ref="Q184:Q190" si="66">SUM(I184,P184)</f>
        <v>0</v>
      </c>
    </row>
    <row r="185" spans="1:17" x14ac:dyDescent="0.25">
      <c r="A185" s="84">
        <v>3</v>
      </c>
      <c r="B185" s="7" t="s">
        <v>20</v>
      </c>
      <c r="C185" s="59">
        <v>0</v>
      </c>
      <c r="D185" s="59">
        <v>0</v>
      </c>
      <c r="E185" s="59">
        <v>0</v>
      </c>
      <c r="F185" s="59">
        <f>'padi ladang'!C44</f>
        <v>0</v>
      </c>
      <c r="G185" s="59">
        <f>'padi ladang'!D44</f>
        <v>0</v>
      </c>
      <c r="H185" s="155">
        <f>'padi ladang'!E44</f>
        <v>0</v>
      </c>
      <c r="I185" s="125">
        <f t="shared" si="64"/>
        <v>0</v>
      </c>
      <c r="J185" s="223">
        <f>'padi ladang'!F44</f>
        <v>0</v>
      </c>
      <c r="K185" s="132">
        <f>'padi ladang'!G44</f>
        <v>0</v>
      </c>
      <c r="L185" s="132">
        <f>'padi ladang'!H44</f>
        <v>0</v>
      </c>
      <c r="M185" s="132">
        <f>'padi ladang'!I44</f>
        <v>0</v>
      </c>
      <c r="N185" s="132">
        <f>'padi ladang'!J44</f>
        <v>0</v>
      </c>
      <c r="O185" s="157">
        <f>'padi ladang'!K44</f>
        <v>0</v>
      </c>
      <c r="P185" s="125">
        <f t="shared" si="65"/>
        <v>0</v>
      </c>
      <c r="Q185" s="128">
        <f t="shared" si="66"/>
        <v>0</v>
      </c>
    </row>
    <row r="186" spans="1:17" x14ac:dyDescent="0.25">
      <c r="A186" s="85">
        <v>4</v>
      </c>
      <c r="B186" s="15" t="s">
        <v>21</v>
      </c>
      <c r="C186" s="59">
        <v>0</v>
      </c>
      <c r="D186" s="59">
        <v>0</v>
      </c>
      <c r="E186" s="59">
        <v>0</v>
      </c>
      <c r="F186" s="59">
        <f>'padi ladang'!C45</f>
        <v>0</v>
      </c>
      <c r="G186" s="59">
        <f>'padi ladang'!D45</f>
        <v>0</v>
      </c>
      <c r="H186" s="155">
        <f>'padi ladang'!E45</f>
        <v>0</v>
      </c>
      <c r="I186" s="125">
        <f t="shared" si="64"/>
        <v>0</v>
      </c>
      <c r="J186" s="223">
        <f>'padi ladang'!F45</f>
        <v>0</v>
      </c>
      <c r="K186" s="132">
        <f>'padi ladang'!G45</f>
        <v>0</v>
      </c>
      <c r="L186" s="132">
        <f>'padi ladang'!H45</f>
        <v>0</v>
      </c>
      <c r="M186" s="132">
        <f>'padi ladang'!I45</f>
        <v>0</v>
      </c>
      <c r="N186" s="132">
        <f>'padi ladang'!J45</f>
        <v>0</v>
      </c>
      <c r="O186" s="157">
        <f>'padi ladang'!K45</f>
        <v>0</v>
      </c>
      <c r="P186" s="125">
        <f t="shared" si="65"/>
        <v>0</v>
      </c>
      <c r="Q186" s="128">
        <f t="shared" si="66"/>
        <v>0</v>
      </c>
    </row>
    <row r="187" spans="1:17" x14ac:dyDescent="0.25">
      <c r="A187" s="85">
        <v>5</v>
      </c>
      <c r="B187" s="19" t="s">
        <v>22</v>
      </c>
      <c r="C187" s="59">
        <v>0</v>
      </c>
      <c r="D187" s="59">
        <v>0</v>
      </c>
      <c r="E187" s="59">
        <v>0</v>
      </c>
      <c r="F187" s="59">
        <f>'padi ladang'!C46</f>
        <v>0</v>
      </c>
      <c r="G187" s="59">
        <f>'padi ladang'!D46</f>
        <v>0</v>
      </c>
      <c r="H187" s="155">
        <f>'padi ladang'!E46</f>
        <v>0</v>
      </c>
      <c r="I187" s="125">
        <f t="shared" si="64"/>
        <v>0</v>
      </c>
      <c r="J187" s="223">
        <f>'padi ladang'!F46</f>
        <v>0</v>
      </c>
      <c r="K187" s="132">
        <f>'padi ladang'!G46</f>
        <v>0</v>
      </c>
      <c r="L187" s="132">
        <f>'padi ladang'!H46</f>
        <v>0</v>
      </c>
      <c r="M187" s="132">
        <f>'padi ladang'!I46</f>
        <v>0</v>
      </c>
      <c r="N187" s="132">
        <f>'padi ladang'!J46</f>
        <v>0</v>
      </c>
      <c r="O187" s="157">
        <f>'padi ladang'!K46</f>
        <v>0</v>
      </c>
      <c r="P187" s="125">
        <f t="shared" si="65"/>
        <v>0</v>
      </c>
      <c r="Q187" s="128">
        <f t="shared" si="66"/>
        <v>0</v>
      </c>
    </row>
    <row r="188" spans="1:17" x14ac:dyDescent="0.25">
      <c r="A188" s="85">
        <v>6</v>
      </c>
      <c r="B188" s="19" t="s">
        <v>23</v>
      </c>
      <c r="C188" s="59">
        <v>0</v>
      </c>
      <c r="D188" s="59">
        <v>0</v>
      </c>
      <c r="E188" s="59">
        <v>0</v>
      </c>
      <c r="F188" s="59">
        <f>'padi ladang'!C47</f>
        <v>0</v>
      </c>
      <c r="G188" s="59">
        <f>'padi ladang'!D47</f>
        <v>0</v>
      </c>
      <c r="H188" s="155">
        <f>'padi ladang'!E47</f>
        <v>0</v>
      </c>
      <c r="I188" s="125">
        <f t="shared" si="64"/>
        <v>0</v>
      </c>
      <c r="J188" s="223">
        <f>'padi ladang'!F47</f>
        <v>0</v>
      </c>
      <c r="K188" s="132">
        <f>'padi ladang'!G47</f>
        <v>0</v>
      </c>
      <c r="L188" s="132">
        <f>'padi ladang'!H47</f>
        <v>0</v>
      </c>
      <c r="M188" s="132">
        <f>'padi ladang'!I47</f>
        <v>0</v>
      </c>
      <c r="N188" s="132">
        <f>'padi ladang'!J47</f>
        <v>0</v>
      </c>
      <c r="O188" s="157">
        <f>'padi ladang'!K47</f>
        <v>0</v>
      </c>
      <c r="P188" s="125">
        <f t="shared" si="65"/>
        <v>0</v>
      </c>
      <c r="Q188" s="128">
        <f t="shared" si="66"/>
        <v>0</v>
      </c>
    </row>
    <row r="189" spans="1:17" x14ac:dyDescent="0.25">
      <c r="A189" s="85">
        <v>7</v>
      </c>
      <c r="B189" s="19" t="s">
        <v>24</v>
      </c>
      <c r="C189" s="59">
        <v>0</v>
      </c>
      <c r="D189" s="59">
        <v>0</v>
      </c>
      <c r="E189" s="59">
        <v>0</v>
      </c>
      <c r="F189" s="59">
        <f>'padi ladang'!C48</f>
        <v>0</v>
      </c>
      <c r="G189" s="59">
        <f>'padi ladang'!D48</f>
        <v>0</v>
      </c>
      <c r="H189" s="155">
        <f>'padi ladang'!E48</f>
        <v>0</v>
      </c>
      <c r="I189" s="125">
        <f t="shared" si="64"/>
        <v>0</v>
      </c>
      <c r="J189" s="223">
        <f>'padi ladang'!F48</f>
        <v>0</v>
      </c>
      <c r="K189" s="132">
        <f>'padi ladang'!G48</f>
        <v>0</v>
      </c>
      <c r="L189" s="132">
        <f>'padi ladang'!H48</f>
        <v>0</v>
      </c>
      <c r="M189" s="132">
        <f>'padi ladang'!I48</f>
        <v>0</v>
      </c>
      <c r="N189" s="132">
        <f>'padi ladang'!J48</f>
        <v>0</v>
      </c>
      <c r="O189" s="157">
        <f>'padi ladang'!K48</f>
        <v>0</v>
      </c>
      <c r="P189" s="125">
        <f t="shared" si="65"/>
        <v>0</v>
      </c>
      <c r="Q189" s="128">
        <f t="shared" si="66"/>
        <v>0</v>
      </c>
    </row>
    <row r="190" spans="1:17" ht="15.75" thickBot="1" x14ac:dyDescent="0.3">
      <c r="A190" s="86">
        <v>8</v>
      </c>
      <c r="B190" s="15" t="s">
        <v>25</v>
      </c>
      <c r="C190" s="137">
        <v>0</v>
      </c>
      <c r="D190" s="137">
        <v>0</v>
      </c>
      <c r="E190" s="137">
        <v>0</v>
      </c>
      <c r="F190" s="137">
        <f>'padi ladang'!C49</f>
        <v>0</v>
      </c>
      <c r="G190" s="137">
        <f>'padi ladang'!D49</f>
        <v>0</v>
      </c>
      <c r="H190" s="137">
        <f>'padi ladang'!E49</f>
        <v>0</v>
      </c>
      <c r="I190" s="126">
        <f t="shared" si="64"/>
        <v>0</v>
      </c>
      <c r="J190" s="232">
        <f>'padi ladang'!F49</f>
        <v>0</v>
      </c>
      <c r="K190" s="232">
        <f>'padi ladang'!G49</f>
        <v>0</v>
      </c>
      <c r="L190" s="232">
        <f>'padi ladang'!H49</f>
        <v>0</v>
      </c>
      <c r="M190" s="232">
        <f>'padi ladang'!I49</f>
        <v>0</v>
      </c>
      <c r="N190" s="232">
        <f>'padi ladang'!J49</f>
        <v>0</v>
      </c>
      <c r="O190" s="232">
        <f>'padi ladang'!K49</f>
        <v>2</v>
      </c>
      <c r="P190" s="126">
        <f>SUM(J190:O190)</f>
        <v>2</v>
      </c>
      <c r="Q190" s="129">
        <f t="shared" si="66"/>
        <v>2</v>
      </c>
    </row>
    <row r="191" spans="1:17" ht="16.5" thickTop="1" thickBot="1" x14ac:dyDescent="0.3">
      <c r="A191" s="339" t="s">
        <v>26</v>
      </c>
      <c r="B191" s="340"/>
      <c r="C191" s="112">
        <f t="shared" ref="C191:H191" si="67">SUM(C183:C190)</f>
        <v>0</v>
      </c>
      <c r="D191" s="112">
        <f t="shared" si="67"/>
        <v>0</v>
      </c>
      <c r="E191" s="112">
        <f t="shared" si="67"/>
        <v>0</v>
      </c>
      <c r="F191" s="112">
        <f t="shared" si="67"/>
        <v>0</v>
      </c>
      <c r="G191" s="112">
        <f t="shared" si="67"/>
        <v>0</v>
      </c>
      <c r="H191" s="121">
        <f t="shared" si="67"/>
        <v>0</v>
      </c>
      <c r="I191" s="123">
        <f>SUM(I183:I190)</f>
        <v>0</v>
      </c>
      <c r="J191" s="133">
        <f t="shared" ref="J191:O191" si="68">SUM(J183:J190)</f>
        <v>0</v>
      </c>
      <c r="K191" s="112">
        <f t="shared" si="68"/>
        <v>0</v>
      </c>
      <c r="L191" s="112">
        <f t="shared" si="68"/>
        <v>0</v>
      </c>
      <c r="M191" s="112">
        <f t="shared" si="68"/>
        <v>0</v>
      </c>
      <c r="N191" s="112">
        <f t="shared" si="68"/>
        <v>0</v>
      </c>
      <c r="O191" s="121">
        <f t="shared" si="68"/>
        <v>2</v>
      </c>
      <c r="P191" s="123">
        <f>SUM(P183:P190)</f>
        <v>2</v>
      </c>
      <c r="Q191" s="130">
        <f>SUM(Q183:Q190)</f>
        <v>2</v>
      </c>
    </row>
    <row r="193" spans="1:17" ht="15.75" x14ac:dyDescent="0.25">
      <c r="A193" s="341" t="s">
        <v>114</v>
      </c>
      <c r="B193" s="341"/>
      <c r="C193" s="341"/>
      <c r="D193" s="341"/>
      <c r="E193" s="341"/>
      <c r="F193" s="341"/>
      <c r="G193" s="341"/>
      <c r="H193" s="341"/>
      <c r="I193" s="341"/>
      <c r="J193" s="341"/>
      <c r="K193" s="341"/>
      <c r="L193" s="341"/>
      <c r="M193" s="341"/>
      <c r="N193" s="341"/>
      <c r="O193" s="341"/>
      <c r="P193" s="341"/>
      <c r="Q193" s="341"/>
    </row>
    <row r="194" spans="1:17" ht="15.75" x14ac:dyDescent="0.25">
      <c r="A194" s="341" t="s">
        <v>81</v>
      </c>
      <c r="B194" s="341"/>
      <c r="C194" s="341"/>
      <c r="D194" s="341"/>
      <c r="E194" s="341"/>
      <c r="F194" s="341"/>
      <c r="G194" s="341"/>
      <c r="H194" s="341"/>
      <c r="I194" s="341"/>
      <c r="J194" s="341"/>
      <c r="K194" s="341"/>
      <c r="L194" s="341"/>
      <c r="M194" s="341"/>
      <c r="N194" s="341"/>
      <c r="O194" s="341"/>
      <c r="P194" s="341"/>
      <c r="Q194" s="341"/>
    </row>
    <row r="195" spans="1:17" ht="15.75" thickBot="1" x14ac:dyDescent="0.3">
      <c r="Q195" s="75" t="s">
        <v>1</v>
      </c>
    </row>
    <row r="196" spans="1:17" x14ac:dyDescent="0.25">
      <c r="A196" s="334" t="s">
        <v>2</v>
      </c>
      <c r="B196" s="336" t="s">
        <v>3</v>
      </c>
      <c r="C196" s="342" t="s">
        <v>138</v>
      </c>
      <c r="D196" s="343"/>
      <c r="E196" s="343"/>
      <c r="F196" s="343"/>
      <c r="G196" s="343"/>
      <c r="H196" s="343"/>
      <c r="I196" s="345" t="s">
        <v>82</v>
      </c>
      <c r="J196" s="343">
        <v>2019</v>
      </c>
      <c r="K196" s="343"/>
      <c r="L196" s="343"/>
      <c r="M196" s="343"/>
      <c r="N196" s="343"/>
      <c r="O196" s="343"/>
      <c r="P196" s="345" t="s">
        <v>83</v>
      </c>
      <c r="Q196" s="348" t="s">
        <v>5</v>
      </c>
    </row>
    <row r="197" spans="1:17" x14ac:dyDescent="0.25">
      <c r="A197" s="335"/>
      <c r="B197" s="324"/>
      <c r="C197" s="296" t="s">
        <v>15</v>
      </c>
      <c r="D197" s="296" t="s">
        <v>16</v>
      </c>
      <c r="E197" s="296" t="s">
        <v>17</v>
      </c>
      <c r="F197" s="296" t="s">
        <v>6</v>
      </c>
      <c r="G197" s="296" t="s">
        <v>76</v>
      </c>
      <c r="H197" s="119" t="s">
        <v>77</v>
      </c>
      <c r="I197" s="346"/>
      <c r="J197" s="109" t="s">
        <v>78</v>
      </c>
      <c r="K197" s="296" t="s">
        <v>10</v>
      </c>
      <c r="L197" s="296" t="s">
        <v>11</v>
      </c>
      <c r="M197" s="296" t="s">
        <v>12</v>
      </c>
      <c r="N197" s="296" t="s">
        <v>79</v>
      </c>
      <c r="O197" s="119" t="s">
        <v>80</v>
      </c>
      <c r="P197" s="346"/>
      <c r="Q197" s="349"/>
    </row>
    <row r="198" spans="1:17" ht="15.75" thickBot="1" x14ac:dyDescent="0.3">
      <c r="A198" s="111">
        <v>1</v>
      </c>
      <c r="B198" s="5">
        <v>2</v>
      </c>
      <c r="C198" s="5">
        <v>3</v>
      </c>
      <c r="D198" s="5">
        <v>4</v>
      </c>
      <c r="E198" s="5">
        <v>5</v>
      </c>
      <c r="F198" s="5">
        <v>6</v>
      </c>
      <c r="G198" s="5">
        <v>7</v>
      </c>
      <c r="H198" s="120">
        <v>8</v>
      </c>
      <c r="I198" s="122">
        <v>9</v>
      </c>
      <c r="J198" s="110">
        <v>10</v>
      </c>
      <c r="K198" s="5">
        <v>11</v>
      </c>
      <c r="L198" s="5">
        <v>12</v>
      </c>
      <c r="M198" s="5">
        <v>13</v>
      </c>
      <c r="N198" s="5">
        <v>14</v>
      </c>
      <c r="O198" s="120">
        <v>15</v>
      </c>
      <c r="P198" s="122">
        <v>16</v>
      </c>
      <c r="Q198" s="131">
        <v>17</v>
      </c>
    </row>
    <row r="199" spans="1:17" ht="15.75" thickTop="1" x14ac:dyDescent="0.25">
      <c r="A199" s="83">
        <v>1</v>
      </c>
      <c r="B199" s="7" t="s">
        <v>18</v>
      </c>
      <c r="C199" s="28">
        <v>0</v>
      </c>
      <c r="D199" s="28">
        <v>0</v>
      </c>
      <c r="E199" s="28">
        <v>0</v>
      </c>
      <c r="F199" s="170">
        <f>jagung!C42</f>
        <v>0</v>
      </c>
      <c r="G199" s="136">
        <f>jagung!D42</f>
        <v>0</v>
      </c>
      <c r="H199" s="136">
        <f>jagung!E42</f>
        <v>0</v>
      </c>
      <c r="I199" s="124">
        <f>SUM(C199:H199)</f>
        <v>0</v>
      </c>
      <c r="J199" s="156">
        <f>jagung!F42</f>
        <v>6</v>
      </c>
      <c r="K199" s="156">
        <f>jagung!G42</f>
        <v>3</v>
      </c>
      <c r="L199" s="156">
        <f>jagung!H42</f>
        <v>0</v>
      </c>
      <c r="M199" s="156">
        <f>jagung!I42</f>
        <v>0</v>
      </c>
      <c r="N199" s="156">
        <f>jagung!J42</f>
        <v>0</v>
      </c>
      <c r="O199" s="156">
        <f>jagung!K42</f>
        <v>0</v>
      </c>
      <c r="P199" s="124">
        <f>SUM(J199:O199)</f>
        <v>9</v>
      </c>
      <c r="Q199" s="127">
        <f>SUM(I199,P199)</f>
        <v>9</v>
      </c>
    </row>
    <row r="200" spans="1:17" x14ac:dyDescent="0.25">
      <c r="A200" s="84">
        <v>2</v>
      </c>
      <c r="B200" s="12" t="s">
        <v>19</v>
      </c>
      <c r="C200" s="138">
        <v>0</v>
      </c>
      <c r="D200" s="16">
        <v>0</v>
      </c>
      <c r="E200" s="16">
        <v>0</v>
      </c>
      <c r="F200" s="169">
        <f>jagung!C43</f>
        <v>0</v>
      </c>
      <c r="G200" s="59">
        <f>jagung!D43</f>
        <v>0</v>
      </c>
      <c r="H200" s="155">
        <f>jagung!E43</f>
        <v>0</v>
      </c>
      <c r="I200" s="125">
        <f t="shared" ref="I200:I206" si="69">SUM(C200:H200)</f>
        <v>0</v>
      </c>
      <c r="J200" s="223" t="str">
        <f>jagung!F43</f>
        <v>1*</v>
      </c>
      <c r="K200" s="132">
        <f>jagung!G43</f>
        <v>0</v>
      </c>
      <c r="L200" s="132">
        <f>jagung!H43</f>
        <v>0</v>
      </c>
      <c r="M200" s="132" t="str">
        <f>jagung!I43</f>
        <v>1*</v>
      </c>
      <c r="N200" s="132">
        <f>jagung!J43</f>
        <v>0</v>
      </c>
      <c r="O200" s="157">
        <f>jagung!K43</f>
        <v>0</v>
      </c>
      <c r="P200" s="125">
        <f t="shared" ref="P200:P205" si="70">SUM(J200:O200)</f>
        <v>0</v>
      </c>
      <c r="Q200" s="128">
        <f t="shared" ref="Q200:Q206" si="71">SUM(I200,P200)</f>
        <v>0</v>
      </c>
    </row>
    <row r="201" spans="1:17" x14ac:dyDescent="0.25">
      <c r="A201" s="84">
        <v>3</v>
      </c>
      <c r="B201" s="7" t="s">
        <v>20</v>
      </c>
      <c r="C201" s="16">
        <v>0</v>
      </c>
      <c r="D201" s="16">
        <v>0</v>
      </c>
      <c r="E201" s="16">
        <v>0</v>
      </c>
      <c r="F201" s="59">
        <f>jagung!C44</f>
        <v>0</v>
      </c>
      <c r="G201" s="59">
        <f>jagung!D44</f>
        <v>0</v>
      </c>
      <c r="H201" s="155">
        <f>jagung!E44</f>
        <v>0</v>
      </c>
      <c r="I201" s="125">
        <f t="shared" si="69"/>
        <v>0</v>
      </c>
      <c r="J201" s="223">
        <f>jagung!F44</f>
        <v>0</v>
      </c>
      <c r="K201" s="132">
        <f>jagung!G44</f>
        <v>0</v>
      </c>
      <c r="L201" s="132">
        <f>jagung!H44</f>
        <v>0</v>
      </c>
      <c r="M201" s="132">
        <f>jagung!I44</f>
        <v>0</v>
      </c>
      <c r="N201" s="132">
        <f>jagung!J44</f>
        <v>0</v>
      </c>
      <c r="O201" s="157">
        <f>jagung!K44</f>
        <v>0</v>
      </c>
      <c r="P201" s="125">
        <f t="shared" si="70"/>
        <v>0</v>
      </c>
      <c r="Q201" s="128">
        <f t="shared" si="71"/>
        <v>0</v>
      </c>
    </row>
    <row r="202" spans="1:17" x14ac:dyDescent="0.25">
      <c r="A202" s="85">
        <v>4</v>
      </c>
      <c r="B202" s="15" t="s">
        <v>21</v>
      </c>
      <c r="C202" s="138">
        <v>2</v>
      </c>
      <c r="D202" s="16">
        <v>0</v>
      </c>
      <c r="E202" s="16">
        <v>0</v>
      </c>
      <c r="F202" s="59">
        <f>jagung!C45</f>
        <v>0</v>
      </c>
      <c r="G202" s="59">
        <f>jagung!D45</f>
        <v>0</v>
      </c>
      <c r="H202" s="155" t="str">
        <f>jagung!E45</f>
        <v>2*</v>
      </c>
      <c r="I202" s="125">
        <f t="shared" si="69"/>
        <v>2</v>
      </c>
      <c r="J202" s="223">
        <f>jagung!F45</f>
        <v>0</v>
      </c>
      <c r="K202" s="132" t="str">
        <f>jagung!G45</f>
        <v>1*</v>
      </c>
      <c r="L202" s="132">
        <f>jagung!H45</f>
        <v>1</v>
      </c>
      <c r="M202" s="132">
        <f>jagung!I45</f>
        <v>0</v>
      </c>
      <c r="N202" s="132">
        <f>jagung!J45</f>
        <v>1</v>
      </c>
      <c r="O202" s="157">
        <f>jagung!K45</f>
        <v>0</v>
      </c>
      <c r="P202" s="125">
        <f t="shared" si="70"/>
        <v>2</v>
      </c>
      <c r="Q202" s="128">
        <f t="shared" si="71"/>
        <v>4</v>
      </c>
    </row>
    <row r="203" spans="1:17" x14ac:dyDescent="0.25">
      <c r="A203" s="85">
        <v>5</v>
      </c>
      <c r="B203" s="19" t="s">
        <v>22</v>
      </c>
      <c r="C203" s="16">
        <v>0</v>
      </c>
      <c r="D203" s="16">
        <v>0</v>
      </c>
      <c r="E203" s="16">
        <v>0</v>
      </c>
      <c r="F203" s="59">
        <f>jagung!C46</f>
        <v>0</v>
      </c>
      <c r="G203" s="59">
        <f>jagung!D46</f>
        <v>0</v>
      </c>
      <c r="H203" s="155">
        <f>jagung!E46</f>
        <v>0</v>
      </c>
      <c r="I203" s="125">
        <f t="shared" si="69"/>
        <v>0</v>
      </c>
      <c r="J203" s="223">
        <f>jagung!F46</f>
        <v>0</v>
      </c>
      <c r="K203" s="132">
        <f>jagung!G46</f>
        <v>0</v>
      </c>
      <c r="L203" s="132">
        <f>jagung!H46</f>
        <v>0</v>
      </c>
      <c r="M203" s="132">
        <f>jagung!I46</f>
        <v>0</v>
      </c>
      <c r="N203" s="132">
        <f>jagung!J46</f>
        <v>0</v>
      </c>
      <c r="O203" s="157">
        <f>jagung!K46</f>
        <v>0</v>
      </c>
      <c r="P203" s="125">
        <f t="shared" si="70"/>
        <v>0</v>
      </c>
      <c r="Q203" s="128">
        <f t="shared" si="71"/>
        <v>0</v>
      </c>
    </row>
    <row r="204" spans="1:17" x14ac:dyDescent="0.25">
      <c r="A204" s="85">
        <v>6</v>
      </c>
      <c r="B204" s="19" t="s">
        <v>23</v>
      </c>
      <c r="C204" s="16">
        <v>0</v>
      </c>
      <c r="D204" s="16">
        <v>0</v>
      </c>
      <c r="E204" s="16">
        <v>0</v>
      </c>
      <c r="F204" s="59">
        <f>jagung!C47</f>
        <v>0</v>
      </c>
      <c r="G204" s="59">
        <f>jagung!D47</f>
        <v>0</v>
      </c>
      <c r="H204" s="155">
        <f>jagung!E47</f>
        <v>0</v>
      </c>
      <c r="I204" s="125">
        <f t="shared" si="69"/>
        <v>0</v>
      </c>
      <c r="J204" s="223">
        <f>jagung!F47</f>
        <v>0</v>
      </c>
      <c r="K204" s="132">
        <f>jagung!G47</f>
        <v>0</v>
      </c>
      <c r="L204" s="132">
        <f>jagung!H47</f>
        <v>0</v>
      </c>
      <c r="M204" s="132">
        <f>jagung!I47</f>
        <v>0</v>
      </c>
      <c r="N204" s="132">
        <f>jagung!J47</f>
        <v>0</v>
      </c>
      <c r="O204" s="157">
        <f>jagung!K47</f>
        <v>0</v>
      </c>
      <c r="P204" s="125">
        <f t="shared" si="70"/>
        <v>0</v>
      </c>
      <c r="Q204" s="128">
        <f t="shared" si="71"/>
        <v>0</v>
      </c>
    </row>
    <row r="205" spans="1:17" x14ac:dyDescent="0.25">
      <c r="A205" s="85">
        <v>7</v>
      </c>
      <c r="B205" s="19" t="s">
        <v>24</v>
      </c>
      <c r="C205" s="16">
        <v>0</v>
      </c>
      <c r="D205" s="16">
        <v>0</v>
      </c>
      <c r="E205" s="16">
        <v>0</v>
      </c>
      <c r="F205" s="59">
        <f>jagung!C48</f>
        <v>0</v>
      </c>
      <c r="G205" s="59">
        <f>jagung!D48</f>
        <v>0</v>
      </c>
      <c r="H205" s="155">
        <f>jagung!E48</f>
        <v>0</v>
      </c>
      <c r="I205" s="125">
        <f t="shared" si="69"/>
        <v>0</v>
      </c>
      <c r="J205" s="223">
        <f>jagung!F48</f>
        <v>0</v>
      </c>
      <c r="K205" s="132">
        <f>jagung!G48</f>
        <v>0</v>
      </c>
      <c r="L205" s="132">
        <f>jagung!H48</f>
        <v>0</v>
      </c>
      <c r="M205" s="132">
        <f>jagung!I48</f>
        <v>0</v>
      </c>
      <c r="N205" s="132">
        <f>jagung!J48</f>
        <v>0</v>
      </c>
      <c r="O205" s="157">
        <f>jagung!K48</f>
        <v>0</v>
      </c>
      <c r="P205" s="125">
        <f t="shared" si="70"/>
        <v>0</v>
      </c>
      <c r="Q205" s="128">
        <f t="shared" si="71"/>
        <v>0</v>
      </c>
    </row>
    <row r="206" spans="1:17" ht="15.75" thickBot="1" x14ac:dyDescent="0.3">
      <c r="A206" s="86">
        <v>8</v>
      </c>
      <c r="B206" s="15" t="s">
        <v>25</v>
      </c>
      <c r="C206" s="17">
        <v>0</v>
      </c>
      <c r="D206" s="17">
        <v>0</v>
      </c>
      <c r="E206" s="17">
        <v>0</v>
      </c>
      <c r="F206" s="137">
        <f>jagung!C49</f>
        <v>1</v>
      </c>
      <c r="G206" s="137">
        <f>jagung!D49</f>
        <v>0</v>
      </c>
      <c r="H206" s="137">
        <f>jagung!E49</f>
        <v>0</v>
      </c>
      <c r="I206" s="126">
        <f t="shared" si="69"/>
        <v>1</v>
      </c>
      <c r="J206" s="232" t="str">
        <f>jagung!F49</f>
        <v>1*</v>
      </c>
      <c r="K206" s="232">
        <f>jagung!G49</f>
        <v>0</v>
      </c>
      <c r="L206" s="232">
        <f>jagung!H49</f>
        <v>1</v>
      </c>
      <c r="M206" s="232">
        <f>jagung!I49</f>
        <v>0</v>
      </c>
      <c r="N206" s="232">
        <f>jagung!J49</f>
        <v>0</v>
      </c>
      <c r="O206" s="232">
        <f>jagung!K49</f>
        <v>0</v>
      </c>
      <c r="P206" s="126">
        <f>SUM(J206:O206)</f>
        <v>1</v>
      </c>
      <c r="Q206" s="129">
        <f t="shared" si="71"/>
        <v>2</v>
      </c>
    </row>
    <row r="207" spans="1:17" ht="16.5" thickTop="1" thickBot="1" x14ac:dyDescent="0.3">
      <c r="A207" s="339" t="s">
        <v>26</v>
      </c>
      <c r="B207" s="340"/>
      <c r="C207" s="112">
        <f>SUM(C199:C206)</f>
        <v>2</v>
      </c>
      <c r="D207" s="112">
        <f t="shared" ref="D207:G207" si="72">SUM(D199:D206)</f>
        <v>0</v>
      </c>
      <c r="E207" s="112">
        <f t="shared" si="72"/>
        <v>0</v>
      </c>
      <c r="F207" s="112">
        <f t="shared" si="72"/>
        <v>1</v>
      </c>
      <c r="G207" s="112">
        <f t="shared" si="72"/>
        <v>0</v>
      </c>
      <c r="H207" s="121">
        <f>SUM(H199:H206)</f>
        <v>0</v>
      </c>
      <c r="I207" s="123">
        <f>SUM(I199:I206)</f>
        <v>3</v>
      </c>
      <c r="J207" s="133">
        <f t="shared" ref="J207:O207" si="73">SUM(J199:J206)</f>
        <v>6</v>
      </c>
      <c r="K207" s="112">
        <f t="shared" si="73"/>
        <v>3</v>
      </c>
      <c r="L207" s="112">
        <f t="shared" si="73"/>
        <v>2</v>
      </c>
      <c r="M207" s="112">
        <f t="shared" si="73"/>
        <v>0</v>
      </c>
      <c r="N207" s="112">
        <f t="shared" si="73"/>
        <v>1</v>
      </c>
      <c r="O207" s="121">
        <f t="shared" si="73"/>
        <v>0</v>
      </c>
      <c r="P207" s="123">
        <f>SUM(P199:P206)</f>
        <v>12</v>
      </c>
      <c r="Q207" s="130">
        <f>SUM(Q199:Q206)</f>
        <v>15</v>
      </c>
    </row>
    <row r="208" spans="1:17" x14ac:dyDescent="0.25">
      <c r="A208" t="s">
        <v>86</v>
      </c>
    </row>
    <row r="209" spans="1:17" ht="15.75" x14ac:dyDescent="0.25">
      <c r="A209" s="341" t="s">
        <v>115</v>
      </c>
      <c r="B209" s="341"/>
      <c r="C209" s="341"/>
      <c r="D209" s="341"/>
      <c r="E209" s="341"/>
      <c r="F209" s="341"/>
      <c r="G209" s="341"/>
      <c r="H209" s="341"/>
      <c r="I209" s="341"/>
      <c r="J209" s="341"/>
      <c r="K209" s="341"/>
      <c r="L209" s="341"/>
      <c r="M209" s="341"/>
      <c r="N209" s="341"/>
      <c r="O209" s="341"/>
      <c r="P209" s="341"/>
      <c r="Q209" s="341"/>
    </row>
    <row r="210" spans="1:17" ht="15.75" x14ac:dyDescent="0.25">
      <c r="A210" s="341" t="s">
        <v>81</v>
      </c>
      <c r="B210" s="341"/>
      <c r="C210" s="341"/>
      <c r="D210" s="341"/>
      <c r="E210" s="341"/>
      <c r="F210" s="341"/>
      <c r="G210" s="341"/>
      <c r="H210" s="341"/>
      <c r="I210" s="341"/>
      <c r="J210" s="341"/>
      <c r="K210" s="341"/>
      <c r="L210" s="341"/>
      <c r="M210" s="341"/>
      <c r="N210" s="341"/>
      <c r="O210" s="341"/>
      <c r="P210" s="341"/>
      <c r="Q210" s="341"/>
    </row>
    <row r="211" spans="1:17" ht="15.75" thickBot="1" x14ac:dyDescent="0.3">
      <c r="Q211" s="75" t="s">
        <v>1</v>
      </c>
    </row>
    <row r="212" spans="1:17" x14ac:dyDescent="0.25">
      <c r="A212" s="334" t="s">
        <v>2</v>
      </c>
      <c r="B212" s="336" t="s">
        <v>3</v>
      </c>
      <c r="C212" s="342" t="s">
        <v>138</v>
      </c>
      <c r="D212" s="343"/>
      <c r="E212" s="343"/>
      <c r="F212" s="343"/>
      <c r="G212" s="343"/>
      <c r="H212" s="343"/>
      <c r="I212" s="345" t="s">
        <v>82</v>
      </c>
      <c r="J212" s="343">
        <v>2019</v>
      </c>
      <c r="K212" s="343"/>
      <c r="L212" s="343"/>
      <c r="M212" s="343"/>
      <c r="N212" s="343"/>
      <c r="O212" s="343"/>
      <c r="P212" s="345" t="s">
        <v>83</v>
      </c>
      <c r="Q212" s="348" t="s">
        <v>5</v>
      </c>
    </row>
    <row r="213" spans="1:17" x14ac:dyDescent="0.25">
      <c r="A213" s="335"/>
      <c r="B213" s="324"/>
      <c r="C213" s="296" t="s">
        <v>15</v>
      </c>
      <c r="D213" s="296" t="s">
        <v>16</v>
      </c>
      <c r="E213" s="296" t="s">
        <v>17</v>
      </c>
      <c r="F213" s="296" t="s">
        <v>6</v>
      </c>
      <c r="G213" s="296" t="s">
        <v>76</v>
      </c>
      <c r="H213" s="119" t="s">
        <v>77</v>
      </c>
      <c r="I213" s="346"/>
      <c r="J213" s="109" t="s">
        <v>78</v>
      </c>
      <c r="K213" s="296" t="s">
        <v>10</v>
      </c>
      <c r="L213" s="296" t="s">
        <v>11</v>
      </c>
      <c r="M213" s="296" t="s">
        <v>12</v>
      </c>
      <c r="N213" s="296" t="s">
        <v>79</v>
      </c>
      <c r="O213" s="119" t="s">
        <v>80</v>
      </c>
      <c r="P213" s="346"/>
      <c r="Q213" s="349"/>
    </row>
    <row r="214" spans="1:17" ht="15.75" thickBot="1" x14ac:dyDescent="0.3">
      <c r="A214" s="111">
        <v>1</v>
      </c>
      <c r="B214" s="5">
        <v>2</v>
      </c>
      <c r="C214" s="5">
        <v>3</v>
      </c>
      <c r="D214" s="5">
        <v>4</v>
      </c>
      <c r="E214" s="5">
        <v>5</v>
      </c>
      <c r="F214" s="5">
        <v>6</v>
      </c>
      <c r="G214" s="5">
        <v>7</v>
      </c>
      <c r="H214" s="120">
        <v>8</v>
      </c>
      <c r="I214" s="122">
        <v>9</v>
      </c>
      <c r="J214" s="110">
        <v>10</v>
      </c>
      <c r="K214" s="5">
        <v>11</v>
      </c>
      <c r="L214" s="5">
        <v>12</v>
      </c>
      <c r="M214" s="5">
        <v>13</v>
      </c>
      <c r="N214" s="5">
        <v>14</v>
      </c>
      <c r="O214" s="120">
        <v>15</v>
      </c>
      <c r="P214" s="122">
        <v>16</v>
      </c>
      <c r="Q214" s="131">
        <v>17</v>
      </c>
    </row>
    <row r="215" spans="1:17" ht="15.75" thickTop="1" x14ac:dyDescent="0.25">
      <c r="A215" s="83">
        <v>1</v>
      </c>
      <c r="B215" s="7" t="s">
        <v>18</v>
      </c>
      <c r="C215" s="28">
        <v>0</v>
      </c>
      <c r="D215" s="28">
        <v>0</v>
      </c>
      <c r="E215" s="28">
        <v>0</v>
      </c>
      <c r="F215" s="136">
        <f>kedelai!C42</f>
        <v>0</v>
      </c>
      <c r="G215" s="136">
        <f>kedelai!D42</f>
        <v>0</v>
      </c>
      <c r="H215" s="136">
        <f>kedelai!E42</f>
        <v>0</v>
      </c>
      <c r="I215" s="124">
        <f>SUM(C215:H215)</f>
        <v>0</v>
      </c>
      <c r="J215" s="136">
        <v>0</v>
      </c>
      <c r="K215" s="136">
        <v>0</v>
      </c>
      <c r="L215" s="136">
        <v>0</v>
      </c>
      <c r="M215" s="136">
        <f>kedelai!J42</f>
        <v>0</v>
      </c>
      <c r="N215" s="136">
        <f>kedelai!K42</f>
        <v>0</v>
      </c>
      <c r="O215" s="136">
        <f>kedelai!L42</f>
        <v>0</v>
      </c>
      <c r="P215" s="124">
        <f>SUM(J215:O215)</f>
        <v>0</v>
      </c>
      <c r="Q215" s="127">
        <f>SUM(I215,P215)</f>
        <v>0</v>
      </c>
    </row>
    <row r="216" spans="1:17" x14ac:dyDescent="0.25">
      <c r="A216" s="84">
        <v>2</v>
      </c>
      <c r="B216" s="12" t="s">
        <v>19</v>
      </c>
      <c r="C216" s="16">
        <v>0</v>
      </c>
      <c r="D216" s="16">
        <v>0</v>
      </c>
      <c r="E216" s="16">
        <v>0</v>
      </c>
      <c r="F216" s="59">
        <f>kedelai!C43</f>
        <v>0</v>
      </c>
      <c r="G216" s="59">
        <f>kedelai!D43</f>
        <v>0</v>
      </c>
      <c r="H216" s="155">
        <f>kedelai!E43</f>
        <v>0</v>
      </c>
      <c r="I216" s="125">
        <f t="shared" ref="I216:I222" si="74">SUM(C216:H216)</f>
        <v>0</v>
      </c>
      <c r="J216" s="59">
        <v>0</v>
      </c>
      <c r="K216" s="59">
        <v>0</v>
      </c>
      <c r="L216" s="59">
        <v>0</v>
      </c>
      <c r="M216" s="59">
        <f>kedelai!J43</f>
        <v>0</v>
      </c>
      <c r="N216" s="59">
        <f>kedelai!K43</f>
        <v>0</v>
      </c>
      <c r="O216" s="155">
        <f>kedelai!L43</f>
        <v>0</v>
      </c>
      <c r="P216" s="125">
        <f t="shared" ref="P216:P221" si="75">SUM(J216:O216)</f>
        <v>0</v>
      </c>
      <c r="Q216" s="128">
        <f t="shared" ref="Q216:Q222" si="76">SUM(I216,P216)</f>
        <v>0</v>
      </c>
    </row>
    <row r="217" spans="1:17" x14ac:dyDescent="0.25">
      <c r="A217" s="84">
        <v>3</v>
      </c>
      <c r="B217" s="7" t="s">
        <v>20</v>
      </c>
      <c r="C217" s="16">
        <v>0</v>
      </c>
      <c r="D217" s="16">
        <v>0</v>
      </c>
      <c r="E217" s="16">
        <v>0</v>
      </c>
      <c r="F217" s="59">
        <f>kedelai!C44</f>
        <v>0</v>
      </c>
      <c r="G217" s="59">
        <f>kedelai!D44</f>
        <v>0</v>
      </c>
      <c r="H217" s="155">
        <f>kedelai!E44</f>
        <v>0</v>
      </c>
      <c r="I217" s="125">
        <f t="shared" si="74"/>
        <v>0</v>
      </c>
      <c r="J217" s="59">
        <v>0</v>
      </c>
      <c r="K217" s="59">
        <v>0</v>
      </c>
      <c r="L217" s="59">
        <v>0</v>
      </c>
      <c r="M217" s="59">
        <f>kedelai!J44</f>
        <v>0</v>
      </c>
      <c r="N217" s="59">
        <f>kedelai!K44</f>
        <v>0</v>
      </c>
      <c r="O217" s="155">
        <f>kedelai!L44</f>
        <v>0</v>
      </c>
      <c r="P217" s="125">
        <f t="shared" si="75"/>
        <v>0</v>
      </c>
      <c r="Q217" s="128">
        <f t="shared" si="76"/>
        <v>0</v>
      </c>
    </row>
    <row r="218" spans="1:17" x14ac:dyDescent="0.25">
      <c r="A218" s="85">
        <v>4</v>
      </c>
      <c r="B218" s="15" t="s">
        <v>21</v>
      </c>
      <c r="C218" s="16">
        <v>0</v>
      </c>
      <c r="D218" s="16">
        <v>1</v>
      </c>
      <c r="E218" s="16">
        <v>0</v>
      </c>
      <c r="F218" s="59">
        <f>kedelai!C45</f>
        <v>0</v>
      </c>
      <c r="G218" s="59">
        <f>kedelai!D45</f>
        <v>0</v>
      </c>
      <c r="H218" s="155">
        <f>kedelai!E45</f>
        <v>0</v>
      </c>
      <c r="I218" s="125">
        <f t="shared" si="74"/>
        <v>1</v>
      </c>
      <c r="J218" s="59">
        <v>0</v>
      </c>
      <c r="K218" s="59">
        <v>0</v>
      </c>
      <c r="L218" s="59">
        <v>0</v>
      </c>
      <c r="M218" s="59">
        <f>kedelai!J45</f>
        <v>0</v>
      </c>
      <c r="N218" s="59">
        <f>kedelai!K45</f>
        <v>0</v>
      </c>
      <c r="O218" s="155">
        <f>kedelai!L45</f>
        <v>0</v>
      </c>
      <c r="P218" s="125">
        <f t="shared" si="75"/>
        <v>0</v>
      </c>
      <c r="Q218" s="128">
        <f t="shared" si="76"/>
        <v>1</v>
      </c>
    </row>
    <row r="219" spans="1:17" x14ac:dyDescent="0.25">
      <c r="A219" s="85">
        <v>5</v>
      </c>
      <c r="B219" s="19" t="s">
        <v>22</v>
      </c>
      <c r="C219" s="16">
        <v>0</v>
      </c>
      <c r="D219" s="16">
        <v>0</v>
      </c>
      <c r="E219" s="16">
        <v>0</v>
      </c>
      <c r="F219" s="59">
        <f>kedelai!C46</f>
        <v>0</v>
      </c>
      <c r="G219" s="59">
        <f>kedelai!D46</f>
        <v>0</v>
      </c>
      <c r="H219" s="155">
        <f>kedelai!E46</f>
        <v>0</v>
      </c>
      <c r="I219" s="125">
        <f t="shared" si="74"/>
        <v>0</v>
      </c>
      <c r="J219" s="59">
        <v>0</v>
      </c>
      <c r="K219" s="59">
        <v>0</v>
      </c>
      <c r="L219" s="59">
        <v>0</v>
      </c>
      <c r="M219" s="59">
        <f>kedelai!J46</f>
        <v>0</v>
      </c>
      <c r="N219" s="59">
        <f>kedelai!K46</f>
        <v>0</v>
      </c>
      <c r="O219" s="155">
        <f>kedelai!L46</f>
        <v>0</v>
      </c>
      <c r="P219" s="125">
        <f t="shared" si="75"/>
        <v>0</v>
      </c>
      <c r="Q219" s="128">
        <f t="shared" si="76"/>
        <v>0</v>
      </c>
    </row>
    <row r="220" spans="1:17" x14ac:dyDescent="0.25">
      <c r="A220" s="85">
        <v>6</v>
      </c>
      <c r="B220" s="19" t="s">
        <v>23</v>
      </c>
      <c r="C220" s="16">
        <v>0</v>
      </c>
      <c r="D220" s="16">
        <v>0</v>
      </c>
      <c r="E220" s="16">
        <v>0</v>
      </c>
      <c r="F220" s="59">
        <f>kedelai!C47</f>
        <v>0</v>
      </c>
      <c r="G220" s="59">
        <f>kedelai!D47</f>
        <v>0</v>
      </c>
      <c r="H220" s="155">
        <f>kedelai!E47</f>
        <v>0</v>
      </c>
      <c r="I220" s="125">
        <f t="shared" si="74"/>
        <v>0</v>
      </c>
      <c r="J220" s="59">
        <v>0</v>
      </c>
      <c r="K220" s="59">
        <v>0</v>
      </c>
      <c r="L220" s="59">
        <v>0</v>
      </c>
      <c r="M220" s="59">
        <f>kedelai!J47</f>
        <v>0</v>
      </c>
      <c r="N220" s="59">
        <f>kedelai!K47</f>
        <v>0</v>
      </c>
      <c r="O220" s="155">
        <f>kedelai!L47</f>
        <v>0</v>
      </c>
      <c r="P220" s="125">
        <f t="shared" si="75"/>
        <v>0</v>
      </c>
      <c r="Q220" s="128">
        <f t="shared" si="76"/>
        <v>0</v>
      </c>
    </row>
    <row r="221" spans="1:17" x14ac:dyDescent="0.25">
      <c r="A221" s="85">
        <v>7</v>
      </c>
      <c r="B221" s="19" t="s">
        <v>24</v>
      </c>
      <c r="C221" s="16">
        <v>0</v>
      </c>
      <c r="D221" s="16">
        <v>0</v>
      </c>
      <c r="E221" s="16">
        <v>0</v>
      </c>
      <c r="F221" s="59">
        <f>kedelai!C48</f>
        <v>0</v>
      </c>
      <c r="G221" s="59">
        <f>kedelai!D48</f>
        <v>0</v>
      </c>
      <c r="H221" s="155">
        <f>kedelai!E48</f>
        <v>0</v>
      </c>
      <c r="I221" s="125">
        <f t="shared" si="74"/>
        <v>0</v>
      </c>
      <c r="J221" s="59">
        <v>0</v>
      </c>
      <c r="K221" s="59">
        <v>0</v>
      </c>
      <c r="L221" s="59">
        <v>0</v>
      </c>
      <c r="M221" s="59">
        <f>kedelai!J48</f>
        <v>0</v>
      </c>
      <c r="N221" s="59">
        <f>kedelai!K48</f>
        <v>0</v>
      </c>
      <c r="O221" s="155">
        <f>kedelai!L48</f>
        <v>0</v>
      </c>
      <c r="P221" s="125">
        <f t="shared" si="75"/>
        <v>0</v>
      </c>
      <c r="Q221" s="128">
        <f t="shared" si="76"/>
        <v>0</v>
      </c>
    </row>
    <row r="222" spans="1:17" ht="15.75" thickBot="1" x14ac:dyDescent="0.3">
      <c r="A222" s="86">
        <v>8</v>
      </c>
      <c r="B222" s="15" t="s">
        <v>25</v>
      </c>
      <c r="C222" s="17">
        <v>0</v>
      </c>
      <c r="D222" s="17">
        <v>0</v>
      </c>
      <c r="E222" s="17">
        <v>0</v>
      </c>
      <c r="F222" s="137">
        <f>kedelai!C49</f>
        <v>0</v>
      </c>
      <c r="G222" s="137">
        <f>kedelai!D49</f>
        <v>0</v>
      </c>
      <c r="H222" s="137">
        <f>kedelai!E49</f>
        <v>0</v>
      </c>
      <c r="I222" s="126">
        <f t="shared" si="74"/>
        <v>0</v>
      </c>
      <c r="J222" s="137">
        <v>0</v>
      </c>
      <c r="K222" s="137">
        <v>0</v>
      </c>
      <c r="L222" s="137">
        <v>0</v>
      </c>
      <c r="M222" s="137">
        <f>kedelai!J49</f>
        <v>0</v>
      </c>
      <c r="N222" s="137">
        <f>kedelai!K49</f>
        <v>0</v>
      </c>
      <c r="O222" s="137">
        <f>kedelai!L49</f>
        <v>0</v>
      </c>
      <c r="P222" s="126">
        <f>SUM(J222:O222)</f>
        <v>0</v>
      </c>
      <c r="Q222" s="129">
        <f t="shared" si="76"/>
        <v>0</v>
      </c>
    </row>
    <row r="223" spans="1:17" ht="16.5" thickTop="1" thickBot="1" x14ac:dyDescent="0.3">
      <c r="A223" s="339" t="s">
        <v>26</v>
      </c>
      <c r="B223" s="340"/>
      <c r="C223" s="112">
        <f t="shared" ref="C223:H223" si="77">SUM(C215:C222)</f>
        <v>0</v>
      </c>
      <c r="D223" s="112">
        <f t="shared" si="77"/>
        <v>1</v>
      </c>
      <c r="E223" s="112">
        <f t="shared" si="77"/>
        <v>0</v>
      </c>
      <c r="F223" s="112">
        <f t="shared" si="77"/>
        <v>0</v>
      </c>
      <c r="G223" s="112">
        <f t="shared" si="77"/>
        <v>0</v>
      </c>
      <c r="H223" s="121">
        <f t="shared" si="77"/>
        <v>0</v>
      </c>
      <c r="I223" s="123">
        <f>SUM(I215:I222)</f>
        <v>1</v>
      </c>
      <c r="J223" s="133">
        <f t="shared" ref="J223:O223" si="78">SUM(J215:J222)</f>
        <v>0</v>
      </c>
      <c r="K223" s="112">
        <f t="shared" si="78"/>
        <v>0</v>
      </c>
      <c r="L223" s="112">
        <f t="shared" si="78"/>
        <v>0</v>
      </c>
      <c r="M223" s="112">
        <f t="shared" si="78"/>
        <v>0</v>
      </c>
      <c r="N223" s="112">
        <f t="shared" si="78"/>
        <v>0</v>
      </c>
      <c r="O223" s="121">
        <f t="shared" si="78"/>
        <v>0</v>
      </c>
      <c r="P223" s="123">
        <f>SUM(P215:P222)</f>
        <v>0</v>
      </c>
      <c r="Q223" s="130">
        <f>SUM(Q215:Q222)</f>
        <v>1</v>
      </c>
    </row>
    <row r="225" spans="1:17" ht="15.75" x14ac:dyDescent="0.25">
      <c r="A225" s="341" t="s">
        <v>116</v>
      </c>
      <c r="B225" s="341"/>
      <c r="C225" s="341"/>
      <c r="D225" s="341"/>
      <c r="E225" s="341"/>
      <c r="F225" s="341"/>
      <c r="G225" s="341"/>
      <c r="H225" s="341"/>
      <c r="I225" s="341"/>
      <c r="J225" s="341"/>
      <c r="K225" s="341"/>
      <c r="L225" s="341"/>
      <c r="M225" s="341"/>
      <c r="N225" s="341"/>
      <c r="O225" s="341"/>
      <c r="P225" s="341"/>
      <c r="Q225" s="341"/>
    </row>
    <row r="226" spans="1:17" ht="15.75" x14ac:dyDescent="0.25">
      <c r="A226" s="341" t="s">
        <v>81</v>
      </c>
      <c r="B226" s="341"/>
      <c r="C226" s="341"/>
      <c r="D226" s="341"/>
      <c r="E226" s="341"/>
      <c r="F226" s="341"/>
      <c r="G226" s="341"/>
      <c r="H226" s="341"/>
      <c r="I226" s="341"/>
      <c r="J226" s="341"/>
      <c r="K226" s="341"/>
      <c r="L226" s="341"/>
      <c r="M226" s="341"/>
      <c r="N226" s="341"/>
      <c r="O226" s="341"/>
      <c r="P226" s="341"/>
      <c r="Q226" s="341"/>
    </row>
    <row r="227" spans="1:17" ht="15.75" thickBot="1" x14ac:dyDescent="0.3">
      <c r="Q227" s="75" t="s">
        <v>1</v>
      </c>
    </row>
    <row r="228" spans="1:17" x14ac:dyDescent="0.25">
      <c r="A228" s="334" t="s">
        <v>2</v>
      </c>
      <c r="B228" s="336" t="s">
        <v>3</v>
      </c>
      <c r="C228" s="342" t="s">
        <v>138</v>
      </c>
      <c r="D228" s="343"/>
      <c r="E228" s="343"/>
      <c r="F228" s="343"/>
      <c r="G228" s="343"/>
      <c r="H228" s="343"/>
      <c r="I228" s="345" t="s">
        <v>82</v>
      </c>
      <c r="J228" s="343">
        <v>2019</v>
      </c>
      <c r="K228" s="343"/>
      <c r="L228" s="343"/>
      <c r="M228" s="343"/>
      <c r="N228" s="343"/>
      <c r="O228" s="343"/>
      <c r="P228" s="345" t="s">
        <v>83</v>
      </c>
      <c r="Q228" s="348" t="s">
        <v>5</v>
      </c>
    </row>
    <row r="229" spans="1:17" x14ac:dyDescent="0.25">
      <c r="A229" s="335"/>
      <c r="B229" s="324"/>
      <c r="C229" s="296" t="s">
        <v>15</v>
      </c>
      <c r="D229" s="296" t="s">
        <v>16</v>
      </c>
      <c r="E229" s="296" t="s">
        <v>17</v>
      </c>
      <c r="F229" s="296" t="s">
        <v>6</v>
      </c>
      <c r="G229" s="296" t="s">
        <v>76</v>
      </c>
      <c r="H229" s="119" t="s">
        <v>77</v>
      </c>
      <c r="I229" s="346"/>
      <c r="J229" s="109" t="s">
        <v>78</v>
      </c>
      <c r="K229" s="296" t="s">
        <v>10</v>
      </c>
      <c r="L229" s="296" t="s">
        <v>11</v>
      </c>
      <c r="M229" s="296" t="s">
        <v>12</v>
      </c>
      <c r="N229" s="296" t="s">
        <v>79</v>
      </c>
      <c r="O229" s="119" t="s">
        <v>80</v>
      </c>
      <c r="P229" s="346"/>
      <c r="Q229" s="349"/>
    </row>
    <row r="230" spans="1:17" ht="15.75" thickBot="1" x14ac:dyDescent="0.3">
      <c r="A230" s="111">
        <v>1</v>
      </c>
      <c r="B230" s="5">
        <v>2</v>
      </c>
      <c r="C230" s="5">
        <v>3</v>
      </c>
      <c r="D230" s="5">
        <v>4</v>
      </c>
      <c r="E230" s="5">
        <v>5</v>
      </c>
      <c r="F230" s="5">
        <v>6</v>
      </c>
      <c r="G230" s="5">
        <v>7</v>
      </c>
      <c r="H230" s="120">
        <v>8</v>
      </c>
      <c r="I230" s="122">
        <v>9</v>
      </c>
      <c r="J230" s="110">
        <v>10</v>
      </c>
      <c r="K230" s="5">
        <v>11</v>
      </c>
      <c r="L230" s="5">
        <v>12</v>
      </c>
      <c r="M230" s="5">
        <v>13</v>
      </c>
      <c r="N230" s="5">
        <v>14</v>
      </c>
      <c r="O230" s="120">
        <v>15</v>
      </c>
      <c r="P230" s="122">
        <v>16</v>
      </c>
      <c r="Q230" s="131">
        <v>17</v>
      </c>
    </row>
    <row r="231" spans="1:17" ht="15.75" thickTop="1" x14ac:dyDescent="0.25">
      <c r="A231" s="83">
        <v>1</v>
      </c>
      <c r="B231" s="7" t="s">
        <v>18</v>
      </c>
      <c r="C231" s="28">
        <v>0</v>
      </c>
      <c r="D231" s="46">
        <v>0</v>
      </c>
      <c r="E231" s="46">
        <v>0</v>
      </c>
      <c r="F231" s="136">
        <f>'kc tanah'!C42</f>
        <v>0</v>
      </c>
      <c r="G231" s="136">
        <f>'kc tanah'!D42</f>
        <v>0</v>
      </c>
      <c r="H231" s="136">
        <f>'kc tanah'!E42</f>
        <v>0</v>
      </c>
      <c r="I231" s="124">
        <f>SUM(C231:H231)</f>
        <v>0</v>
      </c>
      <c r="J231" s="156">
        <f>'kc tanah'!F42</f>
        <v>60</v>
      </c>
      <c r="K231" s="156">
        <f>'kc tanah'!G42</f>
        <v>40</v>
      </c>
      <c r="L231" s="156">
        <f>'kc tanah'!H42</f>
        <v>0</v>
      </c>
      <c r="M231" s="156">
        <f>'kc tanah'!I42</f>
        <v>0</v>
      </c>
      <c r="N231" s="156">
        <f>'kc tanah'!J42</f>
        <v>0</v>
      </c>
      <c r="O231" s="156">
        <f>'kc tanah'!K42</f>
        <v>0</v>
      </c>
      <c r="P231" s="124">
        <f>SUM(J231:O231)</f>
        <v>100</v>
      </c>
      <c r="Q231" s="127">
        <f>SUM(I231,P231)</f>
        <v>100</v>
      </c>
    </row>
    <row r="232" spans="1:17" x14ac:dyDescent="0.25">
      <c r="A232" s="84">
        <v>2</v>
      </c>
      <c r="B232" s="12" t="s">
        <v>19</v>
      </c>
      <c r="C232" s="16">
        <v>0</v>
      </c>
      <c r="D232" s="47">
        <v>0</v>
      </c>
      <c r="E232" s="47">
        <v>0</v>
      </c>
      <c r="F232" s="59">
        <f>'kc tanah'!C43</f>
        <v>0</v>
      </c>
      <c r="G232" s="59">
        <f>'kc tanah'!D43</f>
        <v>0</v>
      </c>
      <c r="H232" s="155">
        <f>'kc tanah'!E43</f>
        <v>135</v>
      </c>
      <c r="I232" s="125">
        <f t="shared" ref="I232:I238" si="79">SUM(C232:H232)</f>
        <v>135</v>
      </c>
      <c r="J232" s="223">
        <f>'kc tanah'!F43</f>
        <v>45</v>
      </c>
      <c r="K232" s="132">
        <f>'kc tanah'!G43</f>
        <v>0</v>
      </c>
      <c r="L232" s="132">
        <f>'kc tanah'!H43</f>
        <v>110</v>
      </c>
      <c r="M232" s="132">
        <f>'kc tanah'!I43</f>
        <v>35</v>
      </c>
      <c r="N232" s="132">
        <f>'kc tanah'!J43</f>
        <v>0</v>
      </c>
      <c r="O232" s="157">
        <f>'kc tanah'!K43</f>
        <v>0</v>
      </c>
      <c r="P232" s="125">
        <f t="shared" ref="P232:P237" si="80">SUM(J232:O232)</f>
        <v>190</v>
      </c>
      <c r="Q232" s="128">
        <f t="shared" ref="Q232:Q238" si="81">SUM(I232,P232)</f>
        <v>325</v>
      </c>
    </row>
    <row r="233" spans="1:17" x14ac:dyDescent="0.25">
      <c r="A233" s="84">
        <v>3</v>
      </c>
      <c r="B233" s="7" t="s">
        <v>20</v>
      </c>
      <c r="C233" s="16">
        <v>0</v>
      </c>
      <c r="D233" s="16">
        <v>0</v>
      </c>
      <c r="E233" s="16">
        <v>0</v>
      </c>
      <c r="F233" s="59">
        <f>'kc tanah'!C44</f>
        <v>50</v>
      </c>
      <c r="G233" s="59">
        <f>'kc tanah'!D44</f>
        <v>0</v>
      </c>
      <c r="H233" s="155">
        <f>'kc tanah'!E44</f>
        <v>0</v>
      </c>
      <c r="I233" s="125">
        <f t="shared" si="79"/>
        <v>50</v>
      </c>
      <c r="J233" s="223">
        <f>'kc tanah'!F44</f>
        <v>80</v>
      </c>
      <c r="K233" s="132">
        <f>'kc tanah'!G44</f>
        <v>0</v>
      </c>
      <c r="L233" s="132">
        <f>'kc tanah'!H44</f>
        <v>0</v>
      </c>
      <c r="M233" s="132">
        <f>'kc tanah'!I44</f>
        <v>120</v>
      </c>
      <c r="N233" s="132">
        <f>'kc tanah'!J44</f>
        <v>0</v>
      </c>
      <c r="O233" s="157">
        <f>'kc tanah'!K44</f>
        <v>0</v>
      </c>
      <c r="P233" s="125">
        <f t="shared" si="80"/>
        <v>200</v>
      </c>
      <c r="Q233" s="128">
        <f t="shared" si="81"/>
        <v>250</v>
      </c>
    </row>
    <row r="234" spans="1:17" x14ac:dyDescent="0.25">
      <c r="A234" s="85">
        <v>4</v>
      </c>
      <c r="B234" s="15" t="s">
        <v>21</v>
      </c>
      <c r="C234" s="16">
        <v>10</v>
      </c>
      <c r="D234" s="16">
        <v>0</v>
      </c>
      <c r="E234" s="16">
        <v>20</v>
      </c>
      <c r="F234" s="59">
        <f>'kc tanah'!C45</f>
        <v>0</v>
      </c>
      <c r="G234" s="59">
        <f>'kc tanah'!D45</f>
        <v>0</v>
      </c>
      <c r="H234" s="155">
        <f>'kc tanah'!E45</f>
        <v>40</v>
      </c>
      <c r="I234" s="125">
        <f t="shared" si="79"/>
        <v>70</v>
      </c>
      <c r="J234" s="223">
        <f>'kc tanah'!F45</f>
        <v>0</v>
      </c>
      <c r="K234" s="132">
        <f>'kc tanah'!G45</f>
        <v>5</v>
      </c>
      <c r="L234" s="132">
        <f>'kc tanah'!H45</f>
        <v>23</v>
      </c>
      <c r="M234" s="132">
        <f>'kc tanah'!I45</f>
        <v>0</v>
      </c>
      <c r="N234" s="132">
        <f>'kc tanah'!J45</f>
        <v>0</v>
      </c>
      <c r="O234" s="157">
        <f>'kc tanah'!K45</f>
        <v>20</v>
      </c>
      <c r="P234" s="125">
        <f t="shared" si="80"/>
        <v>48</v>
      </c>
      <c r="Q234" s="128">
        <f t="shared" si="81"/>
        <v>118</v>
      </c>
    </row>
    <row r="235" spans="1:17" x14ac:dyDescent="0.25">
      <c r="A235" s="85">
        <v>5</v>
      </c>
      <c r="B235" s="19" t="s">
        <v>22</v>
      </c>
      <c r="C235" s="16">
        <v>0</v>
      </c>
      <c r="D235" s="16">
        <v>0</v>
      </c>
      <c r="E235" s="16">
        <v>0</v>
      </c>
      <c r="F235" s="59">
        <f>'kc tanah'!C46</f>
        <v>0</v>
      </c>
      <c r="G235" s="59">
        <f>'kc tanah'!D46</f>
        <v>0</v>
      </c>
      <c r="H235" s="155">
        <f>'kc tanah'!E46</f>
        <v>271</v>
      </c>
      <c r="I235" s="125">
        <f t="shared" si="79"/>
        <v>271</v>
      </c>
      <c r="J235" s="223">
        <f>'kc tanah'!F46</f>
        <v>0</v>
      </c>
      <c r="K235" s="132">
        <f>'kc tanah'!G46</f>
        <v>0</v>
      </c>
      <c r="L235" s="132">
        <f>'kc tanah'!H46</f>
        <v>12</v>
      </c>
      <c r="M235" s="132">
        <f>'kc tanah'!I46</f>
        <v>50</v>
      </c>
      <c r="N235" s="132">
        <f>'kc tanah'!J46</f>
        <v>0</v>
      </c>
      <c r="O235" s="157">
        <f>'kc tanah'!K46</f>
        <v>0</v>
      </c>
      <c r="P235" s="125">
        <f t="shared" si="80"/>
        <v>62</v>
      </c>
      <c r="Q235" s="128">
        <f t="shared" si="81"/>
        <v>333</v>
      </c>
    </row>
    <row r="236" spans="1:17" x14ac:dyDescent="0.25">
      <c r="A236" s="85">
        <v>6</v>
      </c>
      <c r="B236" s="19" t="s">
        <v>23</v>
      </c>
      <c r="C236" s="16">
        <v>4</v>
      </c>
      <c r="D236" s="16">
        <v>0</v>
      </c>
      <c r="E236" s="16">
        <v>0</v>
      </c>
      <c r="F236" s="59">
        <f>'kc tanah'!C47</f>
        <v>0</v>
      </c>
      <c r="G236" s="59">
        <f>'kc tanah'!D47</f>
        <v>45</v>
      </c>
      <c r="H236" s="155">
        <f>'kc tanah'!E47</f>
        <v>25</v>
      </c>
      <c r="I236" s="125">
        <f t="shared" si="79"/>
        <v>74</v>
      </c>
      <c r="J236" s="223">
        <f>'kc tanah'!F47</f>
        <v>0</v>
      </c>
      <c r="K236" s="132">
        <f>'kc tanah'!G47</f>
        <v>0</v>
      </c>
      <c r="L236" s="132">
        <f>'kc tanah'!H47</f>
        <v>40</v>
      </c>
      <c r="M236" s="132">
        <f>'kc tanah'!I47</f>
        <v>25</v>
      </c>
      <c r="N236" s="132">
        <f>'kc tanah'!J47</f>
        <v>0</v>
      </c>
      <c r="O236" s="157">
        <f>'kc tanah'!K47</f>
        <v>2</v>
      </c>
      <c r="P236" s="125">
        <f t="shared" si="80"/>
        <v>67</v>
      </c>
      <c r="Q236" s="128">
        <f t="shared" si="81"/>
        <v>141</v>
      </c>
    </row>
    <row r="237" spans="1:17" x14ac:dyDescent="0.25">
      <c r="A237" s="85">
        <v>7</v>
      </c>
      <c r="B237" s="19" t="s">
        <v>24</v>
      </c>
      <c r="C237" s="16">
        <v>0</v>
      </c>
      <c r="D237" s="16">
        <v>1</v>
      </c>
      <c r="E237" s="16">
        <v>0</v>
      </c>
      <c r="F237" s="59">
        <f>'kc tanah'!C48</f>
        <v>0</v>
      </c>
      <c r="G237" s="59">
        <f>'kc tanah'!D48</f>
        <v>0</v>
      </c>
      <c r="H237" s="155">
        <f>'kc tanah'!E48</f>
        <v>1</v>
      </c>
      <c r="I237" s="125">
        <f t="shared" si="79"/>
        <v>2</v>
      </c>
      <c r="J237" s="223">
        <f>'kc tanah'!F48</f>
        <v>0</v>
      </c>
      <c r="K237" s="132">
        <f>'kc tanah'!G48</f>
        <v>0</v>
      </c>
      <c r="L237" s="132">
        <f>'kc tanah'!H48</f>
        <v>0</v>
      </c>
      <c r="M237" s="132">
        <f>'kc tanah'!I48</f>
        <v>1</v>
      </c>
      <c r="N237" s="132">
        <f>'kc tanah'!J48</f>
        <v>0</v>
      </c>
      <c r="O237" s="157">
        <f>'kc tanah'!K48</f>
        <v>0</v>
      </c>
      <c r="P237" s="125">
        <f t="shared" si="80"/>
        <v>1</v>
      </c>
      <c r="Q237" s="128">
        <f t="shared" si="81"/>
        <v>3</v>
      </c>
    </row>
    <row r="238" spans="1:17" ht="15.75" thickBot="1" x14ac:dyDescent="0.3">
      <c r="A238" s="86">
        <v>8</v>
      </c>
      <c r="B238" s="15" t="s">
        <v>25</v>
      </c>
      <c r="C238" s="17">
        <v>4</v>
      </c>
      <c r="D238" s="17">
        <v>0</v>
      </c>
      <c r="E238" s="49">
        <v>0</v>
      </c>
      <c r="F238" s="137">
        <f>'kc tanah'!C49</f>
        <v>0</v>
      </c>
      <c r="G238" s="137">
        <f>'kc tanah'!D49</f>
        <v>135</v>
      </c>
      <c r="H238" s="137">
        <f>'kc tanah'!E49</f>
        <v>10</v>
      </c>
      <c r="I238" s="126">
        <f t="shared" si="79"/>
        <v>149</v>
      </c>
      <c r="J238" s="232">
        <f>'kc tanah'!F49</f>
        <v>0</v>
      </c>
      <c r="K238" s="232">
        <f>'kc tanah'!G49</f>
        <v>0</v>
      </c>
      <c r="L238" s="232">
        <f>'kc tanah'!H49</f>
        <v>25</v>
      </c>
      <c r="M238" s="232">
        <f>'kc tanah'!I49</f>
        <v>120</v>
      </c>
      <c r="N238" s="232">
        <f>'kc tanah'!J49</f>
        <v>0</v>
      </c>
      <c r="O238" s="232">
        <f>'kc tanah'!K49</f>
        <v>0</v>
      </c>
      <c r="P238" s="126">
        <f>SUM(J238:O238)</f>
        <v>145</v>
      </c>
      <c r="Q238" s="129">
        <f t="shared" si="81"/>
        <v>294</v>
      </c>
    </row>
    <row r="239" spans="1:17" ht="16.5" thickTop="1" thickBot="1" x14ac:dyDescent="0.3">
      <c r="A239" s="339" t="s">
        <v>26</v>
      </c>
      <c r="B239" s="340"/>
      <c r="C239" s="112">
        <f t="shared" ref="C239:H239" si="82">SUM(C231:C238)</f>
        <v>18</v>
      </c>
      <c r="D239" s="112">
        <f t="shared" si="82"/>
        <v>1</v>
      </c>
      <c r="E239" s="112">
        <f t="shared" si="82"/>
        <v>20</v>
      </c>
      <c r="F239" s="112">
        <f t="shared" si="82"/>
        <v>50</v>
      </c>
      <c r="G239" s="112">
        <f t="shared" si="82"/>
        <v>180</v>
      </c>
      <c r="H239" s="121">
        <f t="shared" si="82"/>
        <v>482</v>
      </c>
      <c r="I239" s="123">
        <f>SUM(I231:I238)</f>
        <v>751</v>
      </c>
      <c r="J239" s="133">
        <f t="shared" ref="J239:O239" si="83">SUM(J231:J238)</f>
        <v>185</v>
      </c>
      <c r="K239" s="112">
        <f t="shared" si="83"/>
        <v>45</v>
      </c>
      <c r="L239" s="112">
        <f t="shared" si="83"/>
        <v>210</v>
      </c>
      <c r="M239" s="112">
        <f t="shared" si="83"/>
        <v>351</v>
      </c>
      <c r="N239" s="112">
        <f t="shared" si="83"/>
        <v>0</v>
      </c>
      <c r="O239" s="121">
        <f t="shared" si="83"/>
        <v>22</v>
      </c>
      <c r="P239" s="123">
        <f>SUM(P231:P238)</f>
        <v>813</v>
      </c>
      <c r="Q239" s="130">
        <f>SUM(Q231:Q238)</f>
        <v>1564</v>
      </c>
    </row>
    <row r="241" spans="1:17" ht="15.75" x14ac:dyDescent="0.25">
      <c r="A241" s="341" t="s">
        <v>117</v>
      </c>
      <c r="B241" s="341"/>
      <c r="C241" s="341"/>
      <c r="D241" s="341"/>
      <c r="E241" s="341"/>
      <c r="F241" s="341"/>
      <c r="G241" s="341"/>
      <c r="H241" s="341"/>
      <c r="I241" s="341"/>
      <c r="J241" s="341"/>
      <c r="K241" s="341"/>
      <c r="L241" s="341"/>
      <c r="M241" s="341"/>
      <c r="N241" s="341"/>
      <c r="O241" s="341"/>
      <c r="P241" s="341"/>
      <c r="Q241" s="341"/>
    </row>
    <row r="242" spans="1:17" ht="15.75" x14ac:dyDescent="0.25">
      <c r="A242" s="341" t="s">
        <v>81</v>
      </c>
      <c r="B242" s="341"/>
      <c r="C242" s="341"/>
      <c r="D242" s="341"/>
      <c r="E242" s="341"/>
      <c r="F242" s="341"/>
      <c r="G242" s="341"/>
      <c r="H242" s="341"/>
      <c r="I242" s="341"/>
      <c r="J242" s="341"/>
      <c r="K242" s="341"/>
      <c r="L242" s="341"/>
      <c r="M242" s="341"/>
      <c r="N242" s="341"/>
      <c r="O242" s="341"/>
      <c r="P242" s="341"/>
      <c r="Q242" s="341"/>
    </row>
    <row r="243" spans="1:17" ht="15.75" thickBot="1" x14ac:dyDescent="0.3">
      <c r="Q243" s="75" t="s">
        <v>1</v>
      </c>
    </row>
    <row r="244" spans="1:17" x14ac:dyDescent="0.25">
      <c r="A244" s="334" t="s">
        <v>2</v>
      </c>
      <c r="B244" s="336" t="s">
        <v>3</v>
      </c>
      <c r="C244" s="342" t="s">
        <v>138</v>
      </c>
      <c r="D244" s="343"/>
      <c r="E244" s="343"/>
      <c r="F244" s="343"/>
      <c r="G244" s="343"/>
      <c r="H244" s="343"/>
      <c r="I244" s="345" t="s">
        <v>82</v>
      </c>
      <c r="J244" s="343">
        <v>2019</v>
      </c>
      <c r="K244" s="343"/>
      <c r="L244" s="343"/>
      <c r="M244" s="343"/>
      <c r="N244" s="343"/>
      <c r="O244" s="343"/>
      <c r="P244" s="345" t="s">
        <v>83</v>
      </c>
      <c r="Q244" s="348" t="s">
        <v>5</v>
      </c>
    </row>
    <row r="245" spans="1:17" x14ac:dyDescent="0.25">
      <c r="A245" s="335"/>
      <c r="B245" s="324"/>
      <c r="C245" s="296" t="s">
        <v>15</v>
      </c>
      <c r="D245" s="296" t="s">
        <v>16</v>
      </c>
      <c r="E245" s="296" t="s">
        <v>17</v>
      </c>
      <c r="F245" s="296" t="s">
        <v>6</v>
      </c>
      <c r="G245" s="296" t="s">
        <v>76</v>
      </c>
      <c r="H245" s="119" t="s">
        <v>77</v>
      </c>
      <c r="I245" s="346"/>
      <c r="J245" s="109" t="s">
        <v>78</v>
      </c>
      <c r="K245" s="296" t="s">
        <v>10</v>
      </c>
      <c r="L245" s="296" t="s">
        <v>11</v>
      </c>
      <c r="M245" s="296" t="s">
        <v>12</v>
      </c>
      <c r="N245" s="296" t="s">
        <v>79</v>
      </c>
      <c r="O245" s="119" t="s">
        <v>80</v>
      </c>
      <c r="P245" s="346"/>
      <c r="Q245" s="349"/>
    </row>
    <row r="246" spans="1:17" ht="15.75" thickBot="1" x14ac:dyDescent="0.3">
      <c r="A246" s="111">
        <v>1</v>
      </c>
      <c r="B246" s="5">
        <v>2</v>
      </c>
      <c r="C246" s="5">
        <v>3</v>
      </c>
      <c r="D246" s="5">
        <v>4</v>
      </c>
      <c r="E246" s="5">
        <v>5</v>
      </c>
      <c r="F246" s="5">
        <v>6</v>
      </c>
      <c r="G246" s="5">
        <v>7</v>
      </c>
      <c r="H246" s="120">
        <v>8</v>
      </c>
      <c r="I246" s="122">
        <v>9</v>
      </c>
      <c r="J246" s="110">
        <v>10</v>
      </c>
      <c r="K246" s="5">
        <v>11</v>
      </c>
      <c r="L246" s="5">
        <v>12</v>
      </c>
      <c r="M246" s="5">
        <v>13</v>
      </c>
      <c r="N246" s="5">
        <v>14</v>
      </c>
      <c r="O246" s="120">
        <v>15</v>
      </c>
      <c r="P246" s="122">
        <v>16</v>
      </c>
      <c r="Q246" s="131">
        <v>17</v>
      </c>
    </row>
    <row r="247" spans="1:17" ht="15.75" thickTop="1" x14ac:dyDescent="0.25">
      <c r="A247" s="83">
        <v>1</v>
      </c>
      <c r="B247" s="7" t="s">
        <v>18</v>
      </c>
      <c r="C247" s="28">
        <v>0</v>
      </c>
      <c r="D247" s="28">
        <v>0</v>
      </c>
      <c r="E247" s="16">
        <v>0</v>
      </c>
      <c r="F247" s="136">
        <f>'ubi kayu'!C41</f>
        <v>0</v>
      </c>
      <c r="G247" s="136">
        <f>'ubi kayu'!D41</f>
        <v>0</v>
      </c>
      <c r="H247" s="136">
        <f>'ubi kayu'!E41</f>
        <v>0</v>
      </c>
      <c r="I247" s="124">
        <f>SUM(C247:H247)</f>
        <v>0</v>
      </c>
      <c r="J247" s="156">
        <f>'ubi kayu'!F41</f>
        <v>0</v>
      </c>
      <c r="K247" s="156">
        <f>'ubi kayu'!G41</f>
        <v>2</v>
      </c>
      <c r="L247" s="156">
        <f>'ubi kayu'!H41</f>
        <v>0</v>
      </c>
      <c r="M247" s="156">
        <f>'ubi kayu'!I41</f>
        <v>0</v>
      </c>
      <c r="N247" s="156">
        <f>'ubi kayu'!J41</f>
        <v>2</v>
      </c>
      <c r="O247" s="156">
        <f>'ubi kayu'!K41</f>
        <v>1</v>
      </c>
      <c r="P247" s="124">
        <f>SUM(J247:O247)</f>
        <v>5</v>
      </c>
      <c r="Q247" s="127">
        <f>SUM(I247,P247)</f>
        <v>5</v>
      </c>
    </row>
    <row r="248" spans="1:17" x14ac:dyDescent="0.25">
      <c r="A248" s="84">
        <v>2</v>
      </c>
      <c r="B248" s="12" t="s">
        <v>19</v>
      </c>
      <c r="C248" s="16">
        <v>0</v>
      </c>
      <c r="D248" s="16">
        <v>0</v>
      </c>
      <c r="E248" s="17">
        <v>1</v>
      </c>
      <c r="F248" s="59">
        <f>'ubi kayu'!C42</f>
        <v>2</v>
      </c>
      <c r="G248" s="59">
        <f>'ubi kayu'!D42</f>
        <v>0</v>
      </c>
      <c r="H248" s="155">
        <f>'ubi kayu'!E42</f>
        <v>0</v>
      </c>
      <c r="I248" s="125">
        <f t="shared" ref="I248:I254" si="84">SUM(C248:H248)</f>
        <v>3</v>
      </c>
      <c r="J248" s="223">
        <f>'ubi kayu'!F42</f>
        <v>0</v>
      </c>
      <c r="K248" s="132">
        <f>'ubi kayu'!G42</f>
        <v>0</v>
      </c>
      <c r="L248" s="132">
        <f>'ubi kayu'!H42</f>
        <v>0</v>
      </c>
      <c r="M248" s="132">
        <f>'ubi kayu'!I42</f>
        <v>0</v>
      </c>
      <c r="N248" s="132">
        <f>'ubi kayu'!J42</f>
        <v>0</v>
      </c>
      <c r="O248" s="157">
        <f>'ubi kayu'!K42</f>
        <v>0</v>
      </c>
      <c r="P248" s="125">
        <f t="shared" ref="P248:P253" si="85">SUM(J248:O248)</f>
        <v>0</v>
      </c>
      <c r="Q248" s="128">
        <f t="shared" ref="Q248:Q254" si="86">SUM(I248,P248)</f>
        <v>3</v>
      </c>
    </row>
    <row r="249" spans="1:17" x14ac:dyDescent="0.25">
      <c r="A249" s="84">
        <v>3</v>
      </c>
      <c r="B249" s="7" t="s">
        <v>20</v>
      </c>
      <c r="C249" s="16">
        <v>0</v>
      </c>
      <c r="D249" s="16">
        <v>0</v>
      </c>
      <c r="E249" s="16">
        <v>0</v>
      </c>
      <c r="F249" s="59">
        <f>'ubi kayu'!C43</f>
        <v>0</v>
      </c>
      <c r="G249" s="59">
        <f>'ubi kayu'!D43</f>
        <v>0</v>
      </c>
      <c r="H249" s="155">
        <f>'ubi kayu'!E43</f>
        <v>0</v>
      </c>
      <c r="I249" s="125">
        <f t="shared" si="84"/>
        <v>0</v>
      </c>
      <c r="J249" s="223">
        <f>'ubi kayu'!F43</f>
        <v>0</v>
      </c>
      <c r="K249" s="132">
        <f>'ubi kayu'!G43</f>
        <v>0</v>
      </c>
      <c r="L249" s="132">
        <f>'ubi kayu'!H43</f>
        <v>0</v>
      </c>
      <c r="M249" s="132">
        <f>'ubi kayu'!I43</f>
        <v>0</v>
      </c>
      <c r="N249" s="132">
        <f>'ubi kayu'!J43</f>
        <v>0</v>
      </c>
      <c r="O249" s="157">
        <f>'ubi kayu'!K43</f>
        <v>0</v>
      </c>
      <c r="P249" s="125">
        <f t="shared" si="85"/>
        <v>0</v>
      </c>
      <c r="Q249" s="128">
        <f t="shared" si="86"/>
        <v>0</v>
      </c>
    </row>
    <row r="250" spans="1:17" x14ac:dyDescent="0.25">
      <c r="A250" s="85">
        <v>4</v>
      </c>
      <c r="B250" s="15" t="s">
        <v>21</v>
      </c>
      <c r="C250" s="16">
        <v>1</v>
      </c>
      <c r="D250" s="16">
        <v>0</v>
      </c>
      <c r="E250" s="17">
        <v>0</v>
      </c>
      <c r="F250" s="59">
        <f>'ubi kayu'!C44</f>
        <v>0</v>
      </c>
      <c r="G250" s="59">
        <f>'ubi kayu'!D44</f>
        <v>0</v>
      </c>
      <c r="H250" s="155">
        <f>'ubi kayu'!E44</f>
        <v>0</v>
      </c>
      <c r="I250" s="125">
        <f t="shared" si="84"/>
        <v>1</v>
      </c>
      <c r="J250" s="223">
        <f>'ubi kayu'!F44</f>
        <v>0</v>
      </c>
      <c r="K250" s="132">
        <f>'ubi kayu'!G44</f>
        <v>0</v>
      </c>
      <c r="L250" s="132">
        <f>'ubi kayu'!H44</f>
        <v>0</v>
      </c>
      <c r="M250" s="132">
        <f>'ubi kayu'!I44</f>
        <v>0</v>
      </c>
      <c r="N250" s="132">
        <f>'ubi kayu'!J44</f>
        <v>0</v>
      </c>
      <c r="O250" s="157">
        <f>'ubi kayu'!K44</f>
        <v>0</v>
      </c>
      <c r="P250" s="125">
        <f t="shared" si="85"/>
        <v>0</v>
      </c>
      <c r="Q250" s="128">
        <f t="shared" si="86"/>
        <v>1</v>
      </c>
    </row>
    <row r="251" spans="1:17" x14ac:dyDescent="0.25">
      <c r="A251" s="85">
        <v>5</v>
      </c>
      <c r="B251" s="19" t="s">
        <v>22</v>
      </c>
      <c r="C251" s="16">
        <v>0</v>
      </c>
      <c r="D251" s="16">
        <v>0</v>
      </c>
      <c r="E251" s="16">
        <v>1</v>
      </c>
      <c r="F251" s="59">
        <f>'ubi kayu'!C45</f>
        <v>0</v>
      </c>
      <c r="G251" s="59">
        <f>'ubi kayu'!D45</f>
        <v>0</v>
      </c>
      <c r="H251" s="155">
        <f>'ubi kayu'!E45</f>
        <v>0</v>
      </c>
      <c r="I251" s="125">
        <f t="shared" si="84"/>
        <v>1</v>
      </c>
      <c r="J251" s="223">
        <f>'ubi kayu'!F45</f>
        <v>0</v>
      </c>
      <c r="K251" s="132">
        <f>'ubi kayu'!G45</f>
        <v>0</v>
      </c>
      <c r="L251" s="132">
        <f>'ubi kayu'!H45</f>
        <v>2</v>
      </c>
      <c r="M251" s="132">
        <f>'ubi kayu'!I45</f>
        <v>1</v>
      </c>
      <c r="N251" s="132">
        <f>'ubi kayu'!J45</f>
        <v>0</v>
      </c>
      <c r="O251" s="157">
        <f>'ubi kayu'!K45</f>
        <v>0</v>
      </c>
      <c r="P251" s="125">
        <f t="shared" si="85"/>
        <v>3</v>
      </c>
      <c r="Q251" s="128">
        <f t="shared" si="86"/>
        <v>4</v>
      </c>
    </row>
    <row r="252" spans="1:17" x14ac:dyDescent="0.25">
      <c r="A252" s="85">
        <v>6</v>
      </c>
      <c r="B252" s="19" t="s">
        <v>23</v>
      </c>
      <c r="C252" s="16">
        <v>0</v>
      </c>
      <c r="D252" s="16">
        <v>1</v>
      </c>
      <c r="E252" s="16">
        <v>1</v>
      </c>
      <c r="F252" s="59">
        <f>'ubi kayu'!C46</f>
        <v>0</v>
      </c>
      <c r="G252" s="59">
        <f>'ubi kayu'!D46</f>
        <v>0</v>
      </c>
      <c r="H252" s="155">
        <f>'ubi kayu'!E46</f>
        <v>0</v>
      </c>
      <c r="I252" s="125">
        <f t="shared" si="84"/>
        <v>2</v>
      </c>
      <c r="J252" s="223">
        <f>'ubi kayu'!F46</f>
        <v>0</v>
      </c>
      <c r="K252" s="132">
        <f>'ubi kayu'!G46</f>
        <v>1</v>
      </c>
      <c r="L252" s="132">
        <f>'ubi kayu'!H46</f>
        <v>0</v>
      </c>
      <c r="M252" s="132">
        <f>'ubi kayu'!I46</f>
        <v>0</v>
      </c>
      <c r="N252" s="132">
        <f>'ubi kayu'!J46</f>
        <v>0</v>
      </c>
      <c r="O252" s="157">
        <f>'ubi kayu'!K46</f>
        <v>0</v>
      </c>
      <c r="P252" s="125">
        <f t="shared" si="85"/>
        <v>1</v>
      </c>
      <c r="Q252" s="128">
        <f t="shared" si="86"/>
        <v>3</v>
      </c>
    </row>
    <row r="253" spans="1:17" x14ac:dyDescent="0.25">
      <c r="A253" s="85">
        <v>7</v>
      </c>
      <c r="B253" s="19" t="s">
        <v>24</v>
      </c>
      <c r="C253" s="16">
        <v>0</v>
      </c>
      <c r="D253" s="16">
        <v>0</v>
      </c>
      <c r="E253" s="16">
        <v>0</v>
      </c>
      <c r="F253" s="59">
        <f>'ubi kayu'!C47</f>
        <v>0</v>
      </c>
      <c r="G253" s="59">
        <f>'ubi kayu'!D47</f>
        <v>0</v>
      </c>
      <c r="H253" s="155">
        <f>'ubi kayu'!E47</f>
        <v>0</v>
      </c>
      <c r="I253" s="125">
        <f t="shared" si="84"/>
        <v>0</v>
      </c>
      <c r="J253" s="223">
        <f>'ubi kayu'!F47</f>
        <v>0</v>
      </c>
      <c r="K253" s="132">
        <f>'ubi kayu'!G47</f>
        <v>0</v>
      </c>
      <c r="L253" s="132">
        <f>'ubi kayu'!H47</f>
        <v>0</v>
      </c>
      <c r="M253" s="132">
        <f>'ubi kayu'!I47</f>
        <v>0</v>
      </c>
      <c r="N253" s="132">
        <f>'ubi kayu'!J47</f>
        <v>0</v>
      </c>
      <c r="O253" s="157">
        <f>'ubi kayu'!K47</f>
        <v>0</v>
      </c>
      <c r="P253" s="125">
        <f t="shared" si="85"/>
        <v>0</v>
      </c>
      <c r="Q253" s="128">
        <f t="shared" si="86"/>
        <v>0</v>
      </c>
    </row>
    <row r="254" spans="1:17" ht="15.75" thickBot="1" x14ac:dyDescent="0.3">
      <c r="A254" s="86">
        <v>8</v>
      </c>
      <c r="B254" s="15" t="s">
        <v>25</v>
      </c>
      <c r="C254" s="17">
        <v>0</v>
      </c>
      <c r="D254" s="17">
        <v>0</v>
      </c>
      <c r="E254" s="17">
        <v>1</v>
      </c>
      <c r="F254" s="137">
        <f>'ubi kayu'!C48</f>
        <v>0</v>
      </c>
      <c r="G254" s="137">
        <f>'ubi kayu'!D48</f>
        <v>0</v>
      </c>
      <c r="H254" s="137">
        <f>'ubi kayu'!E48</f>
        <v>0</v>
      </c>
      <c r="I254" s="126">
        <f t="shared" si="84"/>
        <v>1</v>
      </c>
      <c r="J254" s="232">
        <f>'ubi kayu'!F48</f>
        <v>2</v>
      </c>
      <c r="K254" s="232">
        <f>'ubi kayu'!G48</f>
        <v>0</v>
      </c>
      <c r="L254" s="232">
        <f>'ubi kayu'!H48</f>
        <v>1</v>
      </c>
      <c r="M254" s="232">
        <f>'ubi kayu'!I48</f>
        <v>1</v>
      </c>
      <c r="N254" s="232">
        <f>'ubi kayu'!J48</f>
        <v>2</v>
      </c>
      <c r="O254" s="232">
        <f>'ubi kayu'!K48</f>
        <v>0</v>
      </c>
      <c r="P254" s="126">
        <f>SUM(J254:O254)</f>
        <v>6</v>
      </c>
      <c r="Q254" s="129">
        <f t="shared" si="86"/>
        <v>7</v>
      </c>
    </row>
    <row r="255" spans="1:17" ht="16.5" thickTop="1" thickBot="1" x14ac:dyDescent="0.3">
      <c r="A255" s="339" t="s">
        <v>26</v>
      </c>
      <c r="B255" s="340"/>
      <c r="C255" s="112">
        <f t="shared" ref="C255:H255" si="87">SUM(C247:C254)</f>
        <v>1</v>
      </c>
      <c r="D255" s="112">
        <f t="shared" si="87"/>
        <v>1</v>
      </c>
      <c r="E255" s="112">
        <f t="shared" si="87"/>
        <v>4</v>
      </c>
      <c r="F255" s="112">
        <f t="shared" si="87"/>
        <v>2</v>
      </c>
      <c r="G255" s="112">
        <f t="shared" si="87"/>
        <v>0</v>
      </c>
      <c r="H255" s="121">
        <f t="shared" si="87"/>
        <v>0</v>
      </c>
      <c r="I255" s="123">
        <f>SUM(I247:I254)</f>
        <v>8</v>
      </c>
      <c r="J255" s="133">
        <f t="shared" ref="J255:O255" si="88">SUM(J247:J254)</f>
        <v>2</v>
      </c>
      <c r="K255" s="112">
        <f t="shared" si="88"/>
        <v>3</v>
      </c>
      <c r="L255" s="112">
        <f t="shared" si="88"/>
        <v>3</v>
      </c>
      <c r="M255" s="112">
        <f t="shared" si="88"/>
        <v>2</v>
      </c>
      <c r="N255" s="112">
        <f t="shared" si="88"/>
        <v>4</v>
      </c>
      <c r="O255" s="121">
        <f t="shared" si="88"/>
        <v>1</v>
      </c>
      <c r="P255" s="123">
        <f>SUM(P247:P254)</f>
        <v>15</v>
      </c>
      <c r="Q255" s="130">
        <f>SUM(Q247:Q254)</f>
        <v>23</v>
      </c>
    </row>
    <row r="257" spans="1:17" ht="15.75" x14ac:dyDescent="0.25">
      <c r="A257" s="341" t="s">
        <v>118</v>
      </c>
      <c r="B257" s="341"/>
      <c r="C257" s="341"/>
      <c r="D257" s="341"/>
      <c r="E257" s="341"/>
      <c r="F257" s="341"/>
      <c r="G257" s="341"/>
      <c r="H257" s="341"/>
      <c r="I257" s="341"/>
      <c r="J257" s="341"/>
      <c r="K257" s="341"/>
      <c r="L257" s="341"/>
      <c r="M257" s="341"/>
      <c r="N257" s="341"/>
      <c r="O257" s="341"/>
      <c r="P257" s="341"/>
      <c r="Q257" s="341"/>
    </row>
    <row r="258" spans="1:17" ht="15.75" x14ac:dyDescent="0.25">
      <c r="A258" s="341" t="s">
        <v>81</v>
      </c>
      <c r="B258" s="341"/>
      <c r="C258" s="341"/>
      <c r="D258" s="341"/>
      <c r="E258" s="341"/>
      <c r="F258" s="341"/>
      <c r="G258" s="341"/>
      <c r="H258" s="341"/>
      <c r="I258" s="341"/>
      <c r="J258" s="341"/>
      <c r="K258" s="341"/>
      <c r="L258" s="341"/>
      <c r="M258" s="341"/>
      <c r="N258" s="341"/>
      <c r="O258" s="341"/>
      <c r="P258" s="341"/>
      <c r="Q258" s="341"/>
    </row>
    <row r="259" spans="1:17" ht="15.75" thickBot="1" x14ac:dyDescent="0.3">
      <c r="Q259" s="75" t="s">
        <v>1</v>
      </c>
    </row>
    <row r="260" spans="1:17" x14ac:dyDescent="0.25">
      <c r="A260" s="334" t="s">
        <v>2</v>
      </c>
      <c r="B260" s="336" t="s">
        <v>3</v>
      </c>
      <c r="C260" s="342" t="s">
        <v>138</v>
      </c>
      <c r="D260" s="343"/>
      <c r="E260" s="343"/>
      <c r="F260" s="343"/>
      <c r="G260" s="343"/>
      <c r="H260" s="343"/>
      <c r="I260" s="345" t="s">
        <v>82</v>
      </c>
      <c r="J260" s="343">
        <v>2019</v>
      </c>
      <c r="K260" s="343"/>
      <c r="L260" s="343"/>
      <c r="M260" s="343"/>
      <c r="N260" s="343"/>
      <c r="O260" s="343"/>
      <c r="P260" s="345" t="s">
        <v>83</v>
      </c>
      <c r="Q260" s="348" t="s">
        <v>5</v>
      </c>
    </row>
    <row r="261" spans="1:17" x14ac:dyDescent="0.25">
      <c r="A261" s="335"/>
      <c r="B261" s="324"/>
      <c r="C261" s="296" t="s">
        <v>15</v>
      </c>
      <c r="D261" s="296" t="s">
        <v>16</v>
      </c>
      <c r="E261" s="296" t="s">
        <v>17</v>
      </c>
      <c r="F261" s="296" t="s">
        <v>6</v>
      </c>
      <c r="G261" s="296" t="s">
        <v>76</v>
      </c>
      <c r="H261" s="119" t="s">
        <v>77</v>
      </c>
      <c r="I261" s="346"/>
      <c r="J261" s="109" t="s">
        <v>78</v>
      </c>
      <c r="K261" s="296" t="s">
        <v>10</v>
      </c>
      <c r="L261" s="296" t="s">
        <v>11</v>
      </c>
      <c r="M261" s="296" t="s">
        <v>12</v>
      </c>
      <c r="N261" s="296" t="s">
        <v>79</v>
      </c>
      <c r="O261" s="119" t="s">
        <v>80</v>
      </c>
      <c r="P261" s="346"/>
      <c r="Q261" s="349"/>
    </row>
    <row r="262" spans="1:17" ht="15.75" thickBot="1" x14ac:dyDescent="0.3">
      <c r="A262" s="111">
        <v>1</v>
      </c>
      <c r="B262" s="5">
        <v>2</v>
      </c>
      <c r="C262" s="5">
        <v>3</v>
      </c>
      <c r="D262" s="5">
        <v>4</v>
      </c>
      <c r="E262" s="5">
        <v>5</v>
      </c>
      <c r="F262" s="5">
        <v>6</v>
      </c>
      <c r="G262" s="5">
        <v>7</v>
      </c>
      <c r="H262" s="120">
        <v>8</v>
      </c>
      <c r="I262" s="122">
        <v>9</v>
      </c>
      <c r="J262" s="110">
        <v>10</v>
      </c>
      <c r="K262" s="5">
        <v>11</v>
      </c>
      <c r="L262" s="5">
        <v>12</v>
      </c>
      <c r="M262" s="5">
        <v>13</v>
      </c>
      <c r="N262" s="5">
        <v>14</v>
      </c>
      <c r="O262" s="120">
        <v>15</v>
      </c>
      <c r="P262" s="122">
        <v>16</v>
      </c>
      <c r="Q262" s="131">
        <v>17</v>
      </c>
    </row>
    <row r="263" spans="1:17" ht="15.75" thickTop="1" x14ac:dyDescent="0.25">
      <c r="A263" s="83">
        <v>1</v>
      </c>
      <c r="B263" s="7" t="s">
        <v>18</v>
      </c>
      <c r="C263" s="28">
        <v>0</v>
      </c>
      <c r="D263" s="28">
        <v>0</v>
      </c>
      <c r="E263" s="28">
        <v>0</v>
      </c>
      <c r="F263" s="136">
        <f>'ubi jalar'!C42</f>
        <v>0</v>
      </c>
      <c r="G263" s="136">
        <f>'ubi jalar'!D42</f>
        <v>0</v>
      </c>
      <c r="H263" s="136">
        <f>'ubi jalar'!E42</f>
        <v>0</v>
      </c>
      <c r="I263" s="124">
        <f>SUM(C263:H263)</f>
        <v>0</v>
      </c>
      <c r="J263" s="156">
        <f>'ubi jalar'!F42</f>
        <v>0</v>
      </c>
      <c r="K263" s="156">
        <f>'ubi jalar'!G42</f>
        <v>9</v>
      </c>
      <c r="L263" s="156">
        <f>'ubi jalar'!H42</f>
        <v>0</v>
      </c>
      <c r="M263" s="156">
        <f>'ubi jalar'!I42</f>
        <v>0</v>
      </c>
      <c r="N263" s="156">
        <f>'ubi jalar'!J42</f>
        <v>1</v>
      </c>
      <c r="O263" s="156">
        <f>'ubi jalar'!K42</f>
        <v>0</v>
      </c>
      <c r="P263" s="124">
        <f>SUM(J263:O263)</f>
        <v>10</v>
      </c>
      <c r="Q263" s="127">
        <f>SUM(I263,P263)</f>
        <v>10</v>
      </c>
    </row>
    <row r="264" spans="1:17" x14ac:dyDescent="0.25">
      <c r="A264" s="84">
        <v>2</v>
      </c>
      <c r="B264" s="12" t="s">
        <v>19</v>
      </c>
      <c r="C264" s="16">
        <v>0</v>
      </c>
      <c r="D264" s="16">
        <v>1</v>
      </c>
      <c r="E264" s="16">
        <v>0</v>
      </c>
      <c r="F264" s="59">
        <f>'ubi jalar'!C43</f>
        <v>0</v>
      </c>
      <c r="G264" s="59">
        <f>'ubi jalar'!D43</f>
        <v>0</v>
      </c>
      <c r="H264" s="155">
        <f>'ubi jalar'!E43</f>
        <v>1</v>
      </c>
      <c r="I264" s="125">
        <f t="shared" ref="I264:I270" si="89">SUM(C264:H264)</f>
        <v>2</v>
      </c>
      <c r="J264" s="223">
        <f>'ubi jalar'!F43</f>
        <v>1</v>
      </c>
      <c r="K264" s="132">
        <f>'ubi jalar'!G43</f>
        <v>0</v>
      </c>
      <c r="L264" s="132">
        <f>'ubi jalar'!H43</f>
        <v>0</v>
      </c>
      <c r="M264" s="132">
        <f>'ubi jalar'!I43</f>
        <v>0</v>
      </c>
      <c r="N264" s="132">
        <f>'ubi jalar'!J43</f>
        <v>1</v>
      </c>
      <c r="O264" s="157">
        <f>'ubi jalar'!K43</f>
        <v>1</v>
      </c>
      <c r="P264" s="125">
        <f t="shared" ref="P264:P269" si="90">SUM(J264:O264)</f>
        <v>3</v>
      </c>
      <c r="Q264" s="128">
        <f t="shared" ref="Q264:Q270" si="91">SUM(I264,P264)</f>
        <v>5</v>
      </c>
    </row>
    <row r="265" spans="1:17" x14ac:dyDescent="0.25">
      <c r="A265" s="84">
        <v>3</v>
      </c>
      <c r="B265" s="7" t="s">
        <v>20</v>
      </c>
      <c r="C265" s="16">
        <v>0</v>
      </c>
      <c r="D265" s="16">
        <v>0</v>
      </c>
      <c r="E265" s="16">
        <v>0</v>
      </c>
      <c r="F265" s="59">
        <f>'ubi jalar'!C44</f>
        <v>0</v>
      </c>
      <c r="G265" s="59">
        <f>'ubi jalar'!D44</f>
        <v>0</v>
      </c>
      <c r="H265" s="155">
        <f>'ubi jalar'!E44</f>
        <v>0</v>
      </c>
      <c r="I265" s="125">
        <f t="shared" si="89"/>
        <v>0</v>
      </c>
      <c r="J265" s="223">
        <f>'ubi jalar'!F44</f>
        <v>0</v>
      </c>
      <c r="K265" s="132">
        <f>'ubi jalar'!G44</f>
        <v>0</v>
      </c>
      <c r="L265" s="132">
        <f>'ubi jalar'!H44</f>
        <v>0</v>
      </c>
      <c r="M265" s="132">
        <f>'ubi jalar'!I44</f>
        <v>0</v>
      </c>
      <c r="N265" s="132">
        <f>'ubi jalar'!J44</f>
        <v>0</v>
      </c>
      <c r="O265" s="157">
        <f>'ubi jalar'!K44</f>
        <v>0</v>
      </c>
      <c r="P265" s="125">
        <f t="shared" si="90"/>
        <v>0</v>
      </c>
      <c r="Q265" s="128">
        <f t="shared" si="91"/>
        <v>0</v>
      </c>
    </row>
    <row r="266" spans="1:17" x14ac:dyDescent="0.25">
      <c r="A266" s="85">
        <v>4</v>
      </c>
      <c r="B266" s="15" t="s">
        <v>21</v>
      </c>
      <c r="C266" s="16">
        <v>0</v>
      </c>
      <c r="D266" s="16">
        <v>0</v>
      </c>
      <c r="E266" s="16">
        <v>0</v>
      </c>
      <c r="F266" s="59">
        <f>'ubi jalar'!C45</f>
        <v>0</v>
      </c>
      <c r="G266" s="59">
        <f>'ubi jalar'!D45</f>
        <v>0</v>
      </c>
      <c r="H266" s="155">
        <f>'ubi jalar'!E45</f>
        <v>0</v>
      </c>
      <c r="I266" s="125">
        <f t="shared" si="89"/>
        <v>0</v>
      </c>
      <c r="J266" s="223">
        <f>'ubi jalar'!F45</f>
        <v>0</v>
      </c>
      <c r="K266" s="132">
        <f>'ubi jalar'!G45</f>
        <v>0</v>
      </c>
      <c r="L266" s="132">
        <f>'ubi jalar'!H45</f>
        <v>0</v>
      </c>
      <c r="M266" s="132">
        <f>'ubi jalar'!I45</f>
        <v>0</v>
      </c>
      <c r="N266" s="132">
        <f>'ubi jalar'!J45</f>
        <v>0</v>
      </c>
      <c r="O266" s="157">
        <f>'ubi jalar'!K45</f>
        <v>0</v>
      </c>
      <c r="P266" s="125">
        <f t="shared" si="90"/>
        <v>0</v>
      </c>
      <c r="Q266" s="128">
        <f t="shared" si="91"/>
        <v>0</v>
      </c>
    </row>
    <row r="267" spans="1:17" x14ac:dyDescent="0.25">
      <c r="A267" s="85">
        <v>5</v>
      </c>
      <c r="B267" s="19" t="s">
        <v>22</v>
      </c>
      <c r="C267" s="16">
        <v>0</v>
      </c>
      <c r="D267" s="16">
        <v>0</v>
      </c>
      <c r="E267" s="16">
        <v>3</v>
      </c>
      <c r="F267" s="59">
        <f>'ubi jalar'!C46</f>
        <v>0</v>
      </c>
      <c r="G267" s="59">
        <f>'ubi jalar'!D46</f>
        <v>0</v>
      </c>
      <c r="H267" s="155">
        <f>'ubi jalar'!E46</f>
        <v>0</v>
      </c>
      <c r="I267" s="125">
        <f t="shared" si="89"/>
        <v>3</v>
      </c>
      <c r="J267" s="223">
        <f>'ubi jalar'!F46</f>
        <v>0</v>
      </c>
      <c r="K267" s="132">
        <f>'ubi jalar'!G46</f>
        <v>0</v>
      </c>
      <c r="L267" s="132">
        <f>'ubi jalar'!H46</f>
        <v>0</v>
      </c>
      <c r="M267" s="132">
        <f>'ubi jalar'!I46</f>
        <v>0</v>
      </c>
      <c r="N267" s="132">
        <f>'ubi jalar'!J46</f>
        <v>0</v>
      </c>
      <c r="O267" s="157">
        <f>'ubi jalar'!K46</f>
        <v>0</v>
      </c>
      <c r="P267" s="125">
        <f t="shared" si="90"/>
        <v>0</v>
      </c>
      <c r="Q267" s="128">
        <f t="shared" si="91"/>
        <v>3</v>
      </c>
    </row>
    <row r="268" spans="1:17" x14ac:dyDescent="0.25">
      <c r="A268" s="85">
        <v>6</v>
      </c>
      <c r="B268" s="19" t="s">
        <v>23</v>
      </c>
      <c r="C268" s="16">
        <v>0</v>
      </c>
      <c r="D268" s="16">
        <v>1</v>
      </c>
      <c r="E268" s="16">
        <v>1</v>
      </c>
      <c r="F268" s="59">
        <f>'ubi jalar'!C47</f>
        <v>0</v>
      </c>
      <c r="G268" s="59">
        <f>'ubi jalar'!D47</f>
        <v>1</v>
      </c>
      <c r="H268" s="155">
        <f>'ubi jalar'!E47</f>
        <v>0</v>
      </c>
      <c r="I268" s="125">
        <f t="shared" si="89"/>
        <v>3</v>
      </c>
      <c r="J268" s="223">
        <f>'ubi jalar'!F47</f>
        <v>0</v>
      </c>
      <c r="K268" s="132">
        <f>'ubi jalar'!G47</f>
        <v>1</v>
      </c>
      <c r="L268" s="132">
        <f>'ubi jalar'!H47</f>
        <v>0</v>
      </c>
      <c r="M268" s="132">
        <f>'ubi jalar'!I47</f>
        <v>0</v>
      </c>
      <c r="N268" s="132">
        <f>'ubi jalar'!J47</f>
        <v>0</v>
      </c>
      <c r="O268" s="157">
        <f>'ubi jalar'!K47</f>
        <v>0</v>
      </c>
      <c r="P268" s="125">
        <f t="shared" si="90"/>
        <v>1</v>
      </c>
      <c r="Q268" s="128">
        <f t="shared" si="91"/>
        <v>4</v>
      </c>
    </row>
    <row r="269" spans="1:17" x14ac:dyDescent="0.25">
      <c r="A269" s="85">
        <v>7</v>
      </c>
      <c r="B269" s="19" t="s">
        <v>24</v>
      </c>
      <c r="C269" s="16">
        <v>0</v>
      </c>
      <c r="D269" s="16">
        <v>0</v>
      </c>
      <c r="E269" s="16">
        <v>0</v>
      </c>
      <c r="F269" s="59">
        <f>'ubi jalar'!C48</f>
        <v>0</v>
      </c>
      <c r="G269" s="59">
        <f>'ubi jalar'!D48</f>
        <v>0</v>
      </c>
      <c r="H269" s="155">
        <f>'ubi jalar'!E48</f>
        <v>0</v>
      </c>
      <c r="I269" s="125">
        <f t="shared" si="89"/>
        <v>0</v>
      </c>
      <c r="J269" s="223">
        <f>'ubi jalar'!F48</f>
        <v>0</v>
      </c>
      <c r="K269" s="132">
        <f>'ubi jalar'!G48</f>
        <v>0</v>
      </c>
      <c r="L269" s="132">
        <f>'ubi jalar'!H48</f>
        <v>0</v>
      </c>
      <c r="M269" s="132">
        <f>'ubi jalar'!I48</f>
        <v>0</v>
      </c>
      <c r="N269" s="132">
        <f>'ubi jalar'!J48</f>
        <v>0</v>
      </c>
      <c r="O269" s="157">
        <f>'ubi jalar'!K48</f>
        <v>0</v>
      </c>
      <c r="P269" s="125">
        <f t="shared" si="90"/>
        <v>0</v>
      </c>
      <c r="Q269" s="128">
        <f t="shared" si="91"/>
        <v>0</v>
      </c>
    </row>
    <row r="270" spans="1:17" ht="15.75" thickBot="1" x14ac:dyDescent="0.3">
      <c r="A270" s="86">
        <v>8</v>
      </c>
      <c r="B270" s="15" t="s">
        <v>25</v>
      </c>
      <c r="C270" s="54">
        <v>0</v>
      </c>
      <c r="D270" s="54">
        <v>0</v>
      </c>
      <c r="E270" s="54">
        <v>0</v>
      </c>
      <c r="F270" s="137">
        <f>'ubi jalar'!C49</f>
        <v>0</v>
      </c>
      <c r="G270" s="137">
        <f>'ubi jalar'!D49</f>
        <v>0</v>
      </c>
      <c r="H270" s="137">
        <f>'ubi jalar'!E49</f>
        <v>1</v>
      </c>
      <c r="I270" s="126">
        <f t="shared" si="89"/>
        <v>1</v>
      </c>
      <c r="J270" s="232">
        <f>'ubi jalar'!F49</f>
        <v>0</v>
      </c>
      <c r="K270" s="232">
        <f>'ubi jalar'!G49</f>
        <v>0</v>
      </c>
      <c r="L270" s="232">
        <f>'ubi jalar'!H49</f>
        <v>0</v>
      </c>
      <c r="M270" s="232">
        <f>'ubi jalar'!I49</f>
        <v>1</v>
      </c>
      <c r="N270" s="232">
        <f>'ubi jalar'!J49</f>
        <v>0</v>
      </c>
      <c r="O270" s="232">
        <f>'ubi jalar'!K49</f>
        <v>0</v>
      </c>
      <c r="P270" s="126">
        <f>SUM(J270:O270)</f>
        <v>1</v>
      </c>
      <c r="Q270" s="129">
        <f t="shared" si="91"/>
        <v>2</v>
      </c>
    </row>
    <row r="271" spans="1:17" ht="16.5" thickTop="1" thickBot="1" x14ac:dyDescent="0.3">
      <c r="A271" s="339" t="s">
        <v>26</v>
      </c>
      <c r="B271" s="340"/>
      <c r="C271" s="112">
        <f t="shared" ref="C271:H271" si="92">SUM(C263:C270)</f>
        <v>0</v>
      </c>
      <c r="D271" s="112">
        <f t="shared" si="92"/>
        <v>2</v>
      </c>
      <c r="E271" s="112">
        <f t="shared" si="92"/>
        <v>4</v>
      </c>
      <c r="F271" s="112">
        <f t="shared" si="92"/>
        <v>0</v>
      </c>
      <c r="G271" s="112">
        <f t="shared" si="92"/>
        <v>1</v>
      </c>
      <c r="H271" s="121">
        <f t="shared" si="92"/>
        <v>2</v>
      </c>
      <c r="I271" s="123">
        <f>SUM(I263:I270)</f>
        <v>9</v>
      </c>
      <c r="J271" s="133">
        <f t="shared" ref="J271:O271" si="93">SUM(J263:J270)</f>
        <v>1</v>
      </c>
      <c r="K271" s="112">
        <f t="shared" si="93"/>
        <v>10</v>
      </c>
      <c r="L271" s="112">
        <f t="shared" si="93"/>
        <v>0</v>
      </c>
      <c r="M271" s="112">
        <f t="shared" si="93"/>
        <v>1</v>
      </c>
      <c r="N271" s="112">
        <f t="shared" si="93"/>
        <v>2</v>
      </c>
      <c r="O271" s="121">
        <f t="shared" si="93"/>
        <v>1</v>
      </c>
      <c r="P271" s="123">
        <f>SUM(P263:P270)</f>
        <v>15</v>
      </c>
      <c r="Q271" s="130">
        <f>SUM(Q263:Q270)</f>
        <v>24</v>
      </c>
    </row>
    <row r="273" spans="1:17" ht="15.75" x14ac:dyDescent="0.25">
      <c r="A273" s="341" t="s">
        <v>119</v>
      </c>
      <c r="B273" s="341"/>
      <c r="C273" s="341"/>
      <c r="D273" s="341"/>
      <c r="E273" s="341"/>
      <c r="F273" s="341"/>
      <c r="G273" s="341"/>
      <c r="H273" s="341"/>
      <c r="I273" s="341"/>
      <c r="J273" s="341"/>
      <c r="K273" s="341"/>
      <c r="L273" s="341"/>
      <c r="M273" s="341"/>
      <c r="N273" s="341"/>
      <c r="O273" s="341"/>
      <c r="P273" s="341"/>
      <c r="Q273" s="341"/>
    </row>
    <row r="274" spans="1:17" ht="15.75" x14ac:dyDescent="0.25">
      <c r="A274" s="341" t="s">
        <v>81</v>
      </c>
      <c r="B274" s="341"/>
      <c r="C274" s="341"/>
      <c r="D274" s="341"/>
      <c r="E274" s="341"/>
      <c r="F274" s="341"/>
      <c r="G274" s="341"/>
      <c r="H274" s="341"/>
      <c r="I274" s="341"/>
      <c r="J274" s="341"/>
      <c r="K274" s="341"/>
      <c r="L274" s="341"/>
      <c r="M274" s="341"/>
      <c r="N274" s="341"/>
      <c r="O274" s="341"/>
      <c r="P274" s="341"/>
      <c r="Q274" s="341"/>
    </row>
    <row r="275" spans="1:17" ht="15.75" thickBot="1" x14ac:dyDescent="0.3">
      <c r="Q275" s="75" t="s">
        <v>1</v>
      </c>
    </row>
    <row r="276" spans="1:17" x14ac:dyDescent="0.25">
      <c r="A276" s="334" t="s">
        <v>2</v>
      </c>
      <c r="B276" s="336" t="s">
        <v>3</v>
      </c>
      <c r="C276" s="342" t="s">
        <v>138</v>
      </c>
      <c r="D276" s="343"/>
      <c r="E276" s="343"/>
      <c r="F276" s="343"/>
      <c r="G276" s="343"/>
      <c r="H276" s="343"/>
      <c r="I276" s="345" t="s">
        <v>82</v>
      </c>
      <c r="J276" s="343">
        <v>2019</v>
      </c>
      <c r="K276" s="343"/>
      <c r="L276" s="343"/>
      <c r="M276" s="343"/>
      <c r="N276" s="343"/>
      <c r="O276" s="343"/>
      <c r="P276" s="345" t="s">
        <v>83</v>
      </c>
      <c r="Q276" s="348" t="s">
        <v>5</v>
      </c>
    </row>
    <row r="277" spans="1:17" x14ac:dyDescent="0.25">
      <c r="A277" s="335"/>
      <c r="B277" s="324"/>
      <c r="C277" s="296" t="s">
        <v>15</v>
      </c>
      <c r="D277" s="296" t="s">
        <v>16</v>
      </c>
      <c r="E277" s="296" t="s">
        <v>17</v>
      </c>
      <c r="F277" s="296" t="s">
        <v>6</v>
      </c>
      <c r="G277" s="296" t="s">
        <v>76</v>
      </c>
      <c r="H277" s="119" t="s">
        <v>77</v>
      </c>
      <c r="I277" s="346"/>
      <c r="J277" s="109" t="s">
        <v>78</v>
      </c>
      <c r="K277" s="296" t="s">
        <v>10</v>
      </c>
      <c r="L277" s="296" t="s">
        <v>11</v>
      </c>
      <c r="M277" s="296" t="s">
        <v>12</v>
      </c>
      <c r="N277" s="296" t="s">
        <v>79</v>
      </c>
      <c r="O277" s="119" t="s">
        <v>80</v>
      </c>
      <c r="P277" s="346"/>
      <c r="Q277" s="349"/>
    </row>
    <row r="278" spans="1:17" ht="15.75" thickBot="1" x14ac:dyDescent="0.3">
      <c r="A278" s="111">
        <v>1</v>
      </c>
      <c r="B278" s="5">
        <v>2</v>
      </c>
      <c r="C278" s="5">
        <v>3</v>
      </c>
      <c r="D278" s="5">
        <v>4</v>
      </c>
      <c r="E278" s="5">
        <v>5</v>
      </c>
      <c r="F278" s="5">
        <v>6</v>
      </c>
      <c r="G278" s="5">
        <v>7</v>
      </c>
      <c r="H278" s="120">
        <v>8</v>
      </c>
      <c r="I278" s="122">
        <v>9</v>
      </c>
      <c r="J278" s="110">
        <v>10</v>
      </c>
      <c r="K278" s="5">
        <v>11</v>
      </c>
      <c r="L278" s="5">
        <v>12</v>
      </c>
      <c r="M278" s="5">
        <v>13</v>
      </c>
      <c r="N278" s="5">
        <v>14</v>
      </c>
      <c r="O278" s="120">
        <v>15</v>
      </c>
      <c r="P278" s="122">
        <v>16</v>
      </c>
      <c r="Q278" s="131">
        <v>17</v>
      </c>
    </row>
    <row r="279" spans="1:17" ht="15.75" thickTop="1" x14ac:dyDescent="0.25">
      <c r="A279" s="83">
        <v>1</v>
      </c>
      <c r="B279" s="7" t="s">
        <v>18</v>
      </c>
      <c r="C279" s="28">
        <v>0</v>
      </c>
      <c r="D279" s="28">
        <v>0</v>
      </c>
      <c r="E279" s="67">
        <v>0</v>
      </c>
      <c r="F279" s="136">
        <f>'kc ijo'!C42</f>
        <v>0</v>
      </c>
      <c r="G279" s="136">
        <f>'kc ijo'!D42</f>
        <v>0</v>
      </c>
      <c r="H279" s="136">
        <f>'kc ijo'!E42</f>
        <v>0</v>
      </c>
      <c r="I279" s="124">
        <f>SUM(C279:H279)</f>
        <v>0</v>
      </c>
      <c r="J279" s="156">
        <f>'kc ijo'!F42</f>
        <v>1</v>
      </c>
      <c r="K279" s="156">
        <f>'kc ijo'!G42</f>
        <v>5</v>
      </c>
      <c r="L279" s="156">
        <f>'kc ijo'!H42</f>
        <v>0</v>
      </c>
      <c r="M279" s="156">
        <f>'kc ijo'!I42</f>
        <v>0</v>
      </c>
      <c r="N279" s="156">
        <f>'kc ijo'!J42</f>
        <v>0</v>
      </c>
      <c r="O279" s="156">
        <f>'kc ijo'!K42</f>
        <v>0</v>
      </c>
      <c r="P279" s="124">
        <f>SUM(J279:O279)</f>
        <v>6</v>
      </c>
      <c r="Q279" s="127">
        <f>SUM(I279,P279)</f>
        <v>6</v>
      </c>
    </row>
    <row r="280" spans="1:17" x14ac:dyDescent="0.25">
      <c r="A280" s="84">
        <v>2</v>
      </c>
      <c r="B280" s="12" t="s">
        <v>19</v>
      </c>
      <c r="C280" s="16">
        <v>0</v>
      </c>
      <c r="D280" s="16">
        <v>0</v>
      </c>
      <c r="E280" s="48">
        <v>0</v>
      </c>
      <c r="F280" s="59">
        <f>'kc ijo'!C43</f>
        <v>0</v>
      </c>
      <c r="G280" s="59">
        <f>'kc ijo'!D43</f>
        <v>0</v>
      </c>
      <c r="H280" s="155">
        <f>'kc ijo'!E43</f>
        <v>1</v>
      </c>
      <c r="I280" s="125">
        <f t="shared" ref="I280:I286" si="94">SUM(C280:H280)</f>
        <v>1</v>
      </c>
      <c r="J280" s="223">
        <f>'kc ijo'!F43</f>
        <v>0</v>
      </c>
      <c r="K280" s="132">
        <f>'kc ijo'!G43</f>
        <v>0</v>
      </c>
      <c r="L280" s="132">
        <f>'kc ijo'!H43</f>
        <v>0</v>
      </c>
      <c r="M280" s="132">
        <f>'kc ijo'!I43</f>
        <v>0</v>
      </c>
      <c r="N280" s="132">
        <f>'kc ijo'!J43</f>
        <v>0</v>
      </c>
      <c r="O280" s="157">
        <f>'kc ijo'!K43</f>
        <v>0</v>
      </c>
      <c r="P280" s="125">
        <f t="shared" ref="P280:P285" si="95">SUM(J280:O280)</f>
        <v>0</v>
      </c>
      <c r="Q280" s="128">
        <f t="shared" ref="Q280:Q286" si="96">SUM(I280,P280)</f>
        <v>1</v>
      </c>
    </row>
    <row r="281" spans="1:17" x14ac:dyDescent="0.25">
      <c r="A281" s="84">
        <v>3</v>
      </c>
      <c r="B281" s="7" t="s">
        <v>20</v>
      </c>
      <c r="C281" s="16">
        <v>0</v>
      </c>
      <c r="D281" s="16">
        <v>0</v>
      </c>
      <c r="E281" s="16">
        <v>0</v>
      </c>
      <c r="F281" s="59">
        <f>'kc ijo'!C44</f>
        <v>0</v>
      </c>
      <c r="G281" s="59">
        <f>'kc ijo'!D44</f>
        <v>0</v>
      </c>
      <c r="H281" s="155">
        <f>'kc ijo'!E44</f>
        <v>0</v>
      </c>
      <c r="I281" s="125">
        <f t="shared" si="94"/>
        <v>0</v>
      </c>
      <c r="J281" s="223">
        <f>'kc ijo'!F44</f>
        <v>0</v>
      </c>
      <c r="K281" s="132">
        <f>'kc ijo'!G44</f>
        <v>0</v>
      </c>
      <c r="L281" s="132">
        <f>'kc ijo'!H44</f>
        <v>0</v>
      </c>
      <c r="M281" s="132">
        <f>'kc ijo'!I44</f>
        <v>0</v>
      </c>
      <c r="N281" s="132">
        <f>'kc ijo'!J44</f>
        <v>0</v>
      </c>
      <c r="O281" s="157">
        <f>'kc ijo'!K44</f>
        <v>0</v>
      </c>
      <c r="P281" s="125">
        <f t="shared" si="95"/>
        <v>0</v>
      </c>
      <c r="Q281" s="128">
        <f t="shared" si="96"/>
        <v>0</v>
      </c>
    </row>
    <row r="282" spans="1:17" x14ac:dyDescent="0.25">
      <c r="A282" s="85">
        <v>4</v>
      </c>
      <c r="B282" s="15" t="s">
        <v>21</v>
      </c>
      <c r="C282" s="16">
        <v>0</v>
      </c>
      <c r="D282" s="16">
        <v>0</v>
      </c>
      <c r="E282" s="16">
        <v>5</v>
      </c>
      <c r="F282" s="59">
        <f>'kc ijo'!C45</f>
        <v>0</v>
      </c>
      <c r="G282" s="59">
        <f>'kc ijo'!D45</f>
        <v>0</v>
      </c>
      <c r="H282" s="155">
        <f>'kc ijo'!E45</f>
        <v>10</v>
      </c>
      <c r="I282" s="125">
        <f t="shared" si="94"/>
        <v>15</v>
      </c>
      <c r="J282" s="223">
        <f>'kc ijo'!F45</f>
        <v>0</v>
      </c>
      <c r="K282" s="132">
        <f>'kc ijo'!G45</f>
        <v>0</v>
      </c>
      <c r="L282" s="132">
        <f>'kc ijo'!H45</f>
        <v>10</v>
      </c>
      <c r="M282" s="132">
        <f>'kc ijo'!I45</f>
        <v>10</v>
      </c>
      <c r="N282" s="132">
        <f>'kc ijo'!J45</f>
        <v>0</v>
      </c>
      <c r="O282" s="157">
        <f>'kc ijo'!K45</f>
        <v>0</v>
      </c>
      <c r="P282" s="125">
        <f t="shared" si="95"/>
        <v>20</v>
      </c>
      <c r="Q282" s="128">
        <f t="shared" si="96"/>
        <v>35</v>
      </c>
    </row>
    <row r="283" spans="1:17" x14ac:dyDescent="0.25">
      <c r="A283" s="85">
        <v>5</v>
      </c>
      <c r="B283" s="19" t="s">
        <v>22</v>
      </c>
      <c r="C283" s="16">
        <v>0</v>
      </c>
      <c r="D283" s="16">
        <v>0</v>
      </c>
      <c r="E283" s="16">
        <v>0</v>
      </c>
      <c r="F283" s="59">
        <f>'kc ijo'!C46</f>
        <v>0</v>
      </c>
      <c r="G283" s="59">
        <f>'kc ijo'!D46</f>
        <v>0</v>
      </c>
      <c r="H283" s="155">
        <f>'kc ijo'!E46</f>
        <v>0</v>
      </c>
      <c r="I283" s="125">
        <f t="shared" si="94"/>
        <v>0</v>
      </c>
      <c r="J283" s="223">
        <f>'kc ijo'!F46</f>
        <v>0</v>
      </c>
      <c r="K283" s="132">
        <f>'kc ijo'!G46</f>
        <v>0</v>
      </c>
      <c r="L283" s="132">
        <f>'kc ijo'!H46</f>
        <v>0</v>
      </c>
      <c r="M283" s="132">
        <f>'kc ijo'!I46</f>
        <v>0</v>
      </c>
      <c r="N283" s="132">
        <f>'kc ijo'!J46</f>
        <v>0</v>
      </c>
      <c r="O283" s="157">
        <f>'kc ijo'!K46</f>
        <v>0</v>
      </c>
      <c r="P283" s="125">
        <f t="shared" si="95"/>
        <v>0</v>
      </c>
      <c r="Q283" s="128">
        <f t="shared" si="96"/>
        <v>0</v>
      </c>
    </row>
    <row r="284" spans="1:17" x14ac:dyDescent="0.25">
      <c r="A284" s="85">
        <v>6</v>
      </c>
      <c r="B284" s="19" t="s">
        <v>23</v>
      </c>
      <c r="C284" s="16">
        <v>0</v>
      </c>
      <c r="D284" s="16">
        <v>0</v>
      </c>
      <c r="E284" s="16">
        <v>0</v>
      </c>
      <c r="F284" s="59">
        <f>'kc ijo'!C47</f>
        <v>0</v>
      </c>
      <c r="G284" s="59">
        <f>'kc ijo'!D47</f>
        <v>0</v>
      </c>
      <c r="H284" s="155">
        <f>'kc ijo'!E47</f>
        <v>0</v>
      </c>
      <c r="I284" s="125">
        <f t="shared" si="94"/>
        <v>0</v>
      </c>
      <c r="J284" s="223">
        <f>'kc ijo'!F47</f>
        <v>0</v>
      </c>
      <c r="K284" s="132">
        <f>'kc ijo'!G47</f>
        <v>0</v>
      </c>
      <c r="L284" s="132">
        <f>'kc ijo'!H47</f>
        <v>0</v>
      </c>
      <c r="M284" s="132">
        <f>'kc ijo'!I47</f>
        <v>0</v>
      </c>
      <c r="N284" s="132">
        <f>'kc ijo'!J47</f>
        <v>0</v>
      </c>
      <c r="O284" s="157">
        <f>'kc ijo'!K47</f>
        <v>0</v>
      </c>
      <c r="P284" s="125">
        <f t="shared" si="95"/>
        <v>0</v>
      </c>
      <c r="Q284" s="128">
        <f t="shared" si="96"/>
        <v>0</v>
      </c>
    </row>
    <row r="285" spans="1:17" x14ac:dyDescent="0.25">
      <c r="A285" s="85">
        <v>7</v>
      </c>
      <c r="B285" s="19" t="s">
        <v>24</v>
      </c>
      <c r="C285" s="16">
        <v>0</v>
      </c>
      <c r="D285" s="16">
        <v>0</v>
      </c>
      <c r="E285" s="16">
        <v>0</v>
      </c>
      <c r="F285" s="59">
        <f>'kc ijo'!C48</f>
        <v>0</v>
      </c>
      <c r="G285" s="59">
        <f>'kc ijo'!D48</f>
        <v>0</v>
      </c>
      <c r="H285" s="155">
        <f>'kc ijo'!E48</f>
        <v>0</v>
      </c>
      <c r="I285" s="125">
        <f t="shared" si="94"/>
        <v>0</v>
      </c>
      <c r="J285" s="223">
        <f>'kc ijo'!F48</f>
        <v>0</v>
      </c>
      <c r="K285" s="132">
        <f>'kc ijo'!G48</f>
        <v>0</v>
      </c>
      <c r="L285" s="132">
        <f>'kc ijo'!H48</f>
        <v>0</v>
      </c>
      <c r="M285" s="132">
        <f>'kc ijo'!I48</f>
        <v>0</v>
      </c>
      <c r="N285" s="132">
        <f>'kc ijo'!J48</f>
        <v>0</v>
      </c>
      <c r="O285" s="157">
        <f>'kc ijo'!K48</f>
        <v>0</v>
      </c>
      <c r="P285" s="125">
        <f t="shared" si="95"/>
        <v>0</v>
      </c>
      <c r="Q285" s="128">
        <f t="shared" si="96"/>
        <v>0</v>
      </c>
    </row>
    <row r="286" spans="1:17" ht="15.75" thickBot="1" x14ac:dyDescent="0.3">
      <c r="A286" s="86">
        <v>8</v>
      </c>
      <c r="B286" s="15" t="s">
        <v>25</v>
      </c>
      <c r="C286" s="17">
        <v>0</v>
      </c>
      <c r="D286" s="17">
        <v>0</v>
      </c>
      <c r="E286" s="17">
        <v>0</v>
      </c>
      <c r="F286" s="137">
        <f>'kc ijo'!C49</f>
        <v>0</v>
      </c>
      <c r="G286" s="137">
        <f>'kc ijo'!D49</f>
        <v>1</v>
      </c>
      <c r="H286" s="137">
        <f>'kc ijo'!E49</f>
        <v>0</v>
      </c>
      <c r="I286" s="126">
        <f t="shared" si="94"/>
        <v>1</v>
      </c>
      <c r="J286" s="232">
        <f>'kc ijo'!F49</f>
        <v>0</v>
      </c>
      <c r="K286" s="232">
        <f>'kc ijo'!G49</f>
        <v>0</v>
      </c>
      <c r="L286" s="232">
        <f>'kc ijo'!H49</f>
        <v>1</v>
      </c>
      <c r="M286" s="232">
        <f>'kc ijo'!I49</f>
        <v>0</v>
      </c>
      <c r="N286" s="232">
        <f>'kc ijo'!J49</f>
        <v>0</v>
      </c>
      <c r="O286" s="232">
        <f>'kc ijo'!K49</f>
        <v>0</v>
      </c>
      <c r="P286" s="126">
        <f>SUM(J286:O286)</f>
        <v>1</v>
      </c>
      <c r="Q286" s="129">
        <f t="shared" si="96"/>
        <v>2</v>
      </c>
    </row>
    <row r="287" spans="1:17" ht="16.5" thickTop="1" thickBot="1" x14ac:dyDescent="0.3">
      <c r="A287" s="339" t="s">
        <v>26</v>
      </c>
      <c r="B287" s="340"/>
      <c r="C287" s="112">
        <f t="shared" ref="C287:H287" si="97">SUM(C279:C286)</f>
        <v>0</v>
      </c>
      <c r="D287" s="112">
        <f t="shared" si="97"/>
        <v>0</v>
      </c>
      <c r="E287" s="112">
        <f t="shared" si="97"/>
        <v>5</v>
      </c>
      <c r="F287" s="112">
        <f t="shared" si="97"/>
        <v>0</v>
      </c>
      <c r="G287" s="112">
        <f t="shared" si="97"/>
        <v>1</v>
      </c>
      <c r="H287" s="121">
        <f t="shared" si="97"/>
        <v>11</v>
      </c>
      <c r="I287" s="123">
        <f>SUM(I279:I286)</f>
        <v>17</v>
      </c>
      <c r="J287" s="133">
        <f t="shared" ref="J287:O287" si="98">SUM(J279:J286)</f>
        <v>1</v>
      </c>
      <c r="K287" s="112">
        <f t="shared" si="98"/>
        <v>5</v>
      </c>
      <c r="L287" s="112">
        <f t="shared" si="98"/>
        <v>11</v>
      </c>
      <c r="M287" s="112">
        <f t="shared" si="98"/>
        <v>10</v>
      </c>
      <c r="N287" s="112">
        <f t="shared" si="98"/>
        <v>0</v>
      </c>
      <c r="O287" s="121">
        <f t="shared" si="98"/>
        <v>0</v>
      </c>
      <c r="P287" s="123">
        <f>SUM(P279:P286)</f>
        <v>27</v>
      </c>
      <c r="Q287" s="130">
        <f>SUM(Q279:Q286)</f>
        <v>44</v>
      </c>
    </row>
    <row r="289" spans="1:17" ht="15.75" x14ac:dyDescent="0.25">
      <c r="A289" s="341" t="s">
        <v>120</v>
      </c>
      <c r="B289" s="341"/>
      <c r="C289" s="341"/>
      <c r="D289" s="341"/>
      <c r="E289" s="341"/>
      <c r="F289" s="341"/>
      <c r="G289" s="341"/>
      <c r="H289" s="341"/>
      <c r="I289" s="341"/>
      <c r="J289" s="341"/>
      <c r="K289" s="341"/>
      <c r="L289" s="341"/>
      <c r="M289" s="341"/>
      <c r="N289" s="341"/>
      <c r="O289" s="341"/>
      <c r="P289" s="341"/>
      <c r="Q289" s="341"/>
    </row>
    <row r="290" spans="1:17" ht="15.75" x14ac:dyDescent="0.25">
      <c r="A290" s="341" t="s">
        <v>81</v>
      </c>
      <c r="B290" s="341"/>
      <c r="C290" s="341"/>
      <c r="D290" s="341"/>
      <c r="E290" s="341"/>
      <c r="F290" s="341"/>
      <c r="G290" s="341"/>
      <c r="H290" s="341"/>
      <c r="I290" s="341"/>
      <c r="J290" s="341"/>
      <c r="K290" s="341"/>
      <c r="L290" s="341"/>
      <c r="M290" s="341"/>
      <c r="N290" s="341"/>
      <c r="O290" s="341"/>
      <c r="P290" s="341"/>
      <c r="Q290" s="341"/>
    </row>
    <row r="291" spans="1:17" ht="15.75" thickBot="1" x14ac:dyDescent="0.3">
      <c r="Q291" s="75" t="s">
        <v>29</v>
      </c>
    </row>
    <row r="292" spans="1:17" x14ac:dyDescent="0.25">
      <c r="A292" s="334" t="s">
        <v>2</v>
      </c>
      <c r="B292" s="336" t="s">
        <v>3</v>
      </c>
      <c r="C292" s="342" t="s">
        <v>138</v>
      </c>
      <c r="D292" s="343"/>
      <c r="E292" s="343"/>
      <c r="F292" s="343"/>
      <c r="G292" s="343"/>
      <c r="H292" s="343"/>
      <c r="I292" s="345" t="s">
        <v>82</v>
      </c>
      <c r="J292" s="343">
        <v>2019</v>
      </c>
      <c r="K292" s="343"/>
      <c r="L292" s="343"/>
      <c r="M292" s="343"/>
      <c r="N292" s="343"/>
      <c r="O292" s="343"/>
      <c r="P292" s="345" t="s">
        <v>83</v>
      </c>
      <c r="Q292" s="348" t="s">
        <v>5</v>
      </c>
    </row>
    <row r="293" spans="1:17" x14ac:dyDescent="0.25">
      <c r="A293" s="335"/>
      <c r="B293" s="324"/>
      <c r="C293" s="296" t="s">
        <v>15</v>
      </c>
      <c r="D293" s="296" t="s">
        <v>16</v>
      </c>
      <c r="E293" s="296" t="s">
        <v>17</v>
      </c>
      <c r="F293" s="296" t="s">
        <v>6</v>
      </c>
      <c r="G293" s="296" t="s">
        <v>76</v>
      </c>
      <c r="H293" s="119" t="s">
        <v>77</v>
      </c>
      <c r="I293" s="346"/>
      <c r="J293" s="109" t="s">
        <v>78</v>
      </c>
      <c r="K293" s="296" t="s">
        <v>10</v>
      </c>
      <c r="L293" s="296" t="s">
        <v>11</v>
      </c>
      <c r="M293" s="296" t="s">
        <v>12</v>
      </c>
      <c r="N293" s="296" t="s">
        <v>79</v>
      </c>
      <c r="O293" s="119" t="s">
        <v>80</v>
      </c>
      <c r="P293" s="346"/>
      <c r="Q293" s="349"/>
    </row>
    <row r="294" spans="1:17" ht="15.75" thickBot="1" x14ac:dyDescent="0.3">
      <c r="A294" s="111">
        <v>1</v>
      </c>
      <c r="B294" s="5">
        <v>2</v>
      </c>
      <c r="C294" s="5">
        <v>3</v>
      </c>
      <c r="D294" s="5">
        <v>4</v>
      </c>
      <c r="E294" s="5">
        <v>5</v>
      </c>
      <c r="F294" s="5">
        <v>6</v>
      </c>
      <c r="G294" s="5">
        <v>7</v>
      </c>
      <c r="H294" s="120">
        <v>8</v>
      </c>
      <c r="I294" s="122">
        <v>9</v>
      </c>
      <c r="J294" s="110">
        <v>10</v>
      </c>
      <c r="K294" s="5">
        <v>11</v>
      </c>
      <c r="L294" s="5">
        <v>12</v>
      </c>
      <c r="M294" s="5">
        <v>13</v>
      </c>
      <c r="N294" s="5">
        <v>14</v>
      </c>
      <c r="O294" s="120">
        <v>15</v>
      </c>
      <c r="P294" s="122">
        <v>16</v>
      </c>
      <c r="Q294" s="131">
        <v>17</v>
      </c>
    </row>
    <row r="295" spans="1:17" ht="15.75" thickTop="1" x14ac:dyDescent="0.25">
      <c r="A295" s="83">
        <v>1</v>
      </c>
      <c r="B295" s="7" t="s">
        <v>18</v>
      </c>
      <c r="C295" s="136">
        <v>0</v>
      </c>
      <c r="D295" s="136">
        <v>67</v>
      </c>
      <c r="E295" s="136">
        <v>0</v>
      </c>
      <c r="F295" s="156">
        <f>SUM(F311,F327)</f>
        <v>0</v>
      </c>
      <c r="G295" s="156">
        <f t="shared" ref="G295:H295" si="99">SUM(G311,G327)</f>
        <v>0</v>
      </c>
      <c r="H295" s="156">
        <f t="shared" si="99"/>
        <v>0</v>
      </c>
      <c r="I295" s="124">
        <f>SUM(C295:H295)</f>
        <v>67</v>
      </c>
      <c r="J295" s="156">
        <f>SUM(J311,J327)</f>
        <v>805.2</v>
      </c>
      <c r="K295" s="156">
        <f t="shared" ref="K295:O295" si="100">SUM(K311,K327)</f>
        <v>371.9</v>
      </c>
      <c r="L295" s="156">
        <f t="shared" si="100"/>
        <v>0</v>
      </c>
      <c r="M295" s="156">
        <f t="shared" si="100"/>
        <v>0</v>
      </c>
      <c r="N295" s="156">
        <f t="shared" si="100"/>
        <v>118.5</v>
      </c>
      <c r="O295" s="156">
        <f t="shared" si="100"/>
        <v>248.7</v>
      </c>
      <c r="P295" s="124">
        <f>SUM(J295:O295)</f>
        <v>1544.3</v>
      </c>
      <c r="Q295" s="127">
        <f>SUM(I295,P295)</f>
        <v>1611.3</v>
      </c>
    </row>
    <row r="296" spans="1:17" x14ac:dyDescent="0.25">
      <c r="A296" s="84">
        <v>2</v>
      </c>
      <c r="B296" s="12" t="s">
        <v>19</v>
      </c>
      <c r="C296" s="59">
        <v>450</v>
      </c>
      <c r="D296" s="59">
        <v>6</v>
      </c>
      <c r="E296" s="59">
        <v>24</v>
      </c>
      <c r="F296" s="59">
        <f t="shared" ref="F296:H302" si="101">SUM(F312,F328)</f>
        <v>12.1</v>
      </c>
      <c r="G296" s="132">
        <f t="shared" si="101"/>
        <v>0</v>
      </c>
      <c r="H296" s="157">
        <f t="shared" si="101"/>
        <v>87.5</v>
      </c>
      <c r="I296" s="125">
        <f t="shared" ref="I296:I302" si="102">SUM(C296:H296)</f>
        <v>579.6</v>
      </c>
      <c r="J296" s="223">
        <f t="shared" ref="J296:O302" si="103">SUM(J312,J328)</f>
        <v>670.3</v>
      </c>
      <c r="K296" s="132">
        <f t="shared" si="103"/>
        <v>524.5</v>
      </c>
      <c r="L296" s="132">
        <f t="shared" si="103"/>
        <v>0</v>
      </c>
      <c r="M296" s="132">
        <f t="shared" si="103"/>
        <v>31.2</v>
      </c>
      <c r="N296" s="132">
        <f t="shared" si="103"/>
        <v>123.7</v>
      </c>
      <c r="O296" s="157">
        <f t="shared" si="103"/>
        <v>508.3</v>
      </c>
      <c r="P296" s="125">
        <f t="shared" ref="P296:P301" si="104">SUM(J296:O296)</f>
        <v>1858</v>
      </c>
      <c r="Q296" s="128">
        <f t="shared" ref="Q296:Q302" si="105">SUM(I296,P296)</f>
        <v>2437.6</v>
      </c>
    </row>
    <row r="297" spans="1:17" x14ac:dyDescent="0.25">
      <c r="A297" s="84">
        <v>3</v>
      </c>
      <c r="B297" s="7" t="s">
        <v>20</v>
      </c>
      <c r="C297" s="59">
        <v>0</v>
      </c>
      <c r="D297" s="59">
        <v>0</v>
      </c>
      <c r="E297" s="59">
        <v>0</v>
      </c>
      <c r="F297" s="59">
        <f t="shared" si="101"/>
        <v>0</v>
      </c>
      <c r="G297" s="132">
        <f t="shared" si="101"/>
        <v>0</v>
      </c>
      <c r="H297" s="157">
        <f t="shared" si="101"/>
        <v>0</v>
      </c>
      <c r="I297" s="125">
        <f t="shared" si="102"/>
        <v>0</v>
      </c>
      <c r="J297" s="223">
        <f t="shared" si="103"/>
        <v>145</v>
      </c>
      <c r="K297" s="132">
        <f t="shared" si="103"/>
        <v>0</v>
      </c>
      <c r="L297" s="132">
        <f t="shared" si="103"/>
        <v>0</v>
      </c>
      <c r="M297" s="132">
        <f t="shared" si="103"/>
        <v>0</v>
      </c>
      <c r="N297" s="132">
        <f t="shared" si="103"/>
        <v>59.3</v>
      </c>
      <c r="O297" s="157">
        <f t="shared" si="103"/>
        <v>0</v>
      </c>
      <c r="P297" s="125">
        <f t="shared" si="104"/>
        <v>204.3</v>
      </c>
      <c r="Q297" s="128">
        <f t="shared" si="105"/>
        <v>204.3</v>
      </c>
    </row>
    <row r="298" spans="1:17" x14ac:dyDescent="0.25">
      <c r="A298" s="85">
        <v>4</v>
      </c>
      <c r="B298" s="15" t="s">
        <v>21</v>
      </c>
      <c r="C298" s="59">
        <v>0</v>
      </c>
      <c r="D298" s="59">
        <v>7</v>
      </c>
      <c r="E298" s="59">
        <v>43</v>
      </c>
      <c r="F298" s="59">
        <f t="shared" si="101"/>
        <v>0</v>
      </c>
      <c r="G298" s="132">
        <f t="shared" si="101"/>
        <v>0</v>
      </c>
      <c r="H298" s="157">
        <f t="shared" si="101"/>
        <v>0</v>
      </c>
      <c r="I298" s="125">
        <f t="shared" si="102"/>
        <v>50</v>
      </c>
      <c r="J298" s="223">
        <f t="shared" si="103"/>
        <v>1044.7</v>
      </c>
      <c r="K298" s="132">
        <f t="shared" si="103"/>
        <v>0</v>
      </c>
      <c r="L298" s="132">
        <f t="shared" si="103"/>
        <v>0</v>
      </c>
      <c r="M298" s="132">
        <f t="shared" si="103"/>
        <v>18.7</v>
      </c>
      <c r="N298" s="132">
        <f t="shared" si="103"/>
        <v>63</v>
      </c>
      <c r="O298" s="157">
        <f t="shared" si="103"/>
        <v>31.7</v>
      </c>
      <c r="P298" s="125">
        <f t="shared" si="104"/>
        <v>1158.1000000000001</v>
      </c>
      <c r="Q298" s="128">
        <f t="shared" si="105"/>
        <v>1208.1000000000001</v>
      </c>
    </row>
    <row r="299" spans="1:17" x14ac:dyDescent="0.25">
      <c r="A299" s="85">
        <v>5</v>
      </c>
      <c r="B299" s="19" t="s">
        <v>22</v>
      </c>
      <c r="C299" s="59">
        <v>0</v>
      </c>
      <c r="D299" s="59">
        <v>0</v>
      </c>
      <c r="E299" s="59">
        <v>68</v>
      </c>
      <c r="F299" s="59">
        <f t="shared" si="101"/>
        <v>0</v>
      </c>
      <c r="G299" s="132">
        <f t="shared" si="101"/>
        <v>0</v>
      </c>
      <c r="H299" s="157">
        <f t="shared" si="101"/>
        <v>0</v>
      </c>
      <c r="I299" s="125">
        <f t="shared" si="102"/>
        <v>68</v>
      </c>
      <c r="J299" s="223">
        <f t="shared" si="103"/>
        <v>911.3</v>
      </c>
      <c r="K299" s="132">
        <f t="shared" si="103"/>
        <v>0</v>
      </c>
      <c r="L299" s="132">
        <f t="shared" si="103"/>
        <v>0</v>
      </c>
      <c r="M299" s="132">
        <f t="shared" si="103"/>
        <v>0</v>
      </c>
      <c r="N299" s="132">
        <f t="shared" si="103"/>
        <v>0</v>
      </c>
      <c r="O299" s="157">
        <f t="shared" si="103"/>
        <v>82.9</v>
      </c>
      <c r="P299" s="125">
        <f t="shared" si="104"/>
        <v>994.19999999999993</v>
      </c>
      <c r="Q299" s="128">
        <f t="shared" si="105"/>
        <v>1062.1999999999998</v>
      </c>
    </row>
    <row r="300" spans="1:17" x14ac:dyDescent="0.25">
      <c r="A300" s="85">
        <v>6</v>
      </c>
      <c r="B300" s="19" t="s">
        <v>23</v>
      </c>
      <c r="C300" s="59">
        <v>36</v>
      </c>
      <c r="D300" s="59">
        <v>0</v>
      </c>
      <c r="E300" s="59">
        <v>0</v>
      </c>
      <c r="F300" s="59">
        <f t="shared" si="101"/>
        <v>30.1</v>
      </c>
      <c r="G300" s="132">
        <f t="shared" si="101"/>
        <v>0</v>
      </c>
      <c r="H300" s="157">
        <f t="shared" si="101"/>
        <v>0</v>
      </c>
      <c r="I300" s="125">
        <f t="shared" si="102"/>
        <v>66.099999999999994</v>
      </c>
      <c r="J300" s="223">
        <f t="shared" si="103"/>
        <v>79.400000000000006</v>
      </c>
      <c r="K300" s="132">
        <f t="shared" si="103"/>
        <v>204</v>
      </c>
      <c r="L300" s="132">
        <f t="shared" si="103"/>
        <v>0</v>
      </c>
      <c r="M300" s="132">
        <f t="shared" si="103"/>
        <v>0</v>
      </c>
      <c r="N300" s="132">
        <f t="shared" si="103"/>
        <v>24.7</v>
      </c>
      <c r="O300" s="157">
        <f t="shared" si="103"/>
        <v>38.700000000000003</v>
      </c>
      <c r="P300" s="125">
        <f t="shared" si="104"/>
        <v>346.79999999999995</v>
      </c>
      <c r="Q300" s="128">
        <f t="shared" si="105"/>
        <v>412.9</v>
      </c>
    </row>
    <row r="301" spans="1:17" x14ac:dyDescent="0.25">
      <c r="A301" s="85">
        <v>7</v>
      </c>
      <c r="B301" s="19" t="s">
        <v>24</v>
      </c>
      <c r="C301" s="59">
        <v>17</v>
      </c>
      <c r="D301" s="59">
        <v>0</v>
      </c>
      <c r="E301" s="59">
        <v>21</v>
      </c>
      <c r="F301" s="59">
        <f t="shared" si="101"/>
        <v>0</v>
      </c>
      <c r="G301" s="132">
        <f t="shared" si="101"/>
        <v>0</v>
      </c>
      <c r="H301" s="157">
        <f t="shared" si="101"/>
        <v>121.3</v>
      </c>
      <c r="I301" s="125">
        <f t="shared" si="102"/>
        <v>159.30000000000001</v>
      </c>
      <c r="J301" s="223">
        <f t="shared" si="103"/>
        <v>1086.3</v>
      </c>
      <c r="K301" s="132">
        <f t="shared" si="103"/>
        <v>780</v>
      </c>
      <c r="L301" s="132">
        <f t="shared" si="103"/>
        <v>0</v>
      </c>
      <c r="M301" s="132">
        <f t="shared" si="103"/>
        <v>0</v>
      </c>
      <c r="N301" s="132">
        <f t="shared" si="103"/>
        <v>6.2</v>
      </c>
      <c r="O301" s="157">
        <f t="shared" si="103"/>
        <v>1101.2</v>
      </c>
      <c r="P301" s="125">
        <f t="shared" si="104"/>
        <v>2973.7</v>
      </c>
      <c r="Q301" s="128">
        <f t="shared" si="105"/>
        <v>3133</v>
      </c>
    </row>
    <row r="302" spans="1:17" ht="15.75" thickBot="1" x14ac:dyDescent="0.3">
      <c r="A302" s="86">
        <v>8</v>
      </c>
      <c r="B302" s="15" t="s">
        <v>25</v>
      </c>
      <c r="C302" s="137">
        <v>0</v>
      </c>
      <c r="D302" s="137">
        <v>306</v>
      </c>
      <c r="E302" s="137">
        <v>175</v>
      </c>
      <c r="F302" s="232">
        <f t="shared" si="101"/>
        <v>114.5</v>
      </c>
      <c r="G302" s="232">
        <f t="shared" si="101"/>
        <v>60.3</v>
      </c>
      <c r="H302" s="232">
        <f t="shared" si="101"/>
        <v>0</v>
      </c>
      <c r="I302" s="126">
        <f t="shared" si="102"/>
        <v>655.8</v>
      </c>
      <c r="J302" s="232">
        <f t="shared" si="103"/>
        <v>369.9</v>
      </c>
      <c r="K302" s="232">
        <f t="shared" si="103"/>
        <v>150.5</v>
      </c>
      <c r="L302" s="232">
        <f t="shared" si="103"/>
        <v>0</v>
      </c>
      <c r="M302" s="232">
        <f t="shared" si="103"/>
        <v>289</v>
      </c>
      <c r="N302" s="232">
        <f t="shared" si="103"/>
        <v>410</v>
      </c>
      <c r="O302" s="232">
        <f t="shared" si="103"/>
        <v>652.30000000000007</v>
      </c>
      <c r="P302" s="126">
        <f>SUM(J302:O302)</f>
        <v>1871.7000000000003</v>
      </c>
      <c r="Q302" s="129">
        <f t="shared" si="105"/>
        <v>2527.5</v>
      </c>
    </row>
    <row r="303" spans="1:17" ht="16.5" thickTop="1" thickBot="1" x14ac:dyDescent="0.3">
      <c r="A303" s="339" t="s">
        <v>26</v>
      </c>
      <c r="B303" s="340"/>
      <c r="C303" s="112">
        <f t="shared" ref="C303:H303" si="106">SUM(C295:C302)</f>
        <v>503</v>
      </c>
      <c r="D303" s="112">
        <f t="shared" si="106"/>
        <v>386</v>
      </c>
      <c r="E303" s="112">
        <f t="shared" si="106"/>
        <v>331</v>
      </c>
      <c r="F303" s="112">
        <f t="shared" si="106"/>
        <v>156.69999999999999</v>
      </c>
      <c r="G303" s="112">
        <f t="shared" si="106"/>
        <v>60.3</v>
      </c>
      <c r="H303" s="121">
        <f t="shared" si="106"/>
        <v>208.8</v>
      </c>
      <c r="I303" s="123">
        <f>SUM(I295:I302)</f>
        <v>1645.8</v>
      </c>
      <c r="J303" s="133">
        <f t="shared" ref="J303:O303" si="107">SUM(J295:J302)</f>
        <v>5112.0999999999995</v>
      </c>
      <c r="K303" s="112">
        <f t="shared" si="107"/>
        <v>2030.9</v>
      </c>
      <c r="L303" s="112">
        <f t="shared" si="107"/>
        <v>0</v>
      </c>
      <c r="M303" s="112">
        <f t="shared" si="107"/>
        <v>338.9</v>
      </c>
      <c r="N303" s="112">
        <f t="shared" si="107"/>
        <v>805.4</v>
      </c>
      <c r="O303" s="121">
        <f t="shared" si="107"/>
        <v>2663.8</v>
      </c>
      <c r="P303" s="123">
        <f>SUM(P295:P302)</f>
        <v>10951.100000000002</v>
      </c>
      <c r="Q303" s="130">
        <f>SUM(Q295:Q302)</f>
        <v>12596.9</v>
      </c>
    </row>
    <row r="305" spans="1:17" ht="15.75" x14ac:dyDescent="0.25">
      <c r="A305" s="341" t="s">
        <v>121</v>
      </c>
      <c r="B305" s="341"/>
      <c r="C305" s="341"/>
      <c r="D305" s="341"/>
      <c r="E305" s="341"/>
      <c r="F305" s="341"/>
      <c r="G305" s="341"/>
      <c r="H305" s="341"/>
      <c r="I305" s="341"/>
      <c r="J305" s="341"/>
      <c r="K305" s="341"/>
      <c r="L305" s="341"/>
      <c r="M305" s="341"/>
      <c r="N305" s="341"/>
      <c r="O305" s="341"/>
      <c r="P305" s="341"/>
      <c r="Q305" s="341"/>
    </row>
    <row r="306" spans="1:17" ht="15.75" x14ac:dyDescent="0.25">
      <c r="A306" s="341" t="s">
        <v>81</v>
      </c>
      <c r="B306" s="341"/>
      <c r="C306" s="341"/>
      <c r="D306" s="341"/>
      <c r="E306" s="341"/>
      <c r="F306" s="341"/>
      <c r="G306" s="341"/>
      <c r="H306" s="341"/>
      <c r="I306" s="341"/>
      <c r="J306" s="341"/>
      <c r="K306" s="341"/>
      <c r="L306" s="341"/>
      <c r="M306" s="341"/>
      <c r="N306" s="341"/>
      <c r="O306" s="341"/>
      <c r="P306" s="341"/>
      <c r="Q306" s="341"/>
    </row>
    <row r="307" spans="1:17" ht="15.75" thickBot="1" x14ac:dyDescent="0.3">
      <c r="Q307" s="75" t="s">
        <v>29</v>
      </c>
    </row>
    <row r="308" spans="1:17" x14ac:dyDescent="0.25">
      <c r="A308" s="334" t="s">
        <v>2</v>
      </c>
      <c r="B308" s="336" t="s">
        <v>3</v>
      </c>
      <c r="C308" s="342" t="s">
        <v>138</v>
      </c>
      <c r="D308" s="343"/>
      <c r="E308" s="343"/>
      <c r="F308" s="343"/>
      <c r="G308" s="343"/>
      <c r="H308" s="343"/>
      <c r="I308" s="345" t="s">
        <v>82</v>
      </c>
      <c r="J308" s="343">
        <v>2019</v>
      </c>
      <c r="K308" s="343"/>
      <c r="L308" s="343"/>
      <c r="M308" s="343"/>
      <c r="N308" s="343"/>
      <c r="O308" s="343"/>
      <c r="P308" s="345" t="s">
        <v>83</v>
      </c>
      <c r="Q308" s="348" t="s">
        <v>5</v>
      </c>
    </row>
    <row r="309" spans="1:17" x14ac:dyDescent="0.25">
      <c r="A309" s="335"/>
      <c r="B309" s="324"/>
      <c r="C309" s="296" t="s">
        <v>15</v>
      </c>
      <c r="D309" s="296" t="s">
        <v>16</v>
      </c>
      <c r="E309" s="296" t="s">
        <v>17</v>
      </c>
      <c r="F309" s="296" t="s">
        <v>6</v>
      </c>
      <c r="G309" s="296" t="s">
        <v>76</v>
      </c>
      <c r="H309" s="119" t="s">
        <v>77</v>
      </c>
      <c r="I309" s="346"/>
      <c r="J309" s="109" t="s">
        <v>78</v>
      </c>
      <c r="K309" s="296" t="s">
        <v>10</v>
      </c>
      <c r="L309" s="296" t="s">
        <v>11</v>
      </c>
      <c r="M309" s="296" t="s">
        <v>12</v>
      </c>
      <c r="N309" s="296" t="s">
        <v>79</v>
      </c>
      <c r="O309" s="119" t="s">
        <v>80</v>
      </c>
      <c r="P309" s="346"/>
      <c r="Q309" s="349"/>
    </row>
    <row r="310" spans="1:17" ht="15.75" thickBot="1" x14ac:dyDescent="0.3">
      <c r="A310" s="111">
        <v>1</v>
      </c>
      <c r="B310" s="5">
        <v>2</v>
      </c>
      <c r="C310" s="5">
        <v>3</v>
      </c>
      <c r="D310" s="5">
        <v>4</v>
      </c>
      <c r="E310" s="5">
        <v>5</v>
      </c>
      <c r="F310" s="5">
        <v>6</v>
      </c>
      <c r="G310" s="5">
        <v>7</v>
      </c>
      <c r="H310" s="120">
        <v>8</v>
      </c>
      <c r="I310" s="122">
        <v>9</v>
      </c>
      <c r="J310" s="110">
        <v>10</v>
      </c>
      <c r="K310" s="5">
        <v>11</v>
      </c>
      <c r="L310" s="5">
        <v>12</v>
      </c>
      <c r="M310" s="5">
        <v>13</v>
      </c>
      <c r="N310" s="5">
        <v>14</v>
      </c>
      <c r="O310" s="120">
        <v>15</v>
      </c>
      <c r="P310" s="122">
        <v>16</v>
      </c>
      <c r="Q310" s="131">
        <v>17</v>
      </c>
    </row>
    <row r="311" spans="1:17" ht="15.75" thickTop="1" x14ac:dyDescent="0.25">
      <c r="A311" s="83">
        <v>1</v>
      </c>
      <c r="B311" s="7" t="s">
        <v>18</v>
      </c>
      <c r="C311" s="136">
        <v>0</v>
      </c>
      <c r="D311" s="136">
        <v>67</v>
      </c>
      <c r="E311" s="136">
        <v>0</v>
      </c>
      <c r="F311" s="136">
        <f>'padi sawah'!C75</f>
        <v>0</v>
      </c>
      <c r="G311" s="136">
        <f>'padi sawah'!D75</f>
        <v>0</v>
      </c>
      <c r="H311" s="136">
        <f>'padi sawah'!E75</f>
        <v>0</v>
      </c>
      <c r="I311" s="124">
        <f>SUM(C311:H311)</f>
        <v>67</v>
      </c>
      <c r="J311" s="156">
        <f>'padi sawah'!F75</f>
        <v>805.2</v>
      </c>
      <c r="K311" s="156">
        <f>'padi sawah'!G75</f>
        <v>371.9</v>
      </c>
      <c r="L311" s="156">
        <f>'padi sawah'!H75</f>
        <v>0</v>
      </c>
      <c r="M311" s="156">
        <f>'padi sawah'!I75</f>
        <v>0</v>
      </c>
      <c r="N311" s="156">
        <f>'padi sawah'!J75</f>
        <v>118.5</v>
      </c>
      <c r="O311" s="156">
        <f>'padi sawah'!K75</f>
        <v>248.7</v>
      </c>
      <c r="P311" s="124">
        <f>SUM(J311:O311)</f>
        <v>1544.3</v>
      </c>
      <c r="Q311" s="127">
        <f>SUM(I311,P311)</f>
        <v>1611.3</v>
      </c>
    </row>
    <row r="312" spans="1:17" x14ac:dyDescent="0.25">
      <c r="A312" s="84">
        <v>2</v>
      </c>
      <c r="B312" s="12" t="s">
        <v>19</v>
      </c>
      <c r="C312" s="59">
        <v>450</v>
      </c>
      <c r="D312" s="59">
        <v>6</v>
      </c>
      <c r="E312" s="59">
        <v>24</v>
      </c>
      <c r="F312" s="59">
        <f>'padi sawah'!C76</f>
        <v>12.1</v>
      </c>
      <c r="G312" s="59">
        <f>'padi sawah'!D76</f>
        <v>0</v>
      </c>
      <c r="H312" s="155">
        <f>'padi sawah'!E76</f>
        <v>87.5</v>
      </c>
      <c r="I312" s="125">
        <f t="shared" ref="I312:I318" si="108">SUM(C312:H312)</f>
        <v>579.6</v>
      </c>
      <c r="J312" s="223">
        <f>'padi sawah'!F76</f>
        <v>670.3</v>
      </c>
      <c r="K312" s="132">
        <f>'padi sawah'!G76</f>
        <v>524.5</v>
      </c>
      <c r="L312" s="132">
        <f>'padi sawah'!H76</f>
        <v>0</v>
      </c>
      <c r="M312" s="132">
        <f>'padi sawah'!I76</f>
        <v>31.2</v>
      </c>
      <c r="N312" s="132">
        <f>'padi sawah'!J76</f>
        <v>123.7</v>
      </c>
      <c r="O312" s="157">
        <f>'padi sawah'!K76</f>
        <v>508.3</v>
      </c>
      <c r="P312" s="125">
        <f t="shared" ref="P312:P317" si="109">SUM(J312:O312)</f>
        <v>1858</v>
      </c>
      <c r="Q312" s="128">
        <f t="shared" ref="Q312:Q318" si="110">SUM(I312,P312)</f>
        <v>2437.6</v>
      </c>
    </row>
    <row r="313" spans="1:17" x14ac:dyDescent="0.25">
      <c r="A313" s="84">
        <v>3</v>
      </c>
      <c r="B313" s="7" t="s">
        <v>20</v>
      </c>
      <c r="C313" s="59">
        <v>0</v>
      </c>
      <c r="D313" s="59">
        <v>0</v>
      </c>
      <c r="E313" s="59">
        <v>0</v>
      </c>
      <c r="F313" s="59">
        <f>'padi sawah'!C77</f>
        <v>0</v>
      </c>
      <c r="G313" s="59">
        <f>'padi sawah'!D77</f>
        <v>0</v>
      </c>
      <c r="H313" s="155">
        <f>'padi sawah'!E77</f>
        <v>0</v>
      </c>
      <c r="I313" s="125">
        <f t="shared" si="108"/>
        <v>0</v>
      </c>
      <c r="J313" s="223">
        <f>'padi sawah'!F77</f>
        <v>145</v>
      </c>
      <c r="K313" s="132">
        <f>'padi sawah'!G77</f>
        <v>0</v>
      </c>
      <c r="L313" s="132">
        <f>'padi sawah'!H77</f>
        <v>0</v>
      </c>
      <c r="M313" s="132">
        <f>'padi sawah'!I77</f>
        <v>0</v>
      </c>
      <c r="N313" s="132">
        <f>'padi sawah'!J77</f>
        <v>59.3</v>
      </c>
      <c r="O313" s="157">
        <f>'padi sawah'!K77</f>
        <v>0</v>
      </c>
      <c r="P313" s="125">
        <f t="shared" si="109"/>
        <v>204.3</v>
      </c>
      <c r="Q313" s="128">
        <f t="shared" si="110"/>
        <v>204.3</v>
      </c>
    </row>
    <row r="314" spans="1:17" x14ac:dyDescent="0.25">
      <c r="A314" s="85">
        <v>4</v>
      </c>
      <c r="B314" s="15" t="s">
        <v>21</v>
      </c>
      <c r="C314" s="59">
        <v>0</v>
      </c>
      <c r="D314" s="59">
        <v>7</v>
      </c>
      <c r="E314" s="59">
        <v>43</v>
      </c>
      <c r="F314" s="59">
        <f>'padi sawah'!C78</f>
        <v>0</v>
      </c>
      <c r="G314" s="59">
        <f>'padi sawah'!D78</f>
        <v>0</v>
      </c>
      <c r="H314" s="155">
        <f>'padi sawah'!E78</f>
        <v>0</v>
      </c>
      <c r="I314" s="125">
        <f t="shared" si="108"/>
        <v>50</v>
      </c>
      <c r="J314" s="223">
        <f>'padi sawah'!F78</f>
        <v>1044.7</v>
      </c>
      <c r="K314" s="132">
        <f>'padi sawah'!G78</f>
        <v>0</v>
      </c>
      <c r="L314" s="132">
        <f>'padi sawah'!H78</f>
        <v>0</v>
      </c>
      <c r="M314" s="132">
        <f>'padi sawah'!I78</f>
        <v>18.7</v>
      </c>
      <c r="N314" s="132">
        <f>'padi sawah'!J78</f>
        <v>63</v>
      </c>
      <c r="O314" s="157">
        <f>'padi sawah'!K78</f>
        <v>31.7</v>
      </c>
      <c r="P314" s="125">
        <f t="shared" si="109"/>
        <v>1158.1000000000001</v>
      </c>
      <c r="Q314" s="128">
        <f t="shared" si="110"/>
        <v>1208.1000000000001</v>
      </c>
    </row>
    <row r="315" spans="1:17" x14ac:dyDescent="0.25">
      <c r="A315" s="85">
        <v>5</v>
      </c>
      <c r="B315" s="19" t="s">
        <v>22</v>
      </c>
      <c r="C315" s="59">
        <v>0</v>
      </c>
      <c r="D315" s="59">
        <v>0</v>
      </c>
      <c r="E315" s="59">
        <v>68</v>
      </c>
      <c r="F315" s="59">
        <f>'padi sawah'!C79</f>
        <v>0</v>
      </c>
      <c r="G315" s="59">
        <f>'padi sawah'!D79</f>
        <v>0</v>
      </c>
      <c r="H315" s="155">
        <f>'padi sawah'!E79</f>
        <v>0</v>
      </c>
      <c r="I315" s="125">
        <f t="shared" si="108"/>
        <v>68</v>
      </c>
      <c r="J315" s="223">
        <f>'padi sawah'!F79</f>
        <v>911.3</v>
      </c>
      <c r="K315" s="132">
        <f>'padi sawah'!G79</f>
        <v>0</v>
      </c>
      <c r="L315" s="132">
        <f>'padi sawah'!H79</f>
        <v>0</v>
      </c>
      <c r="M315" s="132">
        <f>'padi sawah'!I79</f>
        <v>0</v>
      </c>
      <c r="N315" s="132">
        <f>'padi sawah'!J79</f>
        <v>0</v>
      </c>
      <c r="O315" s="157">
        <f>'padi sawah'!K79</f>
        <v>82.9</v>
      </c>
      <c r="P315" s="125">
        <f t="shared" si="109"/>
        <v>994.19999999999993</v>
      </c>
      <c r="Q315" s="128">
        <f t="shared" si="110"/>
        <v>1062.1999999999998</v>
      </c>
    </row>
    <row r="316" spans="1:17" x14ac:dyDescent="0.25">
      <c r="A316" s="85">
        <v>6</v>
      </c>
      <c r="B316" s="19" t="s">
        <v>23</v>
      </c>
      <c r="C316" s="59">
        <v>36</v>
      </c>
      <c r="D316" s="59">
        <v>0</v>
      </c>
      <c r="E316" s="59">
        <v>0</v>
      </c>
      <c r="F316" s="59">
        <f>'padi sawah'!C80</f>
        <v>30.1</v>
      </c>
      <c r="G316" s="59">
        <f>'padi sawah'!D80</f>
        <v>0</v>
      </c>
      <c r="H316" s="155">
        <f>'padi sawah'!E80</f>
        <v>0</v>
      </c>
      <c r="I316" s="125">
        <f t="shared" si="108"/>
        <v>66.099999999999994</v>
      </c>
      <c r="J316" s="223">
        <f>'padi sawah'!F80</f>
        <v>79.400000000000006</v>
      </c>
      <c r="K316" s="132">
        <f>'padi sawah'!G80</f>
        <v>204</v>
      </c>
      <c r="L316" s="132">
        <f>'padi sawah'!H80</f>
        <v>0</v>
      </c>
      <c r="M316" s="132">
        <f>'padi sawah'!I80</f>
        <v>0</v>
      </c>
      <c r="N316" s="132">
        <f>'padi sawah'!J80</f>
        <v>24.7</v>
      </c>
      <c r="O316" s="157">
        <f>'padi sawah'!K80</f>
        <v>38.700000000000003</v>
      </c>
      <c r="P316" s="125">
        <f t="shared" si="109"/>
        <v>346.79999999999995</v>
      </c>
      <c r="Q316" s="128">
        <f t="shared" si="110"/>
        <v>412.9</v>
      </c>
    </row>
    <row r="317" spans="1:17" x14ac:dyDescent="0.25">
      <c r="A317" s="85">
        <v>7</v>
      </c>
      <c r="B317" s="19" t="s">
        <v>24</v>
      </c>
      <c r="C317" s="59">
        <v>17</v>
      </c>
      <c r="D317" s="59">
        <v>0</v>
      </c>
      <c r="E317" s="59">
        <v>21</v>
      </c>
      <c r="F317" s="59">
        <f>'padi sawah'!C81</f>
        <v>0</v>
      </c>
      <c r="G317" s="59">
        <f>'padi sawah'!D81</f>
        <v>0</v>
      </c>
      <c r="H317" s="155">
        <f>'padi sawah'!E81</f>
        <v>121.3</v>
      </c>
      <c r="I317" s="125">
        <f t="shared" si="108"/>
        <v>159.30000000000001</v>
      </c>
      <c r="J317" s="223">
        <f>'padi sawah'!F81</f>
        <v>1086.3</v>
      </c>
      <c r="K317" s="132">
        <f>'padi sawah'!G81</f>
        <v>780</v>
      </c>
      <c r="L317" s="132">
        <f>'padi sawah'!H81</f>
        <v>0</v>
      </c>
      <c r="M317" s="132">
        <f>'padi sawah'!I81</f>
        <v>0</v>
      </c>
      <c r="N317" s="132">
        <f>'padi sawah'!J81</f>
        <v>6.2</v>
      </c>
      <c r="O317" s="157">
        <f>'padi sawah'!K81</f>
        <v>1101.2</v>
      </c>
      <c r="P317" s="125">
        <f t="shared" si="109"/>
        <v>2973.7</v>
      </c>
      <c r="Q317" s="128">
        <f t="shared" si="110"/>
        <v>3133</v>
      </c>
    </row>
    <row r="318" spans="1:17" ht="15.75" thickBot="1" x14ac:dyDescent="0.3">
      <c r="A318" s="86">
        <v>8</v>
      </c>
      <c r="B318" s="15" t="s">
        <v>25</v>
      </c>
      <c r="C318" s="137">
        <v>0</v>
      </c>
      <c r="D318" s="137">
        <v>306</v>
      </c>
      <c r="E318" s="137">
        <v>175</v>
      </c>
      <c r="F318" s="137">
        <f>'padi sawah'!C82</f>
        <v>114.5</v>
      </c>
      <c r="G318" s="137">
        <f>'padi sawah'!D82</f>
        <v>60.3</v>
      </c>
      <c r="H318" s="137">
        <f>'padi sawah'!E82</f>
        <v>0</v>
      </c>
      <c r="I318" s="126">
        <f t="shared" si="108"/>
        <v>655.8</v>
      </c>
      <c r="J318" s="232">
        <f>'padi sawah'!F82</f>
        <v>369.9</v>
      </c>
      <c r="K318" s="232">
        <f>'padi sawah'!G82</f>
        <v>150.5</v>
      </c>
      <c r="L318" s="232">
        <f>'padi sawah'!H82</f>
        <v>0</v>
      </c>
      <c r="M318" s="232">
        <f>'padi sawah'!I82</f>
        <v>289</v>
      </c>
      <c r="N318" s="232">
        <f>'padi sawah'!J82</f>
        <v>410</v>
      </c>
      <c r="O318" s="232">
        <f>'padi sawah'!K82</f>
        <v>641.1</v>
      </c>
      <c r="P318" s="126">
        <f>SUM(J318:O318)</f>
        <v>1860.5</v>
      </c>
      <c r="Q318" s="129">
        <f t="shared" si="110"/>
        <v>2516.3000000000002</v>
      </c>
    </row>
    <row r="319" spans="1:17" ht="16.5" thickTop="1" thickBot="1" x14ac:dyDescent="0.3">
      <c r="A319" s="339" t="s">
        <v>26</v>
      </c>
      <c r="B319" s="340"/>
      <c r="C319" s="112">
        <f t="shared" ref="C319:H319" si="111">SUM(C311:C318)</f>
        <v>503</v>
      </c>
      <c r="D319" s="112">
        <f t="shared" si="111"/>
        <v>386</v>
      </c>
      <c r="E319" s="112">
        <f t="shared" si="111"/>
        <v>331</v>
      </c>
      <c r="F319" s="112">
        <f t="shared" si="111"/>
        <v>156.69999999999999</v>
      </c>
      <c r="G319" s="112">
        <f t="shared" si="111"/>
        <v>60.3</v>
      </c>
      <c r="H319" s="121">
        <f t="shared" si="111"/>
        <v>208.8</v>
      </c>
      <c r="I319" s="123">
        <f>SUM(I311:I318)</f>
        <v>1645.8</v>
      </c>
      <c r="J319" s="133">
        <f t="shared" ref="J319:O319" si="112">SUM(J311:J318)</f>
        <v>5112.0999999999995</v>
      </c>
      <c r="K319" s="112">
        <f t="shared" si="112"/>
        <v>2030.9</v>
      </c>
      <c r="L319" s="112">
        <f t="shared" si="112"/>
        <v>0</v>
      </c>
      <c r="M319" s="112">
        <f t="shared" si="112"/>
        <v>338.9</v>
      </c>
      <c r="N319" s="112">
        <f t="shared" si="112"/>
        <v>805.4</v>
      </c>
      <c r="O319" s="121">
        <f t="shared" si="112"/>
        <v>2652.6</v>
      </c>
      <c r="P319" s="123">
        <f>SUM(P311:P318)</f>
        <v>10939.900000000001</v>
      </c>
      <c r="Q319" s="130">
        <f>SUM(Q311:Q318)</f>
        <v>12585.7</v>
      </c>
    </row>
    <row r="321" spans="1:17" ht="15.75" x14ac:dyDescent="0.25">
      <c r="A321" s="341" t="s">
        <v>122</v>
      </c>
      <c r="B321" s="341"/>
      <c r="C321" s="341"/>
      <c r="D321" s="341"/>
      <c r="E321" s="341"/>
      <c r="F321" s="341"/>
      <c r="G321" s="341"/>
      <c r="H321" s="341"/>
      <c r="I321" s="341"/>
      <c r="J321" s="341"/>
      <c r="K321" s="341"/>
      <c r="L321" s="341"/>
      <c r="M321" s="341"/>
      <c r="N321" s="341"/>
      <c r="O321" s="341"/>
      <c r="P321" s="341"/>
      <c r="Q321" s="341"/>
    </row>
    <row r="322" spans="1:17" ht="15.75" x14ac:dyDescent="0.25">
      <c r="A322" s="341" t="s">
        <v>81</v>
      </c>
      <c r="B322" s="341"/>
      <c r="C322" s="341"/>
      <c r="D322" s="341"/>
      <c r="E322" s="341"/>
      <c r="F322" s="341"/>
      <c r="G322" s="341"/>
      <c r="H322" s="341"/>
      <c r="I322" s="341"/>
      <c r="J322" s="341"/>
      <c r="K322" s="341"/>
      <c r="L322" s="341"/>
      <c r="M322" s="341"/>
      <c r="N322" s="341"/>
      <c r="O322" s="341"/>
      <c r="P322" s="341"/>
      <c r="Q322" s="341"/>
    </row>
    <row r="323" spans="1:17" ht="15.75" thickBot="1" x14ac:dyDescent="0.3">
      <c r="Q323" s="75" t="s">
        <v>29</v>
      </c>
    </row>
    <row r="324" spans="1:17" x14ac:dyDescent="0.25">
      <c r="A324" s="334" t="s">
        <v>2</v>
      </c>
      <c r="B324" s="336" t="s">
        <v>3</v>
      </c>
      <c r="C324" s="342" t="s">
        <v>138</v>
      </c>
      <c r="D324" s="343"/>
      <c r="E324" s="343"/>
      <c r="F324" s="343"/>
      <c r="G324" s="343"/>
      <c r="H324" s="343"/>
      <c r="I324" s="345" t="s">
        <v>82</v>
      </c>
      <c r="J324" s="343">
        <v>2019</v>
      </c>
      <c r="K324" s="343"/>
      <c r="L324" s="343"/>
      <c r="M324" s="343"/>
      <c r="N324" s="343"/>
      <c r="O324" s="343"/>
      <c r="P324" s="345" t="s">
        <v>83</v>
      </c>
      <c r="Q324" s="348" t="s">
        <v>5</v>
      </c>
    </row>
    <row r="325" spans="1:17" x14ac:dyDescent="0.25">
      <c r="A325" s="335"/>
      <c r="B325" s="324"/>
      <c r="C325" s="296" t="s">
        <v>15</v>
      </c>
      <c r="D325" s="296" t="s">
        <v>16</v>
      </c>
      <c r="E325" s="296" t="s">
        <v>17</v>
      </c>
      <c r="F325" s="296" t="s">
        <v>6</v>
      </c>
      <c r="G325" s="296" t="s">
        <v>76</v>
      </c>
      <c r="H325" s="119" t="s">
        <v>77</v>
      </c>
      <c r="I325" s="346"/>
      <c r="J325" s="109" t="s">
        <v>78</v>
      </c>
      <c r="K325" s="296" t="s">
        <v>10</v>
      </c>
      <c r="L325" s="296" t="s">
        <v>11</v>
      </c>
      <c r="M325" s="296" t="s">
        <v>12</v>
      </c>
      <c r="N325" s="296" t="s">
        <v>79</v>
      </c>
      <c r="O325" s="119" t="s">
        <v>80</v>
      </c>
      <c r="P325" s="346"/>
      <c r="Q325" s="349"/>
    </row>
    <row r="326" spans="1:17" ht="15.75" thickBot="1" x14ac:dyDescent="0.3">
      <c r="A326" s="111">
        <v>1</v>
      </c>
      <c r="B326" s="5">
        <v>2</v>
      </c>
      <c r="C326" s="5">
        <v>3</v>
      </c>
      <c r="D326" s="5">
        <v>4</v>
      </c>
      <c r="E326" s="5">
        <v>5</v>
      </c>
      <c r="F326" s="5">
        <v>6</v>
      </c>
      <c r="G326" s="5">
        <v>7</v>
      </c>
      <c r="H326" s="120">
        <v>8</v>
      </c>
      <c r="I326" s="122">
        <v>9</v>
      </c>
      <c r="J326" s="110">
        <v>10</v>
      </c>
      <c r="K326" s="5">
        <v>11</v>
      </c>
      <c r="L326" s="5">
        <v>12</v>
      </c>
      <c r="M326" s="5">
        <v>13</v>
      </c>
      <c r="N326" s="5">
        <v>14</v>
      </c>
      <c r="O326" s="120">
        <v>15</v>
      </c>
      <c r="P326" s="122">
        <v>16</v>
      </c>
      <c r="Q326" s="131">
        <v>17</v>
      </c>
    </row>
    <row r="327" spans="1:17" ht="15.75" thickTop="1" x14ac:dyDescent="0.25">
      <c r="A327" s="83">
        <v>1</v>
      </c>
      <c r="B327" s="7" t="s">
        <v>18</v>
      </c>
      <c r="C327" s="136">
        <v>0</v>
      </c>
      <c r="D327" s="136">
        <v>0</v>
      </c>
      <c r="E327" s="136">
        <v>0</v>
      </c>
      <c r="F327" s="136">
        <f>'padi ladang'!C75</f>
        <v>0</v>
      </c>
      <c r="G327" s="136">
        <f>'padi ladang'!D75</f>
        <v>0</v>
      </c>
      <c r="H327" s="136">
        <f>'padi ladang'!E75</f>
        <v>0</v>
      </c>
      <c r="I327" s="124">
        <f>SUM(C327:H327)</f>
        <v>0</v>
      </c>
      <c r="J327" s="156">
        <f>'padi ladang'!F75</f>
        <v>0</v>
      </c>
      <c r="K327" s="156">
        <f>'padi ladang'!G75</f>
        <v>0</v>
      </c>
      <c r="L327" s="156">
        <f>'padi ladang'!H75</f>
        <v>0</v>
      </c>
      <c r="M327" s="156">
        <f>'padi ladang'!I75</f>
        <v>0</v>
      </c>
      <c r="N327" s="156">
        <f>'padi ladang'!J75</f>
        <v>0</v>
      </c>
      <c r="O327" s="156">
        <f>'padi ladang'!K75</f>
        <v>0</v>
      </c>
      <c r="P327" s="124">
        <f>SUM(J327:O327)</f>
        <v>0</v>
      </c>
      <c r="Q327" s="127">
        <f>SUM(I327,P327)</f>
        <v>0</v>
      </c>
    </row>
    <row r="328" spans="1:17" x14ac:dyDescent="0.25">
      <c r="A328" s="84">
        <v>2</v>
      </c>
      <c r="B328" s="12" t="s">
        <v>19</v>
      </c>
      <c r="C328" s="59">
        <v>0</v>
      </c>
      <c r="D328" s="59">
        <v>0</v>
      </c>
      <c r="E328" s="59">
        <v>0</v>
      </c>
      <c r="F328" s="59">
        <f>'padi ladang'!C76</f>
        <v>0</v>
      </c>
      <c r="G328" s="59">
        <f>'padi ladang'!D76</f>
        <v>0</v>
      </c>
      <c r="H328" s="155">
        <f>'padi ladang'!E76</f>
        <v>0</v>
      </c>
      <c r="I328" s="125">
        <f t="shared" ref="I328:I334" si="113">SUM(C328:H328)</f>
        <v>0</v>
      </c>
      <c r="J328" s="223">
        <f>'padi ladang'!F76</f>
        <v>0</v>
      </c>
      <c r="K328" s="132">
        <f>'padi ladang'!G76</f>
        <v>0</v>
      </c>
      <c r="L328" s="132">
        <f>'padi ladang'!H76</f>
        <v>0</v>
      </c>
      <c r="M328" s="132">
        <f>'padi ladang'!I76</f>
        <v>0</v>
      </c>
      <c r="N328" s="132">
        <f>'padi ladang'!J76</f>
        <v>0</v>
      </c>
      <c r="O328" s="157">
        <f>'padi ladang'!K76</f>
        <v>0</v>
      </c>
      <c r="P328" s="125">
        <f t="shared" ref="P328:P333" si="114">SUM(J328:O328)</f>
        <v>0</v>
      </c>
      <c r="Q328" s="128">
        <f t="shared" ref="Q328:Q334" si="115">SUM(I328,P328)</f>
        <v>0</v>
      </c>
    </row>
    <row r="329" spans="1:17" x14ac:dyDescent="0.25">
      <c r="A329" s="84">
        <v>3</v>
      </c>
      <c r="B329" s="7" t="s">
        <v>20</v>
      </c>
      <c r="C329" s="59">
        <v>0</v>
      </c>
      <c r="D329" s="59">
        <v>0</v>
      </c>
      <c r="E329" s="59">
        <v>0</v>
      </c>
      <c r="F329" s="59">
        <f>'padi ladang'!C77</f>
        <v>0</v>
      </c>
      <c r="G329" s="59">
        <f>'padi ladang'!D77</f>
        <v>0</v>
      </c>
      <c r="H329" s="155">
        <f>'padi ladang'!E77</f>
        <v>0</v>
      </c>
      <c r="I329" s="125">
        <f t="shared" si="113"/>
        <v>0</v>
      </c>
      <c r="J329" s="223">
        <f>'padi ladang'!F77</f>
        <v>0</v>
      </c>
      <c r="K329" s="132">
        <f>'padi ladang'!G77</f>
        <v>0</v>
      </c>
      <c r="L329" s="132">
        <f>'padi ladang'!H77</f>
        <v>0</v>
      </c>
      <c r="M329" s="132">
        <f>'padi ladang'!I77</f>
        <v>0</v>
      </c>
      <c r="N329" s="132">
        <f>'padi ladang'!J77</f>
        <v>0</v>
      </c>
      <c r="O329" s="157">
        <f>'padi ladang'!K77</f>
        <v>0</v>
      </c>
      <c r="P329" s="125">
        <f t="shared" si="114"/>
        <v>0</v>
      </c>
      <c r="Q329" s="128">
        <f t="shared" si="115"/>
        <v>0</v>
      </c>
    </row>
    <row r="330" spans="1:17" x14ac:dyDescent="0.25">
      <c r="A330" s="85">
        <v>4</v>
      </c>
      <c r="B330" s="15" t="s">
        <v>21</v>
      </c>
      <c r="C330" s="59">
        <v>0</v>
      </c>
      <c r="D330" s="59">
        <v>0</v>
      </c>
      <c r="E330" s="59">
        <v>0</v>
      </c>
      <c r="F330" s="59">
        <f>'padi ladang'!C78</f>
        <v>0</v>
      </c>
      <c r="G330" s="59">
        <f>'padi ladang'!D78</f>
        <v>0</v>
      </c>
      <c r="H330" s="155">
        <f>'padi ladang'!E78</f>
        <v>0</v>
      </c>
      <c r="I330" s="125">
        <f t="shared" si="113"/>
        <v>0</v>
      </c>
      <c r="J330" s="223">
        <f>'padi ladang'!F78</f>
        <v>0</v>
      </c>
      <c r="K330" s="132">
        <f>'padi ladang'!G78</f>
        <v>0</v>
      </c>
      <c r="L330" s="132">
        <f>'padi ladang'!H78</f>
        <v>0</v>
      </c>
      <c r="M330" s="132">
        <f>'padi ladang'!I78</f>
        <v>0</v>
      </c>
      <c r="N330" s="132">
        <f>'padi ladang'!J78</f>
        <v>0</v>
      </c>
      <c r="O330" s="157">
        <f>'padi ladang'!K78</f>
        <v>0</v>
      </c>
      <c r="P330" s="125">
        <f t="shared" si="114"/>
        <v>0</v>
      </c>
      <c r="Q330" s="128">
        <f t="shared" si="115"/>
        <v>0</v>
      </c>
    </row>
    <row r="331" spans="1:17" x14ac:dyDescent="0.25">
      <c r="A331" s="85">
        <v>5</v>
      </c>
      <c r="B331" s="19" t="s">
        <v>22</v>
      </c>
      <c r="C331" s="59">
        <v>0</v>
      </c>
      <c r="D331" s="59">
        <v>0</v>
      </c>
      <c r="E331" s="59">
        <v>0</v>
      </c>
      <c r="F331" s="59">
        <f>'padi ladang'!C79</f>
        <v>0</v>
      </c>
      <c r="G331" s="59">
        <f>'padi ladang'!D79</f>
        <v>0</v>
      </c>
      <c r="H331" s="155">
        <f>'padi ladang'!E79</f>
        <v>0</v>
      </c>
      <c r="I331" s="125">
        <f t="shared" si="113"/>
        <v>0</v>
      </c>
      <c r="J331" s="223">
        <f>'padi ladang'!F79</f>
        <v>0</v>
      </c>
      <c r="K331" s="132">
        <f>'padi ladang'!G79</f>
        <v>0</v>
      </c>
      <c r="L331" s="132">
        <f>'padi ladang'!H79</f>
        <v>0</v>
      </c>
      <c r="M331" s="132">
        <f>'padi ladang'!I79</f>
        <v>0</v>
      </c>
      <c r="N331" s="132">
        <f>'padi ladang'!J79</f>
        <v>0</v>
      </c>
      <c r="O331" s="157">
        <f>'padi ladang'!K79</f>
        <v>0</v>
      </c>
      <c r="P331" s="125">
        <f t="shared" si="114"/>
        <v>0</v>
      </c>
      <c r="Q331" s="128">
        <f t="shared" si="115"/>
        <v>0</v>
      </c>
    </row>
    <row r="332" spans="1:17" x14ac:dyDescent="0.25">
      <c r="A332" s="85">
        <v>6</v>
      </c>
      <c r="B332" s="19" t="s">
        <v>23</v>
      </c>
      <c r="C332" s="59">
        <v>0</v>
      </c>
      <c r="D332" s="59">
        <v>0</v>
      </c>
      <c r="E332" s="59">
        <v>0</v>
      </c>
      <c r="F332" s="59">
        <f>'padi ladang'!C80</f>
        <v>0</v>
      </c>
      <c r="G332" s="59">
        <f>'padi ladang'!D80</f>
        <v>0</v>
      </c>
      <c r="H332" s="155">
        <f>'padi ladang'!E80</f>
        <v>0</v>
      </c>
      <c r="I332" s="125">
        <f t="shared" si="113"/>
        <v>0</v>
      </c>
      <c r="J332" s="223">
        <f>'padi ladang'!F80</f>
        <v>0</v>
      </c>
      <c r="K332" s="132">
        <f>'padi ladang'!G80</f>
        <v>0</v>
      </c>
      <c r="L332" s="132">
        <f>'padi ladang'!H80</f>
        <v>0</v>
      </c>
      <c r="M332" s="132">
        <f>'padi ladang'!I80</f>
        <v>0</v>
      </c>
      <c r="N332" s="132">
        <f>'padi ladang'!J80</f>
        <v>0</v>
      </c>
      <c r="O332" s="157">
        <f>'padi ladang'!K80</f>
        <v>0</v>
      </c>
      <c r="P332" s="125">
        <f t="shared" si="114"/>
        <v>0</v>
      </c>
      <c r="Q332" s="128">
        <f t="shared" si="115"/>
        <v>0</v>
      </c>
    </row>
    <row r="333" spans="1:17" x14ac:dyDescent="0.25">
      <c r="A333" s="85">
        <v>7</v>
      </c>
      <c r="B333" s="19" t="s">
        <v>24</v>
      </c>
      <c r="C333" s="59">
        <v>0</v>
      </c>
      <c r="D333" s="59">
        <v>0</v>
      </c>
      <c r="E333" s="59">
        <v>0</v>
      </c>
      <c r="F333" s="59">
        <f>'padi ladang'!C81</f>
        <v>0</v>
      </c>
      <c r="G333" s="59">
        <f>'padi ladang'!D81</f>
        <v>0</v>
      </c>
      <c r="H333" s="155">
        <f>'padi ladang'!E81</f>
        <v>0</v>
      </c>
      <c r="I333" s="125">
        <f t="shared" si="113"/>
        <v>0</v>
      </c>
      <c r="J333" s="223">
        <f>'padi ladang'!F81</f>
        <v>0</v>
      </c>
      <c r="K333" s="132">
        <f>'padi ladang'!G81</f>
        <v>0</v>
      </c>
      <c r="L333" s="132">
        <f>'padi ladang'!H81</f>
        <v>0</v>
      </c>
      <c r="M333" s="132">
        <f>'padi ladang'!I81</f>
        <v>0</v>
      </c>
      <c r="N333" s="132">
        <f>'padi ladang'!J81</f>
        <v>0</v>
      </c>
      <c r="O333" s="157">
        <f>'padi ladang'!K81</f>
        <v>0</v>
      </c>
      <c r="P333" s="125">
        <f t="shared" si="114"/>
        <v>0</v>
      </c>
      <c r="Q333" s="128">
        <f t="shared" si="115"/>
        <v>0</v>
      </c>
    </row>
    <row r="334" spans="1:17" ht="15.75" thickBot="1" x14ac:dyDescent="0.3">
      <c r="A334" s="86">
        <v>8</v>
      </c>
      <c r="B334" s="15" t="s">
        <v>25</v>
      </c>
      <c r="C334" s="137">
        <v>0</v>
      </c>
      <c r="D334" s="137">
        <v>0</v>
      </c>
      <c r="E334" s="137">
        <v>0</v>
      </c>
      <c r="F334" s="137">
        <f>'padi ladang'!C82</f>
        <v>0</v>
      </c>
      <c r="G334" s="137">
        <f>'padi ladang'!D82</f>
        <v>0</v>
      </c>
      <c r="H334" s="137">
        <f>'padi ladang'!E82</f>
        <v>0</v>
      </c>
      <c r="I334" s="126">
        <f t="shared" si="113"/>
        <v>0</v>
      </c>
      <c r="J334" s="232">
        <f>'padi ladang'!F82</f>
        <v>0</v>
      </c>
      <c r="K334" s="232">
        <f>'padi ladang'!G82</f>
        <v>0</v>
      </c>
      <c r="L334" s="232">
        <f>'padi ladang'!H82</f>
        <v>0</v>
      </c>
      <c r="M334" s="232">
        <f>'padi ladang'!I82</f>
        <v>0</v>
      </c>
      <c r="N334" s="232">
        <f>'padi ladang'!J82</f>
        <v>0</v>
      </c>
      <c r="O334" s="232">
        <f>'padi ladang'!K82</f>
        <v>11.2</v>
      </c>
      <c r="P334" s="126">
        <f>SUM(J334:O334)</f>
        <v>11.2</v>
      </c>
      <c r="Q334" s="129">
        <f t="shared" si="115"/>
        <v>11.2</v>
      </c>
    </row>
    <row r="335" spans="1:17" ht="16.5" thickTop="1" thickBot="1" x14ac:dyDescent="0.3">
      <c r="A335" s="339" t="s">
        <v>26</v>
      </c>
      <c r="B335" s="340"/>
      <c r="C335" s="112">
        <f t="shared" ref="C335:H335" si="116">SUM(C327:C334)</f>
        <v>0</v>
      </c>
      <c r="D335" s="112">
        <f t="shared" si="116"/>
        <v>0</v>
      </c>
      <c r="E335" s="112">
        <f t="shared" si="116"/>
        <v>0</v>
      </c>
      <c r="F335" s="112">
        <f t="shared" si="116"/>
        <v>0</v>
      </c>
      <c r="G335" s="112">
        <f t="shared" si="116"/>
        <v>0</v>
      </c>
      <c r="H335" s="121">
        <f t="shared" si="116"/>
        <v>0</v>
      </c>
      <c r="I335" s="123">
        <f>SUM(I327:I334)</f>
        <v>0</v>
      </c>
      <c r="J335" s="133">
        <f t="shared" ref="J335:O335" si="117">SUM(J327:J334)</f>
        <v>0</v>
      </c>
      <c r="K335" s="112">
        <f t="shared" si="117"/>
        <v>0</v>
      </c>
      <c r="L335" s="112">
        <f t="shared" si="117"/>
        <v>0</v>
      </c>
      <c r="M335" s="112">
        <f t="shared" si="117"/>
        <v>0</v>
      </c>
      <c r="N335" s="112">
        <f t="shared" si="117"/>
        <v>0</v>
      </c>
      <c r="O335" s="121">
        <f t="shared" si="117"/>
        <v>11.2</v>
      </c>
      <c r="P335" s="123">
        <f>SUM(P327:P334)</f>
        <v>11.2</v>
      </c>
      <c r="Q335" s="130">
        <f>SUM(Q327:Q334)</f>
        <v>11.2</v>
      </c>
    </row>
    <row r="337" spans="1:17" ht="15.75" x14ac:dyDescent="0.25">
      <c r="A337" s="341" t="s">
        <v>123</v>
      </c>
      <c r="B337" s="341"/>
      <c r="C337" s="341"/>
      <c r="D337" s="341"/>
      <c r="E337" s="341"/>
      <c r="F337" s="341"/>
      <c r="G337" s="341"/>
      <c r="H337" s="341"/>
      <c r="I337" s="341"/>
      <c r="J337" s="341"/>
      <c r="K337" s="341"/>
      <c r="L337" s="341"/>
      <c r="M337" s="341"/>
      <c r="N337" s="341"/>
      <c r="O337" s="341"/>
      <c r="P337" s="341"/>
      <c r="Q337" s="341"/>
    </row>
    <row r="338" spans="1:17" ht="15.75" x14ac:dyDescent="0.25">
      <c r="A338" s="341" t="s">
        <v>81</v>
      </c>
      <c r="B338" s="341"/>
      <c r="C338" s="341"/>
      <c r="D338" s="341"/>
      <c r="E338" s="341"/>
      <c r="F338" s="341"/>
      <c r="G338" s="341"/>
      <c r="H338" s="341"/>
      <c r="I338" s="341"/>
      <c r="J338" s="341"/>
      <c r="K338" s="341"/>
      <c r="L338" s="341"/>
      <c r="M338" s="341"/>
      <c r="N338" s="341"/>
      <c r="O338" s="341"/>
      <c r="P338" s="341"/>
      <c r="Q338" s="341"/>
    </row>
    <row r="339" spans="1:17" ht="15.75" thickBot="1" x14ac:dyDescent="0.3">
      <c r="Q339" s="75" t="s">
        <v>29</v>
      </c>
    </row>
    <row r="340" spans="1:17" x14ac:dyDescent="0.25">
      <c r="A340" s="334" t="s">
        <v>2</v>
      </c>
      <c r="B340" s="336" t="s">
        <v>3</v>
      </c>
      <c r="C340" s="342" t="s">
        <v>138</v>
      </c>
      <c r="D340" s="343"/>
      <c r="E340" s="343"/>
      <c r="F340" s="343"/>
      <c r="G340" s="343"/>
      <c r="H340" s="343"/>
      <c r="I340" s="345" t="s">
        <v>82</v>
      </c>
      <c r="J340" s="343">
        <v>2019</v>
      </c>
      <c r="K340" s="343"/>
      <c r="L340" s="343"/>
      <c r="M340" s="343"/>
      <c r="N340" s="343"/>
      <c r="O340" s="343"/>
      <c r="P340" s="345" t="s">
        <v>83</v>
      </c>
      <c r="Q340" s="348" t="s">
        <v>5</v>
      </c>
    </row>
    <row r="341" spans="1:17" x14ac:dyDescent="0.25">
      <c r="A341" s="335"/>
      <c r="B341" s="324"/>
      <c r="C341" s="296" t="s">
        <v>15</v>
      </c>
      <c r="D341" s="296" t="s">
        <v>16</v>
      </c>
      <c r="E341" s="296" t="s">
        <v>17</v>
      </c>
      <c r="F341" s="296" t="s">
        <v>6</v>
      </c>
      <c r="G341" s="296" t="s">
        <v>76</v>
      </c>
      <c r="H341" s="119" t="s">
        <v>77</v>
      </c>
      <c r="I341" s="346"/>
      <c r="J341" s="109" t="s">
        <v>78</v>
      </c>
      <c r="K341" s="296" t="s">
        <v>10</v>
      </c>
      <c r="L341" s="296" t="s">
        <v>11</v>
      </c>
      <c r="M341" s="296" t="s">
        <v>12</v>
      </c>
      <c r="N341" s="296" t="s">
        <v>79</v>
      </c>
      <c r="O341" s="119" t="s">
        <v>80</v>
      </c>
      <c r="P341" s="346"/>
      <c r="Q341" s="349"/>
    </row>
    <row r="342" spans="1:17" ht="15.75" thickBot="1" x14ac:dyDescent="0.3">
      <c r="A342" s="111">
        <v>1</v>
      </c>
      <c r="B342" s="5">
        <v>2</v>
      </c>
      <c r="C342" s="5">
        <v>3</v>
      </c>
      <c r="D342" s="5">
        <v>4</v>
      </c>
      <c r="E342" s="5">
        <v>5</v>
      </c>
      <c r="F342" s="5">
        <v>6</v>
      </c>
      <c r="G342" s="5">
        <v>7</v>
      </c>
      <c r="H342" s="120">
        <v>8</v>
      </c>
      <c r="I342" s="122">
        <v>9</v>
      </c>
      <c r="J342" s="110">
        <v>10</v>
      </c>
      <c r="K342" s="5">
        <v>11</v>
      </c>
      <c r="L342" s="5">
        <v>12</v>
      </c>
      <c r="M342" s="5">
        <v>13</v>
      </c>
      <c r="N342" s="5">
        <v>14</v>
      </c>
      <c r="O342" s="120">
        <v>15</v>
      </c>
      <c r="P342" s="122">
        <v>16</v>
      </c>
      <c r="Q342" s="131">
        <v>17</v>
      </c>
    </row>
    <row r="343" spans="1:17" ht="15.75" thickTop="1" x14ac:dyDescent="0.25">
      <c r="A343" s="83">
        <v>1</v>
      </c>
      <c r="B343" s="7" t="s">
        <v>18</v>
      </c>
      <c r="C343" s="136">
        <v>0</v>
      </c>
      <c r="D343" s="136">
        <v>0</v>
      </c>
      <c r="E343" s="136">
        <v>0</v>
      </c>
      <c r="F343" s="136">
        <f>jagung!C75</f>
        <v>0</v>
      </c>
      <c r="G343" s="136">
        <f>jagung!D75</f>
        <v>0</v>
      </c>
      <c r="H343" s="136">
        <f>jagung!E75</f>
        <v>0</v>
      </c>
      <c r="I343" s="124">
        <f>SUM(C343:H343)</f>
        <v>0</v>
      </c>
      <c r="J343" s="156">
        <f>jagung!F75</f>
        <v>17.100000000000001</v>
      </c>
      <c r="K343" s="156">
        <f>jagung!G75</f>
        <v>9</v>
      </c>
      <c r="L343" s="156">
        <f>jagung!H75</f>
        <v>0</v>
      </c>
      <c r="M343" s="156">
        <f>jagung!I75</f>
        <v>0</v>
      </c>
      <c r="N343" s="156">
        <f>jagung!J75</f>
        <v>0</v>
      </c>
      <c r="O343" s="156">
        <f>jagung!K75</f>
        <v>0</v>
      </c>
      <c r="P343" s="124">
        <f>SUM(J343:O343)</f>
        <v>26.1</v>
      </c>
      <c r="Q343" s="127">
        <f>SUM(I343,P343)</f>
        <v>26.1</v>
      </c>
    </row>
    <row r="344" spans="1:17" x14ac:dyDescent="0.25">
      <c r="A344" s="84">
        <v>2</v>
      </c>
      <c r="B344" s="12" t="s">
        <v>19</v>
      </c>
      <c r="C344" s="59">
        <v>3</v>
      </c>
      <c r="D344" s="59">
        <v>0</v>
      </c>
      <c r="E344" s="59">
        <v>0</v>
      </c>
      <c r="F344" s="59">
        <f>jagung!C76</f>
        <v>0</v>
      </c>
      <c r="G344" s="59">
        <f>jagung!D76</f>
        <v>0</v>
      </c>
      <c r="H344" s="155">
        <f>jagung!E76</f>
        <v>0</v>
      </c>
      <c r="I344" s="125">
        <f t="shared" ref="I344:I350" si="118">SUM(C344:H344)</f>
        <v>3</v>
      </c>
      <c r="J344" s="223">
        <f>jagung!F76</f>
        <v>0</v>
      </c>
      <c r="K344" s="132">
        <f>jagung!G76</f>
        <v>0</v>
      </c>
      <c r="L344" s="132">
        <f>jagung!H76</f>
        <v>0</v>
      </c>
      <c r="M344" s="132">
        <f>jagung!I76</f>
        <v>0</v>
      </c>
      <c r="N344" s="132">
        <f>jagung!J76</f>
        <v>0</v>
      </c>
      <c r="O344" s="157">
        <f>jagung!K76</f>
        <v>0</v>
      </c>
      <c r="P344" s="125">
        <f t="shared" ref="P344:P349" si="119">SUM(J344:O344)</f>
        <v>0</v>
      </c>
      <c r="Q344" s="128">
        <f t="shared" ref="Q344:Q350" si="120">SUM(I344,P344)</f>
        <v>3</v>
      </c>
    </row>
    <row r="345" spans="1:17" x14ac:dyDescent="0.25">
      <c r="A345" s="84">
        <v>3</v>
      </c>
      <c r="B345" s="7" t="s">
        <v>20</v>
      </c>
      <c r="C345" s="59">
        <v>0</v>
      </c>
      <c r="D345" s="59">
        <v>0</v>
      </c>
      <c r="E345" s="59">
        <v>0</v>
      </c>
      <c r="F345" s="59">
        <f>jagung!C77</f>
        <v>0</v>
      </c>
      <c r="G345" s="59">
        <f>jagung!D77</f>
        <v>0</v>
      </c>
      <c r="H345" s="155">
        <f>jagung!E77</f>
        <v>0</v>
      </c>
      <c r="I345" s="125">
        <f t="shared" si="118"/>
        <v>0</v>
      </c>
      <c r="J345" s="223">
        <f>jagung!F77</f>
        <v>0</v>
      </c>
      <c r="K345" s="132">
        <f>jagung!G77</f>
        <v>0</v>
      </c>
      <c r="L345" s="132">
        <f>jagung!H77</f>
        <v>0</v>
      </c>
      <c r="M345" s="132">
        <f>jagung!I77</f>
        <v>0</v>
      </c>
      <c r="N345" s="132">
        <f>jagung!J77</f>
        <v>0</v>
      </c>
      <c r="O345" s="157">
        <f>jagung!K77</f>
        <v>0</v>
      </c>
      <c r="P345" s="125">
        <f t="shared" si="119"/>
        <v>0</v>
      </c>
      <c r="Q345" s="128">
        <f t="shared" si="120"/>
        <v>0</v>
      </c>
    </row>
    <row r="346" spans="1:17" x14ac:dyDescent="0.25">
      <c r="A346" s="85">
        <v>4</v>
      </c>
      <c r="B346" s="15" t="s">
        <v>21</v>
      </c>
      <c r="C346" s="59">
        <v>0</v>
      </c>
      <c r="D346" s="59">
        <v>4</v>
      </c>
      <c r="E346" s="59">
        <v>0</v>
      </c>
      <c r="F346" s="59">
        <f>jagung!C78</f>
        <v>0</v>
      </c>
      <c r="G346" s="59">
        <f>jagung!D78</f>
        <v>0</v>
      </c>
      <c r="H346" s="155">
        <f>jagung!E78</f>
        <v>0</v>
      </c>
      <c r="I346" s="125">
        <f t="shared" si="118"/>
        <v>4</v>
      </c>
      <c r="J346" s="223">
        <f>jagung!F78</f>
        <v>0</v>
      </c>
      <c r="K346" s="132">
        <f>jagung!G78</f>
        <v>0</v>
      </c>
      <c r="L346" s="132">
        <f>jagung!H78</f>
        <v>2.5</v>
      </c>
      <c r="M346" s="132">
        <f>jagung!I78</f>
        <v>0</v>
      </c>
      <c r="N346" s="132">
        <f>jagung!J78</f>
        <v>2.9</v>
      </c>
      <c r="O346" s="157">
        <f>jagung!K78</f>
        <v>0</v>
      </c>
      <c r="P346" s="125">
        <f t="shared" si="119"/>
        <v>5.4</v>
      </c>
      <c r="Q346" s="128">
        <f t="shared" si="120"/>
        <v>9.4</v>
      </c>
    </row>
    <row r="347" spans="1:17" x14ac:dyDescent="0.25">
      <c r="A347" s="85">
        <v>5</v>
      </c>
      <c r="B347" s="19" t="s">
        <v>22</v>
      </c>
      <c r="C347" s="59">
        <v>0</v>
      </c>
      <c r="D347" s="59">
        <v>3</v>
      </c>
      <c r="E347" s="59">
        <v>0</v>
      </c>
      <c r="F347" s="59">
        <f>jagung!C79</f>
        <v>0</v>
      </c>
      <c r="G347" s="59">
        <f>jagung!D79</f>
        <v>0</v>
      </c>
      <c r="H347" s="155">
        <f>jagung!E79</f>
        <v>0</v>
      </c>
      <c r="I347" s="125">
        <f t="shared" si="118"/>
        <v>3</v>
      </c>
      <c r="J347" s="223">
        <f>jagung!F79</f>
        <v>0</v>
      </c>
      <c r="K347" s="132">
        <f>jagung!G79</f>
        <v>0</v>
      </c>
      <c r="L347" s="132">
        <f>jagung!H79</f>
        <v>0</v>
      </c>
      <c r="M347" s="132">
        <f>jagung!I79</f>
        <v>0</v>
      </c>
      <c r="N347" s="132">
        <f>jagung!J79</f>
        <v>0</v>
      </c>
      <c r="O347" s="157">
        <f>jagung!K79</f>
        <v>0</v>
      </c>
      <c r="P347" s="125">
        <f t="shared" si="119"/>
        <v>0</v>
      </c>
      <c r="Q347" s="128">
        <f t="shared" si="120"/>
        <v>3</v>
      </c>
    </row>
    <row r="348" spans="1:17" x14ac:dyDescent="0.25">
      <c r="A348" s="85">
        <v>6</v>
      </c>
      <c r="B348" s="19" t="s">
        <v>23</v>
      </c>
      <c r="C348" s="59">
        <v>0</v>
      </c>
      <c r="D348" s="59">
        <v>8</v>
      </c>
      <c r="E348" s="59">
        <v>0</v>
      </c>
      <c r="F348" s="59">
        <f>jagung!C80</f>
        <v>0</v>
      </c>
      <c r="G348" s="59">
        <f>jagung!D80</f>
        <v>0</v>
      </c>
      <c r="H348" s="155">
        <f>jagung!E80</f>
        <v>0</v>
      </c>
      <c r="I348" s="125">
        <f t="shared" si="118"/>
        <v>8</v>
      </c>
      <c r="J348" s="223">
        <f>jagung!F80</f>
        <v>0</v>
      </c>
      <c r="K348" s="132">
        <f>jagung!G80</f>
        <v>0</v>
      </c>
      <c r="L348" s="132">
        <f>jagung!H80</f>
        <v>0</v>
      </c>
      <c r="M348" s="132">
        <f>jagung!I80</f>
        <v>0</v>
      </c>
      <c r="N348" s="132">
        <f>jagung!J80</f>
        <v>0</v>
      </c>
      <c r="O348" s="157">
        <f>jagung!K80</f>
        <v>0</v>
      </c>
      <c r="P348" s="125">
        <f t="shared" si="119"/>
        <v>0</v>
      </c>
      <c r="Q348" s="128">
        <f t="shared" si="120"/>
        <v>8</v>
      </c>
    </row>
    <row r="349" spans="1:17" x14ac:dyDescent="0.25">
      <c r="A349" s="85">
        <v>7</v>
      </c>
      <c r="B349" s="19" t="s">
        <v>24</v>
      </c>
      <c r="C349" s="59">
        <v>0</v>
      </c>
      <c r="D349" s="59">
        <v>2</v>
      </c>
      <c r="E349" s="59">
        <v>0</v>
      </c>
      <c r="F349" s="59">
        <f>jagung!C81</f>
        <v>0</v>
      </c>
      <c r="G349" s="59">
        <f>jagung!D81</f>
        <v>0</v>
      </c>
      <c r="H349" s="155">
        <f>jagung!E81</f>
        <v>0</v>
      </c>
      <c r="I349" s="125">
        <f t="shared" si="118"/>
        <v>2</v>
      </c>
      <c r="J349" s="223">
        <f>jagung!F81</f>
        <v>0</v>
      </c>
      <c r="K349" s="132">
        <f>jagung!G81</f>
        <v>0</v>
      </c>
      <c r="L349" s="132">
        <f>jagung!H81</f>
        <v>0</v>
      </c>
      <c r="M349" s="132">
        <f>jagung!I81</f>
        <v>0</v>
      </c>
      <c r="N349" s="132">
        <f>jagung!J81</f>
        <v>0</v>
      </c>
      <c r="O349" s="157">
        <f>jagung!K81</f>
        <v>0</v>
      </c>
      <c r="P349" s="125">
        <f t="shared" si="119"/>
        <v>0</v>
      </c>
      <c r="Q349" s="128">
        <f t="shared" si="120"/>
        <v>2</v>
      </c>
    </row>
    <row r="350" spans="1:17" ht="15.75" thickBot="1" x14ac:dyDescent="0.3">
      <c r="A350" s="86">
        <v>8</v>
      </c>
      <c r="B350" s="15" t="s">
        <v>25</v>
      </c>
      <c r="C350" s="137">
        <v>0</v>
      </c>
      <c r="D350" s="137">
        <v>3</v>
      </c>
      <c r="E350" s="137">
        <v>3</v>
      </c>
      <c r="F350" s="137">
        <f>jagung!C82</f>
        <v>2.6</v>
      </c>
      <c r="G350" s="137">
        <f>jagung!D82</f>
        <v>0</v>
      </c>
      <c r="H350" s="137">
        <f>jagung!E82</f>
        <v>0</v>
      </c>
      <c r="I350" s="126">
        <f t="shared" si="118"/>
        <v>8.6</v>
      </c>
      <c r="J350" s="232">
        <f>jagung!F82</f>
        <v>0</v>
      </c>
      <c r="K350" s="232">
        <f>jagung!G82</f>
        <v>0</v>
      </c>
      <c r="L350" s="232">
        <f>jagung!H82</f>
        <v>2.5</v>
      </c>
      <c r="M350" s="232">
        <f>jagung!I82</f>
        <v>0</v>
      </c>
      <c r="N350" s="232">
        <f>jagung!J82</f>
        <v>0</v>
      </c>
      <c r="O350" s="232">
        <f>jagung!K82</f>
        <v>0</v>
      </c>
      <c r="P350" s="126">
        <f>SUM(J350:O350)</f>
        <v>2.5</v>
      </c>
      <c r="Q350" s="129">
        <f t="shared" si="120"/>
        <v>11.1</v>
      </c>
    </row>
    <row r="351" spans="1:17" ht="16.5" thickTop="1" thickBot="1" x14ac:dyDescent="0.3">
      <c r="A351" s="339" t="s">
        <v>26</v>
      </c>
      <c r="B351" s="340"/>
      <c r="C351" s="112">
        <f t="shared" ref="C351:H351" si="121">SUM(C343:C350)</f>
        <v>3</v>
      </c>
      <c r="D351" s="112">
        <f t="shared" si="121"/>
        <v>20</v>
      </c>
      <c r="E351" s="112">
        <f t="shared" si="121"/>
        <v>3</v>
      </c>
      <c r="F351" s="112">
        <f t="shared" si="121"/>
        <v>2.6</v>
      </c>
      <c r="G351" s="112">
        <f t="shared" si="121"/>
        <v>0</v>
      </c>
      <c r="H351" s="121">
        <f t="shared" si="121"/>
        <v>0</v>
      </c>
      <c r="I351" s="123">
        <f>SUM(I343:I350)</f>
        <v>28.6</v>
      </c>
      <c r="J351" s="133">
        <f t="shared" ref="J351:O351" si="122">SUM(J343:J350)</f>
        <v>17.100000000000001</v>
      </c>
      <c r="K351" s="112">
        <f t="shared" si="122"/>
        <v>9</v>
      </c>
      <c r="L351" s="112">
        <f t="shared" si="122"/>
        <v>5</v>
      </c>
      <c r="M351" s="112">
        <f t="shared" si="122"/>
        <v>0</v>
      </c>
      <c r="N351" s="112">
        <f t="shared" si="122"/>
        <v>2.9</v>
      </c>
      <c r="O351" s="121">
        <f t="shared" si="122"/>
        <v>0</v>
      </c>
      <c r="P351" s="123">
        <f>SUM(P343:P350)</f>
        <v>34</v>
      </c>
      <c r="Q351" s="130">
        <f>SUM(Q343:Q350)</f>
        <v>62.6</v>
      </c>
    </row>
    <row r="353" spans="1:17" ht="15.75" x14ac:dyDescent="0.25">
      <c r="A353" s="341" t="s">
        <v>124</v>
      </c>
      <c r="B353" s="341"/>
      <c r="C353" s="341"/>
      <c r="D353" s="341"/>
      <c r="E353" s="341"/>
      <c r="F353" s="341"/>
      <c r="G353" s="341"/>
      <c r="H353" s="341"/>
      <c r="I353" s="341"/>
      <c r="J353" s="341"/>
      <c r="K353" s="341"/>
      <c r="L353" s="341"/>
      <c r="M353" s="341"/>
      <c r="N353" s="341"/>
      <c r="O353" s="341"/>
      <c r="P353" s="341"/>
      <c r="Q353" s="341"/>
    </row>
    <row r="354" spans="1:17" ht="15.75" x14ac:dyDescent="0.25">
      <c r="A354" s="341" t="s">
        <v>81</v>
      </c>
      <c r="B354" s="341"/>
      <c r="C354" s="341"/>
      <c r="D354" s="341"/>
      <c r="E354" s="341"/>
      <c r="F354" s="341"/>
      <c r="G354" s="341"/>
      <c r="H354" s="341"/>
      <c r="I354" s="341"/>
      <c r="J354" s="341"/>
      <c r="K354" s="341"/>
      <c r="L354" s="341"/>
      <c r="M354" s="341"/>
      <c r="N354" s="341"/>
      <c r="O354" s="341"/>
      <c r="P354" s="341"/>
      <c r="Q354" s="341"/>
    </row>
    <row r="355" spans="1:17" ht="15.75" thickBot="1" x14ac:dyDescent="0.3">
      <c r="Q355" s="75" t="s">
        <v>29</v>
      </c>
    </row>
    <row r="356" spans="1:17" x14ac:dyDescent="0.25">
      <c r="A356" s="334" t="s">
        <v>2</v>
      </c>
      <c r="B356" s="336" t="s">
        <v>3</v>
      </c>
      <c r="C356" s="342" t="s">
        <v>138</v>
      </c>
      <c r="D356" s="343"/>
      <c r="E356" s="343"/>
      <c r="F356" s="343"/>
      <c r="G356" s="343"/>
      <c r="H356" s="343"/>
      <c r="I356" s="345" t="s">
        <v>82</v>
      </c>
      <c r="J356" s="343">
        <v>2019</v>
      </c>
      <c r="K356" s="343"/>
      <c r="L356" s="343"/>
      <c r="M356" s="343"/>
      <c r="N356" s="343"/>
      <c r="O356" s="343"/>
      <c r="P356" s="345" t="s">
        <v>83</v>
      </c>
      <c r="Q356" s="348" t="s">
        <v>5</v>
      </c>
    </row>
    <row r="357" spans="1:17" x14ac:dyDescent="0.25">
      <c r="A357" s="335"/>
      <c r="B357" s="324"/>
      <c r="C357" s="296" t="s">
        <v>15</v>
      </c>
      <c r="D357" s="296" t="s">
        <v>16</v>
      </c>
      <c r="E357" s="296" t="s">
        <v>17</v>
      </c>
      <c r="F357" s="296" t="s">
        <v>6</v>
      </c>
      <c r="G357" s="296" t="s">
        <v>76</v>
      </c>
      <c r="H357" s="119" t="s">
        <v>77</v>
      </c>
      <c r="I357" s="346"/>
      <c r="J357" s="109" t="s">
        <v>78</v>
      </c>
      <c r="K357" s="296" t="s">
        <v>10</v>
      </c>
      <c r="L357" s="296" t="s">
        <v>11</v>
      </c>
      <c r="M357" s="296" t="s">
        <v>12</v>
      </c>
      <c r="N357" s="296" t="s">
        <v>79</v>
      </c>
      <c r="O357" s="119" t="s">
        <v>80</v>
      </c>
      <c r="P357" s="346"/>
      <c r="Q357" s="349"/>
    </row>
    <row r="358" spans="1:17" ht="15.75" thickBot="1" x14ac:dyDescent="0.3">
      <c r="A358" s="111">
        <v>1</v>
      </c>
      <c r="B358" s="5">
        <v>2</v>
      </c>
      <c r="C358" s="5">
        <v>3</v>
      </c>
      <c r="D358" s="5">
        <v>4</v>
      </c>
      <c r="E358" s="5">
        <v>5</v>
      </c>
      <c r="F358" s="5">
        <v>6</v>
      </c>
      <c r="G358" s="5">
        <v>7</v>
      </c>
      <c r="H358" s="120">
        <v>8</v>
      </c>
      <c r="I358" s="122">
        <v>9</v>
      </c>
      <c r="J358" s="110">
        <v>10</v>
      </c>
      <c r="K358" s="5">
        <v>11</v>
      </c>
      <c r="L358" s="5">
        <v>12</v>
      </c>
      <c r="M358" s="5">
        <v>13</v>
      </c>
      <c r="N358" s="5">
        <v>14</v>
      </c>
      <c r="O358" s="120">
        <v>15</v>
      </c>
      <c r="P358" s="122">
        <v>16</v>
      </c>
      <c r="Q358" s="131">
        <v>17</v>
      </c>
    </row>
    <row r="359" spans="1:17" ht="15.75" thickTop="1" x14ac:dyDescent="0.25">
      <c r="A359" s="83">
        <v>1</v>
      </c>
      <c r="B359" s="7" t="s">
        <v>18</v>
      </c>
      <c r="C359" s="136">
        <v>0</v>
      </c>
      <c r="D359" s="136">
        <v>0</v>
      </c>
      <c r="E359" s="136">
        <v>0</v>
      </c>
      <c r="F359" s="136">
        <f>kedelai!C75</f>
        <v>0</v>
      </c>
      <c r="G359" s="136">
        <f>kedelai!D75</f>
        <v>0</v>
      </c>
      <c r="H359" s="136">
        <f>kedelai!E75</f>
        <v>0</v>
      </c>
      <c r="I359" s="124">
        <f>SUM(C359:H359)</f>
        <v>0</v>
      </c>
      <c r="J359" s="136">
        <v>0</v>
      </c>
      <c r="K359" s="136">
        <v>0</v>
      </c>
      <c r="L359" s="136">
        <v>0</v>
      </c>
      <c r="M359" s="136">
        <f>kedelai!J75</f>
        <v>0</v>
      </c>
      <c r="N359" s="136">
        <f>kedelai!K75</f>
        <v>0</v>
      </c>
      <c r="O359" s="136">
        <f>kedelai!L75</f>
        <v>0</v>
      </c>
      <c r="P359" s="124">
        <f>SUM(J359:O359)</f>
        <v>0</v>
      </c>
      <c r="Q359" s="127">
        <f>SUM(I359,P359)</f>
        <v>0</v>
      </c>
    </row>
    <row r="360" spans="1:17" x14ac:dyDescent="0.25">
      <c r="A360" s="84">
        <v>2</v>
      </c>
      <c r="B360" s="12" t="s">
        <v>19</v>
      </c>
      <c r="C360" s="59">
        <v>0</v>
      </c>
      <c r="D360" s="59">
        <v>0</v>
      </c>
      <c r="E360" s="59">
        <v>0</v>
      </c>
      <c r="F360" s="59">
        <f>kedelai!C76</f>
        <v>0</v>
      </c>
      <c r="G360" s="59">
        <f>kedelai!D76</f>
        <v>0</v>
      </c>
      <c r="H360" s="155">
        <f>kedelai!E76</f>
        <v>0</v>
      </c>
      <c r="I360" s="125">
        <f t="shared" ref="I360:I366" si="123">SUM(C360:H360)</f>
        <v>0</v>
      </c>
      <c r="J360" s="59">
        <v>0</v>
      </c>
      <c r="K360" s="59">
        <v>0</v>
      </c>
      <c r="L360" s="59">
        <v>0</v>
      </c>
      <c r="M360" s="59">
        <f>kedelai!J76</f>
        <v>0</v>
      </c>
      <c r="N360" s="59">
        <f>kedelai!K76</f>
        <v>0</v>
      </c>
      <c r="O360" s="155">
        <f>kedelai!L76</f>
        <v>0</v>
      </c>
      <c r="P360" s="125">
        <f t="shared" ref="P360:P365" si="124">SUM(J360:O360)</f>
        <v>0</v>
      </c>
      <c r="Q360" s="128">
        <f t="shared" ref="Q360:Q366" si="125">SUM(I360,P360)</f>
        <v>0</v>
      </c>
    </row>
    <row r="361" spans="1:17" x14ac:dyDescent="0.25">
      <c r="A361" s="84">
        <v>3</v>
      </c>
      <c r="B361" s="7" t="s">
        <v>20</v>
      </c>
      <c r="C361" s="59">
        <v>0</v>
      </c>
      <c r="D361" s="59">
        <v>0</v>
      </c>
      <c r="E361" s="59">
        <v>0</v>
      </c>
      <c r="F361" s="59">
        <f>kedelai!C77</f>
        <v>0</v>
      </c>
      <c r="G361" s="59">
        <f>kedelai!D77</f>
        <v>0</v>
      </c>
      <c r="H361" s="155">
        <f>kedelai!E77</f>
        <v>0</v>
      </c>
      <c r="I361" s="125">
        <f t="shared" si="123"/>
        <v>0</v>
      </c>
      <c r="J361" s="59">
        <v>0</v>
      </c>
      <c r="K361" s="59">
        <v>0</v>
      </c>
      <c r="L361" s="59">
        <v>0</v>
      </c>
      <c r="M361" s="59">
        <f>kedelai!J77</f>
        <v>0</v>
      </c>
      <c r="N361" s="59">
        <f>kedelai!K77</f>
        <v>0</v>
      </c>
      <c r="O361" s="155">
        <f>kedelai!L77</f>
        <v>0</v>
      </c>
      <c r="P361" s="125">
        <f t="shared" si="124"/>
        <v>0</v>
      </c>
      <c r="Q361" s="128">
        <f t="shared" si="125"/>
        <v>0</v>
      </c>
    </row>
    <row r="362" spans="1:17" x14ac:dyDescent="0.25">
      <c r="A362" s="85">
        <v>4</v>
      </c>
      <c r="B362" s="15" t="s">
        <v>21</v>
      </c>
      <c r="C362" s="59">
        <v>0</v>
      </c>
      <c r="D362" s="59">
        <v>0</v>
      </c>
      <c r="E362" s="59">
        <v>0</v>
      </c>
      <c r="F362" s="59">
        <f>kedelai!C78</f>
        <v>0</v>
      </c>
      <c r="G362" s="59">
        <f>kedelai!D78</f>
        <v>0</v>
      </c>
      <c r="H362" s="155">
        <f>kedelai!E78</f>
        <v>0</v>
      </c>
      <c r="I362" s="125">
        <f t="shared" si="123"/>
        <v>0</v>
      </c>
      <c r="J362" s="59">
        <v>0</v>
      </c>
      <c r="K362" s="59">
        <v>0</v>
      </c>
      <c r="L362" s="59">
        <v>0</v>
      </c>
      <c r="M362" s="59">
        <f>kedelai!J78</f>
        <v>0</v>
      </c>
      <c r="N362" s="59">
        <f>kedelai!K78</f>
        <v>0</v>
      </c>
      <c r="O362" s="155">
        <f>kedelai!L78</f>
        <v>0</v>
      </c>
      <c r="P362" s="125">
        <f t="shared" si="124"/>
        <v>0</v>
      </c>
      <c r="Q362" s="128">
        <f t="shared" si="125"/>
        <v>0</v>
      </c>
    </row>
    <row r="363" spans="1:17" x14ac:dyDescent="0.25">
      <c r="A363" s="85">
        <v>5</v>
      </c>
      <c r="B363" s="19" t="s">
        <v>22</v>
      </c>
      <c r="C363" s="59">
        <v>0</v>
      </c>
      <c r="D363" s="59">
        <v>0</v>
      </c>
      <c r="E363" s="59">
        <v>0</v>
      </c>
      <c r="F363" s="59">
        <f>kedelai!C79</f>
        <v>0</v>
      </c>
      <c r="G363" s="59">
        <f>kedelai!D79</f>
        <v>0</v>
      </c>
      <c r="H363" s="155">
        <f>kedelai!E79</f>
        <v>0</v>
      </c>
      <c r="I363" s="125">
        <f t="shared" si="123"/>
        <v>0</v>
      </c>
      <c r="J363" s="59">
        <v>0</v>
      </c>
      <c r="K363" s="59">
        <v>0</v>
      </c>
      <c r="L363" s="59">
        <v>0</v>
      </c>
      <c r="M363" s="59">
        <f>kedelai!J79</f>
        <v>0</v>
      </c>
      <c r="N363" s="59">
        <f>kedelai!K79</f>
        <v>0</v>
      </c>
      <c r="O363" s="155">
        <f>kedelai!L79</f>
        <v>0</v>
      </c>
      <c r="P363" s="125">
        <f t="shared" si="124"/>
        <v>0</v>
      </c>
      <c r="Q363" s="128">
        <f t="shared" si="125"/>
        <v>0</v>
      </c>
    </row>
    <row r="364" spans="1:17" x14ac:dyDescent="0.25">
      <c r="A364" s="85">
        <v>6</v>
      </c>
      <c r="B364" s="19" t="s">
        <v>23</v>
      </c>
      <c r="C364" s="59">
        <v>0</v>
      </c>
      <c r="D364" s="59">
        <v>0</v>
      </c>
      <c r="E364" s="59">
        <v>0</v>
      </c>
      <c r="F364" s="59">
        <f>kedelai!C80</f>
        <v>0</v>
      </c>
      <c r="G364" s="59">
        <f>kedelai!D80</f>
        <v>0</v>
      </c>
      <c r="H364" s="155">
        <f>kedelai!E80</f>
        <v>0</v>
      </c>
      <c r="I364" s="125">
        <f t="shared" si="123"/>
        <v>0</v>
      </c>
      <c r="J364" s="59">
        <v>0</v>
      </c>
      <c r="K364" s="59">
        <v>0</v>
      </c>
      <c r="L364" s="59">
        <v>0</v>
      </c>
      <c r="M364" s="59">
        <f>kedelai!J80</f>
        <v>0</v>
      </c>
      <c r="N364" s="59">
        <f>kedelai!K80</f>
        <v>0</v>
      </c>
      <c r="O364" s="155">
        <f>kedelai!L80</f>
        <v>0</v>
      </c>
      <c r="P364" s="125">
        <f t="shared" si="124"/>
        <v>0</v>
      </c>
      <c r="Q364" s="128">
        <f t="shared" si="125"/>
        <v>0</v>
      </c>
    </row>
    <row r="365" spans="1:17" x14ac:dyDescent="0.25">
      <c r="A365" s="85">
        <v>7</v>
      </c>
      <c r="B365" s="19" t="s">
        <v>24</v>
      </c>
      <c r="C365" s="59">
        <v>0</v>
      </c>
      <c r="D365" s="59">
        <v>0</v>
      </c>
      <c r="E365" s="59">
        <v>0</v>
      </c>
      <c r="F365" s="59">
        <f>kedelai!C81</f>
        <v>0</v>
      </c>
      <c r="G365" s="59">
        <f>kedelai!D81</f>
        <v>0</v>
      </c>
      <c r="H365" s="155">
        <f>kedelai!E81</f>
        <v>0</v>
      </c>
      <c r="I365" s="125">
        <f t="shared" si="123"/>
        <v>0</v>
      </c>
      <c r="J365" s="59">
        <v>0</v>
      </c>
      <c r="K365" s="59">
        <v>0</v>
      </c>
      <c r="L365" s="59">
        <v>0</v>
      </c>
      <c r="M365" s="59">
        <f>kedelai!J81</f>
        <v>0</v>
      </c>
      <c r="N365" s="59">
        <f>kedelai!K81</f>
        <v>0</v>
      </c>
      <c r="O365" s="155">
        <f>kedelai!L81</f>
        <v>0</v>
      </c>
      <c r="P365" s="125">
        <f t="shared" si="124"/>
        <v>0</v>
      </c>
      <c r="Q365" s="128">
        <f t="shared" si="125"/>
        <v>0</v>
      </c>
    </row>
    <row r="366" spans="1:17" ht="15.75" thickBot="1" x14ac:dyDescent="0.3">
      <c r="A366" s="86">
        <v>8</v>
      </c>
      <c r="B366" s="15" t="s">
        <v>25</v>
      </c>
      <c r="C366" s="137">
        <v>0</v>
      </c>
      <c r="D366" s="137">
        <v>0</v>
      </c>
      <c r="E366" s="137">
        <v>0</v>
      </c>
      <c r="F366" s="137">
        <f>kedelai!C82</f>
        <v>0</v>
      </c>
      <c r="G366" s="137">
        <f>kedelai!D82</f>
        <v>0</v>
      </c>
      <c r="H366" s="137">
        <f>kedelai!E82</f>
        <v>0</v>
      </c>
      <c r="I366" s="126">
        <f t="shared" si="123"/>
        <v>0</v>
      </c>
      <c r="J366" s="137">
        <v>0</v>
      </c>
      <c r="K366" s="137">
        <v>0</v>
      </c>
      <c r="L366" s="137">
        <v>0</v>
      </c>
      <c r="M366" s="137">
        <f>kedelai!J82</f>
        <v>0</v>
      </c>
      <c r="N366" s="137">
        <f>kedelai!K82</f>
        <v>0</v>
      </c>
      <c r="O366" s="137">
        <f>kedelai!L82</f>
        <v>0</v>
      </c>
      <c r="P366" s="126">
        <f>SUM(J366:O366)</f>
        <v>0</v>
      </c>
      <c r="Q366" s="129">
        <f t="shared" si="125"/>
        <v>0</v>
      </c>
    </row>
    <row r="367" spans="1:17" ht="16.5" thickTop="1" thickBot="1" x14ac:dyDescent="0.3">
      <c r="A367" s="339" t="s">
        <v>26</v>
      </c>
      <c r="B367" s="340"/>
      <c r="C367" s="112">
        <f t="shared" ref="C367:H367" si="126">SUM(C359:C366)</f>
        <v>0</v>
      </c>
      <c r="D367" s="112">
        <f t="shared" si="126"/>
        <v>0</v>
      </c>
      <c r="E367" s="112">
        <f t="shared" si="126"/>
        <v>0</v>
      </c>
      <c r="F367" s="112">
        <f t="shared" si="126"/>
        <v>0</v>
      </c>
      <c r="G367" s="112">
        <f t="shared" si="126"/>
        <v>0</v>
      </c>
      <c r="H367" s="121">
        <f t="shared" si="126"/>
        <v>0</v>
      </c>
      <c r="I367" s="123">
        <f>SUM(I359:I366)</f>
        <v>0</v>
      </c>
      <c r="J367" s="133">
        <f t="shared" ref="J367:O367" si="127">SUM(J359:J366)</f>
        <v>0</v>
      </c>
      <c r="K367" s="112">
        <f t="shared" si="127"/>
        <v>0</v>
      </c>
      <c r="L367" s="112">
        <f t="shared" si="127"/>
        <v>0</v>
      </c>
      <c r="M367" s="112">
        <f t="shared" si="127"/>
        <v>0</v>
      </c>
      <c r="N367" s="112">
        <f t="shared" si="127"/>
        <v>0</v>
      </c>
      <c r="O367" s="121">
        <f t="shared" si="127"/>
        <v>0</v>
      </c>
      <c r="P367" s="123">
        <f>SUM(P359:P366)</f>
        <v>0</v>
      </c>
      <c r="Q367" s="130">
        <f>SUM(Q359:Q366)</f>
        <v>0</v>
      </c>
    </row>
    <row r="369" spans="1:17" ht="15.75" x14ac:dyDescent="0.25">
      <c r="A369" s="341" t="s">
        <v>125</v>
      </c>
      <c r="B369" s="341"/>
      <c r="C369" s="341"/>
      <c r="D369" s="341"/>
      <c r="E369" s="341"/>
      <c r="F369" s="341"/>
      <c r="G369" s="341"/>
      <c r="H369" s="341"/>
      <c r="I369" s="341"/>
      <c r="J369" s="341"/>
      <c r="K369" s="341"/>
      <c r="L369" s="341"/>
      <c r="M369" s="341"/>
      <c r="N369" s="341"/>
      <c r="O369" s="341"/>
      <c r="P369" s="341"/>
      <c r="Q369" s="341"/>
    </row>
    <row r="370" spans="1:17" ht="15.75" x14ac:dyDescent="0.25">
      <c r="A370" s="341" t="s">
        <v>81</v>
      </c>
      <c r="B370" s="341"/>
      <c r="C370" s="341"/>
      <c r="D370" s="341"/>
      <c r="E370" s="341"/>
      <c r="F370" s="341"/>
      <c r="G370" s="341"/>
      <c r="H370" s="341"/>
      <c r="I370" s="341"/>
      <c r="J370" s="341"/>
      <c r="K370" s="341"/>
      <c r="L370" s="341"/>
      <c r="M370" s="341"/>
      <c r="N370" s="341"/>
      <c r="O370" s="341"/>
      <c r="P370" s="341"/>
      <c r="Q370" s="341"/>
    </row>
    <row r="371" spans="1:17" ht="15.75" thickBot="1" x14ac:dyDescent="0.3">
      <c r="Q371" s="75" t="s">
        <v>29</v>
      </c>
    </row>
    <row r="372" spans="1:17" x14ac:dyDescent="0.25">
      <c r="A372" s="334" t="s">
        <v>2</v>
      </c>
      <c r="B372" s="336" t="s">
        <v>3</v>
      </c>
      <c r="C372" s="342" t="s">
        <v>138</v>
      </c>
      <c r="D372" s="343"/>
      <c r="E372" s="343"/>
      <c r="F372" s="343"/>
      <c r="G372" s="343"/>
      <c r="H372" s="343"/>
      <c r="I372" s="345" t="s">
        <v>82</v>
      </c>
      <c r="J372" s="343">
        <v>2019</v>
      </c>
      <c r="K372" s="343"/>
      <c r="L372" s="343"/>
      <c r="M372" s="343"/>
      <c r="N372" s="343"/>
      <c r="O372" s="343"/>
      <c r="P372" s="345" t="s">
        <v>83</v>
      </c>
      <c r="Q372" s="348" t="s">
        <v>5</v>
      </c>
    </row>
    <row r="373" spans="1:17" x14ac:dyDescent="0.25">
      <c r="A373" s="335"/>
      <c r="B373" s="324"/>
      <c r="C373" s="296" t="s">
        <v>15</v>
      </c>
      <c r="D373" s="296" t="s">
        <v>16</v>
      </c>
      <c r="E373" s="296" t="s">
        <v>17</v>
      </c>
      <c r="F373" s="296" t="s">
        <v>6</v>
      </c>
      <c r="G373" s="296" t="s">
        <v>76</v>
      </c>
      <c r="H373" s="119" t="s">
        <v>77</v>
      </c>
      <c r="I373" s="346"/>
      <c r="J373" s="109" t="s">
        <v>78</v>
      </c>
      <c r="K373" s="296" t="s">
        <v>10</v>
      </c>
      <c r="L373" s="296" t="s">
        <v>11</v>
      </c>
      <c r="M373" s="296" t="s">
        <v>12</v>
      </c>
      <c r="N373" s="296" t="s">
        <v>79</v>
      </c>
      <c r="O373" s="119" t="s">
        <v>80</v>
      </c>
      <c r="P373" s="346"/>
      <c r="Q373" s="349"/>
    </row>
    <row r="374" spans="1:17" ht="15.75" thickBot="1" x14ac:dyDescent="0.3">
      <c r="A374" s="111">
        <v>1</v>
      </c>
      <c r="B374" s="5">
        <v>2</v>
      </c>
      <c r="C374" s="5">
        <v>3</v>
      </c>
      <c r="D374" s="5">
        <v>4</v>
      </c>
      <c r="E374" s="5">
        <v>5</v>
      </c>
      <c r="F374" s="5">
        <v>6</v>
      </c>
      <c r="G374" s="5">
        <v>7</v>
      </c>
      <c r="H374" s="120">
        <v>8</v>
      </c>
      <c r="I374" s="122">
        <v>9</v>
      </c>
      <c r="J374" s="110">
        <v>10</v>
      </c>
      <c r="K374" s="5">
        <v>11</v>
      </c>
      <c r="L374" s="5">
        <v>12</v>
      </c>
      <c r="M374" s="5">
        <v>13</v>
      </c>
      <c r="N374" s="5">
        <v>14</v>
      </c>
      <c r="O374" s="120">
        <v>15</v>
      </c>
      <c r="P374" s="122">
        <v>16</v>
      </c>
      <c r="Q374" s="131">
        <v>17</v>
      </c>
    </row>
    <row r="375" spans="1:17" ht="15.75" thickTop="1" x14ac:dyDescent="0.25">
      <c r="A375" s="83">
        <v>1</v>
      </c>
      <c r="B375" s="7" t="s">
        <v>18</v>
      </c>
      <c r="C375" s="136">
        <v>0</v>
      </c>
      <c r="D375" s="136">
        <v>0</v>
      </c>
      <c r="E375" s="136">
        <v>0</v>
      </c>
      <c r="F375" s="136">
        <f>'kc tanah'!C75</f>
        <v>0</v>
      </c>
      <c r="G375" s="136">
        <f>'kc tanah'!D75</f>
        <v>0</v>
      </c>
      <c r="H375" s="136">
        <f>'kc tanah'!E75</f>
        <v>0</v>
      </c>
      <c r="I375" s="124">
        <f>SUM(C375:H375)</f>
        <v>0</v>
      </c>
      <c r="J375" s="156">
        <f>'kc tanah'!F75</f>
        <v>69</v>
      </c>
      <c r="K375" s="156">
        <f>'kc tanah'!G75</f>
        <v>37.299999999999997</v>
      </c>
      <c r="L375" s="156">
        <f>'kc tanah'!H75</f>
        <v>0</v>
      </c>
      <c r="M375" s="156">
        <f>'kc tanah'!I75</f>
        <v>0</v>
      </c>
      <c r="N375" s="156">
        <f>'kc tanah'!J75</f>
        <v>0</v>
      </c>
      <c r="O375" s="156">
        <f>'kc tanah'!K75</f>
        <v>0</v>
      </c>
      <c r="P375" s="124">
        <f>SUM(J375:O375)</f>
        <v>106.3</v>
      </c>
      <c r="Q375" s="127">
        <f>SUM(I375,P375)</f>
        <v>106.3</v>
      </c>
    </row>
    <row r="376" spans="1:17" x14ac:dyDescent="0.25">
      <c r="A376" s="84">
        <v>2</v>
      </c>
      <c r="B376" s="12" t="s">
        <v>19</v>
      </c>
      <c r="C376" s="59">
        <v>0</v>
      </c>
      <c r="D376" s="59">
        <v>0</v>
      </c>
      <c r="E376" s="59">
        <v>0</v>
      </c>
      <c r="F376" s="59">
        <f>'kc tanah'!C76</f>
        <v>0</v>
      </c>
      <c r="G376" s="59">
        <f>'kc tanah'!D76</f>
        <v>0</v>
      </c>
      <c r="H376" s="155">
        <f>'kc tanah'!E76</f>
        <v>178.9</v>
      </c>
      <c r="I376" s="125">
        <f t="shared" ref="I376:I382" si="128">SUM(C376:H376)</f>
        <v>178.9</v>
      </c>
      <c r="J376" s="223">
        <f>'kc tanah'!F76</f>
        <v>51.7</v>
      </c>
      <c r="K376" s="132">
        <f>'kc tanah'!G76</f>
        <v>0</v>
      </c>
      <c r="L376" s="132">
        <f>'kc tanah'!H76</f>
        <v>128.30000000000001</v>
      </c>
      <c r="M376" s="132">
        <f>'kc tanah'!I76</f>
        <v>38.9</v>
      </c>
      <c r="N376" s="132">
        <f>'kc tanah'!J76</f>
        <v>0</v>
      </c>
      <c r="O376" s="157">
        <f>'kc tanah'!K76</f>
        <v>0</v>
      </c>
      <c r="P376" s="125">
        <f t="shared" ref="P376:P381" si="129">SUM(J376:O376)</f>
        <v>218.9</v>
      </c>
      <c r="Q376" s="128">
        <f t="shared" ref="Q376:Q382" si="130">SUM(I376,P376)</f>
        <v>397.8</v>
      </c>
    </row>
    <row r="377" spans="1:17" x14ac:dyDescent="0.25">
      <c r="A377" s="84">
        <v>3</v>
      </c>
      <c r="B377" s="7" t="s">
        <v>20</v>
      </c>
      <c r="C377" s="59">
        <v>0</v>
      </c>
      <c r="D377" s="59">
        <v>0</v>
      </c>
      <c r="E377" s="59">
        <v>0</v>
      </c>
      <c r="F377" s="59">
        <f>'kc tanah'!C77</f>
        <v>60.1</v>
      </c>
      <c r="G377" s="59">
        <f>'kc tanah'!D77</f>
        <v>0</v>
      </c>
      <c r="H377" s="155">
        <f>'kc tanah'!E77</f>
        <v>0</v>
      </c>
      <c r="I377" s="125">
        <f t="shared" si="128"/>
        <v>60.1</v>
      </c>
      <c r="J377" s="223">
        <f>'kc tanah'!F77</f>
        <v>94.1</v>
      </c>
      <c r="K377" s="132">
        <f>'kc tanah'!G77</f>
        <v>0</v>
      </c>
      <c r="L377" s="132">
        <f>'kc tanah'!H77</f>
        <v>0</v>
      </c>
      <c r="M377" s="132">
        <f>'kc tanah'!I77</f>
        <v>138</v>
      </c>
      <c r="N377" s="132">
        <f>'kc tanah'!J77</f>
        <v>0</v>
      </c>
      <c r="O377" s="157">
        <f>'kc tanah'!K77</f>
        <v>0</v>
      </c>
      <c r="P377" s="125">
        <f t="shared" si="129"/>
        <v>232.1</v>
      </c>
      <c r="Q377" s="128">
        <f t="shared" si="130"/>
        <v>292.2</v>
      </c>
    </row>
    <row r="378" spans="1:17" x14ac:dyDescent="0.25">
      <c r="A378" s="85">
        <v>4</v>
      </c>
      <c r="B378" s="15" t="s">
        <v>21</v>
      </c>
      <c r="C378" s="59">
        <v>19</v>
      </c>
      <c r="D378" s="59">
        <v>0</v>
      </c>
      <c r="E378" s="59">
        <v>0</v>
      </c>
      <c r="F378" s="59">
        <f>'kc tanah'!C78</f>
        <v>0</v>
      </c>
      <c r="G378" s="59">
        <f>'kc tanah'!D78</f>
        <v>0</v>
      </c>
      <c r="H378" s="155">
        <f>'kc tanah'!E78</f>
        <v>57</v>
      </c>
      <c r="I378" s="125">
        <f t="shared" si="128"/>
        <v>76</v>
      </c>
      <c r="J378" s="223">
        <f>'kc tanah'!F78</f>
        <v>0</v>
      </c>
      <c r="K378" s="132">
        <f>'kc tanah'!G78</f>
        <v>4.8</v>
      </c>
      <c r="L378" s="132">
        <f>'kc tanah'!H78</f>
        <v>25.9</v>
      </c>
      <c r="M378" s="132">
        <f>'kc tanah'!I78</f>
        <v>0</v>
      </c>
      <c r="N378" s="132">
        <f>'kc tanah'!J78</f>
        <v>0</v>
      </c>
      <c r="O378" s="157">
        <f>'kc tanah'!K78</f>
        <v>22.6</v>
      </c>
      <c r="P378" s="125">
        <f t="shared" si="129"/>
        <v>53.3</v>
      </c>
      <c r="Q378" s="128">
        <f t="shared" si="130"/>
        <v>129.30000000000001</v>
      </c>
    </row>
    <row r="379" spans="1:17" x14ac:dyDescent="0.25">
      <c r="A379" s="85">
        <v>5</v>
      </c>
      <c r="B379" s="19" t="s">
        <v>22</v>
      </c>
      <c r="C379" s="59">
        <v>0</v>
      </c>
      <c r="D379" s="59">
        <v>0</v>
      </c>
      <c r="E379" s="59">
        <v>0</v>
      </c>
      <c r="F379" s="59">
        <f>'kc tanah'!C79</f>
        <v>0</v>
      </c>
      <c r="G379" s="59">
        <f>'kc tanah'!D79</f>
        <v>0</v>
      </c>
      <c r="H379" s="155">
        <f>'kc tanah'!E79</f>
        <v>301.60000000000002</v>
      </c>
      <c r="I379" s="125">
        <f t="shared" si="128"/>
        <v>301.60000000000002</v>
      </c>
      <c r="J379" s="223">
        <f>'kc tanah'!F79</f>
        <v>0</v>
      </c>
      <c r="K379" s="132">
        <f>'kc tanah'!G79</f>
        <v>0</v>
      </c>
      <c r="L379" s="132">
        <f>'kc tanah'!H79</f>
        <v>15.2</v>
      </c>
      <c r="M379" s="132">
        <f>'kc tanah'!I79</f>
        <v>55.1</v>
      </c>
      <c r="N379" s="132">
        <f>'kc tanah'!J79</f>
        <v>0</v>
      </c>
      <c r="O379" s="157">
        <f>'kc tanah'!K79</f>
        <v>0</v>
      </c>
      <c r="P379" s="125">
        <f t="shared" si="129"/>
        <v>70.3</v>
      </c>
      <c r="Q379" s="128">
        <f t="shared" si="130"/>
        <v>371.90000000000003</v>
      </c>
    </row>
    <row r="380" spans="1:17" x14ac:dyDescent="0.25">
      <c r="A380" s="85">
        <v>6</v>
      </c>
      <c r="B380" s="19" t="s">
        <v>23</v>
      </c>
      <c r="C380" s="59">
        <v>16</v>
      </c>
      <c r="D380" s="59">
        <v>7</v>
      </c>
      <c r="E380" s="59">
        <v>0</v>
      </c>
      <c r="F380" s="59">
        <f>'kc tanah'!C80</f>
        <v>0</v>
      </c>
      <c r="G380" s="59">
        <f>'kc tanah'!D80</f>
        <v>60.7</v>
      </c>
      <c r="H380" s="155">
        <f>'kc tanah'!E80</f>
        <v>31.1</v>
      </c>
      <c r="I380" s="125">
        <f t="shared" si="128"/>
        <v>114.80000000000001</v>
      </c>
      <c r="J380" s="223">
        <f>'kc tanah'!F80</f>
        <v>0</v>
      </c>
      <c r="K380" s="132">
        <f>'kc tanah'!G80</f>
        <v>0</v>
      </c>
      <c r="L380" s="132">
        <f>'kc tanah'!H80</f>
        <v>45.2</v>
      </c>
      <c r="M380" s="132">
        <f>'kc tanah'!I80</f>
        <v>27.6</v>
      </c>
      <c r="N380" s="132">
        <f>'kc tanah'!J80</f>
        <v>0</v>
      </c>
      <c r="O380" s="157">
        <f>'kc tanah'!K80</f>
        <v>2.1</v>
      </c>
      <c r="P380" s="125">
        <f t="shared" si="129"/>
        <v>74.900000000000006</v>
      </c>
      <c r="Q380" s="128">
        <f t="shared" si="130"/>
        <v>189.70000000000002</v>
      </c>
    </row>
    <row r="381" spans="1:17" x14ac:dyDescent="0.25">
      <c r="A381" s="85">
        <v>7</v>
      </c>
      <c r="B381" s="19" t="s">
        <v>24</v>
      </c>
      <c r="C381" s="59">
        <v>0</v>
      </c>
      <c r="D381" s="59">
        <v>0</v>
      </c>
      <c r="E381" s="59">
        <v>0</v>
      </c>
      <c r="F381" s="59">
        <f>'kc tanah'!C81</f>
        <v>0</v>
      </c>
      <c r="G381" s="59">
        <f>'kc tanah'!D81</f>
        <v>0</v>
      </c>
      <c r="H381" s="155">
        <f>'kc tanah'!E81</f>
        <v>1.1000000000000001</v>
      </c>
      <c r="I381" s="125">
        <f t="shared" si="128"/>
        <v>1.1000000000000001</v>
      </c>
      <c r="J381" s="223">
        <f>'kc tanah'!F81</f>
        <v>0</v>
      </c>
      <c r="K381" s="132">
        <f>'kc tanah'!G81</f>
        <v>0</v>
      </c>
      <c r="L381" s="132">
        <f>'kc tanah'!H81</f>
        <v>0</v>
      </c>
      <c r="M381" s="132">
        <f>'kc tanah'!I81</f>
        <v>1.1000000000000001</v>
      </c>
      <c r="N381" s="132">
        <f>'kc tanah'!J81</f>
        <v>0</v>
      </c>
      <c r="O381" s="157">
        <f>'kc tanah'!K81</f>
        <v>0</v>
      </c>
      <c r="P381" s="125">
        <f t="shared" si="129"/>
        <v>1.1000000000000001</v>
      </c>
      <c r="Q381" s="128">
        <f t="shared" si="130"/>
        <v>2.2000000000000002</v>
      </c>
    </row>
    <row r="382" spans="1:17" ht="15.75" thickBot="1" x14ac:dyDescent="0.3">
      <c r="A382" s="86">
        <v>8</v>
      </c>
      <c r="B382" s="15" t="s">
        <v>25</v>
      </c>
      <c r="C382" s="137">
        <v>255</v>
      </c>
      <c r="D382" s="137">
        <v>28</v>
      </c>
      <c r="E382" s="137">
        <v>151</v>
      </c>
      <c r="F382" s="137">
        <f>'kc tanah'!C82</f>
        <v>0</v>
      </c>
      <c r="G382" s="137">
        <f>'kc tanah'!D82</f>
        <v>170.4</v>
      </c>
      <c r="H382" s="137">
        <f>'kc tanah'!E82</f>
        <v>12.5</v>
      </c>
      <c r="I382" s="126">
        <f t="shared" si="128"/>
        <v>616.9</v>
      </c>
      <c r="J382" s="232">
        <f>'kc tanah'!F82</f>
        <v>0</v>
      </c>
      <c r="K382" s="232">
        <f>'kc tanah'!G82</f>
        <v>0</v>
      </c>
      <c r="L382" s="232">
        <f>'kc tanah'!H82</f>
        <v>30.3</v>
      </c>
      <c r="M382" s="232">
        <f>'kc tanah'!I82</f>
        <v>134.5</v>
      </c>
      <c r="N382" s="232">
        <f>'kc tanah'!J82</f>
        <v>0</v>
      </c>
      <c r="O382" s="232">
        <f>'kc tanah'!K82</f>
        <v>0</v>
      </c>
      <c r="P382" s="126">
        <f>SUM(J382:O382)</f>
        <v>164.8</v>
      </c>
      <c r="Q382" s="129">
        <f t="shared" si="130"/>
        <v>781.7</v>
      </c>
    </row>
    <row r="383" spans="1:17" ht="16.5" thickTop="1" thickBot="1" x14ac:dyDescent="0.3">
      <c r="A383" s="339" t="s">
        <v>26</v>
      </c>
      <c r="B383" s="340"/>
      <c r="C383" s="112">
        <f t="shared" ref="C383:H383" si="131">SUM(C375:C382)</f>
        <v>290</v>
      </c>
      <c r="D383" s="112">
        <f t="shared" si="131"/>
        <v>35</v>
      </c>
      <c r="E383" s="112">
        <f t="shared" si="131"/>
        <v>151</v>
      </c>
      <c r="F383" s="112">
        <f t="shared" si="131"/>
        <v>60.1</v>
      </c>
      <c r="G383" s="112">
        <f t="shared" si="131"/>
        <v>231.10000000000002</v>
      </c>
      <c r="H383" s="121">
        <f t="shared" si="131"/>
        <v>582.20000000000005</v>
      </c>
      <c r="I383" s="123">
        <f>SUM(I375:I382)</f>
        <v>1349.4</v>
      </c>
      <c r="J383" s="133">
        <f t="shared" ref="J383:O383" si="132">SUM(J375:J382)</f>
        <v>214.8</v>
      </c>
      <c r="K383" s="112">
        <f t="shared" si="132"/>
        <v>42.099999999999994</v>
      </c>
      <c r="L383" s="112">
        <f t="shared" si="132"/>
        <v>244.90000000000003</v>
      </c>
      <c r="M383" s="112">
        <f t="shared" si="132"/>
        <v>395.20000000000005</v>
      </c>
      <c r="N383" s="112">
        <f t="shared" si="132"/>
        <v>0</v>
      </c>
      <c r="O383" s="121">
        <f t="shared" si="132"/>
        <v>24.700000000000003</v>
      </c>
      <c r="P383" s="123">
        <f>SUM(P375:P382)</f>
        <v>921.69999999999982</v>
      </c>
      <c r="Q383" s="130">
        <f>SUM(Q375:Q382)</f>
        <v>2271.1000000000004</v>
      </c>
    </row>
    <row r="385" spans="1:17" ht="15.75" x14ac:dyDescent="0.25">
      <c r="A385" s="341" t="s">
        <v>126</v>
      </c>
      <c r="B385" s="341"/>
      <c r="C385" s="341"/>
      <c r="D385" s="341"/>
      <c r="E385" s="341"/>
      <c r="F385" s="341"/>
      <c r="G385" s="341"/>
      <c r="H385" s="341"/>
      <c r="I385" s="341"/>
      <c r="J385" s="341"/>
      <c r="K385" s="341"/>
      <c r="L385" s="341"/>
      <c r="M385" s="341"/>
      <c r="N385" s="341"/>
      <c r="O385" s="341"/>
      <c r="P385" s="341"/>
      <c r="Q385" s="341"/>
    </row>
    <row r="386" spans="1:17" ht="15.75" x14ac:dyDescent="0.25">
      <c r="A386" s="341" t="s">
        <v>81</v>
      </c>
      <c r="B386" s="341"/>
      <c r="C386" s="341"/>
      <c r="D386" s="341"/>
      <c r="E386" s="341"/>
      <c r="F386" s="341"/>
      <c r="G386" s="341"/>
      <c r="H386" s="341"/>
      <c r="I386" s="341"/>
      <c r="J386" s="341"/>
      <c r="K386" s="341"/>
      <c r="L386" s="341"/>
      <c r="M386" s="341"/>
      <c r="N386" s="341"/>
      <c r="O386" s="341"/>
      <c r="P386" s="341"/>
      <c r="Q386" s="341"/>
    </row>
    <row r="387" spans="1:17" ht="15.75" thickBot="1" x14ac:dyDescent="0.3">
      <c r="Q387" s="75" t="s">
        <v>29</v>
      </c>
    </row>
    <row r="388" spans="1:17" x14ac:dyDescent="0.25">
      <c r="A388" s="334" t="s">
        <v>2</v>
      </c>
      <c r="B388" s="336" t="s">
        <v>3</v>
      </c>
      <c r="C388" s="342" t="s">
        <v>138</v>
      </c>
      <c r="D388" s="343"/>
      <c r="E388" s="343"/>
      <c r="F388" s="343"/>
      <c r="G388" s="343"/>
      <c r="H388" s="343"/>
      <c r="I388" s="345" t="s">
        <v>82</v>
      </c>
      <c r="J388" s="343">
        <v>2019</v>
      </c>
      <c r="K388" s="343"/>
      <c r="L388" s="343"/>
      <c r="M388" s="343"/>
      <c r="N388" s="343"/>
      <c r="O388" s="343"/>
      <c r="P388" s="345" t="s">
        <v>83</v>
      </c>
      <c r="Q388" s="348" t="s">
        <v>5</v>
      </c>
    </row>
    <row r="389" spans="1:17" x14ac:dyDescent="0.25">
      <c r="A389" s="335"/>
      <c r="B389" s="324"/>
      <c r="C389" s="296" t="s">
        <v>15</v>
      </c>
      <c r="D389" s="296" t="s">
        <v>16</v>
      </c>
      <c r="E389" s="296" t="s">
        <v>17</v>
      </c>
      <c r="F389" s="296" t="s">
        <v>6</v>
      </c>
      <c r="G389" s="296" t="s">
        <v>76</v>
      </c>
      <c r="H389" s="119" t="s">
        <v>77</v>
      </c>
      <c r="I389" s="346"/>
      <c r="J389" s="109" t="s">
        <v>78</v>
      </c>
      <c r="K389" s="296" t="s">
        <v>10</v>
      </c>
      <c r="L389" s="296" t="s">
        <v>11</v>
      </c>
      <c r="M389" s="296" t="s">
        <v>12</v>
      </c>
      <c r="N389" s="296" t="s">
        <v>79</v>
      </c>
      <c r="O389" s="119" t="s">
        <v>80</v>
      </c>
      <c r="P389" s="346"/>
      <c r="Q389" s="349"/>
    </row>
    <row r="390" spans="1:17" ht="15.75" thickBot="1" x14ac:dyDescent="0.3">
      <c r="A390" s="111">
        <v>1</v>
      </c>
      <c r="B390" s="5">
        <v>2</v>
      </c>
      <c r="C390" s="5">
        <v>3</v>
      </c>
      <c r="D390" s="5">
        <v>4</v>
      </c>
      <c r="E390" s="5">
        <v>5</v>
      </c>
      <c r="F390" s="5">
        <v>6</v>
      </c>
      <c r="G390" s="5">
        <v>7</v>
      </c>
      <c r="H390" s="120">
        <v>8</v>
      </c>
      <c r="I390" s="122">
        <v>9</v>
      </c>
      <c r="J390" s="110">
        <v>10</v>
      </c>
      <c r="K390" s="5">
        <v>11</v>
      </c>
      <c r="L390" s="5">
        <v>12</v>
      </c>
      <c r="M390" s="5">
        <v>13</v>
      </c>
      <c r="N390" s="5">
        <v>14</v>
      </c>
      <c r="O390" s="120">
        <v>15</v>
      </c>
      <c r="P390" s="122">
        <v>16</v>
      </c>
      <c r="Q390" s="131">
        <v>17</v>
      </c>
    </row>
    <row r="391" spans="1:17" ht="15.75" thickTop="1" x14ac:dyDescent="0.25">
      <c r="A391" s="83">
        <v>1</v>
      </c>
      <c r="B391" s="7" t="s">
        <v>18</v>
      </c>
      <c r="C391" s="136">
        <v>19</v>
      </c>
      <c r="D391" s="136">
        <v>0</v>
      </c>
      <c r="E391" s="136">
        <v>0</v>
      </c>
      <c r="F391" s="136">
        <f>'ubi kayu'!C75</f>
        <v>0</v>
      </c>
      <c r="G391" s="136">
        <f>'ubi kayu'!D75</f>
        <v>0</v>
      </c>
      <c r="H391" s="136">
        <f>'ubi kayu'!E75</f>
        <v>0</v>
      </c>
      <c r="I391" s="124">
        <f>SUM(C391:H391)</f>
        <v>19</v>
      </c>
      <c r="J391" s="156">
        <f>'ubi kayu'!F75</f>
        <v>0</v>
      </c>
      <c r="K391" s="156">
        <f>'ubi kayu'!G75</f>
        <v>20.399999999999999</v>
      </c>
      <c r="L391" s="156">
        <f>'ubi kayu'!H75</f>
        <v>0</v>
      </c>
      <c r="M391" s="156">
        <f>'ubi kayu'!I75</f>
        <v>0</v>
      </c>
      <c r="N391" s="156">
        <f>'ubi kayu'!J75</f>
        <v>28</v>
      </c>
      <c r="O391" s="156">
        <f>'ubi kayu'!K75</f>
        <v>12</v>
      </c>
      <c r="P391" s="124">
        <f>SUM(J391:O391)</f>
        <v>60.4</v>
      </c>
      <c r="Q391" s="127">
        <f>SUM(I391,P391)</f>
        <v>79.400000000000006</v>
      </c>
    </row>
    <row r="392" spans="1:17" x14ac:dyDescent="0.25">
      <c r="A392" s="84">
        <v>2</v>
      </c>
      <c r="B392" s="12" t="s">
        <v>19</v>
      </c>
      <c r="C392" s="59">
        <v>0</v>
      </c>
      <c r="D392" s="59">
        <v>0</v>
      </c>
      <c r="E392" s="59">
        <v>0</v>
      </c>
      <c r="F392" s="59">
        <f>'ubi kayu'!C76</f>
        <v>25.6</v>
      </c>
      <c r="G392" s="59">
        <f>'ubi kayu'!D76</f>
        <v>0</v>
      </c>
      <c r="H392" s="155">
        <f>'ubi kayu'!E76</f>
        <v>0</v>
      </c>
      <c r="I392" s="125">
        <f t="shared" ref="I392:I398" si="133">SUM(C392:H392)</f>
        <v>25.6</v>
      </c>
      <c r="J392" s="223">
        <f>'ubi kayu'!F76</f>
        <v>0</v>
      </c>
      <c r="K392" s="132">
        <f>'ubi kayu'!G76</f>
        <v>0</v>
      </c>
      <c r="L392" s="132">
        <f>'ubi kayu'!H76</f>
        <v>0</v>
      </c>
      <c r="M392" s="132">
        <f>'ubi kayu'!I76</f>
        <v>0</v>
      </c>
      <c r="N392" s="132">
        <f>'ubi kayu'!J76</f>
        <v>0</v>
      </c>
      <c r="O392" s="157">
        <f>'ubi kayu'!K76</f>
        <v>0</v>
      </c>
      <c r="P392" s="125">
        <f t="shared" ref="P392:P397" si="134">SUM(J392:O392)</f>
        <v>0</v>
      </c>
      <c r="Q392" s="128">
        <f t="shared" ref="Q392:Q398" si="135">SUM(I392,P392)</f>
        <v>25.6</v>
      </c>
    </row>
    <row r="393" spans="1:17" x14ac:dyDescent="0.25">
      <c r="A393" s="84">
        <v>3</v>
      </c>
      <c r="B393" s="7" t="s">
        <v>20</v>
      </c>
      <c r="C393" s="59">
        <v>26</v>
      </c>
      <c r="D393" s="59">
        <v>0</v>
      </c>
      <c r="E393" s="59">
        <v>0</v>
      </c>
      <c r="F393" s="59">
        <f>'ubi kayu'!C77</f>
        <v>0</v>
      </c>
      <c r="G393" s="59">
        <f>'ubi kayu'!D77</f>
        <v>0</v>
      </c>
      <c r="H393" s="155">
        <f>'ubi kayu'!E77</f>
        <v>0</v>
      </c>
      <c r="I393" s="125">
        <f t="shared" si="133"/>
        <v>26</v>
      </c>
      <c r="J393" s="223">
        <f>'ubi kayu'!F77</f>
        <v>0</v>
      </c>
      <c r="K393" s="132">
        <f>'ubi kayu'!G77</f>
        <v>0</v>
      </c>
      <c r="L393" s="132">
        <f>'ubi kayu'!H77</f>
        <v>0</v>
      </c>
      <c r="M393" s="132">
        <f>'ubi kayu'!I77</f>
        <v>0</v>
      </c>
      <c r="N393" s="132">
        <f>'ubi kayu'!J77</f>
        <v>0</v>
      </c>
      <c r="O393" s="157">
        <f>'ubi kayu'!K77</f>
        <v>0</v>
      </c>
      <c r="P393" s="125">
        <f t="shared" si="134"/>
        <v>0</v>
      </c>
      <c r="Q393" s="128">
        <f t="shared" si="135"/>
        <v>26</v>
      </c>
    </row>
    <row r="394" spans="1:17" x14ac:dyDescent="0.25">
      <c r="A394" s="85">
        <v>4</v>
      </c>
      <c r="B394" s="15" t="s">
        <v>21</v>
      </c>
      <c r="C394" s="59">
        <v>0</v>
      </c>
      <c r="D394" s="59">
        <v>15</v>
      </c>
      <c r="E394" s="59">
        <v>37</v>
      </c>
      <c r="F394" s="59">
        <f>'ubi kayu'!C78</f>
        <v>0</v>
      </c>
      <c r="G394" s="59">
        <f>'ubi kayu'!D78</f>
        <v>0</v>
      </c>
      <c r="H394" s="155">
        <f>'ubi kayu'!E78</f>
        <v>0</v>
      </c>
      <c r="I394" s="125">
        <f t="shared" si="133"/>
        <v>52</v>
      </c>
      <c r="J394" s="223">
        <f>'ubi kayu'!F78</f>
        <v>0</v>
      </c>
      <c r="K394" s="132">
        <f>'ubi kayu'!G78</f>
        <v>0</v>
      </c>
      <c r="L394" s="132">
        <f>'ubi kayu'!H78</f>
        <v>0</v>
      </c>
      <c r="M394" s="132">
        <f>'ubi kayu'!I78</f>
        <v>0</v>
      </c>
      <c r="N394" s="132">
        <f>'ubi kayu'!J78</f>
        <v>0</v>
      </c>
      <c r="O394" s="157">
        <f>'ubi kayu'!K78</f>
        <v>0</v>
      </c>
      <c r="P394" s="125">
        <f t="shared" si="134"/>
        <v>0</v>
      </c>
      <c r="Q394" s="128">
        <f t="shared" si="135"/>
        <v>52</v>
      </c>
    </row>
    <row r="395" spans="1:17" x14ac:dyDescent="0.25">
      <c r="A395" s="85">
        <v>5</v>
      </c>
      <c r="B395" s="19" t="s">
        <v>22</v>
      </c>
      <c r="C395" s="59">
        <v>0</v>
      </c>
      <c r="D395" s="59">
        <v>0</v>
      </c>
      <c r="E395" s="59">
        <v>0</v>
      </c>
      <c r="F395" s="59">
        <f>'ubi kayu'!C79</f>
        <v>0</v>
      </c>
      <c r="G395" s="59">
        <f>'ubi kayu'!D79</f>
        <v>0</v>
      </c>
      <c r="H395" s="155">
        <f>'ubi kayu'!E79</f>
        <v>0</v>
      </c>
      <c r="I395" s="125">
        <f t="shared" si="133"/>
        <v>0</v>
      </c>
      <c r="J395" s="223">
        <f>'ubi kayu'!F79</f>
        <v>0</v>
      </c>
      <c r="K395" s="132">
        <f>'ubi kayu'!G79</f>
        <v>0</v>
      </c>
      <c r="L395" s="132">
        <f>'ubi kayu'!H79</f>
        <v>30</v>
      </c>
      <c r="M395" s="132">
        <f>'ubi kayu'!I79</f>
        <v>15</v>
      </c>
      <c r="N395" s="132">
        <f>'ubi kayu'!J79</f>
        <v>0</v>
      </c>
      <c r="O395" s="157">
        <f>'ubi kayu'!K79</f>
        <v>0</v>
      </c>
      <c r="P395" s="125">
        <f t="shared" si="134"/>
        <v>45</v>
      </c>
      <c r="Q395" s="128">
        <f t="shared" si="135"/>
        <v>45</v>
      </c>
    </row>
    <row r="396" spans="1:17" x14ac:dyDescent="0.25">
      <c r="A396" s="85">
        <v>6</v>
      </c>
      <c r="B396" s="19" t="s">
        <v>23</v>
      </c>
      <c r="C396" s="59">
        <v>0</v>
      </c>
      <c r="D396" s="59">
        <v>60</v>
      </c>
      <c r="E396" s="59">
        <v>0</v>
      </c>
      <c r="F396" s="59">
        <f>'ubi kayu'!C80</f>
        <v>0</v>
      </c>
      <c r="G396" s="59">
        <f>'ubi kayu'!D80</f>
        <v>0</v>
      </c>
      <c r="H396" s="155">
        <f>'ubi kayu'!E80</f>
        <v>0</v>
      </c>
      <c r="I396" s="125">
        <f t="shared" si="133"/>
        <v>60</v>
      </c>
      <c r="J396" s="223">
        <f>'ubi kayu'!F80</f>
        <v>0</v>
      </c>
      <c r="K396" s="132">
        <f>'ubi kayu'!G80</f>
        <v>10</v>
      </c>
      <c r="L396" s="132">
        <f>'ubi kayu'!H80</f>
        <v>0</v>
      </c>
      <c r="M396" s="132">
        <f>'ubi kayu'!I80</f>
        <v>0</v>
      </c>
      <c r="N396" s="132">
        <f>'ubi kayu'!J80</f>
        <v>0</v>
      </c>
      <c r="O396" s="157">
        <f>'ubi kayu'!K80</f>
        <v>0</v>
      </c>
      <c r="P396" s="125">
        <f t="shared" si="134"/>
        <v>10</v>
      </c>
      <c r="Q396" s="128">
        <f t="shared" si="135"/>
        <v>70</v>
      </c>
    </row>
    <row r="397" spans="1:17" x14ac:dyDescent="0.25">
      <c r="A397" s="85">
        <v>7</v>
      </c>
      <c r="B397" s="19" t="s">
        <v>24</v>
      </c>
      <c r="C397" s="59">
        <v>0</v>
      </c>
      <c r="D397" s="59">
        <v>0</v>
      </c>
      <c r="E397" s="59">
        <v>0</v>
      </c>
      <c r="F397" s="59">
        <f>'ubi kayu'!C81</f>
        <v>0</v>
      </c>
      <c r="G397" s="59">
        <f>'ubi kayu'!D81</f>
        <v>0</v>
      </c>
      <c r="H397" s="155">
        <f>'ubi kayu'!E81</f>
        <v>0</v>
      </c>
      <c r="I397" s="125">
        <f t="shared" si="133"/>
        <v>0</v>
      </c>
      <c r="J397" s="223">
        <f>'ubi kayu'!F81</f>
        <v>0</v>
      </c>
      <c r="K397" s="132">
        <f>'ubi kayu'!G81</f>
        <v>0</v>
      </c>
      <c r="L397" s="132">
        <f>'ubi kayu'!H81</f>
        <v>0</v>
      </c>
      <c r="M397" s="132">
        <f>'ubi kayu'!I81</f>
        <v>0</v>
      </c>
      <c r="N397" s="132">
        <f>'ubi kayu'!J81</f>
        <v>0</v>
      </c>
      <c r="O397" s="157">
        <f>'ubi kayu'!K81</f>
        <v>0</v>
      </c>
      <c r="P397" s="125">
        <f t="shared" si="134"/>
        <v>0</v>
      </c>
      <c r="Q397" s="128">
        <f t="shared" si="135"/>
        <v>0</v>
      </c>
    </row>
    <row r="398" spans="1:17" ht="15.75" thickBot="1" x14ac:dyDescent="0.3">
      <c r="A398" s="86">
        <v>8</v>
      </c>
      <c r="B398" s="15" t="s">
        <v>25</v>
      </c>
      <c r="C398" s="137">
        <v>0</v>
      </c>
      <c r="D398" s="137">
        <v>0</v>
      </c>
      <c r="E398" s="137">
        <v>31</v>
      </c>
      <c r="F398" s="137">
        <f>'ubi kayu'!C82</f>
        <v>0</v>
      </c>
      <c r="G398" s="137">
        <f>'ubi kayu'!D82</f>
        <v>0</v>
      </c>
      <c r="H398" s="137">
        <f>'ubi kayu'!E82</f>
        <v>0</v>
      </c>
      <c r="I398" s="126">
        <f t="shared" si="133"/>
        <v>31</v>
      </c>
      <c r="J398" s="232">
        <f>'ubi kayu'!F82</f>
        <v>22</v>
      </c>
      <c r="K398" s="232">
        <f>'ubi kayu'!G82</f>
        <v>0</v>
      </c>
      <c r="L398" s="232">
        <f>'ubi kayu'!H82</f>
        <v>12</v>
      </c>
      <c r="M398" s="232">
        <f>'ubi kayu'!I82</f>
        <v>15</v>
      </c>
      <c r="N398" s="232">
        <f>'ubi kayu'!J82</f>
        <v>30</v>
      </c>
      <c r="O398" s="232">
        <f>'ubi kayu'!K82</f>
        <v>0</v>
      </c>
      <c r="P398" s="126">
        <f>SUM(J398:O398)</f>
        <v>79</v>
      </c>
      <c r="Q398" s="129">
        <f t="shared" si="135"/>
        <v>110</v>
      </c>
    </row>
    <row r="399" spans="1:17" ht="16.5" thickTop="1" thickBot="1" x14ac:dyDescent="0.3">
      <c r="A399" s="339" t="s">
        <v>26</v>
      </c>
      <c r="B399" s="340"/>
      <c r="C399" s="112">
        <f t="shared" ref="C399:H399" si="136">SUM(C391:C398)</f>
        <v>45</v>
      </c>
      <c r="D399" s="112">
        <f t="shared" si="136"/>
        <v>75</v>
      </c>
      <c r="E399" s="112">
        <f t="shared" si="136"/>
        <v>68</v>
      </c>
      <c r="F399" s="112">
        <f t="shared" si="136"/>
        <v>25.6</v>
      </c>
      <c r="G399" s="112">
        <f t="shared" si="136"/>
        <v>0</v>
      </c>
      <c r="H399" s="121">
        <f t="shared" si="136"/>
        <v>0</v>
      </c>
      <c r="I399" s="123">
        <f>SUM(I391:I398)</f>
        <v>213.6</v>
      </c>
      <c r="J399" s="133">
        <f t="shared" ref="J399:O399" si="137">SUM(J391:J398)</f>
        <v>22</v>
      </c>
      <c r="K399" s="112">
        <f t="shared" si="137"/>
        <v>30.4</v>
      </c>
      <c r="L399" s="112">
        <f t="shared" si="137"/>
        <v>42</v>
      </c>
      <c r="M399" s="112">
        <f t="shared" si="137"/>
        <v>30</v>
      </c>
      <c r="N399" s="112">
        <f t="shared" si="137"/>
        <v>58</v>
      </c>
      <c r="O399" s="121">
        <f t="shared" si="137"/>
        <v>12</v>
      </c>
      <c r="P399" s="123">
        <f>SUM(P391:P398)</f>
        <v>194.4</v>
      </c>
      <c r="Q399" s="130">
        <f>SUM(Q391:Q398)</f>
        <v>408</v>
      </c>
    </row>
    <row r="401" spans="1:17" ht="15.75" x14ac:dyDescent="0.25">
      <c r="A401" s="341" t="s">
        <v>127</v>
      </c>
      <c r="B401" s="341"/>
      <c r="C401" s="341"/>
      <c r="D401" s="341"/>
      <c r="E401" s="341"/>
      <c r="F401" s="341"/>
      <c r="G401" s="341"/>
      <c r="H401" s="341"/>
      <c r="I401" s="341"/>
      <c r="J401" s="341"/>
      <c r="K401" s="341"/>
      <c r="L401" s="341"/>
      <c r="M401" s="341"/>
      <c r="N401" s="341"/>
      <c r="O401" s="341"/>
      <c r="P401" s="341"/>
      <c r="Q401" s="341"/>
    </row>
    <row r="402" spans="1:17" ht="15.75" x14ac:dyDescent="0.25">
      <c r="A402" s="341" t="s">
        <v>81</v>
      </c>
      <c r="B402" s="341"/>
      <c r="C402" s="341"/>
      <c r="D402" s="341"/>
      <c r="E402" s="341"/>
      <c r="F402" s="341"/>
      <c r="G402" s="341"/>
      <c r="H402" s="341"/>
      <c r="I402" s="341"/>
      <c r="J402" s="341"/>
      <c r="K402" s="341"/>
      <c r="L402" s="341"/>
      <c r="M402" s="341"/>
      <c r="N402" s="341"/>
      <c r="O402" s="341"/>
      <c r="P402" s="341"/>
      <c r="Q402" s="341"/>
    </row>
    <row r="403" spans="1:17" ht="15.75" thickBot="1" x14ac:dyDescent="0.3">
      <c r="Q403" s="75" t="s">
        <v>29</v>
      </c>
    </row>
    <row r="404" spans="1:17" x14ac:dyDescent="0.25">
      <c r="A404" s="334" t="s">
        <v>2</v>
      </c>
      <c r="B404" s="336" t="s">
        <v>3</v>
      </c>
      <c r="C404" s="342" t="s">
        <v>138</v>
      </c>
      <c r="D404" s="343"/>
      <c r="E404" s="343"/>
      <c r="F404" s="343"/>
      <c r="G404" s="343"/>
      <c r="H404" s="343"/>
      <c r="I404" s="345" t="s">
        <v>82</v>
      </c>
      <c r="J404" s="343">
        <v>2019</v>
      </c>
      <c r="K404" s="343"/>
      <c r="L404" s="343"/>
      <c r="M404" s="343"/>
      <c r="N404" s="343"/>
      <c r="O404" s="343"/>
      <c r="P404" s="345" t="s">
        <v>83</v>
      </c>
      <c r="Q404" s="348" t="s">
        <v>5</v>
      </c>
    </row>
    <row r="405" spans="1:17" x14ac:dyDescent="0.25">
      <c r="A405" s="335"/>
      <c r="B405" s="324"/>
      <c r="C405" s="296" t="s">
        <v>15</v>
      </c>
      <c r="D405" s="296" t="s">
        <v>16</v>
      </c>
      <c r="E405" s="296" t="s">
        <v>17</v>
      </c>
      <c r="F405" s="296" t="s">
        <v>6</v>
      </c>
      <c r="G405" s="296" t="s">
        <v>76</v>
      </c>
      <c r="H405" s="119" t="s">
        <v>77</v>
      </c>
      <c r="I405" s="346"/>
      <c r="J405" s="109" t="s">
        <v>78</v>
      </c>
      <c r="K405" s="296" t="s">
        <v>10</v>
      </c>
      <c r="L405" s="296" t="s">
        <v>11</v>
      </c>
      <c r="M405" s="296" t="s">
        <v>12</v>
      </c>
      <c r="N405" s="296" t="s">
        <v>79</v>
      </c>
      <c r="O405" s="119" t="s">
        <v>80</v>
      </c>
      <c r="P405" s="346"/>
      <c r="Q405" s="349"/>
    </row>
    <row r="406" spans="1:17" ht="15.75" thickBot="1" x14ac:dyDescent="0.3">
      <c r="A406" s="111">
        <v>1</v>
      </c>
      <c r="B406" s="5">
        <v>2</v>
      </c>
      <c r="C406" s="5">
        <v>3</v>
      </c>
      <c r="D406" s="5">
        <v>4</v>
      </c>
      <c r="E406" s="5">
        <v>5</v>
      </c>
      <c r="F406" s="5">
        <v>6</v>
      </c>
      <c r="G406" s="5">
        <v>7</v>
      </c>
      <c r="H406" s="120">
        <v>8</v>
      </c>
      <c r="I406" s="122">
        <v>9</v>
      </c>
      <c r="J406" s="110">
        <v>10</v>
      </c>
      <c r="K406" s="5">
        <v>11</v>
      </c>
      <c r="L406" s="5">
        <v>12</v>
      </c>
      <c r="M406" s="5">
        <v>13</v>
      </c>
      <c r="N406" s="5">
        <v>14</v>
      </c>
      <c r="O406" s="120">
        <v>15</v>
      </c>
      <c r="P406" s="122">
        <v>16</v>
      </c>
      <c r="Q406" s="131">
        <v>17</v>
      </c>
    </row>
    <row r="407" spans="1:17" ht="15.75" thickTop="1" x14ac:dyDescent="0.25">
      <c r="A407" s="83">
        <v>1</v>
      </c>
      <c r="B407" s="7" t="s">
        <v>18</v>
      </c>
      <c r="C407" s="136">
        <v>0</v>
      </c>
      <c r="D407" s="136">
        <v>0</v>
      </c>
      <c r="E407" s="136">
        <v>0</v>
      </c>
      <c r="F407" s="136">
        <f>'ubi jalar'!C75</f>
        <v>0</v>
      </c>
      <c r="G407" s="136">
        <f>'ubi jalar'!D75</f>
        <v>0</v>
      </c>
      <c r="H407" s="136">
        <f>'ubi jalar'!E75</f>
        <v>0</v>
      </c>
      <c r="I407" s="124">
        <f>SUM(C407:H407)</f>
        <v>0</v>
      </c>
      <c r="J407" s="156">
        <f>'ubi jalar'!F75</f>
        <v>0</v>
      </c>
      <c r="K407" s="156">
        <f>'ubi jalar'!G75</f>
        <v>86.7</v>
      </c>
      <c r="L407" s="156">
        <f>'ubi jalar'!H75</f>
        <v>0</v>
      </c>
      <c r="M407" s="156">
        <f>'ubi jalar'!I75</f>
        <v>0</v>
      </c>
      <c r="N407" s="156">
        <f>'ubi jalar'!J75</f>
        <v>10</v>
      </c>
      <c r="O407" s="156">
        <f>'ubi jalar'!K75</f>
        <v>0</v>
      </c>
      <c r="P407" s="124">
        <f>SUM(J407:O407)</f>
        <v>96.7</v>
      </c>
      <c r="Q407" s="127">
        <f>SUM(I407,P407)</f>
        <v>96.7</v>
      </c>
    </row>
    <row r="408" spans="1:17" x14ac:dyDescent="0.25">
      <c r="A408" s="84">
        <v>2</v>
      </c>
      <c r="B408" s="12" t="s">
        <v>19</v>
      </c>
      <c r="C408" s="59">
        <v>9</v>
      </c>
      <c r="D408" s="59">
        <v>0</v>
      </c>
      <c r="E408" s="59">
        <v>0</v>
      </c>
      <c r="F408" s="59">
        <f>'ubi jalar'!C76</f>
        <v>0</v>
      </c>
      <c r="G408" s="59">
        <f>'ubi jalar'!D76</f>
        <v>0</v>
      </c>
      <c r="H408" s="155">
        <f>'ubi jalar'!E76</f>
        <v>10.199999999999999</v>
      </c>
      <c r="I408" s="125">
        <f t="shared" ref="I408:I414" si="138">SUM(C408:H408)</f>
        <v>19.2</v>
      </c>
      <c r="J408" s="223">
        <f>'ubi jalar'!F76</f>
        <v>10.4</v>
      </c>
      <c r="K408" s="132">
        <f>'ubi jalar'!G76</f>
        <v>0</v>
      </c>
      <c r="L408" s="132">
        <f>'ubi jalar'!H76</f>
        <v>0</v>
      </c>
      <c r="M408" s="132">
        <f>'ubi jalar'!I76</f>
        <v>0</v>
      </c>
      <c r="N408" s="132">
        <f>'ubi jalar'!J76</f>
        <v>10.1</v>
      </c>
      <c r="O408" s="157">
        <f>'ubi jalar'!K76</f>
        <v>10.199999999999999</v>
      </c>
      <c r="P408" s="125">
        <f t="shared" ref="P408:P413" si="139">SUM(J408:O408)</f>
        <v>30.7</v>
      </c>
      <c r="Q408" s="128">
        <f t="shared" ref="Q408:Q414" si="140">SUM(I408,P408)</f>
        <v>49.9</v>
      </c>
    </row>
    <row r="409" spans="1:17" x14ac:dyDescent="0.25">
      <c r="A409" s="84">
        <v>3</v>
      </c>
      <c r="B409" s="7" t="s">
        <v>20</v>
      </c>
      <c r="C409" s="59">
        <v>0</v>
      </c>
      <c r="D409" s="59">
        <v>0</v>
      </c>
      <c r="E409" s="59">
        <v>0</v>
      </c>
      <c r="F409" s="59">
        <f>'ubi jalar'!C77</f>
        <v>0</v>
      </c>
      <c r="G409" s="59">
        <f>'ubi jalar'!D77</f>
        <v>0</v>
      </c>
      <c r="H409" s="155">
        <f>'ubi jalar'!E77</f>
        <v>0</v>
      </c>
      <c r="I409" s="125">
        <f t="shared" si="138"/>
        <v>0</v>
      </c>
      <c r="J409" s="223">
        <f>'ubi jalar'!F77</f>
        <v>0</v>
      </c>
      <c r="K409" s="132">
        <f>'ubi jalar'!G77</f>
        <v>0</v>
      </c>
      <c r="L409" s="132">
        <f>'ubi jalar'!H77</f>
        <v>0</v>
      </c>
      <c r="M409" s="132">
        <f>'ubi jalar'!I77</f>
        <v>0</v>
      </c>
      <c r="N409" s="132">
        <f>'ubi jalar'!J77</f>
        <v>0</v>
      </c>
      <c r="O409" s="157">
        <f>'ubi jalar'!K77</f>
        <v>0</v>
      </c>
      <c r="P409" s="125">
        <f t="shared" si="139"/>
        <v>0</v>
      </c>
      <c r="Q409" s="128">
        <f t="shared" si="140"/>
        <v>0</v>
      </c>
    </row>
    <row r="410" spans="1:17" x14ac:dyDescent="0.25">
      <c r="A410" s="85">
        <v>4</v>
      </c>
      <c r="B410" s="15" t="s">
        <v>21</v>
      </c>
      <c r="C410" s="59">
        <v>30</v>
      </c>
      <c r="D410" s="59">
        <v>0</v>
      </c>
      <c r="E410" s="59">
        <v>25</v>
      </c>
      <c r="F410" s="59">
        <f>'ubi jalar'!C78</f>
        <v>0</v>
      </c>
      <c r="G410" s="59">
        <f>'ubi jalar'!D78</f>
        <v>0</v>
      </c>
      <c r="H410" s="155">
        <f>'ubi jalar'!E78</f>
        <v>0</v>
      </c>
      <c r="I410" s="125">
        <f t="shared" si="138"/>
        <v>55</v>
      </c>
      <c r="J410" s="223">
        <f>'ubi jalar'!F78</f>
        <v>0</v>
      </c>
      <c r="K410" s="132">
        <f>'ubi jalar'!G78</f>
        <v>0</v>
      </c>
      <c r="L410" s="132">
        <f>'ubi jalar'!H78</f>
        <v>0</v>
      </c>
      <c r="M410" s="132">
        <f>'ubi jalar'!I78</f>
        <v>0</v>
      </c>
      <c r="N410" s="132">
        <f>'ubi jalar'!J78</f>
        <v>0</v>
      </c>
      <c r="O410" s="157">
        <f>'ubi jalar'!K78</f>
        <v>0</v>
      </c>
      <c r="P410" s="125">
        <f t="shared" si="139"/>
        <v>0</v>
      </c>
      <c r="Q410" s="128">
        <f t="shared" si="140"/>
        <v>55</v>
      </c>
    </row>
    <row r="411" spans="1:17" x14ac:dyDescent="0.25">
      <c r="A411" s="85">
        <v>5</v>
      </c>
      <c r="B411" s="19" t="s">
        <v>22</v>
      </c>
      <c r="C411" s="59">
        <v>10</v>
      </c>
      <c r="D411" s="59">
        <v>0</v>
      </c>
      <c r="E411" s="59">
        <v>0</v>
      </c>
      <c r="F411" s="59">
        <f>'ubi jalar'!C79</f>
        <v>0</v>
      </c>
      <c r="G411" s="59">
        <f>'ubi jalar'!D79</f>
        <v>0</v>
      </c>
      <c r="H411" s="155">
        <f>'ubi jalar'!E79</f>
        <v>0</v>
      </c>
      <c r="I411" s="125">
        <f t="shared" si="138"/>
        <v>10</v>
      </c>
      <c r="J411" s="223">
        <f>'ubi jalar'!F79</f>
        <v>0</v>
      </c>
      <c r="K411" s="132">
        <f>'ubi jalar'!G79</f>
        <v>0</v>
      </c>
      <c r="L411" s="132">
        <f>'ubi jalar'!H79</f>
        <v>0</v>
      </c>
      <c r="M411" s="132">
        <f>'ubi jalar'!I79</f>
        <v>0</v>
      </c>
      <c r="N411" s="132">
        <f>'ubi jalar'!J79</f>
        <v>0</v>
      </c>
      <c r="O411" s="157">
        <f>'ubi jalar'!K79</f>
        <v>0</v>
      </c>
      <c r="P411" s="125">
        <f t="shared" si="139"/>
        <v>0</v>
      </c>
      <c r="Q411" s="128">
        <f t="shared" si="140"/>
        <v>10</v>
      </c>
    </row>
    <row r="412" spans="1:17" x14ac:dyDescent="0.25">
      <c r="A412" s="85">
        <v>6</v>
      </c>
      <c r="B412" s="19" t="s">
        <v>23</v>
      </c>
      <c r="C412" s="59">
        <v>0</v>
      </c>
      <c r="D412" s="59">
        <v>0</v>
      </c>
      <c r="E412" s="59">
        <v>0</v>
      </c>
      <c r="F412" s="59">
        <f>'ubi jalar'!C80</f>
        <v>0</v>
      </c>
      <c r="G412" s="59">
        <f>'ubi jalar'!D80</f>
        <v>9.1</v>
      </c>
      <c r="H412" s="155">
        <f>'ubi jalar'!E80</f>
        <v>0</v>
      </c>
      <c r="I412" s="125">
        <f t="shared" si="138"/>
        <v>9.1</v>
      </c>
      <c r="J412" s="223">
        <f>'ubi jalar'!F80</f>
        <v>0</v>
      </c>
      <c r="K412" s="132">
        <f>'ubi jalar'!G80</f>
        <v>9.5</v>
      </c>
      <c r="L412" s="132">
        <f>'ubi jalar'!H80</f>
        <v>0</v>
      </c>
      <c r="M412" s="132">
        <f>'ubi jalar'!I80</f>
        <v>0</v>
      </c>
      <c r="N412" s="132">
        <f>'ubi jalar'!J80</f>
        <v>0</v>
      </c>
      <c r="O412" s="157">
        <f>'ubi jalar'!K80</f>
        <v>0</v>
      </c>
      <c r="P412" s="125">
        <f t="shared" si="139"/>
        <v>9.5</v>
      </c>
      <c r="Q412" s="128">
        <f t="shared" si="140"/>
        <v>18.600000000000001</v>
      </c>
    </row>
    <row r="413" spans="1:17" x14ac:dyDescent="0.25">
      <c r="A413" s="85">
        <v>7</v>
      </c>
      <c r="B413" s="19" t="s">
        <v>24</v>
      </c>
      <c r="C413" s="59">
        <v>0</v>
      </c>
      <c r="D413" s="59">
        <v>0</v>
      </c>
      <c r="E413" s="59">
        <v>0</v>
      </c>
      <c r="F413" s="59">
        <f>'ubi jalar'!C81</f>
        <v>0</v>
      </c>
      <c r="G413" s="59">
        <f>'ubi jalar'!D81</f>
        <v>0</v>
      </c>
      <c r="H413" s="155">
        <f>'ubi jalar'!E81</f>
        <v>0</v>
      </c>
      <c r="I413" s="125">
        <f t="shared" si="138"/>
        <v>0</v>
      </c>
      <c r="J413" s="223">
        <f>'ubi jalar'!F81</f>
        <v>0</v>
      </c>
      <c r="K413" s="132">
        <f>'ubi jalar'!G81</f>
        <v>0</v>
      </c>
      <c r="L413" s="132">
        <f>'ubi jalar'!H81</f>
        <v>0</v>
      </c>
      <c r="M413" s="132">
        <f>'ubi jalar'!I81</f>
        <v>0</v>
      </c>
      <c r="N413" s="132">
        <f>'ubi jalar'!J81</f>
        <v>0</v>
      </c>
      <c r="O413" s="157">
        <f>'ubi jalar'!K81</f>
        <v>0</v>
      </c>
      <c r="P413" s="125">
        <f t="shared" si="139"/>
        <v>0</v>
      </c>
      <c r="Q413" s="128">
        <f t="shared" si="140"/>
        <v>0</v>
      </c>
    </row>
    <row r="414" spans="1:17" ht="15.75" thickBot="1" x14ac:dyDescent="0.3">
      <c r="A414" s="86">
        <v>8</v>
      </c>
      <c r="B414" s="15" t="s">
        <v>25</v>
      </c>
      <c r="C414" s="137">
        <v>8</v>
      </c>
      <c r="D414" s="137">
        <v>0</v>
      </c>
      <c r="E414" s="137">
        <v>0</v>
      </c>
      <c r="F414" s="137">
        <f>'ubi jalar'!C82</f>
        <v>0</v>
      </c>
      <c r="G414" s="137">
        <f>'ubi jalar'!D82</f>
        <v>0</v>
      </c>
      <c r="H414" s="137">
        <f>'ubi jalar'!E82</f>
        <v>10</v>
      </c>
      <c r="I414" s="126">
        <f t="shared" si="138"/>
        <v>18</v>
      </c>
      <c r="J414" s="232">
        <f>'ubi jalar'!F82</f>
        <v>0</v>
      </c>
      <c r="K414" s="232">
        <f>'ubi jalar'!G82</f>
        <v>0</v>
      </c>
      <c r="L414" s="232">
        <f>'ubi jalar'!H82</f>
        <v>0</v>
      </c>
      <c r="M414" s="232">
        <f>'ubi jalar'!I82</f>
        <v>9.1</v>
      </c>
      <c r="N414" s="232">
        <f>'ubi jalar'!J82</f>
        <v>0</v>
      </c>
      <c r="O414" s="232">
        <f>'ubi jalar'!K82</f>
        <v>0</v>
      </c>
      <c r="P414" s="126">
        <f>SUM(J414:O414)</f>
        <v>9.1</v>
      </c>
      <c r="Q414" s="129">
        <f t="shared" si="140"/>
        <v>27.1</v>
      </c>
    </row>
    <row r="415" spans="1:17" ht="16.5" thickTop="1" thickBot="1" x14ac:dyDescent="0.3">
      <c r="A415" s="339" t="s">
        <v>26</v>
      </c>
      <c r="B415" s="340"/>
      <c r="C415" s="112">
        <f t="shared" ref="C415:H415" si="141">SUM(C407:C414)</f>
        <v>57</v>
      </c>
      <c r="D415" s="112">
        <f t="shared" si="141"/>
        <v>0</v>
      </c>
      <c r="E415" s="112">
        <f t="shared" si="141"/>
        <v>25</v>
      </c>
      <c r="F415" s="112">
        <f t="shared" si="141"/>
        <v>0</v>
      </c>
      <c r="G415" s="112">
        <f t="shared" si="141"/>
        <v>9.1</v>
      </c>
      <c r="H415" s="121">
        <f t="shared" si="141"/>
        <v>20.2</v>
      </c>
      <c r="I415" s="123">
        <f>SUM(I407:I414)</f>
        <v>111.3</v>
      </c>
      <c r="J415" s="133">
        <f t="shared" ref="J415:O415" si="142">SUM(J407:J414)</f>
        <v>10.4</v>
      </c>
      <c r="K415" s="112">
        <f t="shared" si="142"/>
        <v>96.2</v>
      </c>
      <c r="L415" s="112">
        <f t="shared" si="142"/>
        <v>0</v>
      </c>
      <c r="M415" s="112">
        <f t="shared" si="142"/>
        <v>9.1</v>
      </c>
      <c r="N415" s="112">
        <f t="shared" si="142"/>
        <v>20.100000000000001</v>
      </c>
      <c r="O415" s="121">
        <f t="shared" si="142"/>
        <v>10.199999999999999</v>
      </c>
      <c r="P415" s="123">
        <f>SUM(P407:P414)</f>
        <v>146</v>
      </c>
      <c r="Q415" s="130">
        <f>SUM(Q407:Q414)</f>
        <v>257.3</v>
      </c>
    </row>
    <row r="417" spans="1:17" ht="15.75" x14ac:dyDescent="0.25">
      <c r="A417" s="341" t="s">
        <v>128</v>
      </c>
      <c r="B417" s="341"/>
      <c r="C417" s="341"/>
      <c r="D417" s="341"/>
      <c r="E417" s="341"/>
      <c r="F417" s="341"/>
      <c r="G417" s="341"/>
      <c r="H417" s="341"/>
      <c r="I417" s="341"/>
      <c r="J417" s="341"/>
      <c r="K417" s="341"/>
      <c r="L417" s="341"/>
      <c r="M417" s="341"/>
      <c r="N417" s="341"/>
      <c r="O417" s="341"/>
      <c r="P417" s="341"/>
      <c r="Q417" s="341"/>
    </row>
    <row r="418" spans="1:17" ht="15.75" x14ac:dyDescent="0.25">
      <c r="A418" s="341" t="s">
        <v>81</v>
      </c>
      <c r="B418" s="341"/>
      <c r="C418" s="341"/>
      <c r="D418" s="341"/>
      <c r="E418" s="341"/>
      <c r="F418" s="341"/>
      <c r="G418" s="341"/>
      <c r="H418" s="341"/>
      <c r="I418" s="341"/>
      <c r="J418" s="341"/>
      <c r="K418" s="341"/>
      <c r="L418" s="341"/>
      <c r="M418" s="341"/>
      <c r="N418" s="341"/>
      <c r="O418" s="341"/>
      <c r="P418" s="341"/>
      <c r="Q418" s="341"/>
    </row>
    <row r="419" spans="1:17" ht="15.75" thickBot="1" x14ac:dyDescent="0.3">
      <c r="Q419" s="75" t="s">
        <v>29</v>
      </c>
    </row>
    <row r="420" spans="1:17" x14ac:dyDescent="0.25">
      <c r="A420" s="334" t="s">
        <v>2</v>
      </c>
      <c r="B420" s="336" t="s">
        <v>3</v>
      </c>
      <c r="C420" s="342" t="s">
        <v>138</v>
      </c>
      <c r="D420" s="343"/>
      <c r="E420" s="343"/>
      <c r="F420" s="343"/>
      <c r="G420" s="343"/>
      <c r="H420" s="343"/>
      <c r="I420" s="345" t="s">
        <v>82</v>
      </c>
      <c r="J420" s="343">
        <v>2019</v>
      </c>
      <c r="K420" s="343"/>
      <c r="L420" s="343"/>
      <c r="M420" s="343"/>
      <c r="N420" s="343"/>
      <c r="O420" s="343"/>
      <c r="P420" s="345" t="s">
        <v>83</v>
      </c>
      <c r="Q420" s="348" t="s">
        <v>5</v>
      </c>
    </row>
    <row r="421" spans="1:17" x14ac:dyDescent="0.25">
      <c r="A421" s="335"/>
      <c r="B421" s="324"/>
      <c r="C421" s="296" t="s">
        <v>15</v>
      </c>
      <c r="D421" s="296" t="s">
        <v>16</v>
      </c>
      <c r="E421" s="296" t="s">
        <v>17</v>
      </c>
      <c r="F421" s="296" t="s">
        <v>6</v>
      </c>
      <c r="G421" s="296" t="s">
        <v>76</v>
      </c>
      <c r="H421" s="119" t="s">
        <v>77</v>
      </c>
      <c r="I421" s="346"/>
      <c r="J421" s="109" t="s">
        <v>78</v>
      </c>
      <c r="K421" s="296" t="s">
        <v>10</v>
      </c>
      <c r="L421" s="296" t="s">
        <v>11</v>
      </c>
      <c r="M421" s="296" t="s">
        <v>12</v>
      </c>
      <c r="N421" s="296" t="s">
        <v>79</v>
      </c>
      <c r="O421" s="119" t="s">
        <v>80</v>
      </c>
      <c r="P421" s="346"/>
      <c r="Q421" s="349"/>
    </row>
    <row r="422" spans="1:17" ht="15.75" thickBot="1" x14ac:dyDescent="0.3">
      <c r="A422" s="111">
        <v>1</v>
      </c>
      <c r="B422" s="5">
        <v>2</v>
      </c>
      <c r="C422" s="5">
        <v>3</v>
      </c>
      <c r="D422" s="5">
        <v>4</v>
      </c>
      <c r="E422" s="5">
        <v>5</v>
      </c>
      <c r="F422" s="5">
        <v>6</v>
      </c>
      <c r="G422" s="5">
        <v>7</v>
      </c>
      <c r="H422" s="120">
        <v>8</v>
      </c>
      <c r="I422" s="122">
        <v>9</v>
      </c>
      <c r="J422" s="110">
        <v>10</v>
      </c>
      <c r="K422" s="5">
        <v>11</v>
      </c>
      <c r="L422" s="5">
        <v>12</v>
      </c>
      <c r="M422" s="5">
        <v>13</v>
      </c>
      <c r="N422" s="5">
        <v>14</v>
      </c>
      <c r="O422" s="120">
        <v>15</v>
      </c>
      <c r="P422" s="122">
        <v>16</v>
      </c>
      <c r="Q422" s="131">
        <v>17</v>
      </c>
    </row>
    <row r="423" spans="1:17" ht="15.75" thickTop="1" x14ac:dyDescent="0.25">
      <c r="A423" s="83">
        <v>1</v>
      </c>
      <c r="B423" s="7" t="s">
        <v>18</v>
      </c>
      <c r="C423" s="177">
        <v>0</v>
      </c>
      <c r="D423" s="177">
        <v>0</v>
      </c>
      <c r="E423" s="177"/>
      <c r="F423" s="136">
        <f>'kc ijo'!C75</f>
        <v>0</v>
      </c>
      <c r="G423" s="136">
        <f>'kc ijo'!D75</f>
        <v>0</v>
      </c>
      <c r="H423" s="136">
        <f>'kc ijo'!E75</f>
        <v>0</v>
      </c>
      <c r="I423" s="173">
        <f>SUM(C423:H423)</f>
        <v>0</v>
      </c>
      <c r="J423" s="156">
        <f>'kc ijo'!F75</f>
        <v>0.8</v>
      </c>
      <c r="K423" s="156">
        <f>'kc ijo'!G75</f>
        <v>4</v>
      </c>
      <c r="L423" s="156">
        <f>'kc ijo'!H75</f>
        <v>0</v>
      </c>
      <c r="M423" s="156">
        <f>'kc ijo'!I75</f>
        <v>0</v>
      </c>
      <c r="N423" s="156">
        <f>'kc ijo'!J75</f>
        <v>0</v>
      </c>
      <c r="O423" s="156">
        <f>'kc ijo'!K75</f>
        <v>0</v>
      </c>
      <c r="P423" s="124">
        <f>SUM(J423:O423)</f>
        <v>4.8</v>
      </c>
      <c r="Q423" s="188">
        <f>SUM(I423,P423)</f>
        <v>4.8</v>
      </c>
    </row>
    <row r="424" spans="1:17" x14ac:dyDescent="0.25">
      <c r="A424" s="84">
        <v>2</v>
      </c>
      <c r="B424" s="12" t="s">
        <v>19</v>
      </c>
      <c r="C424" s="178">
        <v>0</v>
      </c>
      <c r="D424" s="178">
        <v>0</v>
      </c>
      <c r="E424" s="178">
        <v>0</v>
      </c>
      <c r="F424" s="59">
        <f>'kc ijo'!C76</f>
        <v>0</v>
      </c>
      <c r="G424" s="59">
        <f>'kc ijo'!D76</f>
        <v>0</v>
      </c>
      <c r="H424" s="155">
        <f>'kc ijo'!E76</f>
        <v>0.9</v>
      </c>
      <c r="I424" s="174">
        <f t="shared" ref="I424:I430" si="143">SUM(C424:H424)</f>
        <v>0.9</v>
      </c>
      <c r="J424" s="223">
        <f>'kc ijo'!F76</f>
        <v>0</v>
      </c>
      <c r="K424" s="132">
        <f>'kc ijo'!G76</f>
        <v>0</v>
      </c>
      <c r="L424" s="132">
        <f>'kc ijo'!H76</f>
        <v>0</v>
      </c>
      <c r="M424" s="132">
        <f>'kc ijo'!I76</f>
        <v>0</v>
      </c>
      <c r="N424" s="132">
        <f>'kc ijo'!J76</f>
        <v>0</v>
      </c>
      <c r="O424" s="157">
        <f>'kc ijo'!K76</f>
        <v>0</v>
      </c>
      <c r="P424" s="125">
        <f t="shared" ref="P424:P429" si="144">SUM(J424:O424)</f>
        <v>0</v>
      </c>
      <c r="Q424" s="189">
        <f t="shared" ref="Q424:Q430" si="145">SUM(I424,P424)</f>
        <v>0.9</v>
      </c>
    </row>
    <row r="425" spans="1:17" x14ac:dyDescent="0.25">
      <c r="A425" s="84">
        <v>3</v>
      </c>
      <c r="B425" s="7" t="s">
        <v>20</v>
      </c>
      <c r="C425" s="178">
        <v>0</v>
      </c>
      <c r="D425" s="178">
        <v>0</v>
      </c>
      <c r="E425" s="178">
        <v>0</v>
      </c>
      <c r="F425" s="59">
        <f>'kc ijo'!C77</f>
        <v>0</v>
      </c>
      <c r="G425" s="59">
        <f>'kc ijo'!D77</f>
        <v>0</v>
      </c>
      <c r="H425" s="155">
        <f>'kc ijo'!E77</f>
        <v>0</v>
      </c>
      <c r="I425" s="174">
        <f t="shared" si="143"/>
        <v>0</v>
      </c>
      <c r="J425" s="223">
        <f>'kc ijo'!F77</f>
        <v>0</v>
      </c>
      <c r="K425" s="132">
        <f>'kc ijo'!G77</f>
        <v>0</v>
      </c>
      <c r="L425" s="132">
        <f>'kc ijo'!H77</f>
        <v>0</v>
      </c>
      <c r="M425" s="132">
        <f>'kc ijo'!I77</f>
        <v>0</v>
      </c>
      <c r="N425" s="132">
        <f>'kc ijo'!J77</f>
        <v>0</v>
      </c>
      <c r="O425" s="157">
        <f>'kc ijo'!K77</f>
        <v>0</v>
      </c>
      <c r="P425" s="125">
        <f t="shared" si="144"/>
        <v>0</v>
      </c>
      <c r="Q425" s="189">
        <f t="shared" si="145"/>
        <v>0</v>
      </c>
    </row>
    <row r="426" spans="1:17" x14ac:dyDescent="0.25">
      <c r="A426" s="85">
        <v>4</v>
      </c>
      <c r="B426" s="15" t="s">
        <v>21</v>
      </c>
      <c r="C426" s="178">
        <v>0</v>
      </c>
      <c r="D426" s="178">
        <v>0</v>
      </c>
      <c r="E426" s="178">
        <v>0.6</v>
      </c>
      <c r="F426" s="59">
        <f>'kc ijo'!C78</f>
        <v>0</v>
      </c>
      <c r="G426" s="59">
        <f>'kc ijo'!D78</f>
        <v>0</v>
      </c>
      <c r="H426" s="155">
        <f>'kc ijo'!E78</f>
        <v>9</v>
      </c>
      <c r="I426" s="174">
        <f t="shared" si="143"/>
        <v>9.6</v>
      </c>
      <c r="J426" s="223">
        <f>'kc ijo'!F78</f>
        <v>0</v>
      </c>
      <c r="K426" s="132">
        <f>'kc ijo'!G78</f>
        <v>0</v>
      </c>
      <c r="L426" s="132">
        <f>'kc ijo'!H78</f>
        <v>8.1999999999999993</v>
      </c>
      <c r="M426" s="132">
        <f>'kc ijo'!I78</f>
        <v>8.1999999999999993</v>
      </c>
      <c r="N426" s="132">
        <f>'kc ijo'!J78</f>
        <v>0</v>
      </c>
      <c r="O426" s="157">
        <f>'kc ijo'!K78</f>
        <v>0</v>
      </c>
      <c r="P426" s="125">
        <f t="shared" si="144"/>
        <v>16.399999999999999</v>
      </c>
      <c r="Q426" s="189">
        <f t="shared" si="145"/>
        <v>26</v>
      </c>
    </row>
    <row r="427" spans="1:17" x14ac:dyDescent="0.25">
      <c r="A427" s="85">
        <v>5</v>
      </c>
      <c r="B427" s="19" t="s">
        <v>22</v>
      </c>
      <c r="C427" s="178">
        <v>0</v>
      </c>
      <c r="D427" s="178">
        <v>0</v>
      </c>
      <c r="E427" s="178">
        <v>0</v>
      </c>
      <c r="F427" s="59">
        <f>'kc ijo'!C79</f>
        <v>0</v>
      </c>
      <c r="G427" s="59">
        <f>'kc ijo'!D79</f>
        <v>0</v>
      </c>
      <c r="H427" s="155">
        <f>'kc ijo'!E79</f>
        <v>0</v>
      </c>
      <c r="I427" s="174">
        <f t="shared" si="143"/>
        <v>0</v>
      </c>
      <c r="J427" s="223">
        <f>'kc ijo'!F79</f>
        <v>0</v>
      </c>
      <c r="K427" s="132">
        <f>'kc ijo'!G79</f>
        <v>0</v>
      </c>
      <c r="L427" s="132">
        <f>'kc ijo'!H79</f>
        <v>0</v>
      </c>
      <c r="M427" s="132">
        <f>'kc ijo'!I79</f>
        <v>0</v>
      </c>
      <c r="N427" s="132">
        <f>'kc ijo'!J79</f>
        <v>0</v>
      </c>
      <c r="O427" s="157">
        <f>'kc ijo'!K79</f>
        <v>0</v>
      </c>
      <c r="P427" s="125">
        <f t="shared" si="144"/>
        <v>0</v>
      </c>
      <c r="Q427" s="189">
        <f t="shared" si="145"/>
        <v>0</v>
      </c>
    </row>
    <row r="428" spans="1:17" x14ac:dyDescent="0.25">
      <c r="A428" s="85">
        <v>6</v>
      </c>
      <c r="B428" s="19" t="s">
        <v>23</v>
      </c>
      <c r="C428" s="178">
        <v>0</v>
      </c>
      <c r="D428" s="178">
        <v>0</v>
      </c>
      <c r="E428" s="178">
        <v>0</v>
      </c>
      <c r="F428" s="59">
        <f>'kc ijo'!C80</f>
        <v>0</v>
      </c>
      <c r="G428" s="59">
        <f>'kc ijo'!D80</f>
        <v>0</v>
      </c>
      <c r="H428" s="155">
        <f>'kc ijo'!E80</f>
        <v>0</v>
      </c>
      <c r="I428" s="174">
        <f t="shared" si="143"/>
        <v>0</v>
      </c>
      <c r="J428" s="223">
        <f>'kc ijo'!F80</f>
        <v>0</v>
      </c>
      <c r="K428" s="132">
        <f>'kc ijo'!G80</f>
        <v>0</v>
      </c>
      <c r="L428" s="132">
        <f>'kc ijo'!H80</f>
        <v>0</v>
      </c>
      <c r="M428" s="132">
        <f>'kc ijo'!I80</f>
        <v>0</v>
      </c>
      <c r="N428" s="132">
        <f>'kc ijo'!J80</f>
        <v>0</v>
      </c>
      <c r="O428" s="157">
        <f>'kc ijo'!K80</f>
        <v>0</v>
      </c>
      <c r="P428" s="125">
        <f t="shared" si="144"/>
        <v>0</v>
      </c>
      <c r="Q428" s="189">
        <f t="shared" si="145"/>
        <v>0</v>
      </c>
    </row>
    <row r="429" spans="1:17" x14ac:dyDescent="0.25">
      <c r="A429" s="85">
        <v>7</v>
      </c>
      <c r="B429" s="19" t="s">
        <v>24</v>
      </c>
      <c r="C429" s="178">
        <v>0</v>
      </c>
      <c r="D429" s="178">
        <v>0</v>
      </c>
      <c r="E429" s="178">
        <v>0</v>
      </c>
      <c r="F429" s="59">
        <f>'kc ijo'!C81</f>
        <v>0</v>
      </c>
      <c r="G429" s="59">
        <f>'kc ijo'!D81</f>
        <v>0</v>
      </c>
      <c r="H429" s="155">
        <f>'kc ijo'!E81</f>
        <v>0</v>
      </c>
      <c r="I429" s="174">
        <f t="shared" si="143"/>
        <v>0</v>
      </c>
      <c r="J429" s="223">
        <f>'kc ijo'!F81</f>
        <v>0</v>
      </c>
      <c r="K429" s="132">
        <f>'kc ijo'!G81</f>
        <v>0</v>
      </c>
      <c r="L429" s="132">
        <f>'kc ijo'!H81</f>
        <v>0</v>
      </c>
      <c r="M429" s="132">
        <f>'kc ijo'!I81</f>
        <v>0</v>
      </c>
      <c r="N429" s="132">
        <f>'kc ijo'!J81</f>
        <v>0</v>
      </c>
      <c r="O429" s="157">
        <f>'kc ijo'!K81</f>
        <v>0</v>
      </c>
      <c r="P429" s="125">
        <f t="shared" si="144"/>
        <v>0</v>
      </c>
      <c r="Q429" s="189">
        <f t="shared" si="145"/>
        <v>0</v>
      </c>
    </row>
    <row r="430" spans="1:17" ht="15.75" thickBot="1" x14ac:dyDescent="0.3">
      <c r="A430" s="86">
        <v>8</v>
      </c>
      <c r="B430" s="15" t="s">
        <v>25</v>
      </c>
      <c r="C430" s="171">
        <v>0.3</v>
      </c>
      <c r="D430" s="171">
        <v>0</v>
      </c>
      <c r="E430" s="171">
        <v>0</v>
      </c>
      <c r="F430" s="137">
        <f>'kc ijo'!C82</f>
        <v>0</v>
      </c>
      <c r="G430" s="137">
        <f>'kc ijo'!D82</f>
        <v>0.8</v>
      </c>
      <c r="H430" s="137">
        <f>'kc ijo'!E82</f>
        <v>0</v>
      </c>
      <c r="I430" s="175">
        <f t="shared" si="143"/>
        <v>1.1000000000000001</v>
      </c>
      <c r="J430" s="232">
        <f>'kc ijo'!F82</f>
        <v>0</v>
      </c>
      <c r="K430" s="232">
        <f>'kc ijo'!G82</f>
        <v>0</v>
      </c>
      <c r="L430" s="232">
        <f>'kc ijo'!H82</f>
        <v>0.8</v>
      </c>
      <c r="M430" s="232">
        <f>'kc ijo'!I82</f>
        <v>0</v>
      </c>
      <c r="N430" s="232">
        <f>'kc ijo'!J82</f>
        <v>0</v>
      </c>
      <c r="O430" s="232">
        <f>'kc ijo'!K82</f>
        <v>0</v>
      </c>
      <c r="P430" s="126">
        <f>SUM(J430:O430)</f>
        <v>0.8</v>
      </c>
      <c r="Q430" s="190">
        <f t="shared" si="145"/>
        <v>1.9000000000000001</v>
      </c>
    </row>
    <row r="431" spans="1:17" ht="16.5" thickTop="1" thickBot="1" x14ac:dyDescent="0.3">
      <c r="A431" s="339" t="s">
        <v>26</v>
      </c>
      <c r="B431" s="340"/>
      <c r="C431" s="172">
        <f t="shared" ref="C431:H431" si="146">SUM(C423:C430)</f>
        <v>0.3</v>
      </c>
      <c r="D431" s="172">
        <f t="shared" si="146"/>
        <v>0</v>
      </c>
      <c r="E431" s="172">
        <f t="shared" si="146"/>
        <v>0.6</v>
      </c>
      <c r="F431" s="112">
        <f t="shared" si="146"/>
        <v>0</v>
      </c>
      <c r="G431" s="112">
        <f t="shared" si="146"/>
        <v>0.8</v>
      </c>
      <c r="H431" s="121">
        <f t="shared" si="146"/>
        <v>9.9</v>
      </c>
      <c r="I431" s="176">
        <f>SUM(I423:I430)</f>
        <v>11.6</v>
      </c>
      <c r="J431" s="133">
        <f t="shared" ref="J431:O431" si="147">SUM(J423:J430)</f>
        <v>0.8</v>
      </c>
      <c r="K431" s="112">
        <f t="shared" si="147"/>
        <v>4</v>
      </c>
      <c r="L431" s="112">
        <f t="shared" si="147"/>
        <v>9</v>
      </c>
      <c r="M431" s="112">
        <f t="shared" si="147"/>
        <v>8.1999999999999993</v>
      </c>
      <c r="N431" s="112">
        <f t="shared" si="147"/>
        <v>0</v>
      </c>
      <c r="O431" s="121">
        <f t="shared" si="147"/>
        <v>0</v>
      </c>
      <c r="P431" s="123">
        <f>SUM(P423:P430)</f>
        <v>22</v>
      </c>
      <c r="Q431" s="203">
        <f>SUM(Q423:Q430)</f>
        <v>33.6</v>
      </c>
    </row>
    <row r="433" spans="1:17" ht="15.75" x14ac:dyDescent="0.25">
      <c r="A433" s="341" t="s">
        <v>129</v>
      </c>
      <c r="B433" s="341"/>
      <c r="C433" s="341"/>
      <c r="D433" s="341"/>
      <c r="E433" s="341"/>
      <c r="F433" s="341"/>
      <c r="G433" s="341"/>
      <c r="H433" s="341"/>
      <c r="I433" s="341"/>
      <c r="J433" s="341"/>
      <c r="K433" s="341"/>
      <c r="L433" s="341"/>
      <c r="M433" s="341"/>
      <c r="N433" s="341"/>
      <c r="O433" s="341"/>
      <c r="P433" s="341"/>
      <c r="Q433" s="341"/>
    </row>
    <row r="434" spans="1:17" ht="15.75" x14ac:dyDescent="0.25">
      <c r="A434" s="341" t="s">
        <v>81</v>
      </c>
      <c r="B434" s="341"/>
      <c r="C434" s="341"/>
      <c r="D434" s="341"/>
      <c r="E434" s="341"/>
      <c r="F434" s="341"/>
      <c r="G434" s="341"/>
      <c r="H434" s="341"/>
      <c r="I434" s="341"/>
      <c r="J434" s="341"/>
      <c r="K434" s="341"/>
      <c r="L434" s="341"/>
      <c r="M434" s="341"/>
      <c r="N434" s="341"/>
      <c r="O434" s="341"/>
      <c r="P434" s="341"/>
      <c r="Q434" s="341"/>
    </row>
    <row r="435" spans="1:17" ht="15.75" thickBot="1" x14ac:dyDescent="0.3">
      <c r="Q435" s="75" t="s">
        <v>31</v>
      </c>
    </row>
    <row r="436" spans="1:17" x14ac:dyDescent="0.25">
      <c r="A436" s="334" t="s">
        <v>2</v>
      </c>
      <c r="B436" s="336" t="s">
        <v>3</v>
      </c>
      <c r="C436" s="342" t="s">
        <v>138</v>
      </c>
      <c r="D436" s="343"/>
      <c r="E436" s="343"/>
      <c r="F436" s="343"/>
      <c r="G436" s="343"/>
      <c r="H436" s="343"/>
      <c r="I436" s="345" t="s">
        <v>82</v>
      </c>
      <c r="J436" s="343">
        <v>2019</v>
      </c>
      <c r="K436" s="343"/>
      <c r="L436" s="343"/>
      <c r="M436" s="343"/>
      <c r="N436" s="343"/>
      <c r="O436" s="343"/>
      <c r="P436" s="345" t="s">
        <v>83</v>
      </c>
      <c r="Q436" s="348" t="s">
        <v>5</v>
      </c>
    </row>
    <row r="437" spans="1:17" x14ac:dyDescent="0.25">
      <c r="A437" s="335"/>
      <c r="B437" s="324"/>
      <c r="C437" s="296" t="s">
        <v>15</v>
      </c>
      <c r="D437" s="296" t="s">
        <v>16</v>
      </c>
      <c r="E437" s="296" t="s">
        <v>17</v>
      </c>
      <c r="F437" s="296" t="s">
        <v>6</v>
      </c>
      <c r="G437" s="296" t="s">
        <v>76</v>
      </c>
      <c r="H437" s="119" t="s">
        <v>77</v>
      </c>
      <c r="I437" s="346"/>
      <c r="J437" s="109" t="s">
        <v>78</v>
      </c>
      <c r="K437" s="296" t="s">
        <v>10</v>
      </c>
      <c r="L437" s="296" t="s">
        <v>11</v>
      </c>
      <c r="M437" s="296" t="s">
        <v>12</v>
      </c>
      <c r="N437" s="296" t="s">
        <v>79</v>
      </c>
      <c r="O437" s="119" t="s">
        <v>80</v>
      </c>
      <c r="P437" s="346"/>
      <c r="Q437" s="349"/>
    </row>
    <row r="438" spans="1:17" ht="15.75" thickBot="1" x14ac:dyDescent="0.3">
      <c r="A438" s="111">
        <v>1</v>
      </c>
      <c r="B438" s="5">
        <v>2</v>
      </c>
      <c r="C438" s="5">
        <v>3</v>
      </c>
      <c r="D438" s="5">
        <v>4</v>
      </c>
      <c r="E438" s="5">
        <v>5</v>
      </c>
      <c r="F438" s="5">
        <v>6</v>
      </c>
      <c r="G438" s="5">
        <v>7</v>
      </c>
      <c r="H438" s="120">
        <v>8</v>
      </c>
      <c r="I438" s="122">
        <v>9</v>
      </c>
      <c r="J438" s="110">
        <v>10</v>
      </c>
      <c r="K438" s="5">
        <v>11</v>
      </c>
      <c r="L438" s="5">
        <v>12</v>
      </c>
      <c r="M438" s="5">
        <v>13</v>
      </c>
      <c r="N438" s="5">
        <v>14</v>
      </c>
      <c r="O438" s="120">
        <v>15</v>
      </c>
      <c r="P438" s="122">
        <v>16</v>
      </c>
      <c r="Q438" s="131">
        <v>17</v>
      </c>
    </row>
    <row r="439" spans="1:17" ht="15.75" thickTop="1" x14ac:dyDescent="0.25">
      <c r="A439" s="83">
        <v>1</v>
      </c>
      <c r="B439" s="7" t="s">
        <v>18</v>
      </c>
      <c r="C439" s="179">
        <v>0</v>
      </c>
      <c r="D439" s="179">
        <v>75</v>
      </c>
      <c r="E439" s="179">
        <v>0</v>
      </c>
      <c r="F439" s="179" t="e">
        <f>F295/F151*10</f>
        <v>#DIV/0!</v>
      </c>
      <c r="G439" s="179">
        <v>0</v>
      </c>
      <c r="H439" s="179" t="e">
        <f>H295/H151*10</f>
        <v>#DIV/0!</v>
      </c>
      <c r="I439" s="187">
        <f>I295/I151*10</f>
        <v>74.444444444444443</v>
      </c>
      <c r="J439" s="197">
        <f>J295/J151*10</f>
        <v>55.531034482758628</v>
      </c>
      <c r="K439" s="197">
        <f t="shared" ref="K439:O439" si="148">K295/K151*10</f>
        <v>57.215384615384615</v>
      </c>
      <c r="L439" s="197" t="e">
        <f t="shared" si="148"/>
        <v>#DIV/0!</v>
      </c>
      <c r="M439" s="197" t="e">
        <f t="shared" si="148"/>
        <v>#DIV/0!</v>
      </c>
      <c r="N439" s="197">
        <f t="shared" si="148"/>
        <v>59.25</v>
      </c>
      <c r="O439" s="197">
        <f t="shared" si="148"/>
        <v>55.266666666666666</v>
      </c>
      <c r="P439" s="187">
        <f>P295/P151*10</f>
        <v>56.156363636363629</v>
      </c>
      <c r="Q439" s="187">
        <f>Q295/Q151*10</f>
        <v>56.735915492957744</v>
      </c>
    </row>
    <row r="440" spans="1:17" x14ac:dyDescent="0.25">
      <c r="A440" s="84">
        <v>2</v>
      </c>
      <c r="B440" s="12" t="s">
        <v>19</v>
      </c>
      <c r="C440" s="180">
        <v>76.510000000000005</v>
      </c>
      <c r="D440" s="180">
        <v>60</v>
      </c>
      <c r="E440" s="180">
        <v>61.25</v>
      </c>
      <c r="F440" s="240">
        <f t="shared" ref="F440:Q446" si="149">F296/F152*10</f>
        <v>60.5</v>
      </c>
      <c r="G440" s="240" t="e">
        <f t="shared" si="149"/>
        <v>#DIV/0!</v>
      </c>
      <c r="H440" s="240">
        <f t="shared" si="149"/>
        <v>62.5</v>
      </c>
      <c r="I440" s="241">
        <f t="shared" si="149"/>
        <v>71.555555555555557</v>
      </c>
      <c r="J440" s="242">
        <f t="shared" si="149"/>
        <v>65.715686274509807</v>
      </c>
      <c r="K440" s="242">
        <f t="shared" si="149"/>
        <v>64.753086419753089</v>
      </c>
      <c r="L440" s="242" t="e">
        <f t="shared" si="149"/>
        <v>#DIV/0!</v>
      </c>
      <c r="M440" s="242">
        <f t="shared" si="149"/>
        <v>62.400000000000006</v>
      </c>
      <c r="N440" s="242">
        <f t="shared" si="149"/>
        <v>65.10526315789474</v>
      </c>
      <c r="O440" s="243">
        <f t="shared" si="149"/>
        <v>65.166666666666671</v>
      </c>
      <c r="P440" s="241">
        <f t="shared" si="149"/>
        <v>65.192982456140356</v>
      </c>
      <c r="Q440" s="241">
        <f t="shared" si="149"/>
        <v>66.601092896174862</v>
      </c>
    </row>
    <row r="441" spans="1:17" x14ac:dyDescent="0.25">
      <c r="A441" s="84">
        <v>3</v>
      </c>
      <c r="B441" s="7" t="s">
        <v>20</v>
      </c>
      <c r="C441" s="180">
        <v>0</v>
      </c>
      <c r="D441" s="180">
        <v>0</v>
      </c>
      <c r="E441" s="180">
        <v>0</v>
      </c>
      <c r="F441" s="240">
        <v>0</v>
      </c>
      <c r="G441" s="240" t="e">
        <f>G297/G153*10</f>
        <v>#DIV/0!</v>
      </c>
      <c r="H441" s="240" t="e">
        <f>H297/H153*10</f>
        <v>#DIV/0!</v>
      </c>
      <c r="I441" s="241" t="e">
        <f t="shared" si="149"/>
        <v>#DIV/0!</v>
      </c>
      <c r="J441" s="242">
        <f>J297/J153*10</f>
        <v>58</v>
      </c>
      <c r="K441" s="242">
        <v>0</v>
      </c>
      <c r="L441" s="242" t="e">
        <f t="shared" si="149"/>
        <v>#DIV/0!</v>
      </c>
      <c r="M441" s="242" t="e">
        <f t="shared" si="149"/>
        <v>#DIV/0!</v>
      </c>
      <c r="N441" s="242">
        <f t="shared" si="149"/>
        <v>59.3</v>
      </c>
      <c r="O441" s="243" t="e">
        <f t="shared" si="149"/>
        <v>#DIV/0!</v>
      </c>
      <c r="P441" s="241">
        <f t="shared" si="149"/>
        <v>58.371428571428574</v>
      </c>
      <c r="Q441" s="241">
        <f t="shared" si="149"/>
        <v>58.371428571428574</v>
      </c>
    </row>
    <row r="442" spans="1:17" x14ac:dyDescent="0.25">
      <c r="A442" s="85">
        <v>4</v>
      </c>
      <c r="B442" s="15" t="s">
        <v>21</v>
      </c>
      <c r="C442" s="180">
        <v>0</v>
      </c>
      <c r="D442" s="180">
        <v>69.36</v>
      </c>
      <c r="E442" s="180">
        <v>85.68</v>
      </c>
      <c r="F442" s="240" t="e">
        <f>F298/F154*10</f>
        <v>#DIV/0!</v>
      </c>
      <c r="G442" s="240">
        <v>0</v>
      </c>
      <c r="H442" s="240" t="e">
        <f>H298/H154*10</f>
        <v>#DIV/0!</v>
      </c>
      <c r="I442" s="241">
        <f t="shared" si="149"/>
        <v>83.333333333333343</v>
      </c>
      <c r="J442" s="242">
        <f t="shared" si="149"/>
        <v>56.777173913043484</v>
      </c>
      <c r="K442" s="242" t="e">
        <f t="shared" si="149"/>
        <v>#DIV/0!</v>
      </c>
      <c r="L442" s="242" t="e">
        <f t="shared" si="149"/>
        <v>#DIV/0!</v>
      </c>
      <c r="M442" s="242">
        <f t="shared" si="149"/>
        <v>62.333333333333336</v>
      </c>
      <c r="N442" s="242">
        <f t="shared" si="149"/>
        <v>63</v>
      </c>
      <c r="O442" s="243">
        <f t="shared" si="149"/>
        <v>63.4</v>
      </c>
      <c r="P442" s="241">
        <f t="shared" si="149"/>
        <v>57.331683168316836</v>
      </c>
      <c r="Q442" s="241">
        <f t="shared" si="149"/>
        <v>58.081730769230774</v>
      </c>
    </row>
    <row r="443" spans="1:17" x14ac:dyDescent="0.25">
      <c r="A443" s="85">
        <v>5</v>
      </c>
      <c r="B443" s="19" t="s">
        <v>22</v>
      </c>
      <c r="C443" s="180">
        <v>0</v>
      </c>
      <c r="D443" s="180">
        <v>0</v>
      </c>
      <c r="E443" s="180">
        <v>68</v>
      </c>
      <c r="F443" s="240">
        <v>0</v>
      </c>
      <c r="G443" s="240" t="e">
        <f>G299/G155*10</f>
        <v>#DIV/0!</v>
      </c>
      <c r="H443" s="240" t="e">
        <f>H299/H155*10</f>
        <v>#DIV/0!</v>
      </c>
      <c r="I443" s="241">
        <f t="shared" si="149"/>
        <v>68</v>
      </c>
      <c r="J443" s="242">
        <f>J299/J155*10</f>
        <v>56.253086419753082</v>
      </c>
      <c r="K443" s="242">
        <v>0</v>
      </c>
      <c r="L443" s="242" t="e">
        <f t="shared" si="149"/>
        <v>#DIV/0!</v>
      </c>
      <c r="M443" s="242" t="e">
        <f t="shared" si="149"/>
        <v>#DIV/0!</v>
      </c>
      <c r="N443" s="242" t="e">
        <f t="shared" si="149"/>
        <v>#DIV/0!</v>
      </c>
      <c r="O443" s="243">
        <f t="shared" si="149"/>
        <v>55.266666666666673</v>
      </c>
      <c r="P443" s="241">
        <f t="shared" si="149"/>
        <v>56.169491525423723</v>
      </c>
      <c r="Q443" s="241">
        <f t="shared" si="149"/>
        <v>56.802139037433143</v>
      </c>
    </row>
    <row r="444" spans="1:17" x14ac:dyDescent="0.25">
      <c r="A444" s="85">
        <v>6</v>
      </c>
      <c r="B444" s="19" t="s">
        <v>23</v>
      </c>
      <c r="C444" s="180">
        <v>60.35</v>
      </c>
      <c r="D444" s="180">
        <v>0</v>
      </c>
      <c r="E444" s="180">
        <v>0</v>
      </c>
      <c r="F444" s="240">
        <f>F300/F156*10</f>
        <v>60.2</v>
      </c>
      <c r="G444" s="240" t="e">
        <f>G300/G156*10</f>
        <v>#DIV/0!</v>
      </c>
      <c r="H444" s="240">
        <v>0</v>
      </c>
      <c r="I444" s="241">
        <f t="shared" si="149"/>
        <v>60.090909090909086</v>
      </c>
      <c r="J444" s="242">
        <v>0</v>
      </c>
      <c r="K444" s="242">
        <f>K300/K156*10</f>
        <v>56.666666666666671</v>
      </c>
      <c r="L444" s="242" t="e">
        <f t="shared" si="149"/>
        <v>#DIV/0!</v>
      </c>
      <c r="M444" s="242" t="e">
        <f t="shared" si="149"/>
        <v>#DIV/0!</v>
      </c>
      <c r="N444" s="242">
        <f t="shared" si="149"/>
        <v>61.75</v>
      </c>
      <c r="O444" s="243">
        <f t="shared" si="149"/>
        <v>55.285714285714292</v>
      </c>
      <c r="P444" s="241">
        <f t="shared" si="149"/>
        <v>56.852459016393439</v>
      </c>
      <c r="Q444" s="241">
        <f t="shared" si="149"/>
        <v>57.347222222222214</v>
      </c>
    </row>
    <row r="445" spans="1:17" x14ac:dyDescent="0.25">
      <c r="A445" s="85">
        <v>7</v>
      </c>
      <c r="B445" s="19" t="s">
        <v>24</v>
      </c>
      <c r="C445" s="180">
        <v>57.8</v>
      </c>
      <c r="D445" s="180">
        <v>0</v>
      </c>
      <c r="E445" s="180">
        <v>52.7</v>
      </c>
      <c r="F445" s="240" t="e">
        <f t="shared" ref="F445:Q447" si="150">F301/F157*10</f>
        <v>#DIV/0!</v>
      </c>
      <c r="G445" s="240" t="e">
        <f t="shared" si="150"/>
        <v>#DIV/0!</v>
      </c>
      <c r="H445" s="240">
        <f t="shared" si="150"/>
        <v>60.649999999999991</v>
      </c>
      <c r="I445" s="241">
        <f t="shared" si="149"/>
        <v>59</v>
      </c>
      <c r="J445" s="242">
        <f t="shared" si="149"/>
        <v>60.35</v>
      </c>
      <c r="K445" s="242">
        <f t="shared" si="149"/>
        <v>65</v>
      </c>
      <c r="L445" s="242" t="e">
        <f t="shared" si="149"/>
        <v>#DIV/0!</v>
      </c>
      <c r="M445" s="242" t="e">
        <f t="shared" si="149"/>
        <v>#DIV/0!</v>
      </c>
      <c r="N445" s="242">
        <f t="shared" si="149"/>
        <v>62</v>
      </c>
      <c r="O445" s="243">
        <f t="shared" si="149"/>
        <v>59.847826086956523</v>
      </c>
      <c r="P445" s="241">
        <f t="shared" si="149"/>
        <v>61.313402061855669</v>
      </c>
      <c r="Q445" s="241">
        <f t="shared" si="149"/>
        <v>61.19140625</v>
      </c>
    </row>
    <row r="446" spans="1:17" ht="15.75" thickBot="1" x14ac:dyDescent="0.3">
      <c r="A446" s="86">
        <v>8</v>
      </c>
      <c r="B446" s="15" t="s">
        <v>25</v>
      </c>
      <c r="C446" s="181">
        <v>0</v>
      </c>
      <c r="D446" s="181">
        <v>63.75</v>
      </c>
      <c r="E446" s="181">
        <v>65</v>
      </c>
      <c r="F446" s="181">
        <f t="shared" si="150"/>
        <v>60.263157894736842</v>
      </c>
      <c r="G446" s="181">
        <f t="shared" si="150"/>
        <v>60.3</v>
      </c>
      <c r="H446" s="181" t="e">
        <f t="shared" si="150"/>
        <v>#DIV/0!</v>
      </c>
      <c r="I446" s="194">
        <f t="shared" si="149"/>
        <v>63.057692307692299</v>
      </c>
      <c r="J446" s="225">
        <v>0</v>
      </c>
      <c r="K446" s="225">
        <f t="shared" si="149"/>
        <v>60.199999999999996</v>
      </c>
      <c r="L446" s="225" t="e">
        <f t="shared" si="149"/>
        <v>#DIV/0!</v>
      </c>
      <c r="M446" s="225">
        <f t="shared" si="149"/>
        <v>61.489361702127653</v>
      </c>
      <c r="N446" s="225">
        <f t="shared" si="149"/>
        <v>61.194029850746276</v>
      </c>
      <c r="O446" s="225">
        <f t="shared" si="149"/>
        <v>65.23</v>
      </c>
      <c r="P446" s="194">
        <f t="shared" si="149"/>
        <v>61.772277227722782</v>
      </c>
      <c r="Q446" s="194">
        <f t="shared" si="149"/>
        <v>62.100737100737106</v>
      </c>
    </row>
    <row r="447" spans="1:17" ht="16.5" thickTop="1" thickBot="1" x14ac:dyDescent="0.3">
      <c r="A447" s="339" t="s">
        <v>26</v>
      </c>
      <c r="B447" s="340"/>
      <c r="C447" s="182" t="e">
        <f>C303/#REF!*10</f>
        <v>#REF!</v>
      </c>
      <c r="D447" s="182" t="e">
        <f>D303/#REF!*10</f>
        <v>#REF!</v>
      </c>
      <c r="E447" s="182" t="e">
        <f>E303/#REF!*10</f>
        <v>#REF!</v>
      </c>
      <c r="F447" s="182">
        <f>F303/F159*10</f>
        <v>60.269230769230766</v>
      </c>
      <c r="G447" s="182">
        <f t="shared" si="150"/>
        <v>60.3</v>
      </c>
      <c r="H447" s="182">
        <f t="shared" si="150"/>
        <v>61.411764705882355</v>
      </c>
      <c r="I447" s="182">
        <f t="shared" si="150"/>
        <v>66.362903225806448</v>
      </c>
      <c r="J447" s="182">
        <f t="shared" si="150"/>
        <v>58.357305936073054</v>
      </c>
      <c r="K447" s="182">
        <f t="shared" si="150"/>
        <v>62.107033639143729</v>
      </c>
      <c r="L447" s="182" t="e">
        <f t="shared" si="150"/>
        <v>#DIV/0!</v>
      </c>
      <c r="M447" s="182">
        <f t="shared" si="150"/>
        <v>61.61818181818181</v>
      </c>
      <c r="N447" s="182">
        <f t="shared" si="150"/>
        <v>61.480916030534345</v>
      </c>
      <c r="O447" s="182">
        <f t="shared" si="150"/>
        <v>61.377880184331801</v>
      </c>
      <c r="P447" s="182">
        <f t="shared" si="150"/>
        <v>60.07185957213386</v>
      </c>
      <c r="Q447" s="182">
        <f t="shared" si="150"/>
        <v>60.825205214872042</v>
      </c>
    </row>
    <row r="449" spans="1:17" ht="15.75" x14ac:dyDescent="0.25">
      <c r="A449" s="341" t="s">
        <v>130</v>
      </c>
      <c r="B449" s="341"/>
      <c r="C449" s="341"/>
      <c r="D449" s="341"/>
      <c r="E449" s="341"/>
      <c r="F449" s="341"/>
      <c r="G449" s="341"/>
      <c r="H449" s="341"/>
      <c r="I449" s="341"/>
      <c r="J449" s="341"/>
      <c r="K449" s="341"/>
      <c r="L449" s="341"/>
      <c r="M449" s="341"/>
      <c r="N449" s="341"/>
      <c r="O449" s="341"/>
      <c r="P449" s="341"/>
      <c r="Q449" s="341"/>
    </row>
    <row r="450" spans="1:17" ht="15.75" x14ac:dyDescent="0.25">
      <c r="A450" s="341" t="s">
        <v>81</v>
      </c>
      <c r="B450" s="341"/>
      <c r="C450" s="341"/>
      <c r="D450" s="341"/>
      <c r="E450" s="341"/>
      <c r="F450" s="341"/>
      <c r="G450" s="341"/>
      <c r="H450" s="341"/>
      <c r="I450" s="341"/>
      <c r="J450" s="341"/>
      <c r="K450" s="341"/>
      <c r="L450" s="341"/>
      <c r="M450" s="341"/>
      <c r="N450" s="341"/>
      <c r="O450" s="341"/>
      <c r="P450" s="341"/>
      <c r="Q450" s="341"/>
    </row>
    <row r="451" spans="1:17" ht="15.75" thickBot="1" x14ac:dyDescent="0.3">
      <c r="Q451" s="75" t="s">
        <v>31</v>
      </c>
    </row>
    <row r="452" spans="1:17" x14ac:dyDescent="0.25">
      <c r="A452" s="334" t="s">
        <v>2</v>
      </c>
      <c r="B452" s="336" t="s">
        <v>3</v>
      </c>
      <c r="C452" s="342" t="s">
        <v>138</v>
      </c>
      <c r="D452" s="343"/>
      <c r="E452" s="343"/>
      <c r="F452" s="343"/>
      <c r="G452" s="343"/>
      <c r="H452" s="343"/>
      <c r="I452" s="345" t="s">
        <v>82</v>
      </c>
      <c r="J452" s="343">
        <v>2019</v>
      </c>
      <c r="K452" s="343"/>
      <c r="L452" s="343"/>
      <c r="M452" s="343"/>
      <c r="N452" s="343"/>
      <c r="O452" s="343"/>
      <c r="P452" s="345" t="s">
        <v>83</v>
      </c>
      <c r="Q452" s="348" t="s">
        <v>5</v>
      </c>
    </row>
    <row r="453" spans="1:17" x14ac:dyDescent="0.25">
      <c r="A453" s="335"/>
      <c r="B453" s="324"/>
      <c r="C453" s="296" t="s">
        <v>15</v>
      </c>
      <c r="D453" s="296" t="s">
        <v>16</v>
      </c>
      <c r="E453" s="296" t="s">
        <v>17</v>
      </c>
      <c r="F453" s="296" t="s">
        <v>6</v>
      </c>
      <c r="G453" s="296" t="s">
        <v>76</v>
      </c>
      <c r="H453" s="119" t="s">
        <v>77</v>
      </c>
      <c r="I453" s="346"/>
      <c r="J453" s="109" t="s">
        <v>78</v>
      </c>
      <c r="K453" s="296" t="s">
        <v>10</v>
      </c>
      <c r="L453" s="296" t="s">
        <v>11</v>
      </c>
      <c r="M453" s="296" t="s">
        <v>12</v>
      </c>
      <c r="N453" s="296" t="s">
        <v>79</v>
      </c>
      <c r="O453" s="119" t="s">
        <v>80</v>
      </c>
      <c r="P453" s="346"/>
      <c r="Q453" s="349"/>
    </row>
    <row r="454" spans="1:17" ht="15.75" thickBot="1" x14ac:dyDescent="0.3">
      <c r="A454" s="111">
        <v>1</v>
      </c>
      <c r="B454" s="5">
        <v>2</v>
      </c>
      <c r="C454" s="5">
        <v>3</v>
      </c>
      <c r="D454" s="5">
        <v>4</v>
      </c>
      <c r="E454" s="5">
        <v>5</v>
      </c>
      <c r="F454" s="5">
        <v>6</v>
      </c>
      <c r="G454" s="5">
        <v>7</v>
      </c>
      <c r="H454" s="120">
        <v>8</v>
      </c>
      <c r="I454" s="122">
        <v>9</v>
      </c>
      <c r="J454" s="110">
        <v>10</v>
      </c>
      <c r="K454" s="5">
        <v>11</v>
      </c>
      <c r="L454" s="5">
        <v>12</v>
      </c>
      <c r="M454" s="5">
        <v>13</v>
      </c>
      <c r="N454" s="5">
        <v>14</v>
      </c>
      <c r="O454" s="120">
        <v>15</v>
      </c>
      <c r="P454" s="122">
        <v>16</v>
      </c>
      <c r="Q454" s="131">
        <v>17</v>
      </c>
    </row>
    <row r="455" spans="1:17" ht="15.75" thickTop="1" x14ac:dyDescent="0.25">
      <c r="A455" s="83">
        <v>1</v>
      </c>
      <c r="B455" s="7" t="s">
        <v>18</v>
      </c>
      <c r="C455" s="179">
        <v>0</v>
      </c>
      <c r="D455" s="179">
        <v>75</v>
      </c>
      <c r="E455" s="179">
        <v>0</v>
      </c>
      <c r="F455" s="179">
        <f>'padi sawah'!C108</f>
        <v>0</v>
      </c>
      <c r="G455" s="179">
        <f>'padi sawah'!D108</f>
        <v>0</v>
      </c>
      <c r="H455" s="179">
        <f>'padi sawah'!E108</f>
        <v>0</v>
      </c>
      <c r="I455" s="187">
        <f t="shared" ref="I455:P463" si="151">I311/I151*10</f>
        <v>74.444444444444443</v>
      </c>
      <c r="J455" s="197">
        <f>'padi sawah'!F108</f>
        <v>55.53</v>
      </c>
      <c r="K455" s="197">
        <f>'padi sawah'!G108</f>
        <v>57.22</v>
      </c>
      <c r="L455" s="224">
        <f>'padi sawah'!H108</f>
        <v>0</v>
      </c>
      <c r="M455" s="224">
        <f>'padi sawah'!I108</f>
        <v>0</v>
      </c>
      <c r="N455" s="224">
        <f>'padi sawah'!J108</f>
        <v>59.25</v>
      </c>
      <c r="O455" s="224">
        <f>'padi sawah'!K108</f>
        <v>55.27</v>
      </c>
      <c r="P455" s="187">
        <f>SUM(J455:O455)</f>
        <v>227.27</v>
      </c>
      <c r="Q455" s="191">
        <f t="shared" ref="Q455:Q463" si="152">Q311/Q151*10</f>
        <v>56.735915492957744</v>
      </c>
    </row>
    <row r="456" spans="1:17" x14ac:dyDescent="0.25">
      <c r="A456" s="84">
        <v>2</v>
      </c>
      <c r="B456" s="12" t="s">
        <v>19</v>
      </c>
      <c r="C456" s="180">
        <v>76.510000000000005</v>
      </c>
      <c r="D456" s="180">
        <v>60</v>
      </c>
      <c r="E456" s="180">
        <v>61.25</v>
      </c>
      <c r="F456" s="180">
        <f>'padi sawah'!C109</f>
        <v>60.33</v>
      </c>
      <c r="G456" s="180">
        <f>'padi sawah'!D109</f>
        <v>0</v>
      </c>
      <c r="H456" s="180">
        <f>'padi sawah'!E109</f>
        <v>62.52</v>
      </c>
      <c r="I456" s="196">
        <f t="shared" si="151"/>
        <v>71.555555555555557</v>
      </c>
      <c r="J456" s="198">
        <f>'padi sawah'!F109</f>
        <v>65.72</v>
      </c>
      <c r="K456" s="198">
        <f>'padi sawah'!G109</f>
        <v>64.75</v>
      </c>
      <c r="L456" s="230">
        <f>'padi sawah'!H109</f>
        <v>0</v>
      </c>
      <c r="M456" s="230">
        <f>'padi sawah'!I109</f>
        <v>62.51</v>
      </c>
      <c r="N456" s="230">
        <f>'padi sawah'!J109</f>
        <v>65.12</v>
      </c>
      <c r="O456" s="231">
        <f>'padi sawah'!K109</f>
        <v>65.17</v>
      </c>
      <c r="P456" s="196">
        <f t="shared" ref="P456:P461" si="153">SUM(J456:O456)</f>
        <v>323.27000000000004</v>
      </c>
      <c r="Q456" s="192">
        <f t="shared" si="152"/>
        <v>66.601092896174862</v>
      </c>
    </row>
    <row r="457" spans="1:17" x14ac:dyDescent="0.25">
      <c r="A457" s="84">
        <v>3</v>
      </c>
      <c r="B457" s="7" t="s">
        <v>20</v>
      </c>
      <c r="C457" s="180">
        <v>0</v>
      </c>
      <c r="D457" s="180">
        <v>0</v>
      </c>
      <c r="E457" s="180">
        <v>0</v>
      </c>
      <c r="F457" s="180">
        <f>'padi sawah'!C110</f>
        <v>0</v>
      </c>
      <c r="G457" s="180">
        <f>'padi sawah'!D110</f>
        <v>0</v>
      </c>
      <c r="H457" s="180">
        <f>'padi sawah'!E110</f>
        <v>0</v>
      </c>
      <c r="I457" s="196" t="e">
        <f t="shared" si="151"/>
        <v>#DIV/0!</v>
      </c>
      <c r="J457" s="198">
        <f>'padi sawah'!F110</f>
        <v>58</v>
      </c>
      <c r="K457" s="198">
        <f>'padi sawah'!G110</f>
        <v>0</v>
      </c>
      <c r="L457" s="230">
        <f>'padi sawah'!H110</f>
        <v>0</v>
      </c>
      <c r="M457" s="230">
        <f>'padi sawah'!I110</f>
        <v>0</v>
      </c>
      <c r="N457" s="230">
        <f>'padi sawah'!J110</f>
        <v>59.33</v>
      </c>
      <c r="O457" s="231">
        <f>'padi sawah'!K110</f>
        <v>0</v>
      </c>
      <c r="P457" s="196">
        <f t="shared" si="153"/>
        <v>117.33</v>
      </c>
      <c r="Q457" s="192">
        <f t="shared" si="152"/>
        <v>58.371428571428574</v>
      </c>
    </row>
    <row r="458" spans="1:17" x14ac:dyDescent="0.25">
      <c r="A458" s="85">
        <v>4</v>
      </c>
      <c r="B458" s="15" t="s">
        <v>21</v>
      </c>
      <c r="C458" s="180">
        <v>0</v>
      </c>
      <c r="D458" s="180">
        <v>69.36</v>
      </c>
      <c r="E458" s="180">
        <v>85.68</v>
      </c>
      <c r="F458" s="180">
        <f>'padi sawah'!C111</f>
        <v>0</v>
      </c>
      <c r="G458" s="180">
        <f>'padi sawah'!D111</f>
        <v>0</v>
      </c>
      <c r="H458" s="180">
        <f>'padi sawah'!E111</f>
        <v>0</v>
      </c>
      <c r="I458" s="196">
        <f t="shared" si="151"/>
        <v>83.333333333333343</v>
      </c>
      <c r="J458" s="198">
        <f>'padi sawah'!F111</f>
        <v>56.78</v>
      </c>
      <c r="K458" s="198">
        <f>'padi sawah'!G111</f>
        <v>0</v>
      </c>
      <c r="L458" s="230">
        <f>'padi sawah'!H111</f>
        <v>0</v>
      </c>
      <c r="M458" s="230">
        <f>'padi sawah'!I111</f>
        <v>62.25</v>
      </c>
      <c r="N458" s="230">
        <f>'padi sawah'!J111</f>
        <v>63.01</v>
      </c>
      <c r="O458" s="231">
        <f>'padi sawah'!K111</f>
        <v>63.32</v>
      </c>
      <c r="P458" s="196">
        <f t="shared" si="153"/>
        <v>245.35999999999999</v>
      </c>
      <c r="Q458" s="192">
        <f t="shared" si="152"/>
        <v>58.081730769230774</v>
      </c>
    </row>
    <row r="459" spans="1:17" x14ac:dyDescent="0.25">
      <c r="A459" s="85">
        <v>5</v>
      </c>
      <c r="B459" s="19" t="s">
        <v>22</v>
      </c>
      <c r="C459" s="180">
        <v>0</v>
      </c>
      <c r="D459" s="180">
        <v>0</v>
      </c>
      <c r="E459" s="180">
        <v>68</v>
      </c>
      <c r="F459" s="180">
        <f>'padi sawah'!C112</f>
        <v>0</v>
      </c>
      <c r="G459" s="180">
        <f>'padi sawah'!D112</f>
        <v>0</v>
      </c>
      <c r="H459" s="180">
        <f>'padi sawah'!E112</f>
        <v>0</v>
      </c>
      <c r="I459" s="196">
        <f t="shared" si="151"/>
        <v>68</v>
      </c>
      <c r="J459" s="198">
        <f>'padi sawah'!F112</f>
        <v>56.25</v>
      </c>
      <c r="K459" s="198">
        <f>'padi sawah'!G112</f>
        <v>0</v>
      </c>
      <c r="L459" s="230">
        <f>'padi sawah'!H112</f>
        <v>0</v>
      </c>
      <c r="M459" s="230">
        <f>'padi sawah'!I112</f>
        <v>0</v>
      </c>
      <c r="N459" s="230">
        <f>'padi sawah'!J112</f>
        <v>0</v>
      </c>
      <c r="O459" s="231">
        <f>'padi sawah'!K112</f>
        <v>55.3</v>
      </c>
      <c r="P459" s="196">
        <f t="shared" si="153"/>
        <v>111.55</v>
      </c>
      <c r="Q459" s="192">
        <f t="shared" si="152"/>
        <v>56.802139037433143</v>
      </c>
    </row>
    <row r="460" spans="1:17" x14ac:dyDescent="0.25">
      <c r="A460" s="85">
        <v>6</v>
      </c>
      <c r="B460" s="19" t="s">
        <v>23</v>
      </c>
      <c r="C460" s="180">
        <v>60.35</v>
      </c>
      <c r="D460" s="180">
        <v>0</v>
      </c>
      <c r="E460" s="180">
        <v>0</v>
      </c>
      <c r="F460" s="180">
        <f>'padi sawah'!C113</f>
        <v>60.32</v>
      </c>
      <c r="G460" s="180">
        <f>'padi sawah'!D113</f>
        <v>0</v>
      </c>
      <c r="H460" s="180">
        <f>'padi sawah'!E113</f>
        <v>0</v>
      </c>
      <c r="I460" s="196">
        <f t="shared" si="151"/>
        <v>60.090909090909086</v>
      </c>
      <c r="J460" s="198">
        <f>'padi sawah'!F113</f>
        <v>56.75</v>
      </c>
      <c r="K460" s="198">
        <f>'padi sawah'!G113</f>
        <v>56.67</v>
      </c>
      <c r="L460" s="230">
        <f>'padi sawah'!H113</f>
        <v>0</v>
      </c>
      <c r="M460" s="230">
        <f>'padi sawah'!I113</f>
        <v>0</v>
      </c>
      <c r="N460" s="230">
        <f>'padi sawah'!J113</f>
        <v>61.87</v>
      </c>
      <c r="O460" s="231">
        <f>'padi sawah'!K113</f>
        <v>55.25</v>
      </c>
      <c r="P460" s="196">
        <f t="shared" si="153"/>
        <v>230.54</v>
      </c>
      <c r="Q460" s="192">
        <f t="shared" si="152"/>
        <v>57.347222222222214</v>
      </c>
    </row>
    <row r="461" spans="1:17" x14ac:dyDescent="0.25">
      <c r="A461" s="85">
        <v>7</v>
      </c>
      <c r="B461" s="19" t="s">
        <v>24</v>
      </c>
      <c r="C461" s="180">
        <v>57.8</v>
      </c>
      <c r="D461" s="180">
        <v>0</v>
      </c>
      <c r="E461" s="180">
        <v>52.7</v>
      </c>
      <c r="F461" s="180">
        <f>'padi sawah'!C114</f>
        <v>0</v>
      </c>
      <c r="G461" s="180">
        <f>'padi sawah'!D114</f>
        <v>0</v>
      </c>
      <c r="H461" s="180">
        <f>'padi sawah'!E114</f>
        <v>60.65</v>
      </c>
      <c r="I461" s="196">
        <f t="shared" si="151"/>
        <v>59</v>
      </c>
      <c r="J461" s="198">
        <f>'padi sawah'!F114</f>
        <v>60.35</v>
      </c>
      <c r="K461" s="198">
        <f>'padi sawah'!G114</f>
        <v>65</v>
      </c>
      <c r="L461" s="230">
        <f>'padi sawah'!H114</f>
        <v>0</v>
      </c>
      <c r="M461" s="230">
        <f>'padi sawah'!I114</f>
        <v>0</v>
      </c>
      <c r="N461" s="230">
        <f>'padi sawah'!J114</f>
        <v>62.05</v>
      </c>
      <c r="O461" s="231">
        <f>'padi sawah'!K114</f>
        <v>59.85</v>
      </c>
      <c r="P461" s="196">
        <f t="shared" si="153"/>
        <v>247.24999999999997</v>
      </c>
      <c r="Q461" s="192">
        <f t="shared" si="152"/>
        <v>61.19140625</v>
      </c>
    </row>
    <row r="462" spans="1:17" ht="15.75" thickBot="1" x14ac:dyDescent="0.3">
      <c r="A462" s="86">
        <v>8</v>
      </c>
      <c r="B462" s="15" t="s">
        <v>25</v>
      </c>
      <c r="C462" s="181">
        <v>0</v>
      </c>
      <c r="D462" s="181">
        <v>63.75</v>
      </c>
      <c r="E462" s="181">
        <v>65</v>
      </c>
      <c r="F462" s="181">
        <f>'padi sawah'!C115</f>
        <v>60.25</v>
      </c>
      <c r="G462" s="181">
        <f>'padi sawah'!D115</f>
        <v>60.29</v>
      </c>
      <c r="H462" s="181">
        <f>'padi sawah'!E115</f>
        <v>0</v>
      </c>
      <c r="I462" s="194">
        <f t="shared" si="151"/>
        <v>63.057692307692299</v>
      </c>
      <c r="J462" s="225">
        <f>'padi sawah'!F115</f>
        <v>57.8</v>
      </c>
      <c r="K462" s="225">
        <f>'padi sawah'!G115</f>
        <v>60.21</v>
      </c>
      <c r="L462" s="229">
        <f>'padi sawah'!H115</f>
        <v>0</v>
      </c>
      <c r="M462" s="229">
        <f>'padi sawah'!I115</f>
        <v>61.5</v>
      </c>
      <c r="N462" s="229">
        <f>'padi sawah'!J115</f>
        <v>61.2</v>
      </c>
      <c r="O462" s="229">
        <f>'padi sawah'!K115</f>
        <v>64.11</v>
      </c>
      <c r="P462" s="200">
        <f>SUM(J462:O462)</f>
        <v>304.82</v>
      </c>
      <c r="Q462" s="195">
        <f t="shared" si="152"/>
        <v>61.825552825552833</v>
      </c>
    </row>
    <row r="463" spans="1:17" ht="16.5" thickTop="1" thickBot="1" x14ac:dyDescent="0.3">
      <c r="A463" s="339" t="s">
        <v>26</v>
      </c>
      <c r="B463" s="340"/>
      <c r="C463" s="182">
        <f t="shared" ref="C463:H463" si="154">C319/C159*10</f>
        <v>72.898550724637687</v>
      </c>
      <c r="D463" s="182">
        <f t="shared" si="154"/>
        <v>65.423728813559322</v>
      </c>
      <c r="E463" s="182">
        <f t="shared" si="154"/>
        <v>66.2</v>
      </c>
      <c r="F463" s="182">
        <f t="shared" si="154"/>
        <v>60.269230769230766</v>
      </c>
      <c r="G463" s="182">
        <f t="shared" si="154"/>
        <v>60.3</v>
      </c>
      <c r="H463" s="183">
        <f t="shared" si="154"/>
        <v>61.411764705882355</v>
      </c>
      <c r="I463" s="185">
        <f t="shared" si="151"/>
        <v>66.362903225806448</v>
      </c>
      <c r="J463" s="184">
        <f t="shared" si="151"/>
        <v>58.357305936073054</v>
      </c>
      <c r="K463" s="182">
        <f t="shared" si="151"/>
        <v>62.107033639143729</v>
      </c>
      <c r="L463" s="182" t="e">
        <f t="shared" si="151"/>
        <v>#DIV/0!</v>
      </c>
      <c r="M463" s="182">
        <f t="shared" si="151"/>
        <v>61.61818181818181</v>
      </c>
      <c r="N463" s="182">
        <f t="shared" si="151"/>
        <v>61.480916030534345</v>
      </c>
      <c r="O463" s="183">
        <f t="shared" si="151"/>
        <v>61.119815668202762</v>
      </c>
      <c r="P463" s="185">
        <f t="shared" si="151"/>
        <v>60.010422380691175</v>
      </c>
      <c r="Q463" s="186">
        <f t="shared" si="152"/>
        <v>60.771125060357321</v>
      </c>
    </row>
    <row r="465" spans="1:17" ht="15.75" x14ac:dyDescent="0.25">
      <c r="A465" s="341" t="s">
        <v>131</v>
      </c>
      <c r="B465" s="341"/>
      <c r="C465" s="341"/>
      <c r="D465" s="341"/>
      <c r="E465" s="341"/>
      <c r="F465" s="341"/>
      <c r="G465" s="341"/>
      <c r="H465" s="341"/>
      <c r="I465" s="341"/>
      <c r="J465" s="341"/>
      <c r="K465" s="341"/>
      <c r="L465" s="341"/>
      <c r="M465" s="341"/>
      <c r="N465" s="341"/>
      <c r="O465" s="341"/>
      <c r="P465" s="341"/>
      <c r="Q465" s="341"/>
    </row>
    <row r="466" spans="1:17" ht="15.75" x14ac:dyDescent="0.25">
      <c r="A466" s="341" t="s">
        <v>81</v>
      </c>
      <c r="B466" s="341"/>
      <c r="C466" s="341"/>
      <c r="D466" s="341"/>
      <c r="E466" s="341"/>
      <c r="F466" s="341"/>
      <c r="G466" s="341"/>
      <c r="H466" s="341"/>
      <c r="I466" s="341"/>
      <c r="J466" s="341"/>
      <c r="K466" s="341"/>
      <c r="L466" s="341"/>
      <c r="M466" s="341"/>
      <c r="N466" s="341"/>
      <c r="O466" s="341"/>
      <c r="P466" s="341"/>
      <c r="Q466" s="341"/>
    </row>
    <row r="467" spans="1:17" ht="15.75" thickBot="1" x14ac:dyDescent="0.3">
      <c r="Q467" s="75" t="s">
        <v>31</v>
      </c>
    </row>
    <row r="468" spans="1:17" x14ac:dyDescent="0.25">
      <c r="A468" s="334" t="s">
        <v>2</v>
      </c>
      <c r="B468" s="336" t="s">
        <v>3</v>
      </c>
      <c r="C468" s="342" t="s">
        <v>138</v>
      </c>
      <c r="D468" s="343"/>
      <c r="E468" s="343"/>
      <c r="F468" s="343"/>
      <c r="G468" s="343"/>
      <c r="H468" s="343"/>
      <c r="I468" s="345" t="s">
        <v>82</v>
      </c>
      <c r="J468" s="343">
        <v>2019</v>
      </c>
      <c r="K468" s="343"/>
      <c r="L468" s="343"/>
      <c r="M468" s="343"/>
      <c r="N468" s="343"/>
      <c r="O468" s="343"/>
      <c r="P468" s="345" t="s">
        <v>83</v>
      </c>
      <c r="Q468" s="348" t="s">
        <v>5</v>
      </c>
    </row>
    <row r="469" spans="1:17" x14ac:dyDescent="0.25">
      <c r="A469" s="335"/>
      <c r="B469" s="324"/>
      <c r="C469" s="296" t="s">
        <v>15</v>
      </c>
      <c r="D469" s="296" t="s">
        <v>16</v>
      </c>
      <c r="E469" s="296" t="s">
        <v>17</v>
      </c>
      <c r="F469" s="296" t="s">
        <v>6</v>
      </c>
      <c r="G469" s="296" t="s">
        <v>76</v>
      </c>
      <c r="H469" s="119" t="s">
        <v>77</v>
      </c>
      <c r="I469" s="346"/>
      <c r="J469" s="109" t="s">
        <v>78</v>
      </c>
      <c r="K469" s="296" t="s">
        <v>10</v>
      </c>
      <c r="L469" s="296" t="s">
        <v>11</v>
      </c>
      <c r="M469" s="296" t="s">
        <v>12</v>
      </c>
      <c r="N469" s="296" t="s">
        <v>79</v>
      </c>
      <c r="O469" s="119" t="s">
        <v>80</v>
      </c>
      <c r="P469" s="346"/>
      <c r="Q469" s="349"/>
    </row>
    <row r="470" spans="1:17" ht="15.75" thickBot="1" x14ac:dyDescent="0.3">
      <c r="A470" s="111">
        <v>1</v>
      </c>
      <c r="B470" s="5">
        <v>2</v>
      </c>
      <c r="C470" s="5">
        <v>3</v>
      </c>
      <c r="D470" s="5">
        <v>4</v>
      </c>
      <c r="E470" s="5">
        <v>5</v>
      </c>
      <c r="F470" s="5">
        <v>6</v>
      </c>
      <c r="G470" s="5">
        <v>7</v>
      </c>
      <c r="H470" s="120">
        <v>8</v>
      </c>
      <c r="I470" s="122">
        <v>9</v>
      </c>
      <c r="J470" s="110">
        <v>10</v>
      </c>
      <c r="K470" s="5">
        <v>11</v>
      </c>
      <c r="L470" s="5">
        <v>12</v>
      </c>
      <c r="M470" s="5">
        <v>13</v>
      </c>
      <c r="N470" s="5">
        <v>14</v>
      </c>
      <c r="O470" s="120">
        <v>15</v>
      </c>
      <c r="P470" s="122">
        <v>16</v>
      </c>
      <c r="Q470" s="131">
        <v>17</v>
      </c>
    </row>
    <row r="471" spans="1:17" ht="15.75" thickTop="1" x14ac:dyDescent="0.25">
      <c r="A471" s="83">
        <v>1</v>
      </c>
      <c r="B471" s="7" t="s">
        <v>18</v>
      </c>
      <c r="C471" s="136">
        <v>0</v>
      </c>
      <c r="D471" s="136">
        <v>0</v>
      </c>
      <c r="E471" s="136">
        <v>0</v>
      </c>
      <c r="F471" s="179">
        <f>'padi ladang'!C108</f>
        <v>0</v>
      </c>
      <c r="G471" s="179">
        <f>'padi ladang'!D108</f>
        <v>0</v>
      </c>
      <c r="H471" s="179">
        <f>'padi ladang'!E108</f>
        <v>0</v>
      </c>
      <c r="I471" s="124">
        <f>SUM(C471:H471)</f>
        <v>0</v>
      </c>
      <c r="J471" s="197">
        <f>'padi ladang'!F108</f>
        <v>0</v>
      </c>
      <c r="K471" s="197">
        <f>'padi ladang'!G108</f>
        <v>0</v>
      </c>
      <c r="L471" s="197">
        <f>'padi ladang'!H108</f>
        <v>0</v>
      </c>
      <c r="M471" s="197">
        <f>'padi ladang'!I108</f>
        <v>0</v>
      </c>
      <c r="N471" s="197">
        <f>'padi ladang'!J108</f>
        <v>0</v>
      </c>
      <c r="O471" s="197">
        <f>'padi ladang'!K108</f>
        <v>0</v>
      </c>
      <c r="P471" s="124">
        <f>SUM(J471:O471)</f>
        <v>0</v>
      </c>
      <c r="Q471" s="127">
        <f>SUM(I471,P471)</f>
        <v>0</v>
      </c>
    </row>
    <row r="472" spans="1:17" x14ac:dyDescent="0.25">
      <c r="A472" s="84">
        <v>2</v>
      </c>
      <c r="B472" s="12" t="s">
        <v>19</v>
      </c>
      <c r="C472" s="59">
        <v>0</v>
      </c>
      <c r="D472" s="59">
        <v>0</v>
      </c>
      <c r="E472" s="59">
        <v>0</v>
      </c>
      <c r="F472" s="180">
        <f>'padi ladang'!C109</f>
        <v>0</v>
      </c>
      <c r="G472" s="180">
        <f>'padi ladang'!D109</f>
        <v>0</v>
      </c>
      <c r="H472" s="180">
        <f>'padi ladang'!E109</f>
        <v>0</v>
      </c>
      <c r="I472" s="125">
        <f t="shared" ref="I472:I478" si="155">SUM(C472:H472)</f>
        <v>0</v>
      </c>
      <c r="J472" s="198">
        <f>'padi ladang'!F109</f>
        <v>0</v>
      </c>
      <c r="K472" s="198">
        <f>'padi ladang'!G109</f>
        <v>0</v>
      </c>
      <c r="L472" s="198">
        <f>'padi ladang'!H109</f>
        <v>0</v>
      </c>
      <c r="M472" s="198">
        <f>'padi ladang'!I109</f>
        <v>0</v>
      </c>
      <c r="N472" s="198">
        <f>'padi ladang'!J109</f>
        <v>0</v>
      </c>
      <c r="O472" s="199">
        <f>'padi ladang'!K109</f>
        <v>0</v>
      </c>
      <c r="P472" s="125">
        <f t="shared" ref="P472:P477" si="156">SUM(J472:O472)</f>
        <v>0</v>
      </c>
      <c r="Q472" s="128">
        <f t="shared" ref="Q472:Q478" si="157">SUM(I472,P472)</f>
        <v>0</v>
      </c>
    </row>
    <row r="473" spans="1:17" x14ac:dyDescent="0.25">
      <c r="A473" s="84">
        <v>3</v>
      </c>
      <c r="B473" s="7" t="s">
        <v>20</v>
      </c>
      <c r="C473" s="59">
        <v>0</v>
      </c>
      <c r="D473" s="59">
        <v>0</v>
      </c>
      <c r="E473" s="59">
        <v>0</v>
      </c>
      <c r="F473" s="180">
        <f>'padi ladang'!C110</f>
        <v>0</v>
      </c>
      <c r="G473" s="180">
        <f>'padi ladang'!D110</f>
        <v>0</v>
      </c>
      <c r="H473" s="180">
        <f>'padi ladang'!E110</f>
        <v>0</v>
      </c>
      <c r="I473" s="125">
        <f t="shared" si="155"/>
        <v>0</v>
      </c>
      <c r="J473" s="198">
        <f>'padi ladang'!F110</f>
        <v>0</v>
      </c>
      <c r="K473" s="198">
        <f>'padi ladang'!G110</f>
        <v>0</v>
      </c>
      <c r="L473" s="198">
        <f>'padi ladang'!H110</f>
        <v>0</v>
      </c>
      <c r="M473" s="198">
        <f>'padi ladang'!I110</f>
        <v>0</v>
      </c>
      <c r="N473" s="198">
        <f>'padi ladang'!J110</f>
        <v>0</v>
      </c>
      <c r="O473" s="199">
        <f>'padi ladang'!K110</f>
        <v>0</v>
      </c>
      <c r="P473" s="125">
        <f t="shared" si="156"/>
        <v>0</v>
      </c>
      <c r="Q473" s="128">
        <f t="shared" si="157"/>
        <v>0</v>
      </c>
    </row>
    <row r="474" spans="1:17" x14ac:dyDescent="0.25">
      <c r="A474" s="85">
        <v>4</v>
      </c>
      <c r="B474" s="15" t="s">
        <v>21</v>
      </c>
      <c r="C474" s="59">
        <v>0</v>
      </c>
      <c r="D474" s="59">
        <v>0</v>
      </c>
      <c r="E474" s="59">
        <v>0</v>
      </c>
      <c r="F474" s="180">
        <f>'padi ladang'!C111</f>
        <v>0</v>
      </c>
      <c r="G474" s="180">
        <f>'padi ladang'!D111</f>
        <v>0</v>
      </c>
      <c r="H474" s="180">
        <f>'padi ladang'!E111</f>
        <v>0</v>
      </c>
      <c r="I474" s="125">
        <f t="shared" si="155"/>
        <v>0</v>
      </c>
      <c r="J474" s="198">
        <f>'padi ladang'!F111</f>
        <v>0</v>
      </c>
      <c r="K474" s="198">
        <f>'padi ladang'!G111</f>
        <v>0</v>
      </c>
      <c r="L474" s="198">
        <f>'padi ladang'!H111</f>
        <v>0</v>
      </c>
      <c r="M474" s="198">
        <f>'padi ladang'!I111</f>
        <v>0</v>
      </c>
      <c r="N474" s="198">
        <f>'padi ladang'!J111</f>
        <v>0</v>
      </c>
      <c r="O474" s="199">
        <f>'padi ladang'!K111</f>
        <v>0</v>
      </c>
      <c r="P474" s="125">
        <f t="shared" si="156"/>
        <v>0</v>
      </c>
      <c r="Q474" s="128">
        <f t="shared" si="157"/>
        <v>0</v>
      </c>
    </row>
    <row r="475" spans="1:17" x14ac:dyDescent="0.25">
      <c r="A475" s="85">
        <v>5</v>
      </c>
      <c r="B475" s="19" t="s">
        <v>22</v>
      </c>
      <c r="C475" s="59">
        <v>0</v>
      </c>
      <c r="D475" s="59">
        <v>0</v>
      </c>
      <c r="E475" s="59">
        <v>0</v>
      </c>
      <c r="F475" s="180">
        <f>'padi ladang'!C112</f>
        <v>0</v>
      </c>
      <c r="G475" s="180">
        <f>'padi ladang'!D112</f>
        <v>0</v>
      </c>
      <c r="H475" s="180">
        <f>'padi ladang'!E112</f>
        <v>0</v>
      </c>
      <c r="I475" s="125">
        <f t="shared" si="155"/>
        <v>0</v>
      </c>
      <c r="J475" s="198">
        <f>'padi ladang'!F112</f>
        <v>0</v>
      </c>
      <c r="K475" s="198">
        <f>'padi ladang'!G112</f>
        <v>0</v>
      </c>
      <c r="L475" s="198">
        <f>'padi ladang'!H112</f>
        <v>0</v>
      </c>
      <c r="M475" s="198">
        <f>'padi ladang'!I112</f>
        <v>0</v>
      </c>
      <c r="N475" s="198">
        <f>'padi ladang'!J112</f>
        <v>0</v>
      </c>
      <c r="O475" s="199">
        <f>'padi ladang'!K112</f>
        <v>0</v>
      </c>
      <c r="P475" s="125">
        <f t="shared" si="156"/>
        <v>0</v>
      </c>
      <c r="Q475" s="128">
        <f t="shared" si="157"/>
        <v>0</v>
      </c>
    </row>
    <row r="476" spans="1:17" x14ac:dyDescent="0.25">
      <c r="A476" s="85">
        <v>6</v>
      </c>
      <c r="B476" s="19" t="s">
        <v>23</v>
      </c>
      <c r="C476" s="59">
        <v>0</v>
      </c>
      <c r="D476" s="59">
        <v>0</v>
      </c>
      <c r="E476" s="59">
        <v>0</v>
      </c>
      <c r="F476" s="180">
        <f>'padi ladang'!C113</f>
        <v>0</v>
      </c>
      <c r="G476" s="180">
        <f>'padi ladang'!D113</f>
        <v>0</v>
      </c>
      <c r="H476" s="180">
        <f>'padi ladang'!E113</f>
        <v>0</v>
      </c>
      <c r="I476" s="125">
        <f t="shared" si="155"/>
        <v>0</v>
      </c>
      <c r="J476" s="198">
        <f>'padi ladang'!F113</f>
        <v>0</v>
      </c>
      <c r="K476" s="198">
        <f>'padi ladang'!G113</f>
        <v>0</v>
      </c>
      <c r="L476" s="198">
        <f>'padi ladang'!H113</f>
        <v>0</v>
      </c>
      <c r="M476" s="198">
        <f>'padi ladang'!I113</f>
        <v>0</v>
      </c>
      <c r="N476" s="198">
        <f>'padi ladang'!J113</f>
        <v>0</v>
      </c>
      <c r="O476" s="199">
        <f>'padi ladang'!K113</f>
        <v>0</v>
      </c>
      <c r="P476" s="125">
        <f t="shared" si="156"/>
        <v>0</v>
      </c>
      <c r="Q476" s="128">
        <f t="shared" si="157"/>
        <v>0</v>
      </c>
    </row>
    <row r="477" spans="1:17" x14ac:dyDescent="0.25">
      <c r="A477" s="85">
        <v>7</v>
      </c>
      <c r="B477" s="19" t="s">
        <v>24</v>
      </c>
      <c r="C477" s="59">
        <v>0</v>
      </c>
      <c r="D477" s="59">
        <v>0</v>
      </c>
      <c r="E477" s="59">
        <v>0</v>
      </c>
      <c r="F477" s="180">
        <f>'padi ladang'!C114</f>
        <v>0</v>
      </c>
      <c r="G477" s="180">
        <f>'padi ladang'!D114</f>
        <v>0</v>
      </c>
      <c r="H477" s="180">
        <f>'padi ladang'!E114</f>
        <v>0</v>
      </c>
      <c r="I477" s="125">
        <f t="shared" si="155"/>
        <v>0</v>
      </c>
      <c r="J477" s="198">
        <f>'padi ladang'!F114</f>
        <v>0</v>
      </c>
      <c r="K477" s="198">
        <f>'padi ladang'!G114</f>
        <v>0</v>
      </c>
      <c r="L477" s="198">
        <f>'padi ladang'!H114</f>
        <v>0</v>
      </c>
      <c r="M477" s="198">
        <f>'padi ladang'!I114</f>
        <v>0</v>
      </c>
      <c r="N477" s="198">
        <f>'padi ladang'!J114</f>
        <v>0</v>
      </c>
      <c r="O477" s="199">
        <f>'padi ladang'!K114</f>
        <v>0</v>
      </c>
      <c r="P477" s="125">
        <f t="shared" si="156"/>
        <v>0</v>
      </c>
      <c r="Q477" s="128">
        <f t="shared" si="157"/>
        <v>0</v>
      </c>
    </row>
    <row r="478" spans="1:17" ht="15.75" thickBot="1" x14ac:dyDescent="0.3">
      <c r="A478" s="86">
        <v>8</v>
      </c>
      <c r="B478" s="15" t="s">
        <v>25</v>
      </c>
      <c r="C478" s="137">
        <v>0</v>
      </c>
      <c r="D478" s="137">
        <v>0</v>
      </c>
      <c r="E478" s="137">
        <v>0</v>
      </c>
      <c r="F478" s="181">
        <f>'padi ladang'!C115</f>
        <v>0</v>
      </c>
      <c r="G478" s="181">
        <f>'padi ladang'!D115</f>
        <v>0</v>
      </c>
      <c r="H478" s="181">
        <f>'padi ladang'!E115</f>
        <v>0</v>
      </c>
      <c r="I478" s="126">
        <f t="shared" si="155"/>
        <v>0</v>
      </c>
      <c r="J478" s="225">
        <f>'padi ladang'!F115</f>
        <v>0</v>
      </c>
      <c r="K478" s="225">
        <f>'padi ladang'!G115</f>
        <v>0</v>
      </c>
      <c r="L478" s="225">
        <f>'padi ladang'!H115</f>
        <v>0</v>
      </c>
      <c r="M478" s="225">
        <f>'padi ladang'!I115</f>
        <v>0</v>
      </c>
      <c r="N478" s="225">
        <f>'padi ladang'!J115</f>
        <v>0</v>
      </c>
      <c r="O478" s="225">
        <f>'padi ladang'!K115</f>
        <v>0</v>
      </c>
      <c r="P478" s="126">
        <f>SUM(J478:O478)</f>
        <v>0</v>
      </c>
      <c r="Q478" s="129">
        <f t="shared" si="157"/>
        <v>0</v>
      </c>
    </row>
    <row r="479" spans="1:17" ht="16.5" thickTop="1" thickBot="1" x14ac:dyDescent="0.3">
      <c r="A479" s="339" t="s">
        <v>26</v>
      </c>
      <c r="B479" s="340"/>
      <c r="C479" s="112">
        <f t="shared" ref="C479:H479" si="158">SUM(C471:C478)</f>
        <v>0</v>
      </c>
      <c r="D479" s="112">
        <f t="shared" si="158"/>
        <v>0</v>
      </c>
      <c r="E479" s="112">
        <f t="shared" si="158"/>
        <v>0</v>
      </c>
      <c r="F479" s="112">
        <f t="shared" si="158"/>
        <v>0</v>
      </c>
      <c r="G479" s="182">
        <f t="shared" si="158"/>
        <v>0</v>
      </c>
      <c r="H479" s="183">
        <f t="shared" si="158"/>
        <v>0</v>
      </c>
      <c r="I479" s="185">
        <f>SUM(I471:I478)</f>
        <v>0</v>
      </c>
      <c r="J479" s="133">
        <f t="shared" ref="J479:O479" si="159">SUM(J471:J478)</f>
        <v>0</v>
      </c>
      <c r="K479" s="112">
        <f t="shared" si="159"/>
        <v>0</v>
      </c>
      <c r="L479" s="112">
        <f t="shared" si="159"/>
        <v>0</v>
      </c>
      <c r="M479" s="112">
        <f t="shared" si="159"/>
        <v>0</v>
      </c>
      <c r="N479" s="112">
        <f t="shared" si="159"/>
        <v>0</v>
      </c>
      <c r="O479" s="121">
        <f t="shared" si="159"/>
        <v>0</v>
      </c>
      <c r="P479" s="123">
        <f>SUM(P471:P478)</f>
        <v>0</v>
      </c>
      <c r="Q479" s="130">
        <f>SUM(Q471:Q478)</f>
        <v>0</v>
      </c>
    </row>
    <row r="481" spans="1:17" ht="15.75" x14ac:dyDescent="0.25">
      <c r="A481" s="341" t="s">
        <v>132</v>
      </c>
      <c r="B481" s="341"/>
      <c r="C481" s="341"/>
      <c r="D481" s="341"/>
      <c r="E481" s="341"/>
      <c r="F481" s="341"/>
      <c r="G481" s="341"/>
      <c r="H481" s="341"/>
      <c r="I481" s="341"/>
      <c r="J481" s="341"/>
      <c r="K481" s="341"/>
      <c r="L481" s="341"/>
      <c r="M481" s="341"/>
      <c r="N481" s="341"/>
      <c r="O481" s="341"/>
      <c r="P481" s="341"/>
      <c r="Q481" s="341"/>
    </row>
    <row r="482" spans="1:17" ht="15.75" x14ac:dyDescent="0.25">
      <c r="A482" s="341" t="s">
        <v>81</v>
      </c>
      <c r="B482" s="341"/>
      <c r="C482" s="341"/>
      <c r="D482" s="341"/>
      <c r="E482" s="341"/>
      <c r="F482" s="341"/>
      <c r="G482" s="341"/>
      <c r="H482" s="341"/>
      <c r="I482" s="341"/>
      <c r="J482" s="341"/>
      <c r="K482" s="341"/>
      <c r="L482" s="341"/>
      <c r="M482" s="341"/>
      <c r="N482" s="341"/>
      <c r="O482" s="341"/>
      <c r="P482" s="341"/>
      <c r="Q482" s="341"/>
    </row>
    <row r="483" spans="1:17" ht="15.75" thickBot="1" x14ac:dyDescent="0.3">
      <c r="Q483" s="75" t="s">
        <v>31</v>
      </c>
    </row>
    <row r="484" spans="1:17" x14ac:dyDescent="0.25">
      <c r="A484" s="334" t="s">
        <v>2</v>
      </c>
      <c r="B484" s="336" t="s">
        <v>3</v>
      </c>
      <c r="C484" s="342" t="s">
        <v>138</v>
      </c>
      <c r="D484" s="343"/>
      <c r="E484" s="343"/>
      <c r="F484" s="343"/>
      <c r="G484" s="343"/>
      <c r="H484" s="343"/>
      <c r="I484" s="345" t="s">
        <v>82</v>
      </c>
      <c r="J484" s="343">
        <v>2019</v>
      </c>
      <c r="K484" s="343"/>
      <c r="L484" s="343"/>
      <c r="M484" s="343"/>
      <c r="N484" s="343"/>
      <c r="O484" s="343"/>
      <c r="P484" s="345" t="s">
        <v>83</v>
      </c>
      <c r="Q484" s="348" t="s">
        <v>5</v>
      </c>
    </row>
    <row r="485" spans="1:17" x14ac:dyDescent="0.25">
      <c r="A485" s="335"/>
      <c r="B485" s="324"/>
      <c r="C485" s="296" t="s">
        <v>15</v>
      </c>
      <c r="D485" s="296" t="s">
        <v>16</v>
      </c>
      <c r="E485" s="296" t="s">
        <v>17</v>
      </c>
      <c r="F485" s="296" t="s">
        <v>6</v>
      </c>
      <c r="G485" s="296" t="s">
        <v>76</v>
      </c>
      <c r="H485" s="119" t="s">
        <v>77</v>
      </c>
      <c r="I485" s="346"/>
      <c r="J485" s="109" t="s">
        <v>78</v>
      </c>
      <c r="K485" s="296" t="s">
        <v>10</v>
      </c>
      <c r="L485" s="296" t="s">
        <v>11</v>
      </c>
      <c r="M485" s="296" t="s">
        <v>12</v>
      </c>
      <c r="N485" s="296" t="s">
        <v>79</v>
      </c>
      <c r="O485" s="119" t="s">
        <v>80</v>
      </c>
      <c r="P485" s="346"/>
      <c r="Q485" s="349"/>
    </row>
    <row r="486" spans="1:17" ht="15.75" thickBot="1" x14ac:dyDescent="0.3">
      <c r="A486" s="111">
        <v>1</v>
      </c>
      <c r="B486" s="5">
        <v>2</v>
      </c>
      <c r="C486" s="5">
        <v>3</v>
      </c>
      <c r="D486" s="5">
        <v>4</v>
      </c>
      <c r="E486" s="5">
        <v>5</v>
      </c>
      <c r="F486" s="5">
        <v>6</v>
      </c>
      <c r="G486" s="5">
        <v>7</v>
      </c>
      <c r="H486" s="120">
        <v>8</v>
      </c>
      <c r="I486" s="122">
        <v>9</v>
      </c>
      <c r="J486" s="110">
        <v>10</v>
      </c>
      <c r="K486" s="5">
        <v>11</v>
      </c>
      <c r="L486" s="5">
        <v>12</v>
      </c>
      <c r="M486" s="5">
        <v>13</v>
      </c>
      <c r="N486" s="5">
        <v>14</v>
      </c>
      <c r="O486" s="120">
        <v>15</v>
      </c>
      <c r="P486" s="122">
        <v>16</v>
      </c>
      <c r="Q486" s="131">
        <v>17</v>
      </c>
    </row>
    <row r="487" spans="1:17" ht="15.75" thickTop="1" x14ac:dyDescent="0.25">
      <c r="A487" s="83">
        <v>1</v>
      </c>
      <c r="B487" s="7" t="s">
        <v>18</v>
      </c>
      <c r="C487" s="179">
        <v>0</v>
      </c>
      <c r="D487" s="179">
        <v>0</v>
      </c>
      <c r="E487" s="179">
        <v>0</v>
      </c>
      <c r="F487" s="179">
        <f>jagung!C108</f>
        <v>0</v>
      </c>
      <c r="G487" s="179">
        <f>jagung!D108</f>
        <v>0</v>
      </c>
      <c r="H487" s="179">
        <f>jagung!E108</f>
        <v>0</v>
      </c>
      <c r="I487" s="187" t="e">
        <f t="shared" ref="I487:P495" si="160">I343/I199*10</f>
        <v>#DIV/0!</v>
      </c>
      <c r="J487" s="197">
        <f>jagung!F108</f>
        <v>28.5</v>
      </c>
      <c r="K487" s="197">
        <f>jagung!G108</f>
        <v>30.12</v>
      </c>
      <c r="L487" s="197">
        <f>jagung!H108</f>
        <v>0</v>
      </c>
      <c r="M487" s="197">
        <f>jagung!I108</f>
        <v>0</v>
      </c>
      <c r="N487" s="197">
        <f>jagung!J108</f>
        <v>0</v>
      </c>
      <c r="O487" s="197">
        <f>jagung!K108</f>
        <v>0</v>
      </c>
      <c r="P487" s="187">
        <f>SUM(J487:O487)</f>
        <v>58.620000000000005</v>
      </c>
      <c r="Q487" s="191">
        <f t="shared" ref="Q487:Q495" si="161">Q343/Q199*10</f>
        <v>29.000000000000004</v>
      </c>
    </row>
    <row r="488" spans="1:17" x14ac:dyDescent="0.25">
      <c r="A488" s="84">
        <v>2</v>
      </c>
      <c r="B488" s="12" t="s">
        <v>19</v>
      </c>
      <c r="C488" s="180">
        <v>29.13</v>
      </c>
      <c r="D488" s="180">
        <v>0</v>
      </c>
      <c r="E488" s="180">
        <v>0</v>
      </c>
      <c r="F488" s="180">
        <f>jagung!C109</f>
        <v>0</v>
      </c>
      <c r="G488" s="180">
        <f>jagung!D109</f>
        <v>0</v>
      </c>
      <c r="H488" s="180">
        <f>jagung!E109</f>
        <v>0</v>
      </c>
      <c r="I488" s="196" t="e">
        <f t="shared" si="160"/>
        <v>#DIV/0!</v>
      </c>
      <c r="J488" s="198">
        <f>jagung!F109</f>
        <v>0</v>
      </c>
      <c r="K488" s="198">
        <f>jagung!G109</f>
        <v>0</v>
      </c>
      <c r="L488" s="198">
        <f>jagung!H109</f>
        <v>0</v>
      </c>
      <c r="M488" s="198">
        <f>jagung!I109</f>
        <v>0</v>
      </c>
      <c r="N488" s="198">
        <f>jagung!J109</f>
        <v>0</v>
      </c>
      <c r="O488" s="199">
        <f>jagung!K109</f>
        <v>0</v>
      </c>
      <c r="P488" s="196">
        <f t="shared" ref="P488:P493" si="162">SUM(J488:O488)</f>
        <v>0</v>
      </c>
      <c r="Q488" s="192" t="e">
        <f t="shared" si="161"/>
        <v>#DIV/0!</v>
      </c>
    </row>
    <row r="489" spans="1:17" x14ac:dyDescent="0.25">
      <c r="A489" s="84">
        <v>3</v>
      </c>
      <c r="B489" s="7" t="s">
        <v>20</v>
      </c>
      <c r="C489" s="180">
        <v>0</v>
      </c>
      <c r="D489" s="180">
        <v>0</v>
      </c>
      <c r="E489" s="180">
        <v>0</v>
      </c>
      <c r="F489" s="180">
        <f>jagung!C110</f>
        <v>0</v>
      </c>
      <c r="G489" s="180">
        <f>jagung!D110</f>
        <v>0</v>
      </c>
      <c r="H489" s="180">
        <f>jagung!E110</f>
        <v>0</v>
      </c>
      <c r="I489" s="196" t="e">
        <f t="shared" si="160"/>
        <v>#DIV/0!</v>
      </c>
      <c r="J489" s="198">
        <f>jagung!F110</f>
        <v>0</v>
      </c>
      <c r="K489" s="198">
        <f>jagung!G110</f>
        <v>0</v>
      </c>
      <c r="L489" s="198">
        <f>jagung!H110</f>
        <v>0</v>
      </c>
      <c r="M489" s="198">
        <f>jagung!I110</f>
        <v>0</v>
      </c>
      <c r="N489" s="198">
        <f>jagung!J110</f>
        <v>0</v>
      </c>
      <c r="O489" s="199">
        <f>jagung!K110</f>
        <v>0</v>
      </c>
      <c r="P489" s="196">
        <f t="shared" si="162"/>
        <v>0</v>
      </c>
      <c r="Q489" s="192" t="e">
        <f t="shared" si="161"/>
        <v>#DIV/0!</v>
      </c>
    </row>
    <row r="490" spans="1:17" x14ac:dyDescent="0.25">
      <c r="A490" s="85">
        <v>4</v>
      </c>
      <c r="B490" s="15" t="s">
        <v>21</v>
      </c>
      <c r="C490" s="180">
        <v>0</v>
      </c>
      <c r="D490" s="180">
        <v>46.8</v>
      </c>
      <c r="E490" s="180">
        <v>0</v>
      </c>
      <c r="F490" s="180">
        <f>jagung!C111</f>
        <v>0</v>
      </c>
      <c r="G490" s="180">
        <f>jagung!D111</f>
        <v>0</v>
      </c>
      <c r="H490" s="180">
        <f>jagung!E111</f>
        <v>0</v>
      </c>
      <c r="I490" s="196">
        <f t="shared" si="160"/>
        <v>20</v>
      </c>
      <c r="J490" s="198">
        <f>jagung!F111</f>
        <v>0</v>
      </c>
      <c r="K490" s="198">
        <f>jagung!G111</f>
        <v>0</v>
      </c>
      <c r="L490" s="198">
        <f>jagung!H111</f>
        <v>25.1</v>
      </c>
      <c r="M490" s="198">
        <f>jagung!I111</f>
        <v>0</v>
      </c>
      <c r="N490" s="198">
        <f>jagung!J111</f>
        <v>29.5</v>
      </c>
      <c r="O490" s="199">
        <f>jagung!K111</f>
        <v>0</v>
      </c>
      <c r="P490" s="196">
        <f t="shared" si="162"/>
        <v>54.6</v>
      </c>
      <c r="Q490" s="192">
        <f t="shared" si="161"/>
        <v>23.5</v>
      </c>
    </row>
    <row r="491" spans="1:17" x14ac:dyDescent="0.25">
      <c r="A491" s="85">
        <v>5</v>
      </c>
      <c r="B491" s="19" t="s">
        <v>22</v>
      </c>
      <c r="C491" s="180">
        <v>0</v>
      </c>
      <c r="D491" s="180">
        <v>30.15</v>
      </c>
      <c r="E491" s="180">
        <v>0</v>
      </c>
      <c r="F491" s="180">
        <f>jagung!C112</f>
        <v>0</v>
      </c>
      <c r="G491" s="180">
        <f>jagung!D112</f>
        <v>0</v>
      </c>
      <c r="H491" s="180">
        <f>jagung!E112</f>
        <v>0</v>
      </c>
      <c r="I491" s="196" t="e">
        <f t="shared" si="160"/>
        <v>#DIV/0!</v>
      </c>
      <c r="J491" s="198">
        <f>jagung!F112</f>
        <v>0</v>
      </c>
      <c r="K491" s="198">
        <f>jagung!G112</f>
        <v>0</v>
      </c>
      <c r="L491" s="198">
        <f>jagung!H112</f>
        <v>0</v>
      </c>
      <c r="M491" s="198">
        <f>jagung!I112</f>
        <v>0</v>
      </c>
      <c r="N491" s="198">
        <f>jagung!J112</f>
        <v>0</v>
      </c>
      <c r="O491" s="199">
        <f>jagung!K112</f>
        <v>0</v>
      </c>
      <c r="P491" s="196">
        <f t="shared" si="162"/>
        <v>0</v>
      </c>
      <c r="Q491" s="192" t="e">
        <f t="shared" si="161"/>
        <v>#DIV/0!</v>
      </c>
    </row>
    <row r="492" spans="1:17" x14ac:dyDescent="0.25">
      <c r="A492" s="85">
        <v>6</v>
      </c>
      <c r="B492" s="19" t="s">
        <v>23</v>
      </c>
      <c r="C492" s="180">
        <v>0</v>
      </c>
      <c r="D492" s="180">
        <v>40</v>
      </c>
      <c r="E492" s="180">
        <v>0</v>
      </c>
      <c r="F492" s="180">
        <f>jagung!C113</f>
        <v>0</v>
      </c>
      <c r="G492" s="180">
        <f>jagung!D113</f>
        <v>0</v>
      </c>
      <c r="H492" s="180">
        <f>jagung!E113</f>
        <v>0</v>
      </c>
      <c r="I492" s="196" t="e">
        <f t="shared" si="160"/>
        <v>#DIV/0!</v>
      </c>
      <c r="J492" s="198">
        <f>jagung!F113</f>
        <v>0</v>
      </c>
      <c r="K492" s="198">
        <f>jagung!G113</f>
        <v>0</v>
      </c>
      <c r="L492" s="198">
        <f>jagung!H113</f>
        <v>0</v>
      </c>
      <c r="M492" s="198">
        <f>jagung!I113</f>
        <v>0</v>
      </c>
      <c r="N492" s="198">
        <f>jagung!J113</f>
        <v>0</v>
      </c>
      <c r="O492" s="199">
        <f>jagung!K113</f>
        <v>0</v>
      </c>
      <c r="P492" s="196">
        <f t="shared" si="162"/>
        <v>0</v>
      </c>
      <c r="Q492" s="192" t="e">
        <f t="shared" si="161"/>
        <v>#DIV/0!</v>
      </c>
    </row>
    <row r="493" spans="1:17" x14ac:dyDescent="0.25">
      <c r="A493" s="85">
        <v>7</v>
      </c>
      <c r="B493" s="19" t="s">
        <v>24</v>
      </c>
      <c r="C493" s="180">
        <v>0</v>
      </c>
      <c r="D493" s="180">
        <v>35</v>
      </c>
      <c r="E493" s="180">
        <v>0</v>
      </c>
      <c r="F493" s="180">
        <f>jagung!C114</f>
        <v>0</v>
      </c>
      <c r="G493" s="180">
        <f>jagung!D114</f>
        <v>0</v>
      </c>
      <c r="H493" s="180">
        <f>jagung!E114</f>
        <v>0</v>
      </c>
      <c r="I493" s="196" t="e">
        <f t="shared" si="160"/>
        <v>#DIV/0!</v>
      </c>
      <c r="J493" s="198">
        <f>jagung!F114</f>
        <v>0</v>
      </c>
      <c r="K493" s="198">
        <f>jagung!G114</f>
        <v>0</v>
      </c>
      <c r="L493" s="198">
        <f>jagung!H114</f>
        <v>0</v>
      </c>
      <c r="M493" s="198">
        <f>jagung!I114</f>
        <v>0</v>
      </c>
      <c r="N493" s="198">
        <f>jagung!J114</f>
        <v>0</v>
      </c>
      <c r="O493" s="199">
        <f>jagung!K114</f>
        <v>0</v>
      </c>
      <c r="P493" s="196">
        <f t="shared" si="162"/>
        <v>0</v>
      </c>
      <c r="Q493" s="192" t="e">
        <f t="shared" si="161"/>
        <v>#DIV/0!</v>
      </c>
    </row>
    <row r="494" spans="1:17" ht="15.75" thickBot="1" x14ac:dyDescent="0.3">
      <c r="A494" s="86">
        <v>8</v>
      </c>
      <c r="B494" s="15" t="s">
        <v>25</v>
      </c>
      <c r="C494" s="181">
        <v>0</v>
      </c>
      <c r="D494" s="181">
        <v>29</v>
      </c>
      <c r="E494" s="181">
        <v>30</v>
      </c>
      <c r="F494" s="181">
        <f>jagung!C115</f>
        <v>26.22</v>
      </c>
      <c r="G494" s="181">
        <f>jagung!D115</f>
        <v>0</v>
      </c>
      <c r="H494" s="181">
        <f>jagung!E115</f>
        <v>0</v>
      </c>
      <c r="I494" s="194">
        <f t="shared" si="160"/>
        <v>86</v>
      </c>
      <c r="J494" s="225">
        <f>jagung!F115</f>
        <v>0</v>
      </c>
      <c r="K494" s="225">
        <f>jagung!G115</f>
        <v>0</v>
      </c>
      <c r="L494" s="225">
        <f>jagung!H115</f>
        <v>25.05</v>
      </c>
      <c r="M494" s="225">
        <f>jagung!I115</f>
        <v>0</v>
      </c>
      <c r="N494" s="225">
        <f>jagung!J115</f>
        <v>0</v>
      </c>
      <c r="O494" s="225">
        <f>jagung!K115</f>
        <v>0</v>
      </c>
      <c r="P494" s="200">
        <f>SUM(J494:O494)</f>
        <v>25.05</v>
      </c>
      <c r="Q494" s="195">
        <f t="shared" si="161"/>
        <v>55.5</v>
      </c>
    </row>
    <row r="495" spans="1:17" ht="16.5" thickTop="1" thickBot="1" x14ac:dyDescent="0.3">
      <c r="A495" s="339" t="s">
        <v>26</v>
      </c>
      <c r="B495" s="340"/>
      <c r="C495" s="182">
        <f t="shared" ref="C495:E495" si="163">SUM(C487:C494)</f>
        <v>29.13</v>
      </c>
      <c r="D495" s="182" t="e">
        <f>D351/D207*10</f>
        <v>#DIV/0!</v>
      </c>
      <c r="E495" s="182">
        <f t="shared" si="163"/>
        <v>30</v>
      </c>
      <c r="F495" s="182">
        <f>F351/F207*10</f>
        <v>26</v>
      </c>
      <c r="G495" s="182" t="e">
        <f>G351/G207*10</f>
        <v>#DIV/0!</v>
      </c>
      <c r="H495" s="183" t="e">
        <f>H351/H207*10</f>
        <v>#DIV/0!</v>
      </c>
      <c r="I495" s="185">
        <f t="shared" si="160"/>
        <v>95.333333333333329</v>
      </c>
      <c r="J495" s="184">
        <f t="shared" si="160"/>
        <v>28.5</v>
      </c>
      <c r="K495" s="182">
        <f t="shared" si="160"/>
        <v>30</v>
      </c>
      <c r="L495" s="182">
        <f t="shared" si="160"/>
        <v>25</v>
      </c>
      <c r="M495" s="182" t="e">
        <f t="shared" si="160"/>
        <v>#DIV/0!</v>
      </c>
      <c r="N495" s="182">
        <f t="shared" si="160"/>
        <v>29</v>
      </c>
      <c r="O495" s="183" t="e">
        <f t="shared" si="160"/>
        <v>#DIV/0!</v>
      </c>
      <c r="P495" s="185">
        <f t="shared" si="160"/>
        <v>28.333333333333336</v>
      </c>
      <c r="Q495" s="186">
        <f t="shared" si="161"/>
        <v>41.733333333333334</v>
      </c>
    </row>
    <row r="497" spans="1:17" ht="15.75" x14ac:dyDescent="0.25">
      <c r="A497" s="341" t="s">
        <v>133</v>
      </c>
      <c r="B497" s="341"/>
      <c r="C497" s="341"/>
      <c r="D497" s="341"/>
      <c r="E497" s="341"/>
      <c r="F497" s="341"/>
      <c r="G497" s="341"/>
      <c r="H497" s="341"/>
      <c r="I497" s="341"/>
      <c r="J497" s="341"/>
      <c r="K497" s="341"/>
      <c r="L497" s="341"/>
      <c r="M497" s="341"/>
      <c r="N497" s="341"/>
      <c r="O497" s="341"/>
      <c r="P497" s="341"/>
      <c r="Q497" s="341"/>
    </row>
    <row r="498" spans="1:17" ht="15.75" x14ac:dyDescent="0.25">
      <c r="A498" s="341" t="s">
        <v>81</v>
      </c>
      <c r="B498" s="341"/>
      <c r="C498" s="341"/>
      <c r="D498" s="341"/>
      <c r="E498" s="341"/>
      <c r="F498" s="341"/>
      <c r="G498" s="341"/>
      <c r="H498" s="341"/>
      <c r="I498" s="341"/>
      <c r="J498" s="341"/>
      <c r="K498" s="341"/>
      <c r="L498" s="341"/>
      <c r="M498" s="341"/>
      <c r="N498" s="341"/>
      <c r="O498" s="341"/>
      <c r="P498" s="341"/>
      <c r="Q498" s="341"/>
    </row>
    <row r="499" spans="1:17" ht="15.75" thickBot="1" x14ac:dyDescent="0.3">
      <c r="Q499" s="75" t="s">
        <v>31</v>
      </c>
    </row>
    <row r="500" spans="1:17" x14ac:dyDescent="0.25">
      <c r="A500" s="334" t="s">
        <v>2</v>
      </c>
      <c r="B500" s="336" t="s">
        <v>3</v>
      </c>
      <c r="C500" s="342" t="s">
        <v>138</v>
      </c>
      <c r="D500" s="343"/>
      <c r="E500" s="343"/>
      <c r="F500" s="343"/>
      <c r="G500" s="343"/>
      <c r="H500" s="343"/>
      <c r="I500" s="345" t="s">
        <v>82</v>
      </c>
      <c r="J500" s="343">
        <v>2019</v>
      </c>
      <c r="K500" s="343"/>
      <c r="L500" s="343"/>
      <c r="M500" s="343"/>
      <c r="N500" s="343"/>
      <c r="O500" s="343"/>
      <c r="P500" s="345" t="s">
        <v>83</v>
      </c>
      <c r="Q500" s="348" t="s">
        <v>5</v>
      </c>
    </row>
    <row r="501" spans="1:17" x14ac:dyDescent="0.25">
      <c r="A501" s="335"/>
      <c r="B501" s="324"/>
      <c r="C501" s="296" t="s">
        <v>15</v>
      </c>
      <c r="D501" s="296" t="s">
        <v>16</v>
      </c>
      <c r="E501" s="296" t="s">
        <v>17</v>
      </c>
      <c r="F501" s="296" t="s">
        <v>6</v>
      </c>
      <c r="G501" s="296" t="s">
        <v>76</v>
      </c>
      <c r="H501" s="119" t="s">
        <v>77</v>
      </c>
      <c r="I501" s="346"/>
      <c r="J501" s="109" t="s">
        <v>78</v>
      </c>
      <c r="K501" s="296" t="s">
        <v>10</v>
      </c>
      <c r="L501" s="296" t="s">
        <v>11</v>
      </c>
      <c r="M501" s="296" t="s">
        <v>12</v>
      </c>
      <c r="N501" s="296" t="s">
        <v>79</v>
      </c>
      <c r="O501" s="119" t="s">
        <v>80</v>
      </c>
      <c r="P501" s="346"/>
      <c r="Q501" s="349"/>
    </row>
    <row r="502" spans="1:17" ht="15.75" thickBot="1" x14ac:dyDescent="0.3">
      <c r="A502" s="111">
        <v>1</v>
      </c>
      <c r="B502" s="5">
        <v>2</v>
      </c>
      <c r="C502" s="5">
        <v>3</v>
      </c>
      <c r="D502" s="5">
        <v>4</v>
      </c>
      <c r="E502" s="5">
        <v>5</v>
      </c>
      <c r="F502" s="5">
        <v>6</v>
      </c>
      <c r="G502" s="5">
        <v>7</v>
      </c>
      <c r="H502" s="120">
        <v>8</v>
      </c>
      <c r="I502" s="122">
        <v>9</v>
      </c>
      <c r="J502" s="110">
        <v>10</v>
      </c>
      <c r="K502" s="5">
        <v>11</v>
      </c>
      <c r="L502" s="5">
        <v>12</v>
      </c>
      <c r="M502" s="5">
        <v>13</v>
      </c>
      <c r="N502" s="5">
        <v>14</v>
      </c>
      <c r="O502" s="120">
        <v>15</v>
      </c>
      <c r="P502" s="122">
        <v>16</v>
      </c>
      <c r="Q502" s="131">
        <v>17</v>
      </c>
    </row>
    <row r="503" spans="1:17" ht="15.75" thickTop="1" x14ac:dyDescent="0.25">
      <c r="A503" s="83">
        <v>1</v>
      </c>
      <c r="B503" s="7" t="s">
        <v>18</v>
      </c>
      <c r="C503" s="136">
        <v>0</v>
      </c>
      <c r="D503" s="136">
        <v>0</v>
      </c>
      <c r="E503" s="136">
        <v>0</v>
      </c>
      <c r="F503" s="136">
        <f>'kc ijo'!C329</f>
        <v>0</v>
      </c>
      <c r="G503" s="136">
        <f>'kc ijo'!D329</f>
        <v>0</v>
      </c>
      <c r="H503" s="136">
        <f>'kc ijo'!E329</f>
        <v>0</v>
      </c>
      <c r="I503" s="124">
        <f>SUM(C503:H503)</f>
        <v>0</v>
      </c>
      <c r="J503" s="136">
        <v>0</v>
      </c>
      <c r="K503" s="136">
        <v>0</v>
      </c>
      <c r="L503" s="136">
        <v>0</v>
      </c>
      <c r="M503" s="136">
        <f>'kc ijo'!J329</f>
        <v>0</v>
      </c>
      <c r="N503" s="136">
        <f>'kc ijo'!K329</f>
        <v>0</v>
      </c>
      <c r="O503" s="136">
        <f>'kc ijo'!L329</f>
        <v>0</v>
      </c>
      <c r="P503" s="124">
        <f>SUM(J503:O503)</f>
        <v>0</v>
      </c>
      <c r="Q503" s="127">
        <f>SUM(I503,P503)</f>
        <v>0</v>
      </c>
    </row>
    <row r="504" spans="1:17" x14ac:dyDescent="0.25">
      <c r="A504" s="84">
        <v>2</v>
      </c>
      <c r="B504" s="12" t="s">
        <v>19</v>
      </c>
      <c r="C504" s="59">
        <v>0</v>
      </c>
      <c r="D504" s="59">
        <v>0</v>
      </c>
      <c r="E504" s="59">
        <v>0</v>
      </c>
      <c r="F504" s="59">
        <f>'kc ijo'!C330</f>
        <v>0</v>
      </c>
      <c r="G504" s="59">
        <f>'kc ijo'!D330</f>
        <v>0</v>
      </c>
      <c r="H504" s="155">
        <f>'kc ijo'!E330</f>
        <v>0</v>
      </c>
      <c r="I504" s="125">
        <f t="shared" ref="I504:I510" si="164">SUM(C504:H504)</f>
        <v>0</v>
      </c>
      <c r="J504" s="59">
        <v>0</v>
      </c>
      <c r="K504" s="59">
        <v>0</v>
      </c>
      <c r="L504" s="59">
        <v>0</v>
      </c>
      <c r="M504" s="59">
        <f>'kc ijo'!J330</f>
        <v>0</v>
      </c>
      <c r="N504" s="59">
        <f>'kc ijo'!K330</f>
        <v>0</v>
      </c>
      <c r="O504" s="155">
        <f>'kc ijo'!L330</f>
        <v>0</v>
      </c>
      <c r="P504" s="125">
        <f t="shared" ref="P504:P509" si="165">SUM(J504:O504)</f>
        <v>0</v>
      </c>
      <c r="Q504" s="128">
        <f t="shared" ref="Q504:Q510" si="166">SUM(I504,P504)</f>
        <v>0</v>
      </c>
    </row>
    <row r="505" spans="1:17" x14ac:dyDescent="0.25">
      <c r="A505" s="84">
        <v>3</v>
      </c>
      <c r="B505" s="7" t="s">
        <v>20</v>
      </c>
      <c r="C505" s="59">
        <v>0</v>
      </c>
      <c r="D505" s="59">
        <v>0</v>
      </c>
      <c r="E505" s="59">
        <v>0</v>
      </c>
      <c r="F505" s="59">
        <f>'kc ijo'!C331</f>
        <v>0</v>
      </c>
      <c r="G505" s="59">
        <f>'kc ijo'!D331</f>
        <v>0</v>
      </c>
      <c r="H505" s="155">
        <f>'kc ijo'!E331</f>
        <v>0</v>
      </c>
      <c r="I505" s="125">
        <f t="shared" si="164"/>
        <v>0</v>
      </c>
      <c r="J505" s="59">
        <v>0</v>
      </c>
      <c r="K505" s="59">
        <v>0</v>
      </c>
      <c r="L505" s="59">
        <v>0</v>
      </c>
      <c r="M505" s="59">
        <f>'kc ijo'!J331</f>
        <v>0</v>
      </c>
      <c r="N505" s="59">
        <f>'kc ijo'!K331</f>
        <v>0</v>
      </c>
      <c r="O505" s="155">
        <f>'kc ijo'!L331</f>
        <v>0</v>
      </c>
      <c r="P505" s="125">
        <f t="shared" si="165"/>
        <v>0</v>
      </c>
      <c r="Q505" s="128">
        <f t="shared" si="166"/>
        <v>0</v>
      </c>
    </row>
    <row r="506" spans="1:17" x14ac:dyDescent="0.25">
      <c r="A506" s="85">
        <v>4</v>
      </c>
      <c r="B506" s="15" t="s">
        <v>21</v>
      </c>
      <c r="C506" s="59">
        <v>0</v>
      </c>
      <c r="D506" s="59">
        <v>0</v>
      </c>
      <c r="E506" s="59">
        <v>0</v>
      </c>
      <c r="F506" s="59">
        <f>'kc ijo'!C332</f>
        <v>0</v>
      </c>
      <c r="G506" s="59">
        <f>'kc ijo'!D332</f>
        <v>0</v>
      </c>
      <c r="H506" s="155">
        <f>'kc ijo'!E332</f>
        <v>0</v>
      </c>
      <c r="I506" s="125">
        <f t="shared" si="164"/>
        <v>0</v>
      </c>
      <c r="J506" s="59">
        <v>0</v>
      </c>
      <c r="K506" s="59">
        <v>0</v>
      </c>
      <c r="L506" s="59">
        <v>0</v>
      </c>
      <c r="M506" s="59">
        <f>'kc ijo'!J332</f>
        <v>0</v>
      </c>
      <c r="N506" s="59">
        <f>'kc ijo'!K332</f>
        <v>0</v>
      </c>
      <c r="O506" s="155">
        <f>'kc ijo'!L332</f>
        <v>0</v>
      </c>
      <c r="P506" s="125">
        <f t="shared" si="165"/>
        <v>0</v>
      </c>
      <c r="Q506" s="128">
        <f t="shared" si="166"/>
        <v>0</v>
      </c>
    </row>
    <row r="507" spans="1:17" x14ac:dyDescent="0.25">
      <c r="A507" s="85">
        <v>5</v>
      </c>
      <c r="B507" s="19" t="s">
        <v>22</v>
      </c>
      <c r="C507" s="59">
        <v>0</v>
      </c>
      <c r="D507" s="59">
        <v>0</v>
      </c>
      <c r="E507" s="59">
        <v>0</v>
      </c>
      <c r="F507" s="59">
        <f>'kc ijo'!C333</f>
        <v>0</v>
      </c>
      <c r="G507" s="59">
        <f>'kc ijo'!D333</f>
        <v>0</v>
      </c>
      <c r="H507" s="155">
        <f>'kc ijo'!E333</f>
        <v>0</v>
      </c>
      <c r="I507" s="125">
        <f t="shared" si="164"/>
        <v>0</v>
      </c>
      <c r="J507" s="59">
        <v>0</v>
      </c>
      <c r="K507" s="59">
        <v>0</v>
      </c>
      <c r="L507" s="59">
        <v>0</v>
      </c>
      <c r="M507" s="59">
        <f>'kc ijo'!J333</f>
        <v>0</v>
      </c>
      <c r="N507" s="59">
        <f>'kc ijo'!K333</f>
        <v>0</v>
      </c>
      <c r="O507" s="155">
        <f>'kc ijo'!L333</f>
        <v>0</v>
      </c>
      <c r="P507" s="125">
        <f t="shared" si="165"/>
        <v>0</v>
      </c>
      <c r="Q507" s="128">
        <f t="shared" si="166"/>
        <v>0</v>
      </c>
    </row>
    <row r="508" spans="1:17" x14ac:dyDescent="0.25">
      <c r="A508" s="85">
        <v>6</v>
      </c>
      <c r="B508" s="19" t="s">
        <v>23</v>
      </c>
      <c r="C508" s="59">
        <v>0</v>
      </c>
      <c r="D508" s="59">
        <v>0</v>
      </c>
      <c r="E508" s="59">
        <v>0</v>
      </c>
      <c r="F508" s="59">
        <f>'kc ijo'!C334</f>
        <v>0</v>
      </c>
      <c r="G508" s="59">
        <f>'kc ijo'!D334</f>
        <v>0</v>
      </c>
      <c r="H508" s="155">
        <f>'kc ijo'!E334</f>
        <v>0</v>
      </c>
      <c r="I508" s="125">
        <f t="shared" si="164"/>
        <v>0</v>
      </c>
      <c r="J508" s="59">
        <v>0</v>
      </c>
      <c r="K508" s="59">
        <v>0</v>
      </c>
      <c r="L508" s="59">
        <v>0</v>
      </c>
      <c r="M508" s="59">
        <f>'kc ijo'!J334</f>
        <v>0</v>
      </c>
      <c r="N508" s="59">
        <f>'kc ijo'!K334</f>
        <v>0</v>
      </c>
      <c r="O508" s="155">
        <f>'kc ijo'!L334</f>
        <v>0</v>
      </c>
      <c r="P508" s="125">
        <f t="shared" si="165"/>
        <v>0</v>
      </c>
      <c r="Q508" s="128">
        <f t="shared" si="166"/>
        <v>0</v>
      </c>
    </row>
    <row r="509" spans="1:17" x14ac:dyDescent="0.25">
      <c r="A509" s="85">
        <v>7</v>
      </c>
      <c r="B509" s="19" t="s">
        <v>24</v>
      </c>
      <c r="C509" s="59">
        <v>0</v>
      </c>
      <c r="D509" s="59">
        <v>0</v>
      </c>
      <c r="E509" s="59">
        <v>0</v>
      </c>
      <c r="F509" s="59">
        <f>'kc ijo'!C335</f>
        <v>0</v>
      </c>
      <c r="G509" s="59">
        <f>'kc ijo'!D335</f>
        <v>0</v>
      </c>
      <c r="H509" s="155">
        <f>'kc ijo'!E335</f>
        <v>0</v>
      </c>
      <c r="I509" s="125">
        <f t="shared" si="164"/>
        <v>0</v>
      </c>
      <c r="J509" s="59">
        <v>0</v>
      </c>
      <c r="K509" s="59">
        <v>0</v>
      </c>
      <c r="L509" s="59">
        <v>0</v>
      </c>
      <c r="M509" s="59">
        <f>'kc ijo'!J335</f>
        <v>0</v>
      </c>
      <c r="N509" s="59">
        <f>'kc ijo'!K335</f>
        <v>0</v>
      </c>
      <c r="O509" s="155">
        <f>'kc ijo'!L335</f>
        <v>0</v>
      </c>
      <c r="P509" s="125">
        <f t="shared" si="165"/>
        <v>0</v>
      </c>
      <c r="Q509" s="128">
        <f t="shared" si="166"/>
        <v>0</v>
      </c>
    </row>
    <row r="510" spans="1:17" ht="15.75" thickBot="1" x14ac:dyDescent="0.3">
      <c r="A510" s="86">
        <v>8</v>
      </c>
      <c r="B510" s="15" t="s">
        <v>25</v>
      </c>
      <c r="C510" s="137">
        <v>0</v>
      </c>
      <c r="D510" s="137">
        <v>0</v>
      </c>
      <c r="E510" s="137">
        <v>0</v>
      </c>
      <c r="F510" s="137">
        <f>'kc ijo'!C336</f>
        <v>0</v>
      </c>
      <c r="G510" s="137">
        <f>'kc ijo'!D336</f>
        <v>0</v>
      </c>
      <c r="H510" s="137">
        <f>'kc ijo'!E336</f>
        <v>0</v>
      </c>
      <c r="I510" s="126">
        <f t="shared" si="164"/>
        <v>0</v>
      </c>
      <c r="J510" s="137">
        <v>0</v>
      </c>
      <c r="K510" s="137">
        <v>0</v>
      </c>
      <c r="L510" s="137">
        <v>0</v>
      </c>
      <c r="M510" s="137">
        <f>'kc ijo'!J336</f>
        <v>0</v>
      </c>
      <c r="N510" s="137">
        <f>'kc ijo'!K336</f>
        <v>0</v>
      </c>
      <c r="O510" s="137">
        <f>'kc ijo'!L336</f>
        <v>0</v>
      </c>
      <c r="P510" s="126">
        <f>SUM(J510:O510)</f>
        <v>0</v>
      </c>
      <c r="Q510" s="129">
        <f t="shared" si="166"/>
        <v>0</v>
      </c>
    </row>
    <row r="511" spans="1:17" ht="16.5" thickTop="1" thickBot="1" x14ac:dyDescent="0.3">
      <c r="A511" s="339" t="s">
        <v>26</v>
      </c>
      <c r="B511" s="340"/>
      <c r="C511" s="112">
        <f t="shared" ref="C511:H511" si="167">SUM(C503:C510)</f>
        <v>0</v>
      </c>
      <c r="D511" s="112">
        <f t="shared" si="167"/>
        <v>0</v>
      </c>
      <c r="E511" s="112">
        <f t="shared" si="167"/>
        <v>0</v>
      </c>
      <c r="F511" s="112">
        <f t="shared" si="167"/>
        <v>0</v>
      </c>
      <c r="G511" s="112">
        <f t="shared" si="167"/>
        <v>0</v>
      </c>
      <c r="H511" s="121">
        <f t="shared" si="167"/>
        <v>0</v>
      </c>
      <c r="I511" s="123">
        <f>SUM(I503:I510)</f>
        <v>0</v>
      </c>
      <c r="J511" s="133">
        <f t="shared" ref="J511:O511" si="168">SUM(J503:J510)</f>
        <v>0</v>
      </c>
      <c r="K511" s="112">
        <f t="shared" si="168"/>
        <v>0</v>
      </c>
      <c r="L511" s="112">
        <f t="shared" si="168"/>
        <v>0</v>
      </c>
      <c r="M511" s="112">
        <f t="shared" si="168"/>
        <v>0</v>
      </c>
      <c r="N511" s="112">
        <f t="shared" si="168"/>
        <v>0</v>
      </c>
      <c r="O511" s="121">
        <f t="shared" si="168"/>
        <v>0</v>
      </c>
      <c r="P511" s="123">
        <f>SUM(P503:P510)</f>
        <v>0</v>
      </c>
      <c r="Q511" s="130">
        <f>SUM(Q503:Q510)</f>
        <v>0</v>
      </c>
    </row>
    <row r="513" spans="1:17" ht="15.75" x14ac:dyDescent="0.25">
      <c r="A513" s="341" t="s">
        <v>134</v>
      </c>
      <c r="B513" s="341"/>
      <c r="C513" s="341"/>
      <c r="D513" s="341"/>
      <c r="E513" s="341"/>
      <c r="F513" s="341"/>
      <c r="G513" s="341"/>
      <c r="H513" s="341"/>
      <c r="I513" s="341"/>
      <c r="J513" s="341"/>
      <c r="K513" s="341"/>
      <c r="L513" s="341"/>
      <c r="M513" s="341"/>
      <c r="N513" s="341"/>
      <c r="O513" s="341"/>
      <c r="P513" s="341"/>
      <c r="Q513" s="341"/>
    </row>
    <row r="514" spans="1:17" ht="15.75" x14ac:dyDescent="0.25">
      <c r="A514" s="341" t="s">
        <v>81</v>
      </c>
      <c r="B514" s="341"/>
      <c r="C514" s="341"/>
      <c r="D514" s="341"/>
      <c r="E514" s="341"/>
      <c r="F514" s="341"/>
      <c r="G514" s="341"/>
      <c r="H514" s="341"/>
      <c r="I514" s="341"/>
      <c r="J514" s="341"/>
      <c r="K514" s="341"/>
      <c r="L514" s="341"/>
      <c r="M514" s="341"/>
      <c r="N514" s="341"/>
      <c r="O514" s="341"/>
      <c r="P514" s="341"/>
      <c r="Q514" s="341"/>
    </row>
    <row r="515" spans="1:17" ht="15.75" thickBot="1" x14ac:dyDescent="0.3">
      <c r="Q515" s="75" t="s">
        <v>31</v>
      </c>
    </row>
    <row r="516" spans="1:17" x14ac:dyDescent="0.25">
      <c r="A516" s="334" t="s">
        <v>2</v>
      </c>
      <c r="B516" s="336" t="s">
        <v>3</v>
      </c>
      <c r="C516" s="342" t="s">
        <v>138</v>
      </c>
      <c r="D516" s="343"/>
      <c r="E516" s="343"/>
      <c r="F516" s="343"/>
      <c r="G516" s="343"/>
      <c r="H516" s="343"/>
      <c r="I516" s="345" t="s">
        <v>82</v>
      </c>
      <c r="J516" s="343">
        <v>2019</v>
      </c>
      <c r="K516" s="343"/>
      <c r="L516" s="343"/>
      <c r="M516" s="343"/>
      <c r="N516" s="343"/>
      <c r="O516" s="343"/>
      <c r="P516" s="345" t="s">
        <v>83</v>
      </c>
      <c r="Q516" s="348" t="s">
        <v>5</v>
      </c>
    </row>
    <row r="517" spans="1:17" x14ac:dyDescent="0.25">
      <c r="A517" s="335"/>
      <c r="B517" s="324"/>
      <c r="C517" s="296" t="s">
        <v>15</v>
      </c>
      <c r="D517" s="296" t="s">
        <v>16</v>
      </c>
      <c r="E517" s="296" t="s">
        <v>17</v>
      </c>
      <c r="F517" s="296" t="s">
        <v>6</v>
      </c>
      <c r="G517" s="296" t="s">
        <v>76</v>
      </c>
      <c r="H517" s="119" t="s">
        <v>77</v>
      </c>
      <c r="I517" s="346"/>
      <c r="J517" s="109" t="s">
        <v>78</v>
      </c>
      <c r="K517" s="296" t="s">
        <v>10</v>
      </c>
      <c r="L517" s="296" t="s">
        <v>11</v>
      </c>
      <c r="M517" s="296" t="s">
        <v>12</v>
      </c>
      <c r="N517" s="296" t="s">
        <v>79</v>
      </c>
      <c r="O517" s="119" t="s">
        <v>80</v>
      </c>
      <c r="P517" s="346"/>
      <c r="Q517" s="349"/>
    </row>
    <row r="518" spans="1:17" ht="15.75" thickBot="1" x14ac:dyDescent="0.3">
      <c r="A518" s="111">
        <v>1</v>
      </c>
      <c r="B518" s="5">
        <v>2</v>
      </c>
      <c r="C518" s="5">
        <v>3</v>
      </c>
      <c r="D518" s="5">
        <v>4</v>
      </c>
      <c r="E518" s="5">
        <v>5</v>
      </c>
      <c r="F518" s="5">
        <v>6</v>
      </c>
      <c r="G518" s="5">
        <v>7</v>
      </c>
      <c r="H518" s="120">
        <v>8</v>
      </c>
      <c r="I518" s="122">
        <v>9</v>
      </c>
      <c r="J518" s="110">
        <v>10</v>
      </c>
      <c r="K518" s="5">
        <v>11</v>
      </c>
      <c r="L518" s="5">
        <v>12</v>
      </c>
      <c r="M518" s="5">
        <v>13</v>
      </c>
      <c r="N518" s="5">
        <v>14</v>
      </c>
      <c r="O518" s="120">
        <v>15</v>
      </c>
      <c r="P518" s="122">
        <v>16</v>
      </c>
      <c r="Q518" s="131">
        <v>17</v>
      </c>
    </row>
    <row r="519" spans="1:17" ht="15.75" thickTop="1" x14ac:dyDescent="0.25">
      <c r="A519" s="83">
        <v>1</v>
      </c>
      <c r="B519" s="7" t="s">
        <v>18</v>
      </c>
      <c r="C519" s="179">
        <v>0</v>
      </c>
      <c r="D519" s="179">
        <v>0</v>
      </c>
      <c r="E519" s="179">
        <v>0</v>
      </c>
      <c r="F519" s="179">
        <f>'kc tanah'!C108</f>
        <v>0</v>
      </c>
      <c r="G519" s="179">
        <f>'kc tanah'!D108</f>
        <v>0</v>
      </c>
      <c r="H519" s="179">
        <f>'kc tanah'!E108</f>
        <v>0</v>
      </c>
      <c r="I519" s="187" t="e">
        <f t="shared" ref="I519:P527" si="169">I375/I231*10</f>
        <v>#DIV/0!</v>
      </c>
      <c r="J519" s="197">
        <f>'kc tanah'!F108</f>
        <v>11.5</v>
      </c>
      <c r="K519" s="197">
        <f>'kc tanah'!G108</f>
        <v>9.33</v>
      </c>
      <c r="L519" s="197">
        <f>'kc tanah'!H108</f>
        <v>0</v>
      </c>
      <c r="M519" s="197">
        <f>'kc tanah'!I108</f>
        <v>0</v>
      </c>
      <c r="N519" s="197">
        <f>'kc tanah'!J108</f>
        <v>0</v>
      </c>
      <c r="O519" s="197">
        <f>'kc tanah'!K108</f>
        <v>0</v>
      </c>
      <c r="P519" s="187">
        <f>SUM(J519:O519)</f>
        <v>20.83</v>
      </c>
      <c r="Q519" s="191">
        <f t="shared" ref="Q519:Q527" si="170">Q375/Q231*10</f>
        <v>10.629999999999999</v>
      </c>
    </row>
    <row r="520" spans="1:17" x14ac:dyDescent="0.25">
      <c r="A520" s="84">
        <v>2</v>
      </c>
      <c r="B520" s="12" t="s">
        <v>19</v>
      </c>
      <c r="C520" s="180">
        <v>0</v>
      </c>
      <c r="D520" s="180">
        <v>0</v>
      </c>
      <c r="E520" s="180">
        <v>0</v>
      </c>
      <c r="F520" s="180">
        <f>'kc tanah'!C109</f>
        <v>0</v>
      </c>
      <c r="G520" s="180">
        <f>'kc tanah'!D109</f>
        <v>0</v>
      </c>
      <c r="H520" s="180">
        <f>'kc tanah'!E109</f>
        <v>13.25</v>
      </c>
      <c r="I520" s="196">
        <f t="shared" si="169"/>
        <v>13.251851851851853</v>
      </c>
      <c r="J520" s="227">
        <f>'kc tanah'!F109</f>
        <v>11</v>
      </c>
      <c r="K520" s="198">
        <f>'kc tanah'!G109</f>
        <v>0</v>
      </c>
      <c r="L520" s="198">
        <f>'kc tanah'!H109</f>
        <v>11.66</v>
      </c>
      <c r="M520" s="198">
        <f>'kc tanah'!I109</f>
        <v>11.13</v>
      </c>
      <c r="N520" s="198">
        <f>'kc tanah'!J109</f>
        <v>0</v>
      </c>
      <c r="O520" s="199">
        <f>'kc tanah'!K109</f>
        <v>0</v>
      </c>
      <c r="P520" s="196">
        <f t="shared" ref="P520:P525" si="171">SUM(J520:O520)</f>
        <v>33.79</v>
      </c>
      <c r="Q520" s="192">
        <f t="shared" si="170"/>
        <v>12.24</v>
      </c>
    </row>
    <row r="521" spans="1:17" x14ac:dyDescent="0.25">
      <c r="A521" s="84">
        <v>3</v>
      </c>
      <c r="B521" s="7" t="s">
        <v>20</v>
      </c>
      <c r="C521" s="180">
        <v>0</v>
      </c>
      <c r="D521" s="180">
        <v>0</v>
      </c>
      <c r="E521" s="180">
        <v>0</v>
      </c>
      <c r="F521" s="180">
        <f>'kc tanah'!C110</f>
        <v>12.02</v>
      </c>
      <c r="G521" s="180">
        <f>'kc tanah'!D110</f>
        <v>0</v>
      </c>
      <c r="H521" s="180">
        <f>'kc tanah'!E110</f>
        <v>0</v>
      </c>
      <c r="I521" s="196">
        <f t="shared" si="169"/>
        <v>12.02</v>
      </c>
      <c r="J521" s="227">
        <f>'kc tanah'!F110</f>
        <v>11.76</v>
      </c>
      <c r="K521" s="198">
        <f>'kc tanah'!G110</f>
        <v>0</v>
      </c>
      <c r="L521" s="198">
        <f>'kc tanah'!H110</f>
        <v>0</v>
      </c>
      <c r="M521" s="198">
        <f>'kc tanah'!I110</f>
        <v>11.5</v>
      </c>
      <c r="N521" s="198">
        <f>'kc tanah'!J110</f>
        <v>0</v>
      </c>
      <c r="O521" s="199">
        <f>'kc tanah'!K110</f>
        <v>0</v>
      </c>
      <c r="P521" s="196">
        <f t="shared" si="171"/>
        <v>23.259999999999998</v>
      </c>
      <c r="Q521" s="192">
        <f t="shared" si="170"/>
        <v>11.688000000000001</v>
      </c>
    </row>
    <row r="522" spans="1:17" x14ac:dyDescent="0.25">
      <c r="A522" s="85">
        <v>4</v>
      </c>
      <c r="B522" s="15" t="s">
        <v>21</v>
      </c>
      <c r="C522" s="180">
        <v>11.25</v>
      </c>
      <c r="D522" s="180">
        <v>0</v>
      </c>
      <c r="E522" s="180">
        <v>0</v>
      </c>
      <c r="F522" s="180">
        <f>'kc tanah'!C111</f>
        <v>0</v>
      </c>
      <c r="G522" s="180">
        <f>'kc tanah'!D111</f>
        <v>0</v>
      </c>
      <c r="H522" s="180">
        <f>'kc tanah'!E111</f>
        <v>14.26</v>
      </c>
      <c r="I522" s="196">
        <f t="shared" si="169"/>
        <v>10.857142857142856</v>
      </c>
      <c r="J522" s="227">
        <f>'kc tanah'!F111</f>
        <v>0</v>
      </c>
      <c r="K522" s="198">
        <f>'kc tanah'!G111</f>
        <v>9.5399999999999991</v>
      </c>
      <c r="L522" s="198">
        <f>'kc tanah'!H111</f>
        <v>11.25</v>
      </c>
      <c r="M522" s="198">
        <f>'kc tanah'!I111</f>
        <v>0</v>
      </c>
      <c r="N522" s="198">
        <f>'kc tanah'!J111</f>
        <v>0</v>
      </c>
      <c r="O522" s="199">
        <f>'kc tanah'!K111</f>
        <v>11.32</v>
      </c>
      <c r="P522" s="196">
        <f t="shared" si="171"/>
        <v>32.11</v>
      </c>
      <c r="Q522" s="192">
        <f t="shared" si="170"/>
        <v>10.957627118644069</v>
      </c>
    </row>
    <row r="523" spans="1:17" x14ac:dyDescent="0.25">
      <c r="A523" s="85">
        <v>5</v>
      </c>
      <c r="B523" s="19" t="s">
        <v>22</v>
      </c>
      <c r="C523" s="180">
        <v>0</v>
      </c>
      <c r="D523" s="180">
        <v>0</v>
      </c>
      <c r="E523" s="180">
        <v>0</v>
      </c>
      <c r="F523" s="180">
        <f>'kc tanah'!C112</f>
        <v>0</v>
      </c>
      <c r="G523" s="180">
        <f>'kc tanah'!D112</f>
        <v>0</v>
      </c>
      <c r="H523" s="180">
        <f>'kc tanah'!E112</f>
        <v>11.13</v>
      </c>
      <c r="I523" s="196">
        <f t="shared" si="169"/>
        <v>11.129151291512915</v>
      </c>
      <c r="J523" s="227">
        <f>'kc tanah'!F112</f>
        <v>0</v>
      </c>
      <c r="K523" s="198">
        <f>'kc tanah'!G112</f>
        <v>0</v>
      </c>
      <c r="L523" s="198">
        <f>'kc tanah'!H112</f>
        <v>12.65</v>
      </c>
      <c r="M523" s="198">
        <f>'kc tanah'!I112</f>
        <v>11.01</v>
      </c>
      <c r="N523" s="198">
        <f>'kc tanah'!J112</f>
        <v>0</v>
      </c>
      <c r="O523" s="199">
        <f>'kc tanah'!K112</f>
        <v>0</v>
      </c>
      <c r="P523" s="196">
        <f t="shared" si="171"/>
        <v>23.66</v>
      </c>
      <c r="Q523" s="192">
        <f t="shared" si="170"/>
        <v>11.168168168168169</v>
      </c>
    </row>
    <row r="524" spans="1:17" x14ac:dyDescent="0.25">
      <c r="A524" s="85">
        <v>6</v>
      </c>
      <c r="B524" s="19" t="s">
        <v>23</v>
      </c>
      <c r="C524" s="180">
        <v>10.88</v>
      </c>
      <c r="D524" s="180">
        <v>13.76</v>
      </c>
      <c r="E524" s="180">
        <v>0</v>
      </c>
      <c r="F524" s="180">
        <f>'kc tanah'!C113</f>
        <v>0</v>
      </c>
      <c r="G524" s="180">
        <f>'kc tanah'!D113</f>
        <v>13.5</v>
      </c>
      <c r="H524" s="180">
        <f>'kc tanah'!E113</f>
        <v>12.45</v>
      </c>
      <c r="I524" s="196">
        <f t="shared" si="169"/>
        <v>15.513513513513516</v>
      </c>
      <c r="J524" s="227">
        <f>'kc tanah'!F113</f>
        <v>0</v>
      </c>
      <c r="K524" s="198">
        <f>'kc tanah'!G113</f>
        <v>0</v>
      </c>
      <c r="L524" s="198">
        <f>'kc tanah'!H113</f>
        <v>11.3</v>
      </c>
      <c r="M524" s="198">
        <f>'kc tanah'!I113</f>
        <v>11.05</v>
      </c>
      <c r="N524" s="198">
        <f>'kc tanah'!J113</f>
        <v>0</v>
      </c>
      <c r="O524" s="199">
        <f>'kc tanah'!K113</f>
        <v>10.51</v>
      </c>
      <c r="P524" s="196">
        <f t="shared" si="171"/>
        <v>32.86</v>
      </c>
      <c r="Q524" s="192">
        <f t="shared" si="170"/>
        <v>13.453900709219859</v>
      </c>
    </row>
    <row r="525" spans="1:17" x14ac:dyDescent="0.25">
      <c r="A525" s="85">
        <v>7</v>
      </c>
      <c r="B525" s="19" t="s">
        <v>24</v>
      </c>
      <c r="C525" s="180">
        <v>0</v>
      </c>
      <c r="D525" s="180">
        <v>0</v>
      </c>
      <c r="E525" s="180">
        <v>0</v>
      </c>
      <c r="F525" s="180">
        <f>'kc tanah'!C114</f>
        <v>0</v>
      </c>
      <c r="G525" s="180">
        <f>'kc tanah'!D114</f>
        <v>0</v>
      </c>
      <c r="H525" s="180">
        <f>'kc tanah'!E114</f>
        <v>11.22</v>
      </c>
      <c r="I525" s="196">
        <f t="shared" si="169"/>
        <v>5.5</v>
      </c>
      <c r="J525" s="227">
        <f>'kc tanah'!F114</f>
        <v>0</v>
      </c>
      <c r="K525" s="198">
        <f>'kc tanah'!G114</f>
        <v>0</v>
      </c>
      <c r="L525" s="198">
        <f>'kc tanah'!H114</f>
        <v>0</v>
      </c>
      <c r="M525" s="198">
        <f>'kc tanah'!I114</f>
        <v>10.95</v>
      </c>
      <c r="N525" s="198">
        <f>'kc tanah'!J114</f>
        <v>0</v>
      </c>
      <c r="O525" s="199">
        <f>'kc tanah'!K114</f>
        <v>0</v>
      </c>
      <c r="P525" s="196">
        <f t="shared" si="171"/>
        <v>10.95</v>
      </c>
      <c r="Q525" s="192">
        <f t="shared" si="170"/>
        <v>7.3333333333333339</v>
      </c>
    </row>
    <row r="526" spans="1:17" ht="15.75" thickBot="1" x14ac:dyDescent="0.3">
      <c r="A526" s="86">
        <v>8</v>
      </c>
      <c r="B526" s="15" t="s">
        <v>25</v>
      </c>
      <c r="C526" s="181">
        <v>11.32</v>
      </c>
      <c r="D526" s="181">
        <v>11.2</v>
      </c>
      <c r="E526" s="181">
        <v>8.6300000000000008</v>
      </c>
      <c r="F526" s="181">
        <f>'kc tanah'!C115</f>
        <v>0</v>
      </c>
      <c r="G526" s="181">
        <f>'kc tanah'!D115</f>
        <v>12.62</v>
      </c>
      <c r="H526" s="181">
        <f>'kc tanah'!E115</f>
        <v>12.51</v>
      </c>
      <c r="I526" s="194">
        <f t="shared" si="169"/>
        <v>41.402684563758392</v>
      </c>
      <c r="J526" s="225">
        <f>'kc tanah'!F115</f>
        <v>0</v>
      </c>
      <c r="K526" s="225">
        <f>'kc tanah'!G115</f>
        <v>0</v>
      </c>
      <c r="L526" s="225">
        <f>'kc tanah'!H115</f>
        <v>12.13</v>
      </c>
      <c r="M526" s="225">
        <f>'kc tanah'!I115</f>
        <v>11.21</v>
      </c>
      <c r="N526" s="225">
        <f>'kc tanah'!J115</f>
        <v>0</v>
      </c>
      <c r="O526" s="225">
        <f>'kc tanah'!K115</f>
        <v>0</v>
      </c>
      <c r="P526" s="200">
        <f>SUM(J526:O526)</f>
        <v>23.340000000000003</v>
      </c>
      <c r="Q526" s="195">
        <f t="shared" si="170"/>
        <v>26.588435374149661</v>
      </c>
    </row>
    <row r="527" spans="1:17" ht="16.5" thickTop="1" thickBot="1" x14ac:dyDescent="0.3">
      <c r="A527" s="339" t="s">
        <v>26</v>
      </c>
      <c r="B527" s="340"/>
      <c r="C527" s="182">
        <f t="shared" ref="C527:H527" si="172">C383/C239*10</f>
        <v>161.11111111111111</v>
      </c>
      <c r="D527" s="182">
        <f t="shared" si="172"/>
        <v>350</v>
      </c>
      <c r="E527" s="182">
        <f t="shared" si="172"/>
        <v>75.5</v>
      </c>
      <c r="F527" s="182">
        <f t="shared" si="172"/>
        <v>12.02</v>
      </c>
      <c r="G527" s="182">
        <f t="shared" si="172"/>
        <v>12.83888888888889</v>
      </c>
      <c r="H527" s="183">
        <f t="shared" si="172"/>
        <v>12.07883817427386</v>
      </c>
      <c r="I527" s="185">
        <f t="shared" si="169"/>
        <v>17.96804260985353</v>
      </c>
      <c r="J527" s="184">
        <f t="shared" si="169"/>
        <v>11.610810810810811</v>
      </c>
      <c r="K527" s="182">
        <f t="shared" si="169"/>
        <v>9.3555555555555543</v>
      </c>
      <c r="L527" s="182">
        <f t="shared" si="169"/>
        <v>11.661904761904765</v>
      </c>
      <c r="M527" s="182">
        <f t="shared" si="169"/>
        <v>11.25925925925926</v>
      </c>
      <c r="N527" s="182" t="e">
        <f t="shared" si="169"/>
        <v>#DIV/0!</v>
      </c>
      <c r="O527" s="183">
        <f t="shared" si="169"/>
        <v>11.227272727272728</v>
      </c>
      <c r="P527" s="185">
        <f t="shared" si="169"/>
        <v>11.337023370233702</v>
      </c>
      <c r="Q527" s="186">
        <f t="shared" si="170"/>
        <v>14.521099744245527</v>
      </c>
    </row>
    <row r="529" spans="1:17" ht="15.75" x14ac:dyDescent="0.25">
      <c r="A529" s="341" t="s">
        <v>135</v>
      </c>
      <c r="B529" s="341"/>
      <c r="C529" s="341"/>
      <c r="D529" s="341"/>
      <c r="E529" s="341"/>
      <c r="F529" s="341"/>
      <c r="G529" s="341"/>
      <c r="H529" s="341"/>
      <c r="I529" s="341"/>
      <c r="J529" s="341"/>
      <c r="K529" s="341"/>
      <c r="L529" s="341"/>
      <c r="M529" s="341"/>
      <c r="N529" s="341"/>
      <c r="O529" s="341"/>
      <c r="P529" s="341"/>
      <c r="Q529" s="341"/>
    </row>
    <row r="530" spans="1:17" ht="15.75" x14ac:dyDescent="0.25">
      <c r="A530" s="341" t="s">
        <v>81</v>
      </c>
      <c r="B530" s="341"/>
      <c r="C530" s="341"/>
      <c r="D530" s="341"/>
      <c r="E530" s="341"/>
      <c r="F530" s="341"/>
      <c r="G530" s="341"/>
      <c r="H530" s="341"/>
      <c r="I530" s="341"/>
      <c r="J530" s="341"/>
      <c r="K530" s="341"/>
      <c r="L530" s="341"/>
      <c r="M530" s="341"/>
      <c r="N530" s="341"/>
      <c r="O530" s="341"/>
      <c r="P530" s="341"/>
      <c r="Q530" s="341"/>
    </row>
    <row r="531" spans="1:17" ht="15.75" thickBot="1" x14ac:dyDescent="0.3">
      <c r="Q531" s="75" t="s">
        <v>31</v>
      </c>
    </row>
    <row r="532" spans="1:17" x14ac:dyDescent="0.25">
      <c r="A532" s="334" t="s">
        <v>2</v>
      </c>
      <c r="B532" s="336" t="s">
        <v>3</v>
      </c>
      <c r="C532" s="342" t="s">
        <v>138</v>
      </c>
      <c r="D532" s="343"/>
      <c r="E532" s="343"/>
      <c r="F532" s="343"/>
      <c r="G532" s="343"/>
      <c r="H532" s="343"/>
      <c r="I532" s="345" t="s">
        <v>82</v>
      </c>
      <c r="J532" s="343">
        <v>2019</v>
      </c>
      <c r="K532" s="343"/>
      <c r="L532" s="343"/>
      <c r="M532" s="343"/>
      <c r="N532" s="343"/>
      <c r="O532" s="343"/>
      <c r="P532" s="345" t="s">
        <v>83</v>
      </c>
      <c r="Q532" s="348" t="s">
        <v>5</v>
      </c>
    </row>
    <row r="533" spans="1:17" x14ac:dyDescent="0.25">
      <c r="A533" s="335"/>
      <c r="B533" s="324"/>
      <c r="C533" s="296" t="s">
        <v>15</v>
      </c>
      <c r="D533" s="296" t="s">
        <v>16</v>
      </c>
      <c r="E533" s="296" t="s">
        <v>17</v>
      </c>
      <c r="F533" s="296" t="s">
        <v>6</v>
      </c>
      <c r="G533" s="296" t="s">
        <v>76</v>
      </c>
      <c r="H533" s="119" t="s">
        <v>77</v>
      </c>
      <c r="I533" s="346"/>
      <c r="J533" s="109" t="s">
        <v>78</v>
      </c>
      <c r="K533" s="296" t="s">
        <v>10</v>
      </c>
      <c r="L533" s="296" t="s">
        <v>11</v>
      </c>
      <c r="M533" s="296" t="s">
        <v>12</v>
      </c>
      <c r="N533" s="296" t="s">
        <v>79</v>
      </c>
      <c r="O533" s="119" t="s">
        <v>80</v>
      </c>
      <c r="P533" s="346"/>
      <c r="Q533" s="349"/>
    </row>
    <row r="534" spans="1:17" ht="15.75" thickBot="1" x14ac:dyDescent="0.3">
      <c r="A534" s="111">
        <v>1</v>
      </c>
      <c r="B534" s="5">
        <v>2</v>
      </c>
      <c r="C534" s="5">
        <v>3</v>
      </c>
      <c r="D534" s="5">
        <v>4</v>
      </c>
      <c r="E534" s="5">
        <v>5</v>
      </c>
      <c r="F534" s="5">
        <v>6</v>
      </c>
      <c r="G534" s="5">
        <v>7</v>
      </c>
      <c r="H534" s="120">
        <v>8</v>
      </c>
      <c r="I534" s="122">
        <v>9</v>
      </c>
      <c r="J534" s="110">
        <v>10</v>
      </c>
      <c r="K534" s="5">
        <v>11</v>
      </c>
      <c r="L534" s="5">
        <v>12</v>
      </c>
      <c r="M534" s="5">
        <v>13</v>
      </c>
      <c r="N534" s="5">
        <v>14</v>
      </c>
      <c r="O534" s="120">
        <v>15</v>
      </c>
      <c r="P534" s="122">
        <v>16</v>
      </c>
      <c r="Q534" s="131">
        <v>17</v>
      </c>
    </row>
    <row r="535" spans="1:17" ht="15.75" thickTop="1" x14ac:dyDescent="0.25">
      <c r="A535" s="83">
        <v>1</v>
      </c>
      <c r="B535" s="7" t="s">
        <v>18</v>
      </c>
      <c r="C535" s="205">
        <v>95.21</v>
      </c>
      <c r="D535" s="205">
        <v>0</v>
      </c>
      <c r="E535" s="205">
        <v>0</v>
      </c>
      <c r="F535" s="205">
        <f>'ubi kayu'!C103</f>
        <v>0</v>
      </c>
      <c r="G535" s="205">
        <f>'ubi kayu'!D103</f>
        <v>0</v>
      </c>
      <c r="H535" s="205">
        <f>'ubi kayu'!E103</f>
        <v>0</v>
      </c>
      <c r="I535" s="206" t="e">
        <f t="shared" ref="I535:I540" si="173">I391/I247*10</f>
        <v>#DIV/0!</v>
      </c>
      <c r="J535" s="207">
        <f>'ubi kayu'!F103</f>
        <v>0</v>
      </c>
      <c r="K535" s="207">
        <f>'ubi kayu'!G103</f>
        <v>102.11</v>
      </c>
      <c r="L535" s="207">
        <f>'ubi kayu'!H103</f>
        <v>0</v>
      </c>
      <c r="M535" s="207">
        <f>'ubi kayu'!I103</f>
        <v>0</v>
      </c>
      <c r="N535" s="207">
        <f>'ubi kayu'!J103</f>
        <v>140.21</v>
      </c>
      <c r="O535" s="207">
        <f>'ubi kayu'!K103</f>
        <v>120.1</v>
      </c>
      <c r="P535" s="206">
        <f>SUM(J535:O535)</f>
        <v>362.41999999999996</v>
      </c>
      <c r="Q535" s="208">
        <f t="shared" ref="Q535:Q543" si="174">Q391/Q247*10</f>
        <v>158.80000000000001</v>
      </c>
    </row>
    <row r="536" spans="1:17" x14ac:dyDescent="0.25">
      <c r="A536" s="84">
        <v>2</v>
      </c>
      <c r="B536" s="12" t="s">
        <v>19</v>
      </c>
      <c r="C536" s="209">
        <v>0</v>
      </c>
      <c r="D536" s="209">
        <v>0</v>
      </c>
      <c r="E536" s="209">
        <v>0</v>
      </c>
      <c r="F536" s="209">
        <f>'ubi kayu'!C104</f>
        <v>128.02000000000001</v>
      </c>
      <c r="G536" s="209">
        <f>'ubi kayu'!D104</f>
        <v>0</v>
      </c>
      <c r="H536" s="209">
        <f>'ubi kayu'!E104</f>
        <v>0</v>
      </c>
      <c r="I536" s="210">
        <f t="shared" si="173"/>
        <v>85.333333333333329</v>
      </c>
      <c r="J536" s="228">
        <f>'ubi kayu'!F104</f>
        <v>0</v>
      </c>
      <c r="K536" s="211">
        <f>'ubi kayu'!G104</f>
        <v>0</v>
      </c>
      <c r="L536" s="211">
        <f>'ubi kayu'!H104</f>
        <v>0</v>
      </c>
      <c r="M536" s="211">
        <f>'ubi kayu'!I104</f>
        <v>0</v>
      </c>
      <c r="N536" s="211">
        <f>'ubi kayu'!J104</f>
        <v>0</v>
      </c>
      <c r="O536" s="212">
        <f>'ubi kayu'!K104</f>
        <v>0</v>
      </c>
      <c r="P536" s="210">
        <f t="shared" ref="P536:P541" si="175">SUM(J536:O536)</f>
        <v>0</v>
      </c>
      <c r="Q536" s="213">
        <f t="shared" si="174"/>
        <v>85.333333333333329</v>
      </c>
    </row>
    <row r="537" spans="1:17" x14ac:dyDescent="0.25">
      <c r="A537" s="84">
        <v>3</v>
      </c>
      <c r="B537" s="7" t="s">
        <v>20</v>
      </c>
      <c r="C537" s="209">
        <v>131.5</v>
      </c>
      <c r="D537" s="209">
        <v>0</v>
      </c>
      <c r="E537" s="209">
        <v>0</v>
      </c>
      <c r="F537" s="209">
        <f>'ubi kayu'!C105</f>
        <v>0</v>
      </c>
      <c r="G537" s="209">
        <f>'ubi kayu'!D105</f>
        <v>0</v>
      </c>
      <c r="H537" s="209">
        <f>'ubi kayu'!E105</f>
        <v>0</v>
      </c>
      <c r="I537" s="210" t="e">
        <f t="shared" si="173"/>
        <v>#DIV/0!</v>
      </c>
      <c r="J537" s="228">
        <f>'ubi kayu'!F105</f>
        <v>0</v>
      </c>
      <c r="K537" s="211">
        <f>'ubi kayu'!G105</f>
        <v>0</v>
      </c>
      <c r="L537" s="211">
        <f>'ubi kayu'!H105</f>
        <v>0</v>
      </c>
      <c r="M537" s="211">
        <f>'ubi kayu'!I105</f>
        <v>0</v>
      </c>
      <c r="N537" s="211">
        <f>'ubi kayu'!J105</f>
        <v>0</v>
      </c>
      <c r="O537" s="212">
        <f>'ubi kayu'!K105</f>
        <v>0</v>
      </c>
      <c r="P537" s="210">
        <f t="shared" si="175"/>
        <v>0</v>
      </c>
      <c r="Q537" s="213" t="e">
        <f t="shared" si="174"/>
        <v>#DIV/0!</v>
      </c>
    </row>
    <row r="538" spans="1:17" x14ac:dyDescent="0.25">
      <c r="A538" s="85">
        <v>4</v>
      </c>
      <c r="B538" s="15" t="s">
        <v>21</v>
      </c>
      <c r="C538" s="209">
        <v>0</v>
      </c>
      <c r="D538" s="209">
        <v>150.25</v>
      </c>
      <c r="E538" s="209">
        <v>187</v>
      </c>
      <c r="F538" s="209">
        <f>'ubi kayu'!C106</f>
        <v>0</v>
      </c>
      <c r="G538" s="209">
        <f>'ubi kayu'!D106</f>
        <v>0</v>
      </c>
      <c r="H538" s="209">
        <f>'ubi kayu'!E106</f>
        <v>0</v>
      </c>
      <c r="I538" s="210">
        <f t="shared" si="173"/>
        <v>520</v>
      </c>
      <c r="J538" s="228">
        <f>'ubi kayu'!F106</f>
        <v>0</v>
      </c>
      <c r="K538" s="211">
        <f>'ubi kayu'!G106</f>
        <v>0</v>
      </c>
      <c r="L538" s="211">
        <f>'ubi kayu'!H106</f>
        <v>0</v>
      </c>
      <c r="M538" s="211">
        <f>'ubi kayu'!I106</f>
        <v>0</v>
      </c>
      <c r="N538" s="211">
        <f>'ubi kayu'!J106</f>
        <v>0</v>
      </c>
      <c r="O538" s="212">
        <f>'ubi kayu'!K106</f>
        <v>0</v>
      </c>
      <c r="P538" s="210">
        <f t="shared" si="175"/>
        <v>0</v>
      </c>
      <c r="Q538" s="213">
        <f t="shared" si="174"/>
        <v>520</v>
      </c>
    </row>
    <row r="539" spans="1:17" x14ac:dyDescent="0.25">
      <c r="A539" s="85">
        <v>5</v>
      </c>
      <c r="B539" s="19" t="s">
        <v>22</v>
      </c>
      <c r="C539" s="209">
        <v>0</v>
      </c>
      <c r="D539" s="209">
        <v>0</v>
      </c>
      <c r="E539" s="209">
        <v>0</v>
      </c>
      <c r="F539" s="209">
        <f>'ubi kayu'!C107</f>
        <v>0</v>
      </c>
      <c r="G539" s="209">
        <f>'ubi kayu'!D107</f>
        <v>0</v>
      </c>
      <c r="H539" s="209">
        <f>'ubi kayu'!E107</f>
        <v>0</v>
      </c>
      <c r="I539" s="210">
        <f t="shared" si="173"/>
        <v>0</v>
      </c>
      <c r="J539" s="228">
        <f>'ubi kayu'!F107</f>
        <v>0</v>
      </c>
      <c r="K539" s="211">
        <f>'ubi kayu'!G107</f>
        <v>0</v>
      </c>
      <c r="L539" s="211">
        <f>'ubi kayu'!H107</f>
        <v>150.21</v>
      </c>
      <c r="M539" s="211">
        <f>'ubi kayu'!I107</f>
        <v>150.21</v>
      </c>
      <c r="N539" s="211">
        <f>'ubi kayu'!J107</f>
        <v>0</v>
      </c>
      <c r="O539" s="212">
        <f>'ubi kayu'!K107</f>
        <v>0</v>
      </c>
      <c r="P539" s="210">
        <f t="shared" si="175"/>
        <v>300.42</v>
      </c>
      <c r="Q539" s="213">
        <f t="shared" si="174"/>
        <v>112.5</v>
      </c>
    </row>
    <row r="540" spans="1:17" x14ac:dyDescent="0.25">
      <c r="A540" s="85">
        <v>6</v>
      </c>
      <c r="B540" s="19" t="s">
        <v>23</v>
      </c>
      <c r="C540" s="209">
        <v>0</v>
      </c>
      <c r="D540" s="209">
        <v>150.01</v>
      </c>
      <c r="E540" s="209">
        <v>0</v>
      </c>
      <c r="F540" s="209">
        <f>'ubi kayu'!C108</f>
        <v>0</v>
      </c>
      <c r="G540" s="209">
        <f>'ubi kayu'!D108</f>
        <v>0</v>
      </c>
      <c r="H540" s="209">
        <f>'ubi kayu'!E108</f>
        <v>0</v>
      </c>
      <c r="I540" s="210">
        <f t="shared" si="173"/>
        <v>300</v>
      </c>
      <c r="J540" s="228">
        <f>'ubi kayu'!F108</f>
        <v>0</v>
      </c>
      <c r="K540" s="211">
        <f>'ubi kayu'!G108</f>
        <v>100.15</v>
      </c>
      <c r="L540" s="211">
        <f>'ubi kayu'!H108</f>
        <v>0</v>
      </c>
      <c r="M540" s="211">
        <f>'ubi kayu'!I108</f>
        <v>0</v>
      </c>
      <c r="N540" s="211">
        <f>'ubi kayu'!J108</f>
        <v>0</v>
      </c>
      <c r="O540" s="212">
        <f>'ubi kayu'!K108</f>
        <v>0</v>
      </c>
      <c r="P540" s="210">
        <f t="shared" si="175"/>
        <v>100.15</v>
      </c>
      <c r="Q540" s="213">
        <f t="shared" si="174"/>
        <v>233.33333333333331</v>
      </c>
    </row>
    <row r="541" spans="1:17" x14ac:dyDescent="0.25">
      <c r="A541" s="85">
        <v>7</v>
      </c>
      <c r="B541" s="19" t="s">
        <v>24</v>
      </c>
      <c r="C541" s="209">
        <v>0</v>
      </c>
      <c r="D541" s="209">
        <v>0</v>
      </c>
      <c r="E541" s="209">
        <v>0</v>
      </c>
      <c r="F541" s="209">
        <f>'ubi kayu'!C109</f>
        <v>0</v>
      </c>
      <c r="G541" s="209">
        <f>'ubi kayu'!D109</f>
        <v>0</v>
      </c>
      <c r="H541" s="209">
        <f>'ubi kayu'!E109</f>
        <v>0</v>
      </c>
      <c r="I541" s="210">
        <v>0</v>
      </c>
      <c r="J541" s="228">
        <f>'ubi kayu'!F109</f>
        <v>0</v>
      </c>
      <c r="K541" s="211">
        <f>'ubi kayu'!G109</f>
        <v>0</v>
      </c>
      <c r="L541" s="211">
        <f>'ubi kayu'!H109</f>
        <v>0</v>
      </c>
      <c r="M541" s="211">
        <f>'ubi kayu'!I109</f>
        <v>0</v>
      </c>
      <c r="N541" s="211">
        <f>'ubi kayu'!J109</f>
        <v>0</v>
      </c>
      <c r="O541" s="212">
        <f>'ubi kayu'!K109</f>
        <v>0</v>
      </c>
      <c r="P541" s="210">
        <f t="shared" si="175"/>
        <v>0</v>
      </c>
      <c r="Q541" s="213" t="e">
        <f t="shared" si="174"/>
        <v>#DIV/0!</v>
      </c>
    </row>
    <row r="542" spans="1:17" ht="15.75" thickBot="1" x14ac:dyDescent="0.3">
      <c r="A542" s="86">
        <v>8</v>
      </c>
      <c r="B542" s="15" t="s">
        <v>25</v>
      </c>
      <c r="C542" s="214">
        <v>0</v>
      </c>
      <c r="D542" s="214">
        <v>0</v>
      </c>
      <c r="E542" s="214">
        <v>157.5</v>
      </c>
      <c r="F542" s="214">
        <f>'ubi kayu'!C110</f>
        <v>0</v>
      </c>
      <c r="G542" s="214">
        <f>'ubi kayu'!D110</f>
        <v>0</v>
      </c>
      <c r="H542" s="214">
        <f>'ubi kayu'!E110</f>
        <v>0</v>
      </c>
      <c r="I542" s="219">
        <f>I398/I254*10</f>
        <v>310</v>
      </c>
      <c r="J542" s="226">
        <f>'ubi kayu'!F110</f>
        <v>110.12</v>
      </c>
      <c r="K542" s="226">
        <f>'ubi kayu'!G110</f>
        <v>0</v>
      </c>
      <c r="L542" s="226">
        <f>'ubi kayu'!H110</f>
        <v>120.22</v>
      </c>
      <c r="M542" s="226">
        <f>'ubi kayu'!I110</f>
        <v>150.25</v>
      </c>
      <c r="N542" s="226">
        <f>'ubi kayu'!J110</f>
        <v>150.11000000000001</v>
      </c>
      <c r="O542" s="226">
        <f>'ubi kayu'!K110</f>
        <v>0</v>
      </c>
      <c r="P542" s="215">
        <f>SUM(J542:O542)</f>
        <v>530.70000000000005</v>
      </c>
      <c r="Q542" s="220">
        <f t="shared" si="174"/>
        <v>157.14285714285714</v>
      </c>
    </row>
    <row r="543" spans="1:17" ht="16.5" thickTop="1" thickBot="1" x14ac:dyDescent="0.3">
      <c r="A543" s="339" t="s">
        <v>26</v>
      </c>
      <c r="B543" s="340"/>
      <c r="C543" s="216">
        <f t="shared" ref="C543:H543" si="176">C399/C255*10</f>
        <v>450</v>
      </c>
      <c r="D543" s="216">
        <f t="shared" si="176"/>
        <v>750</v>
      </c>
      <c r="E543" s="216">
        <f t="shared" si="176"/>
        <v>170</v>
      </c>
      <c r="F543" s="216">
        <f t="shared" si="176"/>
        <v>128</v>
      </c>
      <c r="G543" s="216" t="e">
        <f t="shared" si="176"/>
        <v>#DIV/0!</v>
      </c>
      <c r="H543" s="217" t="e">
        <f t="shared" si="176"/>
        <v>#DIV/0!</v>
      </c>
      <c r="I543" s="218">
        <f>I399/I255*10</f>
        <v>267</v>
      </c>
      <c r="J543" s="221">
        <f t="shared" ref="J543:P543" si="177">J399/J255*10</f>
        <v>110</v>
      </c>
      <c r="K543" s="216">
        <f t="shared" si="177"/>
        <v>101.33333333333333</v>
      </c>
      <c r="L543" s="216">
        <f t="shared" si="177"/>
        <v>140</v>
      </c>
      <c r="M543" s="216">
        <f t="shared" si="177"/>
        <v>150</v>
      </c>
      <c r="N543" s="216">
        <f t="shared" si="177"/>
        <v>145</v>
      </c>
      <c r="O543" s="217">
        <f t="shared" si="177"/>
        <v>120</v>
      </c>
      <c r="P543" s="218">
        <f t="shared" si="177"/>
        <v>129.60000000000002</v>
      </c>
      <c r="Q543" s="222">
        <f t="shared" si="174"/>
        <v>177.39130434782609</v>
      </c>
    </row>
    <row r="545" spans="1:17" ht="15.75" x14ac:dyDescent="0.25">
      <c r="A545" s="341" t="s">
        <v>136</v>
      </c>
      <c r="B545" s="341"/>
      <c r="C545" s="341"/>
      <c r="D545" s="341"/>
      <c r="E545" s="341"/>
      <c r="F545" s="341"/>
      <c r="G545" s="341"/>
      <c r="H545" s="341"/>
      <c r="I545" s="341"/>
      <c r="J545" s="341"/>
      <c r="K545" s="341"/>
      <c r="L545" s="341"/>
      <c r="M545" s="341"/>
      <c r="N545" s="341"/>
      <c r="O545" s="341"/>
      <c r="P545" s="341"/>
      <c r="Q545" s="341"/>
    </row>
    <row r="546" spans="1:17" ht="15.75" x14ac:dyDescent="0.25">
      <c r="A546" s="341" t="s">
        <v>81</v>
      </c>
      <c r="B546" s="341"/>
      <c r="C546" s="341"/>
      <c r="D546" s="341"/>
      <c r="E546" s="341"/>
      <c r="F546" s="341"/>
      <c r="G546" s="341"/>
      <c r="H546" s="341"/>
      <c r="I546" s="341"/>
      <c r="J546" s="341"/>
      <c r="K546" s="341"/>
      <c r="L546" s="341"/>
      <c r="M546" s="341"/>
      <c r="N546" s="341"/>
      <c r="O546" s="341"/>
      <c r="P546" s="341"/>
      <c r="Q546" s="341"/>
    </row>
    <row r="547" spans="1:17" ht="15.75" thickBot="1" x14ac:dyDescent="0.3">
      <c r="Q547" s="75" t="s">
        <v>31</v>
      </c>
    </row>
    <row r="548" spans="1:17" x14ac:dyDescent="0.25">
      <c r="A548" s="334" t="s">
        <v>2</v>
      </c>
      <c r="B548" s="336" t="s">
        <v>3</v>
      </c>
      <c r="C548" s="342" t="s">
        <v>138</v>
      </c>
      <c r="D548" s="343"/>
      <c r="E548" s="343"/>
      <c r="F548" s="343"/>
      <c r="G548" s="343"/>
      <c r="H548" s="343"/>
      <c r="I548" s="345" t="s">
        <v>82</v>
      </c>
      <c r="J548" s="343">
        <v>2019</v>
      </c>
      <c r="K548" s="343"/>
      <c r="L548" s="343"/>
      <c r="M548" s="343"/>
      <c r="N548" s="343"/>
      <c r="O548" s="343"/>
      <c r="P548" s="345" t="s">
        <v>83</v>
      </c>
      <c r="Q548" s="348" t="s">
        <v>5</v>
      </c>
    </row>
    <row r="549" spans="1:17" x14ac:dyDescent="0.25">
      <c r="A549" s="335"/>
      <c r="B549" s="324"/>
      <c r="C549" s="296" t="s">
        <v>15</v>
      </c>
      <c r="D549" s="296" t="s">
        <v>16</v>
      </c>
      <c r="E549" s="296" t="s">
        <v>17</v>
      </c>
      <c r="F549" s="296" t="s">
        <v>6</v>
      </c>
      <c r="G549" s="296" t="s">
        <v>76</v>
      </c>
      <c r="H549" s="119" t="s">
        <v>77</v>
      </c>
      <c r="I549" s="346"/>
      <c r="J549" s="109" t="s">
        <v>78</v>
      </c>
      <c r="K549" s="296" t="s">
        <v>10</v>
      </c>
      <c r="L549" s="296" t="s">
        <v>11</v>
      </c>
      <c r="M549" s="296" t="s">
        <v>12</v>
      </c>
      <c r="N549" s="296" t="s">
        <v>79</v>
      </c>
      <c r="O549" s="119" t="s">
        <v>80</v>
      </c>
      <c r="P549" s="346"/>
      <c r="Q549" s="349"/>
    </row>
    <row r="550" spans="1:17" ht="15.75" thickBot="1" x14ac:dyDescent="0.3">
      <c r="A550" s="111">
        <v>1</v>
      </c>
      <c r="B550" s="5">
        <v>2</v>
      </c>
      <c r="C550" s="5">
        <v>3</v>
      </c>
      <c r="D550" s="5">
        <v>4</v>
      </c>
      <c r="E550" s="5">
        <v>5</v>
      </c>
      <c r="F550" s="5">
        <v>6</v>
      </c>
      <c r="G550" s="5">
        <v>7</v>
      </c>
      <c r="H550" s="120">
        <v>8</v>
      </c>
      <c r="I550" s="122">
        <v>9</v>
      </c>
      <c r="J550" s="110">
        <v>10</v>
      </c>
      <c r="K550" s="5">
        <v>11</v>
      </c>
      <c r="L550" s="5">
        <v>12</v>
      </c>
      <c r="M550" s="5">
        <v>13</v>
      </c>
      <c r="N550" s="5">
        <v>14</v>
      </c>
      <c r="O550" s="120">
        <v>15</v>
      </c>
      <c r="P550" s="122">
        <v>16</v>
      </c>
      <c r="Q550" s="131">
        <v>17</v>
      </c>
    </row>
    <row r="551" spans="1:17" ht="15.75" thickTop="1" x14ac:dyDescent="0.25">
      <c r="A551" s="83">
        <v>1</v>
      </c>
      <c r="B551" s="7" t="s">
        <v>18</v>
      </c>
      <c r="C551" s="205">
        <v>0</v>
      </c>
      <c r="D551" s="205">
        <v>0</v>
      </c>
      <c r="E551" s="205">
        <v>0</v>
      </c>
      <c r="F551" s="205">
        <f>'ubi jalar'!C108</f>
        <v>0</v>
      </c>
      <c r="G551" s="205">
        <f>'ubi jalar'!D108</f>
        <v>0</v>
      </c>
      <c r="H551" s="205">
        <f>'ubi jalar'!E108</f>
        <v>0</v>
      </c>
      <c r="I551" s="206" t="e">
        <f>I407/I263*10</f>
        <v>#DIV/0!</v>
      </c>
      <c r="J551" s="207">
        <f>'ubi jalar'!F108</f>
        <v>0</v>
      </c>
      <c r="K551" s="207">
        <f>'ubi jalar'!G108</f>
        <v>96.33</v>
      </c>
      <c r="L551" s="207">
        <f>'ubi jalar'!H108</f>
        <v>0</v>
      </c>
      <c r="M551" s="207">
        <f>'ubi jalar'!I108</f>
        <v>0</v>
      </c>
      <c r="N551" s="207">
        <f>'ubi jalar'!J108</f>
        <v>100.15</v>
      </c>
      <c r="O551" s="207">
        <f>'ubi jalar'!K108</f>
        <v>0</v>
      </c>
      <c r="P551" s="206">
        <f>SUM(J551:O551)</f>
        <v>196.48000000000002</v>
      </c>
      <c r="Q551" s="208">
        <f t="shared" ref="Q551:Q559" si="178">Q407/Q263*10</f>
        <v>96.7</v>
      </c>
    </row>
    <row r="552" spans="1:17" x14ac:dyDescent="0.25">
      <c r="A552" s="84">
        <v>2</v>
      </c>
      <c r="B552" s="12" t="s">
        <v>19</v>
      </c>
      <c r="C552" s="209">
        <v>90.31</v>
      </c>
      <c r="D552" s="209">
        <v>0</v>
      </c>
      <c r="E552" s="209">
        <v>0</v>
      </c>
      <c r="F552" s="209">
        <f>'ubi jalar'!C109</f>
        <v>0</v>
      </c>
      <c r="G552" s="209">
        <f>'ubi jalar'!D109</f>
        <v>0</v>
      </c>
      <c r="H552" s="209">
        <f>'ubi jalar'!E109</f>
        <v>102.2</v>
      </c>
      <c r="I552" s="210">
        <f>I408/I264*10</f>
        <v>96</v>
      </c>
      <c r="J552" s="228">
        <f>'ubi jalar'!F109</f>
        <v>104</v>
      </c>
      <c r="K552" s="211">
        <f>'ubi jalar'!G109</f>
        <v>0</v>
      </c>
      <c r="L552" s="211">
        <f>'ubi jalar'!H109</f>
        <v>0</v>
      </c>
      <c r="M552" s="211">
        <f>'ubi jalar'!I109</f>
        <v>0</v>
      </c>
      <c r="N552" s="211">
        <f>'ubi jalar'!J109</f>
        <v>101.41</v>
      </c>
      <c r="O552" s="212">
        <f>'ubi jalar'!K109</f>
        <v>102.11</v>
      </c>
      <c r="P552" s="210">
        <f t="shared" ref="P552:P557" si="179">SUM(J552:O552)</f>
        <v>307.52</v>
      </c>
      <c r="Q552" s="213">
        <f t="shared" si="178"/>
        <v>99.800000000000011</v>
      </c>
    </row>
    <row r="553" spans="1:17" x14ac:dyDescent="0.25">
      <c r="A553" s="84">
        <v>3</v>
      </c>
      <c r="B553" s="7" t="s">
        <v>20</v>
      </c>
      <c r="C553" s="209">
        <v>0</v>
      </c>
      <c r="D553" s="209">
        <v>0</v>
      </c>
      <c r="E553" s="209">
        <v>0</v>
      </c>
      <c r="F553" s="209">
        <f>'ubi jalar'!C110</f>
        <v>0</v>
      </c>
      <c r="G553" s="209">
        <f>'ubi jalar'!D110</f>
        <v>0</v>
      </c>
      <c r="H553" s="209">
        <f>'ubi jalar'!E110</f>
        <v>0</v>
      </c>
      <c r="I553" s="210">
        <v>0</v>
      </c>
      <c r="J553" s="228">
        <f>'ubi jalar'!F110</f>
        <v>0</v>
      </c>
      <c r="K553" s="211">
        <f>'ubi jalar'!G110</f>
        <v>0</v>
      </c>
      <c r="L553" s="211">
        <f>'ubi jalar'!H110</f>
        <v>0</v>
      </c>
      <c r="M553" s="211">
        <f>'ubi jalar'!I110</f>
        <v>0</v>
      </c>
      <c r="N553" s="211">
        <f>'ubi jalar'!J110</f>
        <v>0</v>
      </c>
      <c r="O553" s="212">
        <f>'ubi jalar'!K110</f>
        <v>0</v>
      </c>
      <c r="P553" s="210">
        <f t="shared" si="179"/>
        <v>0</v>
      </c>
      <c r="Q553" s="213" t="e">
        <f t="shared" si="178"/>
        <v>#DIV/0!</v>
      </c>
    </row>
    <row r="554" spans="1:17" x14ac:dyDescent="0.25">
      <c r="A554" s="85">
        <v>4</v>
      </c>
      <c r="B554" s="15" t="s">
        <v>21</v>
      </c>
      <c r="C554" s="209">
        <v>150</v>
      </c>
      <c r="D554" s="209">
        <v>0</v>
      </c>
      <c r="E554" s="209">
        <v>125.25</v>
      </c>
      <c r="F554" s="209">
        <f>'ubi jalar'!C111</f>
        <v>0</v>
      </c>
      <c r="G554" s="209">
        <f>'ubi jalar'!D111</f>
        <v>0</v>
      </c>
      <c r="H554" s="209">
        <f>'ubi jalar'!E111</f>
        <v>0</v>
      </c>
      <c r="I554" s="210" t="e">
        <f>I410/I266*10</f>
        <v>#DIV/0!</v>
      </c>
      <c r="J554" s="228">
        <f>'ubi jalar'!F111</f>
        <v>0</v>
      </c>
      <c r="K554" s="211">
        <f>'ubi jalar'!G111</f>
        <v>0</v>
      </c>
      <c r="L554" s="211">
        <f>'ubi jalar'!H111</f>
        <v>0</v>
      </c>
      <c r="M554" s="211">
        <f>'ubi jalar'!I111</f>
        <v>0</v>
      </c>
      <c r="N554" s="211">
        <f>'ubi jalar'!J111</f>
        <v>0</v>
      </c>
      <c r="O554" s="212">
        <f>'ubi jalar'!K111</f>
        <v>0</v>
      </c>
      <c r="P554" s="210">
        <f t="shared" si="179"/>
        <v>0</v>
      </c>
      <c r="Q554" s="213" t="e">
        <f t="shared" si="178"/>
        <v>#DIV/0!</v>
      </c>
    </row>
    <row r="555" spans="1:17" x14ac:dyDescent="0.25">
      <c r="A555" s="85">
        <v>5</v>
      </c>
      <c r="B555" s="19" t="s">
        <v>22</v>
      </c>
      <c r="C555" s="209">
        <v>101.26</v>
      </c>
      <c r="D555" s="209">
        <v>0</v>
      </c>
      <c r="E555" s="209">
        <v>0</v>
      </c>
      <c r="F555" s="209">
        <f>'ubi jalar'!C112</f>
        <v>0</v>
      </c>
      <c r="G555" s="209">
        <f>'ubi jalar'!D112</f>
        <v>0</v>
      </c>
      <c r="H555" s="209">
        <f>'ubi jalar'!E112</f>
        <v>0</v>
      </c>
      <c r="I555" s="210">
        <f>I411/I267*10</f>
        <v>33.333333333333336</v>
      </c>
      <c r="J555" s="228">
        <f>'ubi jalar'!F112</f>
        <v>0</v>
      </c>
      <c r="K555" s="211">
        <f>'ubi jalar'!G112</f>
        <v>0</v>
      </c>
      <c r="L555" s="211">
        <f>'ubi jalar'!H112</f>
        <v>0</v>
      </c>
      <c r="M555" s="211">
        <f>'ubi jalar'!I112</f>
        <v>0</v>
      </c>
      <c r="N555" s="211">
        <f>'ubi jalar'!J112</f>
        <v>0</v>
      </c>
      <c r="O555" s="212">
        <f>'ubi jalar'!K112</f>
        <v>0</v>
      </c>
      <c r="P555" s="210">
        <f t="shared" si="179"/>
        <v>0</v>
      </c>
      <c r="Q555" s="213">
        <f t="shared" si="178"/>
        <v>33.333333333333336</v>
      </c>
    </row>
    <row r="556" spans="1:17" x14ac:dyDescent="0.25">
      <c r="A556" s="85">
        <v>6</v>
      </c>
      <c r="B556" s="19" t="s">
        <v>23</v>
      </c>
      <c r="C556" s="209">
        <v>0</v>
      </c>
      <c r="D556" s="209">
        <v>0</v>
      </c>
      <c r="E556" s="209">
        <v>0</v>
      </c>
      <c r="F556" s="209">
        <f>'ubi jalar'!C113</f>
        <v>0</v>
      </c>
      <c r="G556" s="209">
        <f>'ubi jalar'!D113</f>
        <v>91.05</v>
      </c>
      <c r="H556" s="209">
        <f>'ubi jalar'!E113</f>
        <v>0</v>
      </c>
      <c r="I556" s="210">
        <v>0</v>
      </c>
      <c r="J556" s="228">
        <f>'ubi jalar'!F113</f>
        <v>0</v>
      </c>
      <c r="K556" s="211">
        <f>'ubi jalar'!G113</f>
        <v>95.21</v>
      </c>
      <c r="L556" s="211">
        <f>'ubi jalar'!H113</f>
        <v>0</v>
      </c>
      <c r="M556" s="211">
        <f>'ubi jalar'!I113</f>
        <v>0</v>
      </c>
      <c r="N556" s="211">
        <f>'ubi jalar'!J113</f>
        <v>0</v>
      </c>
      <c r="O556" s="212">
        <f>'ubi jalar'!K113</f>
        <v>0</v>
      </c>
      <c r="P556" s="210">
        <f t="shared" si="179"/>
        <v>95.21</v>
      </c>
      <c r="Q556" s="213">
        <f t="shared" si="178"/>
        <v>46.5</v>
      </c>
    </row>
    <row r="557" spans="1:17" x14ac:dyDescent="0.25">
      <c r="A557" s="85">
        <v>7</v>
      </c>
      <c r="B557" s="19" t="s">
        <v>24</v>
      </c>
      <c r="C557" s="209">
        <v>0</v>
      </c>
      <c r="D557" s="209">
        <v>0</v>
      </c>
      <c r="E557" s="209">
        <v>0</v>
      </c>
      <c r="F557" s="209">
        <f>'ubi jalar'!C114</f>
        <v>0</v>
      </c>
      <c r="G557" s="209">
        <f>'ubi jalar'!D114</f>
        <v>0</v>
      </c>
      <c r="H557" s="209">
        <f>'ubi jalar'!E114</f>
        <v>0</v>
      </c>
      <c r="I557" s="210">
        <v>0</v>
      </c>
      <c r="J557" s="228">
        <f>'ubi jalar'!F114</f>
        <v>0</v>
      </c>
      <c r="K557" s="211">
        <f>'ubi jalar'!G114</f>
        <v>0</v>
      </c>
      <c r="L557" s="211">
        <f>'ubi jalar'!H114</f>
        <v>0</v>
      </c>
      <c r="M557" s="211">
        <f>'ubi jalar'!I114</f>
        <v>0</v>
      </c>
      <c r="N557" s="211">
        <f>'ubi jalar'!J114</f>
        <v>0</v>
      </c>
      <c r="O557" s="212">
        <f>'ubi jalar'!K114</f>
        <v>0</v>
      </c>
      <c r="P557" s="210">
        <f t="shared" si="179"/>
        <v>0</v>
      </c>
      <c r="Q557" s="213" t="e">
        <f t="shared" si="178"/>
        <v>#DIV/0!</v>
      </c>
    </row>
    <row r="558" spans="1:17" ht="15.75" thickBot="1" x14ac:dyDescent="0.3">
      <c r="A558" s="86">
        <v>8</v>
      </c>
      <c r="B558" s="15" t="s">
        <v>25</v>
      </c>
      <c r="C558" s="214">
        <v>80.12</v>
      </c>
      <c r="D558" s="214">
        <v>0</v>
      </c>
      <c r="E558" s="214">
        <v>0</v>
      </c>
      <c r="F558" s="214">
        <f>'ubi jalar'!C115</f>
        <v>0</v>
      </c>
      <c r="G558" s="214">
        <f>'ubi jalar'!D115</f>
        <v>0</v>
      </c>
      <c r="H558" s="214">
        <f>'ubi jalar'!E115</f>
        <v>100.3</v>
      </c>
      <c r="I558" s="219">
        <f>I414/I270*10</f>
        <v>180</v>
      </c>
      <c r="J558" s="226">
        <f>'ubi jalar'!F115</f>
        <v>0</v>
      </c>
      <c r="K558" s="226">
        <f>'ubi jalar'!G115</f>
        <v>0</v>
      </c>
      <c r="L558" s="226">
        <f>'ubi jalar'!H115</f>
        <v>0</v>
      </c>
      <c r="M558" s="226">
        <f>'ubi jalar'!I115</f>
        <v>90.81</v>
      </c>
      <c r="N558" s="226">
        <f>'ubi jalar'!J115</f>
        <v>0</v>
      </c>
      <c r="O558" s="226">
        <f>'ubi jalar'!K115</f>
        <v>0</v>
      </c>
      <c r="P558" s="215">
        <f>SUM(J558:O558)</f>
        <v>90.81</v>
      </c>
      <c r="Q558" s="220">
        <f t="shared" si="178"/>
        <v>135.5</v>
      </c>
    </row>
    <row r="559" spans="1:17" ht="16.5" thickTop="1" thickBot="1" x14ac:dyDescent="0.3">
      <c r="A559" s="339" t="s">
        <v>26</v>
      </c>
      <c r="B559" s="340"/>
      <c r="C559" s="216" t="e">
        <f>C415/C271*10</f>
        <v>#DIV/0!</v>
      </c>
      <c r="D559" s="216">
        <f t="shared" ref="D559:E559" si="180">SUM(D551:D558)</f>
        <v>0</v>
      </c>
      <c r="E559" s="216">
        <f t="shared" si="180"/>
        <v>125.25</v>
      </c>
      <c r="F559" s="216" t="e">
        <f>F415/F271*10</f>
        <v>#DIV/0!</v>
      </c>
      <c r="G559" s="216">
        <f>G415/G271*10</f>
        <v>91</v>
      </c>
      <c r="H559" s="217">
        <f>H415/H271*10</f>
        <v>101</v>
      </c>
      <c r="I559" s="218">
        <f>I415/I271*10</f>
        <v>123.66666666666667</v>
      </c>
      <c r="J559" s="221">
        <v>90.51</v>
      </c>
      <c r="K559" s="216">
        <f t="shared" ref="K559:P559" si="181">K415/K271*10</f>
        <v>96.200000000000017</v>
      </c>
      <c r="L559" s="216" t="e">
        <f t="shared" si="181"/>
        <v>#DIV/0!</v>
      </c>
      <c r="M559" s="216">
        <f t="shared" si="181"/>
        <v>91</v>
      </c>
      <c r="N559" s="216">
        <f t="shared" si="181"/>
        <v>100.5</v>
      </c>
      <c r="O559" s="217">
        <f t="shared" si="181"/>
        <v>102</v>
      </c>
      <c r="P559" s="218">
        <f t="shared" si="181"/>
        <v>97.333333333333329</v>
      </c>
      <c r="Q559" s="222">
        <f t="shared" si="178"/>
        <v>107.20833333333333</v>
      </c>
    </row>
    <row r="561" spans="1:17" ht="15.75" x14ac:dyDescent="0.25">
      <c r="A561" s="341" t="s">
        <v>137</v>
      </c>
      <c r="B561" s="341"/>
      <c r="C561" s="341"/>
      <c r="D561" s="341"/>
      <c r="E561" s="341"/>
      <c r="F561" s="341"/>
      <c r="G561" s="341"/>
      <c r="H561" s="341"/>
      <c r="I561" s="341"/>
      <c r="J561" s="341"/>
      <c r="K561" s="341"/>
      <c r="L561" s="341"/>
      <c r="M561" s="341"/>
      <c r="N561" s="341"/>
      <c r="O561" s="341"/>
      <c r="P561" s="341"/>
      <c r="Q561" s="341"/>
    </row>
    <row r="562" spans="1:17" ht="15.75" x14ac:dyDescent="0.25">
      <c r="A562" s="341" t="s">
        <v>81</v>
      </c>
      <c r="B562" s="341"/>
      <c r="C562" s="341"/>
      <c r="D562" s="341"/>
      <c r="E562" s="341"/>
      <c r="F562" s="341"/>
      <c r="G562" s="341"/>
      <c r="H562" s="341"/>
      <c r="I562" s="341"/>
      <c r="J562" s="341"/>
      <c r="K562" s="341"/>
      <c r="L562" s="341"/>
      <c r="M562" s="341"/>
      <c r="N562" s="341"/>
      <c r="O562" s="341"/>
      <c r="P562" s="341"/>
      <c r="Q562" s="341"/>
    </row>
    <row r="563" spans="1:17" ht="15.75" thickBot="1" x14ac:dyDescent="0.3">
      <c r="Q563" s="75" t="s">
        <v>31</v>
      </c>
    </row>
    <row r="564" spans="1:17" x14ac:dyDescent="0.25">
      <c r="A564" s="334" t="s">
        <v>2</v>
      </c>
      <c r="B564" s="336" t="s">
        <v>3</v>
      </c>
      <c r="C564" s="342" t="s">
        <v>138</v>
      </c>
      <c r="D564" s="343"/>
      <c r="E564" s="343"/>
      <c r="F564" s="343"/>
      <c r="G564" s="343"/>
      <c r="H564" s="343"/>
      <c r="I564" s="345" t="s">
        <v>82</v>
      </c>
      <c r="J564" s="343">
        <v>2019</v>
      </c>
      <c r="K564" s="343"/>
      <c r="L564" s="343"/>
      <c r="M564" s="343"/>
      <c r="N564" s="343"/>
      <c r="O564" s="343"/>
      <c r="P564" s="345" t="s">
        <v>83</v>
      </c>
      <c r="Q564" s="348" t="s">
        <v>5</v>
      </c>
    </row>
    <row r="565" spans="1:17" x14ac:dyDescent="0.25">
      <c r="A565" s="335"/>
      <c r="B565" s="324"/>
      <c r="C565" s="296" t="s">
        <v>15</v>
      </c>
      <c r="D565" s="296" t="s">
        <v>16</v>
      </c>
      <c r="E565" s="296" t="s">
        <v>17</v>
      </c>
      <c r="F565" s="296" t="s">
        <v>6</v>
      </c>
      <c r="G565" s="296" t="s">
        <v>76</v>
      </c>
      <c r="H565" s="119" t="s">
        <v>77</v>
      </c>
      <c r="I565" s="346"/>
      <c r="J565" s="109" t="s">
        <v>78</v>
      </c>
      <c r="K565" s="296" t="s">
        <v>10</v>
      </c>
      <c r="L565" s="296" t="s">
        <v>11</v>
      </c>
      <c r="M565" s="296" t="s">
        <v>12</v>
      </c>
      <c r="N565" s="296" t="s">
        <v>79</v>
      </c>
      <c r="O565" s="119" t="s">
        <v>80</v>
      </c>
      <c r="P565" s="346"/>
      <c r="Q565" s="349"/>
    </row>
    <row r="566" spans="1:17" ht="15.75" thickBot="1" x14ac:dyDescent="0.3">
      <c r="A566" s="111">
        <v>1</v>
      </c>
      <c r="B566" s="5">
        <v>2</v>
      </c>
      <c r="C566" s="5">
        <v>3</v>
      </c>
      <c r="D566" s="5">
        <v>4</v>
      </c>
      <c r="E566" s="5">
        <v>5</v>
      </c>
      <c r="F566" s="5">
        <v>6</v>
      </c>
      <c r="G566" s="5">
        <v>7</v>
      </c>
      <c r="H566" s="120">
        <v>8</v>
      </c>
      <c r="I566" s="122">
        <v>9</v>
      </c>
      <c r="J566" s="110">
        <v>10</v>
      </c>
      <c r="K566" s="5">
        <v>11</v>
      </c>
      <c r="L566" s="5">
        <v>12</v>
      </c>
      <c r="M566" s="5">
        <v>13</v>
      </c>
      <c r="N566" s="5">
        <v>14</v>
      </c>
      <c r="O566" s="120">
        <v>15</v>
      </c>
      <c r="P566" s="122">
        <v>16</v>
      </c>
      <c r="Q566" s="131">
        <v>17</v>
      </c>
    </row>
    <row r="567" spans="1:17" ht="15.75" thickTop="1" x14ac:dyDescent="0.25">
      <c r="A567" s="83">
        <v>1</v>
      </c>
      <c r="B567" s="7" t="s">
        <v>18</v>
      </c>
      <c r="C567" s="179">
        <v>0</v>
      </c>
      <c r="D567" s="179">
        <v>0</v>
      </c>
      <c r="E567" s="179">
        <v>0</v>
      </c>
      <c r="F567" s="179">
        <f>'kc ijo'!C108</f>
        <v>0</v>
      </c>
      <c r="G567" s="179">
        <f>'kc ijo'!D108</f>
        <v>0</v>
      </c>
      <c r="H567" s="179">
        <f>'kc ijo'!E108</f>
        <v>0</v>
      </c>
      <c r="I567" s="187">
        <f>SUM(C567:H567)</f>
        <v>0</v>
      </c>
      <c r="J567" s="197">
        <f>'kc ijo'!F108</f>
        <v>8.1</v>
      </c>
      <c r="K567" s="197">
        <f>'kc ijo'!G108</f>
        <v>8.0299999999999994</v>
      </c>
      <c r="L567" s="197">
        <f>'kc ijo'!H108</f>
        <v>0</v>
      </c>
      <c r="M567" s="197">
        <f>'kc ijo'!I108</f>
        <v>0</v>
      </c>
      <c r="N567" s="197">
        <f>'kc ijo'!J108</f>
        <v>0</v>
      </c>
      <c r="O567" s="197">
        <f>'kc ijo'!K108</f>
        <v>0</v>
      </c>
      <c r="P567" s="187">
        <f>SUM(J567:O567)</f>
        <v>16.13</v>
      </c>
      <c r="Q567" s="191">
        <f>SUM(I567,P567)</f>
        <v>16.13</v>
      </c>
    </row>
    <row r="568" spans="1:17" x14ac:dyDescent="0.25">
      <c r="A568" s="84">
        <v>2</v>
      </c>
      <c r="B568" s="12" t="s">
        <v>19</v>
      </c>
      <c r="C568" s="180">
        <v>0</v>
      </c>
      <c r="D568" s="180">
        <v>0</v>
      </c>
      <c r="E568" s="180">
        <v>0</v>
      </c>
      <c r="F568" s="180">
        <f>'kc ijo'!C109</f>
        <v>0</v>
      </c>
      <c r="G568" s="180">
        <f>'kc ijo'!D109</f>
        <v>0</v>
      </c>
      <c r="H568" s="204">
        <f>'kc ijo'!E109</f>
        <v>9.1</v>
      </c>
      <c r="I568" s="196">
        <f t="shared" ref="I568:I574" si="182">SUM(C568:H568)</f>
        <v>9.1</v>
      </c>
      <c r="J568" s="227">
        <f>'kc ijo'!F109</f>
        <v>0</v>
      </c>
      <c r="K568" s="198">
        <f>'kc ijo'!G109</f>
        <v>0</v>
      </c>
      <c r="L568" s="198">
        <f>'kc ijo'!H109</f>
        <v>0</v>
      </c>
      <c r="M568" s="198">
        <f>'kc ijo'!I109</f>
        <v>0</v>
      </c>
      <c r="N568" s="198">
        <f>'kc ijo'!J109</f>
        <v>0</v>
      </c>
      <c r="O568" s="199">
        <f>'kc ijo'!K109</f>
        <v>0</v>
      </c>
      <c r="P568" s="196">
        <f t="shared" ref="P568:P573" si="183">SUM(J568:O568)</f>
        <v>0</v>
      </c>
      <c r="Q568" s="192">
        <f t="shared" ref="Q568:Q574" si="184">SUM(I568,P568)</f>
        <v>9.1</v>
      </c>
    </row>
    <row r="569" spans="1:17" x14ac:dyDescent="0.25">
      <c r="A569" s="84">
        <v>3</v>
      </c>
      <c r="B569" s="7" t="s">
        <v>20</v>
      </c>
      <c r="C569" s="180">
        <v>0</v>
      </c>
      <c r="D569" s="180">
        <v>0</v>
      </c>
      <c r="E569" s="180">
        <v>0</v>
      </c>
      <c r="F569" s="180">
        <f>'kc ijo'!C110</f>
        <v>0</v>
      </c>
      <c r="G569" s="180">
        <f>'kc ijo'!D110</f>
        <v>0</v>
      </c>
      <c r="H569" s="204">
        <f>'kc ijo'!E110</f>
        <v>0</v>
      </c>
      <c r="I569" s="196">
        <f t="shared" si="182"/>
        <v>0</v>
      </c>
      <c r="J569" s="227">
        <f>'kc ijo'!F110</f>
        <v>0</v>
      </c>
      <c r="K569" s="198">
        <f>'kc ijo'!G110</f>
        <v>0</v>
      </c>
      <c r="L569" s="198">
        <f>'kc ijo'!H110</f>
        <v>0</v>
      </c>
      <c r="M569" s="198">
        <f>'kc ijo'!I110</f>
        <v>0</v>
      </c>
      <c r="N569" s="198">
        <f>'kc ijo'!J110</f>
        <v>0</v>
      </c>
      <c r="O569" s="199">
        <f>'kc ijo'!K110</f>
        <v>0</v>
      </c>
      <c r="P569" s="196">
        <f t="shared" si="183"/>
        <v>0</v>
      </c>
      <c r="Q569" s="192">
        <f t="shared" si="184"/>
        <v>0</v>
      </c>
    </row>
    <row r="570" spans="1:17" x14ac:dyDescent="0.25">
      <c r="A570" s="85">
        <v>4</v>
      </c>
      <c r="B570" s="15" t="s">
        <v>21</v>
      </c>
      <c r="C570" s="180">
        <v>0</v>
      </c>
      <c r="D570" s="180">
        <v>0</v>
      </c>
      <c r="E570" s="180">
        <v>6</v>
      </c>
      <c r="F570" s="180">
        <f>'kc ijo'!C111</f>
        <v>0</v>
      </c>
      <c r="G570" s="180">
        <f>'kc ijo'!D111</f>
        <v>0</v>
      </c>
      <c r="H570" s="204">
        <f>'kc ijo'!E111</f>
        <v>9.02</v>
      </c>
      <c r="I570" s="196">
        <f t="shared" si="182"/>
        <v>15.02</v>
      </c>
      <c r="J570" s="227">
        <f>'kc ijo'!F111</f>
        <v>0</v>
      </c>
      <c r="K570" s="198">
        <f>'kc ijo'!G111</f>
        <v>0</v>
      </c>
      <c r="L570" s="198">
        <f>'kc ijo'!H111</f>
        <v>8.25</v>
      </c>
      <c r="M570" s="198">
        <f>'kc ijo'!I111</f>
        <v>8.19</v>
      </c>
      <c r="N570" s="198">
        <f>'kc ijo'!J111</f>
        <v>0</v>
      </c>
      <c r="O570" s="199">
        <f>'kc ijo'!K111</f>
        <v>0</v>
      </c>
      <c r="P570" s="196">
        <f t="shared" si="183"/>
        <v>16.439999999999998</v>
      </c>
      <c r="Q570" s="192">
        <f t="shared" si="184"/>
        <v>31.459999999999997</v>
      </c>
    </row>
    <row r="571" spans="1:17" x14ac:dyDescent="0.25">
      <c r="A571" s="85">
        <v>5</v>
      </c>
      <c r="B571" s="19" t="s">
        <v>22</v>
      </c>
      <c r="C571" s="180">
        <v>0</v>
      </c>
      <c r="D571" s="180">
        <v>0</v>
      </c>
      <c r="E571" s="180">
        <v>0</v>
      </c>
      <c r="F571" s="180">
        <f>'kc ijo'!C112</f>
        <v>0</v>
      </c>
      <c r="G571" s="180">
        <f>'kc ijo'!D112</f>
        <v>0</v>
      </c>
      <c r="H571" s="204">
        <f>'kc ijo'!E112</f>
        <v>0</v>
      </c>
      <c r="I571" s="196">
        <f t="shared" si="182"/>
        <v>0</v>
      </c>
      <c r="J571" s="227">
        <f>'kc ijo'!F112</f>
        <v>0</v>
      </c>
      <c r="K571" s="198">
        <f>'kc ijo'!G112</f>
        <v>0</v>
      </c>
      <c r="L571" s="198">
        <f>'kc ijo'!H112</f>
        <v>0</v>
      </c>
      <c r="M571" s="198">
        <f>'kc ijo'!I112</f>
        <v>0</v>
      </c>
      <c r="N571" s="198">
        <f>'kc ijo'!J112</f>
        <v>0</v>
      </c>
      <c r="O571" s="199">
        <f>'kc ijo'!K112</f>
        <v>0</v>
      </c>
      <c r="P571" s="196">
        <f t="shared" si="183"/>
        <v>0</v>
      </c>
      <c r="Q571" s="192">
        <f t="shared" si="184"/>
        <v>0</v>
      </c>
    </row>
    <row r="572" spans="1:17" x14ac:dyDescent="0.25">
      <c r="A572" s="85">
        <v>6</v>
      </c>
      <c r="B572" s="19" t="s">
        <v>23</v>
      </c>
      <c r="C572" s="180">
        <v>0</v>
      </c>
      <c r="D572" s="180">
        <v>0</v>
      </c>
      <c r="E572" s="180">
        <v>0</v>
      </c>
      <c r="F572" s="180">
        <f>'kc ijo'!C113</f>
        <v>0</v>
      </c>
      <c r="G572" s="180">
        <f>'kc ijo'!D113</f>
        <v>0</v>
      </c>
      <c r="H572" s="204">
        <f>'kc ijo'!E113</f>
        <v>0</v>
      </c>
      <c r="I572" s="196">
        <f t="shared" si="182"/>
        <v>0</v>
      </c>
      <c r="J572" s="227">
        <f>'kc ijo'!F113</f>
        <v>0</v>
      </c>
      <c r="K572" s="198">
        <f>'kc ijo'!G113</f>
        <v>0</v>
      </c>
      <c r="L572" s="198">
        <f>'kc ijo'!H113</f>
        <v>0</v>
      </c>
      <c r="M572" s="198">
        <f>'kc ijo'!I113</f>
        <v>0</v>
      </c>
      <c r="N572" s="198">
        <f>'kc ijo'!J113</f>
        <v>0</v>
      </c>
      <c r="O572" s="199">
        <f>'kc ijo'!K113</f>
        <v>0</v>
      </c>
      <c r="P572" s="196">
        <f t="shared" si="183"/>
        <v>0</v>
      </c>
      <c r="Q572" s="192">
        <f t="shared" si="184"/>
        <v>0</v>
      </c>
    </row>
    <row r="573" spans="1:17" x14ac:dyDescent="0.25">
      <c r="A573" s="85">
        <v>7</v>
      </c>
      <c r="B573" s="19" t="s">
        <v>24</v>
      </c>
      <c r="C573" s="180">
        <v>0</v>
      </c>
      <c r="D573" s="180">
        <v>0</v>
      </c>
      <c r="E573" s="180">
        <v>0</v>
      </c>
      <c r="F573" s="180">
        <f>'kc ijo'!C114</f>
        <v>0</v>
      </c>
      <c r="G573" s="180">
        <f>'kc ijo'!D114</f>
        <v>0</v>
      </c>
      <c r="H573" s="204">
        <f>'kc ijo'!E114</f>
        <v>0</v>
      </c>
      <c r="I573" s="196">
        <f t="shared" si="182"/>
        <v>0</v>
      </c>
      <c r="J573" s="227">
        <f>'kc ijo'!F114</f>
        <v>0</v>
      </c>
      <c r="K573" s="198">
        <f>'kc ijo'!G114</f>
        <v>0</v>
      </c>
      <c r="L573" s="198">
        <f>'kc ijo'!H114</f>
        <v>0</v>
      </c>
      <c r="M573" s="198">
        <f>'kc ijo'!I114</f>
        <v>0</v>
      </c>
      <c r="N573" s="198">
        <f>'kc ijo'!J114</f>
        <v>0</v>
      </c>
      <c r="O573" s="199">
        <f>'kc ijo'!K114</f>
        <v>0</v>
      </c>
      <c r="P573" s="196">
        <f t="shared" si="183"/>
        <v>0</v>
      </c>
      <c r="Q573" s="192">
        <f t="shared" si="184"/>
        <v>0</v>
      </c>
    </row>
    <row r="574" spans="1:17" ht="15.75" thickBot="1" x14ac:dyDescent="0.3">
      <c r="A574" s="86">
        <v>8</v>
      </c>
      <c r="B574" s="15" t="s">
        <v>25</v>
      </c>
      <c r="C574" s="181">
        <v>3.11</v>
      </c>
      <c r="D574" s="181">
        <v>0</v>
      </c>
      <c r="E574" s="181">
        <v>0</v>
      </c>
      <c r="F574" s="181">
        <f>'kc ijo'!C115</f>
        <v>0</v>
      </c>
      <c r="G574" s="181">
        <f>'kc ijo'!D115</f>
        <v>8</v>
      </c>
      <c r="H574" s="181">
        <f>'kc ijo'!E115</f>
        <v>0</v>
      </c>
      <c r="I574" s="200">
        <f t="shared" si="182"/>
        <v>11.11</v>
      </c>
      <c r="J574" s="225">
        <f>'kc ijo'!F115</f>
        <v>0</v>
      </c>
      <c r="K574" s="225">
        <f>'kc ijo'!G115</f>
        <v>0</v>
      </c>
      <c r="L574" s="225">
        <f>'kc ijo'!H115</f>
        <v>8.11</v>
      </c>
      <c r="M574" s="225">
        <f>'kc ijo'!I115</f>
        <v>0</v>
      </c>
      <c r="N574" s="225">
        <f>'kc ijo'!J115</f>
        <v>0</v>
      </c>
      <c r="O574" s="225">
        <f>'kc ijo'!K115</f>
        <v>0</v>
      </c>
      <c r="P574" s="200">
        <f>SUM(J574:O574)</f>
        <v>8.11</v>
      </c>
      <c r="Q574" s="193">
        <f t="shared" si="184"/>
        <v>19.22</v>
      </c>
    </row>
    <row r="575" spans="1:17" ht="16.5" thickTop="1" thickBot="1" x14ac:dyDescent="0.3">
      <c r="A575" s="339" t="s">
        <v>26</v>
      </c>
      <c r="B575" s="340"/>
      <c r="C575" s="182">
        <f t="shared" ref="C575:H575" si="185">SUM(C567:C574)</f>
        <v>3.11</v>
      </c>
      <c r="D575" s="182">
        <f t="shared" si="185"/>
        <v>0</v>
      </c>
      <c r="E575" s="182">
        <f t="shared" si="185"/>
        <v>6</v>
      </c>
      <c r="F575" s="182">
        <f t="shared" si="185"/>
        <v>0</v>
      </c>
      <c r="G575" s="182">
        <f t="shared" si="185"/>
        <v>8</v>
      </c>
      <c r="H575" s="183">
        <f t="shared" si="185"/>
        <v>18.119999999999997</v>
      </c>
      <c r="I575" s="185">
        <f>I431/I287*10</f>
        <v>6.8235294117647065</v>
      </c>
      <c r="J575" s="201">
        <f t="shared" ref="J575:O575" si="186">SUM(J567:J574)</f>
        <v>8.1</v>
      </c>
      <c r="K575" s="182">
        <f t="shared" si="186"/>
        <v>8.0299999999999994</v>
      </c>
      <c r="L575" s="182">
        <f t="shared" si="186"/>
        <v>16.36</v>
      </c>
      <c r="M575" s="182">
        <f t="shared" si="186"/>
        <v>8.19</v>
      </c>
      <c r="N575" s="182">
        <f t="shared" si="186"/>
        <v>0</v>
      </c>
      <c r="O575" s="183">
        <f t="shared" si="186"/>
        <v>0</v>
      </c>
      <c r="P575" s="185">
        <f>SUM(P567:P574)</f>
        <v>40.679999999999993</v>
      </c>
      <c r="Q575" s="202">
        <f>SUM(Q567:Q574)</f>
        <v>75.91</v>
      </c>
    </row>
    <row r="579" spans="1:17" ht="15.75" x14ac:dyDescent="0.25">
      <c r="A579" s="341" t="s">
        <v>99</v>
      </c>
      <c r="B579" s="341"/>
      <c r="C579" s="341"/>
      <c r="D579" s="341"/>
      <c r="E579" s="341"/>
      <c r="F579" s="341"/>
      <c r="G579" s="341"/>
      <c r="H579" s="341"/>
      <c r="I579" s="341"/>
      <c r="J579" s="341"/>
      <c r="K579" s="341"/>
      <c r="L579" s="341"/>
      <c r="M579" s="341"/>
      <c r="N579" s="341"/>
      <c r="O579" s="341"/>
      <c r="P579" s="341"/>
      <c r="Q579" s="341"/>
    </row>
    <row r="580" spans="1:17" ht="15.75" x14ac:dyDescent="0.25">
      <c r="A580" s="341" t="s">
        <v>81</v>
      </c>
      <c r="B580" s="341"/>
      <c r="C580" s="341"/>
      <c r="D580" s="341"/>
      <c r="E580" s="341"/>
      <c r="F580" s="341"/>
      <c r="G580" s="341"/>
      <c r="H580" s="341"/>
      <c r="I580" s="341"/>
      <c r="J580" s="341"/>
      <c r="K580" s="341"/>
      <c r="L580" s="341"/>
      <c r="M580" s="341"/>
      <c r="N580" s="341"/>
      <c r="O580" s="341"/>
      <c r="P580" s="341"/>
      <c r="Q580" s="341"/>
    </row>
    <row r="581" spans="1:17" ht="15.75" thickBot="1" x14ac:dyDescent="0.3">
      <c r="Q581" s="75" t="s">
        <v>1</v>
      </c>
    </row>
    <row r="582" spans="1:17" x14ac:dyDescent="0.25">
      <c r="A582" s="334" t="s">
        <v>2</v>
      </c>
      <c r="B582" s="336" t="s">
        <v>3</v>
      </c>
      <c r="C582" s="342" t="s">
        <v>100</v>
      </c>
      <c r="D582" s="343"/>
      <c r="E582" s="343"/>
      <c r="F582" s="343"/>
      <c r="G582" s="343"/>
      <c r="H582" s="343"/>
      <c r="I582" s="345" t="s">
        <v>82</v>
      </c>
      <c r="J582" s="343">
        <v>2018</v>
      </c>
      <c r="K582" s="343"/>
      <c r="L582" s="343"/>
      <c r="M582" s="343"/>
      <c r="N582" s="343"/>
      <c r="O582" s="343"/>
      <c r="P582" s="345" t="s">
        <v>83</v>
      </c>
      <c r="Q582" s="348" t="s">
        <v>5</v>
      </c>
    </row>
    <row r="583" spans="1:17" x14ac:dyDescent="0.25">
      <c r="A583" s="335"/>
      <c r="B583" s="324"/>
      <c r="C583" s="296" t="s">
        <v>15</v>
      </c>
      <c r="D583" s="296" t="s">
        <v>16</v>
      </c>
      <c r="E583" s="296" t="s">
        <v>17</v>
      </c>
      <c r="F583" s="296" t="s">
        <v>6</v>
      </c>
      <c r="G583" s="296" t="s">
        <v>76</v>
      </c>
      <c r="H583" s="119" t="s">
        <v>77</v>
      </c>
      <c r="I583" s="346"/>
      <c r="J583" s="109" t="s">
        <v>78</v>
      </c>
      <c r="K583" s="296" t="s">
        <v>10</v>
      </c>
      <c r="L583" s="296" t="s">
        <v>11</v>
      </c>
      <c r="M583" s="296" t="s">
        <v>12</v>
      </c>
      <c r="N583" s="296" t="s">
        <v>79</v>
      </c>
      <c r="O583" s="119" t="s">
        <v>80</v>
      </c>
      <c r="P583" s="346"/>
      <c r="Q583" s="349"/>
    </row>
    <row r="584" spans="1:17" ht="15.75" thickBot="1" x14ac:dyDescent="0.3">
      <c r="A584" s="111">
        <v>1</v>
      </c>
      <c r="B584" s="5">
        <v>2</v>
      </c>
      <c r="C584" s="5">
        <v>3</v>
      </c>
      <c r="D584" s="5">
        <v>4</v>
      </c>
      <c r="E584" s="5">
        <v>5</v>
      </c>
      <c r="F584" s="5">
        <v>6</v>
      </c>
      <c r="G584" s="5">
        <v>7</v>
      </c>
      <c r="H584" s="120">
        <v>8</v>
      </c>
      <c r="I584" s="122">
        <v>9</v>
      </c>
      <c r="J584" s="110">
        <v>10</v>
      </c>
      <c r="K584" s="5">
        <v>11</v>
      </c>
      <c r="L584" s="5">
        <v>12</v>
      </c>
      <c r="M584" s="5">
        <v>13</v>
      </c>
      <c r="N584" s="5">
        <v>14</v>
      </c>
      <c r="O584" s="120">
        <v>15</v>
      </c>
      <c r="P584" s="122">
        <v>16</v>
      </c>
      <c r="Q584" s="131">
        <v>17</v>
      </c>
    </row>
    <row r="585" spans="1:17" ht="15.75" thickTop="1" x14ac:dyDescent="0.25">
      <c r="A585" s="83">
        <v>1</v>
      </c>
      <c r="B585" s="7" t="s">
        <v>18</v>
      </c>
      <c r="C585" s="136">
        <f>'padi sawah'!L9</f>
        <v>3</v>
      </c>
      <c r="D585" s="136">
        <f>'padi sawah'!M9</f>
        <v>2</v>
      </c>
      <c r="E585" s="136">
        <f>'padi sawah'!N9</f>
        <v>0</v>
      </c>
      <c r="F585" s="136">
        <f>'padi sawah'!C571</f>
        <v>0</v>
      </c>
      <c r="G585" s="136">
        <f>'padi sawah'!D571</f>
        <v>0</v>
      </c>
      <c r="H585" s="136">
        <f>'padi sawah'!E571</f>
        <v>0</v>
      </c>
      <c r="I585" s="124">
        <f>SUM(C585:H585)</f>
        <v>5</v>
      </c>
      <c r="J585" s="136">
        <f>'padi sawah'!F571</f>
        <v>0</v>
      </c>
      <c r="K585" s="136">
        <f>'padi sawah'!G571</f>
        <v>0</v>
      </c>
      <c r="L585" s="136">
        <f>'padi sawah'!H571</f>
        <v>0</v>
      </c>
      <c r="M585" s="136">
        <f>'padi sawah'!I571</f>
        <v>0</v>
      </c>
      <c r="N585" s="136">
        <f>'padi sawah'!J571</f>
        <v>0</v>
      </c>
      <c r="O585" s="136">
        <f>'padi sawah'!K571</f>
        <v>0</v>
      </c>
      <c r="P585" s="124">
        <f>SUM(J585:O585)</f>
        <v>0</v>
      </c>
      <c r="Q585" s="127">
        <f>SUM(I585,P585)</f>
        <v>5</v>
      </c>
    </row>
    <row r="586" spans="1:17" x14ac:dyDescent="0.25">
      <c r="A586" s="84">
        <v>2</v>
      </c>
      <c r="B586" s="12" t="s">
        <v>19</v>
      </c>
      <c r="C586" s="59">
        <f>'padi sawah'!L10</f>
        <v>3</v>
      </c>
      <c r="D586" s="59">
        <f>'padi sawah'!M10</f>
        <v>23</v>
      </c>
      <c r="E586" s="59">
        <f>'padi sawah'!N10</f>
        <v>63</v>
      </c>
      <c r="F586" s="59">
        <f>'padi sawah'!C572</f>
        <v>0</v>
      </c>
      <c r="G586" s="59">
        <f>'padi sawah'!D572</f>
        <v>0</v>
      </c>
      <c r="H586" s="155">
        <f>'padi sawah'!E572</f>
        <v>0</v>
      </c>
      <c r="I586" s="125">
        <f t="shared" ref="I586:I592" si="187">SUM(C586:H586)</f>
        <v>89</v>
      </c>
      <c r="J586" s="223">
        <f>'padi sawah'!F572</f>
        <v>0</v>
      </c>
      <c r="K586" s="59">
        <f>'padi sawah'!G572</f>
        <v>0</v>
      </c>
      <c r="L586" s="59">
        <f>'padi sawah'!H572</f>
        <v>0</v>
      </c>
      <c r="M586" s="59">
        <f>'padi sawah'!I572</f>
        <v>0</v>
      </c>
      <c r="N586" s="59">
        <f>'padi sawah'!J572</f>
        <v>0</v>
      </c>
      <c r="O586" s="155">
        <f>'padi sawah'!K572</f>
        <v>0</v>
      </c>
      <c r="P586" s="125">
        <f t="shared" ref="P586:P591" si="188">SUM(J586:O586)</f>
        <v>0</v>
      </c>
      <c r="Q586" s="128">
        <f t="shared" ref="Q586:Q592" si="189">SUM(I586,P586)</f>
        <v>89</v>
      </c>
    </row>
    <row r="587" spans="1:17" x14ac:dyDescent="0.25">
      <c r="A587" s="84">
        <v>3</v>
      </c>
      <c r="B587" s="7" t="s">
        <v>20</v>
      </c>
      <c r="C587" s="59">
        <f>'padi sawah'!L11</f>
        <v>0</v>
      </c>
      <c r="D587" s="59">
        <f>'padi sawah'!M11</f>
        <v>0</v>
      </c>
      <c r="E587" s="59">
        <f>'padi sawah'!N11</f>
        <v>10</v>
      </c>
      <c r="F587" s="59">
        <f>'padi sawah'!C573</f>
        <v>0</v>
      </c>
      <c r="G587" s="59">
        <f>'padi sawah'!D573</f>
        <v>0</v>
      </c>
      <c r="H587" s="155">
        <f>'padi sawah'!E573</f>
        <v>0</v>
      </c>
      <c r="I587" s="125">
        <f t="shared" si="187"/>
        <v>10</v>
      </c>
      <c r="J587" s="223">
        <f>'padi sawah'!F573</f>
        <v>0</v>
      </c>
      <c r="K587" s="59">
        <f>'padi sawah'!G573</f>
        <v>0</v>
      </c>
      <c r="L587" s="59">
        <f>'padi sawah'!H573</f>
        <v>0</v>
      </c>
      <c r="M587" s="59">
        <f>'padi sawah'!I573</f>
        <v>0</v>
      </c>
      <c r="N587" s="59">
        <f>'padi sawah'!J573</f>
        <v>0</v>
      </c>
      <c r="O587" s="155">
        <f>'padi sawah'!K573</f>
        <v>0</v>
      </c>
      <c r="P587" s="125">
        <f t="shared" si="188"/>
        <v>0</v>
      </c>
      <c r="Q587" s="128">
        <f t="shared" si="189"/>
        <v>10</v>
      </c>
    </row>
    <row r="588" spans="1:17" x14ac:dyDescent="0.25">
      <c r="A588" s="85">
        <v>4</v>
      </c>
      <c r="B588" s="15" t="s">
        <v>21</v>
      </c>
      <c r="C588" s="59">
        <f>'padi sawah'!L12</f>
        <v>2</v>
      </c>
      <c r="D588" s="59">
        <f>'padi sawah'!M12</f>
        <v>2</v>
      </c>
      <c r="E588" s="59">
        <f>'padi sawah'!N12</f>
        <v>115</v>
      </c>
      <c r="F588" s="59">
        <f>'padi sawah'!C574</f>
        <v>0</v>
      </c>
      <c r="G588" s="59">
        <f>'padi sawah'!D574</f>
        <v>0</v>
      </c>
      <c r="H588" s="155">
        <f>'padi sawah'!E574</f>
        <v>0</v>
      </c>
      <c r="I588" s="125">
        <f t="shared" si="187"/>
        <v>119</v>
      </c>
      <c r="J588" s="223">
        <f>'padi sawah'!F574</f>
        <v>0</v>
      </c>
      <c r="K588" s="59">
        <f>'padi sawah'!G574</f>
        <v>0</v>
      </c>
      <c r="L588" s="59">
        <f>'padi sawah'!H574</f>
        <v>0</v>
      </c>
      <c r="M588" s="59">
        <f>'padi sawah'!I574</f>
        <v>0</v>
      </c>
      <c r="N588" s="59">
        <f>'padi sawah'!J574</f>
        <v>0</v>
      </c>
      <c r="O588" s="155">
        <f>'padi sawah'!K574</f>
        <v>0</v>
      </c>
      <c r="P588" s="125">
        <f t="shared" si="188"/>
        <v>0</v>
      </c>
      <c r="Q588" s="128">
        <f t="shared" si="189"/>
        <v>119</v>
      </c>
    </row>
    <row r="589" spans="1:17" x14ac:dyDescent="0.25">
      <c r="A589" s="85">
        <v>5</v>
      </c>
      <c r="B589" s="19" t="s">
        <v>22</v>
      </c>
      <c r="C589" s="59">
        <f>'padi sawah'!L13</f>
        <v>2</v>
      </c>
      <c r="D589" s="59">
        <f>'padi sawah'!M13</f>
        <v>0</v>
      </c>
      <c r="E589" s="59">
        <f>'padi sawah'!N13</f>
        <v>155</v>
      </c>
      <c r="F589" s="59">
        <f>'padi sawah'!C575</f>
        <v>0</v>
      </c>
      <c r="G589" s="59">
        <f>'padi sawah'!D575</f>
        <v>0</v>
      </c>
      <c r="H589" s="155">
        <f>'padi sawah'!E575</f>
        <v>0</v>
      </c>
      <c r="I589" s="125">
        <f t="shared" si="187"/>
        <v>157</v>
      </c>
      <c r="J589" s="223">
        <f>'padi sawah'!F575</f>
        <v>0</v>
      </c>
      <c r="K589" s="59">
        <f>'padi sawah'!G575</f>
        <v>0</v>
      </c>
      <c r="L589" s="59">
        <f>'padi sawah'!H575</f>
        <v>0</v>
      </c>
      <c r="M589" s="59">
        <f>'padi sawah'!I575</f>
        <v>0</v>
      </c>
      <c r="N589" s="59">
        <f>'padi sawah'!J575</f>
        <v>0</v>
      </c>
      <c r="O589" s="155">
        <f>'padi sawah'!K575</f>
        <v>0</v>
      </c>
      <c r="P589" s="125">
        <f t="shared" si="188"/>
        <v>0</v>
      </c>
      <c r="Q589" s="128">
        <f t="shared" si="189"/>
        <v>157</v>
      </c>
    </row>
    <row r="590" spans="1:17" x14ac:dyDescent="0.25">
      <c r="A590" s="85">
        <v>6</v>
      </c>
      <c r="B590" s="19" t="s">
        <v>23</v>
      </c>
      <c r="C590" s="59">
        <f>'padi sawah'!L14</f>
        <v>0</v>
      </c>
      <c r="D590" s="59">
        <f>'padi sawah'!M14</f>
        <v>11</v>
      </c>
      <c r="E590" s="59">
        <f>'padi sawah'!N14</f>
        <v>9</v>
      </c>
      <c r="F590" s="59">
        <f>'padi sawah'!C576</f>
        <v>0</v>
      </c>
      <c r="G590" s="59">
        <f>'padi sawah'!D576</f>
        <v>0</v>
      </c>
      <c r="H590" s="155">
        <f>'padi sawah'!E576</f>
        <v>0</v>
      </c>
      <c r="I590" s="125">
        <f t="shared" si="187"/>
        <v>20</v>
      </c>
      <c r="J590" s="223">
        <f>'padi sawah'!F576</f>
        <v>0</v>
      </c>
      <c r="K590" s="59">
        <f>'padi sawah'!G576</f>
        <v>0</v>
      </c>
      <c r="L590" s="59">
        <f>'padi sawah'!H576</f>
        <v>0</v>
      </c>
      <c r="M590" s="59">
        <f>'padi sawah'!I576</f>
        <v>0</v>
      </c>
      <c r="N590" s="59">
        <f>'padi sawah'!J576</f>
        <v>0</v>
      </c>
      <c r="O590" s="155">
        <f>'padi sawah'!K576</f>
        <v>0</v>
      </c>
      <c r="P590" s="125">
        <f t="shared" si="188"/>
        <v>0</v>
      </c>
      <c r="Q590" s="128">
        <f t="shared" si="189"/>
        <v>20</v>
      </c>
    </row>
    <row r="591" spans="1:17" x14ac:dyDescent="0.25">
      <c r="A591" s="85">
        <v>7</v>
      </c>
      <c r="B591" s="19" t="s">
        <v>24</v>
      </c>
      <c r="C591" s="59">
        <f>'padi sawah'!L15</f>
        <v>0</v>
      </c>
      <c r="D591" s="59">
        <f>'padi sawah'!M15</f>
        <v>3</v>
      </c>
      <c r="E591" s="59">
        <f>'padi sawah'!N15</f>
        <v>93</v>
      </c>
      <c r="F591" s="59">
        <f>'padi sawah'!C577</f>
        <v>0</v>
      </c>
      <c r="G591" s="59">
        <f>'padi sawah'!D577</f>
        <v>0</v>
      </c>
      <c r="H591" s="155">
        <f>'padi sawah'!E577</f>
        <v>0</v>
      </c>
      <c r="I591" s="125">
        <f t="shared" si="187"/>
        <v>96</v>
      </c>
      <c r="J591" s="223">
        <f>'padi sawah'!F577</f>
        <v>0</v>
      </c>
      <c r="K591" s="59">
        <f>'padi sawah'!G577</f>
        <v>0</v>
      </c>
      <c r="L591" s="59">
        <f>'padi sawah'!H577</f>
        <v>0</v>
      </c>
      <c r="M591" s="59">
        <f>'padi sawah'!I577</f>
        <v>0</v>
      </c>
      <c r="N591" s="59">
        <f>'padi sawah'!J577</f>
        <v>0</v>
      </c>
      <c r="O591" s="155">
        <f>'padi sawah'!K577</f>
        <v>0</v>
      </c>
      <c r="P591" s="125">
        <f t="shared" si="188"/>
        <v>0</v>
      </c>
      <c r="Q591" s="128">
        <f t="shared" si="189"/>
        <v>96</v>
      </c>
    </row>
    <row r="592" spans="1:17" ht="15.75" thickBot="1" x14ac:dyDescent="0.3">
      <c r="A592" s="86">
        <v>8</v>
      </c>
      <c r="B592" s="15" t="s">
        <v>25</v>
      </c>
      <c r="C592" s="137">
        <f>'padi sawah'!L16</f>
        <v>6</v>
      </c>
      <c r="D592" s="137">
        <f>'padi sawah'!M16</f>
        <v>11</v>
      </c>
      <c r="E592" s="137">
        <f>'padi sawah'!N16</f>
        <v>142</v>
      </c>
      <c r="F592" s="137">
        <f>'padi sawah'!C578</f>
        <v>0</v>
      </c>
      <c r="G592" s="137">
        <f>'padi sawah'!D578</f>
        <v>0</v>
      </c>
      <c r="H592" s="137">
        <f>'padi sawah'!E578</f>
        <v>0</v>
      </c>
      <c r="I592" s="126">
        <f t="shared" si="187"/>
        <v>159</v>
      </c>
      <c r="J592" s="137">
        <f>'padi sawah'!F578</f>
        <v>0</v>
      </c>
      <c r="K592" s="137">
        <f>'padi sawah'!G578</f>
        <v>0</v>
      </c>
      <c r="L592" s="137">
        <f>'padi sawah'!H578</f>
        <v>0</v>
      </c>
      <c r="M592" s="137">
        <f>'padi sawah'!I578</f>
        <v>0</v>
      </c>
      <c r="N592" s="137">
        <f>'padi sawah'!J578</f>
        <v>0</v>
      </c>
      <c r="O592" s="137">
        <f>'padi sawah'!K578</f>
        <v>0</v>
      </c>
      <c r="P592" s="126">
        <f>SUM(J592:O592)</f>
        <v>0</v>
      </c>
      <c r="Q592" s="129">
        <f t="shared" si="189"/>
        <v>159</v>
      </c>
    </row>
    <row r="593" spans="1:17" ht="16.5" thickTop="1" thickBot="1" x14ac:dyDescent="0.3">
      <c r="A593" s="339" t="s">
        <v>26</v>
      </c>
      <c r="B593" s="340"/>
      <c r="C593" s="112">
        <f t="shared" ref="C593:H593" si="190">SUM(C585:C592)</f>
        <v>16</v>
      </c>
      <c r="D593" s="112">
        <f t="shared" si="190"/>
        <v>52</v>
      </c>
      <c r="E593" s="112">
        <f t="shared" si="190"/>
        <v>587</v>
      </c>
      <c r="F593" s="112">
        <f t="shared" si="190"/>
        <v>0</v>
      </c>
      <c r="G593" s="112">
        <f t="shared" si="190"/>
        <v>0</v>
      </c>
      <c r="H593" s="121">
        <f t="shared" si="190"/>
        <v>0</v>
      </c>
      <c r="I593" s="123">
        <f>SUM(I585:I592)</f>
        <v>655</v>
      </c>
      <c r="J593" s="133">
        <f t="shared" ref="J593:O593" si="191">SUM(J585:J592)</f>
        <v>0</v>
      </c>
      <c r="K593" s="112">
        <f t="shared" si="191"/>
        <v>0</v>
      </c>
      <c r="L593" s="112">
        <f t="shared" si="191"/>
        <v>0</v>
      </c>
      <c r="M593" s="112">
        <f t="shared" si="191"/>
        <v>0</v>
      </c>
      <c r="N593" s="112">
        <f t="shared" si="191"/>
        <v>0</v>
      </c>
      <c r="O593" s="121">
        <f t="shared" si="191"/>
        <v>0</v>
      </c>
      <c r="P593" s="123">
        <f>SUM(P585:P592)</f>
        <v>0</v>
      </c>
      <c r="Q593" s="130">
        <f>SUM(Q585:Q592)</f>
        <v>655</v>
      </c>
    </row>
  </sheetData>
  <mergeCells count="370">
    <mergeCell ref="A593:B593"/>
    <mergeCell ref="A575:B575"/>
    <mergeCell ref="A579:Q579"/>
    <mergeCell ref="A580:Q580"/>
    <mergeCell ref="A582:A583"/>
    <mergeCell ref="B582:B583"/>
    <mergeCell ref="C582:H582"/>
    <mergeCell ref="I582:I583"/>
    <mergeCell ref="J582:O582"/>
    <mergeCell ref="P582:P583"/>
    <mergeCell ref="Q582:Q583"/>
    <mergeCell ref="A559:B559"/>
    <mergeCell ref="A561:Q561"/>
    <mergeCell ref="A562:Q562"/>
    <mergeCell ref="A564:A565"/>
    <mergeCell ref="B564:B565"/>
    <mergeCell ref="C564:H564"/>
    <mergeCell ref="I564:I565"/>
    <mergeCell ref="J564:O564"/>
    <mergeCell ref="P564:P565"/>
    <mergeCell ref="Q564:Q565"/>
    <mergeCell ref="A543:B543"/>
    <mergeCell ref="A545:Q545"/>
    <mergeCell ref="A546:Q546"/>
    <mergeCell ref="A548:A549"/>
    <mergeCell ref="B548:B549"/>
    <mergeCell ref="C548:H548"/>
    <mergeCell ref="I548:I549"/>
    <mergeCell ref="J548:O548"/>
    <mergeCell ref="P548:P549"/>
    <mergeCell ref="Q548:Q549"/>
    <mergeCell ref="A527:B527"/>
    <mergeCell ref="A529:Q529"/>
    <mergeCell ref="A530:Q530"/>
    <mergeCell ref="A532:A533"/>
    <mergeCell ref="B532:B533"/>
    <mergeCell ref="C532:H532"/>
    <mergeCell ref="I532:I533"/>
    <mergeCell ref="J532:O532"/>
    <mergeCell ref="P532:P533"/>
    <mergeCell ref="Q532:Q533"/>
    <mergeCell ref="A511:B511"/>
    <mergeCell ref="A513:Q513"/>
    <mergeCell ref="A514:Q514"/>
    <mergeCell ref="A516:A517"/>
    <mergeCell ref="B516:B517"/>
    <mergeCell ref="C516:H516"/>
    <mergeCell ref="I516:I517"/>
    <mergeCell ref="J516:O516"/>
    <mergeCell ref="P516:P517"/>
    <mergeCell ref="Q516:Q517"/>
    <mergeCell ref="A495:B495"/>
    <mergeCell ref="A497:Q497"/>
    <mergeCell ref="A498:Q498"/>
    <mergeCell ref="A500:A501"/>
    <mergeCell ref="B500:B501"/>
    <mergeCell ref="C500:H500"/>
    <mergeCell ref="I500:I501"/>
    <mergeCell ref="J500:O500"/>
    <mergeCell ref="P500:P501"/>
    <mergeCell ref="Q500:Q501"/>
    <mergeCell ref="A479:B479"/>
    <mergeCell ref="A481:Q481"/>
    <mergeCell ref="A482:Q482"/>
    <mergeCell ref="A484:A485"/>
    <mergeCell ref="B484:B485"/>
    <mergeCell ref="C484:H484"/>
    <mergeCell ref="I484:I485"/>
    <mergeCell ref="J484:O484"/>
    <mergeCell ref="P484:P485"/>
    <mergeCell ref="Q484:Q485"/>
    <mergeCell ref="A463:B463"/>
    <mergeCell ref="A465:Q465"/>
    <mergeCell ref="A466:Q466"/>
    <mergeCell ref="A468:A469"/>
    <mergeCell ref="B468:B469"/>
    <mergeCell ref="C468:H468"/>
    <mergeCell ref="I468:I469"/>
    <mergeCell ref="J468:O468"/>
    <mergeCell ref="P468:P469"/>
    <mergeCell ref="Q468:Q469"/>
    <mergeCell ref="A447:B447"/>
    <mergeCell ref="A449:Q449"/>
    <mergeCell ref="A450:Q450"/>
    <mergeCell ref="A452:A453"/>
    <mergeCell ref="B452:B453"/>
    <mergeCell ref="C452:H452"/>
    <mergeCell ref="I452:I453"/>
    <mergeCell ref="J452:O452"/>
    <mergeCell ref="P452:P453"/>
    <mergeCell ref="Q452:Q453"/>
    <mergeCell ref="A431:B431"/>
    <mergeCell ref="A433:Q433"/>
    <mergeCell ref="A434:Q434"/>
    <mergeCell ref="A436:A437"/>
    <mergeCell ref="B436:B437"/>
    <mergeCell ref="C436:H436"/>
    <mergeCell ref="I436:I437"/>
    <mergeCell ref="J436:O436"/>
    <mergeCell ref="P436:P437"/>
    <mergeCell ref="Q436:Q437"/>
    <mergeCell ref="A415:B415"/>
    <mergeCell ref="A417:Q417"/>
    <mergeCell ref="A418:Q418"/>
    <mergeCell ref="A420:A421"/>
    <mergeCell ref="B420:B421"/>
    <mergeCell ref="C420:H420"/>
    <mergeCell ref="I420:I421"/>
    <mergeCell ref="J420:O420"/>
    <mergeCell ref="P420:P421"/>
    <mergeCell ref="Q420:Q421"/>
    <mergeCell ref="A399:B399"/>
    <mergeCell ref="A401:Q401"/>
    <mergeCell ref="A402:Q402"/>
    <mergeCell ref="A404:A405"/>
    <mergeCell ref="B404:B405"/>
    <mergeCell ref="C404:H404"/>
    <mergeCell ref="I404:I405"/>
    <mergeCell ref="J404:O404"/>
    <mergeCell ref="P404:P405"/>
    <mergeCell ref="Q404:Q405"/>
    <mergeCell ref="A383:B383"/>
    <mergeCell ref="A385:Q385"/>
    <mergeCell ref="A386:Q386"/>
    <mergeCell ref="A388:A389"/>
    <mergeCell ref="B388:B389"/>
    <mergeCell ref="C388:H388"/>
    <mergeCell ref="I388:I389"/>
    <mergeCell ref="J388:O388"/>
    <mergeCell ref="P388:P389"/>
    <mergeCell ref="Q388:Q389"/>
    <mergeCell ref="A367:B367"/>
    <mergeCell ref="A369:Q369"/>
    <mergeCell ref="A370:Q370"/>
    <mergeCell ref="A372:A373"/>
    <mergeCell ref="B372:B373"/>
    <mergeCell ref="C372:H372"/>
    <mergeCell ref="I372:I373"/>
    <mergeCell ref="J372:O372"/>
    <mergeCell ref="P372:P373"/>
    <mergeCell ref="Q372:Q373"/>
    <mergeCell ref="A351:B351"/>
    <mergeCell ref="A353:Q353"/>
    <mergeCell ref="A354:Q354"/>
    <mergeCell ref="A356:A357"/>
    <mergeCell ref="B356:B357"/>
    <mergeCell ref="C356:H356"/>
    <mergeCell ref="I356:I357"/>
    <mergeCell ref="J356:O356"/>
    <mergeCell ref="P356:P357"/>
    <mergeCell ref="Q356:Q357"/>
    <mergeCell ref="A335:B335"/>
    <mergeCell ref="A337:Q337"/>
    <mergeCell ref="A338:Q338"/>
    <mergeCell ref="A340:A341"/>
    <mergeCell ref="B340:B341"/>
    <mergeCell ref="C340:H340"/>
    <mergeCell ref="I340:I341"/>
    <mergeCell ref="J340:O340"/>
    <mergeCell ref="P340:P341"/>
    <mergeCell ref="Q340:Q341"/>
    <mergeCell ref="A319:B319"/>
    <mergeCell ref="A321:Q321"/>
    <mergeCell ref="A322:Q322"/>
    <mergeCell ref="A324:A325"/>
    <mergeCell ref="B324:B325"/>
    <mergeCell ref="C324:H324"/>
    <mergeCell ref="I324:I325"/>
    <mergeCell ref="J324:O324"/>
    <mergeCell ref="P324:P325"/>
    <mergeCell ref="Q324:Q325"/>
    <mergeCell ref="A303:B303"/>
    <mergeCell ref="A305:Q305"/>
    <mergeCell ref="A306:Q306"/>
    <mergeCell ref="A308:A309"/>
    <mergeCell ref="B308:B309"/>
    <mergeCell ref="C308:H308"/>
    <mergeCell ref="I308:I309"/>
    <mergeCell ref="J308:O308"/>
    <mergeCell ref="P308:P309"/>
    <mergeCell ref="Q308:Q309"/>
    <mergeCell ref="A287:B287"/>
    <mergeCell ref="A289:Q289"/>
    <mergeCell ref="A290:Q290"/>
    <mergeCell ref="A292:A293"/>
    <mergeCell ref="B292:B293"/>
    <mergeCell ref="C292:H292"/>
    <mergeCell ref="I292:I293"/>
    <mergeCell ref="J292:O292"/>
    <mergeCell ref="P292:P293"/>
    <mergeCell ref="Q292:Q293"/>
    <mergeCell ref="A271:B271"/>
    <mergeCell ref="A273:Q273"/>
    <mergeCell ref="A274:Q274"/>
    <mergeCell ref="A276:A277"/>
    <mergeCell ref="B276:B277"/>
    <mergeCell ref="C276:H276"/>
    <mergeCell ref="I276:I277"/>
    <mergeCell ref="J276:O276"/>
    <mergeCell ref="P276:P277"/>
    <mergeCell ref="Q276:Q277"/>
    <mergeCell ref="A255:B255"/>
    <mergeCell ref="A257:Q257"/>
    <mergeCell ref="A258:Q258"/>
    <mergeCell ref="A260:A261"/>
    <mergeCell ref="B260:B261"/>
    <mergeCell ref="C260:H260"/>
    <mergeCell ref="I260:I261"/>
    <mergeCell ref="J260:O260"/>
    <mergeCell ref="P260:P261"/>
    <mergeCell ref="Q260:Q261"/>
    <mergeCell ref="A239:B239"/>
    <mergeCell ref="A241:Q241"/>
    <mergeCell ref="A242:Q242"/>
    <mergeCell ref="A244:A245"/>
    <mergeCell ref="B244:B245"/>
    <mergeCell ref="C244:H244"/>
    <mergeCell ref="I244:I245"/>
    <mergeCell ref="J244:O244"/>
    <mergeCell ref="P244:P245"/>
    <mergeCell ref="Q244:Q245"/>
    <mergeCell ref="A223:B223"/>
    <mergeCell ref="A225:Q225"/>
    <mergeCell ref="A226:Q226"/>
    <mergeCell ref="A228:A229"/>
    <mergeCell ref="B228:B229"/>
    <mergeCell ref="C228:H228"/>
    <mergeCell ref="I228:I229"/>
    <mergeCell ref="J228:O228"/>
    <mergeCell ref="P228:P229"/>
    <mergeCell ref="Q228:Q229"/>
    <mergeCell ref="A207:B207"/>
    <mergeCell ref="A209:Q209"/>
    <mergeCell ref="A210:Q210"/>
    <mergeCell ref="A212:A213"/>
    <mergeCell ref="B212:B213"/>
    <mergeCell ref="C212:H212"/>
    <mergeCell ref="I212:I213"/>
    <mergeCell ref="J212:O212"/>
    <mergeCell ref="P212:P213"/>
    <mergeCell ref="Q212:Q213"/>
    <mergeCell ref="A191:B191"/>
    <mergeCell ref="A193:Q193"/>
    <mergeCell ref="A194:Q194"/>
    <mergeCell ref="A196:A197"/>
    <mergeCell ref="B196:B197"/>
    <mergeCell ref="C196:H196"/>
    <mergeCell ref="I196:I197"/>
    <mergeCell ref="J196:O196"/>
    <mergeCell ref="P196:P197"/>
    <mergeCell ref="Q196:Q197"/>
    <mergeCell ref="A175:B175"/>
    <mergeCell ref="A177:Q177"/>
    <mergeCell ref="A178:Q178"/>
    <mergeCell ref="A180:A181"/>
    <mergeCell ref="B180:B181"/>
    <mergeCell ref="C180:H180"/>
    <mergeCell ref="I180:I181"/>
    <mergeCell ref="J180:O180"/>
    <mergeCell ref="P180:P181"/>
    <mergeCell ref="Q180:Q181"/>
    <mergeCell ref="A159:B159"/>
    <mergeCell ref="A161:Q161"/>
    <mergeCell ref="A162:Q162"/>
    <mergeCell ref="A164:A165"/>
    <mergeCell ref="B164:B165"/>
    <mergeCell ref="C164:H164"/>
    <mergeCell ref="I164:I165"/>
    <mergeCell ref="J164:O164"/>
    <mergeCell ref="P164:P165"/>
    <mergeCell ref="Q164:Q165"/>
    <mergeCell ref="A143:B143"/>
    <mergeCell ref="A145:Q145"/>
    <mergeCell ref="A146:Q146"/>
    <mergeCell ref="A148:A149"/>
    <mergeCell ref="B148:B149"/>
    <mergeCell ref="C148:H148"/>
    <mergeCell ref="I148:I149"/>
    <mergeCell ref="J148:O148"/>
    <mergeCell ref="P148:P149"/>
    <mergeCell ref="Q148:Q149"/>
    <mergeCell ref="A127:B127"/>
    <mergeCell ref="A129:Q129"/>
    <mergeCell ref="A130:Q130"/>
    <mergeCell ref="A132:A133"/>
    <mergeCell ref="B132:B133"/>
    <mergeCell ref="C132:H132"/>
    <mergeCell ref="I132:I133"/>
    <mergeCell ref="J132:O132"/>
    <mergeCell ref="P132:P133"/>
    <mergeCell ref="Q132:Q133"/>
    <mergeCell ref="A111:B111"/>
    <mergeCell ref="A113:Q113"/>
    <mergeCell ref="A114:Q114"/>
    <mergeCell ref="A116:A117"/>
    <mergeCell ref="B116:B117"/>
    <mergeCell ref="C116:H116"/>
    <mergeCell ref="I116:I117"/>
    <mergeCell ref="J116:O116"/>
    <mergeCell ref="P116:P117"/>
    <mergeCell ref="Q116:Q117"/>
    <mergeCell ref="A95:B95"/>
    <mergeCell ref="A97:Q97"/>
    <mergeCell ref="A98:Q98"/>
    <mergeCell ref="A100:A101"/>
    <mergeCell ref="B100:B101"/>
    <mergeCell ref="C100:H100"/>
    <mergeCell ref="I100:I101"/>
    <mergeCell ref="J100:O100"/>
    <mergeCell ref="P100:P101"/>
    <mergeCell ref="Q100:Q101"/>
    <mergeCell ref="A79:B79"/>
    <mergeCell ref="A81:Q81"/>
    <mergeCell ref="A82:Q82"/>
    <mergeCell ref="A84:A85"/>
    <mergeCell ref="B84:B85"/>
    <mergeCell ref="C84:H84"/>
    <mergeCell ref="I84:I85"/>
    <mergeCell ref="J84:O84"/>
    <mergeCell ref="P84:P85"/>
    <mergeCell ref="Q84:Q85"/>
    <mergeCell ref="A63:B63"/>
    <mergeCell ref="A65:Q65"/>
    <mergeCell ref="A66:Q66"/>
    <mergeCell ref="A68:A69"/>
    <mergeCell ref="B68:B69"/>
    <mergeCell ref="C68:H68"/>
    <mergeCell ref="I68:I69"/>
    <mergeCell ref="J68:O68"/>
    <mergeCell ref="P68:P69"/>
    <mergeCell ref="Q68:Q69"/>
    <mergeCell ref="A47:B47"/>
    <mergeCell ref="A49:Q49"/>
    <mergeCell ref="A50:Q50"/>
    <mergeCell ref="A52:A53"/>
    <mergeCell ref="B52:B53"/>
    <mergeCell ref="C52:H52"/>
    <mergeCell ref="I52:I53"/>
    <mergeCell ref="J52:O52"/>
    <mergeCell ref="P52:P53"/>
    <mergeCell ref="Q52:Q53"/>
    <mergeCell ref="A31:B31"/>
    <mergeCell ref="A33:Q33"/>
    <mergeCell ref="A34:Q34"/>
    <mergeCell ref="A36:A37"/>
    <mergeCell ref="B36:B37"/>
    <mergeCell ref="C36:H36"/>
    <mergeCell ref="I36:I37"/>
    <mergeCell ref="J36:O36"/>
    <mergeCell ref="P36:P37"/>
    <mergeCell ref="Q36:Q37"/>
    <mergeCell ref="A15:B15"/>
    <mergeCell ref="A17:Q17"/>
    <mergeCell ref="A18:Q18"/>
    <mergeCell ref="A20:A21"/>
    <mergeCell ref="B20:B21"/>
    <mergeCell ref="C20:H20"/>
    <mergeCell ref="I20:I21"/>
    <mergeCell ref="J20:O20"/>
    <mergeCell ref="P20:P21"/>
    <mergeCell ref="Q20:Q21"/>
    <mergeCell ref="A1:Q1"/>
    <mergeCell ref="A2:Q2"/>
    <mergeCell ref="A4:A5"/>
    <mergeCell ref="B4:B5"/>
    <mergeCell ref="C4:H4"/>
    <mergeCell ref="I4:I5"/>
    <mergeCell ref="J4:O4"/>
    <mergeCell ref="P4:P5"/>
    <mergeCell ref="Q4:Q5"/>
  </mergeCells>
  <pageMargins left="1.2204724409448819" right="0.59055118110236227" top="0.74803149606299213" bottom="0.74803149606299213" header="0.31496062992125984" footer="0.31496062992125984"/>
  <pageSetup paperSize="9" scale="90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padi sawah</vt:lpstr>
      <vt:lpstr>puso</vt:lpstr>
      <vt:lpstr>padi ladang</vt:lpstr>
      <vt:lpstr>jagung</vt:lpstr>
      <vt:lpstr>kedelai</vt:lpstr>
      <vt:lpstr>kc tanah</vt:lpstr>
      <vt:lpstr>ubi kayu</vt:lpstr>
      <vt:lpstr>ubi jalar</vt:lpstr>
      <vt:lpstr>kc ijo</vt:lpstr>
      <vt:lpstr>talas</vt:lpstr>
      <vt:lpstr>sorgum</vt:lpstr>
      <vt:lpstr>rekap</vt:lpstr>
      <vt:lpstr>jag&amp;kc</vt:lpstr>
      <vt:lpstr>okt-mar</vt:lpstr>
      <vt:lpstr>okt-mar'19-20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UPT KPT DKPP</cp:lastModifiedBy>
  <cp:lastPrinted>2021-02-08T02:59:24Z</cp:lastPrinted>
  <dcterms:created xsi:type="dcterms:W3CDTF">2014-02-11T04:21:26Z</dcterms:created>
  <dcterms:modified xsi:type="dcterms:W3CDTF">2021-02-08T03:27:08Z</dcterms:modified>
</cp:coreProperties>
</file>